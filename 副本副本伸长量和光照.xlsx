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4FAE63DD-4D25-419A-887E-468E9866AD68}" xr6:coauthVersionLast="47" xr6:coauthVersionMax="47" xr10:uidLastSave="{00000000-0000-0000-0000-000000000000}"/>
  <bookViews>
    <workbookView xWindow="-120" yWindow="-120" windowWidth="38640" windowHeight="21840" xr2:uid="{21614651-695F-42C5-A05A-888244EAE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85" i="1" l="1"/>
  <c r="K3980" i="1"/>
  <c r="K3979" i="1"/>
  <c r="K3978" i="1"/>
  <c r="K3976" i="1"/>
  <c r="K3975" i="1"/>
  <c r="K3972" i="1"/>
  <c r="K3969" i="1"/>
  <c r="K3968" i="1"/>
  <c r="K3967" i="1"/>
  <c r="K3964" i="1"/>
  <c r="K3963" i="1"/>
  <c r="J3985" i="1"/>
  <c r="J3982" i="1"/>
  <c r="J3978" i="1"/>
  <c r="J3977" i="1"/>
  <c r="J3976" i="1"/>
  <c r="J3975" i="1"/>
  <c r="J3971" i="1"/>
  <c r="J3968" i="1"/>
  <c r="J3965" i="1"/>
  <c r="J3963" i="1"/>
  <c r="I3988" i="1"/>
  <c r="I3986" i="1"/>
  <c r="I3985" i="1"/>
  <c r="I3984" i="1"/>
  <c r="I3976" i="1"/>
  <c r="I3975" i="1"/>
  <c r="I3968" i="1"/>
  <c r="I3967" i="1"/>
  <c r="I3964" i="1"/>
  <c r="I3963" i="1"/>
  <c r="H3985" i="1"/>
  <c r="H3982" i="1"/>
  <c r="H3981" i="1"/>
  <c r="H3980" i="1"/>
  <c r="H3979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01" i="1"/>
  <c r="H3897" i="1"/>
  <c r="H3894" i="1"/>
  <c r="H3888" i="1"/>
  <c r="H3885" i="1"/>
  <c r="H3880" i="1"/>
  <c r="H3875" i="1"/>
  <c r="H3871" i="1"/>
  <c r="H3868" i="1"/>
  <c r="H3866" i="1"/>
  <c r="H3864" i="1"/>
  <c r="H3862" i="1"/>
  <c r="H3861" i="1"/>
  <c r="H3856" i="1"/>
  <c r="H3852" i="1"/>
  <c r="H3849" i="1"/>
  <c r="H3847" i="1"/>
  <c r="H3845" i="1"/>
  <c r="H3843" i="1"/>
  <c r="I3783" i="1"/>
  <c r="H3841" i="1"/>
  <c r="H3839" i="1"/>
  <c r="H3838" i="1"/>
  <c r="H3836" i="1"/>
  <c r="H3834" i="1"/>
  <c r="H3833" i="1"/>
  <c r="H3831" i="1"/>
  <c r="H3830" i="1"/>
  <c r="H3828" i="1"/>
  <c r="H3826" i="1"/>
  <c r="H3824" i="1"/>
  <c r="H3822" i="1"/>
  <c r="H3820" i="1"/>
  <c r="H3819" i="1"/>
  <c r="H3817" i="1"/>
  <c r="H3815" i="1"/>
  <c r="H3813" i="1"/>
  <c r="H3812" i="1"/>
  <c r="H3810" i="1"/>
  <c r="H3808" i="1"/>
  <c r="H3807" i="1"/>
  <c r="H3805" i="1"/>
  <c r="H3803" i="1"/>
  <c r="H3802" i="1"/>
  <c r="H3800" i="1"/>
  <c r="H3798" i="1"/>
  <c r="H3797" i="1"/>
  <c r="H3795" i="1"/>
  <c r="H3794" i="1"/>
  <c r="H3792" i="1"/>
  <c r="H3791" i="1"/>
  <c r="H3789" i="1"/>
  <c r="H3787" i="1"/>
  <c r="H3786" i="1"/>
  <c r="H3784" i="1"/>
  <c r="H3783" i="1"/>
  <c r="J3768" i="1"/>
  <c r="J3765" i="1"/>
  <c r="J3761" i="1"/>
  <c r="J3756" i="1"/>
  <c r="J3754" i="1"/>
  <c r="J3753" i="1"/>
  <c r="J3751" i="1"/>
  <c r="J3744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K712" i="1"/>
  <c r="K710" i="1"/>
  <c r="K708" i="1"/>
  <c r="K707" i="1"/>
  <c r="K704" i="1"/>
  <c r="K702" i="1"/>
  <c r="K701" i="1"/>
  <c r="K700" i="1"/>
  <c r="K699" i="1"/>
  <c r="K696" i="1"/>
  <c r="K691" i="1"/>
  <c r="K690" i="1"/>
  <c r="K686" i="1"/>
  <c r="K684" i="1"/>
  <c r="K675" i="1"/>
  <c r="K669" i="1"/>
  <c r="K663" i="1"/>
  <c r="E24" i="1"/>
  <c r="E23" i="1"/>
  <c r="E16" i="1"/>
  <c r="E15" i="1"/>
  <c r="E19" i="1"/>
  <c r="E18" i="1"/>
  <c r="E13" i="1"/>
  <c r="E12" i="1"/>
  <c r="E11" i="1"/>
  <c r="E7" i="1"/>
  <c r="E6" i="1"/>
  <c r="E5" i="1"/>
  <c r="E4" i="1"/>
  <c r="E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4" i="1"/>
  <c r="J811" i="1"/>
  <c r="J813" i="1"/>
  <c r="J814" i="1"/>
  <c r="J816" i="1"/>
  <c r="J821" i="1"/>
  <c r="J825" i="1"/>
  <c r="J828" i="1"/>
  <c r="J783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4" i="1"/>
  <c r="H846" i="1"/>
  <c r="H847" i="1"/>
  <c r="H849" i="1"/>
  <c r="H851" i="1"/>
  <c r="H852" i="1"/>
  <c r="H854" i="1"/>
  <c r="H855" i="1"/>
  <c r="H857" i="1"/>
  <c r="H858" i="1"/>
  <c r="H860" i="1"/>
  <c r="H862" i="1"/>
  <c r="H863" i="1"/>
  <c r="H865" i="1"/>
  <c r="H867" i="1"/>
  <c r="H868" i="1"/>
  <c r="H870" i="1"/>
  <c r="H872" i="1"/>
  <c r="H873" i="1"/>
  <c r="H875" i="1"/>
  <c r="H877" i="1"/>
  <c r="H879" i="1"/>
  <c r="H880" i="1"/>
  <c r="H882" i="1"/>
  <c r="H884" i="1"/>
  <c r="H886" i="1"/>
  <c r="H888" i="1"/>
  <c r="H890" i="1"/>
  <c r="H891" i="1"/>
  <c r="H893" i="1"/>
  <c r="H894" i="1"/>
  <c r="H896" i="1"/>
  <c r="H898" i="1"/>
  <c r="H899" i="1"/>
  <c r="H901" i="1"/>
  <c r="H843" i="1"/>
  <c r="I905" i="1"/>
  <c r="I909" i="1"/>
  <c r="I912" i="1"/>
  <c r="I915" i="1"/>
  <c r="I903" i="1"/>
  <c r="I843" i="1" s="1"/>
  <c r="H904" i="1"/>
  <c r="I904" i="1" s="1"/>
  <c r="H906" i="1"/>
  <c r="I906" i="1" s="1"/>
  <c r="H907" i="1"/>
  <c r="I907" i="1" s="1"/>
  <c r="H910" i="1"/>
  <c r="I910" i="1" s="1"/>
  <c r="H911" i="1"/>
  <c r="I911" i="1" s="1"/>
  <c r="H913" i="1"/>
  <c r="I913" i="1" s="1"/>
  <c r="H914" i="1"/>
  <c r="H916" i="1"/>
  <c r="H917" i="1"/>
  <c r="H920" i="1"/>
  <c r="H924" i="1"/>
  <c r="H925" i="1"/>
  <c r="H926" i="1"/>
  <c r="H928" i="1"/>
  <c r="H929" i="1"/>
  <c r="H931" i="1"/>
  <c r="H932" i="1"/>
  <c r="H934" i="1"/>
  <c r="H936" i="1"/>
  <c r="H938" i="1"/>
  <c r="H940" i="1"/>
  <c r="H943" i="1"/>
  <c r="H947" i="1"/>
  <c r="H952" i="1"/>
  <c r="H957" i="1"/>
  <c r="H960" i="1"/>
  <c r="K971" i="1"/>
  <c r="K975" i="1"/>
  <c r="K977" i="1"/>
  <c r="K980" i="1"/>
  <c r="K995" i="1"/>
  <c r="K1000" i="1"/>
  <c r="K1003" i="1"/>
  <c r="K1005" i="1"/>
  <c r="K1008" i="1"/>
  <c r="K1011" i="1"/>
  <c r="K1013" i="1"/>
  <c r="K1016" i="1"/>
  <c r="K1019" i="1"/>
  <c r="J964" i="1"/>
  <c r="K964" i="1" s="1"/>
  <c r="J973" i="1"/>
  <c r="J978" i="1"/>
  <c r="K978" i="1" s="1"/>
  <c r="J979" i="1"/>
  <c r="J982" i="1"/>
  <c r="J983" i="1"/>
  <c r="K983" i="1" s="1"/>
  <c r="J986" i="1"/>
  <c r="J992" i="1"/>
  <c r="K992" i="1" s="1"/>
  <c r="J994" i="1"/>
  <c r="K994" i="1" s="1"/>
  <c r="J999" i="1"/>
  <c r="J1002" i="1"/>
  <c r="K1002" i="1" s="1"/>
  <c r="J1007" i="1"/>
  <c r="K1007" i="1" s="1"/>
  <c r="J1010" i="1"/>
  <c r="K1010" i="1" s="1"/>
  <c r="J1014" i="1"/>
  <c r="J1017" i="1"/>
  <c r="J1020" i="1"/>
  <c r="I975" i="1"/>
  <c r="I980" i="1"/>
  <c r="I987" i="1"/>
  <c r="J987" i="1" s="1"/>
  <c r="K987" i="1" s="1"/>
  <c r="I991" i="1"/>
  <c r="I1005" i="1"/>
  <c r="I1008" i="1"/>
  <c r="I1016" i="1"/>
  <c r="H964" i="1"/>
  <c r="H966" i="1"/>
  <c r="I966" i="1" s="1"/>
  <c r="J966" i="1" s="1"/>
  <c r="K966" i="1" s="1"/>
  <c r="H967" i="1"/>
  <c r="I967" i="1" s="1"/>
  <c r="J967" i="1" s="1"/>
  <c r="K967" i="1" s="1"/>
  <c r="H968" i="1"/>
  <c r="H969" i="1"/>
  <c r="I969" i="1" s="1"/>
  <c r="J969" i="1" s="1"/>
  <c r="K969" i="1" s="1"/>
  <c r="H970" i="1"/>
  <c r="I970" i="1" s="1"/>
  <c r="J970" i="1" s="1"/>
  <c r="H971" i="1"/>
  <c r="I971" i="1" s="1"/>
  <c r="H972" i="1"/>
  <c r="I972" i="1" s="1"/>
  <c r="J972" i="1" s="1"/>
  <c r="K972" i="1" s="1"/>
  <c r="H973" i="1"/>
  <c r="H974" i="1"/>
  <c r="I974" i="1" s="1"/>
  <c r="J974" i="1" s="1"/>
  <c r="K974" i="1" s="1"/>
  <c r="H976" i="1"/>
  <c r="I976" i="1" s="1"/>
  <c r="J976" i="1" s="1"/>
  <c r="H977" i="1"/>
  <c r="I977" i="1" s="1"/>
  <c r="H978" i="1"/>
  <c r="H979" i="1"/>
  <c r="H981" i="1"/>
  <c r="I981" i="1" s="1"/>
  <c r="J981" i="1" s="1"/>
  <c r="K981" i="1" s="1"/>
  <c r="H982" i="1"/>
  <c r="H984" i="1"/>
  <c r="I984" i="1" s="1"/>
  <c r="H985" i="1"/>
  <c r="I985" i="1" s="1"/>
  <c r="J985" i="1" s="1"/>
  <c r="K985" i="1" s="1"/>
  <c r="H986" i="1"/>
  <c r="H988" i="1"/>
  <c r="I988" i="1" s="1"/>
  <c r="H989" i="1"/>
  <c r="I989" i="1" s="1"/>
  <c r="J989" i="1" s="1"/>
  <c r="K989" i="1" s="1"/>
  <c r="H990" i="1"/>
  <c r="I990" i="1" s="1"/>
  <c r="J990" i="1" s="1"/>
  <c r="K990" i="1" s="1"/>
  <c r="H992" i="1"/>
  <c r="H993" i="1"/>
  <c r="I993" i="1" s="1"/>
  <c r="J993" i="1" s="1"/>
  <c r="H995" i="1"/>
  <c r="I995" i="1" s="1"/>
  <c r="H996" i="1"/>
  <c r="I996" i="1" s="1"/>
  <c r="J996" i="1" s="1"/>
  <c r="H997" i="1"/>
  <c r="I997" i="1" s="1"/>
  <c r="J997" i="1" s="1"/>
  <c r="K997" i="1" s="1"/>
  <c r="H998" i="1"/>
  <c r="I998" i="1" s="1"/>
  <c r="J998" i="1" s="1"/>
  <c r="K998" i="1" s="1"/>
  <c r="H999" i="1"/>
  <c r="H1000" i="1"/>
  <c r="I1000" i="1" s="1"/>
  <c r="H1001" i="1"/>
  <c r="I1001" i="1" s="1"/>
  <c r="J1001" i="1" s="1"/>
  <c r="H1002" i="1"/>
  <c r="H1003" i="1"/>
  <c r="I1003" i="1" s="1"/>
  <c r="H1004" i="1"/>
  <c r="I1004" i="1" s="1"/>
  <c r="J1004" i="1" s="1"/>
  <c r="H1006" i="1"/>
  <c r="I1006" i="1" s="1"/>
  <c r="J1006" i="1" s="1"/>
  <c r="H1007" i="1"/>
  <c r="H1009" i="1"/>
  <c r="I1009" i="1" s="1"/>
  <c r="J1009" i="1" s="1"/>
  <c r="H1010" i="1"/>
  <c r="H1011" i="1"/>
  <c r="I1011" i="1" s="1"/>
  <c r="H1012" i="1"/>
  <c r="I1012" i="1" s="1"/>
  <c r="J1012" i="1" s="1"/>
  <c r="H1013" i="1"/>
  <c r="I1013" i="1" s="1"/>
  <c r="H1015" i="1"/>
  <c r="I1015" i="1" s="1"/>
  <c r="J1015" i="1" s="1"/>
  <c r="K1015" i="1" s="1"/>
  <c r="H1017" i="1"/>
  <c r="H1018" i="1"/>
  <c r="I1018" i="1" s="1"/>
  <c r="J1018" i="1" s="1"/>
  <c r="K1018" i="1" s="1"/>
  <c r="H1020" i="1"/>
  <c r="H1021" i="1"/>
  <c r="H963" i="1"/>
  <c r="I963" i="1" s="1"/>
  <c r="J963" i="1" s="1"/>
  <c r="K963" i="1" s="1"/>
  <c r="K1070" i="1"/>
  <c r="J1069" i="1"/>
  <c r="J1072" i="1"/>
  <c r="I1067" i="1"/>
  <c r="H1024" i="1"/>
  <c r="H1026" i="1"/>
  <c r="H1027" i="1"/>
  <c r="I1027" i="1" s="1"/>
  <c r="J1027" i="1" s="1"/>
  <c r="K1027" i="1" s="1"/>
  <c r="H1028" i="1"/>
  <c r="H1029" i="1"/>
  <c r="I1029" i="1" s="1"/>
  <c r="J1029" i="1" s="1"/>
  <c r="K1029" i="1" s="1"/>
  <c r="H1030" i="1"/>
  <c r="I1030" i="1" s="1"/>
  <c r="J1030" i="1" s="1"/>
  <c r="K1030" i="1" s="1"/>
  <c r="H1031" i="1"/>
  <c r="I1031" i="1" s="1"/>
  <c r="J1031" i="1" s="1"/>
  <c r="K1031" i="1" s="1"/>
  <c r="H1032" i="1"/>
  <c r="I1032" i="1" s="1"/>
  <c r="J1032" i="1" s="1"/>
  <c r="K1032" i="1" s="1"/>
  <c r="H1033" i="1"/>
  <c r="I1033" i="1" s="1"/>
  <c r="J1033" i="1" s="1"/>
  <c r="K1033" i="1" s="1"/>
  <c r="H1034" i="1"/>
  <c r="I1034" i="1" s="1"/>
  <c r="J1034" i="1" s="1"/>
  <c r="K1034" i="1" s="1"/>
  <c r="H1035" i="1"/>
  <c r="I1035" i="1" s="1"/>
  <c r="J1035" i="1" s="1"/>
  <c r="K1035" i="1" s="1"/>
  <c r="H1036" i="1"/>
  <c r="I1036" i="1" s="1"/>
  <c r="J1036" i="1" s="1"/>
  <c r="K1036" i="1" s="1"/>
  <c r="H1037" i="1"/>
  <c r="I1037" i="1" s="1"/>
  <c r="J1037" i="1" s="1"/>
  <c r="K1037" i="1" s="1"/>
  <c r="H1038" i="1"/>
  <c r="I1038" i="1" s="1"/>
  <c r="J1038" i="1" s="1"/>
  <c r="K1038" i="1" s="1"/>
  <c r="H1039" i="1"/>
  <c r="I1039" i="1" s="1"/>
  <c r="J1039" i="1" s="1"/>
  <c r="K1039" i="1" s="1"/>
  <c r="H1040" i="1"/>
  <c r="I1040" i="1" s="1"/>
  <c r="J1040" i="1" s="1"/>
  <c r="K1040" i="1" s="1"/>
  <c r="H1041" i="1"/>
  <c r="I1041" i="1" s="1"/>
  <c r="J1041" i="1" s="1"/>
  <c r="K1041" i="1" s="1"/>
  <c r="H1042" i="1"/>
  <c r="I1042" i="1" s="1"/>
  <c r="J1042" i="1" s="1"/>
  <c r="K1042" i="1" s="1"/>
  <c r="H1043" i="1"/>
  <c r="I1043" i="1" s="1"/>
  <c r="J1043" i="1" s="1"/>
  <c r="K1043" i="1" s="1"/>
  <c r="H1044" i="1"/>
  <c r="I1044" i="1" s="1"/>
  <c r="J1044" i="1" s="1"/>
  <c r="K1044" i="1" s="1"/>
  <c r="H1045" i="1"/>
  <c r="I1045" i="1" s="1"/>
  <c r="J1045" i="1" s="1"/>
  <c r="K1045" i="1" s="1"/>
  <c r="H1046" i="1"/>
  <c r="I1046" i="1" s="1"/>
  <c r="J1046" i="1" s="1"/>
  <c r="K1046" i="1" s="1"/>
  <c r="H1047" i="1"/>
  <c r="I1047" i="1" s="1"/>
  <c r="J1047" i="1" s="1"/>
  <c r="K1047" i="1" s="1"/>
  <c r="H1048" i="1"/>
  <c r="I1048" i="1" s="1"/>
  <c r="J1048" i="1" s="1"/>
  <c r="K1048" i="1" s="1"/>
  <c r="H1049" i="1"/>
  <c r="I1049" i="1" s="1"/>
  <c r="J1049" i="1" s="1"/>
  <c r="K1049" i="1" s="1"/>
  <c r="H1050" i="1"/>
  <c r="I1050" i="1" s="1"/>
  <c r="J1050" i="1" s="1"/>
  <c r="K1050" i="1" s="1"/>
  <c r="H1051" i="1"/>
  <c r="I1051" i="1" s="1"/>
  <c r="J1051" i="1" s="1"/>
  <c r="K1051" i="1" s="1"/>
  <c r="H1052" i="1"/>
  <c r="I1052" i="1" s="1"/>
  <c r="J1052" i="1" s="1"/>
  <c r="K1052" i="1" s="1"/>
  <c r="H1053" i="1"/>
  <c r="I1053" i="1" s="1"/>
  <c r="J1053" i="1" s="1"/>
  <c r="K1053" i="1" s="1"/>
  <c r="H1054" i="1"/>
  <c r="I1054" i="1" s="1"/>
  <c r="J1054" i="1" s="1"/>
  <c r="K1054" i="1" s="1"/>
  <c r="H1055" i="1"/>
  <c r="I1055" i="1" s="1"/>
  <c r="J1055" i="1" s="1"/>
  <c r="K1055" i="1" s="1"/>
  <c r="H1056" i="1"/>
  <c r="I1056" i="1" s="1"/>
  <c r="J1056" i="1" s="1"/>
  <c r="K1056" i="1" s="1"/>
  <c r="H1057" i="1"/>
  <c r="I1057" i="1" s="1"/>
  <c r="J1057" i="1" s="1"/>
  <c r="K1057" i="1" s="1"/>
  <c r="H1058" i="1"/>
  <c r="I1058" i="1" s="1"/>
  <c r="J1058" i="1" s="1"/>
  <c r="K1058" i="1" s="1"/>
  <c r="H1059" i="1"/>
  <c r="I1059" i="1" s="1"/>
  <c r="J1059" i="1" s="1"/>
  <c r="K1059" i="1" s="1"/>
  <c r="H1060" i="1"/>
  <c r="I1060" i="1" s="1"/>
  <c r="J1060" i="1" s="1"/>
  <c r="K1060" i="1" s="1"/>
  <c r="H1061" i="1"/>
  <c r="I1061" i="1" s="1"/>
  <c r="J1061" i="1" s="1"/>
  <c r="K1061" i="1" s="1"/>
  <c r="H1062" i="1"/>
  <c r="I1062" i="1" s="1"/>
  <c r="J1062" i="1" s="1"/>
  <c r="K1062" i="1" s="1"/>
  <c r="H1063" i="1"/>
  <c r="I1063" i="1" s="1"/>
  <c r="J1063" i="1" s="1"/>
  <c r="K1063" i="1" s="1"/>
  <c r="I1064" i="1"/>
  <c r="H1065" i="1"/>
  <c r="H1066" i="1"/>
  <c r="I1066" i="1" s="1"/>
  <c r="J1066" i="1" s="1"/>
  <c r="K1066" i="1" s="1"/>
  <c r="H1068" i="1"/>
  <c r="I1068" i="1" s="1"/>
  <c r="J1068" i="1" s="1"/>
  <c r="K1068" i="1" s="1"/>
  <c r="H1069" i="1"/>
  <c r="H1071" i="1"/>
  <c r="I1071" i="1" s="1"/>
  <c r="J1071" i="1" s="1"/>
  <c r="K1071" i="1" s="1"/>
  <c r="H1072" i="1"/>
  <c r="H1073" i="1"/>
  <c r="I1073" i="1" s="1"/>
  <c r="J1073" i="1" s="1"/>
  <c r="K1073" i="1" s="1"/>
  <c r="I1074" i="1"/>
  <c r="J1074" i="1" s="1"/>
  <c r="K1074" i="1" s="1"/>
  <c r="H1075" i="1"/>
  <c r="I1075" i="1" s="1"/>
  <c r="J1075" i="1" s="1"/>
  <c r="H1076" i="1"/>
  <c r="I1076" i="1" s="1"/>
  <c r="J1076" i="1" s="1"/>
  <c r="K1076" i="1" s="1"/>
  <c r="H1077" i="1"/>
  <c r="I1077" i="1" s="1"/>
  <c r="J1077" i="1" s="1"/>
  <c r="K1077" i="1" s="1"/>
  <c r="H1078" i="1"/>
  <c r="I1078" i="1" s="1"/>
  <c r="H1079" i="1"/>
  <c r="I1079" i="1" s="1"/>
  <c r="J1079" i="1" s="1"/>
  <c r="K1079" i="1" s="1"/>
  <c r="H1080" i="1"/>
  <c r="I1080" i="1" s="1"/>
  <c r="J1080" i="1" s="1"/>
  <c r="K1080" i="1" s="1"/>
  <c r="H1081" i="1"/>
  <c r="I1081" i="1" s="1"/>
  <c r="J1081" i="1" s="1"/>
  <c r="H1023" i="1"/>
  <c r="K1086" i="1"/>
  <c r="K1089" i="1"/>
  <c r="K1091" i="1"/>
  <c r="K1094" i="1"/>
  <c r="K1101" i="1"/>
  <c r="K1102" i="1"/>
  <c r="J1087" i="1"/>
  <c r="J1093" i="1"/>
  <c r="J1099" i="1"/>
  <c r="J1100" i="1"/>
  <c r="K1100" i="1" s="1"/>
  <c r="J1104" i="1"/>
  <c r="J1084" i="1"/>
  <c r="I1085" i="1"/>
  <c r="J1085" i="1" s="1"/>
  <c r="K1085" i="1" s="1"/>
  <c r="I1086" i="1"/>
  <c r="I1089" i="1"/>
  <c r="I1090" i="1"/>
  <c r="J1090" i="1" s="1"/>
  <c r="K1090" i="1" s="1"/>
  <c r="I1097" i="1"/>
  <c r="J1097" i="1" s="1"/>
  <c r="K1097" i="1" s="1"/>
  <c r="I1098" i="1"/>
  <c r="J1098" i="1" s="1"/>
  <c r="K1098" i="1" s="1"/>
  <c r="I1106" i="1"/>
  <c r="I1107" i="1"/>
  <c r="J1107" i="1" s="1"/>
  <c r="K1107" i="1" s="1"/>
  <c r="I1108" i="1"/>
  <c r="I1110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101" i="1"/>
  <c r="H1102" i="1"/>
  <c r="H1103" i="1"/>
  <c r="H1104" i="1"/>
  <c r="H1107" i="1"/>
  <c r="H1083" i="1"/>
  <c r="K544" i="1"/>
  <c r="K555" i="1"/>
  <c r="K559" i="1"/>
  <c r="K570" i="1"/>
  <c r="K573" i="1"/>
  <c r="K574" i="1"/>
  <c r="K580" i="1"/>
  <c r="K585" i="1"/>
  <c r="K594" i="1"/>
  <c r="J546" i="1"/>
  <c r="J547" i="1"/>
  <c r="J548" i="1"/>
  <c r="J551" i="1"/>
  <c r="J552" i="1"/>
  <c r="J554" i="1"/>
  <c r="K554" i="1" s="1"/>
  <c r="J556" i="1"/>
  <c r="J557" i="1"/>
  <c r="J558" i="1"/>
  <c r="J561" i="1"/>
  <c r="K561" i="1" s="1"/>
  <c r="J563" i="1"/>
  <c r="K563" i="1" s="1"/>
  <c r="J565" i="1"/>
  <c r="K565" i="1" s="1"/>
  <c r="J566" i="1"/>
  <c r="K566" i="1" s="1"/>
  <c r="J569" i="1"/>
  <c r="J571" i="1"/>
  <c r="J572" i="1"/>
  <c r="K572" i="1" s="1"/>
  <c r="J575" i="1"/>
  <c r="K575" i="1" s="1"/>
  <c r="J576" i="1"/>
  <c r="J577" i="1"/>
  <c r="J579" i="1"/>
  <c r="K579" i="1" s="1"/>
  <c r="J581" i="1"/>
  <c r="K581" i="1" s="1"/>
  <c r="J582" i="1"/>
  <c r="J587" i="1"/>
  <c r="K587" i="1" s="1"/>
  <c r="J588" i="1"/>
  <c r="J589" i="1"/>
  <c r="J590" i="1"/>
  <c r="J593" i="1"/>
  <c r="K593" i="1" s="1"/>
  <c r="J595" i="1"/>
  <c r="K595" i="1" s="1"/>
  <c r="J543" i="1"/>
  <c r="I553" i="1"/>
  <c r="I550" i="1"/>
  <c r="J550" i="1" s="1"/>
  <c r="I549" i="1"/>
  <c r="H546" i="1"/>
  <c r="H551" i="1"/>
  <c r="H570" i="1"/>
  <c r="H577" i="1"/>
  <c r="H585" i="1"/>
  <c r="H586" i="1"/>
  <c r="H589" i="1"/>
  <c r="H590" i="1"/>
  <c r="H592" i="1"/>
  <c r="H593" i="1"/>
  <c r="H595" i="1"/>
  <c r="H597" i="1"/>
  <c r="H600" i="1"/>
  <c r="H601" i="1"/>
  <c r="H543" i="1"/>
  <c r="K505" i="1"/>
  <c r="K508" i="1"/>
  <c r="K515" i="1"/>
  <c r="K518" i="1"/>
  <c r="K520" i="1"/>
  <c r="K521" i="1"/>
  <c r="K522" i="1"/>
  <c r="K523" i="1"/>
  <c r="K524" i="1"/>
  <c r="K525" i="1"/>
  <c r="K526" i="1"/>
  <c r="K527" i="1"/>
  <c r="K528" i="1"/>
  <c r="K529" i="1"/>
  <c r="K531" i="1"/>
  <c r="K532" i="1"/>
  <c r="K534" i="1"/>
  <c r="K535" i="1"/>
  <c r="K536" i="1"/>
  <c r="K537" i="1"/>
  <c r="K538" i="1"/>
  <c r="K541" i="1"/>
  <c r="K483" i="1"/>
  <c r="J488" i="1"/>
  <c r="J497" i="1"/>
  <c r="J504" i="1"/>
  <c r="K504" i="1" s="1"/>
  <c r="J507" i="1"/>
  <c r="K507" i="1" s="1"/>
  <c r="J509" i="1"/>
  <c r="J511" i="1"/>
  <c r="J512" i="1"/>
  <c r="J530" i="1"/>
  <c r="K530" i="1" s="1"/>
  <c r="J539" i="1"/>
  <c r="K539" i="1" s="1"/>
  <c r="I485" i="1"/>
  <c r="I498" i="1"/>
  <c r="I524" i="1"/>
  <c r="I483" i="1"/>
  <c r="H486" i="1"/>
  <c r="H488" i="1"/>
  <c r="H490" i="1"/>
  <c r="H491" i="1"/>
  <c r="I491" i="1" s="1"/>
  <c r="H492" i="1"/>
  <c r="I492" i="1" s="1"/>
  <c r="H493" i="1"/>
  <c r="H495" i="1"/>
  <c r="H496" i="1"/>
  <c r="H499" i="1"/>
  <c r="H510" i="1"/>
  <c r="H512" i="1"/>
  <c r="H519" i="1"/>
  <c r="H540" i="1"/>
  <c r="I540" i="1" s="1"/>
  <c r="J540" i="1" s="1"/>
  <c r="K540" i="1" s="1"/>
  <c r="G485" i="1"/>
  <c r="G497" i="1"/>
  <c r="H497" i="1" s="1"/>
  <c r="G500" i="1"/>
  <c r="G501" i="1"/>
  <c r="H501" i="1" s="1"/>
  <c r="G502" i="1"/>
  <c r="H502" i="1" s="1"/>
  <c r="I502" i="1" s="1"/>
  <c r="G503" i="1"/>
  <c r="H503" i="1" s="1"/>
  <c r="G504" i="1"/>
  <c r="G505" i="1"/>
  <c r="H505" i="1" s="1"/>
  <c r="G506" i="1"/>
  <c r="H506" i="1" s="1"/>
  <c r="I506" i="1" s="1"/>
  <c r="J506" i="1" s="1"/>
  <c r="K506" i="1" s="1"/>
  <c r="G507" i="1"/>
  <c r="G508" i="1"/>
  <c r="H508" i="1" s="1"/>
  <c r="G513" i="1"/>
  <c r="H513" i="1" s="1"/>
  <c r="G514" i="1"/>
  <c r="H514" i="1" s="1"/>
  <c r="G515" i="1"/>
  <c r="H515" i="1" s="1"/>
  <c r="I515" i="1" s="1"/>
  <c r="G516" i="1"/>
  <c r="G517" i="1"/>
  <c r="H517" i="1" s="1"/>
  <c r="G518" i="1"/>
  <c r="H518" i="1" s="1"/>
  <c r="G521" i="1"/>
  <c r="H521" i="1" s="1"/>
  <c r="I521" i="1" s="1"/>
  <c r="G523" i="1"/>
  <c r="H523" i="1" s="1"/>
  <c r="G524" i="1"/>
  <c r="G525" i="1"/>
  <c r="H525" i="1" s="1"/>
  <c r="I525" i="1" s="1"/>
  <c r="G526" i="1"/>
  <c r="H526" i="1" s="1"/>
  <c r="G527" i="1"/>
  <c r="H527" i="1" s="1"/>
  <c r="I527" i="1" s="1"/>
  <c r="G528" i="1"/>
  <c r="H528" i="1" s="1"/>
  <c r="G529" i="1"/>
  <c r="H529" i="1" s="1"/>
  <c r="G530" i="1"/>
  <c r="G531" i="1"/>
  <c r="H531" i="1" s="1"/>
  <c r="G533" i="1"/>
  <c r="H533" i="1" s="1"/>
  <c r="I533" i="1" s="1"/>
  <c r="J533" i="1" s="1"/>
  <c r="K533" i="1" s="1"/>
  <c r="G534" i="1"/>
  <c r="H534" i="1" s="1"/>
  <c r="G535" i="1"/>
  <c r="H535" i="1" s="1"/>
  <c r="I535" i="1" s="1"/>
  <c r="G536" i="1"/>
  <c r="G537" i="1"/>
  <c r="H537" i="1" s="1"/>
  <c r="I537" i="1" s="1"/>
  <c r="G539" i="1"/>
  <c r="H539" i="1" s="1"/>
  <c r="G541" i="1"/>
  <c r="K468" i="1"/>
  <c r="K472" i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2" i="1"/>
  <c r="K462" i="1" s="1"/>
  <c r="J463" i="1"/>
  <c r="K463" i="1" s="1"/>
  <c r="J465" i="1"/>
  <c r="K465" i="1" s="1"/>
  <c r="J466" i="1"/>
  <c r="J467" i="1"/>
  <c r="K467" i="1" s="1"/>
  <c r="J469" i="1"/>
  <c r="K469" i="1" s="1"/>
  <c r="J470" i="1"/>
  <c r="J471" i="1"/>
  <c r="K471" i="1" s="1"/>
  <c r="J473" i="1"/>
  <c r="K473" i="1" s="1"/>
  <c r="J474" i="1"/>
  <c r="K474" i="1" s="1"/>
  <c r="J475" i="1"/>
  <c r="K475" i="1" s="1"/>
  <c r="J476" i="1"/>
  <c r="K476" i="1" s="1"/>
  <c r="J477" i="1"/>
  <c r="K477" i="1" s="1"/>
  <c r="J479" i="1"/>
  <c r="K479" i="1" s="1"/>
  <c r="J481" i="1"/>
  <c r="K481" i="1" s="1"/>
  <c r="J438" i="1"/>
  <c r="K438" i="1" s="1"/>
  <c r="I474" i="1"/>
  <c r="I475" i="1"/>
  <c r="I476" i="1"/>
  <c r="I477" i="1"/>
  <c r="I479" i="1"/>
  <c r="I480" i="1"/>
  <c r="I481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4" i="1"/>
  <c r="I465" i="1"/>
  <c r="I466" i="1"/>
  <c r="I467" i="1"/>
  <c r="I469" i="1"/>
  <c r="I470" i="1"/>
  <c r="I472" i="1"/>
  <c r="I438" i="1"/>
  <c r="K363" i="1"/>
  <c r="K368" i="1"/>
  <c r="K369" i="1"/>
  <c r="K371" i="1"/>
  <c r="K373" i="1"/>
  <c r="K374" i="1"/>
  <c r="K375" i="1"/>
  <c r="K376" i="1"/>
  <c r="K378" i="1"/>
  <c r="K379" i="1"/>
  <c r="K381" i="1"/>
  <c r="K382" i="1"/>
  <c r="K383" i="1"/>
  <c r="K385" i="1"/>
  <c r="K386" i="1"/>
  <c r="K388" i="1"/>
  <c r="K390" i="1"/>
  <c r="K391" i="1"/>
  <c r="K392" i="1"/>
  <c r="K393" i="1"/>
  <c r="K395" i="1"/>
  <c r="K396" i="1"/>
  <c r="K397" i="1"/>
  <c r="K400" i="1"/>
  <c r="K401" i="1"/>
  <c r="K403" i="1"/>
  <c r="K405" i="1"/>
  <c r="K406" i="1"/>
  <c r="K408" i="1"/>
  <c r="K409" i="1"/>
  <c r="K410" i="1"/>
  <c r="K411" i="1"/>
  <c r="K413" i="1"/>
  <c r="K415" i="1"/>
  <c r="K417" i="1"/>
</calcChain>
</file>

<file path=xl/sharedStrings.xml><?xml version="1.0" encoding="utf-8"?>
<sst xmlns="http://schemas.openxmlformats.org/spreadsheetml/2006/main" count="11" uniqueCount="7">
  <si>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</si>
  <si>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</si>
  <si>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</si>
  <si>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</si>
  <si>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</si>
  <si>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节点1(伸长量)</t>
    <phoneticPr fontId="1" type="noConversion"/>
  </si>
  <si>
    <t>节点1(光照)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</si>
</sst>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9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AA4321"/>
  <sheetViews>
    <sheetView tabSelected="1" zoomScaleNormal="100" workbookViewId="0">
      <selection activeCell="W3997" sqref="W3997"/>
    </sheetView>
  </sheetViews>
  <sheetFormatPr defaultRowHeight="14.25" x14ac:dyDescent="0.2"/>
  <cols>
    <col min="1" max="1" width="9" style="1"/>
    <col min="2" max="6" width="9" style="2"/>
    <col min="7" max="11" width="9.375" style="6" bestFit="1" customWidth="1"/>
  </cols>
  <sheetData>
    <row r="1" spans="1:13" x14ac:dyDescent="0.2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6" t="s">
        <v>6</v>
      </c>
      <c r="H1" s="6" t="s">
        <v>1</v>
      </c>
      <c r="I1" s="6" t="s">
        <v>2</v>
      </c>
      <c r="J1" s="6" t="s">
        <v>3</v>
      </c>
      <c r="K1" s="6" t="s">
        <v>4</v>
      </c>
    </row>
    <row r="2" spans="1:13" x14ac:dyDescent="0.2">
      <c r="A2" s="3">
        <v>0</v>
      </c>
      <c r="B2" s="4">
        <v>6.19</v>
      </c>
      <c r="C2" s="4">
        <v>3.67</v>
      </c>
      <c r="D2" s="4">
        <v>5.09</v>
      </c>
      <c r="E2" s="4">
        <v>5.26</v>
      </c>
      <c r="F2" s="4">
        <v>3.09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 spans="1:13" x14ac:dyDescent="0.2">
      <c r="A3" s="1">
        <v>6.9444444444444447E-4</v>
      </c>
      <c r="B3" s="2">
        <v>6.3100000000000005</v>
      </c>
      <c r="C3" s="2">
        <v>3.67</v>
      </c>
      <c r="D3" s="2">
        <v>5.17</v>
      </c>
      <c r="E3" s="2">
        <f t="shared" ref="E3:E7" si="0">D3+0.16</f>
        <v>5.33</v>
      </c>
      <c r="F3" s="2">
        <v>3.33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M3" s="2"/>
    </row>
    <row r="4" spans="1:13" x14ac:dyDescent="0.2">
      <c r="A4" s="1">
        <v>1.38888888888889E-3</v>
      </c>
      <c r="B4" s="2">
        <v>6.15</v>
      </c>
      <c r="C4" s="2">
        <v>3.65</v>
      </c>
      <c r="D4" s="2">
        <v>5.45</v>
      </c>
      <c r="E4" s="2">
        <f t="shared" si="0"/>
        <v>5.61</v>
      </c>
      <c r="F4" s="2">
        <v>3.6100000000000003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M4" s="2"/>
    </row>
    <row r="5" spans="1:13" x14ac:dyDescent="0.2">
      <c r="A5" s="1">
        <v>2.0833333333333298E-3</v>
      </c>
      <c r="B5" s="2">
        <v>6.29</v>
      </c>
      <c r="C5" s="2">
        <v>3.55</v>
      </c>
      <c r="D5" s="2">
        <v>5.3</v>
      </c>
      <c r="E5" s="2">
        <f t="shared" si="0"/>
        <v>5.46</v>
      </c>
      <c r="F5" s="2">
        <v>3.46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M5" s="2"/>
    </row>
    <row r="6" spans="1:13" x14ac:dyDescent="0.2">
      <c r="A6" s="1">
        <v>2.7777777777777801E-3</v>
      </c>
      <c r="B6" s="2">
        <v>6.3000000000000007</v>
      </c>
      <c r="C6" s="2">
        <v>3.25</v>
      </c>
      <c r="D6" s="2">
        <v>5.36</v>
      </c>
      <c r="E6" s="2">
        <f t="shared" si="0"/>
        <v>5.5200000000000005</v>
      </c>
      <c r="F6" s="2">
        <v>3.5200000000000005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M6" s="2"/>
    </row>
    <row r="7" spans="1:13" x14ac:dyDescent="0.2">
      <c r="A7" s="1">
        <v>3.4722222222222199E-3</v>
      </c>
      <c r="B7" s="2">
        <v>6.12</v>
      </c>
      <c r="C7" s="2">
        <v>3.8</v>
      </c>
      <c r="D7" s="2">
        <v>5.0599999999999996</v>
      </c>
      <c r="E7" s="2">
        <f t="shared" si="0"/>
        <v>5.22</v>
      </c>
      <c r="F7" s="2">
        <v>3.2199999999999998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M7" s="2"/>
    </row>
    <row r="8" spans="1:13" x14ac:dyDescent="0.2">
      <c r="A8" s="1">
        <v>4.1666666666666701E-3</v>
      </c>
      <c r="B8" s="2">
        <v>6.1000000000000005</v>
      </c>
      <c r="C8" s="2">
        <v>3.75</v>
      </c>
      <c r="D8" s="2">
        <v>4.95</v>
      </c>
      <c r="E8" s="2">
        <v>5</v>
      </c>
      <c r="F8" s="2">
        <v>3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M8" s="2"/>
    </row>
    <row r="9" spans="1:13" x14ac:dyDescent="0.2">
      <c r="A9" s="1">
        <v>4.8611111111111103E-3</v>
      </c>
      <c r="B9" s="2">
        <v>6.15</v>
      </c>
      <c r="C9" s="2">
        <v>3.55</v>
      </c>
      <c r="D9" s="2">
        <v>4.99</v>
      </c>
      <c r="E9" s="2">
        <v>5.1100000000000003</v>
      </c>
      <c r="F9" s="2">
        <v>3.1100000000000003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M9" s="2"/>
    </row>
    <row r="10" spans="1:13" x14ac:dyDescent="0.2">
      <c r="A10" s="1">
        <v>5.5555555555555601E-3</v>
      </c>
      <c r="B10" s="2">
        <v>6.28</v>
      </c>
      <c r="C10" s="2">
        <v>3.5</v>
      </c>
      <c r="D10" s="2">
        <v>5.15</v>
      </c>
      <c r="E10" s="2">
        <v>5.59</v>
      </c>
      <c r="F10" s="2">
        <v>2.78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M10" s="2"/>
    </row>
    <row r="11" spans="1:13" x14ac:dyDescent="0.2">
      <c r="A11" s="1">
        <v>6.2500000000000003E-3</v>
      </c>
      <c r="B11" s="2">
        <v>6.2200000000000006</v>
      </c>
      <c r="C11" s="2">
        <v>3.4</v>
      </c>
      <c r="D11" s="2">
        <v>5.08</v>
      </c>
      <c r="E11" s="2">
        <f t="shared" ref="E11:E13" si="1">D11+0.16</f>
        <v>5.24</v>
      </c>
      <c r="F11" s="2">
        <v>3.24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M11" s="2"/>
    </row>
    <row r="12" spans="1:13" x14ac:dyDescent="0.2">
      <c r="A12" s="1">
        <v>6.9444444444444397E-3</v>
      </c>
      <c r="B12" s="2">
        <v>6.12</v>
      </c>
      <c r="C12" s="2">
        <v>3.7</v>
      </c>
      <c r="D12" s="2">
        <v>4.8499999999999996</v>
      </c>
      <c r="E12" s="2">
        <f t="shared" si="1"/>
        <v>5.01</v>
      </c>
      <c r="F12" s="2">
        <v>3.01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M12" s="2"/>
    </row>
    <row r="13" spans="1:13" x14ac:dyDescent="0.2">
      <c r="A13" s="1">
        <v>7.6388888888888904E-3</v>
      </c>
      <c r="B13" s="2">
        <v>6.08</v>
      </c>
      <c r="C13" s="2">
        <v>3.75</v>
      </c>
      <c r="D13" s="2">
        <v>4.88</v>
      </c>
      <c r="E13" s="2">
        <f t="shared" si="1"/>
        <v>5.04</v>
      </c>
      <c r="F13" s="2">
        <v>3.04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M13" s="2"/>
    </row>
    <row r="14" spans="1:13" x14ac:dyDescent="0.2">
      <c r="A14" s="1">
        <v>8.3333333333333297E-3</v>
      </c>
      <c r="B14" s="2">
        <v>6.09</v>
      </c>
      <c r="C14" s="2">
        <v>3.22</v>
      </c>
      <c r="D14" s="2">
        <v>5.0599999999999996</v>
      </c>
      <c r="E14" s="2">
        <v>5.59</v>
      </c>
      <c r="F14" s="2">
        <v>3.59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M14" s="2"/>
    </row>
    <row r="15" spans="1:13" x14ac:dyDescent="0.2">
      <c r="A15" s="1">
        <v>9.0277777777777804E-3</v>
      </c>
      <c r="B15" s="2">
        <v>6.13</v>
      </c>
      <c r="C15" s="2">
        <v>3.15</v>
      </c>
      <c r="D15" s="2">
        <v>5.0199999999999996</v>
      </c>
      <c r="E15" s="2">
        <f t="shared" ref="E15:E16" si="2">D15+0.16</f>
        <v>5.18</v>
      </c>
      <c r="F15" s="2">
        <v>3.1799999999999997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M15" s="2"/>
    </row>
    <row r="16" spans="1:13" x14ac:dyDescent="0.2">
      <c r="A16" s="1">
        <v>9.7222222222222206E-3</v>
      </c>
      <c r="B16" s="2">
        <v>6.17</v>
      </c>
      <c r="C16" s="2">
        <v>3.5</v>
      </c>
      <c r="D16" s="2">
        <v>4.79</v>
      </c>
      <c r="E16" s="2">
        <f t="shared" si="2"/>
        <v>4.95</v>
      </c>
      <c r="F16" s="2">
        <v>2.95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M16" s="2"/>
    </row>
    <row r="17" spans="1:13" x14ac:dyDescent="0.2">
      <c r="A17" s="1">
        <v>1.0416666666666701E-2</v>
      </c>
      <c r="B17" s="2">
        <v>6.3100000000000005</v>
      </c>
      <c r="C17" s="2">
        <v>3.82</v>
      </c>
      <c r="D17" s="2">
        <v>5.46</v>
      </c>
      <c r="E17" s="2">
        <v>4.88</v>
      </c>
      <c r="F17" s="2">
        <v>2.88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M17" s="2"/>
    </row>
    <row r="18" spans="1:13" x14ac:dyDescent="0.2">
      <c r="A18" s="1">
        <v>1.1111111111111099E-2</v>
      </c>
      <c r="B18" s="2">
        <v>6.2</v>
      </c>
      <c r="C18" s="2">
        <v>3.8</v>
      </c>
      <c r="D18" s="2">
        <v>4.96</v>
      </c>
      <c r="E18" s="2">
        <f t="shared" ref="E18:E19" si="3">D18+0.16</f>
        <v>5.12</v>
      </c>
      <c r="F18" s="2">
        <v>3.12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M18" s="2"/>
    </row>
    <row r="19" spans="1:13" x14ac:dyDescent="0.2">
      <c r="A19" s="1">
        <v>1.18055555555556E-2</v>
      </c>
      <c r="B19" s="2">
        <v>6.19</v>
      </c>
      <c r="C19" s="2">
        <v>3.75</v>
      </c>
      <c r="D19" s="2">
        <v>4.79</v>
      </c>
      <c r="E19" s="2">
        <f t="shared" si="3"/>
        <v>4.95</v>
      </c>
      <c r="F19" s="2">
        <v>2.95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M19" s="2"/>
    </row>
    <row r="20" spans="1:13" x14ac:dyDescent="0.2">
      <c r="A20" s="1">
        <v>1.2500000000000001E-2</v>
      </c>
      <c r="B20" s="2">
        <v>6.08</v>
      </c>
      <c r="C20" s="2">
        <v>3.67</v>
      </c>
      <c r="D20" s="2">
        <v>4.75</v>
      </c>
      <c r="E20" s="2">
        <v>5.6</v>
      </c>
      <c r="F20" s="2">
        <v>3.5999999999999996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M20" s="2"/>
    </row>
    <row r="21" spans="1:13" x14ac:dyDescent="0.2">
      <c r="A21" s="1">
        <v>1.3194444444444399E-2</v>
      </c>
      <c r="B21" s="2">
        <v>6.17</v>
      </c>
      <c r="C21" s="2">
        <v>3.59</v>
      </c>
      <c r="D21" s="2">
        <v>4.8899999999999997</v>
      </c>
      <c r="E21" s="2">
        <v>4.99</v>
      </c>
      <c r="F21" s="2">
        <v>2.99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M21" s="2"/>
    </row>
    <row r="22" spans="1:13" x14ac:dyDescent="0.2">
      <c r="A22" s="1">
        <v>1.38888888888889E-2</v>
      </c>
      <c r="B22" s="2">
        <v>6.2700000000000005</v>
      </c>
      <c r="C22" s="2">
        <v>3.66</v>
      </c>
      <c r="D22" s="2">
        <v>5.09</v>
      </c>
      <c r="E22" s="2">
        <v>5.0199999999999996</v>
      </c>
      <c r="F22" s="2">
        <v>3.0199999999999996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M22" s="2"/>
    </row>
    <row r="23" spans="1:13" x14ac:dyDescent="0.2">
      <c r="A23" s="1">
        <v>1.4583333333333301E-2</v>
      </c>
      <c r="B23" s="2">
        <v>6.2600000000000007</v>
      </c>
      <c r="C23" s="2">
        <v>3.64</v>
      </c>
      <c r="D23" s="2">
        <v>5.05</v>
      </c>
      <c r="E23" s="2">
        <f t="shared" ref="E23:E24" si="4">D23+0.16</f>
        <v>5.21</v>
      </c>
      <c r="F23" s="2">
        <v>3.21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M23" s="2"/>
    </row>
    <row r="24" spans="1:13" x14ac:dyDescent="0.2">
      <c r="A24" s="1">
        <v>1.52777777777778E-2</v>
      </c>
      <c r="B24" s="2">
        <v>6.15</v>
      </c>
      <c r="C24" s="2">
        <v>3.65</v>
      </c>
      <c r="D24" s="2">
        <v>5.18</v>
      </c>
      <c r="E24" s="2">
        <f t="shared" si="4"/>
        <v>5.34</v>
      </c>
      <c r="F24" s="2">
        <v>2.95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M24" s="2"/>
    </row>
    <row r="25" spans="1:13" x14ac:dyDescent="0.2">
      <c r="A25" s="1">
        <v>1.59722222222222E-2</v>
      </c>
      <c r="B25" s="2">
        <v>6.28</v>
      </c>
      <c r="C25" s="2">
        <v>3.84</v>
      </c>
      <c r="D25" s="2">
        <v>5.24</v>
      </c>
      <c r="E25" s="2">
        <v>5.22</v>
      </c>
      <c r="F25" s="2">
        <v>3.2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M25" s="2"/>
    </row>
    <row r="26" spans="1:13" x14ac:dyDescent="0.2">
      <c r="A26" s="1">
        <v>1.6666666666666701E-2</v>
      </c>
      <c r="B26" s="2">
        <v>6.15</v>
      </c>
      <c r="C26" s="2">
        <v>3.45</v>
      </c>
      <c r="D26" s="2">
        <v>4.97</v>
      </c>
      <c r="E26" s="2">
        <v>5.46</v>
      </c>
      <c r="F26" s="2">
        <v>3.46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M26" s="2"/>
    </row>
    <row r="27" spans="1:13" x14ac:dyDescent="0.2">
      <c r="A27" s="1">
        <v>1.7361111111111101E-2</v>
      </c>
      <c r="B27" s="2">
        <v>6.3000000000000007</v>
      </c>
      <c r="C27" s="2">
        <v>3.88</v>
      </c>
      <c r="D27" s="2">
        <v>5.16</v>
      </c>
      <c r="E27" s="2">
        <v>5.45</v>
      </c>
      <c r="F27" s="2">
        <v>3.45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M27" s="2"/>
    </row>
    <row r="28" spans="1:13" x14ac:dyDescent="0.2">
      <c r="A28" s="1">
        <v>1.8055555555555599E-2</v>
      </c>
      <c r="B28" s="2">
        <v>6.19</v>
      </c>
      <c r="C28" s="2">
        <v>3.56</v>
      </c>
      <c r="D28" s="2">
        <v>5.22</v>
      </c>
      <c r="E28" s="2">
        <v>5.15</v>
      </c>
      <c r="F28" s="2">
        <v>3.1500000000000004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M28" s="2"/>
    </row>
    <row r="29" spans="1:13" x14ac:dyDescent="0.2">
      <c r="A29" s="1">
        <v>1.8749999999999999E-2</v>
      </c>
      <c r="B29" s="2">
        <v>6.25</v>
      </c>
      <c r="C29" s="2">
        <v>3.66</v>
      </c>
      <c r="D29" s="2">
        <v>4.87</v>
      </c>
      <c r="E29" s="2">
        <v>5.29</v>
      </c>
      <c r="F29" s="2">
        <v>3.05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M29" s="2"/>
    </row>
    <row r="30" spans="1:13" x14ac:dyDescent="0.2">
      <c r="A30" s="1">
        <v>1.94444444444444E-2</v>
      </c>
      <c r="B30" s="2">
        <v>6.29</v>
      </c>
      <c r="C30" s="2">
        <v>3.76</v>
      </c>
      <c r="D30" s="2">
        <v>4.79</v>
      </c>
      <c r="E30" s="2">
        <v>5.27</v>
      </c>
      <c r="F30" s="2">
        <v>2.94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M30" s="2"/>
    </row>
    <row r="31" spans="1:13" x14ac:dyDescent="0.2">
      <c r="A31" s="1">
        <v>2.0138888888888901E-2</v>
      </c>
      <c r="B31" s="2">
        <v>6.08</v>
      </c>
      <c r="C31" s="2">
        <v>3.77</v>
      </c>
      <c r="D31" s="2">
        <v>5</v>
      </c>
      <c r="E31" s="2">
        <v>5.39</v>
      </c>
      <c r="F31" s="2">
        <v>3.3899999999999997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M31" s="2"/>
    </row>
    <row r="32" spans="1:13" x14ac:dyDescent="0.2">
      <c r="A32" s="1">
        <v>2.0833333333333301E-2</v>
      </c>
      <c r="B32" s="2">
        <v>6.3000000000000007</v>
      </c>
      <c r="C32" s="2">
        <v>3.75</v>
      </c>
      <c r="D32" s="2">
        <v>5.01</v>
      </c>
      <c r="E32" s="2">
        <v>5.26</v>
      </c>
      <c r="F32" s="2">
        <v>3.26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M32" s="2"/>
    </row>
    <row r="33" spans="1:13" x14ac:dyDescent="0.2">
      <c r="A33" s="1">
        <v>2.1527777777777798E-2</v>
      </c>
      <c r="B33" s="2">
        <v>6.2200000000000006</v>
      </c>
      <c r="C33" s="2">
        <v>3.74</v>
      </c>
      <c r="D33" s="2">
        <v>5.0999999999999996</v>
      </c>
      <c r="E33" s="2">
        <v>5.47</v>
      </c>
      <c r="F33" s="2">
        <v>3.4699999999999998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M33" s="2"/>
    </row>
    <row r="34" spans="1:13" x14ac:dyDescent="0.2">
      <c r="A34" s="1">
        <v>2.2222222222222199E-2</v>
      </c>
      <c r="B34" s="2">
        <v>6.07</v>
      </c>
      <c r="C34" s="2">
        <v>3.59</v>
      </c>
      <c r="D34" s="2">
        <v>5.18</v>
      </c>
      <c r="E34" s="2">
        <v>5.55</v>
      </c>
      <c r="F34" s="2">
        <v>2.88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M34" s="2"/>
    </row>
    <row r="35" spans="1:13" x14ac:dyDescent="0.2">
      <c r="A35" s="1">
        <v>2.29166666666667E-2</v>
      </c>
      <c r="B35" s="2">
        <v>6.1000000000000005</v>
      </c>
      <c r="C35" s="2">
        <v>3.54</v>
      </c>
      <c r="D35" s="2">
        <v>5.22</v>
      </c>
      <c r="E35" s="2">
        <v>5.35</v>
      </c>
      <c r="F35" s="2">
        <v>3.09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M35" s="2"/>
    </row>
    <row r="36" spans="1:13" x14ac:dyDescent="0.2">
      <c r="A36" s="1">
        <v>2.36111111111111E-2</v>
      </c>
      <c r="B36" s="2">
        <v>6.3100000000000005</v>
      </c>
      <c r="C36" s="2">
        <v>3.66</v>
      </c>
      <c r="D36" s="2">
        <v>4.93</v>
      </c>
      <c r="E36" s="2">
        <v>5.34</v>
      </c>
      <c r="F36" s="2">
        <v>316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M36" s="2"/>
    </row>
    <row r="37" spans="1:13" x14ac:dyDescent="0.2">
      <c r="A37" s="1">
        <v>2.4305555555555601E-2</v>
      </c>
      <c r="B37" s="2">
        <v>6.3100000000000005</v>
      </c>
      <c r="C37" s="2">
        <v>3.61</v>
      </c>
      <c r="D37" s="2">
        <v>4.79</v>
      </c>
      <c r="E37" s="2">
        <v>5.37</v>
      </c>
      <c r="F37" s="2">
        <v>3.13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M37" s="2"/>
    </row>
    <row r="38" spans="1:13" x14ac:dyDescent="0.2">
      <c r="A38" s="1">
        <v>2.5000000000000001E-2</v>
      </c>
      <c r="B38" s="2">
        <v>6.3100000000000005</v>
      </c>
      <c r="C38" s="2">
        <v>3.67</v>
      </c>
      <c r="D38" s="2">
        <v>5.08</v>
      </c>
      <c r="E38" s="2">
        <v>4.99</v>
      </c>
      <c r="F38" s="2">
        <v>3.15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M38" s="2"/>
    </row>
    <row r="39" spans="1:13" x14ac:dyDescent="0.2">
      <c r="A39" s="1">
        <v>2.5694444444444402E-2</v>
      </c>
      <c r="B39" s="2">
        <v>6.1000000000000005</v>
      </c>
      <c r="C39" s="2">
        <v>3.55</v>
      </c>
      <c r="D39" s="2">
        <v>5.05</v>
      </c>
      <c r="E39" s="2">
        <v>5.22</v>
      </c>
      <c r="F39" s="2">
        <v>3.26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M39" s="2"/>
    </row>
    <row r="40" spans="1:13" x14ac:dyDescent="0.2">
      <c r="A40" s="1">
        <v>2.6388888888888899E-2</v>
      </c>
      <c r="B40" s="2">
        <v>6.1400000000000006</v>
      </c>
      <c r="C40" s="2">
        <v>3.52</v>
      </c>
      <c r="D40" s="2">
        <v>4.79</v>
      </c>
      <c r="E40" s="2">
        <v>5.36</v>
      </c>
      <c r="F40" s="2">
        <v>3.38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M40" s="2"/>
    </row>
    <row r="41" spans="1:13" x14ac:dyDescent="0.2">
      <c r="A41" s="1">
        <v>2.70833333333333E-2</v>
      </c>
      <c r="B41" s="2">
        <v>6.13</v>
      </c>
      <c r="C41" s="2">
        <v>3.64</v>
      </c>
      <c r="D41" s="2">
        <v>4.96</v>
      </c>
      <c r="E41" s="2">
        <v>5.64</v>
      </c>
      <c r="F41" s="2">
        <v>3.24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</row>
    <row r="42" spans="1:13" x14ac:dyDescent="0.2">
      <c r="A42" s="1">
        <v>2.7777777777777801E-2</v>
      </c>
      <c r="B42" s="2">
        <v>6.11</v>
      </c>
      <c r="C42" s="2">
        <v>3.74</v>
      </c>
      <c r="D42" s="2">
        <v>5.16</v>
      </c>
      <c r="E42" s="2">
        <v>5.55</v>
      </c>
      <c r="F42" s="2">
        <v>2.88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</row>
    <row r="43" spans="1:13" x14ac:dyDescent="0.2">
      <c r="A43" s="1">
        <v>2.8472222222222201E-2</v>
      </c>
      <c r="B43" s="2">
        <v>6.1000000000000005</v>
      </c>
      <c r="C43" s="2">
        <v>3.94</v>
      </c>
      <c r="D43" s="2">
        <v>5.19</v>
      </c>
      <c r="E43" s="2">
        <v>5.15</v>
      </c>
      <c r="F43" s="2">
        <v>2.98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3" x14ac:dyDescent="0.2">
      <c r="A44" s="1">
        <v>2.9166666666666698E-2</v>
      </c>
      <c r="B44" s="2">
        <v>6.17</v>
      </c>
      <c r="C44" s="2">
        <v>3.78</v>
      </c>
      <c r="D44" s="2">
        <v>4.96</v>
      </c>
      <c r="E44" s="2">
        <v>5.29</v>
      </c>
      <c r="F44" s="2">
        <v>3.05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3" x14ac:dyDescent="0.2">
      <c r="A45" s="1">
        <v>2.9861111111111099E-2</v>
      </c>
      <c r="B45" s="2">
        <v>6.24</v>
      </c>
      <c r="C45" s="2">
        <v>3.84</v>
      </c>
      <c r="D45" s="2">
        <v>5.35</v>
      </c>
      <c r="E45" s="2">
        <v>5.33</v>
      </c>
      <c r="F45" s="2">
        <v>3.22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3" x14ac:dyDescent="0.2">
      <c r="A46" s="1">
        <v>3.05555555555556E-2</v>
      </c>
      <c r="B46" s="2">
        <v>6.24</v>
      </c>
      <c r="C46" s="2">
        <v>3.38</v>
      </c>
      <c r="D46" s="2">
        <v>4.84</v>
      </c>
      <c r="E46" s="2">
        <v>5.45</v>
      </c>
      <c r="F46" s="2">
        <v>3.24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3" x14ac:dyDescent="0.2">
      <c r="A47" s="1">
        <v>3.125E-2</v>
      </c>
      <c r="B47" s="2">
        <v>6.1800000000000006</v>
      </c>
      <c r="C47" s="2">
        <v>3.54</v>
      </c>
      <c r="D47" s="2">
        <v>4.99</v>
      </c>
      <c r="E47" s="2">
        <v>5.12</v>
      </c>
      <c r="F47" s="2">
        <v>3.08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3" x14ac:dyDescent="0.2">
      <c r="A48" s="1">
        <v>3.19444444444444E-2</v>
      </c>
      <c r="B48" s="2">
        <v>6.16</v>
      </c>
      <c r="C48" s="2">
        <v>3.59</v>
      </c>
      <c r="D48" s="2">
        <v>5.16</v>
      </c>
      <c r="E48" s="2">
        <v>5.1100000000000003</v>
      </c>
      <c r="F48" s="2">
        <v>3.07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x14ac:dyDescent="0.2">
      <c r="A49" s="1">
        <v>3.2638888888888898E-2</v>
      </c>
      <c r="B49" s="2">
        <v>6.23</v>
      </c>
      <c r="C49" s="2">
        <v>3.64</v>
      </c>
      <c r="D49" s="2">
        <v>5.25</v>
      </c>
      <c r="E49" s="2">
        <v>5.09</v>
      </c>
      <c r="F49" s="2">
        <v>2.84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 x14ac:dyDescent="0.2">
      <c r="A50" s="1">
        <v>3.3333333333333298E-2</v>
      </c>
      <c r="B50" s="2">
        <v>6.2200000000000006</v>
      </c>
      <c r="C50" s="2">
        <v>3.81</v>
      </c>
      <c r="D50" s="2">
        <v>5.04</v>
      </c>
      <c r="E50" s="2">
        <v>5.6</v>
      </c>
      <c r="F50" s="2">
        <v>3.09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 x14ac:dyDescent="0.2">
      <c r="A51" s="1">
        <v>3.4027777777777803E-2</v>
      </c>
      <c r="B51" s="2">
        <v>6.25</v>
      </c>
      <c r="C51" s="2">
        <v>3.77</v>
      </c>
      <c r="D51" s="2">
        <v>5.24</v>
      </c>
      <c r="E51" s="2">
        <v>5.22</v>
      </c>
      <c r="F51" s="2">
        <v>3.33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 x14ac:dyDescent="0.2">
      <c r="A52" s="1">
        <v>3.4722222222222203E-2</v>
      </c>
      <c r="B52" s="2">
        <v>6.28</v>
      </c>
      <c r="C52" s="2">
        <v>3.75</v>
      </c>
      <c r="D52" s="2">
        <v>4.87</v>
      </c>
      <c r="E52" s="2">
        <v>5.27</v>
      </c>
      <c r="F52" s="2">
        <v>3.14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 x14ac:dyDescent="0.2">
      <c r="A53" s="1">
        <v>3.54166666666667E-2</v>
      </c>
      <c r="B53" s="2">
        <v>6.2600000000000007</v>
      </c>
      <c r="C53" s="2">
        <v>3.42</v>
      </c>
      <c r="D53" s="2">
        <v>4.88</v>
      </c>
      <c r="E53" s="2">
        <v>5.28</v>
      </c>
      <c r="F53" s="2">
        <v>3.15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 x14ac:dyDescent="0.2">
      <c r="A54" s="1">
        <v>3.6111111111111101E-2</v>
      </c>
      <c r="B54" s="2">
        <v>6.1400000000000006</v>
      </c>
      <c r="C54" s="2">
        <v>3.19</v>
      </c>
      <c r="D54" s="2">
        <v>5.0599999999999996</v>
      </c>
      <c r="E54" s="2">
        <v>5.46</v>
      </c>
      <c r="F54" s="2">
        <v>3.28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 x14ac:dyDescent="0.2">
      <c r="A55" s="1">
        <v>3.6805555555555598E-2</v>
      </c>
      <c r="B55" s="2">
        <v>6.2700000000000005</v>
      </c>
      <c r="C55" s="2">
        <v>3.84</v>
      </c>
      <c r="D55" s="2">
        <v>4.97</v>
      </c>
      <c r="E55" s="2">
        <v>5.5</v>
      </c>
      <c r="F55" s="2">
        <v>3.18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 x14ac:dyDescent="0.2">
      <c r="A56" s="1">
        <v>3.7499999999999999E-2</v>
      </c>
      <c r="B56" s="2">
        <v>6.12</v>
      </c>
      <c r="C56" s="2">
        <v>3.83</v>
      </c>
      <c r="D56" s="2">
        <v>4.91</v>
      </c>
      <c r="E56" s="2">
        <v>5.27</v>
      </c>
      <c r="F56" s="2">
        <v>3.75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 x14ac:dyDescent="0.2">
      <c r="A57" s="1">
        <v>3.8194444444444399E-2</v>
      </c>
      <c r="B57" s="2">
        <v>6.07</v>
      </c>
      <c r="C57" s="2">
        <v>3.46</v>
      </c>
      <c r="D57" s="2">
        <v>5.3</v>
      </c>
      <c r="E57" s="2">
        <v>5.29</v>
      </c>
      <c r="F57" s="2">
        <v>3.29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</row>
    <row r="58" spans="1:11" x14ac:dyDescent="0.2">
      <c r="A58" s="1">
        <v>3.8888888888888903E-2</v>
      </c>
      <c r="B58" s="2">
        <v>6.33</v>
      </c>
      <c r="C58" s="2">
        <v>3.59</v>
      </c>
      <c r="D58" s="2">
        <v>5.24</v>
      </c>
      <c r="E58" s="2">
        <v>5.13</v>
      </c>
      <c r="F58" s="2">
        <v>3.17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 x14ac:dyDescent="0.2">
      <c r="A59" s="1">
        <v>3.9583333333333297E-2</v>
      </c>
      <c r="B59" s="2">
        <v>6.12</v>
      </c>
      <c r="C59" s="2">
        <v>3.68</v>
      </c>
      <c r="D59" s="2">
        <v>4.8099999999999996</v>
      </c>
      <c r="E59" s="2">
        <v>5.08</v>
      </c>
      <c r="F59" s="2">
        <v>3.19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 x14ac:dyDescent="0.2">
      <c r="A60" s="1">
        <v>4.0277777777777801E-2</v>
      </c>
      <c r="B60" s="2">
        <v>6.2</v>
      </c>
      <c r="C60" s="2">
        <v>3.66</v>
      </c>
      <c r="D60" s="2">
        <v>5.28</v>
      </c>
      <c r="E60" s="2">
        <v>5</v>
      </c>
      <c r="F60" s="2">
        <v>3.18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2">
      <c r="A61" s="1">
        <v>4.0972222222222202E-2</v>
      </c>
      <c r="B61" s="2">
        <v>6.1800000000000006</v>
      </c>
      <c r="C61" s="2">
        <v>3.79</v>
      </c>
      <c r="D61" s="2">
        <v>5.09</v>
      </c>
      <c r="E61" s="2">
        <v>5.22</v>
      </c>
      <c r="F61" s="2">
        <v>3.28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 x14ac:dyDescent="0.2">
      <c r="A62" s="3">
        <v>4.1666666666666699E-2</v>
      </c>
      <c r="B62" s="4">
        <v>6.19</v>
      </c>
      <c r="C62" s="4">
        <v>3.67</v>
      </c>
      <c r="D62" s="4">
        <v>5.09</v>
      </c>
      <c r="E62" s="4">
        <v>5.26</v>
      </c>
      <c r="F62" s="4">
        <v>3.09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 x14ac:dyDescent="0.2">
      <c r="A63" s="1">
        <v>4.2361111111111099E-2</v>
      </c>
      <c r="B63" s="2">
        <v>6.25</v>
      </c>
      <c r="C63" s="2">
        <v>3.77</v>
      </c>
      <c r="D63" s="2">
        <v>4.99</v>
      </c>
      <c r="E63" s="2">
        <v>5.46</v>
      </c>
      <c r="F63" s="5">
        <v>3.29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4" spans="1:11" x14ac:dyDescent="0.2">
      <c r="A64" s="1">
        <v>4.3055555555555597E-2</v>
      </c>
      <c r="B64" s="2">
        <v>6.2</v>
      </c>
      <c r="C64" s="2">
        <v>3.66</v>
      </c>
      <c r="D64" s="2">
        <v>5.04</v>
      </c>
      <c r="E64" s="2">
        <v>5.08</v>
      </c>
      <c r="F64" s="2">
        <v>3.35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</row>
    <row r="65" spans="1:11" x14ac:dyDescent="0.2">
      <c r="A65" s="1">
        <v>4.3749999999999997E-2</v>
      </c>
      <c r="B65" s="2">
        <v>6.2600000000000007</v>
      </c>
      <c r="C65" s="2">
        <v>3.56</v>
      </c>
      <c r="D65" s="2">
        <v>4.95</v>
      </c>
      <c r="E65" s="2">
        <v>5.25</v>
      </c>
      <c r="F65" s="2">
        <v>2.91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</row>
    <row r="66" spans="1:11" x14ac:dyDescent="0.2">
      <c r="A66" s="1">
        <v>4.4444444444444398E-2</v>
      </c>
      <c r="B66" s="2">
        <v>6.1400000000000006</v>
      </c>
      <c r="C66" s="2">
        <v>3.45</v>
      </c>
      <c r="D66" s="2">
        <v>4.92</v>
      </c>
      <c r="E66" s="2">
        <v>5.09</v>
      </c>
      <c r="F66" s="2">
        <v>3.3000000000000003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</row>
    <row r="67" spans="1:11" x14ac:dyDescent="0.2">
      <c r="A67" s="1">
        <v>4.5138888888888902E-2</v>
      </c>
      <c r="B67" s="2">
        <v>6.17</v>
      </c>
      <c r="C67" s="2">
        <v>3.68</v>
      </c>
      <c r="D67" s="2">
        <v>4.9000000000000004</v>
      </c>
      <c r="E67" s="2">
        <v>5.0500000000000007</v>
      </c>
      <c r="F67" s="2">
        <v>3.33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spans="1:11" x14ac:dyDescent="0.2">
      <c r="A68" s="1">
        <v>4.5833333333333302E-2</v>
      </c>
      <c r="B68" s="2">
        <v>6.2</v>
      </c>
      <c r="C68" s="2">
        <v>3.82</v>
      </c>
      <c r="D68" s="2">
        <v>5.21</v>
      </c>
      <c r="E68" s="2">
        <v>5.25</v>
      </c>
      <c r="F68" s="2">
        <v>2.91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</row>
    <row r="69" spans="1:11" x14ac:dyDescent="0.2">
      <c r="A69" s="1">
        <v>4.65277777777778E-2</v>
      </c>
      <c r="B69" s="2">
        <v>6.2600000000000007</v>
      </c>
      <c r="C69" s="2">
        <v>3.64</v>
      </c>
      <c r="D69" s="2">
        <v>4.88</v>
      </c>
      <c r="E69" s="2">
        <v>5.2700000000000005</v>
      </c>
      <c r="F69" s="2">
        <v>3.21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</row>
    <row r="70" spans="1:11" x14ac:dyDescent="0.2">
      <c r="A70" s="1">
        <v>4.72222222222222E-2</v>
      </c>
      <c r="B70" s="2">
        <v>6.23</v>
      </c>
      <c r="C70" s="2">
        <v>3.64</v>
      </c>
      <c r="D70" s="2">
        <v>5.22</v>
      </c>
      <c r="E70" s="2">
        <v>5.09</v>
      </c>
      <c r="F70" s="2">
        <v>2.89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</row>
    <row r="71" spans="1:11" x14ac:dyDescent="0.2">
      <c r="A71" s="1">
        <v>4.7916666666666698E-2</v>
      </c>
      <c r="B71" s="2">
        <v>6.21</v>
      </c>
      <c r="C71" s="2">
        <v>3.69</v>
      </c>
      <c r="D71" s="2">
        <v>5.0199999999999996</v>
      </c>
      <c r="E71" s="2">
        <v>5</v>
      </c>
      <c r="F71" s="2">
        <v>3.14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</row>
    <row r="72" spans="1:11" x14ac:dyDescent="0.2">
      <c r="A72" s="1">
        <v>4.8611111111111098E-2</v>
      </c>
      <c r="B72" s="2">
        <v>6.23</v>
      </c>
      <c r="C72" s="2">
        <v>3.77</v>
      </c>
      <c r="D72" s="2">
        <v>5.09</v>
      </c>
      <c r="E72" s="2">
        <v>4.9300000000000006</v>
      </c>
      <c r="F72" s="2">
        <v>3.0700000000000003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1:11" x14ac:dyDescent="0.2">
      <c r="A73" s="1">
        <v>4.9305555555555602E-2</v>
      </c>
      <c r="B73" s="2">
        <v>6.2600000000000007</v>
      </c>
      <c r="C73" s="2">
        <v>3.79</v>
      </c>
      <c r="D73" s="2">
        <v>4.96</v>
      </c>
      <c r="E73" s="2">
        <v>4.82</v>
      </c>
      <c r="F73" s="2">
        <v>3.1100000000000003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spans="1:11" x14ac:dyDescent="0.2">
      <c r="A74" s="1">
        <v>0.05</v>
      </c>
      <c r="B74" s="2">
        <v>6.24</v>
      </c>
      <c r="C74" s="2">
        <v>3.78</v>
      </c>
      <c r="D74" s="2">
        <v>5.09</v>
      </c>
      <c r="E74" s="2">
        <v>5</v>
      </c>
      <c r="F74" s="2">
        <v>3.2800000000000002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</row>
    <row r="75" spans="1:11" x14ac:dyDescent="0.2">
      <c r="A75" s="1">
        <v>5.0694444444444403E-2</v>
      </c>
      <c r="B75" s="2">
        <v>6.25</v>
      </c>
      <c r="C75" s="2">
        <v>3.86</v>
      </c>
      <c r="D75" s="2">
        <v>5.12</v>
      </c>
      <c r="E75" s="2">
        <v>5.4300000000000006</v>
      </c>
      <c r="F75" s="2">
        <v>2.89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</row>
    <row r="76" spans="1:11" x14ac:dyDescent="0.2">
      <c r="A76" s="1">
        <v>5.1388888888888901E-2</v>
      </c>
      <c r="B76" s="2">
        <v>6.3000000000000007</v>
      </c>
      <c r="C76" s="2">
        <v>3.64</v>
      </c>
      <c r="D76" s="2">
        <v>5.14</v>
      </c>
      <c r="E76" s="2">
        <v>5.5100000000000007</v>
      </c>
      <c r="F76" s="2">
        <v>3.31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x14ac:dyDescent="0.2">
      <c r="A77" s="1">
        <v>5.2083333333333301E-2</v>
      </c>
      <c r="B77" s="2">
        <v>6.1000000000000005</v>
      </c>
      <c r="C77" s="2">
        <v>3.66</v>
      </c>
      <c r="D77" s="2">
        <v>5.17</v>
      </c>
      <c r="E77" s="2">
        <v>4.8900000000000006</v>
      </c>
      <c r="F77" s="2">
        <v>2.97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1:11" x14ac:dyDescent="0.2">
      <c r="A78" s="1">
        <v>5.2777777777777798E-2</v>
      </c>
      <c r="B78" s="2">
        <v>6.13</v>
      </c>
      <c r="C78" s="2">
        <v>3.79</v>
      </c>
      <c r="D78" s="2">
        <v>4.9400000000000004</v>
      </c>
      <c r="E78" s="2">
        <v>5.33</v>
      </c>
      <c r="F78" s="2">
        <v>3.16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 x14ac:dyDescent="0.2">
      <c r="A79" s="1">
        <v>5.3472222222222199E-2</v>
      </c>
      <c r="B79" s="2">
        <v>6.29</v>
      </c>
      <c r="C79" s="2">
        <v>3.94</v>
      </c>
      <c r="D79" s="2">
        <v>5.0199999999999996</v>
      </c>
      <c r="E79" s="2">
        <v>5.19</v>
      </c>
      <c r="F79" s="2">
        <v>2.96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</row>
    <row r="80" spans="1:11" x14ac:dyDescent="0.2">
      <c r="A80" s="1">
        <v>5.4166666666666703E-2</v>
      </c>
      <c r="B80" s="2">
        <v>6.28</v>
      </c>
      <c r="C80" s="2">
        <v>3.85</v>
      </c>
      <c r="D80" s="2">
        <v>5.19</v>
      </c>
      <c r="E80" s="2">
        <v>4.8500000000000005</v>
      </c>
      <c r="F80" s="2">
        <v>3.09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 x14ac:dyDescent="0.2">
      <c r="A81" s="1">
        <v>5.4861111111111097E-2</v>
      </c>
      <c r="B81" s="2">
        <v>6.2200000000000006</v>
      </c>
      <c r="C81" s="2">
        <v>366</v>
      </c>
      <c r="D81" s="2">
        <v>5</v>
      </c>
      <c r="E81" s="2">
        <v>5.45</v>
      </c>
      <c r="F81" s="2">
        <v>3.2800000000000002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</row>
    <row r="82" spans="1:11" x14ac:dyDescent="0.2">
      <c r="A82" s="1">
        <v>5.5555555555555601E-2</v>
      </c>
      <c r="B82" s="2">
        <v>6.17</v>
      </c>
      <c r="C82" s="2">
        <v>3.54</v>
      </c>
      <c r="D82" s="2">
        <v>5.18</v>
      </c>
      <c r="E82" s="2">
        <v>5.28</v>
      </c>
      <c r="F82" s="2">
        <v>2.89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</row>
    <row r="83" spans="1:11" x14ac:dyDescent="0.2">
      <c r="A83" s="1">
        <v>5.6250000000000001E-2</v>
      </c>
      <c r="B83" s="2">
        <v>6.33</v>
      </c>
      <c r="C83" s="2">
        <v>3.53</v>
      </c>
      <c r="D83" s="2">
        <v>4.88</v>
      </c>
      <c r="E83" s="2">
        <v>4.96</v>
      </c>
      <c r="F83" s="2">
        <v>2.93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</row>
    <row r="84" spans="1:11" x14ac:dyDescent="0.2">
      <c r="A84" s="1">
        <v>5.6944444444444402E-2</v>
      </c>
      <c r="B84" s="2">
        <v>6.3100000000000005</v>
      </c>
      <c r="C84" s="2">
        <v>3.69</v>
      </c>
      <c r="D84" s="2">
        <v>4.79</v>
      </c>
      <c r="E84" s="2">
        <v>5.48</v>
      </c>
      <c r="F84" s="2">
        <v>3.16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 x14ac:dyDescent="0.2">
      <c r="A85" s="1">
        <v>5.7638888888888899E-2</v>
      </c>
      <c r="B85" s="2">
        <v>6.29</v>
      </c>
      <c r="C85" s="2">
        <v>3.92</v>
      </c>
      <c r="D85" s="2">
        <v>5.01</v>
      </c>
      <c r="E85" s="2">
        <v>5.37</v>
      </c>
      <c r="F85" s="2">
        <v>3.2600000000000002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</row>
    <row r="86" spans="1:11" x14ac:dyDescent="0.2">
      <c r="A86" s="1">
        <v>5.83333333333333E-2</v>
      </c>
      <c r="B86" s="2">
        <v>6.08</v>
      </c>
      <c r="C86" s="2">
        <v>3.87</v>
      </c>
      <c r="D86" s="2">
        <v>5.24</v>
      </c>
      <c r="E86" s="2">
        <v>5.25</v>
      </c>
      <c r="F86" s="2">
        <v>3.0500000000000003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 x14ac:dyDescent="0.2">
      <c r="A87" s="1">
        <v>5.9027777777777797E-2</v>
      </c>
      <c r="B87" s="2">
        <v>6.3100000000000005</v>
      </c>
      <c r="C87" s="2">
        <v>3.24</v>
      </c>
      <c r="D87" s="2">
        <v>4.96</v>
      </c>
      <c r="E87" s="2">
        <v>5.3500000000000005</v>
      </c>
      <c r="F87" s="2">
        <v>2.85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x14ac:dyDescent="0.2">
      <c r="A88" s="1">
        <v>5.9722222222222197E-2</v>
      </c>
      <c r="B88" s="2">
        <v>6.2</v>
      </c>
      <c r="C88" s="2">
        <v>3.39</v>
      </c>
      <c r="D88" s="2">
        <v>4.92</v>
      </c>
      <c r="E88" s="2">
        <v>5.0600000000000005</v>
      </c>
      <c r="F88" s="2">
        <v>2.86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</row>
    <row r="89" spans="1:11" x14ac:dyDescent="0.2">
      <c r="A89" s="1">
        <v>6.0416666666666702E-2</v>
      </c>
      <c r="B89" s="2">
        <v>6.17</v>
      </c>
      <c r="C89" s="2">
        <v>3.45</v>
      </c>
      <c r="D89" s="2">
        <v>5.0199999999999996</v>
      </c>
      <c r="E89" s="2">
        <v>5.3100000000000005</v>
      </c>
      <c r="F89" s="2">
        <v>3.2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 x14ac:dyDescent="0.2">
      <c r="A90" s="1">
        <v>6.1111111111111102E-2</v>
      </c>
      <c r="B90" s="2">
        <v>6.2600000000000007</v>
      </c>
      <c r="C90" s="2">
        <v>3.66</v>
      </c>
      <c r="D90" s="2">
        <v>5.19</v>
      </c>
      <c r="E90" s="2">
        <v>5.25</v>
      </c>
      <c r="F90" s="2">
        <v>3.04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</row>
    <row r="91" spans="1:11" x14ac:dyDescent="0.2">
      <c r="A91" s="1">
        <v>6.18055555555556E-2</v>
      </c>
      <c r="B91" s="2">
        <v>6.1000000000000005</v>
      </c>
      <c r="C91" s="2">
        <v>3.91</v>
      </c>
      <c r="D91" s="2">
        <v>5.09</v>
      </c>
      <c r="E91" s="2">
        <v>5.29</v>
      </c>
      <c r="F91" s="2">
        <v>3.0700000000000003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</row>
    <row r="92" spans="1:11" x14ac:dyDescent="0.2">
      <c r="A92" s="1">
        <v>6.25E-2</v>
      </c>
      <c r="B92" s="2">
        <v>6.19</v>
      </c>
      <c r="C92" s="2">
        <v>3.49</v>
      </c>
      <c r="D92" s="2">
        <v>4.91</v>
      </c>
      <c r="E92" s="2">
        <v>4.84</v>
      </c>
      <c r="F92" s="2">
        <v>3.34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</row>
    <row r="93" spans="1:11" x14ac:dyDescent="0.2">
      <c r="A93" s="1">
        <v>6.31944444444444E-2</v>
      </c>
      <c r="B93" s="2">
        <v>6.29</v>
      </c>
      <c r="C93" s="2">
        <v>3.56</v>
      </c>
      <c r="D93" s="2">
        <v>5.04</v>
      </c>
      <c r="E93" s="2">
        <v>5.13</v>
      </c>
      <c r="F93" s="2">
        <v>3.29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</row>
    <row r="94" spans="1:11" x14ac:dyDescent="0.2">
      <c r="A94" s="1">
        <v>6.3888888888888898E-2</v>
      </c>
      <c r="B94" s="2">
        <v>6.2700000000000005</v>
      </c>
      <c r="C94" s="2">
        <v>3.67</v>
      </c>
      <c r="D94" s="2">
        <v>4.9800000000000004</v>
      </c>
      <c r="E94" s="2">
        <v>4.91</v>
      </c>
      <c r="F94" s="2">
        <v>3.09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</row>
    <row r="95" spans="1:11" x14ac:dyDescent="0.2">
      <c r="A95" s="1">
        <v>6.4583333333333298E-2</v>
      </c>
      <c r="B95" s="2">
        <v>6.1400000000000006</v>
      </c>
      <c r="C95" s="2">
        <v>3.78</v>
      </c>
      <c r="D95" s="2">
        <v>5.0599999999999996</v>
      </c>
      <c r="E95" s="2">
        <v>4.88</v>
      </c>
      <c r="F95" s="2">
        <v>3.08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 x14ac:dyDescent="0.2">
      <c r="A96" s="1">
        <v>6.5277777777777796E-2</v>
      </c>
      <c r="B96" s="2">
        <v>6.2200000000000006</v>
      </c>
      <c r="C96" s="2">
        <v>3.74</v>
      </c>
      <c r="D96" s="2">
        <v>5.26</v>
      </c>
      <c r="E96" s="2">
        <v>5.5200000000000005</v>
      </c>
      <c r="F96" s="2">
        <v>2.92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</row>
    <row r="97" spans="1:11" x14ac:dyDescent="0.2">
      <c r="A97" s="1">
        <v>6.5972222222222196E-2</v>
      </c>
      <c r="B97" s="2">
        <v>6.09</v>
      </c>
      <c r="C97" s="2">
        <v>3.77</v>
      </c>
      <c r="D97" s="2">
        <v>4.9800000000000004</v>
      </c>
      <c r="E97" s="2">
        <v>4.95</v>
      </c>
      <c r="F97" s="2">
        <v>3.14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 x14ac:dyDescent="0.2">
      <c r="A98" s="1">
        <v>6.6666666666666693E-2</v>
      </c>
      <c r="B98" s="2">
        <v>6.17</v>
      </c>
      <c r="C98" s="2">
        <v>3.92</v>
      </c>
      <c r="D98" s="2">
        <v>4.87</v>
      </c>
      <c r="E98" s="2">
        <v>5.1000000000000005</v>
      </c>
      <c r="F98" s="2">
        <v>3.14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 x14ac:dyDescent="0.2">
      <c r="A99" s="1">
        <v>6.7361111111111094E-2</v>
      </c>
      <c r="B99" s="2">
        <v>6.19</v>
      </c>
      <c r="C99" s="2">
        <v>3.64</v>
      </c>
      <c r="D99" s="2">
        <v>5.13</v>
      </c>
      <c r="E99" s="2">
        <v>5.5</v>
      </c>
      <c r="F99" s="2">
        <v>3.24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 x14ac:dyDescent="0.2">
      <c r="A100" s="1">
        <v>6.8055555555555605E-2</v>
      </c>
      <c r="B100" s="2">
        <v>6.33</v>
      </c>
      <c r="C100" s="2">
        <v>3.69</v>
      </c>
      <c r="D100" s="2">
        <v>5.23</v>
      </c>
      <c r="E100" s="2">
        <v>5.3100000000000005</v>
      </c>
      <c r="F100" s="2">
        <v>3.2800000000000002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</row>
    <row r="101" spans="1:11" x14ac:dyDescent="0.2">
      <c r="A101" s="1">
        <v>6.8750000000000006E-2</v>
      </c>
      <c r="B101" s="2">
        <v>6.1000000000000005</v>
      </c>
      <c r="C101" s="2">
        <v>3.94</v>
      </c>
      <c r="D101" s="2">
        <v>4.95</v>
      </c>
      <c r="E101" s="2">
        <v>5.1100000000000003</v>
      </c>
      <c r="F101" s="2">
        <v>2.91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</row>
    <row r="102" spans="1:11" x14ac:dyDescent="0.2">
      <c r="A102" s="1">
        <v>6.9444444444444406E-2</v>
      </c>
      <c r="B102" s="2">
        <v>6.2600000000000007</v>
      </c>
      <c r="C102" s="2">
        <v>3.59</v>
      </c>
      <c r="D102" s="2">
        <v>4.99</v>
      </c>
      <c r="E102" s="2">
        <v>5.4300000000000006</v>
      </c>
      <c r="F102" s="2">
        <v>2.97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</row>
    <row r="103" spans="1:11" x14ac:dyDescent="0.2">
      <c r="A103" s="1">
        <v>7.0138888888888903E-2</v>
      </c>
      <c r="B103" s="2">
        <v>6.12</v>
      </c>
      <c r="C103" s="2">
        <v>3.52</v>
      </c>
      <c r="D103" s="2">
        <v>5.09</v>
      </c>
      <c r="E103" s="2">
        <v>5.12</v>
      </c>
      <c r="F103" s="2">
        <v>3.31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</row>
    <row r="104" spans="1:11" x14ac:dyDescent="0.2">
      <c r="A104" s="1">
        <v>7.0833333333333304E-2</v>
      </c>
      <c r="B104" s="2">
        <v>6.28</v>
      </c>
      <c r="C104" s="2">
        <v>3.56</v>
      </c>
      <c r="D104" s="2">
        <v>5.29</v>
      </c>
      <c r="E104" s="2">
        <v>5.5</v>
      </c>
      <c r="F104" s="2">
        <v>2.99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</row>
    <row r="105" spans="1:11" x14ac:dyDescent="0.2">
      <c r="A105" s="1">
        <v>7.1527777777777801E-2</v>
      </c>
      <c r="B105" s="2">
        <v>6.3100000000000005</v>
      </c>
      <c r="C105" s="2">
        <v>3.66</v>
      </c>
      <c r="D105" s="2">
        <v>5.22</v>
      </c>
      <c r="E105" s="2">
        <v>5.45</v>
      </c>
      <c r="F105" s="2">
        <v>3.1100000000000003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 x14ac:dyDescent="0.2">
      <c r="A106" s="1">
        <v>7.2222222222222202E-2</v>
      </c>
      <c r="B106" s="2">
        <v>6.09</v>
      </c>
      <c r="C106" s="2">
        <v>3.67</v>
      </c>
      <c r="D106" s="2">
        <v>4.99</v>
      </c>
      <c r="E106" s="2">
        <v>5.53</v>
      </c>
      <c r="F106" s="2">
        <v>2.94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</row>
    <row r="107" spans="1:11" x14ac:dyDescent="0.2">
      <c r="A107" s="1">
        <v>7.2916666666666699E-2</v>
      </c>
      <c r="B107" s="2">
        <v>6.1400000000000006</v>
      </c>
      <c r="C107" s="2">
        <v>3.68</v>
      </c>
      <c r="D107" s="2">
        <v>5.0599999999999996</v>
      </c>
      <c r="E107" s="2">
        <v>5.29</v>
      </c>
      <c r="F107" s="2">
        <v>2.86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1:11" x14ac:dyDescent="0.2">
      <c r="A108" s="1">
        <v>7.3611111111111099E-2</v>
      </c>
      <c r="B108" s="2">
        <v>6.1000000000000005</v>
      </c>
      <c r="C108" s="2">
        <v>3.66</v>
      </c>
      <c r="D108" s="2">
        <v>4.95</v>
      </c>
      <c r="E108" s="2">
        <v>5.2600000000000007</v>
      </c>
      <c r="F108" s="2">
        <v>2.83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</row>
    <row r="109" spans="1:11" x14ac:dyDescent="0.2">
      <c r="A109" s="1">
        <v>7.4305555555555597E-2</v>
      </c>
      <c r="B109" s="2">
        <v>6.16</v>
      </c>
      <c r="C109" s="2">
        <v>3.78</v>
      </c>
      <c r="D109" s="2">
        <v>5.05</v>
      </c>
      <c r="E109" s="2">
        <v>4.84</v>
      </c>
      <c r="F109" s="2">
        <v>2.86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 x14ac:dyDescent="0.2">
      <c r="A110" s="1">
        <v>7.4999999999999997E-2</v>
      </c>
      <c r="B110" s="2">
        <v>6.24</v>
      </c>
      <c r="C110" s="2">
        <v>3.79</v>
      </c>
      <c r="D110" s="2">
        <v>4.97</v>
      </c>
      <c r="E110" s="2">
        <v>5.03</v>
      </c>
      <c r="F110" s="2">
        <v>3.35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</row>
    <row r="111" spans="1:11" x14ac:dyDescent="0.2">
      <c r="A111" s="1">
        <v>7.5694444444444495E-2</v>
      </c>
      <c r="B111" s="2">
        <v>6.11</v>
      </c>
      <c r="C111" s="2">
        <v>3.77</v>
      </c>
      <c r="D111" s="2">
        <v>4.95</v>
      </c>
      <c r="E111" s="2">
        <v>5.32</v>
      </c>
      <c r="F111" s="2">
        <v>3.33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</row>
    <row r="112" spans="1:11" x14ac:dyDescent="0.2">
      <c r="A112" s="1">
        <v>7.6388888888888895E-2</v>
      </c>
      <c r="B112" s="2">
        <v>6.13</v>
      </c>
      <c r="C112" s="2">
        <v>3.74</v>
      </c>
      <c r="D112" s="2">
        <v>5.25</v>
      </c>
      <c r="E112" s="2">
        <v>5.42</v>
      </c>
      <c r="F112" s="2">
        <v>3.35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</row>
    <row r="113" spans="1:11" x14ac:dyDescent="0.2">
      <c r="A113" s="1">
        <v>7.7083333333333295E-2</v>
      </c>
      <c r="B113" s="2">
        <v>6.32</v>
      </c>
      <c r="C113" s="2">
        <v>3.75</v>
      </c>
      <c r="D113" s="2">
        <v>4.88</v>
      </c>
      <c r="E113" s="2">
        <v>5.21</v>
      </c>
      <c r="F113" s="2">
        <v>3.08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</row>
    <row r="114" spans="1:11" x14ac:dyDescent="0.2">
      <c r="A114" s="1">
        <v>7.7777777777777807E-2</v>
      </c>
      <c r="B114" s="2">
        <v>6.1000000000000005</v>
      </c>
      <c r="C114" s="2">
        <v>3.85</v>
      </c>
      <c r="D114" s="2">
        <v>4.78</v>
      </c>
      <c r="E114" s="2">
        <v>5.2200000000000006</v>
      </c>
      <c r="F114" s="2">
        <v>3.31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</row>
    <row r="115" spans="1:11" x14ac:dyDescent="0.2">
      <c r="A115" s="1">
        <v>7.8472222222222193E-2</v>
      </c>
      <c r="B115" s="2">
        <v>6.16</v>
      </c>
      <c r="C115" s="2">
        <v>3.86</v>
      </c>
      <c r="D115" s="2">
        <v>5.19</v>
      </c>
      <c r="E115" s="2">
        <v>5.36</v>
      </c>
      <c r="F115" s="2">
        <v>3.2800000000000002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</row>
    <row r="116" spans="1:11" x14ac:dyDescent="0.2">
      <c r="A116" s="1">
        <v>7.9166666666666705E-2</v>
      </c>
      <c r="B116" s="2">
        <v>6.1000000000000005</v>
      </c>
      <c r="C116" s="2">
        <v>3.48</v>
      </c>
      <c r="D116" s="2">
        <v>5.16</v>
      </c>
      <c r="E116" s="2">
        <v>5.08</v>
      </c>
      <c r="F116" s="2">
        <v>3.0300000000000002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</row>
    <row r="117" spans="1:11" x14ac:dyDescent="0.2">
      <c r="A117" s="1">
        <v>7.9861111111111105E-2</v>
      </c>
      <c r="B117" s="2">
        <v>6.12</v>
      </c>
      <c r="C117" s="2">
        <v>3.68</v>
      </c>
      <c r="D117" s="2">
        <v>4.97</v>
      </c>
      <c r="E117" s="2">
        <v>4.92</v>
      </c>
      <c r="F117" s="2">
        <v>2.93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</row>
    <row r="118" spans="1:11" x14ac:dyDescent="0.2">
      <c r="A118" s="1">
        <v>8.0555555555555602E-2</v>
      </c>
      <c r="B118" s="2">
        <v>6.33</v>
      </c>
      <c r="C118" s="2">
        <v>3.95</v>
      </c>
      <c r="D118" s="2">
        <v>4.92</v>
      </c>
      <c r="E118" s="2">
        <v>5.1000000000000005</v>
      </c>
      <c r="F118" s="2">
        <v>3.0100000000000002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</row>
    <row r="119" spans="1:11" x14ac:dyDescent="0.2">
      <c r="A119" s="1">
        <v>8.1250000000000003E-2</v>
      </c>
      <c r="B119" s="2">
        <v>6.15</v>
      </c>
      <c r="C119" s="2">
        <v>3.46</v>
      </c>
      <c r="D119" s="2">
        <v>5.26</v>
      </c>
      <c r="E119" s="2">
        <v>5.21</v>
      </c>
      <c r="F119" s="2">
        <v>2.89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 x14ac:dyDescent="0.2">
      <c r="A120" s="1">
        <v>8.1944444444444403E-2</v>
      </c>
      <c r="B120" s="2">
        <v>6.07</v>
      </c>
      <c r="C120" s="2">
        <v>3.27</v>
      </c>
      <c r="D120" s="2">
        <v>5.21</v>
      </c>
      <c r="E120" s="2">
        <v>5.0200000000000005</v>
      </c>
      <c r="F120" s="2">
        <v>2.96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</row>
    <row r="121" spans="1:11" x14ac:dyDescent="0.2">
      <c r="A121" s="1">
        <v>8.2638888888888901E-2</v>
      </c>
      <c r="B121" s="2">
        <v>6.23</v>
      </c>
      <c r="C121" s="2">
        <v>3.86</v>
      </c>
      <c r="D121" s="2">
        <v>4.92</v>
      </c>
      <c r="E121" s="2">
        <v>5.33</v>
      </c>
      <c r="F121" s="2">
        <v>3.2600000000000002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 x14ac:dyDescent="0.2">
      <c r="A122" s="3">
        <v>8.3333333333333301E-2</v>
      </c>
      <c r="B122" s="4">
        <v>6.19</v>
      </c>
      <c r="C122" s="4">
        <v>3.67</v>
      </c>
      <c r="D122" s="4">
        <v>5.09</v>
      </c>
      <c r="E122" s="4">
        <v>5.26</v>
      </c>
      <c r="F122" s="4">
        <v>3.09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 x14ac:dyDescent="0.2">
      <c r="A123" s="1">
        <v>8.4027777777777798E-2</v>
      </c>
      <c r="B123" s="2">
        <v>6.23</v>
      </c>
      <c r="C123" s="2">
        <v>3.45</v>
      </c>
      <c r="D123" s="2">
        <v>4.87</v>
      </c>
      <c r="E123" s="2">
        <v>4.84</v>
      </c>
      <c r="F123" s="2">
        <v>2.92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 x14ac:dyDescent="0.2">
      <c r="A124" s="1">
        <v>8.4722222222222199E-2</v>
      </c>
      <c r="B124" s="2">
        <v>6.11</v>
      </c>
      <c r="C124" s="2">
        <v>3.64</v>
      </c>
      <c r="D124" s="2">
        <v>5.0600000000000005</v>
      </c>
      <c r="E124" s="2">
        <v>4.9800000000000004</v>
      </c>
      <c r="F124" s="2">
        <v>3.19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</row>
    <row r="125" spans="1:11" x14ac:dyDescent="0.2">
      <c r="A125" s="1">
        <v>8.5416666666666696E-2</v>
      </c>
      <c r="B125" s="2">
        <v>6.32</v>
      </c>
      <c r="C125" s="2">
        <v>3.48</v>
      </c>
      <c r="D125" s="2">
        <v>4.96</v>
      </c>
      <c r="E125" s="2">
        <v>5.36</v>
      </c>
      <c r="F125" s="2">
        <v>3.19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 x14ac:dyDescent="0.2">
      <c r="A126" s="1">
        <v>8.6111111111111097E-2</v>
      </c>
      <c r="B126" s="2">
        <v>6.25</v>
      </c>
      <c r="C126" s="2">
        <v>3.79</v>
      </c>
      <c r="D126" s="2">
        <v>5.2</v>
      </c>
      <c r="E126" s="2">
        <v>4.84</v>
      </c>
      <c r="F126" s="2">
        <v>3.06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</row>
    <row r="127" spans="1:11" x14ac:dyDescent="0.2">
      <c r="A127" s="1">
        <v>8.6805555555555594E-2</v>
      </c>
      <c r="B127" s="2">
        <v>6.29</v>
      </c>
      <c r="C127" s="2">
        <v>3.67</v>
      </c>
      <c r="D127" s="2">
        <v>5.09</v>
      </c>
      <c r="E127" s="2">
        <v>4.8600000000000003</v>
      </c>
      <c r="F127" s="2">
        <v>3.17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 x14ac:dyDescent="0.2">
      <c r="A128" s="1">
        <v>8.7499999999999994E-2</v>
      </c>
      <c r="B128" s="2">
        <v>6.17</v>
      </c>
      <c r="C128" s="2">
        <v>3.79</v>
      </c>
      <c r="D128" s="2">
        <v>5.19</v>
      </c>
      <c r="E128" s="2">
        <v>4.8500000000000005</v>
      </c>
      <c r="F128" s="2">
        <v>3.13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</row>
    <row r="129" spans="1:11" x14ac:dyDescent="0.2">
      <c r="A129" s="1">
        <v>8.8194444444444506E-2</v>
      </c>
      <c r="B129" s="2">
        <v>6.07</v>
      </c>
      <c r="C129" s="2">
        <v>3.77</v>
      </c>
      <c r="D129" s="2">
        <v>4.99</v>
      </c>
      <c r="E129" s="2">
        <v>5.3900000000000006</v>
      </c>
      <c r="F129" s="2">
        <v>2.95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 x14ac:dyDescent="0.2">
      <c r="A130" s="1">
        <v>8.8888888888888906E-2</v>
      </c>
      <c r="B130" s="2">
        <v>6.23</v>
      </c>
      <c r="C130" s="2">
        <v>3.46</v>
      </c>
      <c r="D130" s="2">
        <v>4.88</v>
      </c>
      <c r="E130" s="2">
        <v>5.28</v>
      </c>
      <c r="F130" s="2">
        <v>3.0700000000000003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 x14ac:dyDescent="0.2">
      <c r="A131" s="1">
        <v>8.9583333333333307E-2</v>
      </c>
      <c r="B131" s="2">
        <v>6.3000000000000007</v>
      </c>
      <c r="C131" s="2">
        <v>3.59</v>
      </c>
      <c r="D131" s="2">
        <v>5.01</v>
      </c>
      <c r="E131" s="2">
        <v>5.03</v>
      </c>
      <c r="F131" s="2">
        <v>3.34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 x14ac:dyDescent="0.2">
      <c r="A132" s="1">
        <v>9.0277777777777804E-2</v>
      </c>
      <c r="B132" s="2">
        <v>6.28</v>
      </c>
      <c r="C132" s="2">
        <v>3.58</v>
      </c>
      <c r="D132" s="2">
        <v>5</v>
      </c>
      <c r="E132" s="2">
        <v>5.1000000000000005</v>
      </c>
      <c r="F132" s="2">
        <v>3.2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 x14ac:dyDescent="0.2">
      <c r="A133" s="1">
        <v>9.0972222222222204E-2</v>
      </c>
      <c r="B133" s="2">
        <v>6.11</v>
      </c>
      <c r="C133" s="2">
        <v>3.91</v>
      </c>
      <c r="D133" s="2">
        <v>5.17</v>
      </c>
      <c r="E133" s="2">
        <v>5.42</v>
      </c>
      <c r="F133" s="2">
        <v>3.24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 x14ac:dyDescent="0.2">
      <c r="A134" s="1">
        <v>9.1666666666666702E-2</v>
      </c>
      <c r="B134" s="2">
        <v>6.09</v>
      </c>
      <c r="C134" s="2">
        <v>3.69</v>
      </c>
      <c r="D134" s="2">
        <v>5.1099999999999994</v>
      </c>
      <c r="E134" s="2">
        <v>5.21</v>
      </c>
      <c r="F134" s="2">
        <v>2.93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spans="1:11" x14ac:dyDescent="0.2">
      <c r="A135" s="1">
        <v>9.2361111111111102E-2</v>
      </c>
      <c r="B135" s="2">
        <v>6.08</v>
      </c>
      <c r="C135" s="2">
        <v>3.76</v>
      </c>
      <c r="D135" s="2">
        <v>5.18</v>
      </c>
      <c r="E135" s="2">
        <v>5.3500000000000005</v>
      </c>
      <c r="F135" s="2">
        <v>3.24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</row>
    <row r="136" spans="1:11" x14ac:dyDescent="0.2">
      <c r="A136" s="1">
        <v>9.30555555555556E-2</v>
      </c>
      <c r="B136" s="2">
        <v>6.32</v>
      </c>
      <c r="C136" s="2">
        <v>3.7</v>
      </c>
      <c r="D136" s="2">
        <v>5.12</v>
      </c>
      <c r="E136" s="2">
        <v>5.41</v>
      </c>
      <c r="F136" s="2">
        <v>3.0700000000000003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</row>
    <row r="137" spans="1:11" x14ac:dyDescent="0.2">
      <c r="A137" s="1">
        <v>9.375E-2</v>
      </c>
      <c r="B137" s="2">
        <v>6.32</v>
      </c>
      <c r="C137" s="2">
        <v>3.75</v>
      </c>
      <c r="D137" s="2">
        <v>5.0999999999999996</v>
      </c>
      <c r="E137" s="2">
        <v>5.17</v>
      </c>
      <c r="F137" s="2">
        <v>2.97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 x14ac:dyDescent="0.2">
      <c r="A138" s="1">
        <v>9.44444444444444E-2</v>
      </c>
      <c r="B138" s="2">
        <v>6.12</v>
      </c>
      <c r="C138" s="2">
        <v>3.74</v>
      </c>
      <c r="D138" s="2">
        <v>5.16</v>
      </c>
      <c r="E138" s="2">
        <v>5.5200000000000005</v>
      </c>
      <c r="F138" s="2">
        <v>3.2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</row>
    <row r="139" spans="1:11" x14ac:dyDescent="0.2">
      <c r="A139" s="1">
        <v>9.5138888888888898E-2</v>
      </c>
      <c r="B139" s="2">
        <v>6.16</v>
      </c>
      <c r="C139" s="2">
        <v>3.59</v>
      </c>
      <c r="D139" s="2">
        <v>4.99</v>
      </c>
      <c r="E139" s="2">
        <v>5.2</v>
      </c>
      <c r="F139" s="2">
        <v>3.08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</row>
    <row r="140" spans="1:11" x14ac:dyDescent="0.2">
      <c r="A140" s="1">
        <v>9.5833333333333298E-2</v>
      </c>
      <c r="B140" s="2">
        <v>6.08</v>
      </c>
      <c r="C140" s="2">
        <v>3.68</v>
      </c>
      <c r="D140" s="2">
        <v>5.0999999999999996</v>
      </c>
      <c r="E140" s="2">
        <v>5.1800000000000006</v>
      </c>
      <c r="F140" s="2">
        <v>3.3200000000000003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spans="1:11" x14ac:dyDescent="0.2">
      <c r="A141" s="1">
        <v>9.6527777777777796E-2</v>
      </c>
      <c r="B141" s="2">
        <v>6.2700000000000005</v>
      </c>
      <c r="C141" s="2">
        <v>3.85</v>
      </c>
      <c r="D141" s="2">
        <v>5.27</v>
      </c>
      <c r="E141" s="2">
        <v>5.2600000000000007</v>
      </c>
      <c r="F141" s="2">
        <v>3.0700000000000003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</row>
    <row r="142" spans="1:11" x14ac:dyDescent="0.2">
      <c r="A142" s="1">
        <v>9.7222222222222196E-2</v>
      </c>
      <c r="B142" s="2">
        <v>6.2600000000000007</v>
      </c>
      <c r="C142" s="2">
        <v>3.59</v>
      </c>
      <c r="D142" s="2">
        <v>5.01</v>
      </c>
      <c r="E142" s="2">
        <v>5.13</v>
      </c>
      <c r="F142" s="2">
        <v>3.13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</row>
    <row r="143" spans="1:11" x14ac:dyDescent="0.2">
      <c r="A143" s="1">
        <v>9.7916666666666693E-2</v>
      </c>
      <c r="B143" s="2">
        <v>6.15</v>
      </c>
      <c r="C143" s="2">
        <v>3.55</v>
      </c>
      <c r="D143" s="2">
        <v>4.97</v>
      </c>
      <c r="E143" s="2">
        <v>5.5</v>
      </c>
      <c r="F143" s="2">
        <v>3.31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spans="1:11" x14ac:dyDescent="0.2">
      <c r="A144" s="1">
        <v>9.8611111111111094E-2</v>
      </c>
      <c r="B144" s="2">
        <v>6.32</v>
      </c>
      <c r="C144" s="2">
        <v>3.54</v>
      </c>
      <c r="D144" s="2">
        <v>4.96</v>
      </c>
      <c r="E144" s="2">
        <v>4.9000000000000004</v>
      </c>
      <c r="F144" s="2">
        <v>3.2800000000000002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</row>
    <row r="145" spans="1:11" x14ac:dyDescent="0.2">
      <c r="A145" s="1">
        <v>9.9305555555555605E-2</v>
      </c>
      <c r="B145" s="2">
        <v>6.09</v>
      </c>
      <c r="C145" s="2">
        <v>3.89</v>
      </c>
      <c r="D145" s="2">
        <v>5.33</v>
      </c>
      <c r="E145" s="2">
        <v>5.12</v>
      </c>
      <c r="F145" s="2">
        <v>2.96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 x14ac:dyDescent="0.2">
      <c r="A146" s="1">
        <v>0.1</v>
      </c>
      <c r="B146" s="2">
        <v>6.3000000000000007</v>
      </c>
      <c r="C146" s="2">
        <v>3.94</v>
      </c>
      <c r="D146" s="2">
        <v>5.05</v>
      </c>
      <c r="E146" s="2">
        <v>5.03</v>
      </c>
      <c r="F146" s="2">
        <v>3.2800000000000002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</row>
    <row r="147" spans="1:11" x14ac:dyDescent="0.2">
      <c r="A147" s="1">
        <v>0.100694444444444</v>
      </c>
      <c r="B147" s="2">
        <v>6.28</v>
      </c>
      <c r="C147" s="2">
        <v>3.86</v>
      </c>
      <c r="D147" s="2">
        <v>5.2799999999999994</v>
      </c>
      <c r="E147" s="2">
        <v>5.33</v>
      </c>
      <c r="F147" s="2">
        <v>3.0300000000000002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 x14ac:dyDescent="0.2">
      <c r="A148" s="1">
        <v>0.101388888888889</v>
      </c>
      <c r="B148" s="2">
        <v>6.13</v>
      </c>
      <c r="C148" s="2">
        <v>3.87</v>
      </c>
      <c r="D148" s="2">
        <v>4.97</v>
      </c>
      <c r="E148" s="2">
        <v>4.88</v>
      </c>
      <c r="F148" s="2">
        <v>3.19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</row>
    <row r="149" spans="1:11" x14ac:dyDescent="0.2">
      <c r="A149" s="1">
        <v>0.102083333333333</v>
      </c>
      <c r="B149" s="2">
        <v>6.13</v>
      </c>
      <c r="C149" s="2">
        <v>3.85</v>
      </c>
      <c r="D149" s="2">
        <v>5.27</v>
      </c>
      <c r="E149" s="2">
        <v>5.49</v>
      </c>
      <c r="F149" s="2">
        <v>2.97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</row>
    <row r="150" spans="1:11" x14ac:dyDescent="0.2">
      <c r="A150" s="1">
        <v>0.102777777777778</v>
      </c>
      <c r="B150" s="2">
        <v>6.2200000000000006</v>
      </c>
      <c r="C150" s="2">
        <v>3.82</v>
      </c>
      <c r="D150" s="2">
        <v>5.24</v>
      </c>
      <c r="E150" s="2">
        <v>5.25</v>
      </c>
      <c r="F150" s="2">
        <v>3.0700000000000003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</row>
    <row r="151" spans="1:11" x14ac:dyDescent="0.2">
      <c r="A151" s="1">
        <v>0.10347222222222199</v>
      </c>
      <c r="B151" s="2">
        <v>6.15</v>
      </c>
      <c r="C151" s="2">
        <v>3.88</v>
      </c>
      <c r="D151" s="2">
        <v>5.09</v>
      </c>
      <c r="E151" s="2">
        <v>5.1400000000000006</v>
      </c>
      <c r="F151" s="2">
        <v>3.24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</row>
    <row r="152" spans="1:11" x14ac:dyDescent="0.2">
      <c r="A152" s="1">
        <v>0.104166666666667</v>
      </c>
      <c r="B152" s="2">
        <v>6.25</v>
      </c>
      <c r="C152" s="2">
        <v>3.48</v>
      </c>
      <c r="D152" s="2">
        <v>4.88</v>
      </c>
      <c r="E152" s="2">
        <v>4.88</v>
      </c>
      <c r="F152" s="2">
        <v>2.86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</row>
    <row r="153" spans="1:11" x14ac:dyDescent="0.2">
      <c r="A153" s="1">
        <v>0.104861111111111</v>
      </c>
      <c r="B153" s="2">
        <v>6.07</v>
      </c>
      <c r="C153" s="2">
        <v>3.59</v>
      </c>
      <c r="D153" s="2">
        <v>5.01</v>
      </c>
      <c r="E153" s="2">
        <v>5.23</v>
      </c>
      <c r="F153" s="2">
        <v>3.21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</row>
    <row r="154" spans="1:11" x14ac:dyDescent="0.2">
      <c r="A154" s="1">
        <v>0.105555555555556</v>
      </c>
      <c r="B154" s="2">
        <v>6.13</v>
      </c>
      <c r="C154" s="2">
        <v>3.49</v>
      </c>
      <c r="D154" s="2">
        <v>4.91</v>
      </c>
      <c r="E154" s="2">
        <v>4.95</v>
      </c>
      <c r="F154" s="2">
        <v>3.14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</row>
    <row r="155" spans="1:11" x14ac:dyDescent="0.2">
      <c r="A155" s="1">
        <v>0.10625</v>
      </c>
      <c r="B155" s="2">
        <v>6.21</v>
      </c>
      <c r="C155" s="2">
        <v>3.55</v>
      </c>
      <c r="D155" s="2">
        <v>4.95</v>
      </c>
      <c r="E155" s="2">
        <v>5.19</v>
      </c>
      <c r="F155" s="2">
        <v>2.86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 x14ac:dyDescent="0.2">
      <c r="A156" s="1">
        <v>0.106944444444444</v>
      </c>
      <c r="B156" s="2">
        <v>6.28</v>
      </c>
      <c r="C156" s="2">
        <v>3.91</v>
      </c>
      <c r="D156" s="2">
        <v>5.33</v>
      </c>
      <c r="E156" s="2">
        <v>5.2600000000000007</v>
      </c>
      <c r="F156" s="2">
        <v>3.02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</row>
    <row r="157" spans="1:11" x14ac:dyDescent="0.2">
      <c r="A157" s="1">
        <v>0.10763888888888901</v>
      </c>
      <c r="B157" s="2">
        <v>6.3100000000000005</v>
      </c>
      <c r="C157" s="2">
        <v>3.69</v>
      </c>
      <c r="D157" s="2">
        <v>5.1099999999999994</v>
      </c>
      <c r="E157" s="2">
        <v>4.83</v>
      </c>
      <c r="F157" s="2">
        <v>3.08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</row>
    <row r="158" spans="1:11" x14ac:dyDescent="0.2">
      <c r="A158" s="1">
        <v>0.108333333333333</v>
      </c>
      <c r="B158" s="2">
        <v>6.13</v>
      </c>
      <c r="C158" s="2">
        <v>3.6</v>
      </c>
      <c r="D158" s="2">
        <v>5.0199999999999996</v>
      </c>
      <c r="E158" s="2">
        <v>5.5200000000000005</v>
      </c>
      <c r="F158" s="2">
        <v>3.1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</row>
    <row r="159" spans="1:11" x14ac:dyDescent="0.2">
      <c r="A159" s="1">
        <v>0.109027777777778</v>
      </c>
      <c r="B159" s="2">
        <v>6.2700000000000005</v>
      </c>
      <c r="C159" s="2">
        <v>3.66</v>
      </c>
      <c r="D159" s="2">
        <v>5.08</v>
      </c>
      <c r="E159" s="2">
        <v>5.5200000000000005</v>
      </c>
      <c r="F159" s="2">
        <v>2.83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</row>
    <row r="160" spans="1:11" x14ac:dyDescent="0.2">
      <c r="A160" s="1">
        <v>0.109722222222222</v>
      </c>
      <c r="B160" s="2">
        <v>6.2700000000000005</v>
      </c>
      <c r="C160" s="2">
        <v>3.69</v>
      </c>
      <c r="D160" s="2">
        <v>5.21</v>
      </c>
      <c r="E160" s="2">
        <v>4.8600000000000003</v>
      </c>
      <c r="F160" s="2">
        <v>3.2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</row>
    <row r="161" spans="1:11" x14ac:dyDescent="0.2">
      <c r="A161" s="1">
        <v>0.110416666666667</v>
      </c>
      <c r="B161" s="2">
        <v>6.16</v>
      </c>
      <c r="C161" s="2">
        <v>3.57</v>
      </c>
      <c r="D161" s="2">
        <v>4.99</v>
      </c>
      <c r="E161" s="2">
        <v>5.15</v>
      </c>
      <c r="F161" s="2">
        <v>3.0100000000000002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 x14ac:dyDescent="0.2">
      <c r="A162" s="1">
        <v>0.11111111111111099</v>
      </c>
      <c r="B162" s="2">
        <v>6.08</v>
      </c>
      <c r="C162" s="2">
        <v>3.76</v>
      </c>
      <c r="D162" s="2">
        <v>5.17</v>
      </c>
      <c r="E162" s="2">
        <v>5.21</v>
      </c>
      <c r="F162" s="2">
        <v>3.15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</row>
    <row r="163" spans="1:11" x14ac:dyDescent="0.2">
      <c r="A163" s="1">
        <v>0.111805555555556</v>
      </c>
      <c r="B163" s="2">
        <v>6.09</v>
      </c>
      <c r="C163" s="2">
        <v>3.77</v>
      </c>
      <c r="D163" s="2">
        <v>5.1899999999999995</v>
      </c>
      <c r="E163" s="2">
        <v>5.44</v>
      </c>
      <c r="F163" s="2">
        <v>2.85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r="164" spans="1:11" x14ac:dyDescent="0.2">
      <c r="A164" s="1">
        <v>0.1125</v>
      </c>
      <c r="B164" s="2">
        <v>6.23</v>
      </c>
      <c r="C164" s="2">
        <v>3.79</v>
      </c>
      <c r="D164" s="2">
        <v>5.01</v>
      </c>
      <c r="E164" s="2">
        <v>5.45</v>
      </c>
      <c r="F164" s="2">
        <v>3.34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 x14ac:dyDescent="0.2">
      <c r="A165" s="1">
        <v>0.113194444444444</v>
      </c>
      <c r="B165" s="2">
        <v>6.16</v>
      </c>
      <c r="C165" s="2">
        <v>3.76</v>
      </c>
      <c r="D165" s="2">
        <v>5.18</v>
      </c>
      <c r="E165" s="2">
        <v>5.45</v>
      </c>
      <c r="F165" s="2">
        <v>3.18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 x14ac:dyDescent="0.2">
      <c r="A166" s="1">
        <v>0.113888888888889</v>
      </c>
      <c r="B166" s="2">
        <v>6.21</v>
      </c>
      <c r="C166" s="2">
        <v>3.78</v>
      </c>
      <c r="D166" s="2">
        <v>5.1999999999999993</v>
      </c>
      <c r="E166" s="2">
        <v>5.53</v>
      </c>
      <c r="F166" s="2">
        <v>3.13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</row>
    <row r="167" spans="1:11" x14ac:dyDescent="0.2">
      <c r="A167" s="1">
        <v>0.114583333333333</v>
      </c>
      <c r="B167" s="2">
        <v>6.2200000000000006</v>
      </c>
      <c r="C167" s="2">
        <v>3.84</v>
      </c>
      <c r="D167" s="2">
        <v>5.26</v>
      </c>
      <c r="E167" s="2">
        <v>5.33</v>
      </c>
      <c r="F167" s="2">
        <v>3.14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 x14ac:dyDescent="0.2">
      <c r="A168" s="1">
        <v>0.11527777777777801</v>
      </c>
      <c r="B168" s="2">
        <v>6.24</v>
      </c>
      <c r="C168" s="2">
        <v>3.88</v>
      </c>
      <c r="D168" s="2">
        <v>5.3</v>
      </c>
      <c r="E168" s="2">
        <v>4.82</v>
      </c>
      <c r="F168" s="2">
        <v>2.96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</row>
    <row r="169" spans="1:11" x14ac:dyDescent="0.2">
      <c r="A169" s="1">
        <v>0.115972222222222</v>
      </c>
      <c r="B169" s="2">
        <v>6.13</v>
      </c>
      <c r="C169" s="2">
        <v>3.86</v>
      </c>
      <c r="D169" s="2">
        <v>5.08</v>
      </c>
      <c r="E169" s="2">
        <v>5.34</v>
      </c>
      <c r="F169" s="2">
        <v>2.93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</row>
    <row r="170" spans="1:11" x14ac:dyDescent="0.2">
      <c r="A170" s="1">
        <v>0.116666666666667</v>
      </c>
      <c r="B170" s="2">
        <v>6.1800000000000006</v>
      </c>
      <c r="C170" s="2">
        <v>3.67</v>
      </c>
      <c r="D170" s="2">
        <v>5.09</v>
      </c>
      <c r="E170" s="2">
        <v>5.53</v>
      </c>
      <c r="F170" s="2">
        <v>3.35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</row>
    <row r="171" spans="1:11" x14ac:dyDescent="0.2">
      <c r="A171" s="1">
        <v>0.117361111111111</v>
      </c>
      <c r="B171" s="2">
        <v>6.23</v>
      </c>
      <c r="C171" s="2">
        <v>3.59</v>
      </c>
      <c r="D171" s="2">
        <v>5</v>
      </c>
      <c r="E171" s="2">
        <v>5.0500000000000007</v>
      </c>
      <c r="F171" s="2">
        <v>3.06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11" x14ac:dyDescent="0.2">
      <c r="A172" s="1">
        <v>0.118055555555556</v>
      </c>
      <c r="B172" s="2">
        <v>6.3000000000000007</v>
      </c>
      <c r="C172" s="2">
        <v>3.66</v>
      </c>
      <c r="D172" s="2">
        <v>5.08</v>
      </c>
      <c r="E172" s="2">
        <v>5.25</v>
      </c>
      <c r="F172" s="2">
        <v>3.1100000000000003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r="173" spans="1:11" x14ac:dyDescent="0.2">
      <c r="A173" s="1">
        <v>0.11874999999999999</v>
      </c>
      <c r="B173" s="2">
        <v>6.3000000000000007</v>
      </c>
      <c r="C173" s="2">
        <v>3.85</v>
      </c>
      <c r="D173" s="2">
        <v>5.27</v>
      </c>
      <c r="E173" s="2">
        <v>5.42</v>
      </c>
      <c r="F173" s="2">
        <v>2.9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 x14ac:dyDescent="0.2">
      <c r="A174" s="1">
        <v>0.11944444444444401</v>
      </c>
      <c r="B174" s="2">
        <v>6.07</v>
      </c>
      <c r="C174" s="2">
        <v>3.91</v>
      </c>
      <c r="D174" s="2">
        <v>5.33</v>
      </c>
      <c r="E174" s="2">
        <v>4.9000000000000004</v>
      </c>
      <c r="F174" s="2">
        <v>2.89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</row>
    <row r="175" spans="1:11" x14ac:dyDescent="0.2">
      <c r="A175" s="1">
        <v>0.120138888888889</v>
      </c>
      <c r="B175" s="2">
        <v>6.25</v>
      </c>
      <c r="C175" s="2">
        <v>3.46</v>
      </c>
      <c r="D175" s="2">
        <v>4.88</v>
      </c>
      <c r="E175" s="2">
        <v>5.3800000000000008</v>
      </c>
      <c r="F175" s="2">
        <v>3.0700000000000003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r="176" spans="1:11" x14ac:dyDescent="0.2">
      <c r="A176" s="1">
        <v>0.120833333333333</v>
      </c>
      <c r="B176" s="2">
        <v>6.09</v>
      </c>
      <c r="C176" s="2">
        <v>3.68</v>
      </c>
      <c r="D176" s="2">
        <v>5.0999999999999996</v>
      </c>
      <c r="E176" s="2">
        <v>4.82</v>
      </c>
      <c r="F176" s="2">
        <v>3.09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</row>
    <row r="177" spans="1:11" x14ac:dyDescent="0.2">
      <c r="A177" s="1">
        <v>0.121527777777778</v>
      </c>
      <c r="B177" s="2">
        <v>6.28</v>
      </c>
      <c r="C177" s="2">
        <v>3.67</v>
      </c>
      <c r="D177" s="2">
        <v>5.09</v>
      </c>
      <c r="E177" s="2">
        <v>5.2200000000000006</v>
      </c>
      <c r="F177" s="2">
        <v>3.0700000000000003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</row>
    <row r="178" spans="1:11" x14ac:dyDescent="0.2">
      <c r="A178" s="1">
        <v>0.122222222222222</v>
      </c>
      <c r="B178" s="2">
        <v>6.17</v>
      </c>
      <c r="C178" s="2">
        <v>3.61</v>
      </c>
      <c r="D178" s="2">
        <v>5.04</v>
      </c>
      <c r="E178" s="2">
        <v>5.12</v>
      </c>
      <c r="F178" s="2">
        <v>3.27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</row>
    <row r="179" spans="1:11" x14ac:dyDescent="0.2">
      <c r="A179" s="1">
        <v>0.12291666666666699</v>
      </c>
      <c r="B179" s="2">
        <v>6.16</v>
      </c>
      <c r="C179" s="2">
        <v>3.65</v>
      </c>
      <c r="D179" s="2">
        <v>5.09</v>
      </c>
      <c r="E179" s="2">
        <v>5.33</v>
      </c>
      <c r="F179" s="2">
        <v>3.13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 x14ac:dyDescent="0.2">
      <c r="A180" s="1">
        <v>0.12361111111111101</v>
      </c>
      <c r="B180" s="2">
        <v>6.09</v>
      </c>
      <c r="C180" s="2">
        <v>3.59</v>
      </c>
      <c r="D180" s="2">
        <v>5.0199999999999996</v>
      </c>
      <c r="E180" s="2">
        <v>5.4700000000000006</v>
      </c>
      <c r="F180" s="2">
        <v>3.2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</row>
    <row r="181" spans="1:11" x14ac:dyDescent="0.2">
      <c r="A181" s="1">
        <v>0.124305555555556</v>
      </c>
      <c r="B181" s="2">
        <v>6.07</v>
      </c>
      <c r="C181" s="2">
        <v>3.84</v>
      </c>
      <c r="D181" s="2">
        <v>5.25</v>
      </c>
      <c r="E181" s="2">
        <v>4.8900000000000006</v>
      </c>
      <c r="F181" s="2">
        <v>3.09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</row>
    <row r="182" spans="1:11" x14ac:dyDescent="0.2">
      <c r="A182" s="3">
        <v>0.125</v>
      </c>
      <c r="B182" s="4">
        <v>6.19</v>
      </c>
      <c r="C182" s="4">
        <v>3.67</v>
      </c>
      <c r="D182" s="4">
        <v>5.09</v>
      </c>
      <c r="E182" s="4">
        <v>5.26</v>
      </c>
      <c r="F182" s="4">
        <v>3.09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</row>
    <row r="183" spans="1:11" x14ac:dyDescent="0.2">
      <c r="A183" s="1">
        <v>0.125694444444444</v>
      </c>
      <c r="B183" s="2">
        <v>6.2200000000000006</v>
      </c>
      <c r="C183" s="2">
        <v>3.6999999999999997</v>
      </c>
      <c r="D183" s="2">
        <v>5.0200000000000005</v>
      </c>
      <c r="E183" s="2">
        <v>5</v>
      </c>
      <c r="F183" s="2">
        <v>3.15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 x14ac:dyDescent="0.2">
      <c r="A184" s="1">
        <v>0.12638888888888899</v>
      </c>
      <c r="B184" s="2">
        <v>6.3000000000000007</v>
      </c>
      <c r="C184" s="2">
        <v>3.71</v>
      </c>
      <c r="D184" s="2">
        <v>5.25</v>
      </c>
      <c r="E184" s="2">
        <v>5.49</v>
      </c>
      <c r="F184" s="2">
        <v>3.27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</row>
    <row r="185" spans="1:11" x14ac:dyDescent="0.2">
      <c r="A185" s="1">
        <v>0.12708333333333299</v>
      </c>
      <c r="B185" s="2">
        <v>6.25</v>
      </c>
      <c r="C185" s="2">
        <v>3.7399999999999998</v>
      </c>
      <c r="D185" s="2">
        <v>5.1400000000000006</v>
      </c>
      <c r="E185" s="2">
        <v>5.0500000000000007</v>
      </c>
      <c r="F185" s="2">
        <v>3.04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</row>
    <row r="186" spans="1:11" x14ac:dyDescent="0.2">
      <c r="A186" s="1">
        <v>0.12777777777777799</v>
      </c>
      <c r="B186" s="2">
        <v>6.25</v>
      </c>
      <c r="C186" s="2">
        <v>3.76</v>
      </c>
      <c r="D186" s="2">
        <v>4.99</v>
      </c>
      <c r="E186" s="2">
        <v>5.33</v>
      </c>
      <c r="F186" s="2">
        <v>2.88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</row>
    <row r="187" spans="1:11" x14ac:dyDescent="0.2">
      <c r="A187" s="1">
        <v>0.12847222222222199</v>
      </c>
      <c r="B187" s="2">
        <v>6.13</v>
      </c>
      <c r="C187" s="2">
        <v>3.75</v>
      </c>
      <c r="D187" s="2">
        <v>4.9400000000000004</v>
      </c>
      <c r="E187" s="2">
        <v>4.88</v>
      </c>
      <c r="F187" s="2">
        <v>3.0100000000000002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11" x14ac:dyDescent="0.2">
      <c r="A188" s="1">
        <v>0.12916666666666701</v>
      </c>
      <c r="B188" s="2">
        <v>6.1400000000000006</v>
      </c>
      <c r="C188" s="2">
        <v>3.7699999999999996</v>
      </c>
      <c r="D188" s="2">
        <v>5.24</v>
      </c>
      <c r="E188" s="2">
        <v>5.3900000000000006</v>
      </c>
      <c r="F188" s="2">
        <v>2.93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</row>
    <row r="189" spans="1:11" x14ac:dyDescent="0.2">
      <c r="A189" s="1">
        <v>0.12986111111111101</v>
      </c>
      <c r="B189" s="2">
        <v>6.2200000000000006</v>
      </c>
      <c r="C189" s="2">
        <v>3.6599999999999997</v>
      </c>
      <c r="D189" s="2">
        <v>5.0900000000000007</v>
      </c>
      <c r="E189" s="2">
        <v>5.48</v>
      </c>
      <c r="F189" s="2">
        <v>3.2600000000000002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 x14ac:dyDescent="0.2">
      <c r="A190" s="1">
        <v>0.13055555555555601</v>
      </c>
      <c r="B190" s="2">
        <v>6.07</v>
      </c>
      <c r="C190" s="2">
        <v>3.51</v>
      </c>
      <c r="D190" s="2">
        <v>5.0500000000000007</v>
      </c>
      <c r="E190" s="2">
        <v>5.37</v>
      </c>
      <c r="F190" s="2">
        <v>3.2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 x14ac:dyDescent="0.2">
      <c r="A191" s="1">
        <v>0.13125000000000001</v>
      </c>
      <c r="B191" s="2">
        <v>6.2200000000000006</v>
      </c>
      <c r="C191" s="2">
        <v>3.7699999999999996</v>
      </c>
      <c r="D191" s="2">
        <v>5.21</v>
      </c>
      <c r="E191" s="2">
        <v>5.36</v>
      </c>
      <c r="F191" s="2">
        <v>2.97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 x14ac:dyDescent="0.2">
      <c r="A192" s="1">
        <v>0.131944444444444</v>
      </c>
      <c r="B192" s="2">
        <v>6.19</v>
      </c>
      <c r="C192" s="2">
        <v>3.6999999999999997</v>
      </c>
      <c r="D192" s="2">
        <v>5.25</v>
      </c>
      <c r="E192" s="2">
        <v>5.28</v>
      </c>
      <c r="F192" s="2">
        <v>3.12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</row>
    <row r="193" spans="1:11" x14ac:dyDescent="0.2">
      <c r="A193" s="1">
        <v>0.132638888888889</v>
      </c>
      <c r="B193" s="2">
        <v>6.25</v>
      </c>
      <c r="C193" s="2">
        <v>3.67</v>
      </c>
      <c r="D193" s="2">
        <v>5.1800000000000006</v>
      </c>
      <c r="E193" s="2">
        <v>4.87</v>
      </c>
      <c r="F193" s="2">
        <v>3.16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</row>
    <row r="194" spans="1:11" x14ac:dyDescent="0.2">
      <c r="A194" s="1">
        <v>0.133333333333333</v>
      </c>
      <c r="B194" s="2">
        <v>6.3100000000000005</v>
      </c>
      <c r="C194" s="2">
        <v>3.61</v>
      </c>
      <c r="D194" s="2">
        <v>4.9400000000000004</v>
      </c>
      <c r="E194" s="2">
        <v>5.07</v>
      </c>
      <c r="F194" s="2">
        <v>3.23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1:11" x14ac:dyDescent="0.2">
      <c r="A195" s="1">
        <v>0.134027777777778</v>
      </c>
      <c r="B195" s="2">
        <v>6.24</v>
      </c>
      <c r="C195" s="2">
        <v>3.78</v>
      </c>
      <c r="D195" s="2">
        <v>5.15</v>
      </c>
      <c r="E195" s="2">
        <v>4.83</v>
      </c>
      <c r="F195" s="2">
        <v>3.23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 x14ac:dyDescent="0.2">
      <c r="A196" s="1">
        <v>0.13472222222222199</v>
      </c>
      <c r="B196" s="2">
        <v>6.1400000000000006</v>
      </c>
      <c r="C196" s="2">
        <v>3.71</v>
      </c>
      <c r="D196" s="2">
        <v>5.04</v>
      </c>
      <c r="E196" s="2">
        <v>5.5100000000000007</v>
      </c>
      <c r="F196" s="2">
        <v>2.98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</row>
    <row r="197" spans="1:11" x14ac:dyDescent="0.2">
      <c r="A197" s="1">
        <v>0.13541666666666699</v>
      </c>
      <c r="B197" s="2">
        <v>6.1800000000000006</v>
      </c>
      <c r="C197" s="2">
        <v>3.5799999999999996</v>
      </c>
      <c r="D197" s="2">
        <v>4.99</v>
      </c>
      <c r="E197" s="2">
        <v>4.82</v>
      </c>
      <c r="F197" s="2">
        <v>2.88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x14ac:dyDescent="0.2">
      <c r="A198" s="1">
        <v>0.13611111111111099</v>
      </c>
      <c r="B198" s="2">
        <v>6.23</v>
      </c>
      <c r="C198" s="2">
        <v>3.5399999999999996</v>
      </c>
      <c r="D198" s="2">
        <v>5.1400000000000006</v>
      </c>
      <c r="E198" s="2">
        <v>4.96</v>
      </c>
      <c r="F198" s="2">
        <v>3.15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1:11" x14ac:dyDescent="0.2">
      <c r="A199" s="1">
        <v>0.13680555555555601</v>
      </c>
      <c r="B199" s="2">
        <v>6.32</v>
      </c>
      <c r="C199" s="2">
        <v>3.5999999999999996</v>
      </c>
      <c r="D199" s="2">
        <v>4.91</v>
      </c>
      <c r="E199" s="2">
        <v>5.4</v>
      </c>
      <c r="F199" s="2">
        <v>3.2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</row>
    <row r="200" spans="1:11" x14ac:dyDescent="0.2">
      <c r="A200" s="1">
        <v>0.13750000000000001</v>
      </c>
      <c r="B200" s="2">
        <v>6.16</v>
      </c>
      <c r="C200" s="2">
        <v>3.7199999999999998</v>
      </c>
      <c r="D200" s="2">
        <v>5.24</v>
      </c>
      <c r="E200" s="2">
        <v>5.4</v>
      </c>
      <c r="F200" s="2">
        <v>2.98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 x14ac:dyDescent="0.2">
      <c r="A201" s="1">
        <v>0.13819444444444401</v>
      </c>
      <c r="B201" s="2">
        <v>6.2</v>
      </c>
      <c r="C201" s="2">
        <v>3.53</v>
      </c>
      <c r="D201" s="2">
        <v>4.87</v>
      </c>
      <c r="E201" s="2">
        <v>4.84</v>
      </c>
      <c r="F201" s="2">
        <v>3.2600000000000002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x14ac:dyDescent="0.2">
      <c r="A202" s="1">
        <v>0.13888888888888901</v>
      </c>
      <c r="B202" s="2">
        <v>6.23</v>
      </c>
      <c r="C202" s="2">
        <v>3.59</v>
      </c>
      <c r="D202" s="2">
        <v>5.0900000000000007</v>
      </c>
      <c r="E202" s="2">
        <v>5.2700000000000005</v>
      </c>
      <c r="F202" s="2">
        <v>3.1100000000000003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</row>
    <row r="203" spans="1:11" x14ac:dyDescent="0.2">
      <c r="A203" s="1">
        <v>0.139583333333333</v>
      </c>
      <c r="B203" s="2">
        <v>6.1800000000000006</v>
      </c>
      <c r="C203" s="2">
        <v>3.5999999999999996</v>
      </c>
      <c r="D203" s="2">
        <v>5.25</v>
      </c>
      <c r="E203" s="2">
        <v>4.99</v>
      </c>
      <c r="F203" s="2">
        <v>3.35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 x14ac:dyDescent="0.2">
      <c r="A204" s="1">
        <v>0.140277777777778</v>
      </c>
      <c r="B204" s="2">
        <v>6.3100000000000005</v>
      </c>
      <c r="C204" s="2">
        <v>3.6999999999999997</v>
      </c>
      <c r="D204" s="2">
        <v>5.0200000000000005</v>
      </c>
      <c r="E204" s="2">
        <v>5.29</v>
      </c>
      <c r="F204" s="2">
        <v>3.09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r="205" spans="1:11" x14ac:dyDescent="0.2">
      <c r="A205" s="1">
        <v>0.140972222222222</v>
      </c>
      <c r="B205" s="2">
        <v>6.12</v>
      </c>
      <c r="C205" s="2">
        <v>3.73</v>
      </c>
      <c r="D205" s="2">
        <v>4.91</v>
      </c>
      <c r="E205" s="2">
        <v>5.0600000000000005</v>
      </c>
      <c r="F205" s="2">
        <v>3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 x14ac:dyDescent="0.2">
      <c r="A206" s="1">
        <v>0.141666666666667</v>
      </c>
      <c r="B206" s="2">
        <v>6.25</v>
      </c>
      <c r="C206" s="2">
        <v>3.73</v>
      </c>
      <c r="D206" s="2">
        <v>4.88</v>
      </c>
      <c r="E206" s="2">
        <v>5.13</v>
      </c>
      <c r="F206" s="2">
        <v>3.3200000000000003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1:11" x14ac:dyDescent="0.2">
      <c r="A207" s="1">
        <v>0.14236111111111099</v>
      </c>
      <c r="B207" s="2">
        <v>6.3100000000000005</v>
      </c>
      <c r="C207" s="2">
        <v>3.78</v>
      </c>
      <c r="D207" s="2">
        <v>4.9800000000000004</v>
      </c>
      <c r="E207" s="2">
        <v>5.5</v>
      </c>
      <c r="F207" s="2">
        <v>2.96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x14ac:dyDescent="0.2">
      <c r="A208" s="1">
        <v>0.14305555555555599</v>
      </c>
      <c r="B208" s="2">
        <v>6.1800000000000006</v>
      </c>
      <c r="C208" s="2">
        <v>3.57</v>
      </c>
      <c r="D208" s="2">
        <v>4.88</v>
      </c>
      <c r="E208" s="2">
        <v>5.09</v>
      </c>
      <c r="F208" s="2">
        <v>3.1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</row>
    <row r="209" spans="1:11" x14ac:dyDescent="0.2">
      <c r="A209" s="1">
        <v>0.14374999999999999</v>
      </c>
      <c r="B209" s="2">
        <v>6.28</v>
      </c>
      <c r="C209" s="2">
        <v>3.7699999999999996</v>
      </c>
      <c r="D209" s="2">
        <v>4.9700000000000006</v>
      </c>
      <c r="E209" s="2">
        <v>5.44</v>
      </c>
      <c r="F209" s="2">
        <v>2.85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 x14ac:dyDescent="0.2">
      <c r="A210" s="1">
        <v>0.14444444444444399</v>
      </c>
      <c r="B210" s="2">
        <v>6.2</v>
      </c>
      <c r="C210" s="2">
        <v>3.63</v>
      </c>
      <c r="D210" s="2">
        <v>5</v>
      </c>
      <c r="E210" s="2">
        <v>4.8600000000000003</v>
      </c>
      <c r="F210" s="2">
        <v>3.15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</row>
    <row r="211" spans="1:11" x14ac:dyDescent="0.2">
      <c r="A211" s="1">
        <v>0.14513888888888901</v>
      </c>
      <c r="B211" s="2">
        <v>6.28</v>
      </c>
      <c r="C211" s="2">
        <v>3.5599999999999996</v>
      </c>
      <c r="D211" s="2">
        <v>5.08</v>
      </c>
      <c r="E211" s="2">
        <v>5.33</v>
      </c>
      <c r="F211" s="2">
        <v>3.31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</row>
    <row r="212" spans="1:11" x14ac:dyDescent="0.2">
      <c r="A212" s="1">
        <v>0.14583333333333301</v>
      </c>
      <c r="B212" s="2">
        <v>6.29</v>
      </c>
      <c r="C212" s="2">
        <v>3.6599999999999997</v>
      </c>
      <c r="D212" s="2">
        <v>5</v>
      </c>
      <c r="E212" s="2">
        <v>5.1800000000000006</v>
      </c>
      <c r="F212" s="2">
        <v>3.18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</row>
    <row r="213" spans="1:11" x14ac:dyDescent="0.2">
      <c r="A213" s="1">
        <v>0.14652777777777801</v>
      </c>
      <c r="B213" s="2">
        <v>6.19</v>
      </c>
      <c r="C213" s="2">
        <v>3.6399999999999997</v>
      </c>
      <c r="D213" s="2">
        <v>5.1100000000000003</v>
      </c>
      <c r="E213" s="2">
        <v>5.23</v>
      </c>
      <c r="F213" s="2">
        <v>3.0500000000000003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</row>
    <row r="214" spans="1:11" x14ac:dyDescent="0.2">
      <c r="A214" s="1">
        <v>0.147222222222222</v>
      </c>
      <c r="B214" s="2">
        <v>6.13</v>
      </c>
      <c r="C214" s="2">
        <v>3.6599999999999997</v>
      </c>
      <c r="D214" s="2">
        <v>4.8600000000000003</v>
      </c>
      <c r="E214" s="2">
        <v>5.5</v>
      </c>
      <c r="F214" s="2">
        <v>3.0100000000000002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</row>
    <row r="215" spans="1:11" x14ac:dyDescent="0.2">
      <c r="A215" s="1">
        <v>0.147916666666667</v>
      </c>
      <c r="B215" s="2">
        <v>6.32</v>
      </c>
      <c r="C215" s="2">
        <v>3.7699999999999996</v>
      </c>
      <c r="D215" s="2">
        <v>5.12</v>
      </c>
      <c r="E215" s="2">
        <v>4.9700000000000006</v>
      </c>
      <c r="F215" s="2">
        <v>3.0700000000000003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 x14ac:dyDescent="0.2">
      <c r="A216" s="1">
        <v>0.148611111111111</v>
      </c>
      <c r="B216" s="2">
        <v>6.2600000000000007</v>
      </c>
      <c r="C216" s="2">
        <v>3.61</v>
      </c>
      <c r="D216" s="2">
        <v>5.2600000000000007</v>
      </c>
      <c r="E216" s="2">
        <v>5.3500000000000005</v>
      </c>
      <c r="F216" s="2">
        <v>2.88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</row>
    <row r="217" spans="1:11" x14ac:dyDescent="0.2">
      <c r="A217" s="1">
        <v>0.149305555555556</v>
      </c>
      <c r="B217" s="2">
        <v>6.09</v>
      </c>
      <c r="C217" s="2">
        <v>3.7399999999999998</v>
      </c>
      <c r="D217" s="2">
        <v>4.9400000000000004</v>
      </c>
      <c r="E217" s="2">
        <v>5.44</v>
      </c>
      <c r="F217" s="2">
        <v>2.96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</row>
    <row r="218" spans="1:11" x14ac:dyDescent="0.2">
      <c r="A218" s="1">
        <v>0.15</v>
      </c>
      <c r="B218" s="2">
        <v>6.2</v>
      </c>
      <c r="C218" s="2">
        <v>3.5599999999999996</v>
      </c>
      <c r="D218" s="2">
        <v>4.8600000000000003</v>
      </c>
      <c r="E218" s="2">
        <v>4.9800000000000004</v>
      </c>
      <c r="F218" s="2">
        <v>3.21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 x14ac:dyDescent="0.2">
      <c r="A219" s="1">
        <v>0.15069444444444399</v>
      </c>
      <c r="B219" s="2">
        <v>6.25</v>
      </c>
      <c r="C219" s="2">
        <v>3.53</v>
      </c>
      <c r="D219" s="2">
        <v>5.0900000000000007</v>
      </c>
      <c r="E219" s="2">
        <v>4.9300000000000006</v>
      </c>
      <c r="F219" s="2">
        <v>3.3000000000000003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 x14ac:dyDescent="0.2">
      <c r="A220" s="1">
        <v>0.15138888888888899</v>
      </c>
      <c r="B220" s="2">
        <v>6.07</v>
      </c>
      <c r="C220" s="2">
        <v>3.57</v>
      </c>
      <c r="D220" s="2">
        <v>5.08</v>
      </c>
      <c r="E220" s="2">
        <v>5.3800000000000008</v>
      </c>
      <c r="F220" s="2">
        <v>2.98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 x14ac:dyDescent="0.2">
      <c r="A221" s="1">
        <v>0.15208333333333299</v>
      </c>
      <c r="B221" s="2">
        <v>6.29</v>
      </c>
      <c r="C221" s="2">
        <v>3.5199999999999996</v>
      </c>
      <c r="D221" s="2">
        <v>5.1000000000000005</v>
      </c>
      <c r="E221" s="2">
        <v>5.03</v>
      </c>
      <c r="F221" s="2">
        <v>3.04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 x14ac:dyDescent="0.2">
      <c r="A222" s="1">
        <v>0.15277777777777801</v>
      </c>
      <c r="B222" s="2">
        <v>6.24</v>
      </c>
      <c r="C222" s="2">
        <v>3.6799999999999997</v>
      </c>
      <c r="D222" s="2">
        <v>5.1400000000000006</v>
      </c>
      <c r="E222" s="2">
        <v>5.2200000000000006</v>
      </c>
      <c r="F222" s="2">
        <v>2.96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 x14ac:dyDescent="0.2">
      <c r="A223" s="1">
        <v>0.15347222222222201</v>
      </c>
      <c r="B223" s="2">
        <v>6.17</v>
      </c>
      <c r="C223" s="2">
        <v>3.7399999999999998</v>
      </c>
      <c r="D223" s="2">
        <v>4.9300000000000006</v>
      </c>
      <c r="E223" s="2">
        <v>5.2700000000000005</v>
      </c>
      <c r="F223" s="2">
        <v>3.13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 x14ac:dyDescent="0.2">
      <c r="A224" s="1">
        <v>0.15416666666666701</v>
      </c>
      <c r="B224" s="2">
        <v>6.2700000000000005</v>
      </c>
      <c r="C224" s="2">
        <v>3.76</v>
      </c>
      <c r="D224" s="2">
        <v>4.9300000000000006</v>
      </c>
      <c r="E224" s="2">
        <v>5.0100000000000007</v>
      </c>
      <c r="F224" s="2">
        <v>3.23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 x14ac:dyDescent="0.2">
      <c r="A225" s="1">
        <v>0.15486111111111101</v>
      </c>
      <c r="B225" s="2">
        <v>6.17</v>
      </c>
      <c r="C225" s="2">
        <v>3.5599999999999996</v>
      </c>
      <c r="D225" s="2">
        <v>5.19</v>
      </c>
      <c r="E225" s="2">
        <v>5.17</v>
      </c>
      <c r="F225" s="2">
        <v>3.19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 x14ac:dyDescent="0.2">
      <c r="A226" s="1">
        <v>0.155555555555556</v>
      </c>
      <c r="B226" s="2">
        <v>6.1000000000000005</v>
      </c>
      <c r="C226" s="2">
        <v>3.75</v>
      </c>
      <c r="D226" s="2">
        <v>4.8900000000000006</v>
      </c>
      <c r="E226" s="2">
        <v>5.03</v>
      </c>
      <c r="F226" s="2">
        <v>3.15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</row>
    <row r="227" spans="1:11" x14ac:dyDescent="0.2">
      <c r="A227" s="1">
        <v>0.15625</v>
      </c>
      <c r="B227" s="2">
        <v>6.07</v>
      </c>
      <c r="C227" s="2">
        <v>3.5799999999999996</v>
      </c>
      <c r="D227" s="2">
        <v>4.8900000000000006</v>
      </c>
      <c r="E227" s="2">
        <v>5.24</v>
      </c>
      <c r="F227" s="2">
        <v>2.93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</row>
    <row r="228" spans="1:11" x14ac:dyDescent="0.2">
      <c r="A228" s="1">
        <v>0.156944444444444</v>
      </c>
      <c r="B228" s="2">
        <v>6.11</v>
      </c>
      <c r="C228" s="2">
        <v>3.59</v>
      </c>
      <c r="D228" s="2">
        <v>5.0200000000000005</v>
      </c>
      <c r="E228" s="2">
        <v>4.8500000000000005</v>
      </c>
      <c r="F228" s="2">
        <v>2.83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</row>
    <row r="229" spans="1:11" x14ac:dyDescent="0.2">
      <c r="A229" s="1">
        <v>0.15763888888888899</v>
      </c>
      <c r="B229" s="2">
        <v>6.28</v>
      </c>
      <c r="C229" s="2">
        <v>3.55</v>
      </c>
      <c r="D229" s="2">
        <v>5.03</v>
      </c>
      <c r="E229" s="2">
        <v>5.13</v>
      </c>
      <c r="F229" s="2">
        <v>3.31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</row>
    <row r="230" spans="1:11" x14ac:dyDescent="0.2">
      <c r="A230" s="1">
        <v>0.15833333333333299</v>
      </c>
      <c r="B230" s="2">
        <v>6.13</v>
      </c>
      <c r="C230" s="2">
        <v>3.69</v>
      </c>
      <c r="D230" s="2">
        <v>5.08</v>
      </c>
      <c r="E230" s="2">
        <v>5.4700000000000006</v>
      </c>
      <c r="F230" s="2">
        <v>3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</row>
    <row r="231" spans="1:11" x14ac:dyDescent="0.2">
      <c r="A231" s="1">
        <v>0.15902777777777799</v>
      </c>
      <c r="B231" s="2">
        <v>6.32</v>
      </c>
      <c r="C231" s="2">
        <v>3.5799999999999996</v>
      </c>
      <c r="D231" s="2">
        <v>4.8900000000000006</v>
      </c>
      <c r="E231" s="2">
        <v>5.37</v>
      </c>
      <c r="F231" s="2">
        <v>2.85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</row>
    <row r="232" spans="1:11" x14ac:dyDescent="0.2">
      <c r="A232" s="1">
        <v>0.15972222222222199</v>
      </c>
      <c r="B232" s="2">
        <v>6.07</v>
      </c>
      <c r="C232" s="2">
        <v>3.6399999999999997</v>
      </c>
      <c r="D232" s="2">
        <v>5.07</v>
      </c>
      <c r="E232" s="2">
        <v>5.3500000000000005</v>
      </c>
      <c r="F232" s="2">
        <v>3.18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</row>
    <row r="233" spans="1:11" x14ac:dyDescent="0.2">
      <c r="A233" s="1">
        <v>0.16041666666666701</v>
      </c>
      <c r="B233" s="2">
        <v>6.2200000000000006</v>
      </c>
      <c r="C233" s="2">
        <v>3.6399999999999997</v>
      </c>
      <c r="D233" s="2">
        <v>5.25</v>
      </c>
      <c r="E233" s="2">
        <v>5.41</v>
      </c>
      <c r="F233" s="2">
        <v>3.0500000000000003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</row>
    <row r="234" spans="1:11" x14ac:dyDescent="0.2">
      <c r="A234" s="1">
        <v>0.16111111111111101</v>
      </c>
      <c r="B234" s="2">
        <v>6.07</v>
      </c>
      <c r="C234" s="2">
        <v>3.65</v>
      </c>
      <c r="D234" s="2">
        <v>5.08</v>
      </c>
      <c r="E234" s="2">
        <v>5.2</v>
      </c>
      <c r="F234" s="2">
        <v>3.1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</row>
    <row r="235" spans="1:11" x14ac:dyDescent="0.2">
      <c r="A235" s="1">
        <v>0.16180555555555601</v>
      </c>
      <c r="B235" s="2">
        <v>6.13</v>
      </c>
      <c r="C235" s="2">
        <v>3.5999999999999996</v>
      </c>
      <c r="D235" s="2">
        <v>5.0900000000000007</v>
      </c>
      <c r="E235" s="2">
        <v>5.3500000000000005</v>
      </c>
      <c r="F235" s="2">
        <v>3.13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</row>
    <row r="236" spans="1:11" x14ac:dyDescent="0.2">
      <c r="A236" s="1">
        <v>0.16250000000000001</v>
      </c>
      <c r="B236" s="2">
        <v>6.12</v>
      </c>
      <c r="C236" s="2">
        <v>3.6999999999999997</v>
      </c>
      <c r="D236" s="2">
        <v>5.23</v>
      </c>
      <c r="E236" s="2">
        <v>5.17</v>
      </c>
      <c r="F236" s="2">
        <v>2.86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</row>
    <row r="237" spans="1:11" x14ac:dyDescent="0.2">
      <c r="A237" s="1">
        <v>0.163194444444444</v>
      </c>
      <c r="B237" s="2">
        <v>6.3100000000000005</v>
      </c>
      <c r="C237" s="2">
        <v>3.7199999999999998</v>
      </c>
      <c r="D237" s="2">
        <v>5.08</v>
      </c>
      <c r="E237" s="2">
        <v>5.42</v>
      </c>
      <c r="F237" s="2">
        <v>3.15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</row>
    <row r="238" spans="1:11" x14ac:dyDescent="0.2">
      <c r="A238" s="1">
        <v>0.163888888888889</v>
      </c>
      <c r="B238" s="2">
        <v>6.23</v>
      </c>
      <c r="C238" s="2">
        <v>3.5399999999999996</v>
      </c>
      <c r="D238" s="2">
        <v>5.17</v>
      </c>
      <c r="E238" s="2">
        <v>5.5200000000000005</v>
      </c>
      <c r="F238" s="2">
        <v>2.84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</row>
    <row r="239" spans="1:11" x14ac:dyDescent="0.2">
      <c r="A239" s="1">
        <v>0.164583333333333</v>
      </c>
      <c r="B239" s="2">
        <v>6.07</v>
      </c>
      <c r="C239" s="2">
        <v>3.5999999999999996</v>
      </c>
      <c r="D239" s="2">
        <v>4.9800000000000004</v>
      </c>
      <c r="E239" s="2">
        <v>4.9800000000000004</v>
      </c>
      <c r="F239" s="2">
        <v>2.85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</row>
    <row r="240" spans="1:11" x14ac:dyDescent="0.2">
      <c r="A240" s="1">
        <v>0.165277777777778</v>
      </c>
      <c r="B240" s="2">
        <v>6.21</v>
      </c>
      <c r="C240" s="2">
        <v>3.5599999999999996</v>
      </c>
      <c r="D240" s="2">
        <v>5.2</v>
      </c>
      <c r="E240" s="2">
        <v>5.49</v>
      </c>
      <c r="F240" s="2">
        <v>3.27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</row>
    <row r="241" spans="1:11" x14ac:dyDescent="0.2">
      <c r="A241" s="1">
        <v>0.16597222222222199</v>
      </c>
      <c r="B241" s="2">
        <v>6.1000000000000005</v>
      </c>
      <c r="C241" s="2">
        <v>3.75</v>
      </c>
      <c r="D241" s="2">
        <v>5.1800000000000006</v>
      </c>
      <c r="E241" s="2">
        <v>4.87</v>
      </c>
      <c r="F241" s="2">
        <v>3.3000000000000003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</row>
    <row r="242" spans="1:11" x14ac:dyDescent="0.2">
      <c r="A242" s="3">
        <v>0.16666666666666699</v>
      </c>
      <c r="B242" s="4">
        <v>6.19</v>
      </c>
      <c r="C242" s="4">
        <v>3.67</v>
      </c>
      <c r="D242" s="4">
        <v>5.09</v>
      </c>
      <c r="E242" s="4">
        <v>5.26</v>
      </c>
      <c r="F242" s="4">
        <v>3.09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 x14ac:dyDescent="0.2">
      <c r="A243" s="1">
        <v>0.16736111111111099</v>
      </c>
      <c r="B243" s="2">
        <v>6.1400000000000006</v>
      </c>
      <c r="C243" s="2">
        <v>3.6399999999999997</v>
      </c>
      <c r="D243" s="2">
        <v>5.0500000000000007</v>
      </c>
      <c r="E243" s="2">
        <v>4.82</v>
      </c>
      <c r="F243" s="2">
        <v>3.2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</row>
    <row r="244" spans="1:11" x14ac:dyDescent="0.2">
      <c r="A244" s="1">
        <v>0.16805555555555601</v>
      </c>
      <c r="B244" s="2">
        <v>6.15</v>
      </c>
      <c r="C244" s="2">
        <v>3.63</v>
      </c>
      <c r="D244" s="2">
        <v>5.1400000000000006</v>
      </c>
      <c r="E244" s="2">
        <v>5.28</v>
      </c>
      <c r="F244" s="2">
        <v>3.0100000000000002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</row>
    <row r="245" spans="1:11" x14ac:dyDescent="0.2">
      <c r="A245" s="1">
        <v>0.16875000000000001</v>
      </c>
      <c r="B245" s="2">
        <v>6.2</v>
      </c>
      <c r="C245" s="2">
        <v>3.7399999999999998</v>
      </c>
      <c r="D245" s="2">
        <v>5.24</v>
      </c>
      <c r="E245" s="2">
        <v>5.1000000000000005</v>
      </c>
      <c r="F245" s="2">
        <v>3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 x14ac:dyDescent="0.2">
      <c r="A246" s="1">
        <v>0.16944444444444401</v>
      </c>
      <c r="B246" s="2">
        <v>6.08</v>
      </c>
      <c r="C246" s="2">
        <v>3.6399999999999997</v>
      </c>
      <c r="D246" s="2">
        <v>5.23</v>
      </c>
      <c r="E246" s="2">
        <v>5.3900000000000006</v>
      </c>
      <c r="F246" s="2">
        <v>3.13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</row>
    <row r="247" spans="1:11" x14ac:dyDescent="0.2">
      <c r="A247" s="1">
        <v>0.17013888888888901</v>
      </c>
      <c r="B247" s="2">
        <v>6.1800000000000006</v>
      </c>
      <c r="C247" s="2">
        <v>3.53</v>
      </c>
      <c r="D247" s="2">
        <v>5.07</v>
      </c>
      <c r="E247" s="2">
        <v>5.23</v>
      </c>
      <c r="F247" s="2">
        <v>3.0700000000000003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</row>
    <row r="248" spans="1:11" x14ac:dyDescent="0.2">
      <c r="A248" s="1">
        <v>0.170833333333333</v>
      </c>
      <c r="B248" s="2">
        <v>6.2</v>
      </c>
      <c r="C248" s="2">
        <v>3.7199999999999998</v>
      </c>
      <c r="D248" s="2">
        <v>4.87</v>
      </c>
      <c r="E248" s="2">
        <v>5.19</v>
      </c>
      <c r="F248" s="2">
        <v>2.99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 x14ac:dyDescent="0.2">
      <c r="A249" s="1">
        <v>0.171527777777778</v>
      </c>
      <c r="B249" s="2">
        <v>6.16</v>
      </c>
      <c r="C249" s="2">
        <v>3.6599999999999997</v>
      </c>
      <c r="D249" s="2">
        <v>5.17</v>
      </c>
      <c r="E249" s="2">
        <v>5.03</v>
      </c>
      <c r="F249" s="2">
        <v>3.29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</row>
    <row r="250" spans="1:11" x14ac:dyDescent="0.2">
      <c r="A250" s="1">
        <v>0.172222222222222</v>
      </c>
      <c r="B250" s="2">
        <v>6.24</v>
      </c>
      <c r="C250" s="2">
        <v>3.67</v>
      </c>
      <c r="D250" s="2">
        <v>4.92</v>
      </c>
      <c r="E250" s="2">
        <v>5.3800000000000008</v>
      </c>
      <c r="F250" s="2">
        <v>3.25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</row>
    <row r="251" spans="1:11" x14ac:dyDescent="0.2">
      <c r="A251" s="1">
        <v>0.172916666666667</v>
      </c>
      <c r="B251" s="2">
        <v>6.15</v>
      </c>
      <c r="C251" s="2">
        <v>3.5799999999999996</v>
      </c>
      <c r="D251" s="2">
        <v>5.2</v>
      </c>
      <c r="E251" s="2">
        <v>5.3800000000000008</v>
      </c>
      <c r="F251" s="2">
        <v>3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</row>
    <row r="252" spans="1:11" x14ac:dyDescent="0.2">
      <c r="A252" s="1">
        <v>0.17361111111111099</v>
      </c>
      <c r="B252" s="2">
        <v>6.3000000000000007</v>
      </c>
      <c r="C252" s="2">
        <v>3.7699999999999996</v>
      </c>
      <c r="D252" s="2">
        <v>4.9800000000000004</v>
      </c>
      <c r="E252" s="2">
        <v>5.23</v>
      </c>
      <c r="F252" s="2">
        <v>3.0100000000000002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</row>
    <row r="253" spans="1:11" x14ac:dyDescent="0.2">
      <c r="A253" s="1">
        <v>0.17430555555555599</v>
      </c>
      <c r="B253" s="2">
        <v>6.17</v>
      </c>
      <c r="C253" s="2">
        <v>3.55</v>
      </c>
      <c r="D253" s="2">
        <v>5.07</v>
      </c>
      <c r="E253" s="2">
        <v>5.04</v>
      </c>
      <c r="F253" s="2">
        <v>2.92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</row>
    <row r="254" spans="1:11" x14ac:dyDescent="0.2">
      <c r="A254" s="1">
        <v>0.17499999999999999</v>
      </c>
      <c r="B254" s="2">
        <v>6.17</v>
      </c>
      <c r="C254" s="2">
        <v>3.5999999999999996</v>
      </c>
      <c r="D254" s="2">
        <v>5.04</v>
      </c>
      <c r="E254" s="2">
        <v>5.13</v>
      </c>
      <c r="F254" s="2">
        <v>3.34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</row>
    <row r="255" spans="1:11" x14ac:dyDescent="0.2">
      <c r="A255" s="1">
        <v>0.17569444444444399</v>
      </c>
      <c r="B255" s="2">
        <v>6.2700000000000005</v>
      </c>
      <c r="C255" s="2">
        <v>3.59</v>
      </c>
      <c r="D255" s="2">
        <v>5.1000000000000005</v>
      </c>
      <c r="E255" s="2">
        <v>5.5200000000000005</v>
      </c>
      <c r="F255" s="2">
        <v>3.33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</row>
    <row r="256" spans="1:11" x14ac:dyDescent="0.2">
      <c r="A256" s="1">
        <v>0.17638888888888901</v>
      </c>
      <c r="B256" s="2">
        <v>6.28</v>
      </c>
      <c r="C256" s="2">
        <v>3.5199999999999996</v>
      </c>
      <c r="D256" s="2">
        <v>4.9800000000000004</v>
      </c>
      <c r="E256" s="2">
        <v>5.44</v>
      </c>
      <c r="F256" s="2">
        <v>2.95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</row>
    <row r="257" spans="1:11" x14ac:dyDescent="0.2">
      <c r="A257" s="1">
        <v>0.17708333333333301</v>
      </c>
      <c r="B257" s="2">
        <v>6.08</v>
      </c>
      <c r="C257" s="2">
        <v>3.63</v>
      </c>
      <c r="D257" s="2">
        <v>5.21</v>
      </c>
      <c r="E257" s="2">
        <v>4.87</v>
      </c>
      <c r="F257" s="2">
        <v>3.06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</row>
    <row r="258" spans="1:11" x14ac:dyDescent="0.2">
      <c r="A258" s="1">
        <v>0.17777777777777801</v>
      </c>
      <c r="B258" s="2">
        <v>6.1400000000000006</v>
      </c>
      <c r="C258" s="2">
        <v>3.5399999999999996</v>
      </c>
      <c r="D258" s="2">
        <v>5.07</v>
      </c>
      <c r="E258" s="2">
        <v>5.1400000000000006</v>
      </c>
      <c r="F258" s="2">
        <v>3.15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</row>
    <row r="259" spans="1:11" x14ac:dyDescent="0.2">
      <c r="A259" s="1">
        <v>0.178472222222222</v>
      </c>
      <c r="B259" s="2">
        <v>6.28</v>
      </c>
      <c r="C259" s="2">
        <v>3.65</v>
      </c>
      <c r="D259" s="2">
        <v>4.95</v>
      </c>
      <c r="E259" s="2">
        <v>5.0200000000000005</v>
      </c>
      <c r="F259" s="2">
        <v>3.3000000000000003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</row>
    <row r="260" spans="1:11" x14ac:dyDescent="0.2">
      <c r="A260" s="1">
        <v>0.179166666666667</v>
      </c>
      <c r="B260" s="2">
        <v>6.33</v>
      </c>
      <c r="C260" s="2">
        <v>3.5999999999999996</v>
      </c>
      <c r="D260" s="2">
        <v>4.88</v>
      </c>
      <c r="E260" s="2">
        <v>4.84</v>
      </c>
      <c r="F260" s="2">
        <v>2.93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</row>
    <row r="261" spans="1:11" x14ac:dyDescent="0.2">
      <c r="A261" s="1">
        <v>0.179861111111111</v>
      </c>
      <c r="B261" s="2">
        <v>6.3100000000000005</v>
      </c>
      <c r="C261" s="2">
        <v>3.59</v>
      </c>
      <c r="D261" s="2">
        <v>5.21</v>
      </c>
      <c r="E261" s="2">
        <v>5.2</v>
      </c>
      <c r="F261" s="2">
        <v>3.14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</row>
    <row r="262" spans="1:11" x14ac:dyDescent="0.2">
      <c r="A262" s="1">
        <v>0.180555555555556</v>
      </c>
      <c r="B262" s="2">
        <v>6.3100000000000005</v>
      </c>
      <c r="C262" s="2">
        <v>3.6799999999999997</v>
      </c>
      <c r="D262" s="2">
        <v>4.8900000000000006</v>
      </c>
      <c r="E262" s="2">
        <v>5.1800000000000006</v>
      </c>
      <c r="F262" s="2">
        <v>3.04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</row>
    <row r="263" spans="1:11" x14ac:dyDescent="0.2">
      <c r="A263" s="1">
        <v>0.18124999999999999</v>
      </c>
      <c r="B263" s="2">
        <v>6.2200000000000006</v>
      </c>
      <c r="C263" s="2">
        <v>3.75</v>
      </c>
      <c r="D263" s="2">
        <v>4.92</v>
      </c>
      <c r="E263" s="2">
        <v>4.88</v>
      </c>
      <c r="F263" s="2">
        <v>2.86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 x14ac:dyDescent="0.2">
      <c r="A264" s="1">
        <v>0.18194444444444399</v>
      </c>
      <c r="B264" s="2">
        <v>6.29</v>
      </c>
      <c r="C264" s="2">
        <v>3.6999999999999997</v>
      </c>
      <c r="D264" s="2">
        <v>5.1300000000000008</v>
      </c>
      <c r="E264" s="2">
        <v>4.84</v>
      </c>
      <c r="F264" s="2">
        <v>2.92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</row>
    <row r="265" spans="1:11" x14ac:dyDescent="0.2">
      <c r="A265" s="1">
        <v>0.18263888888888899</v>
      </c>
      <c r="B265" s="2">
        <v>6.08</v>
      </c>
      <c r="C265" s="2">
        <v>3.76</v>
      </c>
      <c r="D265" s="2">
        <v>4.9300000000000006</v>
      </c>
      <c r="E265" s="2">
        <v>5.21</v>
      </c>
      <c r="F265" s="2">
        <v>2.97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</row>
    <row r="266" spans="1:11" x14ac:dyDescent="0.2">
      <c r="A266" s="1">
        <v>0.18333333333333299</v>
      </c>
      <c r="B266" s="2">
        <v>6.1400000000000006</v>
      </c>
      <c r="C266" s="2">
        <v>3.78</v>
      </c>
      <c r="D266" s="2">
        <v>5.23</v>
      </c>
      <c r="E266" s="2">
        <v>5.2600000000000007</v>
      </c>
      <c r="F266" s="2">
        <v>3.17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 x14ac:dyDescent="0.2">
      <c r="A267" s="1">
        <v>0.18402777777777801</v>
      </c>
      <c r="B267" s="2">
        <v>6.1400000000000006</v>
      </c>
      <c r="C267" s="2">
        <v>3.6399999999999997</v>
      </c>
      <c r="D267" s="2">
        <v>5.12</v>
      </c>
      <c r="E267" s="2">
        <v>5.23</v>
      </c>
      <c r="F267" s="2">
        <v>3.2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</row>
    <row r="268" spans="1:11" x14ac:dyDescent="0.2">
      <c r="A268" s="1">
        <v>0.18472222222222201</v>
      </c>
      <c r="B268" s="2">
        <v>6.2</v>
      </c>
      <c r="C268" s="2">
        <v>3.5599999999999996</v>
      </c>
      <c r="D268" s="2">
        <v>5.08</v>
      </c>
      <c r="E268" s="2">
        <v>5.0600000000000005</v>
      </c>
      <c r="F268" s="2">
        <v>3.0500000000000003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</row>
    <row r="269" spans="1:11" x14ac:dyDescent="0.2">
      <c r="A269" s="1">
        <v>0.18541666666666701</v>
      </c>
      <c r="B269" s="2">
        <v>6.3100000000000005</v>
      </c>
      <c r="C269" s="2">
        <v>3.76</v>
      </c>
      <c r="D269" s="2">
        <v>5.16</v>
      </c>
      <c r="E269" s="2">
        <v>5.23</v>
      </c>
      <c r="F269" s="2">
        <v>3.0500000000000003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</row>
    <row r="270" spans="1:11" x14ac:dyDescent="0.2">
      <c r="A270" s="1">
        <v>0.18611111111111101</v>
      </c>
      <c r="B270" s="2">
        <v>6.2</v>
      </c>
      <c r="C270" s="2">
        <v>3.7399999999999998</v>
      </c>
      <c r="D270" s="2">
        <v>4.87</v>
      </c>
      <c r="E270" s="2">
        <v>5.48</v>
      </c>
      <c r="F270" s="2">
        <v>3.2800000000000002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</row>
    <row r="271" spans="1:11" x14ac:dyDescent="0.2">
      <c r="A271" s="1">
        <v>0.186805555555556</v>
      </c>
      <c r="B271" s="2">
        <v>6.25</v>
      </c>
      <c r="C271" s="2">
        <v>3.67</v>
      </c>
      <c r="D271" s="2">
        <v>4.9300000000000006</v>
      </c>
      <c r="E271" s="2">
        <v>5.32</v>
      </c>
      <c r="F271" s="2">
        <v>2.99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</row>
    <row r="272" spans="1:11" x14ac:dyDescent="0.2">
      <c r="A272" s="1">
        <v>0.1875</v>
      </c>
      <c r="B272" s="2">
        <v>6.2200000000000006</v>
      </c>
      <c r="C272" s="2">
        <v>3.75</v>
      </c>
      <c r="D272" s="2">
        <v>5.1300000000000008</v>
      </c>
      <c r="E272" s="2">
        <v>4.9400000000000004</v>
      </c>
      <c r="F272" s="2">
        <v>2.89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 x14ac:dyDescent="0.2">
      <c r="A273" s="1">
        <v>0.188194444444444</v>
      </c>
      <c r="B273" s="2">
        <v>6.09</v>
      </c>
      <c r="C273" s="2">
        <v>3.76</v>
      </c>
      <c r="D273" s="2">
        <v>5.08</v>
      </c>
      <c r="E273" s="2">
        <v>5.3800000000000008</v>
      </c>
      <c r="F273" s="2">
        <v>3.33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1:11" x14ac:dyDescent="0.2">
      <c r="A274" s="1">
        <v>0.18888888888888899</v>
      </c>
      <c r="B274" s="2">
        <v>6.32</v>
      </c>
      <c r="C274" s="2">
        <v>3.76</v>
      </c>
      <c r="D274" s="2">
        <v>4.9700000000000006</v>
      </c>
      <c r="E274" s="2">
        <v>5.2200000000000006</v>
      </c>
      <c r="F274" s="2">
        <v>3.18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</row>
    <row r="275" spans="1:11" x14ac:dyDescent="0.2">
      <c r="A275" s="1">
        <v>0.18958333333333299</v>
      </c>
      <c r="B275" s="2">
        <v>6.21</v>
      </c>
      <c r="C275" s="2">
        <v>3.6599999999999997</v>
      </c>
      <c r="D275" s="2">
        <v>5.1400000000000006</v>
      </c>
      <c r="E275" s="2">
        <v>5.0200000000000005</v>
      </c>
      <c r="F275" s="2">
        <v>2.88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</row>
    <row r="276" spans="1:11" x14ac:dyDescent="0.2">
      <c r="A276" s="1">
        <v>0.19027777777777799</v>
      </c>
      <c r="B276" s="2">
        <v>6.2200000000000006</v>
      </c>
      <c r="C276" s="2">
        <v>3.76</v>
      </c>
      <c r="D276" s="2">
        <v>5.0200000000000005</v>
      </c>
      <c r="E276" s="2">
        <v>4.8900000000000006</v>
      </c>
      <c r="F276" s="2">
        <v>3.1100000000000003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</row>
    <row r="277" spans="1:11" x14ac:dyDescent="0.2">
      <c r="A277" s="1">
        <v>0.19097222222222199</v>
      </c>
      <c r="B277" s="2">
        <v>6.24</v>
      </c>
      <c r="C277" s="2">
        <v>3.59</v>
      </c>
      <c r="D277" s="2">
        <v>5.1400000000000006</v>
      </c>
      <c r="E277" s="2">
        <v>4.95</v>
      </c>
      <c r="F277" s="2">
        <v>3.17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</row>
    <row r="278" spans="1:11" x14ac:dyDescent="0.2">
      <c r="A278" s="1">
        <v>0.19166666666666701</v>
      </c>
      <c r="B278" s="2">
        <v>6.28</v>
      </c>
      <c r="C278" s="2">
        <v>3.65</v>
      </c>
      <c r="D278" s="2">
        <v>4.91</v>
      </c>
      <c r="E278" s="2">
        <v>5.5100000000000007</v>
      </c>
      <c r="F278" s="2">
        <v>3.31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</row>
    <row r="279" spans="1:11" x14ac:dyDescent="0.2">
      <c r="A279" s="1">
        <v>0.19236111111111101</v>
      </c>
      <c r="B279" s="2">
        <v>6.2</v>
      </c>
      <c r="C279" s="2">
        <v>3.6599999999999997</v>
      </c>
      <c r="D279" s="2">
        <v>5.07</v>
      </c>
      <c r="E279" s="2">
        <v>5.12</v>
      </c>
      <c r="F279" s="2">
        <v>3.0700000000000003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</row>
    <row r="280" spans="1:11" x14ac:dyDescent="0.2">
      <c r="A280" s="1">
        <v>0.19305555555555601</v>
      </c>
      <c r="B280" s="2">
        <v>6.17</v>
      </c>
      <c r="C280" s="2">
        <v>3.73</v>
      </c>
      <c r="D280" s="2">
        <v>4.9300000000000006</v>
      </c>
      <c r="E280" s="2">
        <v>5.4700000000000006</v>
      </c>
      <c r="F280" s="2">
        <v>2.94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</row>
    <row r="281" spans="1:11" x14ac:dyDescent="0.2">
      <c r="A281" s="1">
        <v>0.19375000000000001</v>
      </c>
      <c r="B281" s="2">
        <v>6.21</v>
      </c>
      <c r="C281" s="2">
        <v>3.59</v>
      </c>
      <c r="D281" s="2">
        <v>5.19</v>
      </c>
      <c r="E281" s="2">
        <v>5.03</v>
      </c>
      <c r="F281" s="2">
        <v>3.0700000000000003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</row>
    <row r="282" spans="1:11" x14ac:dyDescent="0.2">
      <c r="A282" s="1">
        <v>0.194444444444444</v>
      </c>
      <c r="B282" s="2">
        <v>6.21</v>
      </c>
      <c r="C282" s="2">
        <v>3.71</v>
      </c>
      <c r="D282" s="2">
        <v>5.08</v>
      </c>
      <c r="E282" s="2">
        <v>4.9700000000000006</v>
      </c>
      <c r="F282" s="2">
        <v>2.92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</row>
    <row r="283" spans="1:11" x14ac:dyDescent="0.2">
      <c r="A283" s="1">
        <v>0.195138888888889</v>
      </c>
      <c r="B283" s="2">
        <v>6.11</v>
      </c>
      <c r="C283" s="2">
        <v>3.71</v>
      </c>
      <c r="D283" s="2">
        <v>4.91</v>
      </c>
      <c r="E283" s="2">
        <v>4.9000000000000004</v>
      </c>
      <c r="F283" s="2">
        <v>3.31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</row>
    <row r="284" spans="1:11" x14ac:dyDescent="0.2">
      <c r="A284" s="1">
        <v>0.195833333333333</v>
      </c>
      <c r="B284" s="2">
        <v>6.33</v>
      </c>
      <c r="C284" s="2">
        <v>3.5399999999999996</v>
      </c>
      <c r="D284" s="2">
        <v>5.21</v>
      </c>
      <c r="E284" s="2">
        <v>5.28</v>
      </c>
      <c r="F284" s="2">
        <v>3.1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</row>
    <row r="285" spans="1:11" x14ac:dyDescent="0.2">
      <c r="A285" s="1">
        <v>0.196527777777778</v>
      </c>
      <c r="B285" s="2">
        <v>6.15</v>
      </c>
      <c r="C285" s="2">
        <v>3.5199999999999996</v>
      </c>
      <c r="D285" s="2">
        <v>5.07</v>
      </c>
      <c r="E285" s="2">
        <v>5.4</v>
      </c>
      <c r="F285" s="2">
        <v>3.29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</row>
    <row r="286" spans="1:11" x14ac:dyDescent="0.2">
      <c r="A286" s="1">
        <v>0.19722222222222199</v>
      </c>
      <c r="B286" s="2">
        <v>6.3100000000000005</v>
      </c>
      <c r="C286" s="2">
        <v>3.63</v>
      </c>
      <c r="D286" s="2">
        <v>5.0500000000000007</v>
      </c>
      <c r="E286" s="2">
        <v>5.41</v>
      </c>
      <c r="F286" s="2">
        <v>2.94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</row>
    <row r="287" spans="1:11" x14ac:dyDescent="0.2">
      <c r="A287" s="1">
        <v>0.19791666666666699</v>
      </c>
      <c r="B287" s="2">
        <v>6.17</v>
      </c>
      <c r="C287" s="2">
        <v>3.69</v>
      </c>
      <c r="D287" s="2">
        <v>5.0500000000000007</v>
      </c>
      <c r="E287" s="2">
        <v>4.96</v>
      </c>
      <c r="F287" s="2">
        <v>2.86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1:11" x14ac:dyDescent="0.2">
      <c r="A288" s="1">
        <v>0.19861111111111099</v>
      </c>
      <c r="B288" s="2">
        <v>6.21</v>
      </c>
      <c r="C288" s="2">
        <v>3.5599999999999996</v>
      </c>
      <c r="D288" s="2">
        <v>5.23</v>
      </c>
      <c r="E288" s="2">
        <v>5.5</v>
      </c>
      <c r="F288" s="2">
        <v>3.02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</row>
    <row r="289" spans="1:11" x14ac:dyDescent="0.2">
      <c r="A289" s="1">
        <v>0.19930555555555601</v>
      </c>
      <c r="B289" s="2">
        <v>6.07</v>
      </c>
      <c r="C289" s="2">
        <v>3.6199999999999997</v>
      </c>
      <c r="D289" s="2">
        <v>5.0100000000000007</v>
      </c>
      <c r="E289" s="2">
        <v>5.24</v>
      </c>
      <c r="F289" s="2">
        <v>3.19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</row>
    <row r="290" spans="1:11" x14ac:dyDescent="0.2">
      <c r="A290" s="1">
        <v>0.2</v>
      </c>
      <c r="B290" s="2">
        <v>6.33</v>
      </c>
      <c r="C290" s="2">
        <v>3.76</v>
      </c>
      <c r="D290" s="2">
        <v>4.8900000000000006</v>
      </c>
      <c r="E290" s="2">
        <v>5.29</v>
      </c>
      <c r="F290" s="2">
        <v>2.86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</row>
    <row r="291" spans="1:11" x14ac:dyDescent="0.2">
      <c r="A291" s="1">
        <v>0.20069444444444401</v>
      </c>
      <c r="B291" s="2">
        <v>6.33</v>
      </c>
      <c r="C291" s="2">
        <v>3.78</v>
      </c>
      <c r="D291" s="2">
        <v>5</v>
      </c>
      <c r="E291" s="2">
        <v>5.1000000000000005</v>
      </c>
      <c r="F291" s="2">
        <v>2.84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</row>
    <row r="292" spans="1:11" x14ac:dyDescent="0.2">
      <c r="A292" s="1">
        <v>0.20138888888888901</v>
      </c>
      <c r="B292" s="2">
        <v>6.24</v>
      </c>
      <c r="C292" s="2">
        <v>3.59</v>
      </c>
      <c r="D292" s="2">
        <v>4.95</v>
      </c>
      <c r="E292" s="2">
        <v>5.2600000000000007</v>
      </c>
      <c r="F292" s="2">
        <v>2.97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1:11" x14ac:dyDescent="0.2">
      <c r="A293" s="1">
        <v>0.202083333333333</v>
      </c>
      <c r="B293" s="2">
        <v>6.1800000000000006</v>
      </c>
      <c r="C293" s="2">
        <v>3.6199999999999997</v>
      </c>
      <c r="D293" s="2">
        <v>5.19</v>
      </c>
      <c r="E293" s="2">
        <v>4.8600000000000003</v>
      </c>
      <c r="F293" s="2">
        <v>3.29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 x14ac:dyDescent="0.2">
      <c r="A294" s="1">
        <v>0.202777777777778</v>
      </c>
      <c r="B294" s="2">
        <v>6.24</v>
      </c>
      <c r="C294" s="2">
        <v>3.6199999999999997</v>
      </c>
      <c r="D294" s="2">
        <v>5.2</v>
      </c>
      <c r="E294" s="2">
        <v>4.88</v>
      </c>
      <c r="F294" s="2">
        <v>2.83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</row>
    <row r="295" spans="1:11" x14ac:dyDescent="0.2">
      <c r="A295" s="1">
        <v>0.203472222222222</v>
      </c>
      <c r="B295" s="2">
        <v>6.15</v>
      </c>
      <c r="C295" s="2">
        <v>3.5599999999999996</v>
      </c>
      <c r="D295" s="2">
        <v>4.9300000000000006</v>
      </c>
      <c r="E295" s="2">
        <v>5.3900000000000006</v>
      </c>
      <c r="F295" s="2">
        <v>3.3200000000000003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</row>
    <row r="296" spans="1:11" x14ac:dyDescent="0.2">
      <c r="A296" s="1">
        <v>0.204166666666667</v>
      </c>
      <c r="B296" s="2">
        <v>6.28</v>
      </c>
      <c r="C296" s="2">
        <v>3.73</v>
      </c>
      <c r="D296" s="2">
        <v>5.23</v>
      </c>
      <c r="E296" s="2">
        <v>5.15</v>
      </c>
      <c r="F296" s="2">
        <v>3.15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</row>
    <row r="297" spans="1:11" x14ac:dyDescent="0.2">
      <c r="A297" s="1">
        <v>0.20486111111111099</v>
      </c>
      <c r="B297" s="2">
        <v>6.23</v>
      </c>
      <c r="C297" s="2">
        <v>3.6599999999999997</v>
      </c>
      <c r="D297" s="2">
        <v>5.1100000000000003</v>
      </c>
      <c r="E297" s="2">
        <v>5.24</v>
      </c>
      <c r="F297" s="2">
        <v>3.29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</row>
    <row r="298" spans="1:11" x14ac:dyDescent="0.2">
      <c r="A298" s="1">
        <v>0.20555555555555599</v>
      </c>
      <c r="B298" s="2">
        <v>6.12</v>
      </c>
      <c r="C298" s="2">
        <v>3.55</v>
      </c>
      <c r="D298" s="2">
        <v>4.9400000000000004</v>
      </c>
      <c r="E298" s="2">
        <v>5.23</v>
      </c>
      <c r="F298" s="2">
        <v>2.86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</row>
    <row r="299" spans="1:11" x14ac:dyDescent="0.2">
      <c r="A299" s="1">
        <v>0.20624999999999999</v>
      </c>
      <c r="B299" s="2">
        <v>6.23</v>
      </c>
      <c r="C299" s="2">
        <v>3.76</v>
      </c>
      <c r="D299" s="2">
        <v>5.2200000000000006</v>
      </c>
      <c r="E299" s="2">
        <v>5.15</v>
      </c>
      <c r="F299" s="2">
        <v>3.25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 x14ac:dyDescent="0.2">
      <c r="A300" s="1">
        <v>0.20694444444444399</v>
      </c>
      <c r="B300" s="2">
        <v>6.1400000000000006</v>
      </c>
      <c r="C300" s="2">
        <v>3.5199999999999996</v>
      </c>
      <c r="D300" s="2">
        <v>5.0200000000000005</v>
      </c>
      <c r="E300" s="2">
        <v>5.09</v>
      </c>
      <c r="F300" s="2">
        <v>2.91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</row>
    <row r="301" spans="1:11" x14ac:dyDescent="0.2">
      <c r="A301" s="1">
        <v>0.20763888888888901</v>
      </c>
      <c r="B301" s="2">
        <v>6.1800000000000006</v>
      </c>
      <c r="C301" s="2">
        <v>3.73</v>
      </c>
      <c r="D301" s="2">
        <v>5.0200000000000005</v>
      </c>
      <c r="E301" s="2">
        <v>5.04</v>
      </c>
      <c r="F301" s="2">
        <v>2.84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</row>
    <row r="302" spans="1:11" x14ac:dyDescent="0.2">
      <c r="A302" s="3">
        <v>0.20833333333333301</v>
      </c>
      <c r="B302" s="4">
        <v>6.19</v>
      </c>
      <c r="C302" s="4">
        <v>3.67</v>
      </c>
      <c r="D302" s="4">
        <v>5.09</v>
      </c>
      <c r="E302" s="4">
        <v>5.26</v>
      </c>
      <c r="F302" s="4">
        <v>3.09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 x14ac:dyDescent="0.2">
      <c r="A303" s="1">
        <v>0.20902777777777801</v>
      </c>
      <c r="B303" s="2">
        <v>6.17</v>
      </c>
      <c r="C303" s="2">
        <v>3.78</v>
      </c>
      <c r="D303" s="2">
        <v>4.88</v>
      </c>
      <c r="E303" s="2">
        <v>5.2700000000000005</v>
      </c>
      <c r="F303" s="2">
        <v>2.99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1:11" x14ac:dyDescent="0.2">
      <c r="A304" s="1">
        <v>0.209722222222222</v>
      </c>
      <c r="B304" s="2">
        <v>6.2200000000000006</v>
      </c>
      <c r="C304" s="2">
        <v>3.7399999999999998</v>
      </c>
      <c r="D304" s="2">
        <v>5.1100000000000003</v>
      </c>
      <c r="E304" s="2">
        <v>5.08</v>
      </c>
      <c r="F304" s="2">
        <v>3.02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</row>
    <row r="305" spans="1:11" x14ac:dyDescent="0.2">
      <c r="A305" s="1">
        <v>0.210416666666667</v>
      </c>
      <c r="B305" s="2">
        <v>6.13</v>
      </c>
      <c r="C305" s="2">
        <v>3.53</v>
      </c>
      <c r="D305" s="2">
        <v>5.19</v>
      </c>
      <c r="E305" s="2">
        <v>5.32</v>
      </c>
      <c r="F305" s="2">
        <v>2.85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</row>
    <row r="306" spans="1:11" x14ac:dyDescent="0.2">
      <c r="A306" s="1">
        <v>0.211111111111111</v>
      </c>
      <c r="B306" s="2">
        <v>6.29</v>
      </c>
      <c r="C306" s="2">
        <v>3.61</v>
      </c>
      <c r="D306" s="2">
        <v>4.96</v>
      </c>
      <c r="E306" s="2">
        <v>5.25</v>
      </c>
      <c r="F306" s="2">
        <v>3.34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</row>
    <row r="307" spans="1:11" x14ac:dyDescent="0.2">
      <c r="A307" s="1">
        <v>0.211805555555556</v>
      </c>
      <c r="B307" s="2">
        <v>6.23</v>
      </c>
      <c r="C307" s="2">
        <v>3.55</v>
      </c>
      <c r="D307" s="2">
        <v>5.21</v>
      </c>
      <c r="E307" s="2">
        <v>5.4700000000000006</v>
      </c>
      <c r="F307" s="2">
        <v>2.84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</row>
    <row r="308" spans="1:11" x14ac:dyDescent="0.2">
      <c r="A308" s="1">
        <v>0.21249999999999999</v>
      </c>
      <c r="B308" s="2">
        <v>6.2</v>
      </c>
      <c r="C308" s="2">
        <v>3.51</v>
      </c>
      <c r="D308" s="2">
        <v>5.04</v>
      </c>
      <c r="E308" s="2">
        <v>5.44</v>
      </c>
      <c r="F308" s="2">
        <v>2.95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 x14ac:dyDescent="0.2">
      <c r="A309" s="1">
        <v>0.21319444444444399</v>
      </c>
      <c r="B309" s="2">
        <v>6.07</v>
      </c>
      <c r="C309" s="2">
        <v>3.7699999999999996</v>
      </c>
      <c r="D309" s="2">
        <v>5.1800000000000006</v>
      </c>
      <c r="E309" s="2">
        <v>5.19</v>
      </c>
      <c r="F309" s="2">
        <v>3.17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</row>
    <row r="310" spans="1:11" x14ac:dyDescent="0.2">
      <c r="A310" s="1">
        <v>0.21388888888888899</v>
      </c>
      <c r="B310" s="2">
        <v>6.1000000000000005</v>
      </c>
      <c r="C310" s="2">
        <v>3.5199999999999996</v>
      </c>
      <c r="D310" s="2">
        <v>4.91</v>
      </c>
      <c r="E310" s="2">
        <v>5.07</v>
      </c>
      <c r="F310" s="2">
        <v>3.23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 x14ac:dyDescent="0.2">
      <c r="A311" s="1">
        <v>0.21458333333333299</v>
      </c>
      <c r="B311" s="2">
        <v>6.1000000000000005</v>
      </c>
      <c r="C311" s="2">
        <v>3.6599999999999997</v>
      </c>
      <c r="D311" s="2">
        <v>5.24</v>
      </c>
      <c r="E311" s="2">
        <v>4.9400000000000004</v>
      </c>
      <c r="F311" s="2">
        <v>3.35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 x14ac:dyDescent="0.2">
      <c r="A312" s="1">
        <v>0.21527777777777801</v>
      </c>
      <c r="B312" s="2">
        <v>6.28</v>
      </c>
      <c r="C312" s="2">
        <v>3.67</v>
      </c>
      <c r="D312" s="2">
        <v>4.9700000000000006</v>
      </c>
      <c r="E312" s="2">
        <v>5.29</v>
      </c>
      <c r="F312" s="2">
        <v>3.14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 x14ac:dyDescent="0.2">
      <c r="A313" s="1">
        <v>0.21597222222222201</v>
      </c>
      <c r="B313" s="2">
        <v>6.25</v>
      </c>
      <c r="C313" s="2">
        <v>3.76</v>
      </c>
      <c r="D313" s="2">
        <v>5.0200000000000005</v>
      </c>
      <c r="E313" s="2">
        <v>5.2</v>
      </c>
      <c r="F313" s="2">
        <v>2.93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 x14ac:dyDescent="0.2">
      <c r="A314" s="1">
        <v>0.21666666666666701</v>
      </c>
      <c r="B314" s="2">
        <v>6.25</v>
      </c>
      <c r="C314" s="2">
        <v>3.5599999999999996</v>
      </c>
      <c r="D314" s="2">
        <v>5</v>
      </c>
      <c r="E314" s="2">
        <v>5.1000000000000005</v>
      </c>
      <c r="F314" s="2">
        <v>3.09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 x14ac:dyDescent="0.2">
      <c r="A315" s="1">
        <v>0.21736111111111101</v>
      </c>
      <c r="B315" s="2">
        <v>6.3100000000000005</v>
      </c>
      <c r="C315" s="2">
        <v>3.6399999999999997</v>
      </c>
      <c r="D315" s="2">
        <v>5</v>
      </c>
      <c r="E315" s="2">
        <v>4.87</v>
      </c>
      <c r="F315" s="2">
        <v>3.35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 x14ac:dyDescent="0.2">
      <c r="A316" s="1">
        <v>0.218055555555556</v>
      </c>
      <c r="B316" s="2">
        <v>6.1400000000000006</v>
      </c>
      <c r="C316" s="2">
        <v>3.57</v>
      </c>
      <c r="D316" s="2">
        <v>5.2600000000000007</v>
      </c>
      <c r="E316" s="2">
        <v>4.9800000000000004</v>
      </c>
      <c r="F316" s="2">
        <v>2.97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 x14ac:dyDescent="0.2">
      <c r="A317" s="1">
        <v>0.21875</v>
      </c>
      <c r="B317" s="2">
        <v>6.07</v>
      </c>
      <c r="C317" s="2">
        <v>3.57</v>
      </c>
      <c r="D317" s="2">
        <v>5.17</v>
      </c>
      <c r="E317" s="2">
        <v>5.07</v>
      </c>
      <c r="F317" s="2">
        <v>2.99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 x14ac:dyDescent="0.2">
      <c r="A318" s="1">
        <v>0.219444444444444</v>
      </c>
      <c r="B318" s="2">
        <v>6.15</v>
      </c>
      <c r="C318" s="2">
        <v>3.6999999999999997</v>
      </c>
      <c r="D318" s="2">
        <v>4.8900000000000006</v>
      </c>
      <c r="E318" s="2">
        <v>5.3000000000000007</v>
      </c>
      <c r="F318" s="2">
        <v>2.85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</row>
    <row r="319" spans="1:11" x14ac:dyDescent="0.2">
      <c r="A319" s="1">
        <v>0.22013888888888899</v>
      </c>
      <c r="B319" s="2">
        <v>6.16</v>
      </c>
      <c r="C319" s="2">
        <v>3.67</v>
      </c>
      <c r="D319" s="2">
        <v>4.8600000000000003</v>
      </c>
      <c r="E319" s="2">
        <v>4.9800000000000004</v>
      </c>
      <c r="F319" s="2">
        <v>3.3000000000000003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 x14ac:dyDescent="0.2">
      <c r="A320" s="1">
        <v>0.22083333333333299</v>
      </c>
      <c r="B320" s="2">
        <v>6.12</v>
      </c>
      <c r="C320" s="2">
        <v>3.51</v>
      </c>
      <c r="D320" s="2">
        <v>5.21</v>
      </c>
      <c r="E320" s="2">
        <v>5.5100000000000007</v>
      </c>
      <c r="F320" s="2">
        <v>2.86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 x14ac:dyDescent="0.2">
      <c r="A321" s="1">
        <v>0.22152777777777799</v>
      </c>
      <c r="B321" s="2">
        <v>6.29</v>
      </c>
      <c r="C321" s="2">
        <v>3.6999999999999997</v>
      </c>
      <c r="D321" s="2">
        <v>5.19</v>
      </c>
      <c r="E321" s="2">
        <v>5.4</v>
      </c>
      <c r="F321" s="2">
        <v>3.12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</row>
    <row r="322" spans="1:11" x14ac:dyDescent="0.2">
      <c r="A322" s="1">
        <v>0.22222222222222199</v>
      </c>
      <c r="B322" s="2">
        <v>6.25</v>
      </c>
      <c r="C322" s="2">
        <v>3.5799999999999996</v>
      </c>
      <c r="D322" s="2">
        <v>4.88</v>
      </c>
      <c r="E322" s="2">
        <v>5.21</v>
      </c>
      <c r="F322" s="2">
        <v>3.1100000000000003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 x14ac:dyDescent="0.2">
      <c r="A323" s="1">
        <v>0.22291666666666701</v>
      </c>
      <c r="B323" s="2">
        <v>6.1400000000000006</v>
      </c>
      <c r="C323" s="2">
        <v>3.6799999999999997</v>
      </c>
      <c r="D323" s="2">
        <v>5.2</v>
      </c>
      <c r="E323" s="2">
        <v>4.99</v>
      </c>
      <c r="F323" s="2">
        <v>3.34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 x14ac:dyDescent="0.2">
      <c r="A324" s="1">
        <v>0.22361111111111101</v>
      </c>
      <c r="B324" s="2">
        <v>6.25</v>
      </c>
      <c r="C324" s="2">
        <v>3.57</v>
      </c>
      <c r="D324" s="2">
        <v>4.9400000000000004</v>
      </c>
      <c r="E324" s="2">
        <v>5.08</v>
      </c>
      <c r="F324" s="2">
        <v>3.09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 x14ac:dyDescent="0.2">
      <c r="A325" s="1">
        <v>0.22430555555555601</v>
      </c>
      <c r="B325" s="2">
        <v>6.28</v>
      </c>
      <c r="C325" s="2">
        <v>3.6399999999999997</v>
      </c>
      <c r="D325" s="2">
        <v>5.07</v>
      </c>
      <c r="E325" s="2">
        <v>5.19</v>
      </c>
      <c r="F325" s="2">
        <v>3.1100000000000003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 x14ac:dyDescent="0.2">
      <c r="A326" s="1">
        <v>0.22500000000000001</v>
      </c>
      <c r="B326" s="2">
        <v>6.24</v>
      </c>
      <c r="C326" s="2">
        <v>3.75</v>
      </c>
      <c r="D326" s="2">
        <v>4.8600000000000003</v>
      </c>
      <c r="E326" s="2">
        <v>5.46</v>
      </c>
      <c r="F326" s="2">
        <v>3.35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 x14ac:dyDescent="0.2">
      <c r="A327" s="1">
        <v>0.225694444444444</v>
      </c>
      <c r="B327" s="2">
        <v>6.29</v>
      </c>
      <c r="C327" s="2">
        <v>3.75</v>
      </c>
      <c r="D327" s="2">
        <v>4.92</v>
      </c>
      <c r="E327" s="2">
        <v>5.4700000000000006</v>
      </c>
      <c r="F327" s="2">
        <v>3.16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 x14ac:dyDescent="0.2">
      <c r="A328" s="1">
        <v>0.226388888888889</v>
      </c>
      <c r="B328" s="2">
        <v>6.3100000000000005</v>
      </c>
      <c r="C328" s="2">
        <v>3.5599999999999996</v>
      </c>
      <c r="D328" s="2">
        <v>4.9000000000000004</v>
      </c>
      <c r="E328" s="2">
        <v>5.07</v>
      </c>
      <c r="F328" s="2">
        <v>3.15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 x14ac:dyDescent="0.2">
      <c r="A329" s="1">
        <v>0.227083333333333</v>
      </c>
      <c r="B329" s="2">
        <v>6.2700000000000005</v>
      </c>
      <c r="C329" s="2">
        <v>3.71</v>
      </c>
      <c r="D329" s="2">
        <v>5.0200000000000005</v>
      </c>
      <c r="E329" s="2">
        <v>5.36</v>
      </c>
      <c r="F329" s="2">
        <v>2.92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 x14ac:dyDescent="0.2">
      <c r="A330" s="1">
        <v>0.227777777777778</v>
      </c>
      <c r="B330" s="2">
        <v>6.32</v>
      </c>
      <c r="C330" s="2">
        <v>3.55</v>
      </c>
      <c r="D330" s="2">
        <v>5.21</v>
      </c>
      <c r="E330" s="2">
        <v>5.3900000000000006</v>
      </c>
      <c r="F330" s="2">
        <v>3.06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 x14ac:dyDescent="0.2">
      <c r="A331" s="1">
        <v>0.22847222222222199</v>
      </c>
      <c r="B331" s="2">
        <v>6.25</v>
      </c>
      <c r="C331" s="2">
        <v>3.59</v>
      </c>
      <c r="D331" s="2">
        <v>5</v>
      </c>
      <c r="E331" s="2">
        <v>5.3000000000000007</v>
      </c>
      <c r="F331" s="2">
        <v>3.0500000000000003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</row>
    <row r="332" spans="1:11" x14ac:dyDescent="0.2">
      <c r="A332" s="1">
        <v>0.22916666666666699</v>
      </c>
      <c r="B332" s="2">
        <v>6.1400000000000006</v>
      </c>
      <c r="C332" s="2">
        <v>3.61</v>
      </c>
      <c r="D332" s="2">
        <v>5.08</v>
      </c>
      <c r="E332" s="2">
        <v>5.5200000000000005</v>
      </c>
      <c r="F332" s="2">
        <v>2.89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 x14ac:dyDescent="0.2">
      <c r="A333" s="1">
        <v>0.22986111111111099</v>
      </c>
      <c r="B333" s="2">
        <v>6.32</v>
      </c>
      <c r="C333" s="2">
        <v>3.76</v>
      </c>
      <c r="D333" s="2">
        <v>4.99</v>
      </c>
      <c r="E333" s="2">
        <v>5.15</v>
      </c>
      <c r="F333" s="2">
        <v>3.0100000000000002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 x14ac:dyDescent="0.2">
      <c r="A334" s="1">
        <v>0.23055555555555601</v>
      </c>
      <c r="B334" s="2">
        <v>6.3000000000000007</v>
      </c>
      <c r="C334" s="2">
        <v>3.61</v>
      </c>
      <c r="D334" s="2">
        <v>5.12</v>
      </c>
      <c r="E334" s="2">
        <v>4.9400000000000004</v>
      </c>
      <c r="F334" s="2">
        <v>2.9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</row>
    <row r="335" spans="1:11" x14ac:dyDescent="0.2">
      <c r="A335" s="1">
        <v>0.23125000000000001</v>
      </c>
      <c r="B335" s="2">
        <v>6.28</v>
      </c>
      <c r="C335" s="2">
        <v>3.6799999999999997</v>
      </c>
      <c r="D335" s="2">
        <v>5.1400000000000006</v>
      </c>
      <c r="E335" s="2">
        <v>5.0100000000000007</v>
      </c>
      <c r="F335" s="2">
        <v>2.9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 x14ac:dyDescent="0.2">
      <c r="A336" s="1">
        <v>0.23194444444444401</v>
      </c>
      <c r="B336" s="2">
        <v>6.2700000000000005</v>
      </c>
      <c r="C336" s="2">
        <v>3.7699999999999996</v>
      </c>
      <c r="D336" s="2">
        <v>5.16</v>
      </c>
      <c r="E336" s="2">
        <v>5</v>
      </c>
      <c r="F336" s="2">
        <v>3.2800000000000002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</row>
    <row r="337" spans="1:11" x14ac:dyDescent="0.2">
      <c r="A337" s="1">
        <v>0.23263888888888901</v>
      </c>
      <c r="B337" s="2">
        <v>6.25</v>
      </c>
      <c r="C337" s="2">
        <v>3.7399999999999998</v>
      </c>
      <c r="D337" s="2">
        <v>5.04</v>
      </c>
      <c r="E337" s="2">
        <v>5.28</v>
      </c>
      <c r="F337" s="2">
        <v>3.15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</row>
    <row r="338" spans="1:11" x14ac:dyDescent="0.2">
      <c r="A338" s="1">
        <v>0.233333333333333</v>
      </c>
      <c r="B338" s="2">
        <v>6.19</v>
      </c>
      <c r="C338" s="2">
        <v>3.78</v>
      </c>
      <c r="D338" s="2">
        <v>5</v>
      </c>
      <c r="E338" s="2">
        <v>5.4300000000000006</v>
      </c>
      <c r="F338" s="2">
        <v>2.85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 x14ac:dyDescent="0.2">
      <c r="A339" s="1">
        <v>0.234027777777778</v>
      </c>
      <c r="B339" s="2">
        <v>6.28</v>
      </c>
      <c r="C339" s="2">
        <v>3.7399999999999998</v>
      </c>
      <c r="D339" s="2">
        <v>5.0600000000000005</v>
      </c>
      <c r="E339" s="2">
        <v>5.37</v>
      </c>
      <c r="F339" s="2">
        <v>3.04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</row>
    <row r="340" spans="1:11" x14ac:dyDescent="0.2">
      <c r="A340" s="1">
        <v>0.234722222222222</v>
      </c>
      <c r="B340" s="2">
        <v>6.24</v>
      </c>
      <c r="C340" s="2">
        <v>3.5599999999999996</v>
      </c>
      <c r="D340" s="2">
        <v>5.1400000000000006</v>
      </c>
      <c r="E340" s="2">
        <v>5.0600000000000005</v>
      </c>
      <c r="F340" s="2">
        <v>3.02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 x14ac:dyDescent="0.2">
      <c r="A341" s="1">
        <v>0.235416666666667</v>
      </c>
      <c r="B341" s="2">
        <v>6.16</v>
      </c>
      <c r="C341" s="2">
        <v>3.6599999999999997</v>
      </c>
      <c r="D341" s="2">
        <v>5.1000000000000005</v>
      </c>
      <c r="E341" s="2">
        <v>5.4700000000000006</v>
      </c>
      <c r="F341" s="2">
        <v>3.0700000000000003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 x14ac:dyDescent="0.2">
      <c r="A342" s="1">
        <v>0.23611111111111099</v>
      </c>
      <c r="B342" s="2">
        <v>6.2600000000000007</v>
      </c>
      <c r="C342" s="2">
        <v>3.67</v>
      </c>
      <c r="D342" s="2">
        <v>4.91</v>
      </c>
      <c r="E342" s="2">
        <v>5.4300000000000006</v>
      </c>
      <c r="F342" s="2">
        <v>3.18</v>
      </c>
      <c r="G342" s="6">
        <v>50</v>
      </c>
      <c r="H342" s="6">
        <v>65</v>
      </c>
      <c r="I342" s="6">
        <v>68</v>
      </c>
      <c r="J342" s="6">
        <v>53</v>
      </c>
      <c r="K342" s="6">
        <v>80</v>
      </c>
    </row>
    <row r="343" spans="1:11" x14ac:dyDescent="0.2">
      <c r="A343" s="1">
        <v>0.23680555555555599</v>
      </c>
      <c r="B343" s="2">
        <v>6.1800000000000006</v>
      </c>
      <c r="C343" s="2">
        <v>3.76</v>
      </c>
      <c r="D343" s="2">
        <v>5.1100000000000003</v>
      </c>
      <c r="E343" s="2">
        <v>5.33</v>
      </c>
      <c r="F343" s="2">
        <v>2.96</v>
      </c>
      <c r="G343" s="6">
        <v>100</v>
      </c>
      <c r="H343" s="6">
        <v>150</v>
      </c>
      <c r="I343" s="6">
        <v>204</v>
      </c>
      <c r="J343" s="6">
        <v>105</v>
      </c>
      <c r="K343" s="6">
        <v>200</v>
      </c>
    </row>
    <row r="344" spans="1:11" x14ac:dyDescent="0.2">
      <c r="A344" s="1">
        <v>0.23749999999999999</v>
      </c>
      <c r="B344" s="2">
        <v>6.2200000000000006</v>
      </c>
      <c r="C344" s="2">
        <v>3.67</v>
      </c>
      <c r="D344" s="2">
        <v>4.87</v>
      </c>
      <c r="E344" s="2">
        <v>5.46</v>
      </c>
      <c r="F344" s="2">
        <v>3.25</v>
      </c>
      <c r="G344" s="6">
        <v>156</v>
      </c>
      <c r="H344" s="6">
        <v>456</v>
      </c>
      <c r="I344" s="6">
        <v>482</v>
      </c>
      <c r="J344" s="6">
        <v>346</v>
      </c>
      <c r="K344" s="6">
        <v>450</v>
      </c>
    </row>
    <row r="345" spans="1:11" x14ac:dyDescent="0.2">
      <c r="A345" s="1">
        <v>0.23819444444444399</v>
      </c>
      <c r="B345" s="2">
        <v>6.17</v>
      </c>
      <c r="C345" s="2">
        <v>3.7399999999999998</v>
      </c>
      <c r="D345" s="2">
        <v>5.1400000000000006</v>
      </c>
      <c r="E345" s="2">
        <v>5.0100000000000007</v>
      </c>
      <c r="F345" s="2">
        <v>3.0700000000000003</v>
      </c>
      <c r="G345" s="6">
        <v>200</v>
      </c>
      <c r="H345" s="6">
        <v>235</v>
      </c>
      <c r="I345" s="6">
        <v>356</v>
      </c>
      <c r="J345" s="6">
        <v>284</v>
      </c>
      <c r="K345" s="6">
        <v>678</v>
      </c>
    </row>
    <row r="346" spans="1:11" x14ac:dyDescent="0.2">
      <c r="A346" s="1">
        <v>0.23888888888888901</v>
      </c>
      <c r="B346" s="2">
        <v>6.17</v>
      </c>
      <c r="C346" s="2">
        <v>3.71</v>
      </c>
      <c r="D346" s="2">
        <v>5.19</v>
      </c>
      <c r="E346" s="2">
        <v>5.44</v>
      </c>
      <c r="F346" s="2">
        <v>2.86</v>
      </c>
      <c r="G346" s="6">
        <v>278</v>
      </c>
      <c r="H346" s="6">
        <v>348</v>
      </c>
      <c r="I346" s="6">
        <v>487</v>
      </c>
      <c r="J346" s="6">
        <v>497</v>
      </c>
      <c r="K346" s="6">
        <v>544</v>
      </c>
    </row>
    <row r="347" spans="1:11" x14ac:dyDescent="0.2">
      <c r="A347" s="1">
        <v>0.23958333333333301</v>
      </c>
      <c r="B347" s="2">
        <v>6.19</v>
      </c>
      <c r="C347" s="2">
        <v>3.71</v>
      </c>
      <c r="D347" s="2">
        <v>5.25</v>
      </c>
      <c r="E347" s="2">
        <v>5.25</v>
      </c>
      <c r="F347" s="2">
        <v>2.92</v>
      </c>
      <c r="G347" s="6">
        <v>345</v>
      </c>
      <c r="H347" s="6">
        <v>567</v>
      </c>
      <c r="I347" s="6">
        <v>461</v>
      </c>
      <c r="J347" s="6">
        <v>354</v>
      </c>
      <c r="K347" s="6">
        <v>289</v>
      </c>
    </row>
    <row r="348" spans="1:11" x14ac:dyDescent="0.2">
      <c r="A348" s="1">
        <v>0.24027777777777801</v>
      </c>
      <c r="B348" s="2">
        <v>6.24</v>
      </c>
      <c r="C348" s="2">
        <v>3.7199999999999998</v>
      </c>
      <c r="D348" s="2">
        <v>4.8900000000000006</v>
      </c>
      <c r="E348" s="2">
        <v>5.37</v>
      </c>
      <c r="F348" s="2">
        <v>2.86</v>
      </c>
      <c r="G348" s="6">
        <v>367</v>
      </c>
      <c r="H348" s="6">
        <v>481</v>
      </c>
      <c r="I348" s="6">
        <v>348</v>
      </c>
      <c r="J348" s="6">
        <v>455</v>
      </c>
      <c r="K348" s="6">
        <v>385</v>
      </c>
    </row>
    <row r="349" spans="1:11" x14ac:dyDescent="0.2">
      <c r="A349" s="1">
        <v>0.240972222222222</v>
      </c>
      <c r="B349" s="2">
        <v>6.2700000000000005</v>
      </c>
      <c r="C349" s="2">
        <v>3.6999999999999997</v>
      </c>
      <c r="D349" s="2">
        <v>5.07</v>
      </c>
      <c r="E349" s="2">
        <v>5.04</v>
      </c>
      <c r="F349" s="2">
        <v>3.33</v>
      </c>
      <c r="G349" s="6">
        <v>450</v>
      </c>
      <c r="H349" s="6">
        <v>247</v>
      </c>
      <c r="I349" s="6">
        <v>649</v>
      </c>
      <c r="J349" s="6">
        <v>573</v>
      </c>
      <c r="K349" s="6">
        <v>697</v>
      </c>
    </row>
    <row r="350" spans="1:11" x14ac:dyDescent="0.2">
      <c r="A350" s="1">
        <v>0.241666666666667</v>
      </c>
      <c r="B350" s="2">
        <v>6.21</v>
      </c>
      <c r="C350" s="2">
        <v>3.5799999999999996</v>
      </c>
      <c r="D350" s="2">
        <v>5.08</v>
      </c>
      <c r="E350" s="2">
        <v>4.83</v>
      </c>
      <c r="F350" s="2">
        <v>2.85</v>
      </c>
      <c r="G350" s="6">
        <v>478</v>
      </c>
      <c r="H350" s="6">
        <v>874</v>
      </c>
      <c r="I350" s="6">
        <v>795</v>
      </c>
      <c r="J350" s="6">
        <v>569</v>
      </c>
      <c r="K350" s="6">
        <v>891</v>
      </c>
    </row>
    <row r="351" spans="1:11" x14ac:dyDescent="0.2">
      <c r="A351" s="1">
        <v>0.242361111111111</v>
      </c>
      <c r="B351" s="2">
        <v>6.1800000000000006</v>
      </c>
      <c r="C351" s="2">
        <v>3.5799999999999996</v>
      </c>
      <c r="D351" s="2">
        <v>5.03</v>
      </c>
      <c r="E351" s="2">
        <v>5.23</v>
      </c>
      <c r="F351" s="2">
        <v>2.94</v>
      </c>
      <c r="G351" s="6">
        <v>845</v>
      </c>
      <c r="H351" s="6">
        <v>641</v>
      </c>
      <c r="I351" s="6">
        <v>245</v>
      </c>
      <c r="J351" s="6">
        <v>249</v>
      </c>
      <c r="K351" s="6">
        <v>597</v>
      </c>
    </row>
    <row r="352" spans="1:11" x14ac:dyDescent="0.2">
      <c r="A352" s="1">
        <v>0.243055555555556</v>
      </c>
      <c r="B352" s="2">
        <v>6.32</v>
      </c>
      <c r="C352" s="2">
        <v>3.53</v>
      </c>
      <c r="D352" s="2">
        <v>4.95</v>
      </c>
      <c r="E352" s="2">
        <v>5.42</v>
      </c>
      <c r="F352" s="2">
        <v>2.94</v>
      </c>
      <c r="G352" s="6">
        <v>345</v>
      </c>
      <c r="H352" s="6">
        <v>242</v>
      </c>
      <c r="I352" s="6">
        <v>349</v>
      </c>
      <c r="J352" s="6">
        <v>553</v>
      </c>
      <c r="K352" s="6">
        <v>619</v>
      </c>
    </row>
    <row r="353" spans="1:11" x14ac:dyDescent="0.2">
      <c r="A353" s="1">
        <v>0.24374999999999999</v>
      </c>
      <c r="B353" s="2">
        <v>6.24</v>
      </c>
      <c r="C353" s="2">
        <v>3.5399999999999996</v>
      </c>
      <c r="D353" s="2">
        <v>5.2</v>
      </c>
      <c r="E353" s="2">
        <v>5.12</v>
      </c>
      <c r="F353" s="2">
        <v>3.25</v>
      </c>
      <c r="G353" s="6">
        <v>560</v>
      </c>
      <c r="H353" s="6">
        <v>648</v>
      </c>
      <c r="I353" s="6">
        <v>657</v>
      </c>
      <c r="J353" s="6">
        <v>554</v>
      </c>
      <c r="K353" s="6">
        <v>780</v>
      </c>
    </row>
    <row r="354" spans="1:11" x14ac:dyDescent="0.2">
      <c r="A354" s="1">
        <v>0.24444444444444399</v>
      </c>
      <c r="B354" s="2">
        <v>6.2700000000000005</v>
      </c>
      <c r="C354" s="2">
        <v>3.7399999999999998</v>
      </c>
      <c r="D354" s="2">
        <v>5.1400000000000006</v>
      </c>
      <c r="E354" s="2">
        <v>5.48</v>
      </c>
      <c r="F354" s="2">
        <v>3.22</v>
      </c>
      <c r="G354" s="6">
        <v>735</v>
      </c>
      <c r="H354" s="6">
        <v>458</v>
      </c>
      <c r="I354" s="6">
        <v>479</v>
      </c>
      <c r="J354" s="6">
        <v>482</v>
      </c>
      <c r="K354" s="6">
        <v>570</v>
      </c>
    </row>
    <row r="355" spans="1:11" x14ac:dyDescent="0.2">
      <c r="A355" s="1">
        <v>0.24513888888888899</v>
      </c>
      <c r="B355" s="2">
        <v>6.13</v>
      </c>
      <c r="C355" s="2">
        <v>3.53</v>
      </c>
      <c r="D355" s="2">
        <v>4.8600000000000003</v>
      </c>
      <c r="E355" s="2">
        <v>5.08</v>
      </c>
      <c r="F355" s="2">
        <v>3.13</v>
      </c>
      <c r="G355" s="6">
        <v>467</v>
      </c>
      <c r="H355" s="6">
        <v>657</v>
      </c>
      <c r="I355" s="6">
        <v>672</v>
      </c>
      <c r="J355" s="6">
        <v>467</v>
      </c>
      <c r="K355" s="6">
        <v>218</v>
      </c>
    </row>
    <row r="356" spans="1:11" x14ac:dyDescent="0.2">
      <c r="A356" s="1">
        <v>0.24583333333333299</v>
      </c>
      <c r="B356" s="2">
        <v>6.11</v>
      </c>
      <c r="C356" s="2">
        <v>3.57</v>
      </c>
      <c r="D356" s="2">
        <v>5.04</v>
      </c>
      <c r="E356" s="2">
        <v>4.96</v>
      </c>
      <c r="F356" s="2">
        <v>2.88</v>
      </c>
      <c r="G356" s="6">
        <v>846</v>
      </c>
      <c r="H356" s="6">
        <v>945</v>
      </c>
      <c r="I356" s="6">
        <v>1000</v>
      </c>
      <c r="J356" s="6">
        <v>925</v>
      </c>
      <c r="K356" s="6">
        <v>998</v>
      </c>
    </row>
    <row r="357" spans="1:11" x14ac:dyDescent="0.2">
      <c r="A357" s="1">
        <v>0.24652777777777801</v>
      </c>
      <c r="B357" s="2">
        <v>6.1400000000000006</v>
      </c>
      <c r="C357" s="2">
        <v>3.5999999999999996</v>
      </c>
      <c r="D357" s="2">
        <v>5.0500000000000007</v>
      </c>
      <c r="E357" s="2">
        <v>5.13</v>
      </c>
      <c r="F357" s="2">
        <v>3.13</v>
      </c>
      <c r="G357" s="6">
        <v>256</v>
      </c>
      <c r="H357" s="6">
        <v>450</v>
      </c>
      <c r="I357" s="6">
        <v>947</v>
      </c>
      <c r="J357" s="6">
        <v>789</v>
      </c>
      <c r="K357" s="6">
        <v>874</v>
      </c>
    </row>
    <row r="358" spans="1:11" x14ac:dyDescent="0.2">
      <c r="A358" s="1">
        <v>0.24722222222222201</v>
      </c>
      <c r="B358" s="2">
        <v>6.2200000000000006</v>
      </c>
      <c r="C358" s="2">
        <v>3.71</v>
      </c>
      <c r="D358" s="2">
        <v>4.95</v>
      </c>
      <c r="E358" s="2">
        <v>5.48</v>
      </c>
      <c r="F358" s="2">
        <v>3.02</v>
      </c>
      <c r="G358" s="6">
        <v>470</v>
      </c>
      <c r="H358" s="6">
        <v>647</v>
      </c>
      <c r="I358" s="6">
        <v>875</v>
      </c>
      <c r="J358" s="6">
        <v>469</v>
      </c>
      <c r="K358" s="6">
        <v>384</v>
      </c>
    </row>
    <row r="359" spans="1:11" x14ac:dyDescent="0.2">
      <c r="A359" s="1">
        <v>0.24791666666666701</v>
      </c>
      <c r="B359" s="2">
        <v>6.16</v>
      </c>
      <c r="C359" s="2">
        <v>3.51</v>
      </c>
      <c r="D359" s="2">
        <v>4.9800000000000004</v>
      </c>
      <c r="E359" s="2">
        <v>5.2</v>
      </c>
      <c r="F359" s="2">
        <v>2.9</v>
      </c>
      <c r="G359" s="6">
        <v>574</v>
      </c>
      <c r="H359" s="6">
        <v>659</v>
      </c>
      <c r="I359" s="6">
        <v>562</v>
      </c>
      <c r="J359" s="6">
        <v>852</v>
      </c>
      <c r="K359" s="6">
        <v>950</v>
      </c>
    </row>
    <row r="360" spans="1:11" x14ac:dyDescent="0.2">
      <c r="A360" s="1">
        <v>0.24861111111111101</v>
      </c>
      <c r="B360" s="2">
        <v>6.23</v>
      </c>
      <c r="C360" s="2">
        <v>3.76</v>
      </c>
      <c r="D360" s="2">
        <v>4.91</v>
      </c>
      <c r="E360" s="2">
        <v>5.17</v>
      </c>
      <c r="F360" s="2">
        <v>2.96</v>
      </c>
      <c r="G360" s="6">
        <v>945</v>
      </c>
      <c r="H360" s="6">
        <v>345</v>
      </c>
      <c r="I360" s="6">
        <v>548</v>
      </c>
      <c r="J360" s="6">
        <v>546</v>
      </c>
      <c r="K360" s="6">
        <v>1225</v>
      </c>
    </row>
    <row r="361" spans="1:11" x14ac:dyDescent="0.2">
      <c r="A361" s="1">
        <v>0.249305555555556</v>
      </c>
      <c r="B361" s="2">
        <v>6.32</v>
      </c>
      <c r="C361" s="2">
        <v>3.51</v>
      </c>
      <c r="D361" s="2">
        <v>4.8600000000000003</v>
      </c>
      <c r="E361" s="2">
        <v>5.12</v>
      </c>
      <c r="F361" s="2">
        <v>3.23</v>
      </c>
      <c r="G361" s="6">
        <v>445</v>
      </c>
      <c r="H361" s="6">
        <v>546</v>
      </c>
      <c r="I361" s="6">
        <v>697</v>
      </c>
      <c r="J361" s="6">
        <v>640</v>
      </c>
      <c r="K361" s="6">
        <v>846</v>
      </c>
    </row>
    <row r="362" spans="1:11" x14ac:dyDescent="0.2">
      <c r="A362" s="3">
        <v>0.25</v>
      </c>
      <c r="B362" s="4">
        <v>6.19</v>
      </c>
      <c r="C362" s="4">
        <v>3.67</v>
      </c>
      <c r="D362" s="4">
        <v>5.09</v>
      </c>
      <c r="E362" s="4">
        <v>5.26</v>
      </c>
      <c r="F362" s="4">
        <v>3.09</v>
      </c>
      <c r="G362" s="7">
        <v>645</v>
      </c>
      <c r="H362" s="6">
        <v>731</v>
      </c>
      <c r="I362" s="6">
        <v>752</v>
      </c>
      <c r="J362" s="7">
        <v>675</v>
      </c>
      <c r="K362" s="7">
        <v>834</v>
      </c>
    </row>
    <row r="363" spans="1:11" x14ac:dyDescent="0.2">
      <c r="A363" s="1">
        <v>0.250694444444444</v>
      </c>
      <c r="B363" s="2">
        <v>6.32</v>
      </c>
      <c r="C363" s="2">
        <v>3.65</v>
      </c>
      <c r="D363" s="2">
        <v>4.95</v>
      </c>
      <c r="E363" s="2">
        <v>5.34</v>
      </c>
      <c r="F363" s="2">
        <v>3.0700000000000003</v>
      </c>
      <c r="G363" s="6">
        <v>790</v>
      </c>
      <c r="H363" s="6">
        <v>900</v>
      </c>
      <c r="I363" s="6">
        <v>1005</v>
      </c>
      <c r="J363" s="6">
        <v>1138</v>
      </c>
      <c r="K363" s="6">
        <f>J363+300</f>
        <v>1438</v>
      </c>
    </row>
    <row r="364" spans="1:11" x14ac:dyDescent="0.2">
      <c r="A364" s="1">
        <v>0.25138888888888899</v>
      </c>
      <c r="B364" s="2">
        <v>6.23</v>
      </c>
      <c r="C364" s="2">
        <v>3.6399999999999997</v>
      </c>
      <c r="D364" s="2">
        <v>4.96</v>
      </c>
      <c r="E364" s="2">
        <v>5.2200000000000006</v>
      </c>
      <c r="F364" s="2">
        <v>3.02</v>
      </c>
      <c r="G364" s="6">
        <v>365</v>
      </c>
      <c r="H364" s="6">
        <v>782</v>
      </c>
      <c r="I364" s="6">
        <v>871</v>
      </c>
      <c r="J364" s="6">
        <v>915</v>
      </c>
      <c r="K364" s="6">
        <v>1225</v>
      </c>
    </row>
    <row r="365" spans="1:11" x14ac:dyDescent="0.2">
      <c r="A365" s="1">
        <v>0.25208333333333299</v>
      </c>
      <c r="B365" s="2">
        <v>6.2200000000000006</v>
      </c>
      <c r="C365" s="2">
        <v>3.78</v>
      </c>
      <c r="D365" s="2">
        <v>4.9700000000000006</v>
      </c>
      <c r="E365" s="2">
        <v>4.99</v>
      </c>
      <c r="F365" s="2">
        <v>3.02</v>
      </c>
      <c r="G365" s="6">
        <v>907</v>
      </c>
      <c r="H365" s="6">
        <v>1126</v>
      </c>
      <c r="I365" s="6">
        <v>1300</v>
      </c>
      <c r="J365" s="6">
        <v>1356</v>
      </c>
      <c r="K365" s="6">
        <v>1678</v>
      </c>
    </row>
    <row r="366" spans="1:11" x14ac:dyDescent="0.2">
      <c r="A366" s="1">
        <v>0.25277777777777799</v>
      </c>
      <c r="B366" s="2">
        <v>6.07</v>
      </c>
      <c r="C366" s="2">
        <v>3.6599999999999997</v>
      </c>
      <c r="D366" s="2">
        <v>5.2200000000000006</v>
      </c>
      <c r="E366" s="2">
        <v>5.45</v>
      </c>
      <c r="F366" s="2">
        <v>3</v>
      </c>
      <c r="G366" s="6">
        <v>489</v>
      </c>
      <c r="H366" s="6">
        <v>945</v>
      </c>
      <c r="I366" s="6">
        <v>1547</v>
      </c>
      <c r="J366" s="6">
        <v>1660</v>
      </c>
      <c r="K366" s="6">
        <v>2045</v>
      </c>
    </row>
    <row r="367" spans="1:11" x14ac:dyDescent="0.2">
      <c r="A367" s="1">
        <v>0.25347222222222199</v>
      </c>
      <c r="B367" s="2">
        <v>6.1800000000000006</v>
      </c>
      <c r="C367" s="2">
        <v>3.57</v>
      </c>
      <c r="D367" s="2">
        <v>4.92</v>
      </c>
      <c r="E367" s="2">
        <v>5.03</v>
      </c>
      <c r="F367" s="2">
        <v>3.33</v>
      </c>
      <c r="G367" s="6">
        <v>759</v>
      </c>
      <c r="H367" s="6">
        <v>894</v>
      </c>
      <c r="I367" s="6">
        <v>945</v>
      </c>
      <c r="J367" s="6">
        <v>1035</v>
      </c>
      <c r="K367" s="6">
        <v>1347</v>
      </c>
    </row>
    <row r="368" spans="1:11" x14ac:dyDescent="0.2">
      <c r="A368" s="1">
        <v>0.25416666666666698</v>
      </c>
      <c r="B368" s="2">
        <v>6.09</v>
      </c>
      <c r="C368" s="2">
        <v>3.6799999999999997</v>
      </c>
      <c r="D368" s="2">
        <v>5.0600000000000005</v>
      </c>
      <c r="E368" s="2">
        <v>5.3500000000000005</v>
      </c>
      <c r="F368" s="2">
        <v>2.99</v>
      </c>
      <c r="G368" s="6">
        <v>1229</v>
      </c>
      <c r="H368" s="6">
        <v>1067</v>
      </c>
      <c r="I368" s="6">
        <v>1336</v>
      </c>
      <c r="J368" s="6">
        <v>1456</v>
      </c>
      <c r="K368" s="6">
        <f t="shared" ref="K368:K417" si="5">J368+300</f>
        <v>1756</v>
      </c>
    </row>
    <row r="369" spans="1:11" x14ac:dyDescent="0.2">
      <c r="A369" s="1">
        <v>0.25486111111111098</v>
      </c>
      <c r="B369" s="2">
        <v>6.1800000000000006</v>
      </c>
      <c r="C369" s="2">
        <v>3.75</v>
      </c>
      <c r="D369" s="2">
        <v>5.1800000000000006</v>
      </c>
      <c r="E369" s="2">
        <v>5.03</v>
      </c>
      <c r="F369" s="2">
        <v>3.09</v>
      </c>
      <c r="G369" s="6">
        <v>1480</v>
      </c>
      <c r="H369" s="6">
        <v>1298</v>
      </c>
      <c r="I369" s="6">
        <v>1287</v>
      </c>
      <c r="J369" s="6">
        <v>1354</v>
      </c>
      <c r="K369" s="6">
        <f t="shared" si="5"/>
        <v>1654</v>
      </c>
    </row>
    <row r="370" spans="1:11" x14ac:dyDescent="0.2">
      <c r="A370" s="1">
        <v>0.25555555555555598</v>
      </c>
      <c r="B370" s="2">
        <v>6.3100000000000005</v>
      </c>
      <c r="C370" s="2">
        <v>3.55</v>
      </c>
      <c r="D370" s="2">
        <v>5.23</v>
      </c>
      <c r="E370" s="2">
        <v>4.9300000000000006</v>
      </c>
      <c r="F370" s="2">
        <v>3.02</v>
      </c>
      <c r="G370" s="6">
        <v>1227</v>
      </c>
      <c r="H370" s="6">
        <v>1425</v>
      </c>
      <c r="I370" s="6">
        <v>1456</v>
      </c>
      <c r="J370" s="6">
        <v>1564</v>
      </c>
      <c r="K370" s="6">
        <v>1754</v>
      </c>
    </row>
    <row r="371" spans="1:11" x14ac:dyDescent="0.2">
      <c r="A371" s="1">
        <v>0.25624999999999998</v>
      </c>
      <c r="B371" s="2">
        <v>6.24</v>
      </c>
      <c r="C371" s="2">
        <v>3.73</v>
      </c>
      <c r="D371" s="2">
        <v>5.17</v>
      </c>
      <c r="E371" s="2">
        <v>5.1800000000000006</v>
      </c>
      <c r="F371" s="2">
        <v>3.3000000000000003</v>
      </c>
      <c r="G371" s="6">
        <v>857</v>
      </c>
      <c r="H371" s="6">
        <v>1089</v>
      </c>
      <c r="I371" s="6">
        <v>1237</v>
      </c>
      <c r="J371" s="6">
        <v>1356</v>
      </c>
      <c r="K371" s="6">
        <f t="shared" si="5"/>
        <v>1656</v>
      </c>
    </row>
    <row r="372" spans="1:11" x14ac:dyDescent="0.2">
      <c r="A372" s="1">
        <v>0.25694444444444398</v>
      </c>
      <c r="B372" s="2">
        <v>6.2600000000000007</v>
      </c>
      <c r="C372" s="2">
        <v>3.5199999999999996</v>
      </c>
      <c r="D372" s="2">
        <v>4.91</v>
      </c>
      <c r="E372" s="2">
        <v>5.0600000000000005</v>
      </c>
      <c r="F372" s="2">
        <v>3.16</v>
      </c>
      <c r="G372" s="6">
        <v>894</v>
      </c>
      <c r="H372" s="6">
        <v>1007</v>
      </c>
      <c r="I372" s="6">
        <v>1010</v>
      </c>
      <c r="J372" s="6">
        <v>1102</v>
      </c>
      <c r="K372" s="6">
        <v>1489</v>
      </c>
    </row>
    <row r="373" spans="1:11" x14ac:dyDescent="0.2">
      <c r="A373" s="1">
        <v>0.25763888888888897</v>
      </c>
      <c r="B373" s="2">
        <v>6.29</v>
      </c>
      <c r="C373" s="2">
        <v>3.75</v>
      </c>
      <c r="D373" s="2">
        <v>5.23</v>
      </c>
      <c r="E373" s="2">
        <v>4.91</v>
      </c>
      <c r="F373" s="2">
        <v>3</v>
      </c>
      <c r="G373" s="6">
        <v>1008</v>
      </c>
      <c r="H373" s="6">
        <v>1293</v>
      </c>
      <c r="I373" s="6">
        <v>1338</v>
      </c>
      <c r="J373" s="6">
        <v>1425</v>
      </c>
      <c r="K373" s="6">
        <f t="shared" si="5"/>
        <v>1725</v>
      </c>
    </row>
    <row r="374" spans="1:11" x14ac:dyDescent="0.2">
      <c r="A374" s="1">
        <v>0.25833333333333303</v>
      </c>
      <c r="B374" s="2">
        <v>6.32</v>
      </c>
      <c r="C374" s="2">
        <v>3.7199999999999998</v>
      </c>
      <c r="D374" s="2">
        <v>5.17</v>
      </c>
      <c r="E374" s="2">
        <v>4.83</v>
      </c>
      <c r="F374" s="2">
        <v>3.17</v>
      </c>
      <c r="G374" s="6">
        <v>1229</v>
      </c>
      <c r="H374" s="6">
        <v>1345</v>
      </c>
      <c r="I374" s="6">
        <v>1507</v>
      </c>
      <c r="J374" s="6">
        <v>1678</v>
      </c>
      <c r="K374" s="6">
        <f t="shared" si="5"/>
        <v>1978</v>
      </c>
    </row>
    <row r="375" spans="1:11" x14ac:dyDescent="0.2">
      <c r="A375" s="1">
        <v>0.25902777777777802</v>
      </c>
      <c r="B375" s="2">
        <v>6.07</v>
      </c>
      <c r="C375" s="2">
        <v>3.5999999999999996</v>
      </c>
      <c r="D375" s="2">
        <v>5.1400000000000006</v>
      </c>
      <c r="E375" s="2">
        <v>5.5100000000000007</v>
      </c>
      <c r="F375" s="2">
        <v>3.35</v>
      </c>
      <c r="G375" s="6">
        <v>1559</v>
      </c>
      <c r="H375" s="6">
        <v>1670</v>
      </c>
      <c r="I375" s="6">
        <v>1777</v>
      </c>
      <c r="J375" s="6">
        <v>1845</v>
      </c>
      <c r="K375" s="6">
        <f t="shared" si="5"/>
        <v>2145</v>
      </c>
    </row>
    <row r="376" spans="1:11" x14ac:dyDescent="0.2">
      <c r="A376" s="1">
        <v>0.25972222222222202</v>
      </c>
      <c r="B376" s="2">
        <v>6.23</v>
      </c>
      <c r="C376" s="2">
        <v>3.69</v>
      </c>
      <c r="D376" s="2">
        <v>5.2600000000000007</v>
      </c>
      <c r="E376" s="2">
        <v>4.87</v>
      </c>
      <c r="F376" s="2">
        <v>3.22</v>
      </c>
      <c r="G376" s="6">
        <v>895</v>
      </c>
      <c r="H376" s="6">
        <v>987</v>
      </c>
      <c r="I376" s="6">
        <v>1289</v>
      </c>
      <c r="J376" s="6">
        <v>1346</v>
      </c>
      <c r="K376" s="6">
        <f t="shared" si="5"/>
        <v>1646</v>
      </c>
    </row>
    <row r="377" spans="1:11" x14ac:dyDescent="0.2">
      <c r="A377" s="1">
        <v>0.26041666666666702</v>
      </c>
      <c r="B377" s="2">
        <v>6.23</v>
      </c>
      <c r="C377" s="2">
        <v>3.63</v>
      </c>
      <c r="D377" s="2">
        <v>5.1300000000000008</v>
      </c>
      <c r="E377" s="2">
        <v>5.44</v>
      </c>
      <c r="F377" s="2">
        <v>2.86</v>
      </c>
      <c r="G377" s="6">
        <v>498</v>
      </c>
      <c r="H377" s="6">
        <v>780</v>
      </c>
      <c r="I377" s="6">
        <v>978</v>
      </c>
      <c r="J377" s="6">
        <v>1025</v>
      </c>
      <c r="K377" s="6">
        <v>1270</v>
      </c>
    </row>
    <row r="378" spans="1:11" x14ac:dyDescent="0.2">
      <c r="A378" s="1">
        <v>0.26111111111111102</v>
      </c>
      <c r="B378" s="2">
        <v>6.21</v>
      </c>
      <c r="C378" s="2">
        <v>3.5399999999999996</v>
      </c>
      <c r="D378" s="2">
        <v>5.16</v>
      </c>
      <c r="E378" s="2">
        <v>5.0100000000000007</v>
      </c>
      <c r="F378" s="2">
        <v>3.17</v>
      </c>
      <c r="G378" s="6">
        <v>997</v>
      </c>
      <c r="H378" s="6">
        <v>897</v>
      </c>
      <c r="I378" s="6">
        <v>647</v>
      </c>
      <c r="J378" s="6">
        <v>1024</v>
      </c>
      <c r="K378" s="6">
        <f t="shared" si="5"/>
        <v>1324</v>
      </c>
    </row>
    <row r="379" spans="1:11" x14ac:dyDescent="0.2">
      <c r="A379" s="1">
        <v>0.26180555555555601</v>
      </c>
      <c r="B379" s="2">
        <v>6.24</v>
      </c>
      <c r="C379" s="2">
        <v>3.5799999999999996</v>
      </c>
      <c r="D379" s="2">
        <v>4.99</v>
      </c>
      <c r="E379" s="2">
        <v>4.88</v>
      </c>
      <c r="F379" s="2">
        <v>3.17</v>
      </c>
      <c r="G379" s="6">
        <v>1228</v>
      </c>
      <c r="H379" s="6">
        <v>976</v>
      </c>
      <c r="I379" s="6">
        <v>1238</v>
      </c>
      <c r="J379" s="6">
        <v>1348</v>
      </c>
      <c r="K379" s="6">
        <f t="shared" si="5"/>
        <v>1648</v>
      </c>
    </row>
    <row r="380" spans="1:11" x14ac:dyDescent="0.2">
      <c r="A380" s="1">
        <v>0.26250000000000001</v>
      </c>
      <c r="B380" s="2">
        <v>6.21</v>
      </c>
      <c r="C380" s="2">
        <v>3.78</v>
      </c>
      <c r="D380" s="2">
        <v>5.15</v>
      </c>
      <c r="E380" s="2">
        <v>5</v>
      </c>
      <c r="F380" s="2">
        <v>2.83</v>
      </c>
      <c r="G380" s="6">
        <v>1684</v>
      </c>
      <c r="H380" s="6">
        <v>1225</v>
      </c>
      <c r="I380" s="6">
        <v>1436</v>
      </c>
      <c r="J380" s="6">
        <v>1564</v>
      </c>
      <c r="K380" s="6">
        <v>1574</v>
      </c>
    </row>
    <row r="381" spans="1:11" x14ac:dyDescent="0.2">
      <c r="A381" s="1">
        <v>0.26319444444444401</v>
      </c>
      <c r="B381" s="2">
        <v>6.2</v>
      </c>
      <c r="C381" s="2">
        <v>3.5999999999999996</v>
      </c>
      <c r="D381" s="2">
        <v>5.15</v>
      </c>
      <c r="E381" s="2">
        <v>5.4300000000000006</v>
      </c>
      <c r="F381" s="2">
        <v>3.23</v>
      </c>
      <c r="G381" s="6">
        <v>1436</v>
      </c>
      <c r="H381" s="6">
        <v>1443</v>
      </c>
      <c r="I381" s="6">
        <v>1562</v>
      </c>
      <c r="J381" s="6">
        <v>1782</v>
      </c>
      <c r="K381" s="6">
        <f t="shared" si="5"/>
        <v>2082</v>
      </c>
    </row>
    <row r="382" spans="1:11" x14ac:dyDescent="0.2">
      <c r="A382" s="1">
        <v>0.26388888888888901</v>
      </c>
      <c r="B382" s="2">
        <v>6.1400000000000006</v>
      </c>
      <c r="C382" s="2">
        <v>3.7699999999999996</v>
      </c>
      <c r="D382" s="2">
        <v>4.92</v>
      </c>
      <c r="E382" s="2">
        <v>5.44</v>
      </c>
      <c r="F382" s="2">
        <v>2.94</v>
      </c>
      <c r="G382" s="6">
        <v>899</v>
      </c>
      <c r="H382" s="6">
        <v>948</v>
      </c>
      <c r="I382" s="6">
        <v>1111</v>
      </c>
      <c r="J382" s="6">
        <v>1249</v>
      </c>
      <c r="K382" s="6">
        <f t="shared" si="5"/>
        <v>1549</v>
      </c>
    </row>
    <row r="383" spans="1:11" x14ac:dyDescent="0.2">
      <c r="A383" s="1">
        <v>0.264583333333333</v>
      </c>
      <c r="B383" s="2">
        <v>6.21</v>
      </c>
      <c r="C383" s="2">
        <v>3.5999999999999996</v>
      </c>
      <c r="D383" s="2">
        <v>5.12</v>
      </c>
      <c r="E383" s="2">
        <v>5.44</v>
      </c>
      <c r="F383" s="2">
        <v>2.91</v>
      </c>
      <c r="G383" s="6">
        <v>1246</v>
      </c>
      <c r="H383" s="6">
        <v>1113</v>
      </c>
      <c r="I383" s="6">
        <v>1298</v>
      </c>
      <c r="J383" s="6">
        <v>1348</v>
      </c>
      <c r="K383" s="6">
        <f t="shared" si="5"/>
        <v>1648</v>
      </c>
    </row>
    <row r="384" spans="1:11" x14ac:dyDescent="0.2">
      <c r="A384" s="1">
        <v>0.265277777777778</v>
      </c>
      <c r="B384" s="2">
        <v>6.08</v>
      </c>
      <c r="C384" s="2">
        <v>3.5799999999999996</v>
      </c>
      <c r="D384" s="2">
        <v>4.96</v>
      </c>
      <c r="E384" s="2">
        <v>5.17</v>
      </c>
      <c r="F384" s="2">
        <v>2.88</v>
      </c>
      <c r="G384" s="6">
        <v>1654</v>
      </c>
      <c r="H384" s="6">
        <v>1754</v>
      </c>
      <c r="I384" s="6">
        <v>1875</v>
      </c>
      <c r="J384" s="6">
        <v>1857</v>
      </c>
      <c r="K384" s="6">
        <v>2014</v>
      </c>
    </row>
    <row r="385" spans="1:11" x14ac:dyDescent="0.2">
      <c r="A385" s="1">
        <v>0.265972222222222</v>
      </c>
      <c r="B385" s="2">
        <v>6.29</v>
      </c>
      <c r="C385" s="2">
        <v>3.55</v>
      </c>
      <c r="D385" s="2">
        <v>5.1800000000000006</v>
      </c>
      <c r="E385" s="2">
        <v>5.29</v>
      </c>
      <c r="F385" s="2">
        <v>3.24</v>
      </c>
      <c r="G385" s="6">
        <v>945</v>
      </c>
      <c r="H385" s="6">
        <v>1008</v>
      </c>
      <c r="I385" s="6">
        <v>1258</v>
      </c>
      <c r="J385" s="6">
        <v>1367</v>
      </c>
      <c r="K385" s="6">
        <f t="shared" si="5"/>
        <v>1667</v>
      </c>
    </row>
    <row r="386" spans="1:11" x14ac:dyDescent="0.2">
      <c r="A386" s="1">
        <v>0.266666666666667</v>
      </c>
      <c r="B386" s="2">
        <v>6.07</v>
      </c>
      <c r="C386" s="2">
        <v>3.6799999999999997</v>
      </c>
      <c r="D386" s="2">
        <v>4.9300000000000006</v>
      </c>
      <c r="E386" s="2">
        <v>4.96</v>
      </c>
      <c r="F386" s="2">
        <v>3.02</v>
      </c>
      <c r="G386" s="6">
        <v>1431</v>
      </c>
      <c r="H386" s="6">
        <v>1580</v>
      </c>
      <c r="I386" s="6">
        <v>1700</v>
      </c>
      <c r="J386" s="6">
        <v>1894</v>
      </c>
      <c r="K386" s="6">
        <f t="shared" si="5"/>
        <v>2194</v>
      </c>
    </row>
    <row r="387" spans="1:11" x14ac:dyDescent="0.2">
      <c r="A387" s="1">
        <v>0.26736111111111099</v>
      </c>
      <c r="B387" s="2">
        <v>6.19</v>
      </c>
      <c r="C387" s="2">
        <v>3.5799999999999996</v>
      </c>
      <c r="D387" s="2">
        <v>4.96</v>
      </c>
      <c r="E387" s="2">
        <v>5.46</v>
      </c>
      <c r="F387" s="2">
        <v>2.97</v>
      </c>
      <c r="G387" s="6">
        <v>1195</v>
      </c>
      <c r="H387" s="6">
        <v>987</v>
      </c>
      <c r="I387" s="6">
        <v>1335</v>
      </c>
      <c r="J387" s="6">
        <v>1544</v>
      </c>
      <c r="K387" s="6">
        <v>1798</v>
      </c>
    </row>
    <row r="388" spans="1:11" x14ac:dyDescent="0.2">
      <c r="A388" s="1">
        <v>0.26805555555555599</v>
      </c>
      <c r="B388" s="2">
        <v>6.32</v>
      </c>
      <c r="C388" s="2">
        <v>3.78</v>
      </c>
      <c r="D388" s="2">
        <v>5.12</v>
      </c>
      <c r="E388" s="2">
        <v>5.24</v>
      </c>
      <c r="F388" s="2">
        <v>3.04</v>
      </c>
      <c r="G388" s="6">
        <v>1265</v>
      </c>
      <c r="H388" s="6">
        <v>1456</v>
      </c>
      <c r="I388" s="6">
        <v>1654</v>
      </c>
      <c r="J388" s="6">
        <v>1596</v>
      </c>
      <c r="K388" s="6">
        <f t="shared" si="5"/>
        <v>1896</v>
      </c>
    </row>
    <row r="389" spans="1:11" x14ac:dyDescent="0.2">
      <c r="A389" s="1">
        <v>0.26874999999999999</v>
      </c>
      <c r="B389" s="2">
        <v>6.13</v>
      </c>
      <c r="C389" s="2">
        <v>3.75</v>
      </c>
      <c r="D389" s="2">
        <v>4.99</v>
      </c>
      <c r="E389" s="2">
        <v>4.92</v>
      </c>
      <c r="F389" s="2">
        <v>3.04</v>
      </c>
      <c r="G389" s="6">
        <v>1269</v>
      </c>
      <c r="H389" s="6">
        <v>1557</v>
      </c>
      <c r="I389" s="6">
        <v>1786</v>
      </c>
      <c r="J389" s="6">
        <v>1573</v>
      </c>
      <c r="K389" s="6">
        <v>1578</v>
      </c>
    </row>
    <row r="390" spans="1:11" x14ac:dyDescent="0.2">
      <c r="A390" s="1">
        <v>0.26944444444444399</v>
      </c>
      <c r="B390" s="2">
        <v>6.2200000000000006</v>
      </c>
      <c r="C390" s="2">
        <v>3.5799999999999996</v>
      </c>
      <c r="D390" s="2">
        <v>5.12</v>
      </c>
      <c r="E390" s="2">
        <v>5.3500000000000005</v>
      </c>
      <c r="F390" s="2">
        <v>3.0300000000000002</v>
      </c>
      <c r="G390" s="6">
        <v>1005</v>
      </c>
      <c r="H390" s="6">
        <v>1223</v>
      </c>
      <c r="I390" s="6">
        <v>1648</v>
      </c>
      <c r="J390" s="6">
        <v>1846</v>
      </c>
      <c r="K390" s="6">
        <f t="shared" si="5"/>
        <v>2146</v>
      </c>
    </row>
    <row r="391" spans="1:11" x14ac:dyDescent="0.2">
      <c r="A391" s="1">
        <v>0.27013888888888898</v>
      </c>
      <c r="B391" s="2">
        <v>6.25</v>
      </c>
      <c r="C391" s="2">
        <v>3.63</v>
      </c>
      <c r="D391" s="2">
        <v>5.1400000000000006</v>
      </c>
      <c r="E391" s="2">
        <v>5.24</v>
      </c>
      <c r="F391" s="2">
        <v>3.3000000000000003</v>
      </c>
      <c r="G391" s="6">
        <v>1489</v>
      </c>
      <c r="H391" s="6">
        <v>1647</v>
      </c>
      <c r="I391" s="6">
        <v>1698</v>
      </c>
      <c r="J391" s="6">
        <v>1754</v>
      </c>
      <c r="K391" s="6">
        <f t="shared" si="5"/>
        <v>2054</v>
      </c>
    </row>
    <row r="392" spans="1:11" x14ac:dyDescent="0.2">
      <c r="A392" s="1">
        <v>0.27083333333333298</v>
      </c>
      <c r="B392" s="2">
        <v>6.3100000000000005</v>
      </c>
      <c r="C392" s="2">
        <v>3.6399999999999997</v>
      </c>
      <c r="D392" s="2">
        <v>5.2600000000000007</v>
      </c>
      <c r="E392" s="2">
        <v>5.3800000000000008</v>
      </c>
      <c r="F392" s="2">
        <v>3.15</v>
      </c>
      <c r="G392" s="6">
        <v>896</v>
      </c>
      <c r="H392" s="6">
        <v>847</v>
      </c>
      <c r="I392" s="6">
        <v>1000</v>
      </c>
      <c r="J392" s="6">
        <v>1224</v>
      </c>
      <c r="K392" s="6">
        <f t="shared" si="5"/>
        <v>1524</v>
      </c>
    </row>
    <row r="393" spans="1:11" x14ac:dyDescent="0.2">
      <c r="A393" s="1">
        <v>0.27152777777777798</v>
      </c>
      <c r="B393" s="2">
        <v>6.3000000000000007</v>
      </c>
      <c r="C393" s="2">
        <v>3.71</v>
      </c>
      <c r="D393" s="2">
        <v>5.1000000000000005</v>
      </c>
      <c r="E393" s="2">
        <v>5.45</v>
      </c>
      <c r="F393" s="2">
        <v>3.17</v>
      </c>
      <c r="G393" s="6">
        <v>1378</v>
      </c>
      <c r="H393" s="6">
        <v>1125</v>
      </c>
      <c r="I393" s="6">
        <v>1456</v>
      </c>
      <c r="J393" s="6">
        <v>1547</v>
      </c>
      <c r="K393" s="6">
        <f t="shared" si="5"/>
        <v>1847</v>
      </c>
    </row>
    <row r="394" spans="1:11" x14ac:dyDescent="0.2">
      <c r="A394" s="1">
        <v>0.27222222222222198</v>
      </c>
      <c r="B394" s="2">
        <v>6.17</v>
      </c>
      <c r="C394" s="2">
        <v>3.5399999999999996</v>
      </c>
      <c r="D394" s="2">
        <v>4.95</v>
      </c>
      <c r="E394" s="2">
        <v>5.4</v>
      </c>
      <c r="F394" s="2">
        <v>2.92</v>
      </c>
      <c r="G394" s="6">
        <v>1264</v>
      </c>
      <c r="H394" s="6">
        <v>1564</v>
      </c>
      <c r="I394" s="6">
        <v>1892</v>
      </c>
      <c r="J394" s="6">
        <v>1958</v>
      </c>
      <c r="K394" s="6">
        <v>2048</v>
      </c>
    </row>
    <row r="395" spans="1:11" x14ac:dyDescent="0.2">
      <c r="A395" s="1">
        <v>0.27291666666666697</v>
      </c>
      <c r="B395" s="2">
        <v>6.19</v>
      </c>
      <c r="C395" s="2">
        <v>3.78</v>
      </c>
      <c r="D395" s="2">
        <v>4.8900000000000006</v>
      </c>
      <c r="E395" s="2">
        <v>5.3900000000000006</v>
      </c>
      <c r="F395" s="2">
        <v>2.94</v>
      </c>
      <c r="G395" s="6">
        <v>1845</v>
      </c>
      <c r="H395" s="6">
        <v>1754</v>
      </c>
      <c r="I395" s="6">
        <v>1954</v>
      </c>
      <c r="J395" s="6">
        <v>2214</v>
      </c>
      <c r="K395" s="6">
        <f t="shared" si="5"/>
        <v>2514</v>
      </c>
    </row>
    <row r="396" spans="1:11" x14ac:dyDescent="0.2">
      <c r="A396" s="1">
        <v>0.27361111111111103</v>
      </c>
      <c r="B396" s="2">
        <v>6.15</v>
      </c>
      <c r="C396" s="2">
        <v>3.76</v>
      </c>
      <c r="D396" s="2">
        <v>5.16</v>
      </c>
      <c r="E396" s="2">
        <v>4.9700000000000006</v>
      </c>
      <c r="F396" s="2">
        <v>3.29</v>
      </c>
      <c r="G396" s="6">
        <v>1672</v>
      </c>
      <c r="H396" s="6">
        <v>1640</v>
      </c>
      <c r="I396" s="6">
        <v>1789</v>
      </c>
      <c r="J396" s="6">
        <v>1945</v>
      </c>
      <c r="K396" s="6">
        <f t="shared" si="5"/>
        <v>2245</v>
      </c>
    </row>
    <row r="397" spans="1:11" x14ac:dyDescent="0.2">
      <c r="A397" s="1">
        <v>0.27430555555555602</v>
      </c>
      <c r="B397" s="2">
        <v>6.24</v>
      </c>
      <c r="C397" s="2">
        <v>3.63</v>
      </c>
      <c r="D397" s="2">
        <v>5.16</v>
      </c>
      <c r="E397" s="2">
        <v>5.3900000000000006</v>
      </c>
      <c r="F397" s="2">
        <v>3.1</v>
      </c>
      <c r="G397" s="6">
        <v>1647</v>
      </c>
      <c r="H397" s="6">
        <v>1571</v>
      </c>
      <c r="I397" s="6">
        <v>1664</v>
      </c>
      <c r="J397" s="6">
        <v>2647</v>
      </c>
      <c r="K397" s="6">
        <f t="shared" si="5"/>
        <v>2947</v>
      </c>
    </row>
    <row r="398" spans="1:11" x14ac:dyDescent="0.2">
      <c r="A398" s="1">
        <v>0.27500000000000002</v>
      </c>
      <c r="B398" s="2">
        <v>6.19</v>
      </c>
      <c r="C398" s="2">
        <v>3.5199999999999996</v>
      </c>
      <c r="D398" s="2">
        <v>5.16</v>
      </c>
      <c r="E398" s="2">
        <v>5.32</v>
      </c>
      <c r="F398" s="2">
        <v>3.25</v>
      </c>
      <c r="G398" s="6">
        <v>1116</v>
      </c>
      <c r="H398" s="6">
        <v>1264</v>
      </c>
      <c r="I398" s="6">
        <v>1269</v>
      </c>
      <c r="J398" s="6">
        <v>1360</v>
      </c>
      <c r="K398" s="6">
        <v>1247</v>
      </c>
    </row>
    <row r="399" spans="1:11" x14ac:dyDescent="0.2">
      <c r="A399" s="1">
        <v>0.27569444444444402</v>
      </c>
      <c r="B399" s="2">
        <v>6.12</v>
      </c>
      <c r="C399" s="2">
        <v>3.51</v>
      </c>
      <c r="D399" s="2">
        <v>5.23</v>
      </c>
      <c r="E399" s="2">
        <v>5.12</v>
      </c>
      <c r="F399" s="2">
        <v>3.27</v>
      </c>
      <c r="G399" s="6">
        <v>1245</v>
      </c>
      <c r="H399" s="6">
        <v>1671</v>
      </c>
      <c r="I399" s="6">
        <v>1883</v>
      </c>
      <c r="J399" s="6">
        <v>2015</v>
      </c>
      <c r="K399" s="6">
        <v>2379</v>
      </c>
    </row>
    <row r="400" spans="1:11" x14ac:dyDescent="0.2">
      <c r="A400" s="1">
        <v>0.27638888888888902</v>
      </c>
      <c r="B400" s="2">
        <v>6.17</v>
      </c>
      <c r="C400" s="2">
        <v>3.6599999999999997</v>
      </c>
      <c r="D400" s="2">
        <v>4.9700000000000006</v>
      </c>
      <c r="E400" s="2">
        <v>5.24</v>
      </c>
      <c r="F400" s="2">
        <v>3.27</v>
      </c>
      <c r="G400" s="6">
        <v>1448</v>
      </c>
      <c r="H400" s="6">
        <v>1647</v>
      </c>
      <c r="I400" s="6">
        <v>1468</v>
      </c>
      <c r="J400" s="6">
        <v>1564</v>
      </c>
      <c r="K400" s="6">
        <f t="shared" si="5"/>
        <v>1864</v>
      </c>
    </row>
    <row r="401" spans="1:11" x14ac:dyDescent="0.2">
      <c r="A401" s="1">
        <v>0.27708333333333302</v>
      </c>
      <c r="B401" s="2">
        <v>6.29</v>
      </c>
      <c r="C401" s="2">
        <v>3.6799999999999997</v>
      </c>
      <c r="D401" s="2">
        <v>4.9800000000000004</v>
      </c>
      <c r="E401" s="2">
        <v>4.8500000000000005</v>
      </c>
      <c r="F401" s="2">
        <v>3.0300000000000002</v>
      </c>
      <c r="G401" s="6">
        <v>1557</v>
      </c>
      <c r="H401" s="6">
        <v>1455</v>
      </c>
      <c r="I401" s="6">
        <v>1897</v>
      </c>
      <c r="J401" s="6">
        <v>1984</v>
      </c>
      <c r="K401" s="6">
        <f t="shared" si="5"/>
        <v>2284</v>
      </c>
    </row>
    <row r="402" spans="1:11" x14ac:dyDescent="0.2">
      <c r="A402" s="1">
        <v>0.27777777777777801</v>
      </c>
      <c r="B402" s="2">
        <v>6.29</v>
      </c>
      <c r="C402" s="2">
        <v>3.6399999999999997</v>
      </c>
      <c r="D402" s="2">
        <v>5.24</v>
      </c>
      <c r="E402" s="2">
        <v>5.53</v>
      </c>
      <c r="F402" s="2">
        <v>2.98</v>
      </c>
      <c r="G402" s="6">
        <v>1094</v>
      </c>
      <c r="H402" s="6">
        <v>1354</v>
      </c>
      <c r="I402" s="6">
        <v>1456</v>
      </c>
      <c r="J402" s="6">
        <v>1567</v>
      </c>
      <c r="K402" s="6">
        <v>1480</v>
      </c>
    </row>
    <row r="403" spans="1:11" x14ac:dyDescent="0.2">
      <c r="A403" s="1">
        <v>0.27847222222222201</v>
      </c>
      <c r="B403" s="2">
        <v>6.19</v>
      </c>
      <c r="C403" s="2">
        <v>3.53</v>
      </c>
      <c r="D403" s="2">
        <v>4.91</v>
      </c>
      <c r="E403" s="2">
        <v>5.25</v>
      </c>
      <c r="F403" s="2">
        <v>3.04</v>
      </c>
      <c r="G403" s="6">
        <v>1246</v>
      </c>
      <c r="H403" s="6">
        <v>1642</v>
      </c>
      <c r="I403" s="6">
        <v>1689</v>
      </c>
      <c r="J403" s="6">
        <v>1748</v>
      </c>
      <c r="K403" s="6">
        <f t="shared" si="5"/>
        <v>2048</v>
      </c>
    </row>
    <row r="404" spans="1:11" x14ac:dyDescent="0.2">
      <c r="A404" s="1">
        <v>0.27916666666666701</v>
      </c>
      <c r="B404" s="2">
        <v>6.25</v>
      </c>
      <c r="C404" s="2">
        <v>3.55</v>
      </c>
      <c r="D404" s="2">
        <v>5.08</v>
      </c>
      <c r="E404" s="2">
        <v>4.9400000000000004</v>
      </c>
      <c r="F404" s="2">
        <v>2.91</v>
      </c>
      <c r="G404" s="6">
        <v>1579</v>
      </c>
      <c r="H404" s="6">
        <v>1597</v>
      </c>
      <c r="I404" s="6">
        <v>1800</v>
      </c>
      <c r="J404" s="6">
        <v>1946</v>
      </c>
      <c r="K404" s="6">
        <v>247</v>
      </c>
    </row>
    <row r="405" spans="1:11" x14ac:dyDescent="0.2">
      <c r="A405" s="1">
        <v>0.27986111111111101</v>
      </c>
      <c r="B405" s="2">
        <v>6.3100000000000005</v>
      </c>
      <c r="C405" s="2">
        <v>3.57</v>
      </c>
      <c r="D405" s="2">
        <v>5.21</v>
      </c>
      <c r="E405" s="2">
        <v>4.96</v>
      </c>
      <c r="F405" s="2">
        <v>3.1</v>
      </c>
      <c r="G405" s="6">
        <v>1649</v>
      </c>
      <c r="H405" s="6">
        <v>1785</v>
      </c>
      <c r="I405" s="6">
        <v>1784</v>
      </c>
      <c r="J405" s="6">
        <v>1834</v>
      </c>
      <c r="K405" s="6">
        <f t="shared" si="5"/>
        <v>2134</v>
      </c>
    </row>
    <row r="406" spans="1:11" x14ac:dyDescent="0.2">
      <c r="A406" s="1">
        <v>0.280555555555556</v>
      </c>
      <c r="B406" s="2">
        <v>6.3100000000000005</v>
      </c>
      <c r="C406" s="2">
        <v>3.63</v>
      </c>
      <c r="D406" s="2">
        <v>4.9400000000000004</v>
      </c>
      <c r="E406" s="2">
        <v>4.8900000000000006</v>
      </c>
      <c r="F406" s="2">
        <v>3.2600000000000002</v>
      </c>
      <c r="G406" s="6">
        <v>1227</v>
      </c>
      <c r="H406" s="6">
        <v>1389</v>
      </c>
      <c r="I406" s="6">
        <v>1777</v>
      </c>
      <c r="J406" s="6">
        <v>1867</v>
      </c>
      <c r="K406" s="6">
        <f t="shared" si="5"/>
        <v>2167</v>
      </c>
    </row>
    <row r="407" spans="1:11" x14ac:dyDescent="0.2">
      <c r="A407" s="1">
        <v>0.28125</v>
      </c>
      <c r="B407" s="2">
        <v>6.21</v>
      </c>
      <c r="C407" s="2">
        <v>3.55</v>
      </c>
      <c r="D407" s="2">
        <v>5.0500000000000007</v>
      </c>
      <c r="E407" s="2">
        <v>5.4300000000000006</v>
      </c>
      <c r="F407" s="2">
        <v>3</v>
      </c>
      <c r="G407" s="6">
        <v>1671</v>
      </c>
      <c r="H407" s="6">
        <v>1800</v>
      </c>
      <c r="I407" s="6">
        <v>1456</v>
      </c>
      <c r="J407" s="6">
        <v>1679</v>
      </c>
      <c r="K407" s="6">
        <v>1857</v>
      </c>
    </row>
    <row r="408" spans="1:11" x14ac:dyDescent="0.2">
      <c r="A408" s="1">
        <v>0.281944444444444</v>
      </c>
      <c r="B408" s="2">
        <v>6.24</v>
      </c>
      <c r="C408" s="2">
        <v>3.71</v>
      </c>
      <c r="D408" s="2">
        <v>4.9400000000000004</v>
      </c>
      <c r="E408" s="2">
        <v>5.5100000000000007</v>
      </c>
      <c r="F408" s="2">
        <v>2.95</v>
      </c>
      <c r="G408" s="6">
        <v>1584</v>
      </c>
      <c r="H408" s="6">
        <v>1904</v>
      </c>
      <c r="I408" s="6">
        <v>2421</v>
      </c>
      <c r="J408" s="6">
        <v>2345</v>
      </c>
      <c r="K408" s="6">
        <f t="shared" si="5"/>
        <v>2645</v>
      </c>
    </row>
    <row r="409" spans="1:11" x14ac:dyDescent="0.2">
      <c r="A409" s="1">
        <v>0.28263888888888899</v>
      </c>
      <c r="B409" s="2">
        <v>6.2200000000000006</v>
      </c>
      <c r="C409" s="2">
        <v>3.6999999999999997</v>
      </c>
      <c r="D409" s="2">
        <v>4.91</v>
      </c>
      <c r="E409" s="2">
        <v>5.21</v>
      </c>
      <c r="F409" s="2">
        <v>2.88</v>
      </c>
      <c r="G409" s="6">
        <v>1791</v>
      </c>
      <c r="H409" s="6">
        <v>1924</v>
      </c>
      <c r="I409" s="6">
        <v>1899</v>
      </c>
      <c r="J409" s="6">
        <v>2004</v>
      </c>
      <c r="K409" s="6">
        <f t="shared" si="5"/>
        <v>2304</v>
      </c>
    </row>
    <row r="410" spans="1:11" x14ac:dyDescent="0.2">
      <c r="A410" s="1">
        <v>0.28333333333333299</v>
      </c>
      <c r="B410" s="2">
        <v>6.16</v>
      </c>
      <c r="C410" s="2">
        <v>3.7199999999999998</v>
      </c>
      <c r="D410" s="2">
        <v>5.24</v>
      </c>
      <c r="E410" s="2">
        <v>4.9300000000000006</v>
      </c>
      <c r="F410" s="2">
        <v>3.3000000000000003</v>
      </c>
      <c r="G410" s="6">
        <v>1902</v>
      </c>
      <c r="H410" s="6">
        <v>1579</v>
      </c>
      <c r="I410" s="6">
        <v>2005</v>
      </c>
      <c r="J410" s="6">
        <v>1897</v>
      </c>
      <c r="K410" s="6">
        <f t="shared" si="5"/>
        <v>2197</v>
      </c>
    </row>
    <row r="411" spans="1:11" x14ac:dyDescent="0.2">
      <c r="A411" s="1">
        <v>0.28402777777777799</v>
      </c>
      <c r="B411" s="2">
        <v>6.1000000000000005</v>
      </c>
      <c r="C411" s="2">
        <v>3.5799999999999996</v>
      </c>
      <c r="D411" s="2">
        <v>4.8600000000000003</v>
      </c>
      <c r="E411" s="2">
        <v>5.25</v>
      </c>
      <c r="F411" s="2">
        <v>3.22</v>
      </c>
      <c r="G411" s="6">
        <v>1847</v>
      </c>
      <c r="H411" s="6">
        <v>2004</v>
      </c>
      <c r="I411" s="6">
        <v>1348</v>
      </c>
      <c r="J411" s="6">
        <v>1567</v>
      </c>
      <c r="K411" s="6">
        <f t="shared" si="5"/>
        <v>1867</v>
      </c>
    </row>
    <row r="412" spans="1:11" x14ac:dyDescent="0.2">
      <c r="A412" s="1">
        <v>0.28472222222222199</v>
      </c>
      <c r="B412" s="2">
        <v>6.21</v>
      </c>
      <c r="C412" s="2">
        <v>3.6199999999999997</v>
      </c>
      <c r="D412" s="2">
        <v>5.1800000000000006</v>
      </c>
      <c r="E412" s="2">
        <v>4.92</v>
      </c>
      <c r="F412" s="2">
        <v>2.88</v>
      </c>
      <c r="G412" s="6">
        <v>1349</v>
      </c>
      <c r="H412" s="6">
        <v>1354</v>
      </c>
      <c r="I412" s="6">
        <v>1974</v>
      </c>
      <c r="J412" s="6">
        <v>1943</v>
      </c>
      <c r="K412" s="6">
        <v>2158</v>
      </c>
    </row>
    <row r="413" spans="1:11" x14ac:dyDescent="0.2">
      <c r="A413" s="1">
        <v>0.28541666666666698</v>
      </c>
      <c r="B413" s="2">
        <v>6.12</v>
      </c>
      <c r="C413" s="2">
        <v>3.76</v>
      </c>
      <c r="D413" s="2">
        <v>4.8600000000000003</v>
      </c>
      <c r="E413" s="2">
        <v>5.41</v>
      </c>
      <c r="F413" s="2">
        <v>2.99</v>
      </c>
      <c r="G413" s="6">
        <v>1349</v>
      </c>
      <c r="H413" s="6">
        <v>1648</v>
      </c>
      <c r="I413" s="6">
        <v>1754</v>
      </c>
      <c r="J413" s="6">
        <v>1974</v>
      </c>
      <c r="K413" s="6">
        <f t="shared" si="5"/>
        <v>2274</v>
      </c>
    </row>
    <row r="414" spans="1:11" x14ac:dyDescent="0.2">
      <c r="A414" s="1">
        <v>0.28611111111111098</v>
      </c>
      <c r="B414" s="2">
        <v>6.32</v>
      </c>
      <c r="C414" s="2">
        <v>3.7399999999999998</v>
      </c>
      <c r="D414" s="2">
        <v>5.1300000000000008</v>
      </c>
      <c r="E414" s="2">
        <v>4.8500000000000005</v>
      </c>
      <c r="F414" s="2">
        <v>2.88</v>
      </c>
      <c r="G414" s="6">
        <v>1687</v>
      </c>
      <c r="H414" s="6">
        <v>1754</v>
      </c>
      <c r="I414" s="6">
        <v>1862</v>
      </c>
      <c r="J414" s="6">
        <v>2109</v>
      </c>
      <c r="K414" s="6">
        <v>2333</v>
      </c>
    </row>
    <row r="415" spans="1:11" x14ac:dyDescent="0.2">
      <c r="A415" s="1">
        <v>0.28680555555555598</v>
      </c>
      <c r="B415" s="2">
        <v>6.1400000000000006</v>
      </c>
      <c r="C415" s="2">
        <v>3.55</v>
      </c>
      <c r="D415" s="2">
        <v>4.87</v>
      </c>
      <c r="E415" s="2">
        <v>4.8500000000000005</v>
      </c>
      <c r="F415" s="2">
        <v>3.31</v>
      </c>
      <c r="G415" s="6">
        <v>1940</v>
      </c>
      <c r="H415" s="6">
        <v>2214</v>
      </c>
      <c r="I415" s="6">
        <v>2564</v>
      </c>
      <c r="J415" s="6">
        <v>2347</v>
      </c>
      <c r="K415" s="6">
        <f t="shared" si="5"/>
        <v>2647</v>
      </c>
    </row>
    <row r="416" spans="1:11" x14ac:dyDescent="0.2">
      <c r="A416" s="1">
        <v>0.28749999999999998</v>
      </c>
      <c r="B416" s="2">
        <v>6.21</v>
      </c>
      <c r="C416" s="2">
        <v>3.69</v>
      </c>
      <c r="D416" s="2">
        <v>4.9800000000000004</v>
      </c>
      <c r="E416" s="2">
        <v>5.41</v>
      </c>
      <c r="F416" s="2">
        <v>3.18</v>
      </c>
      <c r="G416" s="6">
        <v>1750</v>
      </c>
      <c r="H416" s="6">
        <v>1854</v>
      </c>
      <c r="I416" s="6">
        <v>2461</v>
      </c>
      <c r="J416" s="6">
        <v>2477</v>
      </c>
      <c r="K416" s="6">
        <v>2478</v>
      </c>
    </row>
    <row r="417" spans="1:11" x14ac:dyDescent="0.2">
      <c r="A417" s="1">
        <v>0.28819444444444398</v>
      </c>
      <c r="B417" s="2">
        <v>6.13</v>
      </c>
      <c r="C417" s="2">
        <v>3.69</v>
      </c>
      <c r="D417" s="2">
        <v>4.88</v>
      </c>
      <c r="E417" s="2">
        <v>4.8600000000000003</v>
      </c>
      <c r="F417" s="2">
        <v>3.21</v>
      </c>
      <c r="G417" s="6">
        <v>1946</v>
      </c>
      <c r="H417" s="6">
        <v>2175</v>
      </c>
      <c r="I417" s="6">
        <v>2547</v>
      </c>
      <c r="J417" s="6">
        <v>2467</v>
      </c>
      <c r="K417" s="6">
        <f t="shared" si="5"/>
        <v>2767</v>
      </c>
    </row>
    <row r="418" spans="1:11" x14ac:dyDescent="0.2">
      <c r="A418" s="1">
        <v>0.28888888888888897</v>
      </c>
      <c r="B418" s="2">
        <v>6.08</v>
      </c>
      <c r="C418" s="2">
        <v>3.5999999999999996</v>
      </c>
      <c r="D418" s="2">
        <v>5.24</v>
      </c>
      <c r="E418" s="2">
        <v>5.3500000000000005</v>
      </c>
      <c r="F418" s="2">
        <v>3.22</v>
      </c>
      <c r="G418" s="6">
        <v>2156</v>
      </c>
      <c r="H418" s="6">
        <v>2275</v>
      </c>
      <c r="I418" s="6">
        <v>2456</v>
      </c>
      <c r="J418" s="6">
        <v>2598</v>
      </c>
      <c r="K418" s="6">
        <v>2754</v>
      </c>
    </row>
    <row r="419" spans="1:11" x14ac:dyDescent="0.2">
      <c r="A419" s="1">
        <v>0.28958333333333303</v>
      </c>
      <c r="B419" s="2">
        <v>6.2200000000000006</v>
      </c>
      <c r="C419" s="2">
        <v>3.6599999999999997</v>
      </c>
      <c r="D419" s="2">
        <v>4.88</v>
      </c>
      <c r="E419" s="2">
        <v>4.83</v>
      </c>
      <c r="F419" s="2">
        <v>3.13</v>
      </c>
      <c r="G419" s="6">
        <v>1720</v>
      </c>
      <c r="H419" s="6">
        <v>1852</v>
      </c>
      <c r="I419" s="6">
        <v>2345</v>
      </c>
      <c r="J419" s="6">
        <v>2470</v>
      </c>
      <c r="K419" s="6">
        <v>2974</v>
      </c>
    </row>
    <row r="420" spans="1:11" x14ac:dyDescent="0.2">
      <c r="A420" s="1">
        <v>0.29027777777777802</v>
      </c>
      <c r="B420" s="2">
        <v>6.11</v>
      </c>
      <c r="C420" s="2">
        <v>3.73</v>
      </c>
      <c r="D420" s="2">
        <v>5.24</v>
      </c>
      <c r="E420" s="2">
        <v>5.5</v>
      </c>
      <c r="F420" s="2">
        <v>2.92</v>
      </c>
      <c r="G420" s="6">
        <v>1907</v>
      </c>
      <c r="H420" s="6">
        <v>2044</v>
      </c>
      <c r="I420" s="6">
        <v>2349</v>
      </c>
      <c r="J420" s="6">
        <v>2440</v>
      </c>
      <c r="K420" s="6">
        <v>2548</v>
      </c>
    </row>
    <row r="421" spans="1:11" x14ac:dyDescent="0.2">
      <c r="A421" s="1">
        <v>0.29097222222222202</v>
      </c>
      <c r="B421" s="2">
        <v>6.12</v>
      </c>
      <c r="C421" s="2">
        <v>3.5799999999999996</v>
      </c>
      <c r="D421" s="2">
        <v>4.99</v>
      </c>
      <c r="E421" s="2">
        <v>5.34</v>
      </c>
      <c r="F421" s="2">
        <v>3.33</v>
      </c>
      <c r="G421" s="6">
        <v>1597</v>
      </c>
      <c r="H421" s="6">
        <v>1798</v>
      </c>
      <c r="I421" s="6">
        <v>2138</v>
      </c>
      <c r="J421" s="6">
        <v>2246</v>
      </c>
      <c r="K421" s="6">
        <v>2359</v>
      </c>
    </row>
    <row r="422" spans="1:11" x14ac:dyDescent="0.2">
      <c r="A422" s="3">
        <v>0.29166666666666702</v>
      </c>
      <c r="B422" s="4">
        <v>6.19</v>
      </c>
      <c r="C422" s="4">
        <v>3.67</v>
      </c>
      <c r="D422" s="4">
        <v>5.09</v>
      </c>
      <c r="E422" s="4">
        <v>5.26</v>
      </c>
      <c r="F422" s="4">
        <v>3.09</v>
      </c>
      <c r="G422" s="7">
        <v>2123</v>
      </c>
      <c r="H422" s="6">
        <v>2511</v>
      </c>
      <c r="I422" s="6">
        <v>2313</v>
      </c>
      <c r="J422" s="7">
        <v>2312</v>
      </c>
      <c r="K422" s="7">
        <v>2743</v>
      </c>
    </row>
    <row r="423" spans="1:11" x14ac:dyDescent="0.2">
      <c r="A423" s="1">
        <v>0.29236111111111102</v>
      </c>
      <c r="B423" s="2">
        <v>6.2200000000000006</v>
      </c>
      <c r="C423" s="2">
        <v>3.71</v>
      </c>
      <c r="D423" s="2">
        <v>5.21</v>
      </c>
      <c r="E423" s="2">
        <v>5.2700000000000005</v>
      </c>
      <c r="F423" s="2">
        <v>3.2</v>
      </c>
      <c r="G423" s="6">
        <v>2245</v>
      </c>
      <c r="H423" s="6">
        <v>2678</v>
      </c>
      <c r="I423" s="6">
        <v>2445</v>
      </c>
      <c r="J423" s="6">
        <v>2687</v>
      </c>
      <c r="K423" s="6">
        <v>2897</v>
      </c>
    </row>
    <row r="424" spans="1:11" x14ac:dyDescent="0.2">
      <c r="A424" s="1">
        <v>0.29305555555555601</v>
      </c>
      <c r="B424" s="2">
        <v>6.12</v>
      </c>
      <c r="C424" s="2">
        <v>3.5599999999999996</v>
      </c>
      <c r="D424" s="2">
        <v>5.0200000000000005</v>
      </c>
      <c r="E424" s="2">
        <v>4.9300000000000006</v>
      </c>
      <c r="F424" s="2">
        <v>3.29</v>
      </c>
      <c r="G424" s="6">
        <v>1257</v>
      </c>
      <c r="H424" s="6">
        <v>1455</v>
      </c>
      <c r="I424" s="6">
        <v>1589</v>
      </c>
      <c r="J424" s="6">
        <v>1874</v>
      </c>
      <c r="K424" s="6">
        <v>1947</v>
      </c>
    </row>
    <row r="425" spans="1:11" x14ac:dyDescent="0.2">
      <c r="A425" s="1">
        <v>0.29375000000000001</v>
      </c>
      <c r="B425" s="2">
        <v>6.3100000000000005</v>
      </c>
      <c r="C425" s="2">
        <v>3.6999999999999997</v>
      </c>
      <c r="D425" s="2">
        <v>5.25</v>
      </c>
      <c r="E425" s="2">
        <v>5.12</v>
      </c>
      <c r="F425" s="2">
        <v>3.31</v>
      </c>
      <c r="G425" s="6">
        <v>1115</v>
      </c>
      <c r="H425" s="6">
        <v>1225</v>
      </c>
      <c r="I425" s="6">
        <v>1354</v>
      </c>
      <c r="J425" s="6">
        <v>1458</v>
      </c>
      <c r="K425" s="6">
        <v>1582</v>
      </c>
    </row>
    <row r="426" spans="1:11" x14ac:dyDescent="0.2">
      <c r="A426" s="1">
        <v>0.29444444444444401</v>
      </c>
      <c r="B426" s="2">
        <v>6.28</v>
      </c>
      <c r="C426" s="2">
        <v>3.6999999999999997</v>
      </c>
      <c r="D426" s="2">
        <v>5.2600000000000007</v>
      </c>
      <c r="E426" s="2">
        <v>4.84</v>
      </c>
      <c r="F426" s="2">
        <v>2.91</v>
      </c>
      <c r="G426" s="6">
        <v>1897</v>
      </c>
      <c r="H426" s="6">
        <v>1875</v>
      </c>
      <c r="I426" s="6">
        <v>1780</v>
      </c>
      <c r="J426" s="6">
        <v>1958</v>
      </c>
      <c r="K426" s="6">
        <v>1954</v>
      </c>
    </row>
    <row r="427" spans="1:11" x14ac:dyDescent="0.2">
      <c r="A427" s="1">
        <v>0.29513888888888901</v>
      </c>
      <c r="B427" s="2">
        <v>6.08</v>
      </c>
      <c r="C427" s="2">
        <v>3.57</v>
      </c>
      <c r="D427" s="2">
        <v>4.9000000000000004</v>
      </c>
      <c r="E427" s="2">
        <v>4.95</v>
      </c>
      <c r="F427" s="2">
        <v>3.0700000000000003</v>
      </c>
      <c r="G427" s="6">
        <v>2004</v>
      </c>
      <c r="H427" s="6">
        <v>2354</v>
      </c>
      <c r="I427" s="6">
        <v>2487</v>
      </c>
      <c r="J427" s="6">
        <v>2782</v>
      </c>
      <c r="K427" s="6">
        <v>2874</v>
      </c>
    </row>
    <row r="428" spans="1:11" x14ac:dyDescent="0.2">
      <c r="A428" s="1">
        <v>0.295833333333333</v>
      </c>
      <c r="B428" s="2">
        <v>6.21</v>
      </c>
      <c r="C428" s="2">
        <v>3.5999999999999996</v>
      </c>
      <c r="D428" s="2">
        <v>5.2200000000000006</v>
      </c>
      <c r="E428" s="2">
        <v>4.9400000000000004</v>
      </c>
      <c r="F428" s="2">
        <v>3.2600000000000002</v>
      </c>
      <c r="G428" s="6">
        <v>2234</v>
      </c>
      <c r="H428" s="6">
        <v>2758</v>
      </c>
      <c r="I428" s="6">
        <v>2638</v>
      </c>
      <c r="J428" s="6">
        <v>3070</v>
      </c>
      <c r="K428" s="6">
        <v>3125</v>
      </c>
    </row>
    <row r="429" spans="1:11" x14ac:dyDescent="0.2">
      <c r="A429" s="1">
        <v>0.296527777777778</v>
      </c>
      <c r="B429" s="2">
        <v>6.3000000000000007</v>
      </c>
      <c r="C429" s="2">
        <v>3.69</v>
      </c>
      <c r="D429" s="2">
        <v>4.92</v>
      </c>
      <c r="E429" s="2">
        <v>5.21</v>
      </c>
      <c r="F429" s="2">
        <v>3.16</v>
      </c>
      <c r="G429" s="6">
        <v>1885</v>
      </c>
      <c r="H429" s="6">
        <v>1758</v>
      </c>
      <c r="I429" s="6">
        <v>2245</v>
      </c>
      <c r="J429" s="6">
        <v>2580</v>
      </c>
      <c r="K429" s="6">
        <v>2850</v>
      </c>
    </row>
    <row r="430" spans="1:11" x14ac:dyDescent="0.2">
      <c r="A430" s="1">
        <v>0.297222222222222</v>
      </c>
      <c r="B430" s="2">
        <v>6.12</v>
      </c>
      <c r="C430" s="2">
        <v>3.67</v>
      </c>
      <c r="D430" s="2">
        <v>5.1400000000000006</v>
      </c>
      <c r="E430" s="2">
        <v>5.08</v>
      </c>
      <c r="F430" s="2">
        <v>3.06</v>
      </c>
      <c r="G430" s="6">
        <v>1597</v>
      </c>
      <c r="H430" s="6">
        <v>1874</v>
      </c>
      <c r="I430" s="6">
        <v>1978</v>
      </c>
      <c r="J430" s="6">
        <v>2045</v>
      </c>
      <c r="K430" s="6">
        <v>2248</v>
      </c>
    </row>
    <row r="431" spans="1:11" x14ac:dyDescent="0.2">
      <c r="A431" s="1">
        <v>0.297916666666667</v>
      </c>
      <c r="B431" s="2">
        <v>6.33</v>
      </c>
      <c r="C431" s="2">
        <v>3.61</v>
      </c>
      <c r="D431" s="2">
        <v>5.1100000000000003</v>
      </c>
      <c r="E431" s="2">
        <v>4.99</v>
      </c>
      <c r="F431" s="2">
        <v>3.1100000000000003</v>
      </c>
      <c r="G431" s="6">
        <v>1774</v>
      </c>
      <c r="H431" s="6">
        <v>2045</v>
      </c>
      <c r="I431" s="6">
        <v>2240</v>
      </c>
      <c r="J431" s="6">
        <v>2356</v>
      </c>
      <c r="K431" s="6">
        <v>2564</v>
      </c>
    </row>
    <row r="432" spans="1:11" x14ac:dyDescent="0.2">
      <c r="A432" s="1">
        <v>0.29861111111111099</v>
      </c>
      <c r="B432" s="2">
        <v>6.2200000000000006</v>
      </c>
      <c r="C432" s="2">
        <v>3.73</v>
      </c>
      <c r="D432" s="2">
        <v>5.2200000000000006</v>
      </c>
      <c r="E432" s="2">
        <v>4.8900000000000006</v>
      </c>
      <c r="F432" s="2">
        <v>2.88</v>
      </c>
      <c r="G432" s="6">
        <v>2245</v>
      </c>
      <c r="H432" s="6">
        <v>2569</v>
      </c>
      <c r="I432" s="6">
        <v>2789</v>
      </c>
      <c r="J432" s="6">
        <v>2487</v>
      </c>
      <c r="K432" s="6">
        <v>2987</v>
      </c>
    </row>
    <row r="433" spans="1:11" x14ac:dyDescent="0.2">
      <c r="A433" s="1">
        <v>0.29930555555555599</v>
      </c>
      <c r="B433" s="2">
        <v>6.15</v>
      </c>
      <c r="C433" s="2">
        <v>3.7699999999999996</v>
      </c>
      <c r="D433" s="2">
        <v>5.19</v>
      </c>
      <c r="E433" s="2">
        <v>5.3000000000000007</v>
      </c>
      <c r="F433" s="2">
        <v>3.13</v>
      </c>
      <c r="G433" s="6">
        <v>2489</v>
      </c>
      <c r="H433" s="6">
        <v>2784</v>
      </c>
      <c r="I433" s="6">
        <v>2897</v>
      </c>
      <c r="J433" s="6">
        <v>2777</v>
      </c>
      <c r="K433" s="6">
        <v>3024</v>
      </c>
    </row>
    <row r="434" spans="1:11" x14ac:dyDescent="0.2">
      <c r="A434" s="1">
        <v>0.3</v>
      </c>
      <c r="B434" s="2">
        <v>6.16</v>
      </c>
      <c r="C434" s="2">
        <v>3.55</v>
      </c>
      <c r="D434" s="2">
        <v>5.21</v>
      </c>
      <c r="E434" s="2">
        <v>5.13</v>
      </c>
      <c r="F434" s="2">
        <v>3.16</v>
      </c>
      <c r="G434" s="6">
        <v>2789</v>
      </c>
      <c r="H434" s="6">
        <v>2774</v>
      </c>
      <c r="I434" s="6">
        <v>3081</v>
      </c>
      <c r="J434" s="6">
        <v>3056</v>
      </c>
      <c r="K434" s="6">
        <v>3248</v>
      </c>
    </row>
    <row r="435" spans="1:11" x14ac:dyDescent="0.2">
      <c r="A435" s="1">
        <v>0.30069444444444399</v>
      </c>
      <c r="B435" s="2">
        <v>6.24</v>
      </c>
      <c r="C435" s="2">
        <v>3.7199999999999998</v>
      </c>
      <c r="D435" s="2">
        <v>5.1400000000000006</v>
      </c>
      <c r="E435" s="2">
        <v>5.53</v>
      </c>
      <c r="F435" s="2">
        <v>2.93</v>
      </c>
      <c r="G435" s="6">
        <v>2547</v>
      </c>
      <c r="H435" s="6">
        <v>2554</v>
      </c>
      <c r="I435" s="6">
        <v>2875</v>
      </c>
      <c r="J435" s="6">
        <v>2899</v>
      </c>
      <c r="K435" s="6">
        <v>3024</v>
      </c>
    </row>
    <row r="436" spans="1:11" x14ac:dyDescent="0.2">
      <c r="A436" s="1">
        <v>0.30138888888888898</v>
      </c>
      <c r="B436" s="2">
        <v>6.2600000000000007</v>
      </c>
      <c r="C436" s="2">
        <v>3.6599999999999997</v>
      </c>
      <c r="D436" s="2">
        <v>4.87</v>
      </c>
      <c r="E436" s="2">
        <v>4.95</v>
      </c>
      <c r="F436" s="2">
        <v>3.21</v>
      </c>
      <c r="G436" s="6">
        <v>1987</v>
      </c>
      <c r="H436" s="6">
        <v>2137</v>
      </c>
      <c r="I436" s="6">
        <v>2549</v>
      </c>
      <c r="J436" s="6">
        <v>2455</v>
      </c>
      <c r="K436" s="6">
        <v>2678</v>
      </c>
    </row>
    <row r="437" spans="1:11" x14ac:dyDescent="0.2">
      <c r="A437" s="1">
        <v>0.30208333333333298</v>
      </c>
      <c r="B437" s="2">
        <v>6.08</v>
      </c>
      <c r="C437" s="2">
        <v>3.51</v>
      </c>
      <c r="D437" s="2">
        <v>5.03</v>
      </c>
      <c r="E437" s="2">
        <v>5.33</v>
      </c>
      <c r="F437" s="2">
        <v>2.91</v>
      </c>
      <c r="G437" s="6">
        <v>2245</v>
      </c>
      <c r="H437" s="6">
        <v>2445</v>
      </c>
      <c r="I437" s="6">
        <v>2843</v>
      </c>
      <c r="J437" s="6">
        <v>2522</v>
      </c>
      <c r="K437" s="6">
        <v>2574</v>
      </c>
    </row>
    <row r="438" spans="1:11" x14ac:dyDescent="0.2">
      <c r="A438" s="1">
        <v>0.30277777777777798</v>
      </c>
      <c r="B438" s="2">
        <v>6.08</v>
      </c>
      <c r="C438" s="2">
        <v>3.55</v>
      </c>
      <c r="D438" s="2">
        <v>4.99</v>
      </c>
      <c r="E438" s="2">
        <v>5.33</v>
      </c>
      <c r="F438" s="2">
        <v>3.23</v>
      </c>
      <c r="G438" s="6">
        <v>2680</v>
      </c>
      <c r="H438" s="6">
        <v>2541</v>
      </c>
      <c r="I438" s="6">
        <f>G438+550</f>
        <v>3230</v>
      </c>
      <c r="J438" s="6">
        <f>G438+900</f>
        <v>3580</v>
      </c>
      <c r="K438" s="6">
        <f>J438+400</f>
        <v>3980</v>
      </c>
    </row>
    <row r="439" spans="1:11" x14ac:dyDescent="0.2">
      <c r="A439" s="1">
        <v>0.30347222222222198</v>
      </c>
      <c r="B439" s="2">
        <v>6.29</v>
      </c>
      <c r="C439" s="2">
        <v>3.5799999999999996</v>
      </c>
      <c r="D439" s="2">
        <v>5.17</v>
      </c>
      <c r="E439" s="2">
        <v>4.91</v>
      </c>
      <c r="F439" s="2">
        <v>3.04</v>
      </c>
      <c r="G439" s="6">
        <v>3288</v>
      </c>
      <c r="H439" s="6">
        <v>3304</v>
      </c>
      <c r="I439" s="6">
        <f t="shared" ref="I439:I481" si="6">G439+550</f>
        <v>3838</v>
      </c>
      <c r="J439" s="6">
        <f t="shared" ref="J439:J481" si="7">G439+900</f>
        <v>4188</v>
      </c>
      <c r="K439" s="6">
        <f t="shared" ref="K439:K481" si="8">J439+400</f>
        <v>4588</v>
      </c>
    </row>
    <row r="440" spans="1:11" x14ac:dyDescent="0.2">
      <c r="A440" s="1">
        <v>0.30416666666666697</v>
      </c>
      <c r="B440" s="2">
        <v>6.19</v>
      </c>
      <c r="C440" s="2">
        <v>3.78</v>
      </c>
      <c r="D440" s="2">
        <v>5.16</v>
      </c>
      <c r="E440" s="2">
        <v>4.92</v>
      </c>
      <c r="F440" s="2">
        <v>3.16</v>
      </c>
      <c r="G440" s="6">
        <v>3458</v>
      </c>
      <c r="H440" s="6">
        <v>3216</v>
      </c>
      <c r="I440" s="6">
        <f t="shared" si="6"/>
        <v>4008</v>
      </c>
      <c r="J440" s="6">
        <f t="shared" si="7"/>
        <v>4358</v>
      </c>
      <c r="K440" s="6">
        <f t="shared" si="8"/>
        <v>4758</v>
      </c>
    </row>
    <row r="441" spans="1:11" x14ac:dyDescent="0.2">
      <c r="A441" s="1">
        <v>0.30486111111111103</v>
      </c>
      <c r="B441" s="2">
        <v>6.11</v>
      </c>
      <c r="C441" s="2">
        <v>3.59</v>
      </c>
      <c r="D441" s="2">
        <v>5.2200000000000006</v>
      </c>
      <c r="E441" s="2">
        <v>4.83</v>
      </c>
      <c r="F441" s="2">
        <v>2.91</v>
      </c>
      <c r="G441" s="6">
        <v>3248</v>
      </c>
      <c r="H441" s="6">
        <v>3327</v>
      </c>
      <c r="I441" s="6">
        <f t="shared" si="6"/>
        <v>3798</v>
      </c>
      <c r="J441" s="6">
        <f t="shared" si="7"/>
        <v>4148</v>
      </c>
      <c r="K441" s="6">
        <f t="shared" si="8"/>
        <v>4548</v>
      </c>
    </row>
    <row r="442" spans="1:11" x14ac:dyDescent="0.2">
      <c r="A442" s="1">
        <v>0.30555555555555602</v>
      </c>
      <c r="B442" s="2">
        <v>6.3000000000000007</v>
      </c>
      <c r="C442" s="2">
        <v>3.73</v>
      </c>
      <c r="D442" s="2">
        <v>4.9800000000000004</v>
      </c>
      <c r="E442" s="2">
        <v>5.21</v>
      </c>
      <c r="F442" s="2">
        <v>3.27</v>
      </c>
      <c r="G442" s="6">
        <v>2245</v>
      </c>
      <c r="H442" s="6">
        <v>2169</v>
      </c>
      <c r="I442" s="6">
        <f t="shared" si="6"/>
        <v>2795</v>
      </c>
      <c r="J442" s="6">
        <f t="shared" si="7"/>
        <v>3145</v>
      </c>
      <c r="K442" s="6">
        <f t="shared" si="8"/>
        <v>3545</v>
      </c>
    </row>
    <row r="443" spans="1:11" x14ac:dyDescent="0.2">
      <c r="A443" s="1">
        <v>0.30625000000000002</v>
      </c>
      <c r="B443" s="2">
        <v>6.15</v>
      </c>
      <c r="C443" s="2">
        <v>3.5399999999999996</v>
      </c>
      <c r="D443" s="2">
        <v>5.25</v>
      </c>
      <c r="E443" s="2">
        <v>5.28</v>
      </c>
      <c r="F443" s="2">
        <v>2.89</v>
      </c>
      <c r="G443" s="6">
        <v>2854</v>
      </c>
      <c r="H443" s="6">
        <v>3024</v>
      </c>
      <c r="I443" s="6">
        <f t="shared" si="6"/>
        <v>3404</v>
      </c>
      <c r="J443" s="6">
        <f t="shared" si="7"/>
        <v>3754</v>
      </c>
      <c r="K443" s="6">
        <f t="shared" si="8"/>
        <v>4154</v>
      </c>
    </row>
    <row r="444" spans="1:11" x14ac:dyDescent="0.2">
      <c r="A444" s="1">
        <v>0.30694444444444402</v>
      </c>
      <c r="B444" s="2">
        <v>6.2200000000000006</v>
      </c>
      <c r="C444" s="2">
        <v>3.7699999999999996</v>
      </c>
      <c r="D444" s="2">
        <v>4.87</v>
      </c>
      <c r="E444" s="2">
        <v>5.3800000000000008</v>
      </c>
      <c r="F444" s="2">
        <v>3.17</v>
      </c>
      <c r="G444" s="6">
        <v>2274</v>
      </c>
      <c r="H444" s="6">
        <v>2745</v>
      </c>
      <c r="I444" s="6">
        <f t="shared" si="6"/>
        <v>2824</v>
      </c>
      <c r="J444" s="6">
        <f t="shared" si="7"/>
        <v>3174</v>
      </c>
      <c r="K444" s="6">
        <f t="shared" si="8"/>
        <v>3574</v>
      </c>
    </row>
    <row r="445" spans="1:11" x14ac:dyDescent="0.2">
      <c r="A445" s="1">
        <v>0.30763888888888902</v>
      </c>
      <c r="B445" s="2">
        <v>6.1400000000000006</v>
      </c>
      <c r="C445" s="2">
        <v>3.75</v>
      </c>
      <c r="D445" s="2">
        <v>5.1100000000000003</v>
      </c>
      <c r="E445" s="2">
        <v>5.34</v>
      </c>
      <c r="F445" s="2">
        <v>3.15</v>
      </c>
      <c r="G445" s="6">
        <v>1456</v>
      </c>
      <c r="H445" s="6">
        <v>2234</v>
      </c>
      <c r="I445" s="6">
        <f t="shared" si="6"/>
        <v>2006</v>
      </c>
      <c r="J445" s="6">
        <f t="shared" si="7"/>
        <v>2356</v>
      </c>
      <c r="K445" s="6">
        <f t="shared" si="8"/>
        <v>2756</v>
      </c>
    </row>
    <row r="446" spans="1:11" x14ac:dyDescent="0.2">
      <c r="A446" s="1">
        <v>0.30833333333333302</v>
      </c>
      <c r="B446" s="2">
        <v>6.17</v>
      </c>
      <c r="C446" s="2">
        <v>3.51</v>
      </c>
      <c r="D446" s="2">
        <v>5.1400000000000006</v>
      </c>
      <c r="E446" s="2">
        <v>5.4</v>
      </c>
      <c r="F446" s="2">
        <v>2.85</v>
      </c>
      <c r="G446" s="6">
        <v>1389</v>
      </c>
      <c r="H446" s="6">
        <v>1433</v>
      </c>
      <c r="I446" s="6">
        <f t="shared" si="6"/>
        <v>1939</v>
      </c>
      <c r="J446" s="6">
        <f t="shared" si="7"/>
        <v>2289</v>
      </c>
      <c r="K446" s="6">
        <f t="shared" si="8"/>
        <v>2689</v>
      </c>
    </row>
    <row r="447" spans="1:11" x14ac:dyDescent="0.2">
      <c r="A447" s="1">
        <v>0.30902777777777801</v>
      </c>
      <c r="B447" s="2">
        <v>6.2</v>
      </c>
      <c r="C447" s="2">
        <v>3.75</v>
      </c>
      <c r="D447" s="2">
        <v>5</v>
      </c>
      <c r="E447" s="2">
        <v>5.5</v>
      </c>
      <c r="F447" s="2">
        <v>3.35</v>
      </c>
      <c r="G447" s="6">
        <v>2745</v>
      </c>
      <c r="H447" s="6">
        <v>3045</v>
      </c>
      <c r="I447" s="6">
        <f t="shared" si="6"/>
        <v>3295</v>
      </c>
      <c r="J447" s="6">
        <f t="shared" si="7"/>
        <v>3645</v>
      </c>
      <c r="K447" s="6">
        <f t="shared" si="8"/>
        <v>4045</v>
      </c>
    </row>
    <row r="448" spans="1:11" x14ac:dyDescent="0.2">
      <c r="A448" s="1">
        <v>0.30972222222222201</v>
      </c>
      <c r="B448" s="2">
        <v>6.07</v>
      </c>
      <c r="C448" s="2">
        <v>3.75</v>
      </c>
      <c r="D448" s="2">
        <v>4.99</v>
      </c>
      <c r="E448" s="2">
        <v>5.3500000000000005</v>
      </c>
      <c r="F448" s="2">
        <v>3.2600000000000002</v>
      </c>
      <c r="G448" s="6">
        <v>3687</v>
      </c>
      <c r="H448" s="6">
        <v>3745</v>
      </c>
      <c r="I448" s="6">
        <f t="shared" si="6"/>
        <v>4237</v>
      </c>
      <c r="J448" s="6">
        <f t="shared" si="7"/>
        <v>4587</v>
      </c>
      <c r="K448" s="6">
        <f t="shared" si="8"/>
        <v>4987</v>
      </c>
    </row>
    <row r="449" spans="1:11" x14ac:dyDescent="0.2">
      <c r="A449" s="1">
        <v>0.31041666666666701</v>
      </c>
      <c r="B449" s="2">
        <v>6.17</v>
      </c>
      <c r="C449" s="2">
        <v>3.76</v>
      </c>
      <c r="D449" s="2">
        <v>5.07</v>
      </c>
      <c r="E449" s="2">
        <v>5.16</v>
      </c>
      <c r="F449" s="2">
        <v>2.87</v>
      </c>
      <c r="G449" s="6">
        <v>3589</v>
      </c>
      <c r="H449" s="6">
        <v>3627</v>
      </c>
      <c r="I449" s="6">
        <f t="shared" si="6"/>
        <v>4139</v>
      </c>
      <c r="J449" s="6">
        <f t="shared" si="7"/>
        <v>4489</v>
      </c>
      <c r="K449" s="6">
        <f t="shared" si="8"/>
        <v>4889</v>
      </c>
    </row>
    <row r="450" spans="1:11" x14ac:dyDescent="0.2">
      <c r="A450" s="1">
        <v>0.31111111111111101</v>
      </c>
      <c r="B450" s="2">
        <v>6.1000000000000005</v>
      </c>
      <c r="C450" s="2">
        <v>3.69</v>
      </c>
      <c r="D450" s="2">
        <v>5.16</v>
      </c>
      <c r="E450" s="2">
        <v>5.4300000000000006</v>
      </c>
      <c r="F450" s="2">
        <v>2.85</v>
      </c>
      <c r="G450" s="6">
        <v>3791</v>
      </c>
      <c r="H450" s="6">
        <v>3542</v>
      </c>
      <c r="I450" s="6">
        <f t="shared" si="6"/>
        <v>4341</v>
      </c>
      <c r="J450" s="6">
        <f t="shared" si="7"/>
        <v>4691</v>
      </c>
      <c r="K450" s="6">
        <f t="shared" si="8"/>
        <v>5091</v>
      </c>
    </row>
    <row r="451" spans="1:11" x14ac:dyDescent="0.2">
      <c r="A451" s="1">
        <v>0.311805555555556</v>
      </c>
      <c r="B451" s="2">
        <v>6.12</v>
      </c>
      <c r="C451" s="2">
        <v>3.7399999999999998</v>
      </c>
      <c r="D451" s="2">
        <v>4.8900000000000006</v>
      </c>
      <c r="E451" s="2">
        <v>4.92</v>
      </c>
      <c r="F451" s="2">
        <v>2.85</v>
      </c>
      <c r="G451" s="6">
        <v>2247</v>
      </c>
      <c r="H451" s="6">
        <v>2573</v>
      </c>
      <c r="I451" s="6">
        <f t="shared" si="6"/>
        <v>2797</v>
      </c>
      <c r="J451" s="6">
        <f t="shared" si="7"/>
        <v>3147</v>
      </c>
      <c r="K451" s="6">
        <f t="shared" si="8"/>
        <v>3547</v>
      </c>
    </row>
    <row r="452" spans="1:11" x14ac:dyDescent="0.2">
      <c r="A452" s="1">
        <v>0.3125</v>
      </c>
      <c r="B452" s="2">
        <v>6.12</v>
      </c>
      <c r="C452" s="2">
        <v>3.6199999999999997</v>
      </c>
      <c r="D452" s="2">
        <v>5.1800000000000006</v>
      </c>
      <c r="E452" s="2">
        <v>5.17</v>
      </c>
      <c r="F452" s="2">
        <v>3.25</v>
      </c>
      <c r="G452" s="6">
        <v>2437</v>
      </c>
      <c r="H452" s="6">
        <v>2678</v>
      </c>
      <c r="I452" s="6">
        <f t="shared" si="6"/>
        <v>2987</v>
      </c>
      <c r="J452" s="6">
        <f t="shared" si="7"/>
        <v>3337</v>
      </c>
      <c r="K452" s="6">
        <f t="shared" si="8"/>
        <v>3737</v>
      </c>
    </row>
    <row r="453" spans="1:11" x14ac:dyDescent="0.2">
      <c r="A453" s="1">
        <v>0.313194444444444</v>
      </c>
      <c r="B453" s="2">
        <v>6.32</v>
      </c>
      <c r="C453" s="2">
        <v>3.51</v>
      </c>
      <c r="D453" s="2">
        <v>5.08</v>
      </c>
      <c r="E453" s="2">
        <v>5.1400000000000006</v>
      </c>
      <c r="F453" s="2">
        <v>2.85</v>
      </c>
      <c r="G453" s="6">
        <v>3874</v>
      </c>
      <c r="H453" s="6">
        <v>4033</v>
      </c>
      <c r="I453" s="6">
        <f t="shared" si="6"/>
        <v>4424</v>
      </c>
      <c r="J453" s="6">
        <f t="shared" si="7"/>
        <v>4774</v>
      </c>
      <c r="K453" s="6">
        <f t="shared" si="8"/>
        <v>5174</v>
      </c>
    </row>
    <row r="454" spans="1:11" x14ac:dyDescent="0.2">
      <c r="A454" s="1">
        <v>0.31388888888888899</v>
      </c>
      <c r="B454" s="2">
        <v>6.16</v>
      </c>
      <c r="C454" s="2">
        <v>3.59</v>
      </c>
      <c r="D454" s="2">
        <v>5.1800000000000006</v>
      </c>
      <c r="E454" s="2">
        <v>5.2</v>
      </c>
      <c r="F454" s="2">
        <v>3.19</v>
      </c>
      <c r="G454" s="6">
        <v>2378</v>
      </c>
      <c r="H454" s="6">
        <v>2754</v>
      </c>
      <c r="I454" s="6">
        <f t="shared" si="6"/>
        <v>2928</v>
      </c>
      <c r="J454" s="6">
        <f t="shared" si="7"/>
        <v>3278</v>
      </c>
      <c r="K454" s="6">
        <f t="shared" si="8"/>
        <v>3678</v>
      </c>
    </row>
    <row r="455" spans="1:11" x14ac:dyDescent="0.2">
      <c r="A455" s="1">
        <v>0.31458333333333299</v>
      </c>
      <c r="B455" s="2">
        <v>6.07</v>
      </c>
      <c r="C455" s="2">
        <v>3.6399999999999997</v>
      </c>
      <c r="D455" s="2">
        <v>5.2200000000000006</v>
      </c>
      <c r="E455" s="2">
        <v>5.28</v>
      </c>
      <c r="F455" s="2">
        <v>3.2600000000000002</v>
      </c>
      <c r="G455" s="6">
        <v>1478</v>
      </c>
      <c r="H455" s="6">
        <v>1834</v>
      </c>
      <c r="I455" s="6">
        <f t="shared" si="6"/>
        <v>2028</v>
      </c>
      <c r="J455" s="6">
        <f t="shared" si="7"/>
        <v>2378</v>
      </c>
      <c r="K455" s="6">
        <f t="shared" si="8"/>
        <v>2778</v>
      </c>
    </row>
    <row r="456" spans="1:11" x14ac:dyDescent="0.2">
      <c r="A456" s="1">
        <v>0.31527777777777799</v>
      </c>
      <c r="B456" s="2">
        <v>6.25</v>
      </c>
      <c r="C456" s="2">
        <v>3.57</v>
      </c>
      <c r="D456" s="2">
        <v>5.1300000000000008</v>
      </c>
      <c r="E456" s="2">
        <v>5.2600000000000007</v>
      </c>
      <c r="F456" s="2">
        <v>3.22</v>
      </c>
      <c r="G456" s="6">
        <v>2574</v>
      </c>
      <c r="H456" s="6">
        <v>2754</v>
      </c>
      <c r="I456" s="6">
        <f t="shared" si="6"/>
        <v>3124</v>
      </c>
      <c r="J456" s="6">
        <f t="shared" si="7"/>
        <v>3474</v>
      </c>
      <c r="K456" s="6">
        <f t="shared" si="8"/>
        <v>3874</v>
      </c>
    </row>
    <row r="457" spans="1:11" x14ac:dyDescent="0.2">
      <c r="A457" s="1">
        <v>0.31597222222222199</v>
      </c>
      <c r="B457" s="2">
        <v>6.08</v>
      </c>
      <c r="C457" s="2">
        <v>3.75</v>
      </c>
      <c r="D457" s="2">
        <v>4.92</v>
      </c>
      <c r="E457" s="2">
        <v>5.13</v>
      </c>
      <c r="F457" s="2">
        <v>3.18</v>
      </c>
      <c r="G457" s="6">
        <v>3346</v>
      </c>
      <c r="H457" s="6">
        <v>3547</v>
      </c>
      <c r="I457" s="6">
        <f t="shared" si="6"/>
        <v>3896</v>
      </c>
      <c r="J457" s="6">
        <f t="shared" si="7"/>
        <v>4246</v>
      </c>
      <c r="K457" s="6">
        <f t="shared" si="8"/>
        <v>4646</v>
      </c>
    </row>
    <row r="458" spans="1:11" x14ac:dyDescent="0.2">
      <c r="A458" s="1">
        <v>0.31666666666666698</v>
      </c>
      <c r="B458" s="2">
        <v>6.15</v>
      </c>
      <c r="C458" s="2">
        <v>3.5199999999999996</v>
      </c>
      <c r="D458" s="2">
        <v>5.0200000000000005</v>
      </c>
      <c r="E458" s="2">
        <v>5.32</v>
      </c>
      <c r="F458" s="2">
        <v>3.2600000000000002</v>
      </c>
      <c r="G458" s="6">
        <v>3871</v>
      </c>
      <c r="H458" s="6">
        <v>4026</v>
      </c>
      <c r="I458" s="6">
        <f t="shared" si="6"/>
        <v>4421</v>
      </c>
      <c r="J458" s="6">
        <f t="shared" si="7"/>
        <v>4771</v>
      </c>
      <c r="K458" s="6">
        <f t="shared" si="8"/>
        <v>5171</v>
      </c>
    </row>
    <row r="459" spans="1:11" x14ac:dyDescent="0.2">
      <c r="A459" s="1">
        <v>0.31736111111111098</v>
      </c>
      <c r="B459" s="2">
        <v>6.16</v>
      </c>
      <c r="C459" s="2">
        <v>3.63</v>
      </c>
      <c r="D459" s="2">
        <v>5.24</v>
      </c>
      <c r="E459" s="2">
        <v>5.53</v>
      </c>
      <c r="F459" s="2">
        <v>3.22</v>
      </c>
      <c r="G459" s="6">
        <v>2678</v>
      </c>
      <c r="H459" s="6">
        <v>3077</v>
      </c>
      <c r="I459" s="6">
        <f t="shared" si="6"/>
        <v>3228</v>
      </c>
      <c r="J459" s="6">
        <f t="shared" si="7"/>
        <v>3578</v>
      </c>
      <c r="K459" s="6">
        <f t="shared" si="8"/>
        <v>3978</v>
      </c>
    </row>
    <row r="460" spans="1:11" x14ac:dyDescent="0.2">
      <c r="A460" s="1">
        <v>0.31805555555555598</v>
      </c>
      <c r="B460" s="2">
        <v>6.08</v>
      </c>
      <c r="C460" s="2">
        <v>3.75</v>
      </c>
      <c r="D460" s="2">
        <v>4.8900000000000006</v>
      </c>
      <c r="E460" s="2">
        <v>5.0500000000000007</v>
      </c>
      <c r="F460" s="2">
        <v>2.95</v>
      </c>
      <c r="G460" s="6">
        <v>2957</v>
      </c>
      <c r="H460" s="6">
        <v>3210</v>
      </c>
      <c r="I460" s="6">
        <f t="shared" si="6"/>
        <v>3507</v>
      </c>
      <c r="J460" s="6">
        <f t="shared" si="7"/>
        <v>3857</v>
      </c>
      <c r="K460" s="6">
        <f t="shared" si="8"/>
        <v>4257</v>
      </c>
    </row>
    <row r="461" spans="1:11" x14ac:dyDescent="0.2">
      <c r="A461" s="1">
        <v>0.31874999999999998</v>
      </c>
      <c r="B461" s="2">
        <v>6.07</v>
      </c>
      <c r="C461" s="2">
        <v>3.61</v>
      </c>
      <c r="D461" s="2">
        <v>5</v>
      </c>
      <c r="E461" s="2">
        <v>5.1100000000000003</v>
      </c>
      <c r="F461" s="2">
        <v>3.17</v>
      </c>
      <c r="G461" s="6">
        <v>3586</v>
      </c>
      <c r="H461" s="6">
        <v>3271</v>
      </c>
      <c r="I461" s="6">
        <f t="shared" si="6"/>
        <v>4136</v>
      </c>
      <c r="J461" s="6">
        <v>4267</v>
      </c>
      <c r="K461" s="6">
        <v>4399</v>
      </c>
    </row>
    <row r="462" spans="1:11" x14ac:dyDescent="0.2">
      <c r="A462" s="1">
        <v>0.31944444444444398</v>
      </c>
      <c r="B462" s="2">
        <v>6.2700000000000005</v>
      </c>
      <c r="C462" s="2">
        <v>3.6999999999999997</v>
      </c>
      <c r="D462" s="2">
        <v>5.1300000000000008</v>
      </c>
      <c r="E462" s="2">
        <v>5.3900000000000006</v>
      </c>
      <c r="F462" s="2">
        <v>3.12</v>
      </c>
      <c r="G462" s="6">
        <v>3178</v>
      </c>
      <c r="H462" s="6">
        <v>3324</v>
      </c>
      <c r="I462" s="6">
        <v>3456</v>
      </c>
      <c r="J462" s="6">
        <f t="shared" si="7"/>
        <v>4078</v>
      </c>
      <c r="K462" s="6">
        <f t="shared" si="8"/>
        <v>4478</v>
      </c>
    </row>
    <row r="463" spans="1:11" x14ac:dyDescent="0.2">
      <c r="A463" s="1">
        <v>0.32013888888888897</v>
      </c>
      <c r="B463" s="2">
        <v>6.19</v>
      </c>
      <c r="C463" s="2">
        <v>3.65</v>
      </c>
      <c r="D463" s="2">
        <v>5.19</v>
      </c>
      <c r="E463" s="2">
        <v>5.4700000000000006</v>
      </c>
      <c r="F463" s="2">
        <v>3.15</v>
      </c>
      <c r="G463" s="6">
        <v>4100</v>
      </c>
      <c r="H463" s="6">
        <v>4216</v>
      </c>
      <c r="I463" s="6">
        <v>3678</v>
      </c>
      <c r="J463" s="6">
        <f t="shared" si="7"/>
        <v>5000</v>
      </c>
      <c r="K463" s="6">
        <f t="shared" si="8"/>
        <v>5400</v>
      </c>
    </row>
    <row r="464" spans="1:11" x14ac:dyDescent="0.2">
      <c r="A464" s="1">
        <v>0.32083333333333303</v>
      </c>
      <c r="B464" s="2">
        <v>6.2700000000000005</v>
      </c>
      <c r="C464" s="2">
        <v>3.5399999999999996</v>
      </c>
      <c r="D464" s="2">
        <v>5.24</v>
      </c>
      <c r="E464" s="2">
        <v>4.95</v>
      </c>
      <c r="F464" s="2">
        <v>3.17</v>
      </c>
      <c r="G464" s="6">
        <v>3789</v>
      </c>
      <c r="H464" s="6">
        <v>3991</v>
      </c>
      <c r="I464" s="6">
        <f t="shared" si="6"/>
        <v>4339</v>
      </c>
      <c r="J464" s="6">
        <v>4278</v>
      </c>
      <c r="K464" s="6">
        <v>4627</v>
      </c>
    </row>
    <row r="465" spans="1:11" x14ac:dyDescent="0.2">
      <c r="A465" s="1">
        <v>0.32152777777777802</v>
      </c>
      <c r="B465" s="2">
        <v>6.08</v>
      </c>
      <c r="C465" s="2">
        <v>3.6799999999999997</v>
      </c>
      <c r="D465" s="2">
        <v>5.1800000000000006</v>
      </c>
      <c r="E465" s="2">
        <v>4.9300000000000006</v>
      </c>
      <c r="F465" s="2">
        <v>3.14</v>
      </c>
      <c r="G465" s="6">
        <v>3894</v>
      </c>
      <c r="H465" s="6">
        <v>4027</v>
      </c>
      <c r="I465" s="6">
        <f t="shared" si="6"/>
        <v>4444</v>
      </c>
      <c r="J465" s="6">
        <f t="shared" si="7"/>
        <v>4794</v>
      </c>
      <c r="K465" s="6">
        <f t="shared" si="8"/>
        <v>5194</v>
      </c>
    </row>
    <row r="466" spans="1:11" x14ac:dyDescent="0.2">
      <c r="A466" s="1">
        <v>0.32222222222222202</v>
      </c>
      <c r="B466" s="2">
        <v>6.2</v>
      </c>
      <c r="C466" s="2">
        <v>3.53</v>
      </c>
      <c r="D466" s="2">
        <v>5.16</v>
      </c>
      <c r="E466" s="2">
        <v>5.3500000000000005</v>
      </c>
      <c r="F466" s="2">
        <v>3.1100000000000003</v>
      </c>
      <c r="G466" s="6">
        <v>3547</v>
      </c>
      <c r="H466" s="6">
        <v>3547</v>
      </c>
      <c r="I466" s="6">
        <f t="shared" si="6"/>
        <v>4097</v>
      </c>
      <c r="J466" s="6">
        <f t="shared" si="7"/>
        <v>4447</v>
      </c>
      <c r="K466" s="6">
        <v>4570</v>
      </c>
    </row>
    <row r="467" spans="1:11" x14ac:dyDescent="0.2">
      <c r="A467" s="1">
        <v>0.32291666666666702</v>
      </c>
      <c r="B467" s="2">
        <v>6.08</v>
      </c>
      <c r="C467" s="2">
        <v>3.5199999999999996</v>
      </c>
      <c r="D467" s="2">
        <v>5.1400000000000006</v>
      </c>
      <c r="E467" s="2">
        <v>5.3100000000000005</v>
      </c>
      <c r="F467" s="2">
        <v>3.1</v>
      </c>
      <c r="G467" s="6">
        <v>3678</v>
      </c>
      <c r="H467" s="6">
        <v>3749</v>
      </c>
      <c r="I467" s="6">
        <f t="shared" si="6"/>
        <v>4228</v>
      </c>
      <c r="J467" s="6">
        <f t="shared" si="7"/>
        <v>4578</v>
      </c>
      <c r="K467" s="6">
        <f t="shared" si="8"/>
        <v>4978</v>
      </c>
    </row>
    <row r="468" spans="1:11" x14ac:dyDescent="0.2">
      <c r="A468" s="1">
        <v>0.32361111111111102</v>
      </c>
      <c r="B468" s="2">
        <v>6.25</v>
      </c>
      <c r="C468" s="2">
        <v>3.6599999999999997</v>
      </c>
      <c r="D468" s="2">
        <v>4.8900000000000006</v>
      </c>
      <c r="E468" s="2">
        <v>4.9700000000000006</v>
      </c>
      <c r="F468" s="2">
        <v>3.1100000000000003</v>
      </c>
      <c r="G468" s="6">
        <v>4587</v>
      </c>
      <c r="H468" s="6">
        <v>4821</v>
      </c>
      <c r="I468" s="6">
        <v>5279</v>
      </c>
      <c r="J468" s="6">
        <v>5347</v>
      </c>
      <c r="K468" s="6">
        <f t="shared" si="8"/>
        <v>5747</v>
      </c>
    </row>
    <row r="469" spans="1:11" x14ac:dyDescent="0.2">
      <c r="A469" s="1">
        <v>0.32430555555555601</v>
      </c>
      <c r="B469" s="2">
        <v>6.15</v>
      </c>
      <c r="C469" s="2">
        <v>3.6599999999999997</v>
      </c>
      <c r="D469" s="2">
        <v>4.8900000000000006</v>
      </c>
      <c r="E469" s="2">
        <v>5.0100000000000007</v>
      </c>
      <c r="F469" s="2">
        <v>2.97</v>
      </c>
      <c r="G469" s="6">
        <v>4236</v>
      </c>
      <c r="H469" s="6">
        <v>4521</v>
      </c>
      <c r="I469" s="6">
        <f t="shared" si="6"/>
        <v>4786</v>
      </c>
      <c r="J469" s="6">
        <f t="shared" si="7"/>
        <v>5136</v>
      </c>
      <c r="K469" s="6">
        <f t="shared" si="8"/>
        <v>5536</v>
      </c>
    </row>
    <row r="470" spans="1:11" x14ac:dyDescent="0.2">
      <c r="A470" s="1">
        <v>0.32500000000000001</v>
      </c>
      <c r="B470" s="2">
        <v>6.21</v>
      </c>
      <c r="C470" s="2">
        <v>3.75</v>
      </c>
      <c r="D470" s="2">
        <v>5.1800000000000006</v>
      </c>
      <c r="E470" s="2">
        <v>4.9000000000000004</v>
      </c>
      <c r="F470" s="2">
        <v>3.18</v>
      </c>
      <c r="G470" s="6">
        <v>5549</v>
      </c>
      <c r="H470" s="6">
        <v>5749</v>
      </c>
      <c r="I470" s="6">
        <f t="shared" si="6"/>
        <v>6099</v>
      </c>
      <c r="J470" s="6">
        <f t="shared" si="7"/>
        <v>6449</v>
      </c>
      <c r="K470" s="6">
        <v>6758</v>
      </c>
    </row>
    <row r="471" spans="1:11" x14ac:dyDescent="0.2">
      <c r="A471" s="1">
        <v>0.32569444444444401</v>
      </c>
      <c r="B471" s="2">
        <v>6.21</v>
      </c>
      <c r="C471" s="2">
        <v>3.5799999999999996</v>
      </c>
      <c r="D471" s="2">
        <v>4.8600000000000003</v>
      </c>
      <c r="E471" s="2">
        <v>5.32</v>
      </c>
      <c r="F471" s="2">
        <v>3.29</v>
      </c>
      <c r="G471" s="6">
        <v>5137</v>
      </c>
      <c r="H471" s="6">
        <v>5347</v>
      </c>
      <c r="I471" s="6">
        <v>5482</v>
      </c>
      <c r="J471" s="6">
        <f t="shared" si="7"/>
        <v>6037</v>
      </c>
      <c r="K471" s="6">
        <f t="shared" si="8"/>
        <v>6437</v>
      </c>
    </row>
    <row r="472" spans="1:11" x14ac:dyDescent="0.2">
      <c r="A472" s="1">
        <v>0.32638888888888901</v>
      </c>
      <c r="B472" s="2">
        <v>6.25</v>
      </c>
      <c r="C472" s="2">
        <v>3.5799999999999996</v>
      </c>
      <c r="D472" s="2">
        <v>5.23</v>
      </c>
      <c r="E472" s="2">
        <v>4.8500000000000005</v>
      </c>
      <c r="F472" s="2">
        <v>3.1</v>
      </c>
      <c r="G472" s="6">
        <v>2480</v>
      </c>
      <c r="H472" s="6">
        <v>2564</v>
      </c>
      <c r="I472" s="6">
        <f t="shared" si="6"/>
        <v>3030</v>
      </c>
      <c r="J472" s="6">
        <v>3147</v>
      </c>
      <c r="K472" s="6">
        <f t="shared" si="8"/>
        <v>3547</v>
      </c>
    </row>
    <row r="473" spans="1:11" x14ac:dyDescent="0.2">
      <c r="A473" s="1">
        <v>0.327083333333333</v>
      </c>
      <c r="B473" s="2">
        <v>6.15</v>
      </c>
      <c r="C473" s="2">
        <v>3.6399999999999997</v>
      </c>
      <c r="D473" s="2">
        <v>5.07</v>
      </c>
      <c r="E473" s="2">
        <v>5.0500000000000007</v>
      </c>
      <c r="F473" s="2">
        <v>3.08</v>
      </c>
      <c r="G473" s="6">
        <v>3477</v>
      </c>
      <c r="H473" s="6">
        <v>4557</v>
      </c>
      <c r="I473" s="6">
        <v>4127</v>
      </c>
      <c r="J473" s="6">
        <f t="shared" si="7"/>
        <v>4377</v>
      </c>
      <c r="K473" s="6">
        <f t="shared" si="8"/>
        <v>4777</v>
      </c>
    </row>
    <row r="474" spans="1:11" x14ac:dyDescent="0.2">
      <c r="A474" s="1">
        <v>0.327777777777778</v>
      </c>
      <c r="B474" s="2">
        <v>6.1000000000000005</v>
      </c>
      <c r="C474" s="2">
        <v>3.5799999999999996</v>
      </c>
      <c r="D474" s="2">
        <v>5.2600000000000007</v>
      </c>
      <c r="E474" s="2">
        <v>5.16</v>
      </c>
      <c r="F474" s="2">
        <v>3.3200000000000003</v>
      </c>
      <c r="G474" s="6">
        <v>4895</v>
      </c>
      <c r="H474" s="6">
        <v>5488</v>
      </c>
      <c r="I474" s="6">
        <f t="shared" si="6"/>
        <v>5445</v>
      </c>
      <c r="J474" s="6">
        <f t="shared" si="7"/>
        <v>5795</v>
      </c>
      <c r="K474" s="6">
        <f t="shared" si="8"/>
        <v>6195</v>
      </c>
    </row>
    <row r="475" spans="1:11" x14ac:dyDescent="0.2">
      <c r="A475" s="1">
        <v>0.328472222222222</v>
      </c>
      <c r="B475" s="2">
        <v>6.19</v>
      </c>
      <c r="C475" s="2">
        <v>3.69</v>
      </c>
      <c r="D475" s="2">
        <v>4.91</v>
      </c>
      <c r="E475" s="2">
        <v>5.0200000000000005</v>
      </c>
      <c r="F475" s="2">
        <v>3.22</v>
      </c>
      <c r="G475" s="6">
        <v>5742</v>
      </c>
      <c r="H475" s="6">
        <v>5881</v>
      </c>
      <c r="I475" s="6">
        <f t="shared" si="6"/>
        <v>6292</v>
      </c>
      <c r="J475" s="6">
        <f t="shared" si="7"/>
        <v>6642</v>
      </c>
      <c r="K475" s="6">
        <f t="shared" si="8"/>
        <v>7042</v>
      </c>
    </row>
    <row r="476" spans="1:11" x14ac:dyDescent="0.2">
      <c r="A476" s="1">
        <v>0.329166666666667</v>
      </c>
      <c r="B476" s="2">
        <v>6.13</v>
      </c>
      <c r="C476" s="2">
        <v>3.7199999999999998</v>
      </c>
      <c r="D476" s="2">
        <v>5.21</v>
      </c>
      <c r="E476" s="2">
        <v>5.2200000000000006</v>
      </c>
      <c r="F476" s="2">
        <v>2.93</v>
      </c>
      <c r="G476" s="6">
        <v>4720</v>
      </c>
      <c r="H476" s="6">
        <v>4915</v>
      </c>
      <c r="I476" s="6">
        <f t="shared" si="6"/>
        <v>5270</v>
      </c>
      <c r="J476" s="6">
        <f t="shared" si="7"/>
        <v>5620</v>
      </c>
      <c r="K476" s="6">
        <f t="shared" si="8"/>
        <v>6020</v>
      </c>
    </row>
    <row r="477" spans="1:11" x14ac:dyDescent="0.2">
      <c r="A477" s="1">
        <v>0.32986111111111099</v>
      </c>
      <c r="B477" s="2">
        <v>6.11</v>
      </c>
      <c r="C477" s="2">
        <v>3.57</v>
      </c>
      <c r="D477" s="2">
        <v>4.8600000000000003</v>
      </c>
      <c r="E477" s="2">
        <v>5.07</v>
      </c>
      <c r="F477" s="2">
        <v>3.29</v>
      </c>
      <c r="G477" s="6">
        <v>5579</v>
      </c>
      <c r="H477" s="6">
        <v>5784</v>
      </c>
      <c r="I477" s="6">
        <f t="shared" si="6"/>
        <v>6129</v>
      </c>
      <c r="J477" s="6">
        <f t="shared" si="7"/>
        <v>6479</v>
      </c>
      <c r="K477" s="6">
        <f t="shared" si="8"/>
        <v>6879</v>
      </c>
    </row>
    <row r="478" spans="1:11" x14ac:dyDescent="0.2">
      <c r="A478" s="1">
        <v>0.33055555555555599</v>
      </c>
      <c r="B478" s="2">
        <v>6.15</v>
      </c>
      <c r="C478" s="2">
        <v>3.57</v>
      </c>
      <c r="D478" s="2">
        <v>5.17</v>
      </c>
      <c r="E478" s="2">
        <v>4.87</v>
      </c>
      <c r="F478" s="2">
        <v>3.14</v>
      </c>
      <c r="G478" s="6">
        <v>6242</v>
      </c>
      <c r="H478" s="6">
        <v>6345</v>
      </c>
      <c r="I478" s="6">
        <v>6578</v>
      </c>
      <c r="J478" s="6">
        <v>6857</v>
      </c>
      <c r="K478" s="6">
        <v>7028</v>
      </c>
    </row>
    <row r="479" spans="1:11" x14ac:dyDescent="0.2">
      <c r="A479" s="1">
        <v>0.33124999999999999</v>
      </c>
      <c r="B479" s="2">
        <v>6.33</v>
      </c>
      <c r="C479" s="2">
        <v>3.59</v>
      </c>
      <c r="D479" s="2">
        <v>5.0100000000000007</v>
      </c>
      <c r="E479" s="2">
        <v>5.36</v>
      </c>
      <c r="F479" s="2">
        <v>3.04</v>
      </c>
      <c r="G479" s="6">
        <v>5400</v>
      </c>
      <c r="H479" s="6">
        <v>5189</v>
      </c>
      <c r="I479" s="6">
        <f t="shared" si="6"/>
        <v>5950</v>
      </c>
      <c r="J479" s="6">
        <f t="shared" si="7"/>
        <v>6300</v>
      </c>
      <c r="K479" s="6">
        <f t="shared" si="8"/>
        <v>6700</v>
      </c>
    </row>
    <row r="480" spans="1:11" x14ac:dyDescent="0.2">
      <c r="A480" s="1">
        <v>0.33194444444444399</v>
      </c>
      <c r="B480" s="2">
        <v>6.2600000000000007</v>
      </c>
      <c r="C480" s="2">
        <v>3.65</v>
      </c>
      <c r="D480" s="2">
        <v>5.08</v>
      </c>
      <c r="E480" s="2">
        <v>5.19</v>
      </c>
      <c r="F480" s="2">
        <v>3.1</v>
      </c>
      <c r="G480" s="6">
        <v>5855</v>
      </c>
      <c r="H480" s="6">
        <v>6013</v>
      </c>
      <c r="I480" s="6">
        <f t="shared" si="6"/>
        <v>6405</v>
      </c>
      <c r="J480" s="6">
        <v>6438</v>
      </c>
      <c r="K480" s="6">
        <v>6479</v>
      </c>
    </row>
    <row r="481" spans="1:11" x14ac:dyDescent="0.2">
      <c r="A481" s="1">
        <v>0.33263888888888898</v>
      </c>
      <c r="B481" s="2">
        <v>6.2200000000000006</v>
      </c>
      <c r="C481" s="2">
        <v>3.57</v>
      </c>
      <c r="D481" s="2">
        <v>4.87</v>
      </c>
      <c r="E481" s="2">
        <v>5.1800000000000006</v>
      </c>
      <c r="F481" s="2">
        <v>2.98</v>
      </c>
      <c r="G481" s="6">
        <v>5543</v>
      </c>
      <c r="H481" s="6">
        <v>5643</v>
      </c>
      <c r="I481" s="6">
        <f t="shared" si="6"/>
        <v>6093</v>
      </c>
      <c r="J481" s="6">
        <f t="shared" si="7"/>
        <v>6443</v>
      </c>
      <c r="K481" s="6">
        <f t="shared" si="8"/>
        <v>6843</v>
      </c>
    </row>
    <row r="482" spans="1:11" x14ac:dyDescent="0.2">
      <c r="A482" s="3">
        <v>0.33333333333333298</v>
      </c>
      <c r="B482" s="4">
        <v>6.19</v>
      </c>
      <c r="C482" s="4">
        <v>3.65</v>
      </c>
      <c r="D482" s="4">
        <v>5.07</v>
      </c>
      <c r="E482" s="4">
        <v>5.25</v>
      </c>
      <c r="F482" s="4">
        <v>3.07</v>
      </c>
      <c r="G482" s="7">
        <v>5943</v>
      </c>
      <c r="H482" s="7">
        <v>5883</v>
      </c>
      <c r="I482" s="7">
        <v>6412</v>
      </c>
      <c r="J482" s="7">
        <v>6743</v>
      </c>
      <c r="K482" s="7">
        <v>7212</v>
      </c>
    </row>
    <row r="483" spans="1:11" x14ac:dyDescent="0.2">
      <c r="A483" s="1">
        <v>0.33402777777777798</v>
      </c>
      <c r="B483" s="2">
        <v>6.11</v>
      </c>
      <c r="C483" s="2">
        <v>3.6399999999999997</v>
      </c>
      <c r="D483" s="2">
        <v>5.08</v>
      </c>
      <c r="E483" s="2">
        <v>4.84</v>
      </c>
      <c r="F483" s="2">
        <v>3.08</v>
      </c>
      <c r="G483" s="6">
        <v>5789</v>
      </c>
      <c r="H483" s="6">
        <v>5846</v>
      </c>
      <c r="I483" s="6">
        <f>H483+624</f>
        <v>6470</v>
      </c>
      <c r="J483" s="6">
        <v>6789</v>
      </c>
      <c r="K483" s="6">
        <f>J483+486</f>
        <v>7275</v>
      </c>
    </row>
    <row r="484" spans="1:11" x14ac:dyDescent="0.2">
      <c r="A484" s="1">
        <v>0.33472222222222198</v>
      </c>
      <c r="B484" s="2">
        <v>6.1400000000000006</v>
      </c>
      <c r="C484" s="2">
        <v>3.5599999999999996</v>
      </c>
      <c r="D484" s="2">
        <v>5.0600000000000005</v>
      </c>
      <c r="E484" s="2">
        <v>4.82</v>
      </c>
      <c r="F484" s="2">
        <v>3.1100000000000003</v>
      </c>
      <c r="G484" s="6">
        <v>1274</v>
      </c>
      <c r="H484" s="6">
        <v>1844</v>
      </c>
      <c r="I484" s="6">
        <v>2437</v>
      </c>
      <c r="J484" s="6">
        <v>2567</v>
      </c>
      <c r="K484" s="6">
        <v>3127</v>
      </c>
    </row>
    <row r="485" spans="1:11" x14ac:dyDescent="0.2">
      <c r="A485" s="1">
        <v>0.33541666666666697</v>
      </c>
      <c r="B485" s="2">
        <v>6.07</v>
      </c>
      <c r="C485" s="2">
        <v>3.5599999999999996</v>
      </c>
      <c r="D485" s="2">
        <v>5.07</v>
      </c>
      <c r="E485" s="2">
        <v>5.3000000000000007</v>
      </c>
      <c r="F485" s="2">
        <v>2.83</v>
      </c>
      <c r="G485" s="6">
        <f t="shared" ref="G485:G541" si="9">G425+550</f>
        <v>1665</v>
      </c>
      <c r="H485" s="6">
        <v>1973</v>
      </c>
      <c r="I485" s="6">
        <f t="shared" ref="I485:I540" si="10">H485+624</f>
        <v>2597</v>
      </c>
      <c r="J485" s="6">
        <v>3124</v>
      </c>
      <c r="K485" s="6">
        <v>3546</v>
      </c>
    </row>
    <row r="486" spans="1:11" x14ac:dyDescent="0.2">
      <c r="A486" s="1">
        <v>0.33611111111111103</v>
      </c>
      <c r="B486" s="2">
        <v>6.2200000000000006</v>
      </c>
      <c r="C486" s="2">
        <v>3.5999999999999996</v>
      </c>
      <c r="D486" s="2">
        <v>4.9700000000000006</v>
      </c>
      <c r="E486" s="2">
        <v>5.23</v>
      </c>
      <c r="F486" s="2">
        <v>3.0100000000000002</v>
      </c>
      <c r="G486" s="6">
        <v>2546</v>
      </c>
      <c r="H486" s="6">
        <f t="shared" ref="H486:H540" si="11">G486+200</f>
        <v>2746</v>
      </c>
      <c r="I486" s="6">
        <v>2974</v>
      </c>
      <c r="J486" s="6">
        <v>3347</v>
      </c>
      <c r="K486" s="6">
        <v>3755</v>
      </c>
    </row>
    <row r="487" spans="1:11" x14ac:dyDescent="0.2">
      <c r="A487" s="1">
        <v>0.33680555555555602</v>
      </c>
      <c r="B487" s="2">
        <v>6.24</v>
      </c>
      <c r="C487" s="2">
        <v>3.6399999999999997</v>
      </c>
      <c r="D487" s="2">
        <v>4.9700000000000006</v>
      </c>
      <c r="E487" s="2">
        <v>4.92</v>
      </c>
      <c r="F487" s="2">
        <v>2.86</v>
      </c>
      <c r="G487" s="6">
        <v>3598</v>
      </c>
      <c r="H487" s="6">
        <v>3695</v>
      </c>
      <c r="I487" s="6">
        <v>4437</v>
      </c>
      <c r="J487" s="6">
        <v>4681</v>
      </c>
      <c r="K487" s="6">
        <v>4957</v>
      </c>
    </row>
    <row r="488" spans="1:11" x14ac:dyDescent="0.2">
      <c r="A488" s="1">
        <v>0.33750000000000002</v>
      </c>
      <c r="B488" s="2">
        <v>6.23</v>
      </c>
      <c r="C488" s="2">
        <v>3.67</v>
      </c>
      <c r="D488" s="2">
        <v>5.04</v>
      </c>
      <c r="E488" s="2">
        <v>5.46</v>
      </c>
      <c r="F488" s="2">
        <v>3.2800000000000002</v>
      </c>
      <c r="G488" s="6">
        <v>3897</v>
      </c>
      <c r="H488" s="6">
        <f t="shared" si="11"/>
        <v>4097</v>
      </c>
      <c r="I488" s="6">
        <v>4875</v>
      </c>
      <c r="J488" s="6">
        <f t="shared" ref="J488:J540" si="12">I488+423</f>
        <v>5298</v>
      </c>
      <c r="K488" s="6">
        <v>5549</v>
      </c>
    </row>
    <row r="489" spans="1:11" x14ac:dyDescent="0.2">
      <c r="A489" s="1">
        <v>0.33819444444444402</v>
      </c>
      <c r="B489" s="2">
        <v>6.28</v>
      </c>
      <c r="C489" s="2">
        <v>3.76</v>
      </c>
      <c r="D489" s="2">
        <v>5.1100000000000003</v>
      </c>
      <c r="E489" s="2">
        <v>5.32</v>
      </c>
      <c r="F489" s="2">
        <v>2.89</v>
      </c>
      <c r="G489" s="6">
        <v>4581</v>
      </c>
      <c r="H489" s="6">
        <v>4627</v>
      </c>
      <c r="I489" s="6">
        <v>5127</v>
      </c>
      <c r="J489" s="6">
        <v>5429</v>
      </c>
      <c r="K489" s="6">
        <v>5846</v>
      </c>
    </row>
    <row r="490" spans="1:11" x14ac:dyDescent="0.2">
      <c r="A490" s="1">
        <v>0.33888888888888902</v>
      </c>
      <c r="B490" s="2">
        <v>6.33</v>
      </c>
      <c r="C490" s="2">
        <v>3.6999999999999997</v>
      </c>
      <c r="D490" s="2">
        <v>5.07</v>
      </c>
      <c r="E490" s="2">
        <v>5.3800000000000008</v>
      </c>
      <c r="F490" s="2">
        <v>2.86</v>
      </c>
      <c r="G490" s="6">
        <v>5042</v>
      </c>
      <c r="H490" s="6">
        <f t="shared" si="11"/>
        <v>5242</v>
      </c>
      <c r="I490" s="6">
        <v>5678</v>
      </c>
      <c r="J490" s="6">
        <v>6274</v>
      </c>
      <c r="K490" s="6">
        <v>6542</v>
      </c>
    </row>
    <row r="491" spans="1:11" x14ac:dyDescent="0.2">
      <c r="A491" s="1">
        <v>0.33958333333333302</v>
      </c>
      <c r="B491" s="2">
        <v>6.17</v>
      </c>
      <c r="C491" s="2">
        <v>3.5799999999999996</v>
      </c>
      <c r="D491" s="2">
        <v>4.91</v>
      </c>
      <c r="E491" s="2">
        <v>5.49</v>
      </c>
      <c r="F491" s="2">
        <v>3.31</v>
      </c>
      <c r="G491" s="6">
        <v>4539</v>
      </c>
      <c r="H491" s="6">
        <f t="shared" si="11"/>
        <v>4739</v>
      </c>
      <c r="I491" s="6">
        <f t="shared" si="10"/>
        <v>5363</v>
      </c>
      <c r="J491" s="6">
        <v>5697</v>
      </c>
      <c r="K491" s="6">
        <v>6238</v>
      </c>
    </row>
    <row r="492" spans="1:11" x14ac:dyDescent="0.2">
      <c r="A492" s="1">
        <v>0.34027777777777801</v>
      </c>
      <c r="B492" s="2">
        <v>6.2600000000000007</v>
      </c>
      <c r="C492" s="2">
        <v>3.7399999999999998</v>
      </c>
      <c r="D492" s="2">
        <v>4.99</v>
      </c>
      <c r="E492" s="2">
        <v>5.1800000000000006</v>
      </c>
      <c r="F492" s="2">
        <v>3.1</v>
      </c>
      <c r="G492" s="6">
        <v>4039</v>
      </c>
      <c r="H492" s="6">
        <f t="shared" si="11"/>
        <v>4239</v>
      </c>
      <c r="I492" s="6">
        <f t="shared" si="10"/>
        <v>4863</v>
      </c>
      <c r="J492" s="6">
        <v>5524</v>
      </c>
      <c r="K492" s="6">
        <v>6177</v>
      </c>
    </row>
    <row r="493" spans="1:11" x14ac:dyDescent="0.2">
      <c r="A493" s="1">
        <v>0.34097222222222201</v>
      </c>
      <c r="B493" s="2">
        <v>6.33</v>
      </c>
      <c r="C493" s="2">
        <v>3.6799999999999997</v>
      </c>
      <c r="D493" s="2">
        <v>5.23</v>
      </c>
      <c r="E493" s="2">
        <v>4.8900000000000006</v>
      </c>
      <c r="F493" s="2">
        <v>3.16</v>
      </c>
      <c r="G493" s="6">
        <v>4264</v>
      </c>
      <c r="H493" s="6">
        <f t="shared" si="11"/>
        <v>4464</v>
      </c>
      <c r="I493" s="6">
        <v>5296</v>
      </c>
      <c r="J493" s="6">
        <v>5744</v>
      </c>
      <c r="K493" s="6">
        <v>6351</v>
      </c>
    </row>
    <row r="494" spans="1:11" x14ac:dyDescent="0.2">
      <c r="A494" s="1">
        <v>0.34166666666666701</v>
      </c>
      <c r="B494" s="2">
        <v>6.2</v>
      </c>
      <c r="C494" s="2">
        <v>3.67</v>
      </c>
      <c r="D494" s="2">
        <v>4.8900000000000006</v>
      </c>
      <c r="E494" s="2">
        <v>4.87</v>
      </c>
      <c r="F494" s="2">
        <v>2.93</v>
      </c>
      <c r="G494" s="6">
        <v>5027</v>
      </c>
      <c r="H494" s="6">
        <v>5378</v>
      </c>
      <c r="I494" s="6">
        <v>6188</v>
      </c>
      <c r="J494" s="6">
        <v>6613</v>
      </c>
      <c r="K494" s="6">
        <v>6854</v>
      </c>
    </row>
    <row r="495" spans="1:11" x14ac:dyDescent="0.2">
      <c r="A495" s="1">
        <v>0.34236111111111101</v>
      </c>
      <c r="B495" s="2">
        <v>6.1000000000000005</v>
      </c>
      <c r="C495" s="2">
        <v>3.6999999999999997</v>
      </c>
      <c r="D495" s="2">
        <v>5.08</v>
      </c>
      <c r="E495" s="2">
        <v>5.41</v>
      </c>
      <c r="F495" s="2">
        <v>3.24</v>
      </c>
      <c r="G495" s="6">
        <v>4861</v>
      </c>
      <c r="H495" s="6">
        <f t="shared" si="11"/>
        <v>5061</v>
      </c>
      <c r="I495" s="6">
        <v>5542</v>
      </c>
      <c r="J495" s="6">
        <v>6241</v>
      </c>
      <c r="K495" s="6">
        <v>6598</v>
      </c>
    </row>
    <row r="496" spans="1:11" x14ac:dyDescent="0.2">
      <c r="A496" s="1">
        <v>0.343055555555556</v>
      </c>
      <c r="B496" s="2">
        <v>6.07</v>
      </c>
      <c r="C496" s="2">
        <v>3.63</v>
      </c>
      <c r="D496" s="2">
        <v>4.9300000000000006</v>
      </c>
      <c r="E496" s="2">
        <v>5.3100000000000005</v>
      </c>
      <c r="F496" s="2">
        <v>3.0300000000000002</v>
      </c>
      <c r="G496" s="6">
        <v>3949</v>
      </c>
      <c r="H496" s="6">
        <f t="shared" si="11"/>
        <v>4149</v>
      </c>
      <c r="I496" s="6">
        <v>4438</v>
      </c>
      <c r="J496" s="6">
        <v>5021</v>
      </c>
      <c r="K496" s="6">
        <v>5426</v>
      </c>
    </row>
    <row r="497" spans="1:11" x14ac:dyDescent="0.2">
      <c r="A497" s="1">
        <v>0.34375</v>
      </c>
      <c r="B497" s="2">
        <v>6.23</v>
      </c>
      <c r="C497" s="2">
        <v>3.6399999999999997</v>
      </c>
      <c r="D497" s="2">
        <v>5.04</v>
      </c>
      <c r="E497" s="2">
        <v>4.99</v>
      </c>
      <c r="F497" s="2">
        <v>3.2800000000000002</v>
      </c>
      <c r="G497" s="6">
        <f t="shared" si="9"/>
        <v>2795</v>
      </c>
      <c r="H497" s="6">
        <f t="shared" si="11"/>
        <v>2995</v>
      </c>
      <c r="I497" s="6">
        <v>3546</v>
      </c>
      <c r="J497" s="6">
        <f t="shared" si="12"/>
        <v>3969</v>
      </c>
      <c r="K497" s="6">
        <v>4392</v>
      </c>
    </row>
    <row r="498" spans="1:11" x14ac:dyDescent="0.2">
      <c r="A498" s="1">
        <v>0.344444444444444</v>
      </c>
      <c r="B498" s="2">
        <v>6.12</v>
      </c>
      <c r="C498" s="2">
        <v>3.5399999999999996</v>
      </c>
      <c r="D498" s="2">
        <v>5.08</v>
      </c>
      <c r="E498" s="2">
        <v>5.46</v>
      </c>
      <c r="F498" s="2">
        <v>3.0100000000000002</v>
      </c>
      <c r="G498" s="6">
        <v>3597</v>
      </c>
      <c r="H498" s="6">
        <v>3456</v>
      </c>
      <c r="I498" s="6">
        <f t="shared" si="10"/>
        <v>4080</v>
      </c>
      <c r="J498" s="6">
        <v>4429</v>
      </c>
      <c r="K498" s="6">
        <v>4869</v>
      </c>
    </row>
    <row r="499" spans="1:11" x14ac:dyDescent="0.2">
      <c r="A499" s="1">
        <v>0.34513888888888899</v>
      </c>
      <c r="B499" s="2">
        <v>6.2200000000000006</v>
      </c>
      <c r="C499" s="2">
        <v>3.7199999999999998</v>
      </c>
      <c r="D499" s="2">
        <v>4.9400000000000004</v>
      </c>
      <c r="E499" s="2">
        <v>5.44</v>
      </c>
      <c r="F499" s="2">
        <v>2.89</v>
      </c>
      <c r="G499" s="6">
        <v>3846</v>
      </c>
      <c r="H499" s="6">
        <f t="shared" si="11"/>
        <v>4046</v>
      </c>
      <c r="I499" s="6">
        <v>4597</v>
      </c>
      <c r="J499" s="6">
        <v>5127</v>
      </c>
      <c r="K499" s="6">
        <v>5529</v>
      </c>
    </row>
    <row r="500" spans="1:11" x14ac:dyDescent="0.2">
      <c r="A500" s="1">
        <v>0.34583333333333299</v>
      </c>
      <c r="B500" s="2">
        <v>6.1800000000000006</v>
      </c>
      <c r="C500" s="2">
        <v>3.5999999999999996</v>
      </c>
      <c r="D500" s="2">
        <v>4.92</v>
      </c>
      <c r="E500" s="2">
        <v>5.09</v>
      </c>
      <c r="F500" s="2">
        <v>2.91</v>
      </c>
      <c r="G500" s="6">
        <f t="shared" si="9"/>
        <v>4008</v>
      </c>
      <c r="H500" s="6">
        <v>4478</v>
      </c>
      <c r="I500" s="6">
        <v>5216</v>
      </c>
      <c r="J500" s="6">
        <v>5534</v>
      </c>
      <c r="K500" s="6">
        <v>6249</v>
      </c>
    </row>
    <row r="501" spans="1:11" x14ac:dyDescent="0.2">
      <c r="A501" s="1">
        <v>0.34652777777777799</v>
      </c>
      <c r="B501" s="2">
        <v>6.23</v>
      </c>
      <c r="C501" s="2">
        <v>3.6599999999999997</v>
      </c>
      <c r="D501" s="2">
        <v>5.16</v>
      </c>
      <c r="E501" s="2">
        <v>4.8500000000000005</v>
      </c>
      <c r="F501" s="2">
        <v>3.0700000000000003</v>
      </c>
      <c r="G501" s="6">
        <f t="shared" si="9"/>
        <v>3798</v>
      </c>
      <c r="H501" s="6">
        <f t="shared" si="11"/>
        <v>3998</v>
      </c>
      <c r="I501" s="6">
        <v>4522</v>
      </c>
      <c r="J501" s="6">
        <v>4951</v>
      </c>
      <c r="K501" s="6">
        <v>5349</v>
      </c>
    </row>
    <row r="502" spans="1:11" x14ac:dyDescent="0.2">
      <c r="A502" s="1">
        <v>0.34722222222222199</v>
      </c>
      <c r="B502" s="2">
        <v>6.23</v>
      </c>
      <c r="C502" s="2">
        <v>3.7199999999999998</v>
      </c>
      <c r="D502" s="2">
        <v>4.92</v>
      </c>
      <c r="E502" s="2">
        <v>4.87</v>
      </c>
      <c r="F502" s="2">
        <v>2.85</v>
      </c>
      <c r="G502" s="6">
        <f t="shared" si="9"/>
        <v>2795</v>
      </c>
      <c r="H502" s="6">
        <f t="shared" si="11"/>
        <v>2995</v>
      </c>
      <c r="I502" s="6">
        <f t="shared" si="10"/>
        <v>3619</v>
      </c>
      <c r="J502" s="6">
        <v>3985</v>
      </c>
      <c r="K502" s="6">
        <v>4529</v>
      </c>
    </row>
    <row r="503" spans="1:11" x14ac:dyDescent="0.2">
      <c r="A503" s="1">
        <v>0.34791666666666698</v>
      </c>
      <c r="B503" s="2">
        <v>6.13</v>
      </c>
      <c r="C503" s="2">
        <v>3.6199999999999997</v>
      </c>
      <c r="D503" s="2">
        <v>4.9000000000000004</v>
      </c>
      <c r="E503" s="2">
        <v>5.4</v>
      </c>
      <c r="F503" s="2">
        <v>3.21</v>
      </c>
      <c r="G503" s="6">
        <f t="shared" si="9"/>
        <v>3404</v>
      </c>
      <c r="H503" s="6">
        <f t="shared" si="11"/>
        <v>3604</v>
      </c>
      <c r="I503" s="6">
        <v>4395</v>
      </c>
      <c r="J503" s="6">
        <v>4529</v>
      </c>
      <c r="K503" s="6">
        <v>5129</v>
      </c>
    </row>
    <row r="504" spans="1:11" x14ac:dyDescent="0.2">
      <c r="A504" s="1">
        <v>0.34861111111111098</v>
      </c>
      <c r="B504" s="2">
        <v>6.33</v>
      </c>
      <c r="C504" s="2">
        <v>3.76</v>
      </c>
      <c r="D504" s="2">
        <v>5.17</v>
      </c>
      <c r="E504" s="2">
        <v>5.03</v>
      </c>
      <c r="F504" s="2">
        <v>3.09</v>
      </c>
      <c r="G504" s="6">
        <f t="shared" si="9"/>
        <v>2824</v>
      </c>
      <c r="H504" s="6">
        <v>2978</v>
      </c>
      <c r="I504" s="6">
        <v>3976</v>
      </c>
      <c r="J504" s="6">
        <f t="shared" si="12"/>
        <v>4399</v>
      </c>
      <c r="K504" s="6">
        <f t="shared" ref="K504:K541" si="13">J504+486</f>
        <v>4885</v>
      </c>
    </row>
    <row r="505" spans="1:11" x14ac:dyDescent="0.2">
      <c r="A505" s="1">
        <v>0.34930555555555598</v>
      </c>
      <c r="B505" s="2">
        <v>6.21</v>
      </c>
      <c r="C505" s="2">
        <v>3.65</v>
      </c>
      <c r="D505" s="2">
        <v>5.03</v>
      </c>
      <c r="E505" s="2">
        <v>4.96</v>
      </c>
      <c r="F505" s="2">
        <v>2.97</v>
      </c>
      <c r="G505" s="6">
        <f t="shared" si="9"/>
        <v>2006</v>
      </c>
      <c r="H505" s="6">
        <f t="shared" si="11"/>
        <v>2206</v>
      </c>
      <c r="I505" s="6">
        <v>2543</v>
      </c>
      <c r="J505" s="6">
        <v>2876</v>
      </c>
      <c r="K505" s="6">
        <f t="shared" si="13"/>
        <v>3362</v>
      </c>
    </row>
    <row r="506" spans="1:11" x14ac:dyDescent="0.2">
      <c r="A506" s="1">
        <v>0.35</v>
      </c>
      <c r="B506" s="2">
        <v>6.1800000000000006</v>
      </c>
      <c r="C506" s="2">
        <v>3.53</v>
      </c>
      <c r="D506" s="2">
        <v>5.24</v>
      </c>
      <c r="E506" s="2">
        <v>4.87</v>
      </c>
      <c r="F506" s="2">
        <v>3.0300000000000002</v>
      </c>
      <c r="G506" s="6">
        <f t="shared" si="9"/>
        <v>1939</v>
      </c>
      <c r="H506" s="6">
        <f>G506+198</f>
        <v>2137</v>
      </c>
      <c r="I506" s="6">
        <f t="shared" si="10"/>
        <v>2761</v>
      </c>
      <c r="J506" s="6">
        <f t="shared" si="12"/>
        <v>3184</v>
      </c>
      <c r="K506" s="6">
        <f t="shared" si="13"/>
        <v>3670</v>
      </c>
    </row>
    <row r="507" spans="1:11" x14ac:dyDescent="0.2">
      <c r="A507" s="1">
        <v>0.35069444444444398</v>
      </c>
      <c r="B507" s="2">
        <v>6.08</v>
      </c>
      <c r="C507" s="2">
        <v>3.5799999999999996</v>
      </c>
      <c r="D507" s="2">
        <v>5.0900000000000007</v>
      </c>
      <c r="E507" s="2">
        <v>5.2600000000000007</v>
      </c>
      <c r="F507" s="2">
        <v>3.16</v>
      </c>
      <c r="G507" s="6">
        <f t="shared" si="9"/>
        <v>3295</v>
      </c>
      <c r="H507" s="6">
        <v>3399</v>
      </c>
      <c r="I507" s="6">
        <v>3872</v>
      </c>
      <c r="J507" s="6">
        <f t="shared" si="12"/>
        <v>4295</v>
      </c>
      <c r="K507" s="6">
        <f t="shared" si="13"/>
        <v>4781</v>
      </c>
    </row>
    <row r="508" spans="1:11" x14ac:dyDescent="0.2">
      <c r="A508" s="1">
        <v>0.35138888888888897</v>
      </c>
      <c r="B508" s="2">
        <v>6.28</v>
      </c>
      <c r="C508" s="2">
        <v>3.5999999999999996</v>
      </c>
      <c r="D508" s="2">
        <v>4.9300000000000006</v>
      </c>
      <c r="E508" s="2">
        <v>5.33</v>
      </c>
      <c r="F508" s="2">
        <v>3.0100000000000002</v>
      </c>
      <c r="G508" s="6">
        <f t="shared" si="9"/>
        <v>4237</v>
      </c>
      <c r="H508" s="6">
        <f t="shared" si="11"/>
        <v>4437</v>
      </c>
      <c r="I508" s="6">
        <v>4681</v>
      </c>
      <c r="J508" s="6">
        <v>4956</v>
      </c>
      <c r="K508" s="6">
        <f t="shared" si="13"/>
        <v>5442</v>
      </c>
    </row>
    <row r="509" spans="1:11" x14ac:dyDescent="0.2">
      <c r="A509" s="1">
        <v>0.35208333333333303</v>
      </c>
      <c r="B509" s="2">
        <v>6.19</v>
      </c>
      <c r="C509" s="2">
        <v>3.69</v>
      </c>
      <c r="D509" s="2">
        <v>5.24</v>
      </c>
      <c r="E509" s="2">
        <v>5.34</v>
      </c>
      <c r="F509" s="2">
        <v>2.98</v>
      </c>
      <c r="G509" s="6">
        <v>4523</v>
      </c>
      <c r="H509" s="6">
        <v>4755</v>
      </c>
      <c r="I509" s="6">
        <v>4958</v>
      </c>
      <c r="J509" s="6">
        <f t="shared" si="12"/>
        <v>5381</v>
      </c>
      <c r="K509" s="6">
        <v>5749</v>
      </c>
    </row>
    <row r="510" spans="1:11" x14ac:dyDescent="0.2">
      <c r="A510" s="1">
        <v>0.35277777777777802</v>
      </c>
      <c r="B510" s="2">
        <v>6.28</v>
      </c>
      <c r="C510" s="2">
        <v>3.69</v>
      </c>
      <c r="D510" s="2">
        <v>4.99</v>
      </c>
      <c r="E510" s="2">
        <v>5.13</v>
      </c>
      <c r="F510" s="2">
        <v>3.34</v>
      </c>
      <c r="G510" s="6">
        <v>4795</v>
      </c>
      <c r="H510" s="6">
        <f t="shared" si="11"/>
        <v>4995</v>
      </c>
      <c r="I510" s="6">
        <v>5542</v>
      </c>
      <c r="J510" s="6">
        <v>5874</v>
      </c>
      <c r="K510" s="6">
        <v>6289</v>
      </c>
    </row>
    <row r="511" spans="1:11" x14ac:dyDescent="0.2">
      <c r="A511" s="1">
        <v>0.35347222222222202</v>
      </c>
      <c r="B511" s="2">
        <v>6.28</v>
      </c>
      <c r="C511" s="2">
        <v>3.73</v>
      </c>
      <c r="D511" s="2">
        <v>5.21</v>
      </c>
      <c r="E511" s="2">
        <v>5.53</v>
      </c>
      <c r="F511" s="2">
        <v>2.97</v>
      </c>
      <c r="G511" s="6">
        <v>3327</v>
      </c>
      <c r="H511" s="6">
        <v>3427</v>
      </c>
      <c r="I511" s="6">
        <v>3954</v>
      </c>
      <c r="J511" s="6">
        <f t="shared" si="12"/>
        <v>4377</v>
      </c>
      <c r="K511" s="6">
        <v>4568</v>
      </c>
    </row>
    <row r="512" spans="1:11" x14ac:dyDescent="0.2">
      <c r="A512" s="1">
        <v>0.35416666666666702</v>
      </c>
      <c r="B512" s="2">
        <v>6.19</v>
      </c>
      <c r="C512" s="2">
        <v>3.55</v>
      </c>
      <c r="D512" s="2">
        <v>5.2600000000000007</v>
      </c>
      <c r="E512" s="2">
        <v>5.2</v>
      </c>
      <c r="F512" s="2">
        <v>3.09</v>
      </c>
      <c r="G512" s="6">
        <v>3926</v>
      </c>
      <c r="H512" s="6">
        <f t="shared" si="11"/>
        <v>4126</v>
      </c>
      <c r="I512" s="6">
        <v>4597</v>
      </c>
      <c r="J512" s="6">
        <f t="shared" si="12"/>
        <v>5020</v>
      </c>
      <c r="K512" s="6">
        <v>5429</v>
      </c>
    </row>
    <row r="513" spans="1:11" x14ac:dyDescent="0.2">
      <c r="A513" s="1">
        <v>0.35486111111111102</v>
      </c>
      <c r="B513" s="2">
        <v>6.12</v>
      </c>
      <c r="C513" s="2">
        <v>3.57</v>
      </c>
      <c r="D513" s="2">
        <v>5.1300000000000008</v>
      </c>
      <c r="E513" s="2">
        <v>5.33</v>
      </c>
      <c r="F513" s="2">
        <v>3.29</v>
      </c>
      <c r="G513" s="6">
        <f t="shared" si="9"/>
        <v>4424</v>
      </c>
      <c r="H513" s="6">
        <f t="shared" si="11"/>
        <v>4624</v>
      </c>
      <c r="I513" s="6">
        <v>2897</v>
      </c>
      <c r="J513" s="6">
        <v>3526</v>
      </c>
      <c r="K513" s="6">
        <v>3975</v>
      </c>
    </row>
    <row r="514" spans="1:11" x14ac:dyDescent="0.2">
      <c r="A514" s="1">
        <v>0.35555555555555601</v>
      </c>
      <c r="B514" s="2">
        <v>6.2200000000000006</v>
      </c>
      <c r="C514" s="2">
        <v>3.5999999999999996</v>
      </c>
      <c r="D514" s="2">
        <v>5.24</v>
      </c>
      <c r="E514" s="2">
        <v>5.1400000000000006</v>
      </c>
      <c r="F514" s="2">
        <v>2.93</v>
      </c>
      <c r="G514" s="6">
        <f t="shared" si="9"/>
        <v>2928</v>
      </c>
      <c r="H514" s="6">
        <f t="shared" si="11"/>
        <v>3128</v>
      </c>
      <c r="I514" s="6">
        <v>6347</v>
      </c>
      <c r="J514" s="6">
        <v>6847</v>
      </c>
      <c r="K514" s="6">
        <v>6859</v>
      </c>
    </row>
    <row r="515" spans="1:11" x14ac:dyDescent="0.2">
      <c r="A515" s="1">
        <v>0.35625000000000001</v>
      </c>
      <c r="B515" s="2">
        <v>6.29</v>
      </c>
      <c r="C515" s="2">
        <v>3.7399999999999998</v>
      </c>
      <c r="D515" s="2">
        <v>5.2</v>
      </c>
      <c r="E515" s="2">
        <v>5.0500000000000007</v>
      </c>
      <c r="F515" s="2">
        <v>3.2600000000000002</v>
      </c>
      <c r="G515" s="6">
        <f t="shared" si="9"/>
        <v>2028</v>
      </c>
      <c r="H515" s="6">
        <f t="shared" si="11"/>
        <v>2228</v>
      </c>
      <c r="I515" s="6">
        <f t="shared" si="10"/>
        <v>2852</v>
      </c>
      <c r="J515" s="6">
        <v>3325</v>
      </c>
      <c r="K515" s="6">
        <f t="shared" si="13"/>
        <v>3811</v>
      </c>
    </row>
    <row r="516" spans="1:11" x14ac:dyDescent="0.2">
      <c r="A516" s="1">
        <v>0.35694444444444401</v>
      </c>
      <c r="B516" s="2">
        <v>6.2</v>
      </c>
      <c r="C516" s="2">
        <v>3.51</v>
      </c>
      <c r="D516" s="2">
        <v>5.24</v>
      </c>
      <c r="E516" s="2">
        <v>5.2700000000000005</v>
      </c>
      <c r="F516" s="2">
        <v>3.08</v>
      </c>
      <c r="G516" s="6">
        <f t="shared" si="9"/>
        <v>3124</v>
      </c>
      <c r="H516" s="6">
        <v>3217</v>
      </c>
      <c r="I516" s="6">
        <v>6958</v>
      </c>
      <c r="J516" s="6">
        <v>7421</v>
      </c>
      <c r="K516" s="6">
        <v>7734</v>
      </c>
    </row>
    <row r="517" spans="1:11" x14ac:dyDescent="0.2">
      <c r="A517" s="1">
        <v>0.35763888888888901</v>
      </c>
      <c r="B517" s="2">
        <v>6.2700000000000005</v>
      </c>
      <c r="C517" s="2">
        <v>3.76</v>
      </c>
      <c r="D517" s="2">
        <v>5</v>
      </c>
      <c r="E517" s="2">
        <v>5.0500000000000007</v>
      </c>
      <c r="F517" s="2">
        <v>3.04</v>
      </c>
      <c r="G517" s="6">
        <f t="shared" si="9"/>
        <v>3896</v>
      </c>
      <c r="H517" s="6">
        <f t="shared" si="11"/>
        <v>4096</v>
      </c>
      <c r="I517" s="6">
        <v>4968</v>
      </c>
      <c r="J517" s="6">
        <v>5216</v>
      </c>
      <c r="K517" s="6">
        <v>5841</v>
      </c>
    </row>
    <row r="518" spans="1:11" x14ac:dyDescent="0.2">
      <c r="A518" s="1">
        <v>0.358333333333333</v>
      </c>
      <c r="B518" s="2">
        <v>6.08</v>
      </c>
      <c r="C518" s="2">
        <v>3.69</v>
      </c>
      <c r="D518" s="2">
        <v>5.0500000000000007</v>
      </c>
      <c r="E518" s="2">
        <v>4.92</v>
      </c>
      <c r="F518" s="2">
        <v>3.16</v>
      </c>
      <c r="G518" s="6">
        <f t="shared" si="9"/>
        <v>4421</v>
      </c>
      <c r="H518" s="6">
        <f t="shared" si="11"/>
        <v>4621</v>
      </c>
      <c r="I518" s="6">
        <v>2857</v>
      </c>
      <c r="J518" s="6">
        <v>3298</v>
      </c>
      <c r="K518" s="6">
        <f t="shared" si="13"/>
        <v>3784</v>
      </c>
    </row>
    <row r="519" spans="1:11" x14ac:dyDescent="0.2">
      <c r="A519" s="1">
        <v>0.359027777777778</v>
      </c>
      <c r="B519" s="2">
        <v>6.17</v>
      </c>
      <c r="C519" s="2">
        <v>3.5199999999999996</v>
      </c>
      <c r="D519" s="2">
        <v>5.21</v>
      </c>
      <c r="E519" s="2">
        <v>5.42</v>
      </c>
      <c r="F519" s="2">
        <v>3.29</v>
      </c>
      <c r="G519" s="6">
        <v>2228</v>
      </c>
      <c r="H519" s="6">
        <f t="shared" si="11"/>
        <v>2428</v>
      </c>
      <c r="I519" s="6">
        <v>2852</v>
      </c>
      <c r="J519" s="6">
        <v>3216</v>
      </c>
      <c r="K519" s="6">
        <v>3578</v>
      </c>
    </row>
    <row r="520" spans="1:11" x14ac:dyDescent="0.2">
      <c r="A520" s="1">
        <v>0.359722222222222</v>
      </c>
      <c r="B520" s="2">
        <v>6.11</v>
      </c>
      <c r="C520" s="2">
        <v>3.7699999999999996</v>
      </c>
      <c r="D520" s="2">
        <v>4.96</v>
      </c>
      <c r="E520" s="2">
        <v>5.13</v>
      </c>
      <c r="F520" s="2">
        <v>3.1</v>
      </c>
      <c r="G520" s="6">
        <v>4527</v>
      </c>
      <c r="H520" s="6">
        <v>4985</v>
      </c>
      <c r="I520" s="6">
        <v>5524</v>
      </c>
      <c r="J520" s="6">
        <v>5423</v>
      </c>
      <c r="K520" s="6">
        <f t="shared" si="13"/>
        <v>5909</v>
      </c>
    </row>
    <row r="521" spans="1:11" x14ac:dyDescent="0.2">
      <c r="A521" s="1">
        <v>0.360416666666667</v>
      </c>
      <c r="B521" s="2">
        <v>6.07</v>
      </c>
      <c r="C521" s="2">
        <v>3.6599999999999997</v>
      </c>
      <c r="D521" s="2">
        <v>5.0600000000000005</v>
      </c>
      <c r="E521" s="2">
        <v>4.8900000000000006</v>
      </c>
      <c r="F521" s="2">
        <v>3.2800000000000002</v>
      </c>
      <c r="G521" s="6">
        <f t="shared" si="9"/>
        <v>4136</v>
      </c>
      <c r="H521" s="6">
        <f t="shared" si="11"/>
        <v>4336</v>
      </c>
      <c r="I521" s="6">
        <f t="shared" si="10"/>
        <v>4960</v>
      </c>
      <c r="J521" s="6">
        <v>5322</v>
      </c>
      <c r="K521" s="6">
        <f t="shared" si="13"/>
        <v>5808</v>
      </c>
    </row>
    <row r="522" spans="1:11" x14ac:dyDescent="0.2">
      <c r="A522" s="1">
        <v>0.36111111111111099</v>
      </c>
      <c r="B522" s="2">
        <v>6.28</v>
      </c>
      <c r="C522" s="2">
        <v>3.67</v>
      </c>
      <c r="D522" s="2">
        <v>4.88</v>
      </c>
      <c r="E522" s="2">
        <v>5.1800000000000006</v>
      </c>
      <c r="F522" s="2">
        <v>3.21</v>
      </c>
      <c r="G522" s="6">
        <v>4028</v>
      </c>
      <c r="H522" s="6">
        <v>4185</v>
      </c>
      <c r="I522" s="6">
        <v>4639</v>
      </c>
      <c r="J522" s="6">
        <v>5169</v>
      </c>
      <c r="K522" s="6">
        <f t="shared" si="13"/>
        <v>5655</v>
      </c>
    </row>
    <row r="523" spans="1:11" x14ac:dyDescent="0.2">
      <c r="A523" s="1">
        <v>0.36180555555555599</v>
      </c>
      <c r="B523" s="2">
        <v>6.2700000000000005</v>
      </c>
      <c r="C523" s="2">
        <v>3.7699999999999996</v>
      </c>
      <c r="D523" s="2">
        <v>4.8900000000000006</v>
      </c>
      <c r="E523" s="2">
        <v>5.5100000000000007</v>
      </c>
      <c r="F523" s="2">
        <v>3.0100000000000002</v>
      </c>
      <c r="G523" s="6">
        <f t="shared" si="9"/>
        <v>4650</v>
      </c>
      <c r="H523" s="6">
        <f t="shared" si="11"/>
        <v>4850</v>
      </c>
      <c r="I523" s="6">
        <v>5122</v>
      </c>
      <c r="J523" s="6">
        <v>5429</v>
      </c>
      <c r="K523" s="6">
        <f t="shared" si="13"/>
        <v>5915</v>
      </c>
    </row>
    <row r="524" spans="1:11" x14ac:dyDescent="0.2">
      <c r="A524" s="1">
        <v>0.36249999999999999</v>
      </c>
      <c r="B524" s="2">
        <v>6.17</v>
      </c>
      <c r="C524" s="2">
        <v>3.65</v>
      </c>
      <c r="D524" s="2">
        <v>5.19</v>
      </c>
      <c r="E524" s="2">
        <v>5.3500000000000005</v>
      </c>
      <c r="F524" s="2">
        <v>3.35</v>
      </c>
      <c r="G524" s="6">
        <f t="shared" si="9"/>
        <v>4339</v>
      </c>
      <c r="H524" s="6">
        <v>4389</v>
      </c>
      <c r="I524" s="6">
        <f t="shared" si="10"/>
        <v>5013</v>
      </c>
      <c r="J524" s="6">
        <v>5249</v>
      </c>
      <c r="K524" s="6">
        <f t="shared" si="13"/>
        <v>5735</v>
      </c>
    </row>
    <row r="525" spans="1:11" x14ac:dyDescent="0.2">
      <c r="A525" s="1">
        <v>0.36319444444444399</v>
      </c>
      <c r="B525" s="2">
        <v>6.2700000000000005</v>
      </c>
      <c r="C525" s="2">
        <v>3.5799999999999996</v>
      </c>
      <c r="D525" s="2">
        <v>5.0200000000000005</v>
      </c>
      <c r="E525" s="2">
        <v>5.13</v>
      </c>
      <c r="F525" s="2">
        <v>2.83</v>
      </c>
      <c r="G525" s="6">
        <f t="shared" si="9"/>
        <v>4444</v>
      </c>
      <c r="H525" s="6">
        <f t="shared" si="11"/>
        <v>4644</v>
      </c>
      <c r="I525" s="6">
        <f t="shared" si="10"/>
        <v>5268</v>
      </c>
      <c r="J525" s="6">
        <v>5496</v>
      </c>
      <c r="K525" s="6">
        <f t="shared" si="13"/>
        <v>5982</v>
      </c>
    </row>
    <row r="526" spans="1:11" x14ac:dyDescent="0.2">
      <c r="A526" s="1">
        <v>0.36388888888888898</v>
      </c>
      <c r="B526" s="2">
        <v>6.3000000000000007</v>
      </c>
      <c r="C526" s="2">
        <v>3.6199999999999997</v>
      </c>
      <c r="D526" s="2">
        <v>5.19</v>
      </c>
      <c r="E526" s="2">
        <v>5.45</v>
      </c>
      <c r="F526" s="2">
        <v>3.2600000000000002</v>
      </c>
      <c r="G526" s="6">
        <f t="shared" si="9"/>
        <v>4097</v>
      </c>
      <c r="H526" s="6">
        <f t="shared" si="11"/>
        <v>4297</v>
      </c>
      <c r="I526" s="6">
        <v>4896</v>
      </c>
      <c r="J526" s="6">
        <v>5163</v>
      </c>
      <c r="K526" s="6">
        <f t="shared" si="13"/>
        <v>5649</v>
      </c>
    </row>
    <row r="527" spans="1:11" x14ac:dyDescent="0.2">
      <c r="A527" s="1">
        <v>0.36458333333333298</v>
      </c>
      <c r="B527" s="2">
        <v>6.3100000000000005</v>
      </c>
      <c r="C527" s="2">
        <v>3.78</v>
      </c>
      <c r="D527" s="2">
        <v>5.19</v>
      </c>
      <c r="E527" s="2">
        <v>5.49</v>
      </c>
      <c r="F527" s="2">
        <v>3.14</v>
      </c>
      <c r="G527" s="6">
        <f t="shared" si="9"/>
        <v>4228</v>
      </c>
      <c r="H527" s="6">
        <f t="shared" si="11"/>
        <v>4428</v>
      </c>
      <c r="I527" s="6">
        <f t="shared" si="10"/>
        <v>5052</v>
      </c>
      <c r="J527" s="6">
        <v>5398</v>
      </c>
      <c r="K527" s="6">
        <f t="shared" si="13"/>
        <v>5884</v>
      </c>
    </row>
    <row r="528" spans="1:11" x14ac:dyDescent="0.2">
      <c r="A528" s="1">
        <v>0.36527777777777798</v>
      </c>
      <c r="B528" s="2">
        <v>6.07</v>
      </c>
      <c r="C528" s="2">
        <v>3.6399999999999997</v>
      </c>
      <c r="D528" s="2">
        <v>4.8600000000000003</v>
      </c>
      <c r="E528" s="2">
        <v>5.41</v>
      </c>
      <c r="F528" s="2">
        <v>3.3000000000000003</v>
      </c>
      <c r="G528" s="6">
        <f t="shared" si="9"/>
        <v>5137</v>
      </c>
      <c r="H528" s="6">
        <f t="shared" si="11"/>
        <v>5337</v>
      </c>
      <c r="I528" s="6">
        <v>5791</v>
      </c>
      <c r="J528" s="6">
        <v>6177</v>
      </c>
      <c r="K528" s="6">
        <f t="shared" si="13"/>
        <v>6663</v>
      </c>
    </row>
    <row r="529" spans="1:11" x14ac:dyDescent="0.2">
      <c r="A529" s="1">
        <v>0.36597222222222198</v>
      </c>
      <c r="B529" s="2">
        <v>6.2700000000000005</v>
      </c>
      <c r="C529" s="2">
        <v>3.6799999999999997</v>
      </c>
      <c r="D529" s="2">
        <v>4.87</v>
      </c>
      <c r="E529" s="2">
        <v>5.1000000000000005</v>
      </c>
      <c r="F529" s="2">
        <v>3.14</v>
      </c>
      <c r="G529" s="6">
        <f t="shared" si="9"/>
        <v>4786</v>
      </c>
      <c r="H529" s="6">
        <f t="shared" si="11"/>
        <v>4986</v>
      </c>
      <c r="I529" s="6">
        <v>5589</v>
      </c>
      <c r="J529" s="6">
        <v>6024</v>
      </c>
      <c r="K529" s="6">
        <f t="shared" si="13"/>
        <v>6510</v>
      </c>
    </row>
    <row r="530" spans="1:11" x14ac:dyDescent="0.2">
      <c r="A530" s="1">
        <v>0.36666666666666697</v>
      </c>
      <c r="B530" s="2">
        <v>6.1000000000000005</v>
      </c>
      <c r="C530" s="2">
        <v>3.76</v>
      </c>
      <c r="D530" s="2">
        <v>5.0600000000000005</v>
      </c>
      <c r="E530" s="2">
        <v>5.3100000000000005</v>
      </c>
      <c r="F530" s="2">
        <v>2.99</v>
      </c>
      <c r="G530" s="6">
        <f t="shared" si="9"/>
        <v>6099</v>
      </c>
      <c r="H530" s="6">
        <v>6344</v>
      </c>
      <c r="I530" s="6">
        <v>6817</v>
      </c>
      <c r="J530" s="6">
        <f t="shared" si="12"/>
        <v>7240</v>
      </c>
      <c r="K530" s="6">
        <f t="shared" si="13"/>
        <v>7726</v>
      </c>
    </row>
    <row r="531" spans="1:11" x14ac:dyDescent="0.2">
      <c r="A531" s="1">
        <v>0.36736111111111103</v>
      </c>
      <c r="B531" s="2">
        <v>6.15</v>
      </c>
      <c r="C531" s="2">
        <v>3.75</v>
      </c>
      <c r="D531" s="2">
        <v>4.96</v>
      </c>
      <c r="E531" s="2">
        <v>5.3800000000000008</v>
      </c>
      <c r="F531" s="2">
        <v>3.23</v>
      </c>
      <c r="G531" s="6">
        <f t="shared" si="9"/>
        <v>5687</v>
      </c>
      <c r="H531" s="6">
        <f t="shared" si="11"/>
        <v>5887</v>
      </c>
      <c r="I531" s="6">
        <v>6428</v>
      </c>
      <c r="J531" s="6">
        <v>6475</v>
      </c>
      <c r="K531" s="6">
        <f t="shared" si="13"/>
        <v>6961</v>
      </c>
    </row>
    <row r="532" spans="1:11" x14ac:dyDescent="0.2">
      <c r="A532" s="1">
        <v>0.36805555555555602</v>
      </c>
      <c r="B532" s="2">
        <v>6.21</v>
      </c>
      <c r="C532" s="2">
        <v>3.67</v>
      </c>
      <c r="D532" s="2">
        <v>5.0500000000000007</v>
      </c>
      <c r="E532" s="2">
        <v>5.33</v>
      </c>
      <c r="F532" s="2">
        <v>3.25</v>
      </c>
      <c r="G532" s="6">
        <v>4528</v>
      </c>
      <c r="H532" s="6">
        <v>4525</v>
      </c>
      <c r="I532" s="6">
        <v>4890</v>
      </c>
      <c r="J532" s="6">
        <v>5219</v>
      </c>
      <c r="K532" s="6">
        <f t="shared" si="13"/>
        <v>5705</v>
      </c>
    </row>
    <row r="533" spans="1:11" x14ac:dyDescent="0.2">
      <c r="A533" s="1">
        <v>0.36875000000000002</v>
      </c>
      <c r="B533" s="2">
        <v>6.1800000000000006</v>
      </c>
      <c r="C533" s="2">
        <v>3.5599999999999996</v>
      </c>
      <c r="D533" s="2">
        <v>5.0600000000000005</v>
      </c>
      <c r="E533" s="2">
        <v>5.28</v>
      </c>
      <c r="F533" s="2">
        <v>3.2600000000000002</v>
      </c>
      <c r="G533" s="6">
        <f t="shared" si="9"/>
        <v>4027</v>
      </c>
      <c r="H533" s="6">
        <f t="shared" si="11"/>
        <v>4227</v>
      </c>
      <c r="I533" s="6">
        <f t="shared" si="10"/>
        <v>4851</v>
      </c>
      <c r="J533" s="6">
        <f t="shared" si="12"/>
        <v>5274</v>
      </c>
      <c r="K533" s="6">
        <f t="shared" si="13"/>
        <v>5760</v>
      </c>
    </row>
    <row r="534" spans="1:11" x14ac:dyDescent="0.2">
      <c r="A534" s="1">
        <v>0.36944444444444402</v>
      </c>
      <c r="B534" s="2">
        <v>6.32</v>
      </c>
      <c r="C534" s="2">
        <v>3.51</v>
      </c>
      <c r="D534" s="2">
        <v>5.1100000000000003</v>
      </c>
      <c r="E534" s="2">
        <v>5.1100000000000003</v>
      </c>
      <c r="F534" s="2">
        <v>2.85</v>
      </c>
      <c r="G534" s="6">
        <f t="shared" si="9"/>
        <v>5445</v>
      </c>
      <c r="H534" s="6">
        <f t="shared" si="11"/>
        <v>5645</v>
      </c>
      <c r="I534" s="6">
        <v>6417</v>
      </c>
      <c r="J534" s="6">
        <v>6759</v>
      </c>
      <c r="K534" s="6">
        <f t="shared" si="13"/>
        <v>7245</v>
      </c>
    </row>
    <row r="535" spans="1:11" x14ac:dyDescent="0.2">
      <c r="A535" s="1">
        <v>0.37013888888888902</v>
      </c>
      <c r="B535" s="2">
        <v>6.33</v>
      </c>
      <c r="C535" s="2">
        <v>3.6199999999999997</v>
      </c>
      <c r="D535" s="2">
        <v>5.0500000000000007</v>
      </c>
      <c r="E535" s="2">
        <v>5.1100000000000003</v>
      </c>
      <c r="F535" s="2">
        <v>3.1100000000000003</v>
      </c>
      <c r="G535" s="6">
        <f t="shared" si="9"/>
        <v>6292</v>
      </c>
      <c r="H535" s="6">
        <f t="shared" si="11"/>
        <v>6492</v>
      </c>
      <c r="I535" s="6">
        <f t="shared" si="10"/>
        <v>7116</v>
      </c>
      <c r="J535" s="6">
        <v>7384</v>
      </c>
      <c r="K535" s="6">
        <f t="shared" si="13"/>
        <v>7870</v>
      </c>
    </row>
    <row r="536" spans="1:11" x14ac:dyDescent="0.2">
      <c r="A536" s="1">
        <v>0.37083333333333302</v>
      </c>
      <c r="B536" s="2">
        <v>6.2200000000000006</v>
      </c>
      <c r="C536" s="2">
        <v>3.6799999999999997</v>
      </c>
      <c r="D536" s="2">
        <v>4.99</v>
      </c>
      <c r="E536" s="2">
        <v>5.4</v>
      </c>
      <c r="F536" s="2">
        <v>3.25</v>
      </c>
      <c r="G536" s="6">
        <f t="shared" si="9"/>
        <v>5270</v>
      </c>
      <c r="H536" s="6">
        <v>5237</v>
      </c>
      <c r="I536" s="6">
        <v>5974</v>
      </c>
      <c r="J536" s="6">
        <v>6271</v>
      </c>
      <c r="K536" s="6">
        <f t="shared" si="13"/>
        <v>6757</v>
      </c>
    </row>
    <row r="537" spans="1:11" x14ac:dyDescent="0.2">
      <c r="A537" s="1">
        <v>0.37152777777777801</v>
      </c>
      <c r="B537" s="2">
        <v>6.13</v>
      </c>
      <c r="C537" s="2">
        <v>3.59</v>
      </c>
      <c r="D537" s="2">
        <v>5.1100000000000003</v>
      </c>
      <c r="E537" s="2">
        <v>5.41</v>
      </c>
      <c r="F537" s="2">
        <v>2.92</v>
      </c>
      <c r="G537" s="6">
        <f t="shared" si="9"/>
        <v>6129</v>
      </c>
      <c r="H537" s="6">
        <f t="shared" si="11"/>
        <v>6329</v>
      </c>
      <c r="I537" s="6">
        <f t="shared" si="10"/>
        <v>6953</v>
      </c>
      <c r="J537" s="6">
        <v>7377</v>
      </c>
      <c r="K537" s="6">
        <f t="shared" si="13"/>
        <v>7863</v>
      </c>
    </row>
    <row r="538" spans="1:11" x14ac:dyDescent="0.2">
      <c r="A538" s="1">
        <v>0.37222222222222201</v>
      </c>
      <c r="B538" s="2">
        <v>6.32</v>
      </c>
      <c r="C538" s="2">
        <v>3.5799999999999996</v>
      </c>
      <c r="D538" s="2">
        <v>5.1100000000000003</v>
      </c>
      <c r="E538" s="2">
        <v>5.36</v>
      </c>
      <c r="F538" s="2">
        <v>2.9</v>
      </c>
      <c r="G538" s="6">
        <v>6589</v>
      </c>
      <c r="H538" s="6">
        <v>6679</v>
      </c>
      <c r="I538" s="6">
        <v>7239</v>
      </c>
      <c r="J538" s="6">
        <v>7528</v>
      </c>
      <c r="K538" s="6">
        <f t="shared" si="13"/>
        <v>8014</v>
      </c>
    </row>
    <row r="539" spans="1:11" x14ac:dyDescent="0.2">
      <c r="A539" s="1">
        <v>0.37291666666666701</v>
      </c>
      <c r="B539" s="2">
        <v>6.3100000000000005</v>
      </c>
      <c r="C539" s="2">
        <v>3.57</v>
      </c>
      <c r="D539" s="2">
        <v>5.1100000000000003</v>
      </c>
      <c r="E539" s="2">
        <v>5.49</v>
      </c>
      <c r="F539" s="2">
        <v>3.31</v>
      </c>
      <c r="G539" s="6">
        <f t="shared" si="9"/>
        <v>5950</v>
      </c>
      <c r="H539" s="6">
        <f t="shared" si="11"/>
        <v>6150</v>
      </c>
      <c r="I539" s="6">
        <v>6581</v>
      </c>
      <c r="J539" s="6">
        <f t="shared" si="12"/>
        <v>7004</v>
      </c>
      <c r="K539" s="6">
        <f t="shared" si="13"/>
        <v>7490</v>
      </c>
    </row>
    <row r="540" spans="1:11" x14ac:dyDescent="0.2">
      <c r="A540" s="1">
        <v>0.37361111111111101</v>
      </c>
      <c r="B540" s="2">
        <v>6.09</v>
      </c>
      <c r="C540" s="2">
        <v>3.7399999999999998</v>
      </c>
      <c r="D540" s="2">
        <v>5.0500000000000007</v>
      </c>
      <c r="E540" s="2">
        <v>5.3100000000000005</v>
      </c>
      <c r="F540" s="2">
        <v>3.31</v>
      </c>
      <c r="G540" s="6">
        <v>6527</v>
      </c>
      <c r="H540" s="6">
        <f t="shared" si="11"/>
        <v>6727</v>
      </c>
      <c r="I540" s="6">
        <f t="shared" si="10"/>
        <v>7351</v>
      </c>
      <c r="J540" s="6">
        <f t="shared" si="12"/>
        <v>7774</v>
      </c>
      <c r="K540" s="6">
        <f t="shared" si="13"/>
        <v>8260</v>
      </c>
    </row>
    <row r="541" spans="1:11" x14ac:dyDescent="0.2">
      <c r="A541" s="1">
        <v>0.374305555555556</v>
      </c>
      <c r="B541" s="2">
        <v>6.3000000000000007</v>
      </c>
      <c r="C541" s="2">
        <v>3.5199999999999996</v>
      </c>
      <c r="D541" s="2">
        <v>5.1100000000000003</v>
      </c>
      <c r="E541" s="2">
        <v>5.5200000000000005</v>
      </c>
      <c r="F541" s="2">
        <v>3.0700000000000003</v>
      </c>
      <c r="G541" s="6">
        <f t="shared" si="9"/>
        <v>6093</v>
      </c>
      <c r="H541" s="6">
        <v>6942</v>
      </c>
      <c r="I541" s="6">
        <v>7429</v>
      </c>
      <c r="J541" s="6">
        <v>7853</v>
      </c>
      <c r="K541" s="6">
        <f t="shared" si="13"/>
        <v>8339</v>
      </c>
    </row>
    <row r="542" spans="1:11" x14ac:dyDescent="0.2">
      <c r="A542" s="3">
        <v>0.375</v>
      </c>
      <c r="B542" s="4">
        <v>6.19</v>
      </c>
      <c r="C542" s="4">
        <v>3.65</v>
      </c>
      <c r="D542" s="4">
        <v>5.08</v>
      </c>
      <c r="E542" s="4">
        <v>5.25</v>
      </c>
      <c r="F542" s="4">
        <v>3.07</v>
      </c>
      <c r="G542" s="7">
        <v>6434</v>
      </c>
      <c r="H542" s="7">
        <v>7341</v>
      </c>
      <c r="I542" s="7">
        <v>8342</v>
      </c>
      <c r="J542" s="7">
        <v>7843</v>
      </c>
      <c r="K542" s="7">
        <v>8843</v>
      </c>
    </row>
    <row r="543" spans="1:11" x14ac:dyDescent="0.2">
      <c r="A543" s="1">
        <v>0.375694444444444</v>
      </c>
      <c r="B543" s="2">
        <v>6.3000000000000007</v>
      </c>
      <c r="C543" s="2">
        <v>3.71</v>
      </c>
      <c r="D543" s="2">
        <v>5.0900000000000007</v>
      </c>
      <c r="E543" s="2">
        <v>4.9400000000000004</v>
      </c>
      <c r="F543" s="2">
        <v>3.0700000000000003</v>
      </c>
      <c r="G543" s="6">
        <v>7854</v>
      </c>
      <c r="H543" s="6">
        <f>G543+824</f>
        <v>8678</v>
      </c>
      <c r="I543" s="6">
        <v>10248</v>
      </c>
      <c r="J543" s="6">
        <f>I543-429</f>
        <v>9819</v>
      </c>
      <c r="K543" s="6">
        <v>10759</v>
      </c>
    </row>
    <row r="544" spans="1:11" x14ac:dyDescent="0.2">
      <c r="A544" s="1">
        <v>0.37638888888888899</v>
      </c>
      <c r="B544" s="2">
        <v>6.07</v>
      </c>
      <c r="C544" s="2">
        <v>3.53</v>
      </c>
      <c r="D544" s="2">
        <v>5.25</v>
      </c>
      <c r="E544" s="2">
        <v>5.3500000000000005</v>
      </c>
      <c r="F544" s="2">
        <v>2.85</v>
      </c>
      <c r="G544" s="6">
        <v>8245</v>
      </c>
      <c r="H544" s="6">
        <v>8975</v>
      </c>
      <c r="I544" s="6">
        <v>9438</v>
      </c>
      <c r="J544" s="6">
        <v>10282</v>
      </c>
      <c r="K544" s="6">
        <f t="shared" ref="K544:K595" si="14">J544+1000</f>
        <v>11282</v>
      </c>
    </row>
    <row r="545" spans="1:11" x14ac:dyDescent="0.2">
      <c r="A545" s="1">
        <v>0.37708333333333299</v>
      </c>
      <c r="B545" s="2">
        <v>6.16</v>
      </c>
      <c r="C545" s="2">
        <v>3.6999999999999997</v>
      </c>
      <c r="D545" s="2">
        <v>5.0600000000000005</v>
      </c>
      <c r="E545" s="2">
        <v>5.1400000000000006</v>
      </c>
      <c r="F545" s="2">
        <v>3.3000000000000003</v>
      </c>
      <c r="G545" s="6">
        <v>4255</v>
      </c>
      <c r="H545" s="6">
        <v>4597</v>
      </c>
      <c r="I545" s="6">
        <v>7749</v>
      </c>
      <c r="J545" s="6">
        <v>7025</v>
      </c>
      <c r="K545" s="6">
        <v>8129</v>
      </c>
    </row>
    <row r="546" spans="1:11" x14ac:dyDescent="0.2">
      <c r="A546" s="1">
        <v>0.37777777777777799</v>
      </c>
      <c r="B546" s="2">
        <v>6.1400000000000006</v>
      </c>
      <c r="C546" s="2">
        <v>3.5799999999999996</v>
      </c>
      <c r="D546" s="2">
        <v>5.0200000000000005</v>
      </c>
      <c r="E546" s="2">
        <v>5.16</v>
      </c>
      <c r="F546" s="2">
        <v>3.0700000000000003</v>
      </c>
      <c r="G546" s="6">
        <v>2357</v>
      </c>
      <c r="H546" s="6">
        <f t="shared" ref="H546:I601" si="15">G546+824</f>
        <v>3181</v>
      </c>
      <c r="I546" s="6">
        <v>3384</v>
      </c>
      <c r="J546" s="6">
        <f t="shared" ref="J546:J595" si="16">I546-429</f>
        <v>2955</v>
      </c>
      <c r="K546" s="6">
        <v>4039</v>
      </c>
    </row>
    <row r="547" spans="1:11" x14ac:dyDescent="0.2">
      <c r="A547" s="1">
        <v>0.37847222222222199</v>
      </c>
      <c r="B547" s="2">
        <v>6.12</v>
      </c>
      <c r="C547" s="2">
        <v>3.5199999999999996</v>
      </c>
      <c r="D547" s="2">
        <v>4.8900000000000006</v>
      </c>
      <c r="E547" s="2">
        <v>5.2200000000000006</v>
      </c>
      <c r="F547" s="2">
        <v>3.15</v>
      </c>
      <c r="G547" s="6">
        <v>1349</v>
      </c>
      <c r="H547" s="6">
        <v>2248</v>
      </c>
      <c r="I547" s="6">
        <v>2598</v>
      </c>
      <c r="J547" s="6">
        <f t="shared" si="16"/>
        <v>2169</v>
      </c>
      <c r="K547" s="6">
        <v>3258</v>
      </c>
    </row>
    <row r="548" spans="1:11" x14ac:dyDescent="0.2">
      <c r="A548" s="1">
        <v>0.37916666666666698</v>
      </c>
      <c r="B548" s="2">
        <v>6.12</v>
      </c>
      <c r="C548" s="2">
        <v>3.5799999999999996</v>
      </c>
      <c r="D548" s="2">
        <v>4.88</v>
      </c>
      <c r="E548" s="2">
        <v>5.33</v>
      </c>
      <c r="F548" s="2">
        <v>2.85</v>
      </c>
      <c r="G548" s="6">
        <v>1855</v>
      </c>
      <c r="H548" s="6">
        <v>2478</v>
      </c>
      <c r="I548" s="6">
        <v>4857</v>
      </c>
      <c r="J548" s="6">
        <f t="shared" si="16"/>
        <v>4428</v>
      </c>
      <c r="K548" s="6">
        <v>5548</v>
      </c>
    </row>
    <row r="549" spans="1:11" x14ac:dyDescent="0.2">
      <c r="A549" s="1">
        <v>0.37986111111111098</v>
      </c>
      <c r="B549" s="2">
        <v>6.2700000000000005</v>
      </c>
      <c r="C549" s="2">
        <v>3.51</v>
      </c>
      <c r="D549" s="2">
        <v>5.08</v>
      </c>
      <c r="E549" s="2">
        <v>5.0200000000000005</v>
      </c>
      <c r="F549" s="2">
        <v>3.18</v>
      </c>
      <c r="G549" s="6">
        <v>1956</v>
      </c>
      <c r="H549" s="6">
        <v>2597</v>
      </c>
      <c r="I549" s="6">
        <f t="shared" si="15"/>
        <v>3421</v>
      </c>
      <c r="J549" s="6">
        <v>4857</v>
      </c>
      <c r="K549" s="6">
        <v>6027</v>
      </c>
    </row>
    <row r="550" spans="1:11" x14ac:dyDescent="0.2">
      <c r="A550" s="1">
        <v>0.38055555555555598</v>
      </c>
      <c r="B550" s="2">
        <v>6.19</v>
      </c>
      <c r="C550" s="2">
        <v>3.76</v>
      </c>
      <c r="D550" s="2">
        <v>5.0600000000000005</v>
      </c>
      <c r="E550" s="2">
        <v>5.48</v>
      </c>
      <c r="F550" s="2">
        <v>3.3000000000000003</v>
      </c>
      <c r="G550" s="6">
        <v>3327</v>
      </c>
      <c r="H550" s="6">
        <v>3789</v>
      </c>
      <c r="I550" s="6">
        <f t="shared" si="15"/>
        <v>4613</v>
      </c>
      <c r="J550" s="6">
        <f t="shared" si="16"/>
        <v>4184</v>
      </c>
      <c r="K550" s="6">
        <v>5278</v>
      </c>
    </row>
    <row r="551" spans="1:11" x14ac:dyDescent="0.2">
      <c r="A551" s="1">
        <v>0.38124999999999998</v>
      </c>
      <c r="B551" s="2">
        <v>6.24</v>
      </c>
      <c r="C551" s="2">
        <v>3.67</v>
      </c>
      <c r="D551" s="2">
        <v>4.9700000000000006</v>
      </c>
      <c r="E551" s="2">
        <v>5.3100000000000005</v>
      </c>
      <c r="F551" s="2">
        <v>2.89</v>
      </c>
      <c r="G551" s="6">
        <v>5947</v>
      </c>
      <c r="H551" s="6">
        <f t="shared" si="15"/>
        <v>6771</v>
      </c>
      <c r="I551" s="6">
        <v>8428</v>
      </c>
      <c r="J551" s="6">
        <f t="shared" si="16"/>
        <v>7999</v>
      </c>
      <c r="K551" s="6">
        <v>9027</v>
      </c>
    </row>
    <row r="552" spans="1:11" x14ac:dyDescent="0.2">
      <c r="A552" s="1">
        <v>0.38194444444444398</v>
      </c>
      <c r="B552" s="2">
        <v>6.08</v>
      </c>
      <c r="C552" s="2">
        <v>3.6199999999999997</v>
      </c>
      <c r="D552" s="2">
        <v>4.9400000000000004</v>
      </c>
      <c r="E552" s="2">
        <v>5</v>
      </c>
      <c r="F552" s="2">
        <v>2.95</v>
      </c>
      <c r="G552" s="6">
        <v>6473</v>
      </c>
      <c r="H552" s="6">
        <v>7589</v>
      </c>
      <c r="I552" s="6">
        <v>11397</v>
      </c>
      <c r="J552" s="6">
        <f t="shared" si="16"/>
        <v>10968</v>
      </c>
      <c r="K552" s="6">
        <v>12398</v>
      </c>
    </row>
    <row r="553" spans="1:11" x14ac:dyDescent="0.2">
      <c r="A553" s="1">
        <v>0.38263888888888897</v>
      </c>
      <c r="B553" s="2">
        <v>6.2700000000000005</v>
      </c>
      <c r="C553" s="2">
        <v>3.6999999999999997</v>
      </c>
      <c r="D553" s="2">
        <v>4.87</v>
      </c>
      <c r="E553" s="2">
        <v>4.9300000000000006</v>
      </c>
      <c r="F553" s="2">
        <v>2.98</v>
      </c>
      <c r="G553" s="6">
        <v>8529</v>
      </c>
      <c r="H553" s="6">
        <v>9857</v>
      </c>
      <c r="I553" s="6">
        <f t="shared" si="15"/>
        <v>10681</v>
      </c>
      <c r="J553" s="6">
        <v>8957</v>
      </c>
      <c r="K553" s="6">
        <v>10258</v>
      </c>
    </row>
    <row r="554" spans="1:11" x14ac:dyDescent="0.2">
      <c r="A554" s="1">
        <v>0.38333333333333303</v>
      </c>
      <c r="B554" s="2">
        <v>6.12</v>
      </c>
      <c r="C554" s="2">
        <v>3.55</v>
      </c>
      <c r="D554" s="2">
        <v>4.9700000000000006</v>
      </c>
      <c r="E554" s="2">
        <v>4.83</v>
      </c>
      <c r="F554" s="2">
        <v>3.29</v>
      </c>
      <c r="G554" s="6">
        <v>7289</v>
      </c>
      <c r="H554" s="6">
        <v>7854</v>
      </c>
      <c r="I554" s="6">
        <v>4569</v>
      </c>
      <c r="J554" s="6">
        <f t="shared" si="16"/>
        <v>4140</v>
      </c>
      <c r="K554" s="6">
        <f t="shared" si="14"/>
        <v>5140</v>
      </c>
    </row>
    <row r="555" spans="1:11" x14ac:dyDescent="0.2">
      <c r="A555" s="1">
        <v>0.38402777777777802</v>
      </c>
      <c r="B555" s="2">
        <v>6.19</v>
      </c>
      <c r="C555" s="2">
        <v>3.61</v>
      </c>
      <c r="D555" s="2">
        <v>5.0100000000000007</v>
      </c>
      <c r="E555" s="2">
        <v>5.1800000000000006</v>
      </c>
      <c r="F555" s="2">
        <v>2.83</v>
      </c>
      <c r="G555" s="6">
        <v>8588</v>
      </c>
      <c r="H555" s="6">
        <v>9004</v>
      </c>
      <c r="I555" s="6">
        <v>7859</v>
      </c>
      <c r="J555" s="6">
        <v>7425</v>
      </c>
      <c r="K555" s="6">
        <f t="shared" si="14"/>
        <v>8425</v>
      </c>
    </row>
    <row r="556" spans="1:11" x14ac:dyDescent="0.2">
      <c r="A556" s="1">
        <v>0.38472222222222202</v>
      </c>
      <c r="B556" s="2">
        <v>6.23</v>
      </c>
      <c r="C556" s="2">
        <v>3.6999999999999997</v>
      </c>
      <c r="D556" s="2">
        <v>5.2</v>
      </c>
      <c r="E556" s="2">
        <v>5.37</v>
      </c>
      <c r="F556" s="2">
        <v>2.98</v>
      </c>
      <c r="G556" s="6">
        <v>7642</v>
      </c>
      <c r="H556" s="6">
        <v>8567</v>
      </c>
      <c r="I556" s="6">
        <v>9487</v>
      </c>
      <c r="J556" s="6">
        <f t="shared" si="16"/>
        <v>9058</v>
      </c>
      <c r="K556" s="6">
        <v>10398</v>
      </c>
    </row>
    <row r="557" spans="1:11" x14ac:dyDescent="0.2">
      <c r="A557" s="1">
        <v>0.38541666666666702</v>
      </c>
      <c r="B557" s="2">
        <v>6.19</v>
      </c>
      <c r="C557" s="2">
        <v>3.76</v>
      </c>
      <c r="D557" s="2">
        <v>5.1100000000000003</v>
      </c>
      <c r="E557" s="2">
        <v>5.5</v>
      </c>
      <c r="F557" s="2">
        <v>2.89</v>
      </c>
      <c r="G557" s="6">
        <v>7954</v>
      </c>
      <c r="H557" s="6">
        <v>9105</v>
      </c>
      <c r="I557" s="6">
        <v>9578</v>
      </c>
      <c r="J557" s="6">
        <f t="shared" si="16"/>
        <v>9149</v>
      </c>
      <c r="K557" s="6">
        <v>11089</v>
      </c>
    </row>
    <row r="558" spans="1:11" x14ac:dyDescent="0.2">
      <c r="A558" s="1">
        <v>0.38611111111111102</v>
      </c>
      <c r="B558" s="2">
        <v>6.11</v>
      </c>
      <c r="C558" s="2">
        <v>3.5599999999999996</v>
      </c>
      <c r="D558" s="2">
        <v>5.03</v>
      </c>
      <c r="E558" s="2">
        <v>5.49</v>
      </c>
      <c r="F558" s="2">
        <v>3.08</v>
      </c>
      <c r="G558" s="6">
        <v>6775</v>
      </c>
      <c r="H558" s="6">
        <v>7345</v>
      </c>
      <c r="I558" s="6">
        <v>8574</v>
      </c>
      <c r="J558" s="6">
        <f t="shared" si="16"/>
        <v>8145</v>
      </c>
      <c r="K558" s="6">
        <v>9038</v>
      </c>
    </row>
    <row r="559" spans="1:11" x14ac:dyDescent="0.2">
      <c r="A559" s="1">
        <v>0.38680555555555601</v>
      </c>
      <c r="B559" s="2">
        <v>6.24</v>
      </c>
      <c r="C559" s="2">
        <v>3.6199999999999997</v>
      </c>
      <c r="D559" s="2">
        <v>5.1300000000000008</v>
      </c>
      <c r="E559" s="2">
        <v>4.83</v>
      </c>
      <c r="F559" s="2">
        <v>2.89</v>
      </c>
      <c r="G559" s="6">
        <v>4237</v>
      </c>
      <c r="H559" s="6">
        <v>4972</v>
      </c>
      <c r="I559" s="6">
        <v>5542</v>
      </c>
      <c r="J559" s="6">
        <v>6875</v>
      </c>
      <c r="K559" s="6">
        <f t="shared" si="14"/>
        <v>7875</v>
      </c>
    </row>
    <row r="560" spans="1:11" x14ac:dyDescent="0.2">
      <c r="A560" s="1">
        <v>0.38750000000000001</v>
      </c>
      <c r="B560" s="2">
        <v>6.1400000000000006</v>
      </c>
      <c r="C560" s="2">
        <v>3.67</v>
      </c>
      <c r="D560" s="2">
        <v>4.91</v>
      </c>
      <c r="E560" s="2">
        <v>5.25</v>
      </c>
      <c r="F560" s="2">
        <v>3.1100000000000003</v>
      </c>
      <c r="G560" s="6">
        <v>2242</v>
      </c>
      <c r="H560" s="6">
        <v>3359</v>
      </c>
      <c r="I560" s="6">
        <v>1359</v>
      </c>
      <c r="J560" s="6">
        <v>1859</v>
      </c>
      <c r="K560" s="6">
        <v>3069</v>
      </c>
    </row>
    <row r="561" spans="1:11" x14ac:dyDescent="0.2">
      <c r="A561" s="1">
        <v>0.38819444444444401</v>
      </c>
      <c r="B561" s="2">
        <v>6.08</v>
      </c>
      <c r="C561" s="2">
        <v>3.6999999999999997</v>
      </c>
      <c r="D561" s="2">
        <v>5.0600000000000005</v>
      </c>
      <c r="E561" s="2">
        <v>5.2600000000000007</v>
      </c>
      <c r="F561" s="2">
        <v>3.3200000000000003</v>
      </c>
      <c r="G561" s="6">
        <v>2654</v>
      </c>
      <c r="H561" s="6">
        <v>3258</v>
      </c>
      <c r="I561" s="6">
        <v>3587</v>
      </c>
      <c r="J561" s="6">
        <f t="shared" si="16"/>
        <v>3158</v>
      </c>
      <c r="K561" s="6">
        <f t="shared" si="14"/>
        <v>4158</v>
      </c>
    </row>
    <row r="562" spans="1:11" x14ac:dyDescent="0.2">
      <c r="A562" s="1">
        <v>0.38888888888888901</v>
      </c>
      <c r="B562" s="2">
        <v>6.3000000000000007</v>
      </c>
      <c r="C562" s="2">
        <v>3.73</v>
      </c>
      <c r="D562" s="2">
        <v>5.17</v>
      </c>
      <c r="E562" s="2">
        <v>5.3000000000000007</v>
      </c>
      <c r="F562" s="2">
        <v>3.24</v>
      </c>
      <c r="G562" s="6">
        <v>3489</v>
      </c>
      <c r="H562" s="6">
        <v>4459</v>
      </c>
      <c r="I562" s="6">
        <v>4987</v>
      </c>
      <c r="J562" s="6">
        <v>5528</v>
      </c>
      <c r="K562" s="6">
        <v>6479</v>
      </c>
    </row>
    <row r="563" spans="1:11" x14ac:dyDescent="0.2">
      <c r="A563" s="1">
        <v>0.389583333333333</v>
      </c>
      <c r="B563" s="2">
        <v>6.11</v>
      </c>
      <c r="C563" s="2">
        <v>3.7399999999999998</v>
      </c>
      <c r="D563" s="2">
        <v>5.2200000000000006</v>
      </c>
      <c r="E563" s="2">
        <v>5.46</v>
      </c>
      <c r="F563" s="2">
        <v>2.94</v>
      </c>
      <c r="G563" s="6">
        <v>5397</v>
      </c>
      <c r="H563" s="6">
        <v>5987</v>
      </c>
      <c r="I563" s="6">
        <v>6348</v>
      </c>
      <c r="J563" s="6">
        <f t="shared" si="16"/>
        <v>5919</v>
      </c>
      <c r="K563" s="6">
        <f t="shared" si="14"/>
        <v>6919</v>
      </c>
    </row>
    <row r="564" spans="1:11" x14ac:dyDescent="0.2">
      <c r="A564" s="1">
        <v>0.390277777777778</v>
      </c>
      <c r="B564" s="2">
        <v>6.2600000000000007</v>
      </c>
      <c r="C564" s="2">
        <v>3.7399999999999998</v>
      </c>
      <c r="D564" s="2">
        <v>5.23</v>
      </c>
      <c r="E564" s="2">
        <v>4.82</v>
      </c>
      <c r="F564" s="2">
        <v>3.1</v>
      </c>
      <c r="G564" s="6">
        <v>6278</v>
      </c>
      <c r="H564" s="6">
        <v>6857</v>
      </c>
      <c r="I564" s="6">
        <v>6877</v>
      </c>
      <c r="J564" s="6">
        <v>7597</v>
      </c>
      <c r="K564" s="6">
        <v>8574</v>
      </c>
    </row>
    <row r="565" spans="1:11" x14ac:dyDescent="0.2">
      <c r="A565" s="1">
        <v>0.390972222222222</v>
      </c>
      <c r="B565" s="2">
        <v>6.28</v>
      </c>
      <c r="C565" s="2">
        <v>3.6999999999999997</v>
      </c>
      <c r="D565" s="2">
        <v>4.88</v>
      </c>
      <c r="E565" s="2">
        <v>5.19</v>
      </c>
      <c r="F565" s="2">
        <v>3.08</v>
      </c>
      <c r="G565" s="6">
        <v>7894</v>
      </c>
      <c r="H565" s="6">
        <v>8574</v>
      </c>
      <c r="I565" s="6">
        <v>8544</v>
      </c>
      <c r="J565" s="6">
        <f t="shared" si="16"/>
        <v>8115</v>
      </c>
      <c r="K565" s="6">
        <f t="shared" si="14"/>
        <v>9115</v>
      </c>
    </row>
    <row r="566" spans="1:11" x14ac:dyDescent="0.2">
      <c r="A566" s="1">
        <v>0.391666666666667</v>
      </c>
      <c r="B566" s="2">
        <v>6.24</v>
      </c>
      <c r="C566" s="2">
        <v>3.76</v>
      </c>
      <c r="D566" s="2">
        <v>5.1800000000000006</v>
      </c>
      <c r="E566" s="2">
        <v>5.49</v>
      </c>
      <c r="F566" s="2">
        <v>3.27</v>
      </c>
      <c r="G566" s="6">
        <v>6579</v>
      </c>
      <c r="H566" s="6">
        <v>7349</v>
      </c>
      <c r="I566" s="6">
        <v>6744</v>
      </c>
      <c r="J566" s="6">
        <f t="shared" si="16"/>
        <v>6315</v>
      </c>
      <c r="K566" s="6">
        <f t="shared" si="14"/>
        <v>7315</v>
      </c>
    </row>
    <row r="567" spans="1:11" x14ac:dyDescent="0.2">
      <c r="A567" s="1">
        <v>0.39236111111111099</v>
      </c>
      <c r="B567" s="2">
        <v>6.12</v>
      </c>
      <c r="C567" s="2">
        <v>3.63</v>
      </c>
      <c r="D567" s="2">
        <v>5.23</v>
      </c>
      <c r="E567" s="2">
        <v>5.19</v>
      </c>
      <c r="F567" s="2">
        <v>2.94</v>
      </c>
      <c r="G567" s="6">
        <v>8764</v>
      </c>
      <c r="H567" s="6">
        <v>9589</v>
      </c>
      <c r="I567" s="6">
        <v>7597</v>
      </c>
      <c r="J567" s="6">
        <v>8597</v>
      </c>
      <c r="K567" s="6">
        <v>9657</v>
      </c>
    </row>
    <row r="568" spans="1:11" x14ac:dyDescent="0.2">
      <c r="A568" s="1">
        <v>0.39305555555555599</v>
      </c>
      <c r="B568" s="2">
        <v>6.09</v>
      </c>
      <c r="C568" s="2">
        <v>3.5999999999999996</v>
      </c>
      <c r="D568" s="2">
        <v>5.1300000000000008</v>
      </c>
      <c r="E568" s="2">
        <v>4.9700000000000006</v>
      </c>
      <c r="F568" s="2">
        <v>2.94</v>
      </c>
      <c r="G568" s="6">
        <v>7854</v>
      </c>
      <c r="H568" s="6">
        <v>9249</v>
      </c>
      <c r="I568" s="6">
        <v>7789</v>
      </c>
      <c r="J568" s="6">
        <v>9587</v>
      </c>
      <c r="K568" s="6">
        <v>10957</v>
      </c>
    </row>
    <row r="569" spans="1:11" x14ac:dyDescent="0.2">
      <c r="A569" s="1">
        <v>0.39374999999999999</v>
      </c>
      <c r="B569" s="2">
        <v>6.2</v>
      </c>
      <c r="C569" s="2">
        <v>3.57</v>
      </c>
      <c r="D569" s="2">
        <v>5.07</v>
      </c>
      <c r="E569" s="2">
        <v>5.53</v>
      </c>
      <c r="F569" s="2">
        <v>3.09</v>
      </c>
      <c r="G569" s="6">
        <v>6847</v>
      </c>
      <c r="H569" s="6">
        <v>7946</v>
      </c>
      <c r="I569" s="6">
        <v>6974</v>
      </c>
      <c r="J569" s="6">
        <f t="shared" si="16"/>
        <v>6545</v>
      </c>
      <c r="K569" s="6">
        <v>7857</v>
      </c>
    </row>
    <row r="570" spans="1:11" x14ac:dyDescent="0.2">
      <c r="A570" s="1">
        <v>0.39444444444444399</v>
      </c>
      <c r="B570" s="2">
        <v>6.08</v>
      </c>
      <c r="C570" s="2">
        <v>3.5999999999999996</v>
      </c>
      <c r="D570" s="2">
        <v>5</v>
      </c>
      <c r="E570" s="2">
        <v>5.1800000000000006</v>
      </c>
      <c r="F570" s="2">
        <v>3.22</v>
      </c>
      <c r="G570" s="6">
        <v>4558</v>
      </c>
      <c r="H570" s="6">
        <f t="shared" si="15"/>
        <v>5382</v>
      </c>
      <c r="I570" s="6">
        <v>5579</v>
      </c>
      <c r="J570" s="6">
        <v>7158</v>
      </c>
      <c r="K570" s="6">
        <f t="shared" si="14"/>
        <v>8158</v>
      </c>
    </row>
    <row r="571" spans="1:11" x14ac:dyDescent="0.2">
      <c r="A571" s="1">
        <v>0.39513888888888898</v>
      </c>
      <c r="B571" s="2">
        <v>6.2</v>
      </c>
      <c r="C571" s="2">
        <v>3.6199999999999997</v>
      </c>
      <c r="D571" s="2">
        <v>5.0900000000000007</v>
      </c>
      <c r="E571" s="2">
        <v>4.88</v>
      </c>
      <c r="F571" s="2">
        <v>3.3000000000000003</v>
      </c>
      <c r="G571" s="6">
        <v>3598</v>
      </c>
      <c r="H571" s="6">
        <v>4958</v>
      </c>
      <c r="I571" s="6">
        <v>5428</v>
      </c>
      <c r="J571" s="6">
        <f t="shared" si="16"/>
        <v>4999</v>
      </c>
      <c r="K571" s="6">
        <v>6142</v>
      </c>
    </row>
    <row r="572" spans="1:11" x14ac:dyDescent="0.2">
      <c r="A572" s="1">
        <v>0.39583333333333298</v>
      </c>
      <c r="B572" s="2">
        <v>6.2200000000000006</v>
      </c>
      <c r="C572" s="2">
        <v>3.51</v>
      </c>
      <c r="D572" s="2">
        <v>5.2600000000000007</v>
      </c>
      <c r="E572" s="2">
        <v>5.4300000000000006</v>
      </c>
      <c r="F572" s="2">
        <v>2.91</v>
      </c>
      <c r="G572" s="6">
        <v>4468</v>
      </c>
      <c r="H572" s="6">
        <v>6578</v>
      </c>
      <c r="I572" s="6">
        <v>6974</v>
      </c>
      <c r="J572" s="6">
        <f t="shared" si="16"/>
        <v>6545</v>
      </c>
      <c r="K572" s="6">
        <f t="shared" si="14"/>
        <v>7545</v>
      </c>
    </row>
    <row r="573" spans="1:11" x14ac:dyDescent="0.2">
      <c r="A573" s="1">
        <v>0.39652777777777798</v>
      </c>
      <c r="B573" s="2">
        <v>6.1000000000000005</v>
      </c>
      <c r="C573" s="2">
        <v>3.69</v>
      </c>
      <c r="D573" s="2">
        <v>4.88</v>
      </c>
      <c r="E573" s="2">
        <v>4.95</v>
      </c>
      <c r="F573" s="2">
        <v>3.3000000000000003</v>
      </c>
      <c r="G573" s="6">
        <v>5892</v>
      </c>
      <c r="H573" s="6">
        <v>6987</v>
      </c>
      <c r="I573" s="6">
        <v>7428</v>
      </c>
      <c r="J573" s="6">
        <v>9948</v>
      </c>
      <c r="K573" s="6">
        <f t="shared" si="14"/>
        <v>10948</v>
      </c>
    </row>
    <row r="574" spans="1:11" x14ac:dyDescent="0.2">
      <c r="A574" s="1">
        <v>0.39722222222222198</v>
      </c>
      <c r="B574" s="2">
        <v>6.16</v>
      </c>
      <c r="C574" s="2">
        <v>3.7199999999999998</v>
      </c>
      <c r="D574" s="2">
        <v>5.08</v>
      </c>
      <c r="E574" s="2">
        <v>5.34</v>
      </c>
      <c r="F574" s="2">
        <v>2.86</v>
      </c>
      <c r="G574" s="6">
        <v>8439</v>
      </c>
      <c r="H574" s="6">
        <v>8967</v>
      </c>
      <c r="I574" s="6">
        <v>7420</v>
      </c>
      <c r="J574" s="6">
        <v>8991</v>
      </c>
      <c r="K574" s="6">
        <f t="shared" si="14"/>
        <v>9991</v>
      </c>
    </row>
    <row r="575" spans="1:11" x14ac:dyDescent="0.2">
      <c r="A575" s="1">
        <v>0.39791666666666697</v>
      </c>
      <c r="B575" s="2">
        <v>6.17</v>
      </c>
      <c r="C575" s="2">
        <v>3.55</v>
      </c>
      <c r="D575" s="2">
        <v>5.19</v>
      </c>
      <c r="E575" s="2">
        <v>4.9400000000000004</v>
      </c>
      <c r="F575" s="2">
        <v>3.17</v>
      </c>
      <c r="G575" s="6">
        <v>7854</v>
      </c>
      <c r="H575" s="6">
        <v>8857</v>
      </c>
      <c r="I575" s="6">
        <v>6897</v>
      </c>
      <c r="J575" s="6">
        <f t="shared" si="16"/>
        <v>6468</v>
      </c>
      <c r="K575" s="6">
        <f t="shared" si="14"/>
        <v>7468</v>
      </c>
    </row>
    <row r="576" spans="1:11" x14ac:dyDescent="0.2">
      <c r="A576" s="1">
        <v>0.39861111111111103</v>
      </c>
      <c r="B576" s="2">
        <v>6.3000000000000007</v>
      </c>
      <c r="C576" s="2">
        <v>3.76</v>
      </c>
      <c r="D576" s="2">
        <v>4.8600000000000003</v>
      </c>
      <c r="E576" s="2">
        <v>5.25</v>
      </c>
      <c r="F576" s="2">
        <v>2.85</v>
      </c>
      <c r="G576" s="6">
        <v>8848</v>
      </c>
      <c r="H576" s="6">
        <v>9579</v>
      </c>
      <c r="I576" s="6">
        <v>10138</v>
      </c>
      <c r="J576" s="6">
        <f t="shared" si="16"/>
        <v>9709</v>
      </c>
      <c r="K576" s="6">
        <v>10897</v>
      </c>
    </row>
    <row r="577" spans="1:11" x14ac:dyDescent="0.2">
      <c r="A577" s="1">
        <v>0.39930555555555602</v>
      </c>
      <c r="B577" s="2">
        <v>6.25</v>
      </c>
      <c r="C577" s="2">
        <v>3.78</v>
      </c>
      <c r="D577" s="2">
        <v>5.2600000000000007</v>
      </c>
      <c r="E577" s="2">
        <v>4.9400000000000004</v>
      </c>
      <c r="F577" s="2">
        <v>2.94</v>
      </c>
      <c r="G577" s="6">
        <v>9489</v>
      </c>
      <c r="H577" s="6">
        <f t="shared" si="15"/>
        <v>10313</v>
      </c>
      <c r="I577" s="6">
        <v>8577</v>
      </c>
      <c r="J577" s="6">
        <f t="shared" si="16"/>
        <v>8148</v>
      </c>
      <c r="K577" s="6">
        <v>9247</v>
      </c>
    </row>
    <row r="578" spans="1:11" x14ac:dyDescent="0.2">
      <c r="A578" s="1">
        <v>0.4</v>
      </c>
      <c r="B578" s="2">
        <v>6.2200000000000006</v>
      </c>
      <c r="C578" s="2">
        <v>3.5399999999999996</v>
      </c>
      <c r="D578" s="2">
        <v>4.8600000000000003</v>
      </c>
      <c r="E578" s="2">
        <v>5.0100000000000007</v>
      </c>
      <c r="F578" s="2">
        <v>3.08</v>
      </c>
      <c r="G578" s="6">
        <v>8876</v>
      </c>
      <c r="H578" s="6">
        <v>12394</v>
      </c>
      <c r="I578" s="6">
        <v>9958</v>
      </c>
      <c r="J578" s="6">
        <v>11529</v>
      </c>
      <c r="K578" s="6">
        <v>12267</v>
      </c>
    </row>
    <row r="579" spans="1:11" x14ac:dyDescent="0.2">
      <c r="A579" s="1">
        <v>0.40069444444444402</v>
      </c>
      <c r="B579" s="2">
        <v>6.21</v>
      </c>
      <c r="C579" s="2">
        <v>3.6599999999999997</v>
      </c>
      <c r="D579" s="2">
        <v>4.9000000000000004</v>
      </c>
      <c r="E579" s="2">
        <v>5.0500000000000007</v>
      </c>
      <c r="F579" s="2">
        <v>3.1</v>
      </c>
      <c r="G579" s="6">
        <v>5348</v>
      </c>
      <c r="H579" s="6">
        <v>7984</v>
      </c>
      <c r="I579" s="6">
        <v>4577</v>
      </c>
      <c r="J579" s="6">
        <f t="shared" si="16"/>
        <v>4148</v>
      </c>
      <c r="K579" s="6">
        <f t="shared" si="14"/>
        <v>5148</v>
      </c>
    </row>
    <row r="580" spans="1:11" x14ac:dyDescent="0.2">
      <c r="A580" s="1">
        <v>0.40138888888888902</v>
      </c>
      <c r="B580" s="2">
        <v>6.17</v>
      </c>
      <c r="C580" s="2">
        <v>3.67</v>
      </c>
      <c r="D580" s="2">
        <v>5.0100000000000007</v>
      </c>
      <c r="E580" s="2">
        <v>4.87</v>
      </c>
      <c r="F580" s="2">
        <v>3.04</v>
      </c>
      <c r="G580" s="6">
        <v>5477</v>
      </c>
      <c r="H580" s="6">
        <v>6944</v>
      </c>
      <c r="I580" s="6">
        <v>4389</v>
      </c>
      <c r="J580" s="6">
        <v>5789</v>
      </c>
      <c r="K580" s="6">
        <f t="shared" si="14"/>
        <v>6789</v>
      </c>
    </row>
    <row r="581" spans="1:11" x14ac:dyDescent="0.2">
      <c r="A581" s="1">
        <v>0.40208333333333302</v>
      </c>
      <c r="B581" s="2">
        <v>6.16</v>
      </c>
      <c r="C581" s="2">
        <v>3.67</v>
      </c>
      <c r="D581" s="2">
        <v>4.9700000000000006</v>
      </c>
      <c r="E581" s="2">
        <v>4.9700000000000006</v>
      </c>
      <c r="F581" s="2">
        <v>3.02</v>
      </c>
      <c r="G581" s="6">
        <v>6874</v>
      </c>
      <c r="H581" s="6">
        <v>8764</v>
      </c>
      <c r="I581" s="6">
        <v>6974</v>
      </c>
      <c r="J581" s="6">
        <f t="shared" si="16"/>
        <v>6545</v>
      </c>
      <c r="K581" s="6">
        <f t="shared" si="14"/>
        <v>7545</v>
      </c>
    </row>
    <row r="582" spans="1:11" x14ac:dyDescent="0.2">
      <c r="A582" s="1">
        <v>0.40277777777777801</v>
      </c>
      <c r="B582" s="2">
        <v>6.09</v>
      </c>
      <c r="C582" s="2">
        <v>3.76</v>
      </c>
      <c r="D582" s="2">
        <v>4.96</v>
      </c>
      <c r="E582" s="2">
        <v>4.9000000000000004</v>
      </c>
      <c r="F582" s="2">
        <v>3.14</v>
      </c>
      <c r="G582" s="6">
        <v>9857</v>
      </c>
      <c r="H582" s="6">
        <v>12897</v>
      </c>
      <c r="I582" s="6">
        <v>10287</v>
      </c>
      <c r="J582" s="6">
        <f t="shared" si="16"/>
        <v>9858</v>
      </c>
      <c r="K582" s="6">
        <v>11037</v>
      </c>
    </row>
    <row r="583" spans="1:11" x14ac:dyDescent="0.2">
      <c r="A583" s="1">
        <v>0.40347222222222201</v>
      </c>
      <c r="B583" s="2">
        <v>6.19</v>
      </c>
      <c r="C583" s="2">
        <v>3.6599999999999997</v>
      </c>
      <c r="D583" s="2">
        <v>4.92</v>
      </c>
      <c r="E583" s="2">
        <v>4.9000000000000004</v>
      </c>
      <c r="F583" s="2">
        <v>3.18</v>
      </c>
      <c r="G583" s="6">
        <v>5549</v>
      </c>
      <c r="H583" s="6">
        <v>7854</v>
      </c>
      <c r="I583" s="6">
        <v>6587</v>
      </c>
      <c r="J583" s="6">
        <v>8159</v>
      </c>
      <c r="K583" s="6">
        <v>8573</v>
      </c>
    </row>
    <row r="584" spans="1:11" x14ac:dyDescent="0.2">
      <c r="A584" s="1">
        <v>0.40416666666666701</v>
      </c>
      <c r="B584" s="2">
        <v>6.15</v>
      </c>
      <c r="C584" s="2">
        <v>3.6999999999999997</v>
      </c>
      <c r="D584" s="2">
        <v>4.92</v>
      </c>
      <c r="E584" s="2">
        <v>5.4700000000000006</v>
      </c>
      <c r="F584" s="2">
        <v>3.2</v>
      </c>
      <c r="G584" s="6">
        <v>6671</v>
      </c>
      <c r="H584" s="6">
        <v>8857</v>
      </c>
      <c r="I584" s="6">
        <v>8896</v>
      </c>
      <c r="J584" s="6">
        <v>11347</v>
      </c>
      <c r="K584" s="6">
        <v>13262</v>
      </c>
    </row>
    <row r="585" spans="1:11" x14ac:dyDescent="0.2">
      <c r="A585" s="1">
        <v>0.40486111111111101</v>
      </c>
      <c r="B585" s="2">
        <v>6.32</v>
      </c>
      <c r="C585" s="2">
        <v>3.6199999999999997</v>
      </c>
      <c r="D585" s="2">
        <v>5.03</v>
      </c>
      <c r="E585" s="2">
        <v>5.08</v>
      </c>
      <c r="F585" s="2">
        <v>3.1100000000000003</v>
      </c>
      <c r="G585" s="6">
        <v>4324</v>
      </c>
      <c r="H585" s="6">
        <f t="shared" si="15"/>
        <v>5148</v>
      </c>
      <c r="I585" s="6">
        <v>6789</v>
      </c>
      <c r="J585" s="6">
        <v>8597</v>
      </c>
      <c r="K585" s="6">
        <f t="shared" si="14"/>
        <v>9597</v>
      </c>
    </row>
    <row r="586" spans="1:11" x14ac:dyDescent="0.2">
      <c r="A586" s="1">
        <v>0.405555555555556</v>
      </c>
      <c r="B586" s="2">
        <v>6.25</v>
      </c>
      <c r="C586" s="2">
        <v>3.5599999999999996</v>
      </c>
      <c r="D586" s="2">
        <v>5.0600000000000005</v>
      </c>
      <c r="E586" s="2">
        <v>5.4700000000000006</v>
      </c>
      <c r="F586" s="2">
        <v>2.94</v>
      </c>
      <c r="G586" s="6">
        <v>2674</v>
      </c>
      <c r="H586" s="6">
        <f t="shared" si="15"/>
        <v>3498</v>
      </c>
      <c r="I586" s="6">
        <v>4437</v>
      </c>
      <c r="J586" s="6">
        <v>4598</v>
      </c>
      <c r="K586" s="6">
        <v>5847</v>
      </c>
    </row>
    <row r="587" spans="1:11" x14ac:dyDescent="0.2">
      <c r="A587" s="1">
        <v>0.40625</v>
      </c>
      <c r="B587" s="2">
        <v>6.29</v>
      </c>
      <c r="C587" s="2">
        <v>3.67</v>
      </c>
      <c r="D587" s="2">
        <v>5.1100000000000003</v>
      </c>
      <c r="E587" s="2">
        <v>5</v>
      </c>
      <c r="F587" s="2">
        <v>3.25</v>
      </c>
      <c r="G587" s="6">
        <v>7892</v>
      </c>
      <c r="H587" s="6">
        <v>10248</v>
      </c>
      <c r="I587" s="6">
        <v>8754</v>
      </c>
      <c r="J587" s="6">
        <f t="shared" si="16"/>
        <v>8325</v>
      </c>
      <c r="K587" s="6">
        <f t="shared" si="14"/>
        <v>9325</v>
      </c>
    </row>
    <row r="588" spans="1:11" x14ac:dyDescent="0.2">
      <c r="A588" s="1">
        <v>0.406944444444444</v>
      </c>
      <c r="B588" s="2">
        <v>6.07</v>
      </c>
      <c r="C588" s="2">
        <v>3.51</v>
      </c>
      <c r="D588" s="2">
        <v>5</v>
      </c>
      <c r="E588" s="2">
        <v>4.99</v>
      </c>
      <c r="F588" s="2">
        <v>3.13</v>
      </c>
      <c r="G588" s="6">
        <v>9544</v>
      </c>
      <c r="H588" s="6">
        <v>11397</v>
      </c>
      <c r="I588" s="6">
        <v>8845</v>
      </c>
      <c r="J588" s="6">
        <f t="shared" si="16"/>
        <v>8416</v>
      </c>
      <c r="K588" s="6">
        <v>9547</v>
      </c>
    </row>
    <row r="589" spans="1:11" x14ac:dyDescent="0.2">
      <c r="A589" s="1">
        <v>0.40763888888888899</v>
      </c>
      <c r="B589" s="2">
        <v>6.2</v>
      </c>
      <c r="C589" s="2">
        <v>3.57</v>
      </c>
      <c r="D589" s="2">
        <v>4.99</v>
      </c>
      <c r="E589" s="2">
        <v>5.0600000000000005</v>
      </c>
      <c r="F589" s="2">
        <v>3.02</v>
      </c>
      <c r="G589" s="6">
        <v>10285</v>
      </c>
      <c r="H589" s="6">
        <f t="shared" si="15"/>
        <v>11109</v>
      </c>
      <c r="I589" s="6">
        <v>7948</v>
      </c>
      <c r="J589" s="6">
        <f t="shared" si="16"/>
        <v>7519</v>
      </c>
      <c r="K589" s="6">
        <v>8812</v>
      </c>
    </row>
    <row r="590" spans="1:11" x14ac:dyDescent="0.2">
      <c r="A590" s="1">
        <v>0.40833333333333299</v>
      </c>
      <c r="B590" s="2">
        <v>6.16</v>
      </c>
      <c r="C590" s="2">
        <v>3.6399999999999997</v>
      </c>
      <c r="D590" s="2">
        <v>5.0900000000000007</v>
      </c>
      <c r="E590" s="2">
        <v>5.07</v>
      </c>
      <c r="F590" s="2">
        <v>3.16</v>
      </c>
      <c r="G590" s="6">
        <v>8947</v>
      </c>
      <c r="H590" s="6">
        <f t="shared" si="15"/>
        <v>9771</v>
      </c>
      <c r="I590" s="6">
        <v>10288</v>
      </c>
      <c r="J590" s="6">
        <f t="shared" si="16"/>
        <v>9859</v>
      </c>
      <c r="K590" s="6">
        <v>9978</v>
      </c>
    </row>
    <row r="591" spans="1:11" x14ac:dyDescent="0.2">
      <c r="A591" s="1">
        <v>0.40902777777777799</v>
      </c>
      <c r="B591" s="2">
        <v>6.1800000000000006</v>
      </c>
      <c r="C591" s="2">
        <v>3.7399999999999998</v>
      </c>
      <c r="D591" s="2">
        <v>5.0200000000000005</v>
      </c>
      <c r="E591" s="2">
        <v>4.9000000000000004</v>
      </c>
      <c r="F591" s="2">
        <v>2.87</v>
      </c>
      <c r="G591" s="6">
        <v>10389</v>
      </c>
      <c r="H591" s="6">
        <v>13897</v>
      </c>
      <c r="I591" s="6">
        <v>10258</v>
      </c>
      <c r="J591" s="6">
        <v>12394</v>
      </c>
      <c r="K591" s="6">
        <v>13424</v>
      </c>
    </row>
    <row r="592" spans="1:11" x14ac:dyDescent="0.2">
      <c r="A592" s="1">
        <v>0.40972222222222199</v>
      </c>
      <c r="B592" s="2">
        <v>6.32</v>
      </c>
      <c r="C592" s="2">
        <v>3.65</v>
      </c>
      <c r="D592" s="2">
        <v>5</v>
      </c>
      <c r="E592" s="2">
        <v>5.03</v>
      </c>
      <c r="F592" s="2">
        <v>3</v>
      </c>
      <c r="G592" s="6">
        <v>11289</v>
      </c>
      <c r="H592" s="6">
        <f t="shared" si="15"/>
        <v>12113</v>
      </c>
      <c r="I592" s="6">
        <v>9548</v>
      </c>
      <c r="J592" s="6">
        <v>10298</v>
      </c>
      <c r="K592" s="6">
        <v>12573</v>
      </c>
    </row>
    <row r="593" spans="1:11" x14ac:dyDescent="0.2">
      <c r="A593" s="1">
        <v>0.41041666666666698</v>
      </c>
      <c r="B593" s="2">
        <v>6.08</v>
      </c>
      <c r="C593" s="2">
        <v>3.5799999999999996</v>
      </c>
      <c r="D593" s="2">
        <v>5.1100000000000003</v>
      </c>
      <c r="E593" s="2">
        <v>5.1800000000000006</v>
      </c>
      <c r="F593" s="2">
        <v>3.08</v>
      </c>
      <c r="G593" s="6">
        <v>8527</v>
      </c>
      <c r="H593" s="6">
        <f t="shared" si="15"/>
        <v>9351</v>
      </c>
      <c r="I593" s="6">
        <v>8754</v>
      </c>
      <c r="J593" s="6">
        <f t="shared" si="16"/>
        <v>8325</v>
      </c>
      <c r="K593" s="6">
        <f t="shared" si="14"/>
        <v>9325</v>
      </c>
    </row>
    <row r="594" spans="1:11" x14ac:dyDescent="0.2">
      <c r="A594" s="1">
        <v>0.41111111111111098</v>
      </c>
      <c r="B594" s="2">
        <v>6.2700000000000005</v>
      </c>
      <c r="C594" s="2">
        <v>3.76</v>
      </c>
      <c r="D594" s="2">
        <v>4.88</v>
      </c>
      <c r="E594" s="2">
        <v>4.87</v>
      </c>
      <c r="F594" s="2">
        <v>2.99</v>
      </c>
      <c r="G594" s="6">
        <v>5479</v>
      </c>
      <c r="H594" s="6">
        <v>7428</v>
      </c>
      <c r="I594" s="6">
        <v>8857</v>
      </c>
      <c r="J594" s="6">
        <v>9527</v>
      </c>
      <c r="K594" s="6">
        <f t="shared" si="14"/>
        <v>10527</v>
      </c>
    </row>
    <row r="595" spans="1:11" x14ac:dyDescent="0.2">
      <c r="A595" s="1">
        <v>0.41180555555555598</v>
      </c>
      <c r="B595" s="2">
        <v>6.3100000000000005</v>
      </c>
      <c r="C595" s="2">
        <v>3.55</v>
      </c>
      <c r="D595" s="2">
        <v>5.25</v>
      </c>
      <c r="E595" s="2">
        <v>5.1100000000000003</v>
      </c>
      <c r="F595" s="2">
        <v>2.93</v>
      </c>
      <c r="G595" s="6">
        <v>6857</v>
      </c>
      <c r="H595" s="6">
        <f t="shared" si="15"/>
        <v>7681</v>
      </c>
      <c r="I595" s="6">
        <v>7946</v>
      </c>
      <c r="J595" s="6">
        <f t="shared" si="16"/>
        <v>7517</v>
      </c>
      <c r="K595" s="6">
        <f t="shared" si="14"/>
        <v>8517</v>
      </c>
    </row>
    <row r="596" spans="1:11" x14ac:dyDescent="0.2">
      <c r="A596" s="1">
        <v>0.41249999999999998</v>
      </c>
      <c r="B596" s="2">
        <v>6.17</v>
      </c>
      <c r="C596" s="2">
        <v>3.7199999999999998</v>
      </c>
      <c r="D596" s="2">
        <v>5.1800000000000006</v>
      </c>
      <c r="E596" s="2">
        <v>5.0100000000000007</v>
      </c>
      <c r="F596" s="2">
        <v>3.22</v>
      </c>
      <c r="G596" s="6">
        <v>8888</v>
      </c>
      <c r="H596" s="6">
        <v>9875</v>
      </c>
      <c r="I596" s="6">
        <v>8947</v>
      </c>
      <c r="J596" s="6">
        <v>10148</v>
      </c>
      <c r="K596" s="6">
        <v>10958</v>
      </c>
    </row>
    <row r="597" spans="1:11" x14ac:dyDescent="0.2">
      <c r="A597" s="1">
        <v>0.41319444444444398</v>
      </c>
      <c r="B597" s="2">
        <v>6.09</v>
      </c>
      <c r="C597" s="2">
        <v>3.7699999999999996</v>
      </c>
      <c r="D597" s="2">
        <v>4.95</v>
      </c>
      <c r="E597" s="2">
        <v>5.0500000000000007</v>
      </c>
      <c r="F597" s="2">
        <v>2.9</v>
      </c>
      <c r="G597" s="6">
        <v>9687</v>
      </c>
      <c r="H597" s="6">
        <f t="shared" si="15"/>
        <v>10511</v>
      </c>
      <c r="I597" s="6">
        <v>10571</v>
      </c>
      <c r="J597" s="6">
        <v>12859</v>
      </c>
      <c r="K597" s="6">
        <v>14257</v>
      </c>
    </row>
    <row r="598" spans="1:11" x14ac:dyDescent="0.2">
      <c r="A598" s="1">
        <v>0.41388888888888897</v>
      </c>
      <c r="B598" s="2">
        <v>6.3000000000000007</v>
      </c>
      <c r="C598" s="2">
        <v>3.78</v>
      </c>
      <c r="D598" s="2">
        <v>5.2</v>
      </c>
      <c r="E598" s="2">
        <v>5.2600000000000007</v>
      </c>
      <c r="F598" s="2">
        <v>3.23</v>
      </c>
      <c r="G598" s="6">
        <v>12354</v>
      </c>
      <c r="H598" s="6">
        <v>15298</v>
      </c>
      <c r="I598" s="6">
        <v>11297</v>
      </c>
      <c r="J598" s="6">
        <v>13497</v>
      </c>
      <c r="K598" s="6">
        <v>13985</v>
      </c>
    </row>
    <row r="599" spans="1:11" x14ac:dyDescent="0.2">
      <c r="A599" s="1">
        <v>0.41458333333333303</v>
      </c>
      <c r="B599" s="2">
        <v>6.17</v>
      </c>
      <c r="C599" s="2">
        <v>3.7399999999999998</v>
      </c>
      <c r="D599" s="2">
        <v>4.8600000000000003</v>
      </c>
      <c r="E599" s="2">
        <v>4.8900000000000006</v>
      </c>
      <c r="F599" s="2">
        <v>3.19</v>
      </c>
      <c r="G599" s="6">
        <v>8947</v>
      </c>
      <c r="H599" s="6">
        <v>12278</v>
      </c>
      <c r="I599" s="6">
        <v>9527</v>
      </c>
      <c r="J599" s="6">
        <v>13975</v>
      </c>
      <c r="K599" s="6">
        <v>10387</v>
      </c>
    </row>
    <row r="600" spans="1:11" x14ac:dyDescent="0.2">
      <c r="A600" s="1">
        <v>0.41527777777777802</v>
      </c>
      <c r="B600" s="2">
        <v>6.28</v>
      </c>
      <c r="C600" s="2">
        <v>3.6399999999999997</v>
      </c>
      <c r="D600" s="2">
        <v>5.1000000000000005</v>
      </c>
      <c r="E600" s="2">
        <v>5.19</v>
      </c>
      <c r="F600" s="2">
        <v>2.85</v>
      </c>
      <c r="G600" s="6">
        <v>7858</v>
      </c>
      <c r="H600" s="6">
        <f t="shared" si="15"/>
        <v>8682</v>
      </c>
      <c r="I600" s="6">
        <v>8577</v>
      </c>
      <c r="J600" s="6">
        <v>10289</v>
      </c>
      <c r="K600" s="6">
        <v>12263</v>
      </c>
    </row>
    <row r="601" spans="1:11" x14ac:dyDescent="0.2">
      <c r="A601" s="1">
        <v>0.41597222222222202</v>
      </c>
      <c r="B601" s="2">
        <v>6.21</v>
      </c>
      <c r="C601" s="2">
        <v>3.53</v>
      </c>
      <c r="D601" s="2">
        <v>4.87</v>
      </c>
      <c r="E601" s="2">
        <v>5.41</v>
      </c>
      <c r="F601" s="2">
        <v>2.96</v>
      </c>
      <c r="G601" s="6">
        <v>9456</v>
      </c>
      <c r="H601" s="6">
        <f t="shared" si="15"/>
        <v>10280</v>
      </c>
      <c r="I601" s="6">
        <v>8897</v>
      </c>
      <c r="J601" s="6">
        <v>11493</v>
      </c>
      <c r="K601" s="6">
        <v>11958</v>
      </c>
    </row>
    <row r="602" spans="1:11" x14ac:dyDescent="0.2">
      <c r="A602" s="3">
        <v>0.41666666666666702</v>
      </c>
      <c r="B602" s="4">
        <v>6.19</v>
      </c>
      <c r="C602" s="4">
        <v>3.66</v>
      </c>
      <c r="D602" s="4">
        <v>5.08</v>
      </c>
      <c r="E602" s="4">
        <v>5.25</v>
      </c>
      <c r="F602" s="4">
        <v>3.07</v>
      </c>
      <c r="G602" s="7">
        <v>10231</v>
      </c>
      <c r="H602" s="7">
        <v>13121</v>
      </c>
      <c r="I602" s="7">
        <v>9341</v>
      </c>
      <c r="J602" s="7">
        <v>12134</v>
      </c>
      <c r="K602" s="7">
        <v>13411</v>
      </c>
    </row>
    <row r="603" spans="1:11" x14ac:dyDescent="0.2">
      <c r="A603" s="1">
        <v>0.41736111111111102</v>
      </c>
      <c r="B603" s="2">
        <v>6.08</v>
      </c>
      <c r="C603" s="2">
        <v>3.75</v>
      </c>
      <c r="D603" s="2">
        <v>5.2</v>
      </c>
      <c r="E603" s="2">
        <v>5.28</v>
      </c>
      <c r="F603" s="2">
        <v>3.33</v>
      </c>
      <c r="G603" s="6">
        <v>9985</v>
      </c>
      <c r="H603" s="6">
        <v>10354</v>
      </c>
      <c r="I603" s="6">
        <v>8454</v>
      </c>
      <c r="J603" s="6">
        <v>12325</v>
      </c>
      <c r="K603" s="6">
        <v>14254</v>
      </c>
    </row>
    <row r="604" spans="1:11" x14ac:dyDescent="0.2">
      <c r="A604" s="1">
        <v>0.41805555555555601</v>
      </c>
      <c r="B604" s="2">
        <v>6.1000000000000005</v>
      </c>
      <c r="C604" s="2">
        <v>3.53</v>
      </c>
      <c r="D604" s="2">
        <v>5.2600000000000007</v>
      </c>
      <c r="E604" s="2">
        <v>5.3500000000000005</v>
      </c>
      <c r="F604" s="2">
        <v>2.99</v>
      </c>
      <c r="G604" s="6">
        <v>11204</v>
      </c>
      <c r="H604" s="6">
        <v>12674</v>
      </c>
      <c r="I604" s="6">
        <v>8645</v>
      </c>
      <c r="J604" s="6">
        <v>12454</v>
      </c>
      <c r="K604" s="6">
        <v>14512</v>
      </c>
    </row>
    <row r="605" spans="1:11" x14ac:dyDescent="0.2">
      <c r="A605" s="1">
        <v>0.41875000000000001</v>
      </c>
      <c r="B605" s="2">
        <v>6.2</v>
      </c>
      <c r="C605" s="2">
        <v>3.53</v>
      </c>
      <c r="D605" s="2">
        <v>5.17</v>
      </c>
      <c r="E605" s="2">
        <v>5.37</v>
      </c>
      <c r="F605" s="2">
        <v>3.25</v>
      </c>
      <c r="G605" s="6">
        <v>8547</v>
      </c>
      <c r="H605" s="6">
        <v>9362</v>
      </c>
      <c r="I605" s="6">
        <v>6452</v>
      </c>
      <c r="J605" s="6">
        <v>8461</v>
      </c>
      <c r="K605" s="6">
        <v>9457</v>
      </c>
    </row>
    <row r="606" spans="1:11" x14ac:dyDescent="0.2">
      <c r="A606" s="1">
        <v>0.41944444444444401</v>
      </c>
      <c r="B606" s="2">
        <v>6.07</v>
      </c>
      <c r="C606" s="2">
        <v>3.55</v>
      </c>
      <c r="D606" s="2">
        <v>5.1000000000000005</v>
      </c>
      <c r="E606" s="2">
        <v>5.46</v>
      </c>
      <c r="F606" s="2">
        <v>2.97</v>
      </c>
      <c r="G606" s="6">
        <v>12340</v>
      </c>
      <c r="H606" s="6">
        <v>11517</v>
      </c>
      <c r="I606" s="6">
        <v>6482</v>
      </c>
      <c r="J606" s="6">
        <v>7515</v>
      </c>
      <c r="K606" s="6">
        <v>8779</v>
      </c>
    </row>
    <row r="607" spans="1:11" x14ac:dyDescent="0.2">
      <c r="A607" s="1">
        <v>0.42013888888888901</v>
      </c>
      <c r="B607" s="2">
        <v>6.1400000000000006</v>
      </c>
      <c r="C607" s="2">
        <v>3.5799999999999996</v>
      </c>
      <c r="D607" s="2">
        <v>5.19</v>
      </c>
      <c r="E607" s="2">
        <v>5.03</v>
      </c>
      <c r="F607" s="2">
        <v>2.85</v>
      </c>
      <c r="G607" s="6">
        <v>9845</v>
      </c>
      <c r="H607" s="6">
        <v>9917</v>
      </c>
      <c r="I607" s="6">
        <v>5642</v>
      </c>
      <c r="J607" s="6">
        <v>6548</v>
      </c>
      <c r="K607" s="6">
        <v>7812</v>
      </c>
    </row>
    <row r="608" spans="1:11" x14ac:dyDescent="0.2">
      <c r="A608" s="1">
        <v>0.420833333333333</v>
      </c>
      <c r="B608" s="2">
        <v>6.3000000000000007</v>
      </c>
      <c r="C608" s="2">
        <v>3.7399999999999998</v>
      </c>
      <c r="D608" s="2">
        <v>5.0600000000000005</v>
      </c>
      <c r="E608" s="2">
        <v>5.1000000000000005</v>
      </c>
      <c r="F608" s="2">
        <v>3.04</v>
      </c>
      <c r="G608" s="6">
        <v>9475</v>
      </c>
      <c r="H608" s="6">
        <v>8437</v>
      </c>
      <c r="I608" s="6">
        <v>6452</v>
      </c>
      <c r="J608" s="6">
        <v>8457</v>
      </c>
      <c r="K608" s="6">
        <v>10244</v>
      </c>
    </row>
    <row r="609" spans="1:11" x14ac:dyDescent="0.2">
      <c r="A609" s="1">
        <v>0.421527777777778</v>
      </c>
      <c r="B609" s="2">
        <v>6.11</v>
      </c>
      <c r="C609" s="2">
        <v>3.5599999999999996</v>
      </c>
      <c r="D609" s="2">
        <v>4.9400000000000004</v>
      </c>
      <c r="E609" s="2">
        <v>4.8500000000000005</v>
      </c>
      <c r="F609" s="2">
        <v>3.19</v>
      </c>
      <c r="G609" s="6">
        <v>8547</v>
      </c>
      <c r="H609" s="6">
        <v>7618</v>
      </c>
      <c r="I609" s="6">
        <v>8524</v>
      </c>
      <c r="J609" s="6">
        <v>7542</v>
      </c>
      <c r="K609" s="6">
        <v>8806</v>
      </c>
    </row>
    <row r="610" spans="1:11" x14ac:dyDescent="0.2">
      <c r="A610" s="1">
        <v>0.422222222222222</v>
      </c>
      <c r="B610" s="2">
        <v>6.2200000000000006</v>
      </c>
      <c r="C610" s="2">
        <v>3.78</v>
      </c>
      <c r="D610" s="2">
        <v>5.1300000000000008</v>
      </c>
      <c r="E610" s="2">
        <v>5.1400000000000006</v>
      </c>
      <c r="F610" s="2">
        <v>3.08</v>
      </c>
      <c r="G610" s="6">
        <v>6587</v>
      </c>
      <c r="H610" s="6">
        <v>8264</v>
      </c>
      <c r="I610" s="6">
        <v>6545</v>
      </c>
      <c r="J610" s="6">
        <v>7548</v>
      </c>
      <c r="K610" s="6">
        <v>9245</v>
      </c>
    </row>
    <row r="611" spans="1:11" x14ac:dyDescent="0.2">
      <c r="A611" s="1">
        <v>0.422916666666667</v>
      </c>
      <c r="B611" s="2">
        <v>6.15</v>
      </c>
      <c r="C611" s="2">
        <v>3.65</v>
      </c>
      <c r="D611" s="2">
        <v>5.15</v>
      </c>
      <c r="E611" s="2">
        <v>5.3000000000000007</v>
      </c>
      <c r="F611" s="2">
        <v>2.87</v>
      </c>
      <c r="G611" s="6">
        <v>7548</v>
      </c>
      <c r="H611" s="6">
        <v>8047</v>
      </c>
      <c r="I611" s="6">
        <v>7892</v>
      </c>
      <c r="J611" s="6">
        <v>8524</v>
      </c>
      <c r="K611" s="6">
        <v>10645</v>
      </c>
    </row>
    <row r="612" spans="1:11" x14ac:dyDescent="0.2">
      <c r="A612" s="1">
        <v>0.42361111111111099</v>
      </c>
      <c r="B612" s="2">
        <v>6.1000000000000005</v>
      </c>
      <c r="C612" s="2">
        <v>3.7699999999999996</v>
      </c>
      <c r="D612" s="2">
        <v>5.1300000000000008</v>
      </c>
      <c r="E612" s="2">
        <v>5.15</v>
      </c>
      <c r="F612" s="2">
        <v>3.12</v>
      </c>
      <c r="G612" s="6">
        <v>9752</v>
      </c>
      <c r="H612" s="6">
        <v>11159</v>
      </c>
      <c r="I612" s="6">
        <v>8452</v>
      </c>
      <c r="J612" s="6">
        <v>9542</v>
      </c>
      <c r="K612" s="6">
        <v>10806</v>
      </c>
    </row>
    <row r="613" spans="1:11" x14ac:dyDescent="0.2">
      <c r="A613" s="1">
        <v>0.42430555555555599</v>
      </c>
      <c r="B613" s="2">
        <v>6.24</v>
      </c>
      <c r="C613" s="2">
        <v>3.6799999999999997</v>
      </c>
      <c r="D613" s="2">
        <v>4.95</v>
      </c>
      <c r="E613" s="2">
        <v>5.2200000000000006</v>
      </c>
      <c r="F613" s="2">
        <v>3.23</v>
      </c>
      <c r="G613" s="6">
        <v>11045</v>
      </c>
      <c r="H613" s="6">
        <v>13158</v>
      </c>
      <c r="I613" s="6">
        <v>10224</v>
      </c>
      <c r="J613" s="6">
        <v>13456</v>
      </c>
      <c r="K613" s="6">
        <v>14720</v>
      </c>
    </row>
    <row r="614" spans="1:11" x14ac:dyDescent="0.2">
      <c r="A614" s="1">
        <v>0.42499999999999999</v>
      </c>
      <c r="B614" s="2">
        <v>6.21</v>
      </c>
      <c r="C614" s="2">
        <v>3.75</v>
      </c>
      <c r="D614" s="2">
        <v>4.9400000000000004</v>
      </c>
      <c r="E614" s="2">
        <v>5.53</v>
      </c>
      <c r="F614" s="2">
        <v>3.31</v>
      </c>
      <c r="G614" s="6">
        <v>13345</v>
      </c>
      <c r="H614" s="6">
        <v>13654</v>
      </c>
      <c r="I614" s="6">
        <v>10254</v>
      </c>
      <c r="J614" s="6">
        <v>16455</v>
      </c>
      <c r="K614" s="6">
        <v>15424</v>
      </c>
    </row>
    <row r="615" spans="1:11" x14ac:dyDescent="0.2">
      <c r="A615" s="1">
        <v>0.42569444444444399</v>
      </c>
      <c r="B615" s="2">
        <v>6.17</v>
      </c>
      <c r="C615" s="2">
        <v>3.6399999999999997</v>
      </c>
      <c r="D615" s="2">
        <v>5.0600000000000005</v>
      </c>
      <c r="E615" s="2">
        <v>4.84</v>
      </c>
      <c r="F615" s="2">
        <v>2.91</v>
      </c>
      <c r="G615" s="6">
        <v>9834</v>
      </c>
      <c r="H615" s="6">
        <v>11354</v>
      </c>
      <c r="I615" s="6">
        <v>8542</v>
      </c>
      <c r="J615" s="6">
        <v>11568</v>
      </c>
      <c r="K615" s="6">
        <v>11452</v>
      </c>
    </row>
    <row r="616" spans="1:11" x14ac:dyDescent="0.2">
      <c r="A616" s="1">
        <v>0.42638888888888898</v>
      </c>
      <c r="B616" s="2">
        <v>6.19</v>
      </c>
      <c r="C616" s="2">
        <v>3.5999999999999996</v>
      </c>
      <c r="D616" s="2">
        <v>5.07</v>
      </c>
      <c r="E616" s="2">
        <v>5.2700000000000005</v>
      </c>
      <c r="F616" s="2">
        <v>3.08</v>
      </c>
      <c r="G616" s="6">
        <v>7654</v>
      </c>
      <c r="H616" s="6">
        <v>8246</v>
      </c>
      <c r="I616" s="6">
        <v>7566</v>
      </c>
      <c r="J616" s="6">
        <v>8246</v>
      </c>
      <c r="K616" s="6">
        <v>10245</v>
      </c>
    </row>
    <row r="617" spans="1:11" x14ac:dyDescent="0.2">
      <c r="A617" s="1">
        <v>0.42708333333333298</v>
      </c>
      <c r="B617" s="2">
        <v>6.16</v>
      </c>
      <c r="C617" s="2">
        <v>3.71</v>
      </c>
      <c r="D617" s="2">
        <v>4.99</v>
      </c>
      <c r="E617" s="2">
        <v>5.23</v>
      </c>
      <c r="F617" s="2">
        <v>3.23</v>
      </c>
      <c r="G617" s="6">
        <v>9547</v>
      </c>
      <c r="H617" s="6">
        <v>11567</v>
      </c>
      <c r="I617" s="6">
        <v>8524</v>
      </c>
      <c r="J617" s="6">
        <v>9545</v>
      </c>
      <c r="K617" s="6">
        <v>10809</v>
      </c>
    </row>
    <row r="618" spans="1:11" x14ac:dyDescent="0.2">
      <c r="A618" s="1">
        <v>0.42777777777777798</v>
      </c>
      <c r="B618" s="2">
        <v>6.24</v>
      </c>
      <c r="C618" s="2">
        <v>3.7699999999999996</v>
      </c>
      <c r="D618" s="2">
        <v>4.9000000000000004</v>
      </c>
      <c r="E618" s="2">
        <v>5.3800000000000008</v>
      </c>
      <c r="F618" s="2">
        <v>3.2800000000000002</v>
      </c>
      <c r="G618" s="6">
        <v>13548</v>
      </c>
      <c r="H618" s="6">
        <v>10515</v>
      </c>
      <c r="I618" s="6">
        <v>6489</v>
      </c>
      <c r="J618" s="6">
        <v>7548</v>
      </c>
      <c r="K618" s="6">
        <v>8942</v>
      </c>
    </row>
    <row r="619" spans="1:11" x14ac:dyDescent="0.2">
      <c r="A619" s="1">
        <v>0.42847222222222198</v>
      </c>
      <c r="B619" s="2">
        <v>6.2700000000000005</v>
      </c>
      <c r="C619" s="2">
        <v>3.67</v>
      </c>
      <c r="D619" s="2">
        <v>5.03</v>
      </c>
      <c r="E619" s="2">
        <v>5.12</v>
      </c>
      <c r="F619" s="2">
        <v>3.18</v>
      </c>
      <c r="G619" s="6">
        <v>8512</v>
      </c>
      <c r="H619" s="6">
        <v>9324</v>
      </c>
      <c r="I619" s="6">
        <v>7541</v>
      </c>
      <c r="J619" s="6">
        <v>8547</v>
      </c>
      <c r="K619" s="6">
        <v>9475</v>
      </c>
    </row>
    <row r="620" spans="1:11" x14ac:dyDescent="0.2">
      <c r="A620" s="1">
        <v>0.42916666666666697</v>
      </c>
      <c r="B620" s="2">
        <v>6.16</v>
      </c>
      <c r="C620" s="2">
        <v>3.5999999999999996</v>
      </c>
      <c r="D620" s="2">
        <v>5.2600000000000007</v>
      </c>
      <c r="E620" s="2">
        <v>5.07</v>
      </c>
      <c r="F620" s="2">
        <v>2.87</v>
      </c>
      <c r="G620" s="6">
        <v>7534</v>
      </c>
      <c r="H620" s="6">
        <v>9959</v>
      </c>
      <c r="I620" s="6">
        <v>8547</v>
      </c>
      <c r="J620" s="6">
        <v>9548</v>
      </c>
      <c r="K620" s="6">
        <v>9578</v>
      </c>
    </row>
    <row r="621" spans="1:11" x14ac:dyDescent="0.2">
      <c r="A621" s="1">
        <v>0.42986111111111103</v>
      </c>
      <c r="B621" s="2">
        <v>6.32</v>
      </c>
      <c r="C621" s="2">
        <v>3.7699999999999996</v>
      </c>
      <c r="D621" s="2">
        <v>5</v>
      </c>
      <c r="E621" s="2">
        <v>5.48</v>
      </c>
      <c r="F621" s="2">
        <v>3.22</v>
      </c>
      <c r="G621" s="6">
        <v>11065</v>
      </c>
      <c r="H621" s="6">
        <v>14180</v>
      </c>
      <c r="I621" s="6">
        <v>9547</v>
      </c>
      <c r="J621" s="6">
        <v>9541</v>
      </c>
      <c r="K621" s="6">
        <v>9991</v>
      </c>
    </row>
    <row r="622" spans="1:11" x14ac:dyDescent="0.2">
      <c r="A622" s="1">
        <v>0.43055555555555602</v>
      </c>
      <c r="B622" s="2">
        <v>6.23</v>
      </c>
      <c r="C622" s="2">
        <v>3.73</v>
      </c>
      <c r="D622" s="2">
        <v>4.92</v>
      </c>
      <c r="E622" s="2">
        <v>5.07</v>
      </c>
      <c r="F622" s="2">
        <v>3.23</v>
      </c>
      <c r="G622" s="6">
        <v>8846</v>
      </c>
      <c r="H622" s="6">
        <v>9664</v>
      </c>
      <c r="I622" s="6">
        <v>7854</v>
      </c>
      <c r="J622" s="6">
        <v>9542</v>
      </c>
      <c r="K622" s="6">
        <v>9472</v>
      </c>
    </row>
    <row r="623" spans="1:11" x14ac:dyDescent="0.2">
      <c r="A623" s="1">
        <v>0.43125000000000002</v>
      </c>
      <c r="B623" s="2">
        <v>6.07</v>
      </c>
      <c r="C623" s="2">
        <v>3.75</v>
      </c>
      <c r="D623" s="2">
        <v>4.9800000000000004</v>
      </c>
      <c r="E623" s="2">
        <v>4.9000000000000004</v>
      </c>
      <c r="F623" s="2">
        <v>3.17</v>
      </c>
      <c r="G623" s="6">
        <v>6549</v>
      </c>
      <c r="H623" s="6">
        <v>8063</v>
      </c>
      <c r="I623" s="6">
        <v>7524</v>
      </c>
      <c r="J623" s="6">
        <v>7855</v>
      </c>
      <c r="K623" s="6">
        <v>8424</v>
      </c>
    </row>
    <row r="624" spans="1:11" x14ac:dyDescent="0.2">
      <c r="A624" s="1">
        <v>0.43194444444444402</v>
      </c>
      <c r="B624" s="2">
        <v>6.19</v>
      </c>
      <c r="C624" s="2">
        <v>3.6399999999999997</v>
      </c>
      <c r="D624" s="2">
        <v>5.1000000000000005</v>
      </c>
      <c r="E624" s="2">
        <v>5.1100000000000003</v>
      </c>
      <c r="F624" s="2">
        <v>3.02</v>
      </c>
      <c r="G624" s="6">
        <v>5462</v>
      </c>
      <c r="H624" s="6">
        <v>6578</v>
      </c>
      <c r="I624" s="6">
        <v>5345</v>
      </c>
      <c r="J624" s="6">
        <v>6548</v>
      </c>
      <c r="K624" s="6">
        <v>7542</v>
      </c>
    </row>
    <row r="625" spans="1:11" x14ac:dyDescent="0.2">
      <c r="A625" s="1">
        <v>0.43263888888888902</v>
      </c>
      <c r="B625" s="2">
        <v>6.15</v>
      </c>
      <c r="C625" s="2">
        <v>3.53</v>
      </c>
      <c r="D625" s="2">
        <v>4.9400000000000004</v>
      </c>
      <c r="E625" s="2">
        <v>5.32</v>
      </c>
      <c r="F625" s="2">
        <v>3.12</v>
      </c>
      <c r="G625" s="6">
        <v>8838</v>
      </c>
      <c r="H625" s="6">
        <v>9548</v>
      </c>
      <c r="I625" s="6">
        <v>8546</v>
      </c>
      <c r="J625" s="6">
        <v>9542</v>
      </c>
      <c r="K625" s="6">
        <v>11454</v>
      </c>
    </row>
    <row r="626" spans="1:11" x14ac:dyDescent="0.2">
      <c r="A626" s="1">
        <v>0.43333333333333302</v>
      </c>
      <c r="B626" s="2">
        <v>6.21</v>
      </c>
      <c r="C626" s="2">
        <v>3.5199999999999996</v>
      </c>
      <c r="D626" s="2">
        <v>5.21</v>
      </c>
      <c r="E626" s="2">
        <v>5.19</v>
      </c>
      <c r="F626" s="2">
        <v>3.15</v>
      </c>
      <c r="G626" s="6">
        <v>12587</v>
      </c>
      <c r="H626" s="6">
        <v>14046</v>
      </c>
      <c r="I626" s="6">
        <v>13645</v>
      </c>
      <c r="J626" s="6">
        <v>11245</v>
      </c>
      <c r="K626" s="6">
        <v>13454</v>
      </c>
    </row>
    <row r="627" spans="1:11" x14ac:dyDescent="0.2">
      <c r="A627" s="1">
        <v>0.43402777777777801</v>
      </c>
      <c r="B627" s="2">
        <v>6.15</v>
      </c>
      <c r="C627" s="2">
        <v>3.55</v>
      </c>
      <c r="D627" s="2">
        <v>5.1100000000000003</v>
      </c>
      <c r="E627" s="2">
        <v>5.09</v>
      </c>
      <c r="F627" s="2">
        <v>3.0300000000000002</v>
      </c>
      <c r="G627" s="6">
        <v>15587</v>
      </c>
      <c r="H627" s="6">
        <v>11000</v>
      </c>
      <c r="I627" s="6">
        <v>8244</v>
      </c>
      <c r="J627" s="6">
        <v>9512</v>
      </c>
      <c r="K627" s="6">
        <v>12452</v>
      </c>
    </row>
    <row r="628" spans="1:11" x14ac:dyDescent="0.2">
      <c r="A628" s="1">
        <v>0.43472222222222201</v>
      </c>
      <c r="B628" s="2">
        <v>6.19</v>
      </c>
      <c r="C628" s="2">
        <v>3.6799999999999997</v>
      </c>
      <c r="D628" s="2">
        <v>5.07</v>
      </c>
      <c r="E628" s="2">
        <v>5.16</v>
      </c>
      <c r="F628" s="2">
        <v>3.06</v>
      </c>
      <c r="G628" s="6">
        <v>12468</v>
      </c>
      <c r="H628" s="6">
        <v>9548</v>
      </c>
      <c r="I628" s="6">
        <v>6542</v>
      </c>
      <c r="J628" s="6">
        <v>8245</v>
      </c>
      <c r="K628" s="6">
        <v>8988</v>
      </c>
    </row>
    <row r="629" spans="1:11" x14ac:dyDescent="0.2">
      <c r="A629" s="1">
        <v>0.43541666666666701</v>
      </c>
      <c r="B629" s="2">
        <v>6.24</v>
      </c>
      <c r="C629" s="2">
        <v>3.6999999999999997</v>
      </c>
      <c r="D629" s="2">
        <v>5.2200000000000006</v>
      </c>
      <c r="E629" s="2">
        <v>4.87</v>
      </c>
      <c r="F629" s="2">
        <v>3.17</v>
      </c>
      <c r="G629" s="6">
        <v>10364</v>
      </c>
      <c r="H629" s="6">
        <v>12648</v>
      </c>
      <c r="I629" s="6">
        <v>4524</v>
      </c>
      <c r="J629" s="6">
        <v>4568</v>
      </c>
      <c r="K629" s="6">
        <v>5942</v>
      </c>
    </row>
    <row r="630" spans="1:11" x14ac:dyDescent="0.2">
      <c r="A630" s="1">
        <v>0.43611111111111101</v>
      </c>
      <c r="B630" s="2">
        <v>6.2600000000000007</v>
      </c>
      <c r="C630" s="2">
        <v>3.57</v>
      </c>
      <c r="D630" s="2">
        <v>5.1000000000000005</v>
      </c>
      <c r="E630" s="2">
        <v>5.4</v>
      </c>
      <c r="F630" s="2">
        <v>3.2</v>
      </c>
      <c r="G630" s="6">
        <v>9975</v>
      </c>
      <c r="H630" s="6">
        <v>8548</v>
      </c>
      <c r="I630" s="6">
        <v>5245</v>
      </c>
      <c r="J630" s="6">
        <v>6542</v>
      </c>
      <c r="K630" s="6">
        <v>7821</v>
      </c>
    </row>
    <row r="631" spans="1:11" x14ac:dyDescent="0.2">
      <c r="A631" s="1">
        <v>0.436805555555556</v>
      </c>
      <c r="B631" s="2">
        <v>6.16</v>
      </c>
      <c r="C631" s="2">
        <v>3.7199999999999998</v>
      </c>
      <c r="D631" s="2">
        <v>4.99</v>
      </c>
      <c r="E631" s="2">
        <v>5.21</v>
      </c>
      <c r="F631" s="2">
        <v>3.04</v>
      </c>
      <c r="G631" s="6">
        <v>7553</v>
      </c>
      <c r="H631" s="6">
        <v>8814</v>
      </c>
      <c r="I631" s="6">
        <v>3697</v>
      </c>
      <c r="J631" s="6">
        <v>5458</v>
      </c>
      <c r="K631" s="6">
        <v>6447</v>
      </c>
    </row>
    <row r="632" spans="1:11" x14ac:dyDescent="0.2">
      <c r="A632" s="1">
        <v>0.4375</v>
      </c>
      <c r="B632" s="2">
        <v>6.28</v>
      </c>
      <c r="C632" s="2">
        <v>3.6799999999999997</v>
      </c>
      <c r="D632" s="2">
        <v>5.23</v>
      </c>
      <c r="E632" s="2">
        <v>4.9700000000000006</v>
      </c>
      <c r="F632" s="2">
        <v>3.3000000000000003</v>
      </c>
      <c r="G632" s="6">
        <v>8619</v>
      </c>
      <c r="H632" s="6">
        <v>7854</v>
      </c>
      <c r="I632" s="6">
        <v>5245</v>
      </c>
      <c r="J632" s="6">
        <v>5942</v>
      </c>
      <c r="K632" s="6">
        <v>7206</v>
      </c>
    </row>
    <row r="633" spans="1:11" x14ac:dyDescent="0.2">
      <c r="A633" s="1">
        <v>0.438194444444444</v>
      </c>
      <c r="B633" s="2">
        <v>6.2600000000000007</v>
      </c>
      <c r="C633" s="2">
        <v>3.6799999999999997</v>
      </c>
      <c r="D633" s="2">
        <v>5.1000000000000005</v>
      </c>
      <c r="E633" s="2">
        <v>5.17</v>
      </c>
      <c r="F633" s="2">
        <v>2.83</v>
      </c>
      <c r="G633" s="6">
        <v>12634</v>
      </c>
      <c r="H633" s="6">
        <v>11648</v>
      </c>
      <c r="I633" s="6">
        <v>8247</v>
      </c>
      <c r="J633" s="6">
        <v>8452</v>
      </c>
      <c r="K633" s="6">
        <v>8955</v>
      </c>
    </row>
    <row r="634" spans="1:11" x14ac:dyDescent="0.2">
      <c r="A634" s="1">
        <v>0.43888888888888899</v>
      </c>
      <c r="B634" s="2">
        <v>6.2600000000000007</v>
      </c>
      <c r="C634" s="2">
        <v>3.7399999999999998</v>
      </c>
      <c r="D634" s="2">
        <v>4.88</v>
      </c>
      <c r="E634" s="2">
        <v>5.49</v>
      </c>
      <c r="F634" s="2">
        <v>3.1</v>
      </c>
      <c r="G634" s="6">
        <v>15794</v>
      </c>
      <c r="H634" s="6">
        <v>11858</v>
      </c>
      <c r="I634" s="6">
        <v>11024</v>
      </c>
      <c r="J634" s="6">
        <v>10278</v>
      </c>
      <c r="K634" s="6">
        <v>11542</v>
      </c>
    </row>
    <row r="635" spans="1:11" x14ac:dyDescent="0.2">
      <c r="A635" s="1">
        <v>0.43958333333333299</v>
      </c>
      <c r="B635" s="2">
        <v>6.08</v>
      </c>
      <c r="C635" s="2">
        <v>3.51</v>
      </c>
      <c r="D635" s="2">
        <v>5.04</v>
      </c>
      <c r="E635" s="2">
        <v>4.96</v>
      </c>
      <c r="F635" s="2">
        <v>3.08</v>
      </c>
      <c r="G635" s="6">
        <v>16459</v>
      </c>
      <c r="H635" s="6">
        <v>12670</v>
      </c>
      <c r="I635" s="6">
        <v>10325</v>
      </c>
      <c r="J635" s="6">
        <v>8642</v>
      </c>
      <c r="K635" s="6">
        <v>9906</v>
      </c>
    </row>
    <row r="636" spans="1:11" x14ac:dyDescent="0.2">
      <c r="A636" s="1">
        <v>0.44027777777777799</v>
      </c>
      <c r="B636" s="2">
        <v>6.28</v>
      </c>
      <c r="C636" s="2">
        <v>3.76</v>
      </c>
      <c r="D636" s="2">
        <v>4.99</v>
      </c>
      <c r="E636" s="2">
        <v>5.0600000000000005</v>
      </c>
      <c r="F636" s="2">
        <v>3.0500000000000003</v>
      </c>
      <c r="G636" s="6">
        <v>8539</v>
      </c>
      <c r="H636" s="6">
        <v>6495</v>
      </c>
      <c r="I636" s="6">
        <v>7556</v>
      </c>
      <c r="J636" s="6">
        <v>8214</v>
      </c>
      <c r="K636" s="6">
        <v>9452</v>
      </c>
    </row>
    <row r="637" spans="1:11" x14ac:dyDescent="0.2">
      <c r="A637" s="1">
        <v>0.44097222222222199</v>
      </c>
      <c r="B637" s="2">
        <v>6.1800000000000006</v>
      </c>
      <c r="C637" s="2">
        <v>3.78</v>
      </c>
      <c r="D637" s="2">
        <v>4.96</v>
      </c>
      <c r="E637" s="2">
        <v>4.8600000000000003</v>
      </c>
      <c r="F637" s="2">
        <v>3.1100000000000003</v>
      </c>
      <c r="G637" s="6">
        <v>5346</v>
      </c>
      <c r="H637" s="6">
        <v>7648</v>
      </c>
      <c r="I637" s="6">
        <v>3546</v>
      </c>
      <c r="J637" s="6">
        <v>4541</v>
      </c>
      <c r="K637" s="6">
        <v>5805</v>
      </c>
    </row>
    <row r="638" spans="1:11" x14ac:dyDescent="0.2">
      <c r="A638" s="1">
        <v>0.44166666666666698</v>
      </c>
      <c r="B638" s="2">
        <v>6.21</v>
      </c>
      <c r="C638" s="2">
        <v>3.6799999999999997</v>
      </c>
      <c r="D638" s="2">
        <v>5.17</v>
      </c>
      <c r="E638" s="2">
        <v>5.33</v>
      </c>
      <c r="F638" s="2">
        <v>3.35</v>
      </c>
      <c r="G638" s="6">
        <v>8761</v>
      </c>
      <c r="H638" s="6">
        <v>10697</v>
      </c>
      <c r="I638" s="6">
        <v>7565</v>
      </c>
      <c r="J638" s="6">
        <v>7842</v>
      </c>
      <c r="K638" s="6">
        <v>9456</v>
      </c>
    </row>
    <row r="639" spans="1:11" x14ac:dyDescent="0.2">
      <c r="A639" s="1">
        <v>0.44236111111111098</v>
      </c>
      <c r="B639" s="2">
        <v>6.07</v>
      </c>
      <c r="C639" s="2">
        <v>3.6399999999999997</v>
      </c>
      <c r="D639" s="2">
        <v>5.0200000000000005</v>
      </c>
      <c r="E639" s="2">
        <v>5.3800000000000008</v>
      </c>
      <c r="F639" s="2">
        <v>2.89</v>
      </c>
      <c r="G639" s="6">
        <v>13347</v>
      </c>
      <c r="H639" s="6">
        <v>14326</v>
      </c>
      <c r="I639" s="6">
        <v>11245</v>
      </c>
      <c r="J639" s="6">
        <v>10542</v>
      </c>
      <c r="K639" s="6">
        <v>10452</v>
      </c>
    </row>
    <row r="640" spans="1:11" x14ac:dyDescent="0.2">
      <c r="A640" s="1">
        <v>0.44305555555555598</v>
      </c>
      <c r="B640" s="2">
        <v>6.12</v>
      </c>
      <c r="C640" s="2">
        <v>3.61</v>
      </c>
      <c r="D640" s="2">
        <v>5.04</v>
      </c>
      <c r="E640" s="2">
        <v>4.9400000000000004</v>
      </c>
      <c r="F640" s="2">
        <v>3.09</v>
      </c>
      <c r="G640" s="6">
        <v>12436</v>
      </c>
      <c r="H640" s="6">
        <v>11062</v>
      </c>
      <c r="I640" s="6">
        <v>8242</v>
      </c>
      <c r="J640" s="6">
        <v>9424</v>
      </c>
      <c r="K640" s="6">
        <v>9452</v>
      </c>
    </row>
    <row r="641" spans="1:11" x14ac:dyDescent="0.2">
      <c r="A641" s="1">
        <v>0.44374999999999998</v>
      </c>
      <c r="B641" s="2">
        <v>6.2700000000000005</v>
      </c>
      <c r="C641" s="2">
        <v>3.57</v>
      </c>
      <c r="D641" s="2">
        <v>4.9300000000000006</v>
      </c>
      <c r="E641" s="2">
        <v>4.91</v>
      </c>
      <c r="F641" s="2">
        <v>3.08</v>
      </c>
      <c r="G641" s="6">
        <v>9954</v>
      </c>
      <c r="H641" s="6">
        <v>7906</v>
      </c>
      <c r="I641" s="6">
        <v>6542</v>
      </c>
      <c r="J641" s="6">
        <v>6547</v>
      </c>
      <c r="K641" s="6">
        <v>7841</v>
      </c>
    </row>
    <row r="642" spans="1:11" x14ac:dyDescent="0.2">
      <c r="A642" s="1">
        <v>0.44444444444444398</v>
      </c>
      <c r="B642" s="2">
        <v>6.1000000000000005</v>
      </c>
      <c r="C642" s="2">
        <v>3.5599999999999996</v>
      </c>
      <c r="D642" s="2">
        <v>4.91</v>
      </c>
      <c r="E642" s="2">
        <v>4.8600000000000003</v>
      </c>
      <c r="F642" s="2">
        <v>3.3200000000000003</v>
      </c>
      <c r="G642" s="6">
        <v>7638</v>
      </c>
      <c r="H642" s="6">
        <v>6972</v>
      </c>
      <c r="I642" s="6">
        <v>5246</v>
      </c>
      <c r="J642" s="6">
        <v>6542</v>
      </c>
      <c r="K642" s="6">
        <v>7806</v>
      </c>
    </row>
    <row r="643" spans="1:11" x14ac:dyDescent="0.2">
      <c r="A643" s="1">
        <v>0.44513888888888897</v>
      </c>
      <c r="B643" s="2">
        <v>6.2600000000000007</v>
      </c>
      <c r="C643" s="2">
        <v>3.5399999999999996</v>
      </c>
      <c r="D643" s="2">
        <v>4.8900000000000006</v>
      </c>
      <c r="E643" s="2">
        <v>5.0100000000000007</v>
      </c>
      <c r="F643" s="2">
        <v>2.94</v>
      </c>
      <c r="G643" s="6">
        <v>5591</v>
      </c>
      <c r="H643" s="6">
        <v>7564</v>
      </c>
      <c r="I643" s="6">
        <v>3654</v>
      </c>
      <c r="J643" s="6">
        <v>4568</v>
      </c>
      <c r="K643" s="6">
        <v>5942</v>
      </c>
    </row>
    <row r="644" spans="1:11" x14ac:dyDescent="0.2">
      <c r="A644" s="1">
        <v>0.44583333333333303</v>
      </c>
      <c r="B644" s="2">
        <v>6.2600000000000007</v>
      </c>
      <c r="C644" s="2">
        <v>3.71</v>
      </c>
      <c r="D644" s="2">
        <v>4.99</v>
      </c>
      <c r="E644" s="2">
        <v>5.03</v>
      </c>
      <c r="F644" s="2">
        <v>3.15</v>
      </c>
      <c r="G644" s="6">
        <v>6537</v>
      </c>
      <c r="H644" s="6">
        <v>8531</v>
      </c>
      <c r="I644" s="6">
        <v>5634</v>
      </c>
      <c r="J644" s="6">
        <v>6542</v>
      </c>
      <c r="K644" s="6">
        <v>7806</v>
      </c>
    </row>
    <row r="645" spans="1:11" x14ac:dyDescent="0.2">
      <c r="A645" s="1">
        <v>0.44652777777777802</v>
      </c>
      <c r="B645" s="2">
        <v>6.25</v>
      </c>
      <c r="C645" s="2">
        <v>3.6799999999999997</v>
      </c>
      <c r="D645" s="2">
        <v>4.88</v>
      </c>
      <c r="E645" s="2">
        <v>5</v>
      </c>
      <c r="F645" s="2">
        <v>2.94</v>
      </c>
      <c r="G645" s="6">
        <v>8946</v>
      </c>
      <c r="H645" s="6">
        <v>9664</v>
      </c>
      <c r="I645" s="6">
        <v>8545</v>
      </c>
      <c r="J645" s="6">
        <v>9542</v>
      </c>
      <c r="K645" s="6">
        <v>11245</v>
      </c>
    </row>
    <row r="646" spans="1:11" x14ac:dyDescent="0.2">
      <c r="A646" s="1">
        <v>0.44722222222222202</v>
      </c>
      <c r="B646" s="2">
        <v>6.15</v>
      </c>
      <c r="C646" s="2">
        <v>3.7399999999999998</v>
      </c>
      <c r="D646" s="2">
        <v>5.04</v>
      </c>
      <c r="E646" s="2">
        <v>5.12</v>
      </c>
      <c r="F646" s="2">
        <v>3.24</v>
      </c>
      <c r="G646" s="6">
        <v>9761</v>
      </c>
      <c r="H646" s="6">
        <v>12552</v>
      </c>
      <c r="I646" s="6">
        <v>10258</v>
      </c>
      <c r="J646" s="6">
        <v>11255</v>
      </c>
      <c r="K646" s="6">
        <v>13452</v>
      </c>
    </row>
    <row r="647" spans="1:11" x14ac:dyDescent="0.2">
      <c r="A647" s="1">
        <v>0.44791666666666702</v>
      </c>
      <c r="B647" s="2">
        <v>6.1800000000000006</v>
      </c>
      <c r="C647" s="2">
        <v>3.73</v>
      </c>
      <c r="D647" s="2">
        <v>5.12</v>
      </c>
      <c r="E647" s="2">
        <v>4.99</v>
      </c>
      <c r="F647" s="2">
        <v>3.2800000000000002</v>
      </c>
      <c r="G647" s="6">
        <v>12237</v>
      </c>
      <c r="H647" s="6">
        <v>10279</v>
      </c>
      <c r="I647" s="6">
        <v>8545</v>
      </c>
      <c r="J647" s="6">
        <v>9542</v>
      </c>
      <c r="K647" s="6">
        <v>10806</v>
      </c>
    </row>
    <row r="648" spans="1:11" x14ac:dyDescent="0.2">
      <c r="A648" s="1">
        <v>0.44861111111111102</v>
      </c>
      <c r="B648" s="2">
        <v>6.29</v>
      </c>
      <c r="C648" s="2">
        <v>3.7399999999999998</v>
      </c>
      <c r="D648" s="2">
        <v>5</v>
      </c>
      <c r="E648" s="2">
        <v>5.2</v>
      </c>
      <c r="F648" s="2">
        <v>3.1</v>
      </c>
      <c r="G648" s="6">
        <v>9764</v>
      </c>
      <c r="H648" s="6">
        <v>10325</v>
      </c>
      <c r="I648" s="6">
        <v>8246</v>
      </c>
      <c r="J648" s="6">
        <v>8542</v>
      </c>
      <c r="K648" s="6">
        <v>10242</v>
      </c>
    </row>
    <row r="649" spans="1:11" x14ac:dyDescent="0.2">
      <c r="A649" s="1">
        <v>0.44930555555555601</v>
      </c>
      <c r="B649" s="2">
        <v>6.24</v>
      </c>
      <c r="C649" s="2">
        <v>3.7399999999999998</v>
      </c>
      <c r="D649" s="2">
        <v>4.8900000000000006</v>
      </c>
      <c r="E649" s="2">
        <v>5.04</v>
      </c>
      <c r="F649" s="2">
        <v>2.98</v>
      </c>
      <c r="G649" s="6">
        <v>8647</v>
      </c>
      <c r="H649" s="6">
        <v>8007</v>
      </c>
      <c r="I649" s="6">
        <v>7533</v>
      </c>
      <c r="J649" s="6">
        <v>8164</v>
      </c>
      <c r="K649" s="6">
        <v>9428</v>
      </c>
    </row>
    <row r="650" spans="1:11" x14ac:dyDescent="0.2">
      <c r="A650" s="1">
        <v>0.45</v>
      </c>
      <c r="B650" s="2">
        <v>6.24</v>
      </c>
      <c r="C650" s="2">
        <v>3.69</v>
      </c>
      <c r="D650" s="2">
        <v>5.0100000000000007</v>
      </c>
      <c r="E650" s="2">
        <v>4.9700000000000006</v>
      </c>
      <c r="F650" s="2">
        <v>3.06</v>
      </c>
      <c r="G650" s="6">
        <v>6597</v>
      </c>
      <c r="H650" s="6">
        <v>8183</v>
      </c>
      <c r="I650" s="6">
        <v>5344</v>
      </c>
      <c r="J650" s="6">
        <v>6482</v>
      </c>
      <c r="K650" s="6">
        <v>8824</v>
      </c>
    </row>
    <row r="651" spans="1:11" x14ac:dyDescent="0.2">
      <c r="A651" s="1">
        <v>0.45069444444444401</v>
      </c>
      <c r="B651" s="2">
        <v>6.09</v>
      </c>
      <c r="C651" s="2">
        <v>3.55</v>
      </c>
      <c r="D651" s="2">
        <v>4.9400000000000004</v>
      </c>
      <c r="E651" s="2">
        <v>4.92</v>
      </c>
      <c r="F651" s="2">
        <v>3.1</v>
      </c>
      <c r="G651" s="6">
        <v>9569</v>
      </c>
      <c r="H651" s="6">
        <v>9159</v>
      </c>
      <c r="I651" s="6">
        <v>7662</v>
      </c>
      <c r="J651" s="6">
        <v>8244</v>
      </c>
      <c r="K651" s="6">
        <v>9508</v>
      </c>
    </row>
    <row r="652" spans="1:11" x14ac:dyDescent="0.2">
      <c r="A652" s="1">
        <v>0.45138888888888901</v>
      </c>
      <c r="B652" s="2">
        <v>6.11</v>
      </c>
      <c r="C652" s="2">
        <v>3.65</v>
      </c>
      <c r="D652" s="2">
        <v>5.25</v>
      </c>
      <c r="E652" s="2">
        <v>4.9000000000000004</v>
      </c>
      <c r="F652" s="2">
        <v>3.27</v>
      </c>
      <c r="G652" s="6">
        <v>13348</v>
      </c>
      <c r="H652" s="6">
        <v>14115</v>
      </c>
      <c r="I652" s="6">
        <v>8552</v>
      </c>
      <c r="J652" s="6">
        <v>9542</v>
      </c>
      <c r="K652" s="6">
        <v>11242</v>
      </c>
    </row>
    <row r="653" spans="1:11" x14ac:dyDescent="0.2">
      <c r="A653" s="1">
        <v>0.452083333333333</v>
      </c>
      <c r="B653" s="2">
        <v>6.07</v>
      </c>
      <c r="C653" s="2">
        <v>3.7399999999999998</v>
      </c>
      <c r="D653" s="2">
        <v>5.0500000000000007</v>
      </c>
      <c r="E653" s="2">
        <v>5.45</v>
      </c>
      <c r="F653" s="2">
        <v>3.17</v>
      </c>
      <c r="G653" s="6">
        <v>10452</v>
      </c>
      <c r="H653" s="6">
        <v>11869</v>
      </c>
      <c r="I653" s="6">
        <v>10546</v>
      </c>
      <c r="J653" s="6">
        <v>11254</v>
      </c>
      <c r="K653" s="6">
        <v>12518</v>
      </c>
    </row>
    <row r="654" spans="1:11" x14ac:dyDescent="0.2">
      <c r="A654" s="1">
        <v>0.452777777777778</v>
      </c>
      <c r="B654" s="2">
        <v>6.2600000000000007</v>
      </c>
      <c r="C654" s="2">
        <v>3.7399999999999998</v>
      </c>
      <c r="D654" s="2">
        <v>5.0600000000000005</v>
      </c>
      <c r="E654" s="2">
        <v>5.4</v>
      </c>
      <c r="F654" s="2">
        <v>3.15</v>
      </c>
      <c r="G654" s="6">
        <v>8596</v>
      </c>
      <c r="H654" s="6">
        <v>8517</v>
      </c>
      <c r="I654" s="6">
        <v>8246</v>
      </c>
      <c r="J654" s="6">
        <v>9542</v>
      </c>
      <c r="K654" s="6">
        <v>10546</v>
      </c>
    </row>
    <row r="655" spans="1:11" x14ac:dyDescent="0.2">
      <c r="A655" s="1">
        <v>0.453472222222222</v>
      </c>
      <c r="B655" s="2">
        <v>6.2</v>
      </c>
      <c r="C655" s="2">
        <v>3.6399999999999997</v>
      </c>
      <c r="D655" s="2">
        <v>5.25</v>
      </c>
      <c r="E655" s="2">
        <v>5.3900000000000006</v>
      </c>
      <c r="F655" s="2">
        <v>3.0700000000000003</v>
      </c>
      <c r="G655" s="6">
        <v>6598</v>
      </c>
      <c r="H655" s="6">
        <v>6526</v>
      </c>
      <c r="I655" s="6">
        <v>4000</v>
      </c>
      <c r="J655" s="6">
        <v>6548</v>
      </c>
      <c r="K655" s="6">
        <v>7812</v>
      </c>
    </row>
    <row r="656" spans="1:11" x14ac:dyDescent="0.2">
      <c r="A656" s="1">
        <v>0.454166666666667</v>
      </c>
      <c r="B656" s="2">
        <v>6.23</v>
      </c>
      <c r="C656" s="2">
        <v>3.6199999999999997</v>
      </c>
      <c r="D656" s="2">
        <v>5.03</v>
      </c>
      <c r="E656" s="2">
        <v>4.95</v>
      </c>
      <c r="F656" s="2">
        <v>3.29</v>
      </c>
      <c r="G656" s="6">
        <v>9463</v>
      </c>
      <c r="H656" s="6">
        <v>9372</v>
      </c>
      <c r="I656" s="6">
        <v>5224</v>
      </c>
      <c r="J656" s="6">
        <v>6489</v>
      </c>
      <c r="K656" s="6">
        <v>8425</v>
      </c>
    </row>
    <row r="657" spans="1:11" x14ac:dyDescent="0.2">
      <c r="A657" s="1">
        <v>0.45486111111111099</v>
      </c>
      <c r="B657" s="2">
        <v>6.09</v>
      </c>
      <c r="C657" s="2">
        <v>3.51</v>
      </c>
      <c r="D657" s="2">
        <v>4.95</v>
      </c>
      <c r="E657" s="2">
        <v>5.44</v>
      </c>
      <c r="F657" s="2">
        <v>2.93</v>
      </c>
      <c r="G657" s="6">
        <v>12697</v>
      </c>
      <c r="H657" s="6">
        <v>11055</v>
      </c>
      <c r="I657" s="6">
        <v>6984</v>
      </c>
      <c r="J657" s="6">
        <v>7994</v>
      </c>
      <c r="K657" s="6">
        <v>10424</v>
      </c>
    </row>
    <row r="658" spans="1:11" x14ac:dyDescent="0.2">
      <c r="A658" s="1">
        <v>0.45555555555555599</v>
      </c>
      <c r="B658" s="2">
        <v>6.24</v>
      </c>
      <c r="C658" s="2">
        <v>3.55</v>
      </c>
      <c r="D658" s="2">
        <v>5</v>
      </c>
      <c r="E658" s="2">
        <v>5.15</v>
      </c>
      <c r="F658" s="2">
        <v>2.92</v>
      </c>
      <c r="G658" s="6">
        <v>8647</v>
      </c>
      <c r="H658" s="6">
        <v>9488</v>
      </c>
      <c r="I658" s="6">
        <v>5485</v>
      </c>
      <c r="J658" s="6">
        <v>6492</v>
      </c>
      <c r="K658" s="6">
        <v>8485</v>
      </c>
    </row>
    <row r="659" spans="1:11" x14ac:dyDescent="0.2">
      <c r="A659" s="1">
        <v>0.45624999999999999</v>
      </c>
      <c r="B659" s="2">
        <v>6.2600000000000007</v>
      </c>
      <c r="C659" s="2">
        <v>3.5199999999999996</v>
      </c>
      <c r="D659" s="2">
        <v>5.08</v>
      </c>
      <c r="E659" s="2">
        <v>4.92</v>
      </c>
      <c r="F659" s="2">
        <v>3</v>
      </c>
      <c r="G659" s="6">
        <v>9528</v>
      </c>
      <c r="H659" s="6">
        <v>10354</v>
      </c>
      <c r="I659" s="6">
        <v>7521</v>
      </c>
      <c r="J659" s="6">
        <v>8462</v>
      </c>
      <c r="K659" s="6">
        <v>10245</v>
      </c>
    </row>
    <row r="660" spans="1:11" x14ac:dyDescent="0.2">
      <c r="A660" s="1">
        <v>0.45694444444444399</v>
      </c>
      <c r="B660" s="2">
        <v>6.11</v>
      </c>
      <c r="C660" s="2">
        <v>3.55</v>
      </c>
      <c r="D660" s="2">
        <v>5.1300000000000008</v>
      </c>
      <c r="E660" s="2">
        <v>5.1400000000000006</v>
      </c>
      <c r="F660" s="2">
        <v>3.2</v>
      </c>
      <c r="G660" s="6">
        <v>11362</v>
      </c>
      <c r="H660" s="6">
        <v>11917</v>
      </c>
      <c r="I660" s="6">
        <v>8245</v>
      </c>
      <c r="J660" s="6">
        <v>9478</v>
      </c>
      <c r="K660" s="6">
        <v>10742</v>
      </c>
    </row>
    <row r="661" spans="1:11" x14ac:dyDescent="0.2">
      <c r="A661" s="1">
        <v>0.45763888888888898</v>
      </c>
      <c r="B661" s="2">
        <v>6.3100000000000005</v>
      </c>
      <c r="C661" s="2">
        <v>3.6799999999999997</v>
      </c>
      <c r="D661" s="2">
        <v>5.2200000000000006</v>
      </c>
      <c r="E661" s="2">
        <v>5.15</v>
      </c>
      <c r="F661" s="2">
        <v>3.1</v>
      </c>
      <c r="G661" s="6">
        <v>12873</v>
      </c>
      <c r="H661" s="6">
        <v>11823</v>
      </c>
      <c r="I661" s="6">
        <v>7542</v>
      </c>
      <c r="J661" s="6">
        <v>8466</v>
      </c>
      <c r="K661" s="6">
        <v>9485</v>
      </c>
    </row>
    <row r="662" spans="1:11" x14ac:dyDescent="0.2">
      <c r="A662" s="3">
        <v>0.45833333333333298</v>
      </c>
      <c r="B662" s="4">
        <v>6.19</v>
      </c>
      <c r="C662" s="4">
        <v>3.66</v>
      </c>
      <c r="D662" s="4">
        <v>5.09</v>
      </c>
      <c r="E662" s="4">
        <v>5.26</v>
      </c>
      <c r="F662" s="4">
        <v>3.08</v>
      </c>
      <c r="G662" s="7">
        <v>14710</v>
      </c>
      <c r="H662" s="7">
        <v>12820</v>
      </c>
      <c r="I662" s="7">
        <v>6962</v>
      </c>
      <c r="J662" s="7">
        <v>8713</v>
      </c>
      <c r="K662" s="7">
        <v>10280</v>
      </c>
    </row>
    <row r="663" spans="1:11" x14ac:dyDescent="0.2">
      <c r="A663" s="1">
        <v>0.45902777777777798</v>
      </c>
      <c r="B663" s="2">
        <v>6.1800000000000006</v>
      </c>
      <c r="C663" s="2">
        <v>3.6199999999999997</v>
      </c>
      <c r="D663" s="2">
        <v>5.0600000000000005</v>
      </c>
      <c r="E663" s="2">
        <v>5.3000000000000007</v>
      </c>
      <c r="F663" s="2">
        <v>3.19</v>
      </c>
      <c r="G663" s="6">
        <v>13452</v>
      </c>
      <c r="H663" s="6">
        <v>11228</v>
      </c>
      <c r="I663" s="6">
        <v>8674</v>
      </c>
      <c r="J663" s="6">
        <v>10245</v>
      </c>
      <c r="K663" s="8">
        <f t="shared" ref="K663" si="17">I663+1264</f>
        <v>9938</v>
      </c>
    </row>
    <row r="664" spans="1:11" x14ac:dyDescent="0.2">
      <c r="A664" s="1">
        <v>0.45972222222222198</v>
      </c>
      <c r="B664" s="2">
        <v>6.1800000000000006</v>
      </c>
      <c r="C664" s="2">
        <v>3.78</v>
      </c>
      <c r="D664" s="2">
        <v>4.87</v>
      </c>
      <c r="E664" s="2">
        <v>5.23</v>
      </c>
      <c r="F664" s="2">
        <v>3.1</v>
      </c>
      <c r="G664" s="6">
        <v>13548</v>
      </c>
      <c r="H664" s="6">
        <v>11229</v>
      </c>
      <c r="I664" s="6">
        <v>13896</v>
      </c>
      <c r="J664" s="6">
        <v>13454</v>
      </c>
      <c r="K664" s="8">
        <v>15421</v>
      </c>
    </row>
    <row r="665" spans="1:11" x14ac:dyDescent="0.2">
      <c r="A665" s="1">
        <v>0.46041666666666697</v>
      </c>
      <c r="B665" s="2">
        <v>6.12</v>
      </c>
      <c r="C665" s="2">
        <v>3.73</v>
      </c>
      <c r="D665" s="2">
        <v>5.19</v>
      </c>
      <c r="E665" s="2">
        <v>5</v>
      </c>
      <c r="F665" s="2">
        <v>2.99</v>
      </c>
      <c r="G665" s="6">
        <v>9564</v>
      </c>
      <c r="H665" s="6">
        <v>9370</v>
      </c>
      <c r="I665" s="6">
        <v>8421</v>
      </c>
      <c r="J665" s="6">
        <v>11252</v>
      </c>
      <c r="K665" s="8">
        <v>9464</v>
      </c>
    </row>
    <row r="666" spans="1:11" x14ac:dyDescent="0.2">
      <c r="A666" s="1">
        <v>0.46111111111111103</v>
      </c>
      <c r="B666" s="2">
        <v>6.15</v>
      </c>
      <c r="C666" s="2">
        <v>3.6599999999999997</v>
      </c>
      <c r="D666" s="2">
        <v>5.0200000000000005</v>
      </c>
      <c r="E666" s="2">
        <v>5.5</v>
      </c>
      <c r="F666" s="2">
        <v>3.0500000000000003</v>
      </c>
      <c r="G666" s="6">
        <v>10350</v>
      </c>
      <c r="H666" s="6">
        <v>8362</v>
      </c>
      <c r="I666" s="6">
        <v>8524</v>
      </c>
      <c r="J666" s="6">
        <v>12042</v>
      </c>
      <c r="K666" s="8">
        <v>9488</v>
      </c>
    </row>
    <row r="667" spans="1:11" x14ac:dyDescent="0.2">
      <c r="A667" s="1">
        <v>0.46180555555555602</v>
      </c>
      <c r="B667" s="2">
        <v>6.24</v>
      </c>
      <c r="C667" s="2">
        <v>3.75</v>
      </c>
      <c r="D667" s="2">
        <v>4.9300000000000006</v>
      </c>
      <c r="E667" s="2">
        <v>5.42</v>
      </c>
      <c r="F667" s="2">
        <v>2.99</v>
      </c>
      <c r="G667" s="6">
        <v>15589</v>
      </c>
      <c r="H667" s="6">
        <v>10536</v>
      </c>
      <c r="I667" s="6">
        <v>12225</v>
      </c>
      <c r="J667" s="6">
        <v>13452</v>
      </c>
      <c r="K667" s="8">
        <v>12454</v>
      </c>
    </row>
    <row r="668" spans="1:11" x14ac:dyDescent="0.2">
      <c r="A668" s="1">
        <v>0.46250000000000002</v>
      </c>
      <c r="B668" s="2">
        <v>6.24</v>
      </c>
      <c r="C668" s="2">
        <v>3.69</v>
      </c>
      <c r="D668" s="2">
        <v>5.23</v>
      </c>
      <c r="E668" s="2">
        <v>5.2700000000000005</v>
      </c>
      <c r="F668" s="2">
        <v>3.33</v>
      </c>
      <c r="G668" s="6">
        <v>12345</v>
      </c>
      <c r="H668" s="6">
        <v>9548</v>
      </c>
      <c r="I668" s="6">
        <v>10254</v>
      </c>
      <c r="J668" s="6">
        <v>12462</v>
      </c>
      <c r="K668" s="8">
        <v>13454</v>
      </c>
    </row>
    <row r="669" spans="1:11" x14ac:dyDescent="0.2">
      <c r="A669" s="1">
        <v>0.46319444444444402</v>
      </c>
      <c r="B669" s="2">
        <v>6.3000000000000007</v>
      </c>
      <c r="C669" s="2">
        <v>3.71</v>
      </c>
      <c r="D669" s="2">
        <v>5.0500000000000007</v>
      </c>
      <c r="E669" s="2">
        <v>5.25</v>
      </c>
      <c r="F669" s="2">
        <v>3.06</v>
      </c>
      <c r="G669" s="6">
        <v>9356</v>
      </c>
      <c r="H669" s="6">
        <v>10364</v>
      </c>
      <c r="I669" s="6">
        <v>8645</v>
      </c>
      <c r="J669" s="6">
        <v>10546</v>
      </c>
      <c r="K669" s="8">
        <f t="shared" ref="K669:K712" si="18">I669+1264</f>
        <v>9909</v>
      </c>
    </row>
    <row r="670" spans="1:11" x14ac:dyDescent="0.2">
      <c r="A670" s="1">
        <v>0.46388888888888902</v>
      </c>
      <c r="B670" s="2">
        <v>6.17</v>
      </c>
      <c r="C670" s="2">
        <v>3.55</v>
      </c>
      <c r="D670" s="2">
        <v>5.16</v>
      </c>
      <c r="E670" s="2">
        <v>5.2600000000000007</v>
      </c>
      <c r="F670" s="2">
        <v>2.9</v>
      </c>
      <c r="G670" s="6">
        <v>13645</v>
      </c>
      <c r="H670" s="6">
        <v>10354</v>
      </c>
      <c r="I670" s="6">
        <v>12458</v>
      </c>
      <c r="J670" s="6">
        <v>13088</v>
      </c>
      <c r="K670" s="8">
        <v>12452</v>
      </c>
    </row>
    <row r="671" spans="1:11" x14ac:dyDescent="0.2">
      <c r="A671" s="1">
        <v>0.46458333333333302</v>
      </c>
      <c r="B671" s="2">
        <v>6.17</v>
      </c>
      <c r="C671" s="2">
        <v>3.51</v>
      </c>
      <c r="D671" s="2">
        <v>5.08</v>
      </c>
      <c r="E671" s="2">
        <v>5.5100000000000007</v>
      </c>
      <c r="F671" s="2">
        <v>2.91</v>
      </c>
      <c r="G671" s="6">
        <v>9564</v>
      </c>
      <c r="H671" s="6">
        <v>10354</v>
      </c>
      <c r="I671" s="6">
        <v>10354</v>
      </c>
      <c r="J671" s="6">
        <v>12647</v>
      </c>
      <c r="K671" s="8">
        <v>13448</v>
      </c>
    </row>
    <row r="672" spans="1:11" x14ac:dyDescent="0.2">
      <c r="A672" s="1">
        <v>0.46527777777777801</v>
      </c>
      <c r="B672" s="2">
        <v>6.3100000000000005</v>
      </c>
      <c r="C672" s="2">
        <v>3.6399999999999997</v>
      </c>
      <c r="D672" s="2">
        <v>5.25</v>
      </c>
      <c r="E672" s="2">
        <v>4.96</v>
      </c>
      <c r="F672" s="2">
        <v>3.21</v>
      </c>
      <c r="G672" s="6">
        <v>17357</v>
      </c>
      <c r="H672" s="6">
        <v>15457</v>
      </c>
      <c r="I672" s="6">
        <v>10254</v>
      </c>
      <c r="J672" s="6">
        <v>11648</v>
      </c>
      <c r="K672" s="8">
        <v>14542</v>
      </c>
    </row>
    <row r="673" spans="1:11" x14ac:dyDescent="0.2">
      <c r="A673" s="1">
        <v>0.46597222222222201</v>
      </c>
      <c r="B673" s="2">
        <v>6.1400000000000006</v>
      </c>
      <c r="C673" s="2">
        <v>3.6399999999999997</v>
      </c>
      <c r="D673" s="2">
        <v>4.96</v>
      </c>
      <c r="E673" s="2">
        <v>5.07</v>
      </c>
      <c r="F673" s="2">
        <v>2.96</v>
      </c>
      <c r="G673" s="6">
        <v>9531</v>
      </c>
      <c r="H673" s="6">
        <v>11235</v>
      </c>
      <c r="I673" s="6">
        <v>10548</v>
      </c>
      <c r="J673" s="6">
        <v>11364</v>
      </c>
      <c r="K673" s="8">
        <v>12455</v>
      </c>
    </row>
    <row r="674" spans="1:11" x14ac:dyDescent="0.2">
      <c r="A674" s="1">
        <v>0.46666666666666701</v>
      </c>
      <c r="B674" s="2">
        <v>6.08</v>
      </c>
      <c r="C674" s="2">
        <v>3.61</v>
      </c>
      <c r="D674" s="2">
        <v>4.8600000000000003</v>
      </c>
      <c r="E674" s="2">
        <v>4.9700000000000006</v>
      </c>
      <c r="F674" s="2">
        <v>3.0300000000000002</v>
      </c>
      <c r="G674" s="6">
        <v>7526</v>
      </c>
      <c r="H674" s="6">
        <v>9507</v>
      </c>
      <c r="I674" s="6">
        <v>8541</v>
      </c>
      <c r="J674" s="6">
        <v>8495</v>
      </c>
      <c r="K674" s="8">
        <v>10545</v>
      </c>
    </row>
    <row r="675" spans="1:11" x14ac:dyDescent="0.2">
      <c r="A675" s="1">
        <v>0.46736111111111101</v>
      </c>
      <c r="B675" s="2">
        <v>6.29</v>
      </c>
      <c r="C675" s="2">
        <v>3.59</v>
      </c>
      <c r="D675" s="2">
        <v>4.9400000000000004</v>
      </c>
      <c r="E675" s="2">
        <v>5.4700000000000006</v>
      </c>
      <c r="F675" s="2">
        <v>3.13</v>
      </c>
      <c r="G675" s="6">
        <v>6214</v>
      </c>
      <c r="H675" s="6">
        <v>8647</v>
      </c>
      <c r="I675" s="6">
        <v>8642</v>
      </c>
      <c r="J675" s="6">
        <v>9642</v>
      </c>
      <c r="K675" s="8">
        <f t="shared" si="18"/>
        <v>9906</v>
      </c>
    </row>
    <row r="676" spans="1:11" x14ac:dyDescent="0.2">
      <c r="A676" s="1">
        <v>0.468055555555556</v>
      </c>
      <c r="B676" s="2">
        <v>6.1800000000000006</v>
      </c>
      <c r="C676" s="2">
        <v>3.51</v>
      </c>
      <c r="D676" s="2">
        <v>5.1800000000000006</v>
      </c>
      <c r="E676" s="2">
        <v>5.1400000000000006</v>
      </c>
      <c r="F676" s="2">
        <v>2.95</v>
      </c>
      <c r="G676" s="6">
        <v>8642</v>
      </c>
      <c r="H676" s="6">
        <v>9964</v>
      </c>
      <c r="I676" s="6">
        <v>8985</v>
      </c>
      <c r="J676" s="6">
        <v>8954</v>
      </c>
      <c r="K676" s="8">
        <v>11245</v>
      </c>
    </row>
    <row r="677" spans="1:11" x14ac:dyDescent="0.2">
      <c r="A677" s="1">
        <v>0.46875</v>
      </c>
      <c r="B677" s="2">
        <v>6.15</v>
      </c>
      <c r="C677" s="2">
        <v>3.53</v>
      </c>
      <c r="D677" s="2">
        <v>5.07</v>
      </c>
      <c r="E677" s="2">
        <v>5.25</v>
      </c>
      <c r="F677" s="2">
        <v>3.25</v>
      </c>
      <c r="G677" s="6">
        <v>10356</v>
      </c>
      <c r="H677" s="6">
        <v>15248</v>
      </c>
      <c r="I677" s="6">
        <v>12564</v>
      </c>
      <c r="J677" s="6">
        <v>16485</v>
      </c>
      <c r="K677" s="8">
        <v>14562</v>
      </c>
    </row>
    <row r="678" spans="1:11" x14ac:dyDescent="0.2">
      <c r="A678" s="1">
        <v>0.469444444444444</v>
      </c>
      <c r="B678" s="2">
        <v>6.16</v>
      </c>
      <c r="C678" s="2">
        <v>3.5999999999999996</v>
      </c>
      <c r="D678" s="2">
        <v>4.92</v>
      </c>
      <c r="E678" s="2">
        <v>5.36</v>
      </c>
      <c r="F678" s="2">
        <v>3.29</v>
      </c>
      <c r="G678" s="6">
        <v>13647</v>
      </c>
      <c r="H678" s="6">
        <v>18421</v>
      </c>
      <c r="I678" s="6">
        <v>14528</v>
      </c>
      <c r="J678" s="6">
        <v>18452</v>
      </c>
      <c r="K678" s="8">
        <v>13645</v>
      </c>
    </row>
    <row r="679" spans="1:11" x14ac:dyDescent="0.2">
      <c r="A679" s="1">
        <v>0.47013888888888899</v>
      </c>
      <c r="B679" s="2">
        <v>6.1400000000000006</v>
      </c>
      <c r="C679" s="2">
        <v>3.63</v>
      </c>
      <c r="D679" s="2">
        <v>4.9400000000000004</v>
      </c>
      <c r="E679" s="2">
        <v>5.29</v>
      </c>
      <c r="F679" s="2">
        <v>2.86</v>
      </c>
      <c r="G679" s="6">
        <v>16648</v>
      </c>
      <c r="H679" s="6">
        <v>12344</v>
      </c>
      <c r="I679" s="6">
        <v>16452</v>
      </c>
      <c r="J679" s="6">
        <v>25491</v>
      </c>
      <c r="K679" s="8">
        <v>15462</v>
      </c>
    </row>
    <row r="680" spans="1:11" x14ac:dyDescent="0.2">
      <c r="A680" s="1">
        <v>0.47083333333333299</v>
      </c>
      <c r="B680" s="2">
        <v>6.21</v>
      </c>
      <c r="C680" s="2">
        <v>3.7199999999999998</v>
      </c>
      <c r="D680" s="2">
        <v>5.2200000000000006</v>
      </c>
      <c r="E680" s="2">
        <v>4.99</v>
      </c>
      <c r="F680" s="2">
        <v>2.91</v>
      </c>
      <c r="G680" s="6">
        <v>13465</v>
      </c>
      <c r="H680" s="6">
        <v>11264</v>
      </c>
      <c r="I680" s="6">
        <v>14528</v>
      </c>
      <c r="J680" s="6">
        <v>18634</v>
      </c>
      <c r="K680" s="8">
        <v>16482</v>
      </c>
    </row>
    <row r="681" spans="1:11" x14ac:dyDescent="0.2">
      <c r="A681" s="1">
        <v>0.47152777777777799</v>
      </c>
      <c r="B681" s="2">
        <v>6.32</v>
      </c>
      <c r="C681" s="2">
        <v>3.6199999999999997</v>
      </c>
      <c r="D681" s="2">
        <v>4.92</v>
      </c>
      <c r="E681" s="2">
        <v>5.0200000000000005</v>
      </c>
      <c r="F681" s="2">
        <v>2.84</v>
      </c>
      <c r="G681" s="6">
        <v>7648</v>
      </c>
      <c r="H681" s="6">
        <v>7895</v>
      </c>
      <c r="I681" s="6">
        <v>8542</v>
      </c>
      <c r="J681" s="6">
        <v>10245</v>
      </c>
      <c r="K681" s="8">
        <v>9587</v>
      </c>
    </row>
    <row r="682" spans="1:11" x14ac:dyDescent="0.2">
      <c r="A682" s="1">
        <v>0.47222222222222199</v>
      </c>
      <c r="B682" s="2">
        <v>6.25</v>
      </c>
      <c r="C682" s="2">
        <v>3.69</v>
      </c>
      <c r="D682" s="2">
        <v>5.1000000000000005</v>
      </c>
      <c r="E682" s="2">
        <v>5.34</v>
      </c>
      <c r="F682" s="2">
        <v>3.1100000000000003</v>
      </c>
      <c r="G682" s="6">
        <v>14672</v>
      </c>
      <c r="H682" s="6">
        <v>13545</v>
      </c>
      <c r="I682" s="6">
        <v>15246</v>
      </c>
      <c r="J682" s="6">
        <v>16942</v>
      </c>
      <c r="K682" s="8">
        <v>14565</v>
      </c>
    </row>
    <row r="683" spans="1:11" x14ac:dyDescent="0.2">
      <c r="A683" s="1">
        <v>0.47291666666666698</v>
      </c>
      <c r="B683" s="2">
        <v>6.23</v>
      </c>
      <c r="C683" s="2">
        <v>3.6799999999999997</v>
      </c>
      <c r="D683" s="2">
        <v>5.25</v>
      </c>
      <c r="E683" s="2">
        <v>5.45</v>
      </c>
      <c r="F683" s="2">
        <v>3.02</v>
      </c>
      <c r="G683" s="6">
        <v>13405</v>
      </c>
      <c r="H683" s="6">
        <v>16771</v>
      </c>
      <c r="I683" s="6">
        <v>10867</v>
      </c>
      <c r="J683" s="6">
        <v>8546</v>
      </c>
      <c r="K683" s="8">
        <v>10245</v>
      </c>
    </row>
    <row r="684" spans="1:11" x14ac:dyDescent="0.2">
      <c r="A684" s="1">
        <v>0.47361111111111098</v>
      </c>
      <c r="B684" s="2">
        <v>6.2</v>
      </c>
      <c r="C684" s="2">
        <v>3.55</v>
      </c>
      <c r="D684" s="2">
        <v>5.08</v>
      </c>
      <c r="E684" s="2">
        <v>5.13</v>
      </c>
      <c r="F684" s="2">
        <v>3.19</v>
      </c>
      <c r="G684" s="6">
        <v>9264</v>
      </c>
      <c r="H684" s="6">
        <v>6038</v>
      </c>
      <c r="I684" s="6">
        <v>8546</v>
      </c>
      <c r="J684" s="6">
        <v>10346</v>
      </c>
      <c r="K684" s="8">
        <f t="shared" si="18"/>
        <v>9810</v>
      </c>
    </row>
    <row r="685" spans="1:11" x14ac:dyDescent="0.2">
      <c r="A685" s="1">
        <v>0.47430555555555598</v>
      </c>
      <c r="B685" s="2">
        <v>6.12</v>
      </c>
      <c r="C685" s="2">
        <v>3.7699999999999996</v>
      </c>
      <c r="D685" s="2">
        <v>5.1300000000000008</v>
      </c>
      <c r="E685" s="2">
        <v>5.12</v>
      </c>
      <c r="F685" s="2">
        <v>3.02</v>
      </c>
      <c r="G685" s="6">
        <v>4675</v>
      </c>
      <c r="H685" s="6">
        <v>5826</v>
      </c>
      <c r="I685" s="6">
        <v>5246</v>
      </c>
      <c r="J685" s="6">
        <v>7564</v>
      </c>
      <c r="K685" s="8">
        <v>8745</v>
      </c>
    </row>
    <row r="686" spans="1:11" x14ac:dyDescent="0.2">
      <c r="A686" s="1">
        <v>0.47499999999999998</v>
      </c>
      <c r="B686" s="2">
        <v>6.2600000000000007</v>
      </c>
      <c r="C686" s="2">
        <v>3.6199999999999997</v>
      </c>
      <c r="D686" s="2">
        <v>5.24</v>
      </c>
      <c r="E686" s="2">
        <v>5.13</v>
      </c>
      <c r="F686" s="2">
        <v>3.2800000000000002</v>
      </c>
      <c r="G686" s="6">
        <v>8347</v>
      </c>
      <c r="H686" s="6">
        <v>9946</v>
      </c>
      <c r="I686" s="6">
        <v>10549</v>
      </c>
      <c r="J686" s="6">
        <v>12456</v>
      </c>
      <c r="K686" s="8">
        <f t="shared" si="18"/>
        <v>11813</v>
      </c>
    </row>
    <row r="687" spans="1:11" x14ac:dyDescent="0.2">
      <c r="A687" s="1">
        <v>0.47569444444444398</v>
      </c>
      <c r="B687" s="2">
        <v>6.17</v>
      </c>
      <c r="C687" s="2">
        <v>3.69</v>
      </c>
      <c r="D687" s="2">
        <v>5.1000000000000005</v>
      </c>
      <c r="E687" s="2">
        <v>5.33</v>
      </c>
      <c r="F687" s="2">
        <v>3.1100000000000003</v>
      </c>
      <c r="G687" s="6">
        <v>9834</v>
      </c>
      <c r="H687" s="6">
        <v>14382</v>
      </c>
      <c r="I687" s="6">
        <v>14058</v>
      </c>
      <c r="J687" s="6">
        <v>18452</v>
      </c>
      <c r="K687" s="8">
        <v>16452</v>
      </c>
    </row>
    <row r="688" spans="1:11" x14ac:dyDescent="0.2">
      <c r="A688" s="1">
        <v>0.47638888888888897</v>
      </c>
      <c r="B688" s="2">
        <v>6.32</v>
      </c>
      <c r="C688" s="2">
        <v>3.61</v>
      </c>
      <c r="D688" s="2">
        <v>4.8600000000000003</v>
      </c>
      <c r="E688" s="2">
        <v>5.09</v>
      </c>
      <c r="F688" s="2">
        <v>3.34</v>
      </c>
      <c r="G688" s="6">
        <v>12697</v>
      </c>
      <c r="H688" s="6">
        <v>12540</v>
      </c>
      <c r="I688" s="6">
        <v>12346</v>
      </c>
      <c r="J688" s="6">
        <v>15452</v>
      </c>
      <c r="K688" s="8">
        <v>13458</v>
      </c>
    </row>
    <row r="689" spans="1:11" x14ac:dyDescent="0.2">
      <c r="A689" s="1">
        <v>0.47708333333333303</v>
      </c>
      <c r="B689" s="2">
        <v>6.07</v>
      </c>
      <c r="C689" s="2">
        <v>3.65</v>
      </c>
      <c r="D689" s="2">
        <v>5.0900000000000007</v>
      </c>
      <c r="E689" s="2">
        <v>5.19</v>
      </c>
      <c r="F689" s="2">
        <v>3.13</v>
      </c>
      <c r="G689" s="6">
        <v>16479</v>
      </c>
      <c r="H689" s="6">
        <v>14119</v>
      </c>
      <c r="I689" s="6">
        <v>15462</v>
      </c>
      <c r="J689" s="6">
        <v>17524</v>
      </c>
      <c r="K689" s="8">
        <v>15455</v>
      </c>
    </row>
    <row r="690" spans="1:11" x14ac:dyDescent="0.2">
      <c r="A690" s="1">
        <v>0.47777777777777802</v>
      </c>
      <c r="B690" s="2">
        <v>6.1000000000000005</v>
      </c>
      <c r="C690" s="2">
        <v>3.57</v>
      </c>
      <c r="D690" s="2">
        <v>5.1300000000000008</v>
      </c>
      <c r="E690" s="2">
        <v>5.2700000000000005</v>
      </c>
      <c r="F690" s="2">
        <v>3.06</v>
      </c>
      <c r="G690" s="6">
        <v>13697</v>
      </c>
      <c r="H690" s="6">
        <v>16869</v>
      </c>
      <c r="I690" s="6">
        <v>8545</v>
      </c>
      <c r="J690" s="6">
        <v>10545</v>
      </c>
      <c r="K690" s="8">
        <f t="shared" si="18"/>
        <v>9809</v>
      </c>
    </row>
    <row r="691" spans="1:11" x14ac:dyDescent="0.2">
      <c r="A691" s="1">
        <v>0.47847222222222202</v>
      </c>
      <c r="B691" s="2">
        <v>6.2600000000000007</v>
      </c>
      <c r="C691" s="2">
        <v>3.7199999999999998</v>
      </c>
      <c r="D691" s="2">
        <v>5</v>
      </c>
      <c r="E691" s="2">
        <v>5.46</v>
      </c>
      <c r="F691" s="2">
        <v>3.06</v>
      </c>
      <c r="G691" s="6">
        <v>15924</v>
      </c>
      <c r="H691" s="6">
        <v>17410</v>
      </c>
      <c r="I691" s="6">
        <v>13645</v>
      </c>
      <c r="J691" s="6">
        <v>10246</v>
      </c>
      <c r="K691" s="8">
        <f t="shared" si="18"/>
        <v>14909</v>
      </c>
    </row>
    <row r="692" spans="1:11" x14ac:dyDescent="0.2">
      <c r="A692" s="1">
        <v>0.47916666666666702</v>
      </c>
      <c r="B692" s="2">
        <v>6.17</v>
      </c>
      <c r="C692" s="2">
        <v>3.7199999999999998</v>
      </c>
      <c r="D692" s="2">
        <v>5.2600000000000007</v>
      </c>
      <c r="E692" s="2">
        <v>5.3100000000000005</v>
      </c>
      <c r="F692" s="2">
        <v>3.14</v>
      </c>
      <c r="G692" s="6">
        <v>16702</v>
      </c>
      <c r="H692" s="6">
        <v>14460</v>
      </c>
      <c r="I692" s="6">
        <v>12452</v>
      </c>
      <c r="J692" s="6">
        <v>10275</v>
      </c>
      <c r="K692" s="8">
        <v>12485</v>
      </c>
    </row>
    <row r="693" spans="1:11" x14ac:dyDescent="0.2">
      <c r="A693" s="1">
        <v>0.47986111111111102</v>
      </c>
      <c r="B693" s="2">
        <v>6.2200000000000006</v>
      </c>
      <c r="C693" s="2">
        <v>3.71</v>
      </c>
      <c r="D693" s="2">
        <v>4.87</v>
      </c>
      <c r="E693" s="2">
        <v>5.03</v>
      </c>
      <c r="F693" s="2">
        <v>3.25</v>
      </c>
      <c r="G693" s="6">
        <v>12347</v>
      </c>
      <c r="H693" s="6">
        <v>20943</v>
      </c>
      <c r="I693" s="6">
        <v>16485</v>
      </c>
      <c r="J693" s="6">
        <v>18454</v>
      </c>
      <c r="K693" s="8">
        <v>16458</v>
      </c>
    </row>
    <row r="694" spans="1:11" x14ac:dyDescent="0.2">
      <c r="A694" s="1">
        <v>0.48055555555555601</v>
      </c>
      <c r="B694" s="2">
        <v>6.33</v>
      </c>
      <c r="C694" s="2">
        <v>3.6999999999999997</v>
      </c>
      <c r="D694" s="2">
        <v>5</v>
      </c>
      <c r="E694" s="2">
        <v>5.17</v>
      </c>
      <c r="F694" s="2">
        <v>3.16</v>
      </c>
      <c r="G694" s="6">
        <v>18645</v>
      </c>
      <c r="H694" s="6">
        <v>25245</v>
      </c>
      <c r="I694" s="6">
        <v>17679</v>
      </c>
      <c r="J694" s="6">
        <v>15648</v>
      </c>
      <c r="K694" s="8">
        <v>15482</v>
      </c>
    </row>
    <row r="695" spans="1:11" x14ac:dyDescent="0.2">
      <c r="A695" s="1">
        <v>0.48125000000000001</v>
      </c>
      <c r="B695" s="2">
        <v>6.3000000000000007</v>
      </c>
      <c r="C695" s="2">
        <v>3.55</v>
      </c>
      <c r="D695" s="2">
        <v>5.0600000000000005</v>
      </c>
      <c r="E695" s="2">
        <v>4.87</v>
      </c>
      <c r="F695" s="2">
        <v>3.1</v>
      </c>
      <c r="G695" s="6">
        <v>13457</v>
      </c>
      <c r="H695" s="6">
        <v>8940</v>
      </c>
      <c r="I695" s="6">
        <v>7542</v>
      </c>
      <c r="J695" s="6">
        <v>8014</v>
      </c>
      <c r="K695" s="8">
        <v>9452</v>
      </c>
    </row>
    <row r="696" spans="1:11" x14ac:dyDescent="0.2">
      <c r="A696" s="1">
        <v>0.48194444444444401</v>
      </c>
      <c r="B696" s="2">
        <v>6.11</v>
      </c>
      <c r="C696" s="2">
        <v>3.5799999999999996</v>
      </c>
      <c r="D696" s="2">
        <v>5</v>
      </c>
      <c r="E696" s="2">
        <v>4.99</v>
      </c>
      <c r="F696" s="2">
        <v>3.18</v>
      </c>
      <c r="G696" s="6">
        <v>19546</v>
      </c>
      <c r="H696" s="6">
        <v>11694</v>
      </c>
      <c r="I696" s="6">
        <v>13556</v>
      </c>
      <c r="J696" s="6">
        <v>12456</v>
      </c>
      <c r="K696" s="8">
        <f t="shared" si="18"/>
        <v>14820</v>
      </c>
    </row>
    <row r="697" spans="1:11" x14ac:dyDescent="0.2">
      <c r="A697" s="1">
        <v>0.48263888888888901</v>
      </c>
      <c r="B697" s="2">
        <v>6.29</v>
      </c>
      <c r="C697" s="2">
        <v>3.59</v>
      </c>
      <c r="D697" s="2">
        <v>5.17</v>
      </c>
      <c r="E697" s="2">
        <v>5.2700000000000005</v>
      </c>
      <c r="F697" s="2">
        <v>3.31</v>
      </c>
      <c r="G697" s="6">
        <v>10264</v>
      </c>
      <c r="H697" s="6">
        <v>16559</v>
      </c>
      <c r="I697" s="6">
        <v>14483</v>
      </c>
      <c r="J697" s="6">
        <v>16489</v>
      </c>
      <c r="K697" s="8">
        <v>16452</v>
      </c>
    </row>
    <row r="698" spans="1:11" x14ac:dyDescent="0.2">
      <c r="A698" s="1">
        <v>0.483333333333333</v>
      </c>
      <c r="B698" s="2">
        <v>6.33</v>
      </c>
      <c r="C698" s="2">
        <v>3.51</v>
      </c>
      <c r="D698" s="2">
        <v>5.19</v>
      </c>
      <c r="E698" s="2">
        <v>5.2700000000000005</v>
      </c>
      <c r="F698" s="2">
        <v>3.17</v>
      </c>
      <c r="G698" s="6">
        <v>12695</v>
      </c>
      <c r="H698" s="6">
        <v>25841</v>
      </c>
      <c r="I698" s="6">
        <v>16584</v>
      </c>
      <c r="J698" s="6">
        <v>14568</v>
      </c>
      <c r="K698" s="8">
        <v>15248</v>
      </c>
    </row>
    <row r="699" spans="1:11" x14ac:dyDescent="0.2">
      <c r="A699" s="1">
        <v>0.484027777777778</v>
      </c>
      <c r="B699" s="2">
        <v>6.29</v>
      </c>
      <c r="C699" s="2">
        <v>3.61</v>
      </c>
      <c r="D699" s="2">
        <v>4.95</v>
      </c>
      <c r="E699" s="2">
        <v>5.07</v>
      </c>
      <c r="F699" s="2">
        <v>3.18</v>
      </c>
      <c r="G699" s="6">
        <v>16478</v>
      </c>
      <c r="H699" s="6">
        <v>12620</v>
      </c>
      <c r="I699" s="6">
        <v>15462</v>
      </c>
      <c r="J699" s="6">
        <v>16482</v>
      </c>
      <c r="K699" s="8">
        <f t="shared" si="18"/>
        <v>16726</v>
      </c>
    </row>
    <row r="700" spans="1:11" x14ac:dyDescent="0.2">
      <c r="A700" s="1">
        <v>0.484722222222222</v>
      </c>
      <c r="B700" s="2">
        <v>6.16</v>
      </c>
      <c r="C700" s="2">
        <v>3.57</v>
      </c>
      <c r="D700" s="2">
        <v>4.88</v>
      </c>
      <c r="E700" s="2">
        <v>5.17</v>
      </c>
      <c r="F700" s="2">
        <v>3.25</v>
      </c>
      <c r="G700" s="6">
        <v>12364</v>
      </c>
      <c r="H700" s="6">
        <v>25654</v>
      </c>
      <c r="I700" s="6">
        <v>19136</v>
      </c>
      <c r="J700" s="6">
        <v>17594</v>
      </c>
      <c r="K700" s="8">
        <f t="shared" si="18"/>
        <v>20400</v>
      </c>
    </row>
    <row r="701" spans="1:11" x14ac:dyDescent="0.2">
      <c r="A701" s="1">
        <v>0.485416666666667</v>
      </c>
      <c r="B701" s="2">
        <v>6.11</v>
      </c>
      <c r="C701" s="2">
        <v>3.7199999999999998</v>
      </c>
      <c r="D701" s="2">
        <v>4.95</v>
      </c>
      <c r="E701" s="2">
        <v>5.4</v>
      </c>
      <c r="F701" s="2">
        <v>2.85</v>
      </c>
      <c r="G701" s="6">
        <v>8647</v>
      </c>
      <c r="H701" s="6">
        <v>14683</v>
      </c>
      <c r="I701" s="6">
        <v>12648</v>
      </c>
      <c r="J701" s="6">
        <v>13549</v>
      </c>
      <c r="K701" s="8">
        <f t="shared" si="18"/>
        <v>13912</v>
      </c>
    </row>
    <row r="702" spans="1:11" x14ac:dyDescent="0.2">
      <c r="A702" s="1">
        <v>0.48611111111111099</v>
      </c>
      <c r="B702" s="2">
        <v>6.19</v>
      </c>
      <c r="C702" s="2">
        <v>3.75</v>
      </c>
      <c r="D702" s="2">
        <v>5.21</v>
      </c>
      <c r="E702" s="2">
        <v>5.25</v>
      </c>
      <c r="F702" s="2">
        <v>3.27</v>
      </c>
      <c r="G702" s="6">
        <v>6592</v>
      </c>
      <c r="H702" s="6">
        <v>8057</v>
      </c>
      <c r="I702" s="6">
        <v>9245</v>
      </c>
      <c r="J702" s="6">
        <v>10648</v>
      </c>
      <c r="K702" s="8">
        <f t="shared" si="18"/>
        <v>10509</v>
      </c>
    </row>
    <row r="703" spans="1:11" x14ac:dyDescent="0.2">
      <c r="A703" s="1">
        <v>0.48680555555555599</v>
      </c>
      <c r="B703" s="2">
        <v>6.13</v>
      </c>
      <c r="C703" s="2">
        <v>3.63</v>
      </c>
      <c r="D703" s="2">
        <v>5.25</v>
      </c>
      <c r="E703" s="2">
        <v>4.96</v>
      </c>
      <c r="F703" s="2">
        <v>3.0700000000000003</v>
      </c>
      <c r="G703" s="6">
        <v>4435</v>
      </c>
      <c r="H703" s="6">
        <v>11995</v>
      </c>
      <c r="I703" s="6">
        <v>17524</v>
      </c>
      <c r="J703" s="6">
        <v>16485</v>
      </c>
      <c r="K703" s="8">
        <v>17584</v>
      </c>
    </row>
    <row r="704" spans="1:11" x14ac:dyDescent="0.2">
      <c r="A704" s="1">
        <v>0.48749999999999999</v>
      </c>
      <c r="B704" s="2">
        <v>6.13</v>
      </c>
      <c r="C704" s="2">
        <v>3.61</v>
      </c>
      <c r="D704" s="2">
        <v>5.0200000000000005</v>
      </c>
      <c r="E704" s="2">
        <v>5.48</v>
      </c>
      <c r="F704" s="2">
        <v>3.14</v>
      </c>
      <c r="G704" s="6">
        <v>8365</v>
      </c>
      <c r="H704" s="6">
        <v>10052</v>
      </c>
      <c r="I704" s="6">
        <v>8174</v>
      </c>
      <c r="J704" s="6">
        <v>9456</v>
      </c>
      <c r="K704" s="8">
        <f t="shared" si="18"/>
        <v>9438</v>
      </c>
    </row>
    <row r="705" spans="1:11" x14ac:dyDescent="0.2">
      <c r="A705" s="1">
        <v>0.48819444444444399</v>
      </c>
      <c r="B705" s="2">
        <v>6.23</v>
      </c>
      <c r="C705" s="2">
        <v>3.63</v>
      </c>
      <c r="D705" s="2">
        <v>5.23</v>
      </c>
      <c r="E705" s="2">
        <v>5.46</v>
      </c>
      <c r="F705" s="2">
        <v>3.1</v>
      </c>
      <c r="G705" s="6">
        <v>11264</v>
      </c>
      <c r="H705" s="6">
        <v>8125</v>
      </c>
      <c r="I705" s="6">
        <v>12245</v>
      </c>
      <c r="J705" s="6">
        <v>10245</v>
      </c>
      <c r="K705" s="8">
        <v>12456</v>
      </c>
    </row>
    <row r="706" spans="1:11" x14ac:dyDescent="0.2">
      <c r="A706" s="1">
        <v>0.48888888888888898</v>
      </c>
      <c r="B706" s="2">
        <v>6.33</v>
      </c>
      <c r="C706" s="2">
        <v>3.67</v>
      </c>
      <c r="D706" s="2">
        <v>4.88</v>
      </c>
      <c r="E706" s="2">
        <v>5.17</v>
      </c>
      <c r="F706" s="2">
        <v>2.91</v>
      </c>
      <c r="G706" s="6">
        <v>14530</v>
      </c>
      <c r="H706" s="6">
        <v>8419</v>
      </c>
      <c r="I706" s="6">
        <v>12454</v>
      </c>
      <c r="J706" s="6">
        <v>11245</v>
      </c>
      <c r="K706" s="8">
        <v>13545</v>
      </c>
    </row>
    <row r="707" spans="1:11" x14ac:dyDescent="0.2">
      <c r="A707" s="1">
        <v>0.48958333333333298</v>
      </c>
      <c r="B707" s="2">
        <v>6.16</v>
      </c>
      <c r="C707" s="2">
        <v>3.6399999999999997</v>
      </c>
      <c r="D707" s="2">
        <v>5.2200000000000006</v>
      </c>
      <c r="E707" s="2">
        <v>5.12</v>
      </c>
      <c r="F707" s="2">
        <v>3.13</v>
      </c>
      <c r="G707" s="6">
        <v>16057</v>
      </c>
      <c r="H707" s="6">
        <v>18246</v>
      </c>
      <c r="I707" s="6">
        <v>14782</v>
      </c>
      <c r="J707" s="6">
        <v>12458</v>
      </c>
      <c r="K707" s="8">
        <f t="shared" si="18"/>
        <v>16046</v>
      </c>
    </row>
    <row r="708" spans="1:11" x14ac:dyDescent="0.2">
      <c r="A708" s="1">
        <v>0.49027777777777798</v>
      </c>
      <c r="B708" s="2">
        <v>6.3000000000000007</v>
      </c>
      <c r="C708" s="2">
        <v>3.55</v>
      </c>
      <c r="D708" s="2">
        <v>5</v>
      </c>
      <c r="E708" s="2">
        <v>5.44</v>
      </c>
      <c r="F708" s="2">
        <v>2.95</v>
      </c>
      <c r="G708" s="6">
        <v>10608</v>
      </c>
      <c r="H708" s="6">
        <v>10693</v>
      </c>
      <c r="I708" s="6">
        <v>9542</v>
      </c>
      <c r="J708" s="6">
        <v>10246</v>
      </c>
      <c r="K708" s="8">
        <f t="shared" si="18"/>
        <v>10806</v>
      </c>
    </row>
    <row r="709" spans="1:11" x14ac:dyDescent="0.2">
      <c r="A709" s="1">
        <v>0.49097222222222198</v>
      </c>
      <c r="B709" s="2">
        <v>6.3000000000000007</v>
      </c>
      <c r="C709" s="2">
        <v>3.69</v>
      </c>
      <c r="D709" s="2">
        <v>4.88</v>
      </c>
      <c r="E709" s="2">
        <v>5.16</v>
      </c>
      <c r="F709" s="2">
        <v>3.25</v>
      </c>
      <c r="G709" s="6">
        <v>16385</v>
      </c>
      <c r="H709" s="6">
        <v>26225</v>
      </c>
      <c r="I709" s="6">
        <v>19023</v>
      </c>
      <c r="J709" s="6">
        <v>22015</v>
      </c>
      <c r="K709" s="8">
        <v>22154</v>
      </c>
    </row>
    <row r="710" spans="1:11" x14ac:dyDescent="0.2">
      <c r="A710" s="1">
        <v>0.49166666666666697</v>
      </c>
      <c r="B710" s="2">
        <v>6.3000000000000007</v>
      </c>
      <c r="C710" s="2">
        <v>3.63</v>
      </c>
      <c r="D710" s="2">
        <v>5.17</v>
      </c>
      <c r="E710" s="2">
        <v>5.3800000000000008</v>
      </c>
      <c r="F710" s="2">
        <v>3.33</v>
      </c>
      <c r="G710" s="6">
        <v>11675</v>
      </c>
      <c r="H710" s="6">
        <v>9056</v>
      </c>
      <c r="I710" s="6">
        <v>8671</v>
      </c>
      <c r="J710" s="6">
        <v>10455</v>
      </c>
      <c r="K710" s="8">
        <f t="shared" si="18"/>
        <v>9935</v>
      </c>
    </row>
    <row r="711" spans="1:11" x14ac:dyDescent="0.2">
      <c r="A711" s="1">
        <v>0.49236111111111103</v>
      </c>
      <c r="B711" s="2">
        <v>6.2600000000000007</v>
      </c>
      <c r="C711" s="2">
        <v>3.6599999999999997</v>
      </c>
      <c r="D711" s="2">
        <v>5.1400000000000006</v>
      </c>
      <c r="E711" s="2">
        <v>5.24</v>
      </c>
      <c r="F711" s="2">
        <v>3.14</v>
      </c>
      <c r="G711" s="6">
        <v>10387</v>
      </c>
      <c r="H711" s="6">
        <v>21729</v>
      </c>
      <c r="I711" s="6">
        <v>15234</v>
      </c>
      <c r="J711" s="6">
        <v>18462</v>
      </c>
      <c r="K711" s="8">
        <v>15435</v>
      </c>
    </row>
    <row r="712" spans="1:11" x14ac:dyDescent="0.2">
      <c r="A712" s="1">
        <v>0.49305555555555602</v>
      </c>
      <c r="B712" s="2">
        <v>6.28</v>
      </c>
      <c r="C712" s="2">
        <v>3.55</v>
      </c>
      <c r="D712" s="2">
        <v>5.0500000000000007</v>
      </c>
      <c r="E712" s="2">
        <v>5.15</v>
      </c>
      <c r="F712" s="2">
        <v>3.0300000000000002</v>
      </c>
      <c r="G712" s="6">
        <v>9563</v>
      </c>
      <c r="H712" s="6">
        <v>25457</v>
      </c>
      <c r="I712" s="6">
        <v>21299</v>
      </c>
      <c r="J712" s="6">
        <v>26485</v>
      </c>
      <c r="K712" s="8">
        <f t="shared" si="18"/>
        <v>22563</v>
      </c>
    </row>
    <row r="713" spans="1:11" x14ac:dyDescent="0.2">
      <c r="A713" s="1">
        <v>0.49375000000000002</v>
      </c>
      <c r="B713" s="2">
        <v>6.09</v>
      </c>
      <c r="C713" s="2">
        <v>3.5599999999999996</v>
      </c>
      <c r="D713" s="2">
        <v>5.0500000000000007</v>
      </c>
      <c r="E713" s="2">
        <v>5.29</v>
      </c>
      <c r="F713" s="2">
        <v>3.3200000000000003</v>
      </c>
      <c r="G713" s="6">
        <v>13080</v>
      </c>
      <c r="H713" s="6">
        <v>11289</v>
      </c>
      <c r="I713" s="6">
        <v>9435</v>
      </c>
      <c r="J713" s="6">
        <v>15465</v>
      </c>
      <c r="K713" s="8">
        <v>11264</v>
      </c>
    </row>
    <row r="714" spans="1:11" x14ac:dyDescent="0.2">
      <c r="A714" s="1">
        <v>0.49444444444444402</v>
      </c>
      <c r="B714" s="2">
        <v>6.19</v>
      </c>
      <c r="C714" s="2">
        <v>3.6399999999999997</v>
      </c>
      <c r="D714" s="2">
        <v>5.07</v>
      </c>
      <c r="E714" s="2">
        <v>5.2200000000000006</v>
      </c>
      <c r="F714" s="2">
        <v>3.3200000000000003</v>
      </c>
      <c r="G714" s="6">
        <v>16942</v>
      </c>
      <c r="H714" s="6">
        <v>20797</v>
      </c>
      <c r="I714" s="6">
        <v>15352</v>
      </c>
      <c r="J714" s="6">
        <v>21545</v>
      </c>
      <c r="K714" s="8">
        <v>14586</v>
      </c>
    </row>
    <row r="715" spans="1:11" x14ac:dyDescent="0.2">
      <c r="A715" s="1">
        <v>0.49513888888888902</v>
      </c>
      <c r="B715" s="2">
        <v>6.24</v>
      </c>
      <c r="C715" s="2">
        <v>3.7199999999999998</v>
      </c>
      <c r="D715" s="2">
        <v>5.0900000000000007</v>
      </c>
      <c r="E715" s="2">
        <v>5.2</v>
      </c>
      <c r="F715" s="2">
        <v>3.2600000000000002</v>
      </c>
      <c r="G715" s="6">
        <v>11340</v>
      </c>
      <c r="H715" s="6">
        <v>18714</v>
      </c>
      <c r="I715" s="6">
        <v>10345</v>
      </c>
      <c r="J715" s="6">
        <v>15464</v>
      </c>
      <c r="K715" s="8">
        <v>12465</v>
      </c>
    </row>
    <row r="716" spans="1:11" x14ac:dyDescent="0.2">
      <c r="A716" s="1">
        <v>0.49583333333333302</v>
      </c>
      <c r="B716" s="2">
        <v>6.1400000000000006</v>
      </c>
      <c r="C716" s="2">
        <v>3.76</v>
      </c>
      <c r="D716" s="2">
        <v>5.1000000000000005</v>
      </c>
      <c r="E716" s="2">
        <v>5.53</v>
      </c>
      <c r="F716" s="2">
        <v>3.04</v>
      </c>
      <c r="G716" s="6">
        <v>13575</v>
      </c>
      <c r="H716" s="6">
        <v>16090</v>
      </c>
      <c r="I716" s="6">
        <v>18278</v>
      </c>
      <c r="J716" s="6">
        <v>23451</v>
      </c>
      <c r="K716" s="8">
        <v>21545</v>
      </c>
    </row>
    <row r="717" spans="1:11" x14ac:dyDescent="0.2">
      <c r="A717" s="1">
        <v>0.49652777777777801</v>
      </c>
      <c r="B717" s="2">
        <v>6.16</v>
      </c>
      <c r="C717" s="2">
        <v>3.78</v>
      </c>
      <c r="D717" s="2">
        <v>5.19</v>
      </c>
      <c r="E717" s="2">
        <v>4.95</v>
      </c>
      <c r="F717" s="2">
        <v>2.84</v>
      </c>
      <c r="G717" s="6">
        <v>10258</v>
      </c>
      <c r="H717" s="6">
        <v>17230</v>
      </c>
      <c r="I717" s="6">
        <v>21496</v>
      </c>
      <c r="J717" s="6">
        <v>16452</v>
      </c>
      <c r="K717" s="8">
        <v>18452</v>
      </c>
    </row>
    <row r="718" spans="1:11" x14ac:dyDescent="0.2">
      <c r="A718" s="1">
        <v>0.49722222222222201</v>
      </c>
      <c r="B718" s="2">
        <v>6.3000000000000007</v>
      </c>
      <c r="C718" s="2">
        <v>3.5599999999999996</v>
      </c>
      <c r="D718" s="2">
        <v>5.0900000000000007</v>
      </c>
      <c r="E718" s="2">
        <v>5.4300000000000006</v>
      </c>
      <c r="F718" s="2">
        <v>3.1</v>
      </c>
      <c r="G718" s="6">
        <v>14364</v>
      </c>
      <c r="H718" s="6">
        <v>23651</v>
      </c>
      <c r="I718" s="6">
        <v>21324</v>
      </c>
      <c r="J718" s="6">
        <v>26458</v>
      </c>
      <c r="K718" s="8">
        <v>24565</v>
      </c>
    </row>
    <row r="719" spans="1:11" x14ac:dyDescent="0.2">
      <c r="A719" s="1">
        <v>0.49791666666666701</v>
      </c>
      <c r="B719" s="2">
        <v>6.07</v>
      </c>
      <c r="C719" s="2">
        <v>3.6599999999999997</v>
      </c>
      <c r="D719" s="2">
        <v>5.1000000000000005</v>
      </c>
      <c r="E719" s="2">
        <v>4.99</v>
      </c>
      <c r="F719" s="2">
        <v>3.15</v>
      </c>
      <c r="G719" s="6">
        <v>19850</v>
      </c>
      <c r="H719" s="6">
        <v>24317</v>
      </c>
      <c r="I719" s="6">
        <v>15534</v>
      </c>
      <c r="J719" s="6">
        <v>21464</v>
      </c>
      <c r="K719" s="8">
        <v>17524</v>
      </c>
    </row>
    <row r="720" spans="1:11" x14ac:dyDescent="0.2">
      <c r="A720" s="1">
        <v>0.49861111111111101</v>
      </c>
      <c r="B720" s="2">
        <v>6.19</v>
      </c>
      <c r="C720" s="2">
        <v>3.7699999999999996</v>
      </c>
      <c r="D720" s="2">
        <v>4.9800000000000004</v>
      </c>
      <c r="E720" s="2">
        <v>5.0600000000000005</v>
      </c>
      <c r="F720" s="2">
        <v>3.13</v>
      </c>
      <c r="G720" s="6">
        <v>15647</v>
      </c>
      <c r="H720" s="6">
        <v>16590</v>
      </c>
      <c r="I720" s="6">
        <v>12448</v>
      </c>
      <c r="J720" s="6">
        <v>16452</v>
      </c>
      <c r="K720" s="8">
        <v>15298</v>
      </c>
    </row>
    <row r="721" spans="1:11" x14ac:dyDescent="0.2">
      <c r="A721" s="1">
        <v>0.499305555555556</v>
      </c>
      <c r="B721" s="2">
        <v>6.3100000000000005</v>
      </c>
      <c r="C721" s="2">
        <v>3.5199999999999996</v>
      </c>
      <c r="D721" s="2">
        <v>5.17</v>
      </c>
      <c r="E721" s="2">
        <v>5.5100000000000007</v>
      </c>
      <c r="F721" s="2">
        <v>2.92</v>
      </c>
      <c r="G721" s="6">
        <v>14697</v>
      </c>
      <c r="H721" s="6">
        <v>13606</v>
      </c>
      <c r="I721" s="6">
        <v>15624</v>
      </c>
      <c r="J721" s="6">
        <v>18424</v>
      </c>
      <c r="K721" s="8">
        <v>17565</v>
      </c>
    </row>
    <row r="722" spans="1:11" x14ac:dyDescent="0.2">
      <c r="A722" s="3">
        <v>0.5</v>
      </c>
      <c r="B722" s="4">
        <v>6.19</v>
      </c>
      <c r="C722" s="4">
        <v>3.66</v>
      </c>
      <c r="D722" s="4">
        <v>5.09</v>
      </c>
      <c r="E722" s="4">
        <v>5.26</v>
      </c>
      <c r="F722" s="4">
        <v>3.08</v>
      </c>
      <c r="G722" s="7">
        <v>17240</v>
      </c>
      <c r="H722" s="6">
        <v>21880</v>
      </c>
      <c r="I722" s="6">
        <v>21520</v>
      </c>
      <c r="J722" s="7">
        <v>20330</v>
      </c>
      <c r="K722" s="7">
        <v>20820</v>
      </c>
    </row>
    <row r="723" spans="1:11" x14ac:dyDescent="0.2">
      <c r="A723" s="1">
        <v>0.500694444444444</v>
      </c>
      <c r="B723" s="2">
        <v>6.33</v>
      </c>
      <c r="C723" s="2">
        <v>3.51</v>
      </c>
      <c r="D723" s="2">
        <v>5.17</v>
      </c>
      <c r="E723" s="2">
        <v>5.19</v>
      </c>
      <c r="F723" s="2">
        <v>3.0500000000000003</v>
      </c>
      <c r="G723" s="6">
        <v>15640</v>
      </c>
      <c r="H723" s="6">
        <v>18494</v>
      </c>
      <c r="I723" s="6">
        <v>18356</v>
      </c>
      <c r="J723" s="6">
        <v>17282</v>
      </c>
      <c r="K723" s="6">
        <v>19435</v>
      </c>
    </row>
    <row r="724" spans="1:11" x14ac:dyDescent="0.2">
      <c r="A724" s="1">
        <v>0.50138888888888899</v>
      </c>
      <c r="B724" s="2">
        <v>6.2700000000000005</v>
      </c>
      <c r="C724" s="2">
        <v>3.67</v>
      </c>
      <c r="D724" s="2">
        <v>5.1100000000000003</v>
      </c>
      <c r="E724" s="2">
        <v>4.9800000000000004</v>
      </c>
      <c r="F724" s="2">
        <v>3.25</v>
      </c>
      <c r="G724" s="6">
        <v>16852</v>
      </c>
      <c r="H724" s="6">
        <v>19706</v>
      </c>
      <c r="I724" s="6">
        <v>19568</v>
      </c>
      <c r="J724" s="6">
        <v>18494</v>
      </c>
      <c r="K724" s="6">
        <v>18353</v>
      </c>
    </row>
    <row r="725" spans="1:11" x14ac:dyDescent="0.2">
      <c r="A725" s="1">
        <v>0.50208333333333299</v>
      </c>
      <c r="B725" s="2">
        <v>6.11</v>
      </c>
      <c r="C725" s="2">
        <v>3.6999999999999997</v>
      </c>
      <c r="D725" s="2">
        <v>4.9700000000000006</v>
      </c>
      <c r="E725" s="2">
        <v>5.34</v>
      </c>
      <c r="F725" s="2">
        <v>3.0700000000000003</v>
      </c>
      <c r="G725" s="6">
        <v>14254</v>
      </c>
      <c r="H725" s="6">
        <v>17108</v>
      </c>
      <c r="I725" s="6">
        <v>16970</v>
      </c>
      <c r="J725" s="6">
        <v>15896</v>
      </c>
      <c r="K725" s="6">
        <v>17221</v>
      </c>
    </row>
    <row r="726" spans="1:11" x14ac:dyDescent="0.2">
      <c r="A726" s="1">
        <v>0.50277777777777799</v>
      </c>
      <c r="B726" s="2">
        <v>6.2700000000000005</v>
      </c>
      <c r="C726" s="2">
        <v>3.6399999999999997</v>
      </c>
      <c r="D726" s="2">
        <v>4.8900000000000006</v>
      </c>
      <c r="E726" s="2">
        <v>4.8600000000000003</v>
      </c>
      <c r="F726" s="2">
        <v>2.99</v>
      </c>
      <c r="G726" s="6">
        <v>15654</v>
      </c>
      <c r="H726" s="6">
        <v>18508</v>
      </c>
      <c r="I726" s="6">
        <v>18370</v>
      </c>
      <c r="J726" s="6">
        <v>17296</v>
      </c>
      <c r="K726" s="6">
        <v>14070</v>
      </c>
    </row>
    <row r="727" spans="1:11" x14ac:dyDescent="0.2">
      <c r="A727" s="1">
        <v>0.50347222222222199</v>
      </c>
      <c r="B727" s="2">
        <v>6.2600000000000007</v>
      </c>
      <c r="C727" s="2">
        <v>3.7199999999999998</v>
      </c>
      <c r="D727" s="2">
        <v>5.21</v>
      </c>
      <c r="E727" s="2">
        <v>5.2200000000000006</v>
      </c>
      <c r="F727" s="2">
        <v>3.24</v>
      </c>
      <c r="G727" s="6">
        <v>22345</v>
      </c>
      <c r="H727" s="6">
        <v>25199</v>
      </c>
      <c r="I727" s="6">
        <v>25061</v>
      </c>
      <c r="J727" s="6">
        <v>23987</v>
      </c>
      <c r="K727" s="6">
        <v>12230</v>
      </c>
    </row>
    <row r="728" spans="1:11" x14ac:dyDescent="0.2">
      <c r="A728" s="1">
        <v>0.50416666666666698</v>
      </c>
      <c r="B728" s="2">
        <v>6.09</v>
      </c>
      <c r="C728" s="2">
        <v>3.53</v>
      </c>
      <c r="D728" s="2">
        <v>5.2200000000000006</v>
      </c>
      <c r="E728" s="2">
        <v>5.36</v>
      </c>
      <c r="F728" s="2">
        <v>2.84</v>
      </c>
      <c r="G728" s="6">
        <v>20354</v>
      </c>
      <c r="H728" s="6">
        <v>23208</v>
      </c>
      <c r="I728" s="6">
        <v>23070</v>
      </c>
      <c r="J728" s="6">
        <v>21996</v>
      </c>
      <c r="K728" s="6">
        <v>9436</v>
      </c>
    </row>
    <row r="729" spans="1:11" x14ac:dyDescent="0.2">
      <c r="A729" s="1">
        <v>0.50486111111111098</v>
      </c>
      <c r="B729" s="2">
        <v>6.2600000000000007</v>
      </c>
      <c r="C729" s="2">
        <v>3.5799999999999996</v>
      </c>
      <c r="D729" s="2">
        <v>5.2600000000000007</v>
      </c>
      <c r="E729" s="2">
        <v>5.19</v>
      </c>
      <c r="F729" s="2">
        <v>2.9</v>
      </c>
      <c r="G729" s="6">
        <v>12212</v>
      </c>
      <c r="H729" s="6">
        <v>15066</v>
      </c>
      <c r="I729" s="6">
        <v>14928</v>
      </c>
      <c r="J729" s="6">
        <v>13854</v>
      </c>
      <c r="K729" s="6">
        <v>19322</v>
      </c>
    </row>
    <row r="730" spans="1:11" x14ac:dyDescent="0.2">
      <c r="A730" s="1">
        <v>0.50555555555555598</v>
      </c>
      <c r="B730" s="2">
        <v>6.19</v>
      </c>
      <c r="C730" s="2">
        <v>3.51</v>
      </c>
      <c r="D730" s="2">
        <v>5.12</v>
      </c>
      <c r="E730" s="2">
        <v>5.4300000000000006</v>
      </c>
      <c r="F730" s="2">
        <v>3.09</v>
      </c>
      <c r="G730" s="6">
        <v>21125</v>
      </c>
      <c r="H730" s="6">
        <v>23979</v>
      </c>
      <c r="I730" s="6">
        <v>23841</v>
      </c>
      <c r="J730" s="6">
        <v>22767</v>
      </c>
      <c r="K730" s="6">
        <v>10467</v>
      </c>
    </row>
    <row r="731" spans="1:11" x14ac:dyDescent="0.2">
      <c r="A731" s="1">
        <v>0.50624999999999998</v>
      </c>
      <c r="B731" s="2">
        <v>6.23</v>
      </c>
      <c r="C731" s="2">
        <v>3.73</v>
      </c>
      <c r="D731" s="2">
        <v>5.0500000000000007</v>
      </c>
      <c r="E731" s="2">
        <v>5.45</v>
      </c>
      <c r="F731" s="2">
        <v>3.25</v>
      </c>
      <c r="G731" s="6">
        <v>12333</v>
      </c>
      <c r="H731" s="6">
        <v>15187</v>
      </c>
      <c r="I731" s="6">
        <v>15049</v>
      </c>
      <c r="J731" s="6">
        <v>13975</v>
      </c>
      <c r="K731" s="6">
        <v>18693</v>
      </c>
    </row>
    <row r="732" spans="1:11" x14ac:dyDescent="0.2">
      <c r="A732" s="1">
        <v>0.50694444444444398</v>
      </c>
      <c r="B732" s="2">
        <v>6.19</v>
      </c>
      <c r="C732" s="2">
        <v>3.67</v>
      </c>
      <c r="D732" s="2">
        <v>5.0500000000000007</v>
      </c>
      <c r="E732" s="2">
        <v>5.45</v>
      </c>
      <c r="F732" s="2">
        <v>3.0300000000000002</v>
      </c>
      <c r="G732" s="6">
        <v>14541</v>
      </c>
      <c r="H732" s="6">
        <v>17395</v>
      </c>
      <c r="I732" s="6">
        <v>17257</v>
      </c>
      <c r="J732" s="6">
        <v>16183</v>
      </c>
      <c r="K732" s="6">
        <v>6839</v>
      </c>
    </row>
    <row r="733" spans="1:11" x14ac:dyDescent="0.2">
      <c r="A733" s="1">
        <v>0.50763888888888897</v>
      </c>
      <c r="B733" s="2">
        <v>6.24</v>
      </c>
      <c r="C733" s="2">
        <v>3.53</v>
      </c>
      <c r="D733" s="2">
        <v>4.8900000000000006</v>
      </c>
      <c r="E733" s="2">
        <v>4.82</v>
      </c>
      <c r="F733" s="2">
        <v>2.91</v>
      </c>
      <c r="G733" s="6">
        <v>25455</v>
      </c>
      <c r="H733" s="6">
        <v>28309</v>
      </c>
      <c r="I733" s="6">
        <v>28171</v>
      </c>
      <c r="J733" s="6">
        <v>27097</v>
      </c>
      <c r="K733" s="6">
        <v>10492</v>
      </c>
    </row>
    <row r="734" spans="1:11" x14ac:dyDescent="0.2">
      <c r="A734" s="1">
        <v>0.50833333333333297</v>
      </c>
      <c r="B734" s="2">
        <v>6.3000000000000007</v>
      </c>
      <c r="C734" s="2">
        <v>3.6399999999999997</v>
      </c>
      <c r="D734" s="2">
        <v>5.24</v>
      </c>
      <c r="E734" s="2">
        <v>5.5100000000000007</v>
      </c>
      <c r="F734" s="2">
        <v>3.04</v>
      </c>
      <c r="G734" s="6">
        <v>15974</v>
      </c>
      <c r="H734" s="6">
        <v>18828</v>
      </c>
      <c r="I734" s="6">
        <v>18690</v>
      </c>
      <c r="J734" s="6">
        <v>17616</v>
      </c>
      <c r="K734" s="6">
        <v>15573</v>
      </c>
    </row>
    <row r="735" spans="1:11" x14ac:dyDescent="0.2">
      <c r="A735" s="1">
        <v>0.50902777777777797</v>
      </c>
      <c r="B735" s="2">
        <v>6.32</v>
      </c>
      <c r="C735" s="2">
        <v>3.6599999999999997</v>
      </c>
      <c r="D735" s="2">
        <v>4.92</v>
      </c>
      <c r="E735" s="2">
        <v>4.88</v>
      </c>
      <c r="F735" s="2">
        <v>3.09</v>
      </c>
      <c r="G735" s="6">
        <v>15625</v>
      </c>
      <c r="H735" s="6">
        <v>18479</v>
      </c>
      <c r="I735" s="6">
        <v>18341</v>
      </c>
      <c r="J735" s="6">
        <v>17267</v>
      </c>
      <c r="K735" s="6">
        <v>11276</v>
      </c>
    </row>
    <row r="736" spans="1:11" x14ac:dyDescent="0.2">
      <c r="A736" s="1">
        <v>0.50972222222222197</v>
      </c>
      <c r="B736" s="2">
        <v>6.3100000000000005</v>
      </c>
      <c r="C736" s="2">
        <v>3.7399999999999998</v>
      </c>
      <c r="D736" s="2">
        <v>4.91</v>
      </c>
      <c r="E736" s="2">
        <v>5.5</v>
      </c>
      <c r="F736" s="2">
        <v>2.98</v>
      </c>
      <c r="G736" s="6">
        <v>23448</v>
      </c>
      <c r="H736" s="6">
        <v>26302</v>
      </c>
      <c r="I736" s="6">
        <v>26164</v>
      </c>
      <c r="J736" s="6">
        <v>25090</v>
      </c>
      <c r="K736" s="6">
        <v>9142</v>
      </c>
    </row>
    <row r="737" spans="1:11" x14ac:dyDescent="0.2">
      <c r="A737" s="1">
        <v>0.51041666666666696</v>
      </c>
      <c r="B737" s="2">
        <v>6.1400000000000006</v>
      </c>
      <c r="C737" s="2">
        <v>3.5199999999999996</v>
      </c>
      <c r="D737" s="2">
        <v>5.04</v>
      </c>
      <c r="E737" s="2">
        <v>4.84</v>
      </c>
      <c r="F737" s="2">
        <v>3.17</v>
      </c>
      <c r="G737" s="6">
        <v>28752</v>
      </c>
      <c r="H737" s="6">
        <v>31606</v>
      </c>
      <c r="I737" s="6">
        <v>31468</v>
      </c>
      <c r="J737" s="6">
        <v>30394</v>
      </c>
      <c r="K737" s="6">
        <v>7176</v>
      </c>
    </row>
    <row r="738" spans="1:11" x14ac:dyDescent="0.2">
      <c r="A738" s="1">
        <v>0.51111111111111096</v>
      </c>
      <c r="B738" s="2">
        <v>6.17</v>
      </c>
      <c r="C738" s="2">
        <v>3.78</v>
      </c>
      <c r="D738" s="2">
        <v>4.91</v>
      </c>
      <c r="E738" s="2">
        <v>5.1100000000000003</v>
      </c>
      <c r="F738" s="2">
        <v>3.18</v>
      </c>
      <c r="G738" s="6">
        <v>24621</v>
      </c>
      <c r="H738" s="6">
        <v>27475</v>
      </c>
      <c r="I738" s="6">
        <v>27337</v>
      </c>
      <c r="J738" s="6">
        <v>26263</v>
      </c>
      <c r="K738" s="6">
        <v>18493</v>
      </c>
    </row>
    <row r="739" spans="1:11" x14ac:dyDescent="0.2">
      <c r="A739" s="1">
        <v>0.51180555555555596</v>
      </c>
      <c r="B739" s="2">
        <v>6.25</v>
      </c>
      <c r="C739" s="2">
        <v>3.59</v>
      </c>
      <c r="D739" s="2">
        <v>5.24</v>
      </c>
      <c r="E739" s="2">
        <v>5.1000000000000005</v>
      </c>
      <c r="F739" s="2">
        <v>3.21</v>
      </c>
      <c r="G739" s="6">
        <v>16972</v>
      </c>
      <c r="H739" s="6">
        <v>19826</v>
      </c>
      <c r="I739" s="6">
        <v>19688</v>
      </c>
      <c r="J739" s="6">
        <v>18614</v>
      </c>
      <c r="K739" s="6">
        <v>12349</v>
      </c>
    </row>
    <row r="740" spans="1:11" x14ac:dyDescent="0.2">
      <c r="A740" s="1">
        <v>0.51249999999999996</v>
      </c>
      <c r="B740" s="2">
        <v>6.13</v>
      </c>
      <c r="C740" s="2">
        <v>3.55</v>
      </c>
      <c r="D740" s="2">
        <v>5.24</v>
      </c>
      <c r="E740" s="2">
        <v>5.03</v>
      </c>
      <c r="F740" s="2">
        <v>3.2800000000000002</v>
      </c>
      <c r="G740" s="6">
        <v>12456</v>
      </c>
      <c r="H740" s="6">
        <v>15310</v>
      </c>
      <c r="I740" s="6">
        <v>15172</v>
      </c>
      <c r="J740" s="6">
        <v>14098</v>
      </c>
      <c r="K740" s="6">
        <v>10175</v>
      </c>
    </row>
    <row r="741" spans="1:11" x14ac:dyDescent="0.2">
      <c r="A741" s="1">
        <v>0.51319444444444495</v>
      </c>
      <c r="B741" s="2">
        <v>6.28</v>
      </c>
      <c r="C741" s="2">
        <v>3.71</v>
      </c>
      <c r="D741" s="2">
        <v>5.2</v>
      </c>
      <c r="E741" s="2">
        <v>5.1000000000000005</v>
      </c>
      <c r="F741" s="2">
        <v>3.08</v>
      </c>
      <c r="G741" s="6">
        <v>18540</v>
      </c>
      <c r="H741" s="6">
        <v>21394</v>
      </c>
      <c r="I741" s="6">
        <v>21256</v>
      </c>
      <c r="J741" s="6">
        <v>20182</v>
      </c>
      <c r="K741" s="6">
        <v>10070</v>
      </c>
    </row>
    <row r="742" spans="1:11" x14ac:dyDescent="0.2">
      <c r="A742" s="1">
        <v>0.51388888888888895</v>
      </c>
      <c r="B742" s="2">
        <v>6.2200000000000006</v>
      </c>
      <c r="C742" s="2">
        <v>3.55</v>
      </c>
      <c r="D742" s="2">
        <v>5.19</v>
      </c>
      <c r="E742" s="2">
        <v>5.08</v>
      </c>
      <c r="F742" s="2">
        <v>3.24</v>
      </c>
      <c r="G742" s="6">
        <v>16487</v>
      </c>
      <c r="H742" s="6">
        <v>19341</v>
      </c>
      <c r="I742" s="6">
        <v>19203</v>
      </c>
      <c r="J742" s="6">
        <v>18129</v>
      </c>
      <c r="K742" s="6">
        <v>10574</v>
      </c>
    </row>
    <row r="743" spans="1:11" x14ac:dyDescent="0.2">
      <c r="A743" s="1">
        <v>0.51458333333333295</v>
      </c>
      <c r="B743" s="2">
        <v>6.33</v>
      </c>
      <c r="C743" s="2">
        <v>3.61</v>
      </c>
      <c r="D743" s="2">
        <v>5.12</v>
      </c>
      <c r="E743" s="2">
        <v>5.2600000000000007</v>
      </c>
      <c r="F743" s="2">
        <v>3.24</v>
      </c>
      <c r="G743" s="6">
        <v>24557</v>
      </c>
      <c r="H743" s="6">
        <v>27411</v>
      </c>
      <c r="I743" s="6">
        <v>27273</v>
      </c>
      <c r="J743" s="6">
        <v>26199</v>
      </c>
      <c r="K743" s="6">
        <v>7556</v>
      </c>
    </row>
    <row r="744" spans="1:11" x14ac:dyDescent="0.2">
      <c r="A744" s="1">
        <v>0.51527777777777795</v>
      </c>
      <c r="B744" s="2">
        <v>6.3100000000000005</v>
      </c>
      <c r="C744" s="2">
        <v>3.6599999999999997</v>
      </c>
      <c r="D744" s="2">
        <v>5.1800000000000006</v>
      </c>
      <c r="E744" s="2">
        <v>5.25</v>
      </c>
      <c r="F744" s="2">
        <v>3.21</v>
      </c>
      <c r="G744" s="6">
        <v>26482</v>
      </c>
      <c r="H744" s="6">
        <v>29336</v>
      </c>
      <c r="I744" s="6">
        <v>29198</v>
      </c>
      <c r="J744" s="6">
        <v>28124</v>
      </c>
      <c r="K744" s="6">
        <v>8940</v>
      </c>
    </row>
    <row r="745" spans="1:11" x14ac:dyDescent="0.2">
      <c r="A745" s="1">
        <v>0.51597222222222205</v>
      </c>
      <c r="B745" s="2">
        <v>6.15</v>
      </c>
      <c r="C745" s="2">
        <v>3.5399999999999996</v>
      </c>
      <c r="D745" s="2">
        <v>5.1300000000000008</v>
      </c>
      <c r="E745" s="2">
        <v>5.44</v>
      </c>
      <c r="F745" s="2">
        <v>2.88</v>
      </c>
      <c r="G745" s="6">
        <v>19546</v>
      </c>
      <c r="H745" s="6">
        <v>22400</v>
      </c>
      <c r="I745" s="6">
        <v>22262</v>
      </c>
      <c r="J745" s="6">
        <v>10246</v>
      </c>
      <c r="K745" s="6">
        <v>19360</v>
      </c>
    </row>
    <row r="746" spans="1:11" x14ac:dyDescent="0.2">
      <c r="A746" s="1">
        <v>0.51666666666666705</v>
      </c>
      <c r="B746" s="2">
        <v>6.2200000000000006</v>
      </c>
      <c r="C746" s="2">
        <v>3.6999999999999997</v>
      </c>
      <c r="D746" s="2">
        <v>5.0600000000000005</v>
      </c>
      <c r="E746" s="2">
        <v>4.9000000000000004</v>
      </c>
      <c r="F746" s="2">
        <v>3.0500000000000003</v>
      </c>
      <c r="G746" s="6">
        <v>15357</v>
      </c>
      <c r="H746" s="6">
        <v>18211</v>
      </c>
      <c r="I746" s="6">
        <v>18073</v>
      </c>
      <c r="J746" s="6">
        <v>16999</v>
      </c>
      <c r="K746" s="6">
        <v>14704</v>
      </c>
    </row>
    <row r="747" spans="1:11" x14ac:dyDescent="0.2">
      <c r="A747" s="1">
        <v>0.51736111111111105</v>
      </c>
      <c r="B747" s="2">
        <v>6.23</v>
      </c>
      <c r="C747" s="2">
        <v>3.76</v>
      </c>
      <c r="D747" s="2">
        <v>4.9700000000000006</v>
      </c>
      <c r="E747" s="2">
        <v>4.9800000000000004</v>
      </c>
      <c r="F747" s="2">
        <v>3.08</v>
      </c>
      <c r="G747" s="6">
        <v>16452</v>
      </c>
      <c r="H747" s="6">
        <v>19306</v>
      </c>
      <c r="I747" s="6">
        <v>19168</v>
      </c>
      <c r="J747" s="6">
        <v>18094</v>
      </c>
      <c r="K747" s="6">
        <v>7930</v>
      </c>
    </row>
    <row r="748" spans="1:11" x14ac:dyDescent="0.2">
      <c r="A748" s="1">
        <v>0.51805555555555605</v>
      </c>
      <c r="B748" s="2">
        <v>6.19</v>
      </c>
      <c r="C748" s="2">
        <v>3.6599999999999997</v>
      </c>
      <c r="D748" s="2">
        <v>5.25</v>
      </c>
      <c r="E748" s="2">
        <v>5.16</v>
      </c>
      <c r="F748" s="2">
        <v>3.31</v>
      </c>
      <c r="G748" s="6">
        <v>16972</v>
      </c>
      <c r="H748" s="6">
        <v>19826</v>
      </c>
      <c r="I748" s="6">
        <v>19688</v>
      </c>
      <c r="J748" s="6">
        <v>18614</v>
      </c>
      <c r="K748" s="6">
        <v>18282</v>
      </c>
    </row>
    <row r="749" spans="1:11" x14ac:dyDescent="0.2">
      <c r="A749" s="1">
        <v>0.51875000000000004</v>
      </c>
      <c r="B749" s="2">
        <v>6.32</v>
      </c>
      <c r="C749" s="2">
        <v>3.5599999999999996</v>
      </c>
      <c r="D749" s="2">
        <v>4.91</v>
      </c>
      <c r="E749" s="2">
        <v>5.12</v>
      </c>
      <c r="F749" s="2">
        <v>3.23</v>
      </c>
      <c r="G749" s="6">
        <v>19987</v>
      </c>
      <c r="H749" s="6">
        <v>22841</v>
      </c>
      <c r="I749" s="6">
        <v>22703</v>
      </c>
      <c r="J749" s="6">
        <v>10648</v>
      </c>
      <c r="K749" s="6">
        <v>8698</v>
      </c>
    </row>
    <row r="750" spans="1:11" x14ac:dyDescent="0.2">
      <c r="A750" s="1">
        <v>0.51944444444444404</v>
      </c>
      <c r="B750" s="2">
        <v>6.15</v>
      </c>
      <c r="C750" s="2">
        <v>3.5399999999999996</v>
      </c>
      <c r="D750" s="2">
        <v>5.03</v>
      </c>
      <c r="E750" s="2">
        <v>4.9800000000000004</v>
      </c>
      <c r="F750" s="2">
        <v>3.35</v>
      </c>
      <c r="G750" s="6">
        <v>22354</v>
      </c>
      <c r="H750" s="6">
        <v>25208</v>
      </c>
      <c r="I750" s="6">
        <v>25070</v>
      </c>
      <c r="J750" s="6">
        <v>23996</v>
      </c>
      <c r="K750" s="6">
        <v>13351</v>
      </c>
    </row>
    <row r="751" spans="1:11" x14ac:dyDescent="0.2">
      <c r="A751" s="1">
        <v>0.52013888888888904</v>
      </c>
      <c r="B751" s="2">
        <v>6.28</v>
      </c>
      <c r="C751" s="2">
        <v>3.7199999999999998</v>
      </c>
      <c r="D751" s="2">
        <v>5.17</v>
      </c>
      <c r="E751" s="2">
        <v>5.3900000000000006</v>
      </c>
      <c r="F751" s="2">
        <v>3.09</v>
      </c>
      <c r="G751" s="6">
        <v>11247</v>
      </c>
      <c r="H751" s="6">
        <v>14101</v>
      </c>
      <c r="I751" s="6">
        <v>13963</v>
      </c>
      <c r="J751" s="6">
        <v>12889</v>
      </c>
      <c r="K751" s="6">
        <v>10747</v>
      </c>
    </row>
    <row r="752" spans="1:11" x14ac:dyDescent="0.2">
      <c r="A752" s="1">
        <v>0.52083333333333304</v>
      </c>
      <c r="B752" s="2">
        <v>6.28</v>
      </c>
      <c r="C752" s="2">
        <v>3.73</v>
      </c>
      <c r="D752" s="2">
        <v>4.87</v>
      </c>
      <c r="E752" s="2">
        <v>5</v>
      </c>
      <c r="F752" s="2">
        <v>2.87</v>
      </c>
      <c r="G752" s="6">
        <v>16988</v>
      </c>
      <c r="H752" s="6">
        <v>19842</v>
      </c>
      <c r="I752" s="6">
        <v>19704</v>
      </c>
      <c r="J752" s="6">
        <v>18630</v>
      </c>
      <c r="K752" s="6">
        <v>17307</v>
      </c>
    </row>
    <row r="753" spans="1:11" x14ac:dyDescent="0.2">
      <c r="A753" s="1">
        <v>0.52152777777777803</v>
      </c>
      <c r="B753" s="2">
        <v>6.1400000000000006</v>
      </c>
      <c r="C753" s="2">
        <v>3.5399999999999996</v>
      </c>
      <c r="D753" s="2">
        <v>5.08</v>
      </c>
      <c r="E753" s="2">
        <v>5.3900000000000006</v>
      </c>
      <c r="F753" s="2">
        <v>3.2600000000000002</v>
      </c>
      <c r="G753" s="6">
        <v>19785</v>
      </c>
      <c r="H753" s="6">
        <v>22639</v>
      </c>
      <c r="I753" s="6">
        <v>22501</v>
      </c>
      <c r="J753" s="6">
        <v>10355</v>
      </c>
      <c r="K753" s="6">
        <v>7948</v>
      </c>
    </row>
    <row r="754" spans="1:11" x14ac:dyDescent="0.2">
      <c r="A754" s="1">
        <v>0.52222222222222203</v>
      </c>
      <c r="B754" s="2">
        <v>6.12</v>
      </c>
      <c r="C754" s="2">
        <v>3.6799999999999997</v>
      </c>
      <c r="D754" s="2">
        <v>5.0600000000000005</v>
      </c>
      <c r="E754" s="2">
        <v>4.8600000000000003</v>
      </c>
      <c r="F754" s="2">
        <v>3.04</v>
      </c>
      <c r="G754" s="6">
        <v>13496</v>
      </c>
      <c r="H754" s="6">
        <v>16350</v>
      </c>
      <c r="I754" s="6">
        <v>16212</v>
      </c>
      <c r="J754" s="6">
        <v>15138</v>
      </c>
      <c r="K754" s="6">
        <v>15369</v>
      </c>
    </row>
    <row r="755" spans="1:11" x14ac:dyDescent="0.2">
      <c r="A755" s="1">
        <v>0.52291666666666703</v>
      </c>
      <c r="B755" s="2">
        <v>6.1800000000000006</v>
      </c>
      <c r="C755" s="2">
        <v>3.6799999999999997</v>
      </c>
      <c r="D755" s="2">
        <v>5.2</v>
      </c>
      <c r="E755" s="2">
        <v>5.2600000000000007</v>
      </c>
      <c r="F755" s="2">
        <v>3.24</v>
      </c>
      <c r="G755" s="6">
        <v>16975</v>
      </c>
      <c r="H755" s="6">
        <v>19829</v>
      </c>
      <c r="I755" s="6">
        <v>19691</v>
      </c>
      <c r="J755" s="6">
        <v>18617</v>
      </c>
      <c r="K755" s="6">
        <v>9136</v>
      </c>
    </row>
    <row r="756" spans="1:11" x14ac:dyDescent="0.2">
      <c r="A756" s="1">
        <v>0.52361111111111103</v>
      </c>
      <c r="B756" s="2">
        <v>6.12</v>
      </c>
      <c r="C756" s="2">
        <v>3.61</v>
      </c>
      <c r="D756" s="2">
        <v>4.88</v>
      </c>
      <c r="E756" s="2">
        <v>4.9300000000000006</v>
      </c>
      <c r="F756" s="2">
        <v>3.33</v>
      </c>
      <c r="G756" s="6">
        <v>13349</v>
      </c>
      <c r="H756" s="6">
        <v>16203</v>
      </c>
      <c r="I756" s="6">
        <v>16065</v>
      </c>
      <c r="J756" s="6">
        <v>14991</v>
      </c>
      <c r="K756" s="6">
        <v>12562</v>
      </c>
    </row>
    <row r="757" spans="1:11" x14ac:dyDescent="0.2">
      <c r="A757" s="1">
        <v>0.52430555555555602</v>
      </c>
      <c r="B757" s="2">
        <v>6.13</v>
      </c>
      <c r="C757" s="2">
        <v>3.61</v>
      </c>
      <c r="D757" s="2">
        <v>5.21</v>
      </c>
      <c r="E757" s="2">
        <v>5.0100000000000007</v>
      </c>
      <c r="F757" s="2">
        <v>3.0500000000000003</v>
      </c>
      <c r="G757" s="6">
        <v>19468</v>
      </c>
      <c r="H757" s="6">
        <v>22322</v>
      </c>
      <c r="I757" s="6">
        <v>22184</v>
      </c>
      <c r="J757" s="6">
        <v>10465</v>
      </c>
      <c r="K757" s="6">
        <v>9663</v>
      </c>
    </row>
    <row r="758" spans="1:11" x14ac:dyDescent="0.2">
      <c r="A758" s="1">
        <v>0.52500000000000002</v>
      </c>
      <c r="B758" s="2">
        <v>6.07</v>
      </c>
      <c r="C758" s="2">
        <v>3.6199999999999997</v>
      </c>
      <c r="D758" s="2">
        <v>5.12</v>
      </c>
      <c r="E758" s="2">
        <v>5.1000000000000005</v>
      </c>
      <c r="F758" s="2">
        <v>2.97</v>
      </c>
      <c r="G758" s="6">
        <v>24645</v>
      </c>
      <c r="H758" s="6">
        <v>27499</v>
      </c>
      <c r="I758" s="6">
        <v>27361</v>
      </c>
      <c r="J758" s="6">
        <v>10368</v>
      </c>
      <c r="K758" s="6">
        <v>6537</v>
      </c>
    </row>
    <row r="759" spans="1:11" x14ac:dyDescent="0.2">
      <c r="A759" s="1">
        <v>0.52569444444444402</v>
      </c>
      <c r="B759" s="2">
        <v>6.15</v>
      </c>
      <c r="C759" s="2">
        <v>3.59</v>
      </c>
      <c r="D759" s="2">
        <v>5</v>
      </c>
      <c r="E759" s="2">
        <v>5.25</v>
      </c>
      <c r="F759" s="2">
        <v>3</v>
      </c>
      <c r="G759" s="6">
        <v>21567</v>
      </c>
      <c r="H759" s="6">
        <v>24421</v>
      </c>
      <c r="I759" s="6">
        <v>24283</v>
      </c>
      <c r="J759" s="6">
        <v>23209</v>
      </c>
      <c r="K759" s="6">
        <v>5443</v>
      </c>
    </row>
    <row r="760" spans="1:11" x14ac:dyDescent="0.2">
      <c r="A760" s="1">
        <v>0.52638888888888902</v>
      </c>
      <c r="B760" s="2">
        <v>6.12</v>
      </c>
      <c r="C760" s="2">
        <v>3.7199999999999998</v>
      </c>
      <c r="D760" s="2">
        <v>5.2200000000000006</v>
      </c>
      <c r="E760" s="2">
        <v>5.1800000000000006</v>
      </c>
      <c r="F760" s="2">
        <v>3.35</v>
      </c>
      <c r="G760" s="6">
        <v>16475</v>
      </c>
      <c r="H760" s="6">
        <v>19329</v>
      </c>
      <c r="I760" s="6">
        <v>19191</v>
      </c>
      <c r="J760" s="6">
        <v>18117</v>
      </c>
      <c r="K760" s="6">
        <v>12950</v>
      </c>
    </row>
    <row r="761" spans="1:11" x14ac:dyDescent="0.2">
      <c r="A761" s="1">
        <v>0.52708333333333302</v>
      </c>
      <c r="B761" s="2">
        <v>6.29</v>
      </c>
      <c r="C761" s="2">
        <v>3.57</v>
      </c>
      <c r="D761" s="2">
        <v>5.08</v>
      </c>
      <c r="E761" s="2">
        <v>5.2600000000000007</v>
      </c>
      <c r="F761" s="2">
        <v>3.04</v>
      </c>
      <c r="G761" s="6">
        <v>10287</v>
      </c>
      <c r="H761" s="6">
        <v>13141</v>
      </c>
      <c r="I761" s="6">
        <v>13003</v>
      </c>
      <c r="J761" s="6">
        <v>10258</v>
      </c>
      <c r="K761" s="6">
        <v>14319</v>
      </c>
    </row>
    <row r="762" spans="1:11" x14ac:dyDescent="0.2">
      <c r="A762" s="1">
        <v>0.52777777777777801</v>
      </c>
      <c r="B762" s="2">
        <v>6.33</v>
      </c>
      <c r="C762" s="2">
        <v>3.7699999999999996</v>
      </c>
      <c r="D762" s="2">
        <v>4.9800000000000004</v>
      </c>
      <c r="E762" s="2">
        <v>5.1400000000000006</v>
      </c>
      <c r="F762" s="2">
        <v>2.92</v>
      </c>
      <c r="G762" s="6">
        <v>12658</v>
      </c>
      <c r="H762" s="6">
        <v>15512</v>
      </c>
      <c r="I762" s="6">
        <v>15374</v>
      </c>
      <c r="J762" s="6">
        <v>1255</v>
      </c>
      <c r="K762" s="6">
        <v>8863</v>
      </c>
    </row>
    <row r="763" spans="1:11" x14ac:dyDescent="0.2">
      <c r="A763" s="1">
        <v>0.52847222222222201</v>
      </c>
      <c r="B763" s="2">
        <v>6.24</v>
      </c>
      <c r="C763" s="2">
        <v>3.65</v>
      </c>
      <c r="D763" s="2">
        <v>5.1100000000000003</v>
      </c>
      <c r="E763" s="2">
        <v>5.1000000000000005</v>
      </c>
      <c r="F763" s="2">
        <v>2.98</v>
      </c>
      <c r="G763" s="6">
        <v>16752</v>
      </c>
      <c r="H763" s="6">
        <v>19606</v>
      </c>
      <c r="I763" s="6">
        <v>19468</v>
      </c>
      <c r="J763" s="6">
        <v>10254</v>
      </c>
      <c r="K763" s="6">
        <v>13337</v>
      </c>
    </row>
    <row r="764" spans="1:11" x14ac:dyDescent="0.2">
      <c r="A764" s="1">
        <v>0.52916666666666701</v>
      </c>
      <c r="B764" s="2">
        <v>6.28</v>
      </c>
      <c r="C764" s="2">
        <v>3.76</v>
      </c>
      <c r="D764" s="2">
        <v>5.21</v>
      </c>
      <c r="E764" s="2">
        <v>5.1000000000000005</v>
      </c>
      <c r="F764" s="2">
        <v>3.06</v>
      </c>
      <c r="G764" s="6">
        <v>24535</v>
      </c>
      <c r="H764" s="6">
        <v>27389</v>
      </c>
      <c r="I764" s="6">
        <v>27251</v>
      </c>
      <c r="J764" s="6">
        <v>12054</v>
      </c>
      <c r="K764" s="6">
        <v>8404</v>
      </c>
    </row>
    <row r="765" spans="1:11" x14ac:dyDescent="0.2">
      <c r="A765" s="1">
        <v>0.52986111111111101</v>
      </c>
      <c r="B765" s="2">
        <v>6.17</v>
      </c>
      <c r="C765" s="2">
        <v>3.71</v>
      </c>
      <c r="D765" s="2">
        <v>5.12</v>
      </c>
      <c r="E765" s="2">
        <v>5.1000000000000005</v>
      </c>
      <c r="F765" s="2">
        <v>3.0500000000000003</v>
      </c>
      <c r="G765" s="6">
        <v>19854</v>
      </c>
      <c r="H765" s="6">
        <v>22708</v>
      </c>
      <c r="I765" s="6">
        <v>22570</v>
      </c>
      <c r="J765" s="6">
        <v>10345</v>
      </c>
      <c r="K765" s="6">
        <v>19302</v>
      </c>
    </row>
    <row r="766" spans="1:11" x14ac:dyDescent="0.2">
      <c r="A766" s="1">
        <v>0.530555555555556</v>
      </c>
      <c r="B766" s="2">
        <v>6.1400000000000006</v>
      </c>
      <c r="C766" s="2">
        <v>3.75</v>
      </c>
      <c r="D766" s="2">
        <v>4.9000000000000004</v>
      </c>
      <c r="E766" s="2">
        <v>4.88</v>
      </c>
      <c r="F766" s="2">
        <v>2.94</v>
      </c>
      <c r="G766" s="6">
        <v>16782</v>
      </c>
      <c r="H766" s="6">
        <v>19636</v>
      </c>
      <c r="I766" s="6">
        <v>19498</v>
      </c>
      <c r="J766" s="6">
        <v>18424</v>
      </c>
      <c r="K766" s="6">
        <v>8626</v>
      </c>
    </row>
    <row r="767" spans="1:11" x14ac:dyDescent="0.2">
      <c r="A767" s="1">
        <v>0.53125</v>
      </c>
      <c r="B767" s="2">
        <v>6.33</v>
      </c>
      <c r="C767" s="2">
        <v>3.6999999999999997</v>
      </c>
      <c r="D767" s="2">
        <v>4.91</v>
      </c>
      <c r="E767" s="2">
        <v>5.41</v>
      </c>
      <c r="F767" s="2">
        <v>2.87</v>
      </c>
      <c r="G767" s="6">
        <v>12973</v>
      </c>
      <c r="H767" s="6">
        <v>15827</v>
      </c>
      <c r="I767" s="6">
        <v>15689</v>
      </c>
      <c r="J767" s="6">
        <v>14615</v>
      </c>
      <c r="K767" s="6">
        <v>18667</v>
      </c>
    </row>
    <row r="768" spans="1:11" x14ac:dyDescent="0.2">
      <c r="A768" s="1">
        <v>0.531944444444444</v>
      </c>
      <c r="B768" s="2">
        <v>6.11</v>
      </c>
      <c r="C768" s="2">
        <v>3.6599999999999997</v>
      </c>
      <c r="D768" s="2">
        <v>5.15</v>
      </c>
      <c r="E768" s="2">
        <v>5.13</v>
      </c>
      <c r="F768" s="2">
        <v>3.0700000000000003</v>
      </c>
      <c r="G768" s="6">
        <v>5698</v>
      </c>
      <c r="H768" s="6">
        <v>8552</v>
      </c>
      <c r="I768" s="6">
        <v>8414</v>
      </c>
      <c r="J768" s="6">
        <v>7340</v>
      </c>
      <c r="K768" s="6">
        <v>12312</v>
      </c>
    </row>
    <row r="769" spans="1:12" x14ac:dyDescent="0.2">
      <c r="A769" s="1">
        <v>0.53263888888888899</v>
      </c>
      <c r="B769" s="2">
        <v>6.11</v>
      </c>
      <c r="C769" s="2">
        <v>3.63</v>
      </c>
      <c r="D769" s="2">
        <v>4.9000000000000004</v>
      </c>
      <c r="E769" s="2">
        <v>5.19</v>
      </c>
      <c r="F769" s="2">
        <v>3.0100000000000002</v>
      </c>
      <c r="G769" s="6">
        <v>7005</v>
      </c>
      <c r="H769" s="6">
        <v>9859</v>
      </c>
      <c r="I769" s="6">
        <v>9721</v>
      </c>
      <c r="J769" s="6">
        <v>8647</v>
      </c>
      <c r="K769" s="6">
        <v>11641</v>
      </c>
    </row>
    <row r="770" spans="1:12" x14ac:dyDescent="0.2">
      <c r="A770" s="1">
        <v>0.53333333333333299</v>
      </c>
      <c r="B770" s="2">
        <v>6.23</v>
      </c>
      <c r="C770" s="2">
        <v>3.75</v>
      </c>
      <c r="D770" s="2">
        <v>4.8600000000000003</v>
      </c>
      <c r="E770" s="2">
        <v>4.95</v>
      </c>
      <c r="F770" s="2">
        <v>3.3000000000000003</v>
      </c>
      <c r="G770" s="6">
        <v>13547</v>
      </c>
      <c r="H770" s="6">
        <v>16401</v>
      </c>
      <c r="I770" s="6">
        <v>16263</v>
      </c>
      <c r="J770" s="6">
        <v>15189</v>
      </c>
      <c r="K770" s="6">
        <v>8174</v>
      </c>
    </row>
    <row r="771" spans="1:12" x14ac:dyDescent="0.2">
      <c r="A771" s="1">
        <v>0.53402777777777799</v>
      </c>
      <c r="B771" s="2">
        <v>6.16</v>
      </c>
      <c r="C771" s="2">
        <v>3.55</v>
      </c>
      <c r="D771" s="2">
        <v>5.12</v>
      </c>
      <c r="E771" s="2">
        <v>5.15</v>
      </c>
      <c r="F771" s="2">
        <v>2.88</v>
      </c>
      <c r="G771" s="6">
        <v>16725</v>
      </c>
      <c r="H771" s="6">
        <v>19579</v>
      </c>
      <c r="I771" s="6">
        <v>19441</v>
      </c>
      <c r="J771" s="6">
        <v>18367</v>
      </c>
      <c r="K771" s="6">
        <v>19076</v>
      </c>
    </row>
    <row r="772" spans="1:12" x14ac:dyDescent="0.2">
      <c r="A772" s="1">
        <v>0.53472222222222199</v>
      </c>
      <c r="B772" s="2">
        <v>6.13</v>
      </c>
      <c r="C772" s="2">
        <v>3.7199999999999998</v>
      </c>
      <c r="D772" s="2">
        <v>5.1000000000000005</v>
      </c>
      <c r="E772" s="2">
        <v>5.5</v>
      </c>
      <c r="F772" s="2">
        <v>3.13</v>
      </c>
      <c r="G772" s="6">
        <v>19786</v>
      </c>
      <c r="H772" s="6">
        <v>22640</v>
      </c>
      <c r="I772" s="6">
        <v>22502</v>
      </c>
      <c r="J772" s="6">
        <v>21428</v>
      </c>
      <c r="K772" s="6">
        <v>17682</v>
      </c>
    </row>
    <row r="773" spans="1:12" x14ac:dyDescent="0.2">
      <c r="A773" s="1">
        <v>0.53541666666666698</v>
      </c>
      <c r="B773" s="2">
        <v>6.29</v>
      </c>
      <c r="C773" s="2">
        <v>3.51</v>
      </c>
      <c r="D773" s="2">
        <v>5.0100000000000007</v>
      </c>
      <c r="E773" s="2">
        <v>5.48</v>
      </c>
      <c r="F773" s="2">
        <v>3.27</v>
      </c>
      <c r="G773" s="6">
        <v>25642</v>
      </c>
      <c r="H773" s="6">
        <v>28496</v>
      </c>
      <c r="I773" s="6">
        <v>18345</v>
      </c>
      <c r="J773" s="6">
        <v>27284</v>
      </c>
      <c r="K773" s="6">
        <v>9495</v>
      </c>
    </row>
    <row r="774" spans="1:12" x14ac:dyDescent="0.2">
      <c r="A774" s="1">
        <v>0.53611111111111098</v>
      </c>
      <c r="B774" s="2">
        <v>6.1000000000000005</v>
      </c>
      <c r="C774" s="2">
        <v>3.75</v>
      </c>
      <c r="D774" s="2">
        <v>5.08</v>
      </c>
      <c r="E774" s="2">
        <v>5.12</v>
      </c>
      <c r="F774" s="2">
        <v>2.9</v>
      </c>
      <c r="G774" s="6">
        <v>20745</v>
      </c>
      <c r="H774" s="6">
        <v>23599</v>
      </c>
      <c r="I774" s="6">
        <v>8974</v>
      </c>
      <c r="J774" s="6">
        <v>22387</v>
      </c>
      <c r="K774" s="6">
        <v>6471</v>
      </c>
    </row>
    <row r="775" spans="1:12" x14ac:dyDescent="0.2">
      <c r="A775" s="1">
        <v>0.53680555555555598</v>
      </c>
      <c r="B775" s="2">
        <v>6.16</v>
      </c>
      <c r="C775" s="2">
        <v>3.6599999999999997</v>
      </c>
      <c r="D775" s="2">
        <v>4.9400000000000004</v>
      </c>
      <c r="E775" s="2">
        <v>5.25</v>
      </c>
      <c r="F775" s="2">
        <v>2.98</v>
      </c>
      <c r="G775" s="6">
        <v>16478</v>
      </c>
      <c r="H775" s="6">
        <v>19332</v>
      </c>
      <c r="I775" s="6">
        <v>6857</v>
      </c>
      <c r="J775" s="6">
        <v>4565</v>
      </c>
      <c r="K775" s="6">
        <v>7356</v>
      </c>
    </row>
    <row r="776" spans="1:12" x14ac:dyDescent="0.2">
      <c r="A776" s="1">
        <v>0.53749999999999998</v>
      </c>
      <c r="B776" s="2">
        <v>6.28</v>
      </c>
      <c r="C776" s="2">
        <v>3.7399999999999998</v>
      </c>
      <c r="D776" s="2">
        <v>5.1300000000000008</v>
      </c>
      <c r="E776" s="2">
        <v>4.9400000000000004</v>
      </c>
      <c r="F776" s="2">
        <v>3.0300000000000002</v>
      </c>
      <c r="G776" s="6">
        <v>19672</v>
      </c>
      <c r="H776" s="6">
        <v>22526</v>
      </c>
      <c r="I776" s="6">
        <v>9547</v>
      </c>
      <c r="J776" s="6">
        <v>10245</v>
      </c>
      <c r="K776" s="6">
        <v>17070</v>
      </c>
    </row>
    <row r="777" spans="1:12" x14ac:dyDescent="0.2">
      <c r="A777" s="1">
        <v>0.53819444444444398</v>
      </c>
      <c r="B777" s="2">
        <v>6.24</v>
      </c>
      <c r="C777" s="2">
        <v>3.61</v>
      </c>
      <c r="D777" s="2">
        <v>4.9400000000000004</v>
      </c>
      <c r="E777" s="2">
        <v>5.29</v>
      </c>
      <c r="F777" s="2">
        <v>3.0300000000000002</v>
      </c>
      <c r="G777" s="6">
        <v>15679</v>
      </c>
      <c r="H777" s="6">
        <v>18533</v>
      </c>
      <c r="I777" s="6">
        <v>10396</v>
      </c>
      <c r="J777" s="6">
        <v>12411</v>
      </c>
      <c r="K777" s="6">
        <v>17384</v>
      </c>
    </row>
    <row r="778" spans="1:12" x14ac:dyDescent="0.2">
      <c r="A778" s="1">
        <v>0.53888888888888897</v>
      </c>
      <c r="B778" s="2">
        <v>6.2</v>
      </c>
      <c r="C778" s="2">
        <v>3.63</v>
      </c>
      <c r="D778" s="2">
        <v>4.96</v>
      </c>
      <c r="E778" s="2">
        <v>4.99</v>
      </c>
      <c r="F778" s="2">
        <v>3.2</v>
      </c>
      <c r="G778" s="6">
        <v>13347</v>
      </c>
      <c r="H778" s="6">
        <v>16201</v>
      </c>
      <c r="I778" s="6">
        <v>9606</v>
      </c>
      <c r="J778" s="6">
        <v>14989</v>
      </c>
      <c r="K778" s="6">
        <v>13395</v>
      </c>
    </row>
    <row r="779" spans="1:12" x14ac:dyDescent="0.2">
      <c r="A779" s="1">
        <v>0.53958333333333297</v>
      </c>
      <c r="B779" s="2">
        <v>6.07</v>
      </c>
      <c r="C779" s="2">
        <v>3.61</v>
      </c>
      <c r="D779" s="2">
        <v>5.15</v>
      </c>
      <c r="E779" s="2">
        <v>5.03</v>
      </c>
      <c r="F779" s="2">
        <v>2.99</v>
      </c>
      <c r="G779" s="6">
        <v>26425</v>
      </c>
      <c r="H779" s="6">
        <v>29279</v>
      </c>
      <c r="I779" s="6">
        <v>12141</v>
      </c>
      <c r="J779" s="6">
        <v>13542</v>
      </c>
      <c r="K779" s="6">
        <v>18566</v>
      </c>
    </row>
    <row r="780" spans="1:12" x14ac:dyDescent="0.2">
      <c r="A780" s="1">
        <v>0.54027777777777797</v>
      </c>
      <c r="B780" s="2">
        <v>6.2600000000000007</v>
      </c>
      <c r="C780" s="2">
        <v>3.59</v>
      </c>
      <c r="D780" s="2">
        <v>5.07</v>
      </c>
      <c r="E780" s="2">
        <v>5.4700000000000006</v>
      </c>
      <c r="F780" s="2">
        <v>3.14</v>
      </c>
      <c r="G780" s="6">
        <v>15467</v>
      </c>
      <c r="H780" s="6">
        <v>18321</v>
      </c>
      <c r="I780" s="6">
        <v>10183</v>
      </c>
      <c r="J780" s="6">
        <v>17109</v>
      </c>
      <c r="K780" s="6">
        <v>11250</v>
      </c>
    </row>
    <row r="781" spans="1:12" x14ac:dyDescent="0.2">
      <c r="A781" s="1">
        <v>0.54097222222222197</v>
      </c>
      <c r="B781" s="2">
        <v>6.19</v>
      </c>
      <c r="C781" s="2">
        <v>3.6999999999999997</v>
      </c>
      <c r="D781" s="2">
        <v>5.16</v>
      </c>
      <c r="E781" s="2">
        <v>4.9300000000000006</v>
      </c>
      <c r="F781" s="2">
        <v>2.99</v>
      </c>
      <c r="G781" s="6">
        <v>12636</v>
      </c>
      <c r="H781" s="6">
        <v>15490</v>
      </c>
      <c r="I781" s="6">
        <v>8352</v>
      </c>
      <c r="J781" s="6">
        <v>9245</v>
      </c>
      <c r="K781" s="6">
        <v>15173</v>
      </c>
    </row>
    <row r="782" spans="1:12" x14ac:dyDescent="0.2">
      <c r="A782" s="3">
        <v>0.54166666666666696</v>
      </c>
      <c r="B782" s="4">
        <v>6.19</v>
      </c>
      <c r="C782" s="4">
        <v>3.66</v>
      </c>
      <c r="D782" s="4">
        <v>5.09</v>
      </c>
      <c r="E782" s="4">
        <v>5.26</v>
      </c>
      <c r="F782" s="4">
        <v>3.09</v>
      </c>
      <c r="G782" s="7">
        <v>10280</v>
      </c>
      <c r="H782" s="7">
        <v>12500</v>
      </c>
      <c r="I782" s="6">
        <v>7423</v>
      </c>
      <c r="J782" s="7">
        <v>8085</v>
      </c>
      <c r="K782" s="7">
        <v>10770</v>
      </c>
    </row>
    <row r="783" spans="1:12" x14ac:dyDescent="0.2">
      <c r="A783" s="1">
        <v>0.54236111111111096</v>
      </c>
      <c r="B783" s="2">
        <v>6.1000000000000005</v>
      </c>
      <c r="C783" s="2">
        <v>3.73</v>
      </c>
      <c r="D783" s="2">
        <v>5.16</v>
      </c>
      <c r="E783" s="2">
        <v>5.33</v>
      </c>
      <c r="F783" s="2">
        <v>3.3200000000000003</v>
      </c>
      <c r="G783" s="6">
        <v>12355</v>
      </c>
      <c r="H783" s="6">
        <f>G783+1554</f>
        <v>13909</v>
      </c>
      <c r="I783" s="6">
        <v>7261</v>
      </c>
      <c r="J783" s="6">
        <f>I783-624</f>
        <v>6637</v>
      </c>
      <c r="K783" s="6">
        <v>5334</v>
      </c>
      <c r="L783" s="2"/>
    </row>
    <row r="784" spans="1:12" x14ac:dyDescent="0.2">
      <c r="A784" s="1">
        <v>0.54305555555555596</v>
      </c>
      <c r="B784" s="2">
        <v>6.29</v>
      </c>
      <c r="C784" s="2">
        <v>3.59</v>
      </c>
      <c r="D784" s="2">
        <v>4.9000000000000004</v>
      </c>
      <c r="E784" s="2">
        <v>5.24</v>
      </c>
      <c r="F784" s="2">
        <v>3.2600000000000002</v>
      </c>
      <c r="G784" s="6">
        <v>15548</v>
      </c>
      <c r="H784" s="6">
        <f t="shared" ref="H784:H841" si="19">G784+1554</f>
        <v>17102</v>
      </c>
      <c r="I784" s="6">
        <v>10454</v>
      </c>
      <c r="J784" s="6">
        <f t="shared" ref="J784:J828" si="20">I784-624</f>
        <v>9830</v>
      </c>
      <c r="K784" s="6">
        <v>7937</v>
      </c>
      <c r="L784" s="2"/>
    </row>
    <row r="785" spans="1:12" x14ac:dyDescent="0.2">
      <c r="A785" s="1">
        <v>0.54374999999999996</v>
      </c>
      <c r="B785" s="2">
        <v>6.2</v>
      </c>
      <c r="C785" s="2">
        <v>3.65</v>
      </c>
      <c r="D785" s="2">
        <v>4.8900000000000006</v>
      </c>
      <c r="E785" s="2">
        <v>4.9300000000000006</v>
      </c>
      <c r="F785" s="2">
        <v>3.2</v>
      </c>
      <c r="G785" s="6">
        <v>13545</v>
      </c>
      <c r="H785" s="6">
        <f t="shared" si="19"/>
        <v>15099</v>
      </c>
      <c r="I785" s="6">
        <v>8451</v>
      </c>
      <c r="J785" s="6">
        <f t="shared" si="20"/>
        <v>7827</v>
      </c>
      <c r="K785" s="6">
        <v>9458</v>
      </c>
      <c r="L785" s="2"/>
    </row>
    <row r="786" spans="1:12" x14ac:dyDescent="0.2">
      <c r="A786" s="1">
        <v>0.54444444444444495</v>
      </c>
      <c r="B786" s="2">
        <v>6.19</v>
      </c>
      <c r="C786" s="2">
        <v>3.5399999999999996</v>
      </c>
      <c r="D786" s="2">
        <v>5.17</v>
      </c>
      <c r="E786" s="2">
        <v>5.03</v>
      </c>
      <c r="F786" s="2">
        <v>2.99</v>
      </c>
      <c r="G786" s="6">
        <v>15324</v>
      </c>
      <c r="H786" s="6">
        <f t="shared" si="19"/>
        <v>16878</v>
      </c>
      <c r="I786" s="6">
        <v>10230</v>
      </c>
      <c r="J786" s="6">
        <f t="shared" si="20"/>
        <v>9606</v>
      </c>
      <c r="K786" s="6">
        <v>10872</v>
      </c>
      <c r="L786" s="2"/>
    </row>
    <row r="787" spans="1:12" x14ac:dyDescent="0.2">
      <c r="A787" s="1">
        <v>0.54513888888888895</v>
      </c>
      <c r="B787" s="2">
        <v>6.09</v>
      </c>
      <c r="C787" s="2">
        <v>3.5599999999999996</v>
      </c>
      <c r="D787" s="2">
        <v>5.24</v>
      </c>
      <c r="E787" s="2">
        <v>5.5200000000000005</v>
      </c>
      <c r="F787" s="2">
        <v>3.3000000000000003</v>
      </c>
      <c r="G787" s="6">
        <v>15545</v>
      </c>
      <c r="H787" s="6">
        <f t="shared" si="19"/>
        <v>17099</v>
      </c>
      <c r="I787" s="6">
        <v>10451</v>
      </c>
      <c r="J787" s="6">
        <f t="shared" si="20"/>
        <v>9827</v>
      </c>
      <c r="K787" s="6">
        <v>9858</v>
      </c>
      <c r="L787" s="2"/>
    </row>
    <row r="788" spans="1:12" x14ac:dyDescent="0.2">
      <c r="A788" s="1">
        <v>0.54583333333333295</v>
      </c>
      <c r="B788" s="2">
        <v>6.1000000000000005</v>
      </c>
      <c r="C788" s="2">
        <v>3.5999999999999996</v>
      </c>
      <c r="D788" s="2">
        <v>5.2200000000000006</v>
      </c>
      <c r="E788" s="2">
        <v>5.2600000000000007</v>
      </c>
      <c r="F788" s="2">
        <v>3.08</v>
      </c>
      <c r="G788" s="6">
        <v>19898</v>
      </c>
      <c r="H788" s="6">
        <f t="shared" si="19"/>
        <v>21452</v>
      </c>
      <c r="I788" s="6">
        <v>14804</v>
      </c>
      <c r="J788" s="6">
        <f t="shared" si="20"/>
        <v>14180</v>
      </c>
      <c r="K788" s="6">
        <v>9740</v>
      </c>
      <c r="L788" s="2"/>
    </row>
    <row r="789" spans="1:12" x14ac:dyDescent="0.2">
      <c r="A789" s="1">
        <v>0.54652777777777795</v>
      </c>
      <c r="B789" s="2">
        <v>6.1400000000000006</v>
      </c>
      <c r="C789" s="2">
        <v>3.5599999999999996</v>
      </c>
      <c r="D789" s="2">
        <v>4.8600000000000003</v>
      </c>
      <c r="E789" s="2">
        <v>5.41</v>
      </c>
      <c r="F789" s="2">
        <v>3</v>
      </c>
      <c r="G789" s="6">
        <v>26425</v>
      </c>
      <c r="H789" s="6">
        <f t="shared" si="19"/>
        <v>27979</v>
      </c>
      <c r="I789" s="6">
        <v>21331</v>
      </c>
      <c r="J789" s="6">
        <f t="shared" si="20"/>
        <v>20707</v>
      </c>
      <c r="K789" s="6">
        <v>17466</v>
      </c>
      <c r="L789" s="2"/>
    </row>
    <row r="790" spans="1:12" x14ac:dyDescent="0.2">
      <c r="A790" s="1">
        <v>0.54722222222222205</v>
      </c>
      <c r="B790" s="2">
        <v>6.16</v>
      </c>
      <c r="C790" s="2">
        <v>3.5199999999999996</v>
      </c>
      <c r="D790" s="2">
        <v>5.03</v>
      </c>
      <c r="E790" s="2">
        <v>5.0100000000000007</v>
      </c>
      <c r="F790" s="2">
        <v>3.33</v>
      </c>
      <c r="G790" s="6">
        <v>22345</v>
      </c>
      <c r="H790" s="6">
        <f t="shared" si="19"/>
        <v>23899</v>
      </c>
      <c r="I790" s="6">
        <v>17251</v>
      </c>
      <c r="J790" s="6">
        <f t="shared" si="20"/>
        <v>16627</v>
      </c>
      <c r="K790" s="6">
        <v>16793</v>
      </c>
      <c r="L790" s="2"/>
    </row>
    <row r="791" spans="1:12" x14ac:dyDescent="0.2">
      <c r="A791" s="1">
        <v>0.54791666666666705</v>
      </c>
      <c r="B791" s="2">
        <v>6.29</v>
      </c>
      <c r="C791" s="2">
        <v>3.7199999999999998</v>
      </c>
      <c r="D791" s="2">
        <v>5.17</v>
      </c>
      <c r="E791" s="2">
        <v>5.15</v>
      </c>
      <c r="F791" s="2">
        <v>3.2600000000000002</v>
      </c>
      <c r="G791" s="6">
        <v>12545</v>
      </c>
      <c r="H791" s="6">
        <f t="shared" si="19"/>
        <v>14099</v>
      </c>
      <c r="I791" s="6">
        <v>7451</v>
      </c>
      <c r="J791" s="6">
        <f t="shared" si="20"/>
        <v>6827</v>
      </c>
      <c r="K791" s="6">
        <v>10315</v>
      </c>
      <c r="L791" s="2"/>
    </row>
    <row r="792" spans="1:12" x14ac:dyDescent="0.2">
      <c r="A792" s="1">
        <v>0.54861111111111105</v>
      </c>
      <c r="B792" s="2">
        <v>6.08</v>
      </c>
      <c r="C792" s="2">
        <v>3.7399999999999998</v>
      </c>
      <c r="D792" s="2">
        <v>4.9300000000000006</v>
      </c>
      <c r="E792" s="2">
        <v>4.96</v>
      </c>
      <c r="F792" s="2">
        <v>3.06</v>
      </c>
      <c r="G792" s="6">
        <v>28632</v>
      </c>
      <c r="H792" s="6">
        <f t="shared" si="19"/>
        <v>30186</v>
      </c>
      <c r="I792" s="6">
        <v>23538</v>
      </c>
      <c r="J792" s="6">
        <f t="shared" si="20"/>
        <v>22914</v>
      </c>
      <c r="K792" s="6">
        <v>5961</v>
      </c>
      <c r="L792" s="2"/>
    </row>
    <row r="793" spans="1:12" x14ac:dyDescent="0.2">
      <c r="A793" s="1">
        <v>0.54930555555555605</v>
      </c>
      <c r="B793" s="2">
        <v>6.12</v>
      </c>
      <c r="C793" s="2">
        <v>3.5599999999999996</v>
      </c>
      <c r="D793" s="2">
        <v>4.8900000000000006</v>
      </c>
      <c r="E793" s="2">
        <v>5.0200000000000005</v>
      </c>
      <c r="F793" s="2">
        <v>3.13</v>
      </c>
      <c r="G793" s="6">
        <v>32462</v>
      </c>
      <c r="H793" s="6">
        <f t="shared" si="19"/>
        <v>34016</v>
      </c>
      <c r="I793" s="6">
        <v>27368</v>
      </c>
      <c r="J793" s="6">
        <f t="shared" si="20"/>
        <v>26744</v>
      </c>
      <c r="K793" s="6">
        <v>5515</v>
      </c>
      <c r="L793" s="2"/>
    </row>
    <row r="794" spans="1:12" x14ac:dyDescent="0.2">
      <c r="A794" s="1">
        <v>0.55000000000000004</v>
      </c>
      <c r="B794" s="2">
        <v>6.21</v>
      </c>
      <c r="C794" s="2">
        <v>3.69</v>
      </c>
      <c r="D794" s="2">
        <v>5.07</v>
      </c>
      <c r="E794" s="2">
        <v>5.23</v>
      </c>
      <c r="F794" s="2">
        <v>2.89</v>
      </c>
      <c r="G794" s="6">
        <v>25647</v>
      </c>
      <c r="H794" s="6">
        <f t="shared" si="19"/>
        <v>27201</v>
      </c>
      <c r="I794" s="6">
        <v>20553</v>
      </c>
      <c r="J794" s="6">
        <f t="shared" si="20"/>
        <v>19929</v>
      </c>
      <c r="K794" s="6">
        <v>9608</v>
      </c>
      <c r="L794" s="2"/>
    </row>
    <row r="795" spans="1:12" x14ac:dyDescent="0.2">
      <c r="A795" s="1">
        <v>0.55069444444444404</v>
      </c>
      <c r="B795" s="2">
        <v>6.28</v>
      </c>
      <c r="C795" s="2">
        <v>3.6599999999999997</v>
      </c>
      <c r="D795" s="2">
        <v>5.1800000000000006</v>
      </c>
      <c r="E795" s="2">
        <v>5.4</v>
      </c>
      <c r="F795" s="2">
        <v>3.2600000000000002</v>
      </c>
      <c r="G795" s="6">
        <v>20340</v>
      </c>
      <c r="H795" s="6">
        <f t="shared" si="19"/>
        <v>21894</v>
      </c>
      <c r="I795" s="6">
        <v>15246</v>
      </c>
      <c r="J795" s="6">
        <f t="shared" si="20"/>
        <v>14622</v>
      </c>
      <c r="K795" s="6">
        <v>5383</v>
      </c>
      <c r="L795" s="2"/>
    </row>
    <row r="796" spans="1:12" x14ac:dyDescent="0.2">
      <c r="A796" s="1">
        <v>0.55138888888888904</v>
      </c>
      <c r="B796" s="2">
        <v>6.3100000000000005</v>
      </c>
      <c r="C796" s="2">
        <v>3.5199999999999996</v>
      </c>
      <c r="D796" s="2">
        <v>4.99</v>
      </c>
      <c r="E796" s="2">
        <v>5.28</v>
      </c>
      <c r="F796" s="2">
        <v>2.87</v>
      </c>
      <c r="G796" s="6">
        <v>15645</v>
      </c>
      <c r="H796" s="6">
        <f t="shared" si="19"/>
        <v>17199</v>
      </c>
      <c r="I796" s="6">
        <v>10551</v>
      </c>
      <c r="J796" s="6">
        <f t="shared" si="20"/>
        <v>9927</v>
      </c>
      <c r="K796" s="6">
        <v>12083</v>
      </c>
      <c r="L796" s="2"/>
    </row>
    <row r="797" spans="1:12" x14ac:dyDescent="0.2">
      <c r="A797" s="1">
        <v>0.55208333333333304</v>
      </c>
      <c r="B797" s="2">
        <v>6.3100000000000005</v>
      </c>
      <c r="C797" s="2">
        <v>3.51</v>
      </c>
      <c r="D797" s="2">
        <v>4.95</v>
      </c>
      <c r="E797" s="2">
        <v>5.2700000000000005</v>
      </c>
      <c r="F797" s="2">
        <v>3.25</v>
      </c>
      <c r="G797" s="6">
        <v>19454</v>
      </c>
      <c r="H797" s="6">
        <f t="shared" si="19"/>
        <v>21008</v>
      </c>
      <c r="I797" s="6">
        <v>14360</v>
      </c>
      <c r="J797" s="6">
        <f t="shared" si="20"/>
        <v>13736</v>
      </c>
      <c r="K797" s="6">
        <v>7580</v>
      </c>
      <c r="L797" s="2"/>
    </row>
    <row r="798" spans="1:12" x14ac:dyDescent="0.2">
      <c r="A798" s="1">
        <v>0.55277777777777803</v>
      </c>
      <c r="B798" s="2">
        <v>6.07</v>
      </c>
      <c r="C798" s="2">
        <v>3.55</v>
      </c>
      <c r="D798" s="2">
        <v>5.1800000000000006</v>
      </c>
      <c r="E798" s="2">
        <v>5.34</v>
      </c>
      <c r="F798" s="2">
        <v>2.86</v>
      </c>
      <c r="G798" s="6">
        <v>20957</v>
      </c>
      <c r="H798" s="6">
        <f t="shared" si="19"/>
        <v>22511</v>
      </c>
      <c r="I798" s="6">
        <v>15863</v>
      </c>
      <c r="J798" s="6">
        <f t="shared" si="20"/>
        <v>15239</v>
      </c>
      <c r="K798" s="6">
        <v>11131</v>
      </c>
      <c r="L798" s="2"/>
    </row>
    <row r="799" spans="1:12" x14ac:dyDescent="0.2">
      <c r="A799" s="1">
        <v>0.55347222222222203</v>
      </c>
      <c r="B799" s="2">
        <v>6.3000000000000007</v>
      </c>
      <c r="C799" s="2">
        <v>3.5999999999999996</v>
      </c>
      <c r="D799" s="2">
        <v>4.9300000000000006</v>
      </c>
      <c r="E799" s="2">
        <v>5.5100000000000007</v>
      </c>
      <c r="F799" s="2">
        <v>2.95</v>
      </c>
      <c r="G799" s="6">
        <v>25678</v>
      </c>
      <c r="H799" s="6">
        <f t="shared" si="19"/>
        <v>27232</v>
      </c>
      <c r="I799" s="6">
        <v>16254</v>
      </c>
      <c r="J799" s="6">
        <f t="shared" si="20"/>
        <v>15630</v>
      </c>
      <c r="K799" s="6">
        <v>9369</v>
      </c>
      <c r="L799" s="2"/>
    </row>
    <row r="800" spans="1:12" x14ac:dyDescent="0.2">
      <c r="A800" s="1">
        <v>0.55416666666666703</v>
      </c>
      <c r="B800" s="2">
        <v>6.1800000000000006</v>
      </c>
      <c r="C800" s="2">
        <v>3.78</v>
      </c>
      <c r="D800" s="2">
        <v>5.2600000000000007</v>
      </c>
      <c r="E800" s="2">
        <v>5.21</v>
      </c>
      <c r="F800" s="2">
        <v>3</v>
      </c>
      <c r="G800" s="6">
        <v>33254</v>
      </c>
      <c r="H800" s="6">
        <f t="shared" si="19"/>
        <v>34808</v>
      </c>
      <c r="I800" s="6">
        <v>18452</v>
      </c>
      <c r="J800" s="6">
        <f t="shared" si="20"/>
        <v>17828</v>
      </c>
      <c r="K800" s="6">
        <v>6166</v>
      </c>
      <c r="L800" s="2"/>
    </row>
    <row r="801" spans="1:12" x14ac:dyDescent="0.2">
      <c r="A801" s="1">
        <v>0.55486111111111103</v>
      </c>
      <c r="B801" s="2">
        <v>6.1400000000000006</v>
      </c>
      <c r="C801" s="2">
        <v>3.67</v>
      </c>
      <c r="D801" s="2">
        <v>4.8900000000000006</v>
      </c>
      <c r="E801" s="2">
        <v>4.91</v>
      </c>
      <c r="F801" s="2">
        <v>3.33</v>
      </c>
      <c r="G801" s="6">
        <v>28245</v>
      </c>
      <c r="H801" s="6">
        <f t="shared" si="19"/>
        <v>29799</v>
      </c>
      <c r="I801" s="6">
        <v>16852</v>
      </c>
      <c r="J801" s="6">
        <f t="shared" si="20"/>
        <v>16228</v>
      </c>
      <c r="K801" s="6">
        <v>9072</v>
      </c>
      <c r="L801" s="2"/>
    </row>
    <row r="802" spans="1:12" x14ac:dyDescent="0.2">
      <c r="A802" s="1">
        <v>0.55555555555555602</v>
      </c>
      <c r="B802" s="2">
        <v>6.11</v>
      </c>
      <c r="C802" s="2">
        <v>3.6799999999999997</v>
      </c>
      <c r="D802" s="2">
        <v>5.2200000000000006</v>
      </c>
      <c r="E802" s="2">
        <v>5.36</v>
      </c>
      <c r="F802" s="2">
        <v>3.02</v>
      </c>
      <c r="G802" s="6">
        <v>23454</v>
      </c>
      <c r="H802" s="6">
        <f t="shared" si="19"/>
        <v>25008</v>
      </c>
      <c r="I802" s="6">
        <v>14245</v>
      </c>
      <c r="J802" s="6">
        <v>11587</v>
      </c>
      <c r="K802" s="6">
        <v>5075</v>
      </c>
      <c r="L802" s="2"/>
    </row>
    <row r="803" spans="1:12" x14ac:dyDescent="0.2">
      <c r="A803" s="1">
        <v>0.55625000000000002</v>
      </c>
      <c r="B803" s="2">
        <v>6.2600000000000007</v>
      </c>
      <c r="C803" s="2">
        <v>3.6599999999999997</v>
      </c>
      <c r="D803" s="2">
        <v>4.92</v>
      </c>
      <c r="E803" s="2">
        <v>5.17</v>
      </c>
      <c r="F803" s="2">
        <v>3.02</v>
      </c>
      <c r="G803" s="6">
        <v>18952</v>
      </c>
      <c r="H803" s="6">
        <f t="shared" si="19"/>
        <v>20506</v>
      </c>
      <c r="I803" s="6">
        <v>11254</v>
      </c>
      <c r="J803" s="6">
        <v>8957</v>
      </c>
      <c r="K803" s="6">
        <v>11759</v>
      </c>
      <c r="L803" s="2"/>
    </row>
    <row r="804" spans="1:12" x14ac:dyDescent="0.2">
      <c r="A804" s="1">
        <v>0.55694444444444402</v>
      </c>
      <c r="B804" s="2">
        <v>6.1400000000000006</v>
      </c>
      <c r="C804" s="2">
        <v>3.6999999999999997</v>
      </c>
      <c r="D804" s="2">
        <v>5.04</v>
      </c>
      <c r="E804" s="2">
        <v>5.13</v>
      </c>
      <c r="F804" s="2">
        <v>2.83</v>
      </c>
      <c r="G804" s="6">
        <v>12265</v>
      </c>
      <c r="H804" s="6">
        <f t="shared" si="19"/>
        <v>13819</v>
      </c>
      <c r="I804" s="6">
        <v>7558</v>
      </c>
      <c r="J804" s="6">
        <f t="shared" si="20"/>
        <v>6934</v>
      </c>
      <c r="K804" s="6">
        <v>10893</v>
      </c>
      <c r="L804" s="2"/>
    </row>
    <row r="805" spans="1:12" x14ac:dyDescent="0.2">
      <c r="A805" s="1">
        <v>0.55763888888888902</v>
      </c>
      <c r="B805" s="2">
        <v>6.3000000000000007</v>
      </c>
      <c r="C805" s="2">
        <v>3.7399999999999998</v>
      </c>
      <c r="D805" s="2">
        <v>5.15</v>
      </c>
      <c r="E805" s="2">
        <v>5.07</v>
      </c>
      <c r="F805" s="2">
        <v>3.3000000000000003</v>
      </c>
      <c r="G805" s="6">
        <v>22354</v>
      </c>
      <c r="H805" s="6">
        <f t="shared" si="19"/>
        <v>23908</v>
      </c>
      <c r="I805" s="6">
        <v>12545</v>
      </c>
      <c r="J805" s="6">
        <v>8579</v>
      </c>
      <c r="K805" s="6">
        <v>5820</v>
      </c>
      <c r="L805" s="2"/>
    </row>
    <row r="806" spans="1:12" x14ac:dyDescent="0.2">
      <c r="A806" s="1">
        <v>0.55833333333333302</v>
      </c>
      <c r="B806" s="2">
        <v>6.23</v>
      </c>
      <c r="C806" s="2">
        <v>3.5599999999999996</v>
      </c>
      <c r="D806" s="2">
        <v>4.92</v>
      </c>
      <c r="E806" s="2">
        <v>5.41</v>
      </c>
      <c r="F806" s="2">
        <v>3.15</v>
      </c>
      <c r="G806" s="6">
        <v>15645</v>
      </c>
      <c r="H806" s="6">
        <f t="shared" si="19"/>
        <v>17199</v>
      </c>
      <c r="I806" s="6">
        <v>9524</v>
      </c>
      <c r="J806" s="6">
        <v>7598</v>
      </c>
      <c r="K806" s="6">
        <v>6287</v>
      </c>
      <c r="L806" s="2"/>
    </row>
    <row r="807" spans="1:12" x14ac:dyDescent="0.2">
      <c r="A807" s="1">
        <v>0.55902777777777801</v>
      </c>
      <c r="B807" s="2">
        <v>6.13</v>
      </c>
      <c r="C807" s="2">
        <v>3.63</v>
      </c>
      <c r="D807" s="2">
        <v>4.88</v>
      </c>
      <c r="E807" s="2">
        <v>5.1100000000000003</v>
      </c>
      <c r="F807" s="2">
        <v>3.14</v>
      </c>
      <c r="G807" s="6">
        <v>23547</v>
      </c>
      <c r="H807" s="6">
        <f t="shared" si="19"/>
        <v>25101</v>
      </c>
      <c r="I807" s="6">
        <v>14245</v>
      </c>
      <c r="J807" s="6">
        <v>12548</v>
      </c>
      <c r="K807" s="6">
        <v>5777</v>
      </c>
      <c r="L807" s="2"/>
    </row>
    <row r="808" spans="1:12" x14ac:dyDescent="0.2">
      <c r="A808" s="1">
        <v>0.55972222222222201</v>
      </c>
      <c r="B808" s="2">
        <v>6.1400000000000006</v>
      </c>
      <c r="C808" s="2">
        <v>3.6799999999999997</v>
      </c>
      <c r="D808" s="2">
        <v>5.1800000000000006</v>
      </c>
      <c r="E808" s="2">
        <v>5.24</v>
      </c>
      <c r="F808" s="2">
        <v>3.2600000000000002</v>
      </c>
      <c r="G808" s="6">
        <v>25458</v>
      </c>
      <c r="H808" s="6">
        <f t="shared" si="19"/>
        <v>27012</v>
      </c>
      <c r="I808" s="6">
        <v>16542</v>
      </c>
      <c r="J808" s="6">
        <v>12689</v>
      </c>
      <c r="K808" s="6">
        <v>7895</v>
      </c>
      <c r="L808" s="2"/>
    </row>
    <row r="809" spans="1:12" x14ac:dyDescent="0.2">
      <c r="A809" s="1">
        <v>0.56041666666666701</v>
      </c>
      <c r="B809" s="2">
        <v>6.1400000000000006</v>
      </c>
      <c r="C809" s="2">
        <v>3.63</v>
      </c>
      <c r="D809" s="2">
        <v>5.1300000000000008</v>
      </c>
      <c r="E809" s="2">
        <v>5.1100000000000003</v>
      </c>
      <c r="F809" s="2">
        <v>2.99</v>
      </c>
      <c r="G809" s="6">
        <v>15889</v>
      </c>
      <c r="H809" s="6">
        <f t="shared" si="19"/>
        <v>17443</v>
      </c>
      <c r="I809" s="6">
        <v>9548</v>
      </c>
      <c r="J809" s="6">
        <v>7958</v>
      </c>
      <c r="K809" s="6">
        <v>12367</v>
      </c>
      <c r="L809" s="2"/>
    </row>
    <row r="810" spans="1:12" x14ac:dyDescent="0.2">
      <c r="A810" s="1">
        <v>0.56111111111111101</v>
      </c>
      <c r="B810" s="2">
        <v>6.15</v>
      </c>
      <c r="C810" s="2">
        <v>3.63</v>
      </c>
      <c r="D810" s="2">
        <v>5.07</v>
      </c>
      <c r="E810" s="2">
        <v>5.0500000000000007</v>
      </c>
      <c r="F810" s="2">
        <v>2.92</v>
      </c>
      <c r="G810" s="6">
        <v>23654</v>
      </c>
      <c r="H810" s="6">
        <f t="shared" si="19"/>
        <v>25208</v>
      </c>
      <c r="I810" s="6">
        <v>15482</v>
      </c>
      <c r="J810" s="6">
        <v>12697</v>
      </c>
      <c r="K810" s="6">
        <v>10770</v>
      </c>
      <c r="L810" s="2"/>
    </row>
    <row r="811" spans="1:12" x14ac:dyDescent="0.2">
      <c r="A811" s="1">
        <v>0.561805555555556</v>
      </c>
      <c r="B811" s="2">
        <v>6.17</v>
      </c>
      <c r="C811" s="2">
        <v>3.69</v>
      </c>
      <c r="D811" s="2">
        <v>5.03</v>
      </c>
      <c r="E811" s="2">
        <v>4.87</v>
      </c>
      <c r="F811" s="2">
        <v>3.2</v>
      </c>
      <c r="G811" s="6">
        <v>19688</v>
      </c>
      <c r="H811" s="6">
        <f t="shared" si="19"/>
        <v>21242</v>
      </c>
      <c r="I811" s="6">
        <v>11245</v>
      </c>
      <c r="J811" s="6">
        <f t="shared" si="20"/>
        <v>10621</v>
      </c>
      <c r="K811" s="6">
        <v>11347</v>
      </c>
      <c r="L811" s="2"/>
    </row>
    <row r="812" spans="1:12" x14ac:dyDescent="0.2">
      <c r="A812" s="1">
        <v>0.5625</v>
      </c>
      <c r="B812" s="2">
        <v>6.1400000000000006</v>
      </c>
      <c r="C812" s="2">
        <v>3.57</v>
      </c>
      <c r="D812" s="2">
        <v>5.07</v>
      </c>
      <c r="E812" s="2">
        <v>5.0100000000000007</v>
      </c>
      <c r="F812" s="2">
        <v>2.91</v>
      </c>
      <c r="G812" s="6">
        <v>15432</v>
      </c>
      <c r="H812" s="6">
        <f t="shared" si="19"/>
        <v>16986</v>
      </c>
      <c r="I812" s="6">
        <v>10438</v>
      </c>
      <c r="J812" s="6">
        <v>8578</v>
      </c>
      <c r="K812" s="6">
        <v>10603</v>
      </c>
      <c r="L812" s="2"/>
    </row>
    <row r="813" spans="1:12" x14ac:dyDescent="0.2">
      <c r="A813" s="1">
        <v>0.563194444444444</v>
      </c>
      <c r="B813" s="2">
        <v>6.17</v>
      </c>
      <c r="C813" s="2">
        <v>3.51</v>
      </c>
      <c r="D813" s="2">
        <v>4.95</v>
      </c>
      <c r="E813" s="2">
        <v>5.2600000000000007</v>
      </c>
      <c r="F813" s="2">
        <v>3.0700000000000003</v>
      </c>
      <c r="G813" s="6">
        <v>19582</v>
      </c>
      <c r="H813" s="6">
        <f t="shared" si="19"/>
        <v>21136</v>
      </c>
      <c r="I813" s="6">
        <v>14588</v>
      </c>
      <c r="J813" s="6">
        <f t="shared" si="20"/>
        <v>13964</v>
      </c>
      <c r="K813" s="6">
        <v>7537</v>
      </c>
      <c r="L813" s="2"/>
    </row>
    <row r="814" spans="1:12" x14ac:dyDescent="0.2">
      <c r="A814" s="1">
        <v>0.56388888888888899</v>
      </c>
      <c r="B814" s="2">
        <v>6.32</v>
      </c>
      <c r="C814" s="2">
        <v>3.6199999999999997</v>
      </c>
      <c r="D814" s="2">
        <v>5.16</v>
      </c>
      <c r="E814" s="2">
        <v>4.9400000000000004</v>
      </c>
      <c r="F814" s="2">
        <v>3.1100000000000003</v>
      </c>
      <c r="G814" s="6">
        <v>21587</v>
      </c>
      <c r="H814" s="6">
        <f t="shared" si="19"/>
        <v>23141</v>
      </c>
      <c r="I814" s="6">
        <v>16593</v>
      </c>
      <c r="J814" s="6">
        <f t="shared" si="20"/>
        <v>15969</v>
      </c>
      <c r="K814" s="6">
        <v>9780</v>
      </c>
      <c r="L814" s="2"/>
    </row>
    <row r="815" spans="1:12" x14ac:dyDescent="0.2">
      <c r="A815" s="1">
        <v>0.56458333333333299</v>
      </c>
      <c r="B815" s="2">
        <v>6.07</v>
      </c>
      <c r="C815" s="2">
        <v>3.73</v>
      </c>
      <c r="D815" s="2">
        <v>4.99</v>
      </c>
      <c r="E815" s="2">
        <v>5.09</v>
      </c>
      <c r="F815" s="2">
        <v>3.1</v>
      </c>
      <c r="G815" s="6">
        <v>22654</v>
      </c>
      <c r="H815" s="6">
        <f t="shared" si="19"/>
        <v>24208</v>
      </c>
      <c r="I815" s="6">
        <v>17660</v>
      </c>
      <c r="J815" s="6">
        <v>13589</v>
      </c>
      <c r="K815" s="6">
        <v>10399</v>
      </c>
      <c r="L815" s="2"/>
    </row>
    <row r="816" spans="1:12" x14ac:dyDescent="0.2">
      <c r="A816" s="1">
        <v>0.56527777777777799</v>
      </c>
      <c r="B816" s="2">
        <v>6.07</v>
      </c>
      <c r="C816" s="2">
        <v>3.51</v>
      </c>
      <c r="D816" s="2">
        <v>5.03</v>
      </c>
      <c r="E816" s="2">
        <v>4.8600000000000003</v>
      </c>
      <c r="F816" s="2">
        <v>3.08</v>
      </c>
      <c r="G816" s="6">
        <v>26775</v>
      </c>
      <c r="H816" s="6">
        <f t="shared" si="19"/>
        <v>28329</v>
      </c>
      <c r="I816" s="6">
        <v>21781</v>
      </c>
      <c r="J816" s="6">
        <f t="shared" si="20"/>
        <v>21157</v>
      </c>
      <c r="K816" s="6">
        <v>12144</v>
      </c>
      <c r="L816" s="2"/>
    </row>
    <row r="817" spans="1:12" x14ac:dyDescent="0.2">
      <c r="A817" s="1">
        <v>0.56597222222222199</v>
      </c>
      <c r="B817" s="2">
        <v>6.12</v>
      </c>
      <c r="C817" s="2">
        <v>3.63</v>
      </c>
      <c r="D817" s="2">
        <v>5.24</v>
      </c>
      <c r="E817" s="2">
        <v>5.0200000000000005</v>
      </c>
      <c r="F817" s="2">
        <v>3.1</v>
      </c>
      <c r="G817" s="6">
        <v>20504</v>
      </c>
      <c r="H817" s="6">
        <f t="shared" si="19"/>
        <v>22058</v>
      </c>
      <c r="I817" s="6">
        <v>15510</v>
      </c>
      <c r="J817" s="6">
        <v>11282</v>
      </c>
      <c r="K817" s="6">
        <v>8686</v>
      </c>
      <c r="L817" s="2"/>
    </row>
    <row r="818" spans="1:12" x14ac:dyDescent="0.2">
      <c r="A818" s="1">
        <v>0.56666666666666698</v>
      </c>
      <c r="B818" s="2">
        <v>6.15</v>
      </c>
      <c r="C818" s="2">
        <v>3.61</v>
      </c>
      <c r="D818" s="2">
        <v>5.1800000000000006</v>
      </c>
      <c r="E818" s="2">
        <v>4.9800000000000004</v>
      </c>
      <c r="F818" s="2">
        <v>3.0700000000000003</v>
      </c>
      <c r="G818" s="6">
        <v>19578</v>
      </c>
      <c r="H818" s="6">
        <f t="shared" si="19"/>
        <v>21132</v>
      </c>
      <c r="I818" s="6">
        <v>13545</v>
      </c>
      <c r="J818" s="6">
        <v>10258</v>
      </c>
      <c r="K818" s="6">
        <v>5802</v>
      </c>
      <c r="L818" s="2"/>
    </row>
    <row r="819" spans="1:12" x14ac:dyDescent="0.2">
      <c r="A819" s="1">
        <v>0.56736111111111098</v>
      </c>
      <c r="B819" s="2">
        <v>6.1800000000000006</v>
      </c>
      <c r="C819" s="2">
        <v>3.6399999999999997</v>
      </c>
      <c r="D819" s="2">
        <v>4.9000000000000004</v>
      </c>
      <c r="E819" s="2">
        <v>5</v>
      </c>
      <c r="F819" s="2">
        <v>3.14</v>
      </c>
      <c r="G819" s="6">
        <v>22672</v>
      </c>
      <c r="H819" s="6">
        <f t="shared" si="19"/>
        <v>24226</v>
      </c>
      <c r="I819" s="6">
        <v>16542</v>
      </c>
      <c r="J819" s="6">
        <v>12042</v>
      </c>
      <c r="K819" s="6">
        <v>10866</v>
      </c>
      <c r="L819" s="2"/>
    </row>
    <row r="820" spans="1:12" x14ac:dyDescent="0.2">
      <c r="A820" s="1">
        <v>0.56805555555555598</v>
      </c>
      <c r="B820" s="2">
        <v>6.1800000000000006</v>
      </c>
      <c r="C820" s="2">
        <v>3.5999999999999996</v>
      </c>
      <c r="D820" s="2">
        <v>5.0900000000000007</v>
      </c>
      <c r="E820" s="2">
        <v>5.2</v>
      </c>
      <c r="F820" s="2">
        <v>3.2600000000000002</v>
      </c>
      <c r="G820" s="6">
        <v>13245</v>
      </c>
      <c r="H820" s="6">
        <f t="shared" si="19"/>
        <v>14799</v>
      </c>
      <c r="I820" s="6">
        <v>8545</v>
      </c>
      <c r="J820" s="6">
        <v>6287</v>
      </c>
      <c r="K820" s="6">
        <v>9702</v>
      </c>
      <c r="L820" s="2"/>
    </row>
    <row r="821" spans="1:12" x14ac:dyDescent="0.2">
      <c r="A821" s="1">
        <v>0.56874999999999998</v>
      </c>
      <c r="B821" s="2">
        <v>6.2</v>
      </c>
      <c r="C821" s="2">
        <v>3.59</v>
      </c>
      <c r="D821" s="2">
        <v>4.9700000000000006</v>
      </c>
      <c r="E821" s="2">
        <v>5.4</v>
      </c>
      <c r="F821" s="2">
        <v>3.34</v>
      </c>
      <c r="G821" s="6">
        <v>16723</v>
      </c>
      <c r="H821" s="6">
        <f t="shared" si="19"/>
        <v>18277</v>
      </c>
      <c r="I821" s="6">
        <v>10224</v>
      </c>
      <c r="J821" s="6">
        <f t="shared" si="20"/>
        <v>9600</v>
      </c>
      <c r="K821" s="6">
        <v>6076</v>
      </c>
      <c r="L821" s="2"/>
    </row>
    <row r="822" spans="1:12" x14ac:dyDescent="0.2">
      <c r="A822" s="1">
        <v>0.56944444444444398</v>
      </c>
      <c r="B822" s="2">
        <v>6.17</v>
      </c>
      <c r="C822" s="2">
        <v>3.5799999999999996</v>
      </c>
      <c r="D822" s="2">
        <v>5.1100000000000003</v>
      </c>
      <c r="E822" s="2">
        <v>4.92</v>
      </c>
      <c r="F822" s="2">
        <v>3.2800000000000002</v>
      </c>
      <c r="G822" s="6">
        <v>16735</v>
      </c>
      <c r="H822" s="6">
        <f t="shared" si="19"/>
        <v>18289</v>
      </c>
      <c r="I822" s="6">
        <v>12354</v>
      </c>
      <c r="J822" s="6">
        <v>8527</v>
      </c>
      <c r="K822" s="6">
        <v>8002</v>
      </c>
      <c r="L822" s="2"/>
    </row>
    <row r="823" spans="1:12" x14ac:dyDescent="0.2">
      <c r="A823" s="1">
        <v>0.57013888888888897</v>
      </c>
      <c r="B823" s="2">
        <v>6.24</v>
      </c>
      <c r="C823" s="2">
        <v>3.6599999999999997</v>
      </c>
      <c r="D823" s="2">
        <v>4.9400000000000004</v>
      </c>
      <c r="E823" s="2">
        <v>5.0600000000000005</v>
      </c>
      <c r="F823" s="2">
        <v>3.0500000000000003</v>
      </c>
      <c r="G823" s="6">
        <v>15247</v>
      </c>
      <c r="H823" s="6">
        <f t="shared" si="19"/>
        <v>16801</v>
      </c>
      <c r="I823" s="6">
        <v>9542</v>
      </c>
      <c r="J823" s="6">
        <v>7578</v>
      </c>
      <c r="K823" s="6">
        <v>8099</v>
      </c>
      <c r="L823" s="2"/>
    </row>
    <row r="824" spans="1:12" x14ac:dyDescent="0.2">
      <c r="A824" s="1">
        <v>0.57083333333333297</v>
      </c>
      <c r="B824" s="2">
        <v>6.29</v>
      </c>
      <c r="C824" s="2">
        <v>3.57</v>
      </c>
      <c r="D824" s="2">
        <v>5.15</v>
      </c>
      <c r="E824" s="2">
        <v>4.88</v>
      </c>
      <c r="F824" s="2">
        <v>3.12</v>
      </c>
      <c r="G824" s="6">
        <v>16895</v>
      </c>
      <c r="H824" s="6">
        <f t="shared" si="19"/>
        <v>18449</v>
      </c>
      <c r="I824" s="6">
        <v>11548</v>
      </c>
      <c r="J824" s="6">
        <v>8248</v>
      </c>
      <c r="K824" s="6">
        <v>8367</v>
      </c>
      <c r="L824" s="2"/>
    </row>
    <row r="825" spans="1:12" x14ac:dyDescent="0.2">
      <c r="A825" s="1">
        <v>0.57152777777777797</v>
      </c>
      <c r="B825" s="2">
        <v>6.1400000000000006</v>
      </c>
      <c r="C825" s="2">
        <v>3.75</v>
      </c>
      <c r="D825" s="2">
        <v>5.2</v>
      </c>
      <c r="E825" s="2">
        <v>5.5200000000000005</v>
      </c>
      <c r="F825" s="2">
        <v>3</v>
      </c>
      <c r="G825" s="6">
        <v>10354</v>
      </c>
      <c r="H825" s="6">
        <f t="shared" si="19"/>
        <v>11908</v>
      </c>
      <c r="I825" s="6">
        <v>7521</v>
      </c>
      <c r="J825" s="6">
        <f t="shared" si="20"/>
        <v>6897</v>
      </c>
      <c r="K825" s="6">
        <v>9016</v>
      </c>
      <c r="L825" s="2"/>
    </row>
    <row r="826" spans="1:12" x14ac:dyDescent="0.2">
      <c r="A826" s="1">
        <v>0.57222222222222197</v>
      </c>
      <c r="B826" s="2">
        <v>6.12</v>
      </c>
      <c r="C826" s="2">
        <v>3.55</v>
      </c>
      <c r="D826" s="2">
        <v>4.91</v>
      </c>
      <c r="E826" s="2">
        <v>5.0600000000000005</v>
      </c>
      <c r="F826" s="2">
        <v>3.08</v>
      </c>
      <c r="G826" s="6">
        <v>16672</v>
      </c>
      <c r="H826" s="6">
        <f t="shared" si="19"/>
        <v>18226</v>
      </c>
      <c r="I826" s="6">
        <v>11054</v>
      </c>
      <c r="J826" s="6">
        <v>8545</v>
      </c>
      <c r="K826" s="6">
        <v>9165</v>
      </c>
      <c r="L826" s="2"/>
    </row>
    <row r="827" spans="1:12" x14ac:dyDescent="0.2">
      <c r="A827" s="1">
        <v>0.57291666666666696</v>
      </c>
      <c r="B827" s="2">
        <v>6.1400000000000006</v>
      </c>
      <c r="C827" s="2">
        <v>3.5999999999999996</v>
      </c>
      <c r="D827" s="2">
        <v>4.9800000000000004</v>
      </c>
      <c r="E827" s="2">
        <v>5.48</v>
      </c>
      <c r="F827" s="2">
        <v>3.22</v>
      </c>
      <c r="G827" s="6">
        <v>24585</v>
      </c>
      <c r="H827" s="6">
        <f t="shared" si="19"/>
        <v>26139</v>
      </c>
      <c r="I827" s="6">
        <v>19851</v>
      </c>
      <c r="J827" s="6">
        <v>15472</v>
      </c>
      <c r="K827" s="6">
        <v>7830</v>
      </c>
      <c r="L827" s="2"/>
    </row>
    <row r="828" spans="1:12" x14ac:dyDescent="0.2">
      <c r="A828" s="1">
        <v>0.57361111111111096</v>
      </c>
      <c r="B828" s="2">
        <v>6.08</v>
      </c>
      <c r="C828" s="2">
        <v>3.6999999999999997</v>
      </c>
      <c r="D828" s="2">
        <v>5.21</v>
      </c>
      <c r="E828" s="2">
        <v>4.9400000000000004</v>
      </c>
      <c r="F828" s="2">
        <v>3</v>
      </c>
      <c r="G828" s="6">
        <v>19743</v>
      </c>
      <c r="H828" s="6">
        <f t="shared" si="19"/>
        <v>21297</v>
      </c>
      <c r="I828" s="6">
        <v>16458</v>
      </c>
      <c r="J828" s="6">
        <f t="shared" si="20"/>
        <v>15834</v>
      </c>
      <c r="K828" s="6">
        <v>11924</v>
      </c>
      <c r="L828" s="2"/>
    </row>
    <row r="829" spans="1:12" x14ac:dyDescent="0.2">
      <c r="A829" s="1">
        <v>0.57430555555555596</v>
      </c>
      <c r="B829" s="2">
        <v>6.24</v>
      </c>
      <c r="C829" s="2">
        <v>3.5399999999999996</v>
      </c>
      <c r="D829" s="2">
        <v>5.0500000000000007</v>
      </c>
      <c r="E829" s="2">
        <v>5.23</v>
      </c>
      <c r="F829" s="2">
        <v>2.87</v>
      </c>
      <c r="G829" s="6">
        <v>18256</v>
      </c>
      <c r="H829" s="6">
        <f t="shared" si="19"/>
        <v>19810</v>
      </c>
      <c r="I829" s="6">
        <v>11242</v>
      </c>
      <c r="J829" s="6">
        <v>7585</v>
      </c>
      <c r="K829" s="6">
        <v>8887</v>
      </c>
      <c r="L829" s="2"/>
    </row>
    <row r="830" spans="1:12" x14ac:dyDescent="0.2">
      <c r="A830" s="1">
        <v>0.57499999999999996</v>
      </c>
      <c r="B830" s="2">
        <v>6.1400000000000006</v>
      </c>
      <c r="C830" s="2">
        <v>3.7699999999999996</v>
      </c>
      <c r="D830" s="2">
        <v>4.9800000000000004</v>
      </c>
      <c r="E830" s="2">
        <v>5.0100000000000007</v>
      </c>
      <c r="F830" s="2">
        <v>2.92</v>
      </c>
      <c r="G830" s="6">
        <v>22342</v>
      </c>
      <c r="H830" s="6">
        <f t="shared" si="19"/>
        <v>23896</v>
      </c>
      <c r="I830" s="6">
        <v>16425</v>
      </c>
      <c r="J830" s="6">
        <v>10245</v>
      </c>
      <c r="K830" s="6">
        <v>12179</v>
      </c>
      <c r="L830" s="2"/>
    </row>
    <row r="831" spans="1:12" x14ac:dyDescent="0.2">
      <c r="A831" s="1">
        <v>0.57569444444444495</v>
      </c>
      <c r="B831" s="2">
        <v>6.21</v>
      </c>
      <c r="C831" s="2">
        <v>3.6999999999999997</v>
      </c>
      <c r="D831" s="2">
        <v>5.15</v>
      </c>
      <c r="E831" s="2">
        <v>4.92</v>
      </c>
      <c r="F831" s="2">
        <v>2.84</v>
      </c>
      <c r="G831" s="6">
        <v>33254</v>
      </c>
      <c r="H831" s="6">
        <f t="shared" si="19"/>
        <v>34808</v>
      </c>
      <c r="I831" s="6">
        <v>21252</v>
      </c>
      <c r="J831" s="6">
        <v>10623</v>
      </c>
      <c r="K831" s="6">
        <v>9239</v>
      </c>
      <c r="L831" s="2"/>
    </row>
    <row r="832" spans="1:12" x14ac:dyDescent="0.2">
      <c r="A832" s="1">
        <v>0.57638888888888895</v>
      </c>
      <c r="B832" s="2">
        <v>6.33</v>
      </c>
      <c r="C832" s="2">
        <v>3.71</v>
      </c>
      <c r="D832" s="2">
        <v>4.87</v>
      </c>
      <c r="E832" s="2">
        <v>5.24</v>
      </c>
      <c r="F832" s="2">
        <v>3.08</v>
      </c>
      <c r="G832" s="6">
        <v>22287</v>
      </c>
      <c r="H832" s="6">
        <f t="shared" si="19"/>
        <v>23841</v>
      </c>
      <c r="I832" s="6">
        <v>15456</v>
      </c>
      <c r="J832" s="6">
        <v>11245</v>
      </c>
      <c r="K832" s="6">
        <v>9050</v>
      </c>
      <c r="L832" s="2"/>
    </row>
    <row r="833" spans="1:12" x14ac:dyDescent="0.2">
      <c r="A833" s="1">
        <v>0.57708333333333295</v>
      </c>
      <c r="B833" s="2">
        <v>6.11</v>
      </c>
      <c r="C833" s="2">
        <v>3.51</v>
      </c>
      <c r="D833" s="2">
        <v>5.21</v>
      </c>
      <c r="E833" s="2">
        <v>4.96</v>
      </c>
      <c r="F833" s="2">
        <v>3.29</v>
      </c>
      <c r="G833" s="6">
        <v>13468</v>
      </c>
      <c r="H833" s="6">
        <f t="shared" si="19"/>
        <v>15022</v>
      </c>
      <c r="I833" s="6">
        <v>9648</v>
      </c>
      <c r="J833" s="6">
        <v>6288</v>
      </c>
      <c r="K833" s="6">
        <v>6101</v>
      </c>
      <c r="L833" s="2"/>
    </row>
    <row r="834" spans="1:12" x14ac:dyDescent="0.2">
      <c r="A834" s="1">
        <v>0.57777777777777795</v>
      </c>
      <c r="B834" s="2">
        <v>6.13</v>
      </c>
      <c r="C834" s="2">
        <v>3.6399999999999997</v>
      </c>
      <c r="D834" s="2">
        <v>5.1400000000000006</v>
      </c>
      <c r="E834" s="2">
        <v>5.5200000000000005</v>
      </c>
      <c r="F834" s="2">
        <v>2.98</v>
      </c>
      <c r="G834" s="6">
        <v>23856</v>
      </c>
      <c r="H834" s="6">
        <f t="shared" si="19"/>
        <v>25410</v>
      </c>
      <c r="I834" s="6">
        <v>16524</v>
      </c>
      <c r="J834" s="6">
        <v>12575</v>
      </c>
      <c r="K834" s="6">
        <v>9334</v>
      </c>
      <c r="L834" s="2"/>
    </row>
    <row r="835" spans="1:12" x14ac:dyDescent="0.2">
      <c r="A835" s="1">
        <v>0.57847222222222205</v>
      </c>
      <c r="B835" s="2">
        <v>6.19</v>
      </c>
      <c r="C835" s="2">
        <v>3.6799999999999997</v>
      </c>
      <c r="D835" s="2">
        <v>4.9000000000000004</v>
      </c>
      <c r="E835" s="2">
        <v>5.19</v>
      </c>
      <c r="F835" s="2">
        <v>3.04</v>
      </c>
      <c r="G835" s="6">
        <v>35987</v>
      </c>
      <c r="H835" s="6">
        <f t="shared" si="19"/>
        <v>37541</v>
      </c>
      <c r="I835" s="6">
        <v>19548</v>
      </c>
      <c r="J835" s="6">
        <v>15882</v>
      </c>
      <c r="K835" s="6">
        <v>13456</v>
      </c>
      <c r="L835" s="2"/>
    </row>
    <row r="836" spans="1:12" x14ac:dyDescent="0.2">
      <c r="A836" s="1">
        <v>0.57916666666666705</v>
      </c>
      <c r="B836" s="2">
        <v>6.33</v>
      </c>
      <c r="C836" s="2">
        <v>3.6399999999999997</v>
      </c>
      <c r="D836" s="2">
        <v>5.03</v>
      </c>
      <c r="E836" s="2">
        <v>4.9700000000000006</v>
      </c>
      <c r="F836" s="2">
        <v>3.0500000000000003</v>
      </c>
      <c r="G836" s="6">
        <v>36675</v>
      </c>
      <c r="H836" s="6">
        <f t="shared" si="19"/>
        <v>38229</v>
      </c>
      <c r="I836" s="6">
        <v>20354</v>
      </c>
      <c r="J836" s="6">
        <v>16850</v>
      </c>
      <c r="K836" s="6">
        <v>14596</v>
      </c>
      <c r="L836" s="2"/>
    </row>
    <row r="837" spans="1:12" x14ac:dyDescent="0.2">
      <c r="A837" s="1">
        <v>0.57986111111111105</v>
      </c>
      <c r="B837" s="2">
        <v>6.33</v>
      </c>
      <c r="C837" s="2">
        <v>3.5599999999999996</v>
      </c>
      <c r="D837" s="2">
        <v>4.96</v>
      </c>
      <c r="E837" s="2">
        <v>5.0600000000000005</v>
      </c>
      <c r="F837" s="2">
        <v>2.85</v>
      </c>
      <c r="G837" s="6">
        <v>29548</v>
      </c>
      <c r="H837" s="6">
        <f t="shared" si="19"/>
        <v>31102</v>
      </c>
      <c r="I837" s="6">
        <v>10254</v>
      </c>
      <c r="J837" s="6">
        <v>7585</v>
      </c>
      <c r="K837" s="6">
        <v>11411</v>
      </c>
      <c r="L837" s="2"/>
    </row>
    <row r="838" spans="1:12" x14ac:dyDescent="0.2">
      <c r="A838" s="1">
        <v>0.58055555555555605</v>
      </c>
      <c r="B838" s="2">
        <v>6.21</v>
      </c>
      <c r="C838" s="2">
        <v>3.7199999999999998</v>
      </c>
      <c r="D838" s="2">
        <v>4.92</v>
      </c>
      <c r="E838" s="2">
        <v>5.4</v>
      </c>
      <c r="F838" s="2">
        <v>2.94</v>
      </c>
      <c r="G838" s="6">
        <v>35978</v>
      </c>
      <c r="H838" s="6">
        <f t="shared" si="19"/>
        <v>37532</v>
      </c>
      <c r="I838" s="6">
        <v>14675</v>
      </c>
      <c r="J838" s="6">
        <v>10258</v>
      </c>
      <c r="K838" s="6">
        <v>9869</v>
      </c>
      <c r="L838" s="2"/>
    </row>
    <row r="839" spans="1:12" x14ac:dyDescent="0.2">
      <c r="A839" s="1">
        <v>0.58125000000000004</v>
      </c>
      <c r="B839" s="2">
        <v>6.21</v>
      </c>
      <c r="C839" s="2">
        <v>3.6999999999999997</v>
      </c>
      <c r="D839" s="2">
        <v>4.96</v>
      </c>
      <c r="E839" s="2">
        <v>5.21</v>
      </c>
      <c r="F839" s="2">
        <v>3.22</v>
      </c>
      <c r="G839" s="6">
        <v>26482</v>
      </c>
      <c r="H839" s="6">
        <f t="shared" si="19"/>
        <v>28036</v>
      </c>
      <c r="I839" s="6">
        <v>12455</v>
      </c>
      <c r="J839" s="6">
        <v>8547</v>
      </c>
      <c r="K839" s="6">
        <v>8568</v>
      </c>
      <c r="L839" s="2"/>
    </row>
    <row r="840" spans="1:12" x14ac:dyDescent="0.2">
      <c r="A840" s="1">
        <v>0.58194444444444404</v>
      </c>
      <c r="B840" s="2">
        <v>6.15</v>
      </c>
      <c r="C840" s="2">
        <v>3.6999999999999997</v>
      </c>
      <c r="D840" s="2">
        <v>5.1400000000000006</v>
      </c>
      <c r="E840" s="2">
        <v>5.41</v>
      </c>
      <c r="F840" s="2">
        <v>3.06</v>
      </c>
      <c r="G840" s="6">
        <v>16799</v>
      </c>
      <c r="H840" s="6">
        <f t="shared" si="19"/>
        <v>18353</v>
      </c>
      <c r="I840" s="6">
        <v>8545</v>
      </c>
      <c r="J840" s="6">
        <v>6478</v>
      </c>
      <c r="K840" s="6">
        <v>6124</v>
      </c>
      <c r="L840" s="2"/>
    </row>
    <row r="841" spans="1:12" x14ac:dyDescent="0.2">
      <c r="A841" s="1">
        <v>0.58263888888888904</v>
      </c>
      <c r="B841" s="2">
        <v>6.25</v>
      </c>
      <c r="C841" s="2">
        <v>3.6799999999999997</v>
      </c>
      <c r="D841" s="2">
        <v>5.04</v>
      </c>
      <c r="E841" s="2">
        <v>5.32</v>
      </c>
      <c r="F841" s="2">
        <v>2.93</v>
      </c>
      <c r="G841" s="6">
        <v>27988</v>
      </c>
      <c r="H841" s="6">
        <f t="shared" si="19"/>
        <v>29542</v>
      </c>
      <c r="I841" s="6">
        <v>11542</v>
      </c>
      <c r="J841" s="6">
        <v>7847</v>
      </c>
      <c r="K841" s="6">
        <v>5105</v>
      </c>
      <c r="L841" s="2"/>
    </row>
    <row r="842" spans="1:12" x14ac:dyDescent="0.2">
      <c r="A842" s="3">
        <v>0.58333333333333304</v>
      </c>
      <c r="B842" s="4">
        <v>6.19</v>
      </c>
      <c r="C842" s="4">
        <v>3.67</v>
      </c>
      <c r="D842" s="4">
        <v>5.09</v>
      </c>
      <c r="E842" s="4">
        <v>5.26</v>
      </c>
      <c r="F842" s="4">
        <v>3.09</v>
      </c>
      <c r="G842" s="7">
        <v>35700</v>
      </c>
      <c r="H842" s="7">
        <v>38020</v>
      </c>
      <c r="I842" s="6">
        <v>12790</v>
      </c>
      <c r="J842" s="7">
        <v>8061</v>
      </c>
      <c r="K842" s="7">
        <v>7832</v>
      </c>
    </row>
    <row r="843" spans="1:12" x14ac:dyDescent="0.2">
      <c r="A843" s="1">
        <v>0.58402777777777803</v>
      </c>
      <c r="B843" s="2">
        <v>6.24</v>
      </c>
      <c r="C843" s="2">
        <v>3.5199999999999996</v>
      </c>
      <c r="D843" s="2">
        <v>5.0600000000000005</v>
      </c>
      <c r="E843" s="2">
        <v>5.3100000000000005</v>
      </c>
      <c r="F843" s="2">
        <v>3.04</v>
      </c>
      <c r="G843" s="6">
        <v>35470</v>
      </c>
      <c r="H843" s="6">
        <f>G843+126</f>
        <v>35596</v>
      </c>
      <c r="I843" s="6">
        <f>I903+2685</f>
        <v>11741</v>
      </c>
      <c r="J843" s="6">
        <v>7898</v>
      </c>
      <c r="K843" s="6">
        <v>7612</v>
      </c>
    </row>
    <row r="844" spans="1:12" x14ac:dyDescent="0.2">
      <c r="A844" s="1">
        <v>0.58472222222222203</v>
      </c>
      <c r="B844" s="2">
        <v>6.32</v>
      </c>
      <c r="C844" s="2">
        <v>3.6999999999999997</v>
      </c>
      <c r="D844" s="2">
        <v>4.99</v>
      </c>
      <c r="E844" s="2">
        <v>5.17</v>
      </c>
      <c r="F844" s="2">
        <v>2.98</v>
      </c>
      <c r="G844" s="6">
        <v>28617</v>
      </c>
      <c r="H844" s="6">
        <f t="shared" ref="H844:H901" si="21">G844+126</f>
        <v>28743</v>
      </c>
      <c r="I844" s="6">
        <v>10525</v>
      </c>
      <c r="J844" s="6">
        <v>6844</v>
      </c>
      <c r="K844" s="6">
        <v>6478</v>
      </c>
    </row>
    <row r="845" spans="1:12" x14ac:dyDescent="0.2">
      <c r="A845" s="1">
        <v>0.58541666666666703</v>
      </c>
      <c r="B845" s="2">
        <v>6.2</v>
      </c>
      <c r="C845" s="2">
        <v>3.6599999999999997</v>
      </c>
      <c r="D845" s="2">
        <v>5.2200000000000006</v>
      </c>
      <c r="E845" s="2">
        <v>5.17</v>
      </c>
      <c r="F845" s="2">
        <v>3.17</v>
      </c>
      <c r="G845" s="6">
        <v>23531</v>
      </c>
      <c r="H845" s="6">
        <v>26555</v>
      </c>
      <c r="I845" s="6">
        <v>8795</v>
      </c>
      <c r="J845" s="6">
        <v>7874</v>
      </c>
      <c r="K845" s="6">
        <v>7642</v>
      </c>
    </row>
    <row r="846" spans="1:12" x14ac:dyDescent="0.2">
      <c r="A846" s="1">
        <v>0.58611111111111103</v>
      </c>
      <c r="B846" s="2">
        <v>6.29</v>
      </c>
      <c r="C846" s="2">
        <v>3.71</v>
      </c>
      <c r="D846" s="2">
        <v>4.87</v>
      </c>
      <c r="E846" s="2">
        <v>5.16</v>
      </c>
      <c r="F846" s="2">
        <v>2.95</v>
      </c>
      <c r="G846" s="6">
        <v>32951</v>
      </c>
      <c r="H846" s="6">
        <f t="shared" si="21"/>
        <v>33077</v>
      </c>
      <c r="I846" s="6">
        <v>13545</v>
      </c>
      <c r="J846" s="6">
        <v>8546</v>
      </c>
      <c r="K846" s="6">
        <v>7522</v>
      </c>
    </row>
    <row r="847" spans="1:12" x14ac:dyDescent="0.2">
      <c r="A847" s="1">
        <v>0.58680555555555602</v>
      </c>
      <c r="B847" s="2">
        <v>6.21</v>
      </c>
      <c r="C847" s="2">
        <v>3.6199999999999997</v>
      </c>
      <c r="D847" s="2">
        <v>5.0200000000000005</v>
      </c>
      <c r="E847" s="2">
        <v>4.83</v>
      </c>
      <c r="F847" s="2">
        <v>3.06</v>
      </c>
      <c r="G847" s="6">
        <v>37894</v>
      </c>
      <c r="H847" s="6">
        <f t="shared" si="21"/>
        <v>38020</v>
      </c>
      <c r="I847" s="6">
        <v>16482</v>
      </c>
      <c r="J847" s="6">
        <v>9541</v>
      </c>
      <c r="K847" s="6">
        <v>7856</v>
      </c>
    </row>
    <row r="848" spans="1:12" x14ac:dyDescent="0.2">
      <c r="A848" s="1">
        <v>0.58750000000000002</v>
      </c>
      <c r="B848" s="2">
        <v>6.12</v>
      </c>
      <c r="C848" s="2">
        <v>3.5799999999999996</v>
      </c>
      <c r="D848" s="2">
        <v>4.99</v>
      </c>
      <c r="E848" s="2">
        <v>5.1800000000000006</v>
      </c>
      <c r="F848" s="2">
        <v>2.92</v>
      </c>
      <c r="G848" s="6">
        <v>32671</v>
      </c>
      <c r="H848" s="6">
        <v>35481</v>
      </c>
      <c r="I848" s="6">
        <v>14365</v>
      </c>
      <c r="J848" s="6">
        <v>8542</v>
      </c>
      <c r="K848" s="6">
        <v>8624</v>
      </c>
    </row>
    <row r="849" spans="1:11" x14ac:dyDescent="0.2">
      <c r="A849" s="1">
        <v>0.58819444444444402</v>
      </c>
      <c r="B849" s="2">
        <v>6.09</v>
      </c>
      <c r="C849" s="2">
        <v>3.53</v>
      </c>
      <c r="D849" s="2">
        <v>4.91</v>
      </c>
      <c r="E849" s="2">
        <v>5.3500000000000005</v>
      </c>
      <c r="F849" s="2">
        <v>2.95</v>
      </c>
      <c r="G849" s="6">
        <v>28360</v>
      </c>
      <c r="H849" s="6">
        <f t="shared" si="21"/>
        <v>28486</v>
      </c>
      <c r="I849" s="6">
        <v>10552</v>
      </c>
      <c r="J849" s="6">
        <v>7576</v>
      </c>
      <c r="K849" s="6">
        <v>7354</v>
      </c>
    </row>
    <row r="850" spans="1:11" x14ac:dyDescent="0.2">
      <c r="A850" s="1">
        <v>0.58888888888888902</v>
      </c>
      <c r="B850" s="2">
        <v>6.16</v>
      </c>
      <c r="C850" s="2">
        <v>3.71</v>
      </c>
      <c r="D850" s="2">
        <v>5.19</v>
      </c>
      <c r="E850" s="2">
        <v>4.96</v>
      </c>
      <c r="F850" s="2">
        <v>3.33</v>
      </c>
      <c r="G850" s="6">
        <v>22472</v>
      </c>
      <c r="H850" s="6">
        <v>23452</v>
      </c>
      <c r="I850" s="6">
        <v>9854</v>
      </c>
      <c r="J850" s="6">
        <v>7525</v>
      </c>
      <c r="K850" s="6">
        <v>7518</v>
      </c>
    </row>
    <row r="851" spans="1:11" x14ac:dyDescent="0.2">
      <c r="A851" s="1">
        <v>0.58958333333333302</v>
      </c>
      <c r="B851" s="2">
        <v>6.24</v>
      </c>
      <c r="C851" s="2">
        <v>3.78</v>
      </c>
      <c r="D851" s="2">
        <v>5.1400000000000006</v>
      </c>
      <c r="E851" s="2">
        <v>5.34</v>
      </c>
      <c r="F851" s="2">
        <v>2.91</v>
      </c>
      <c r="G851" s="6">
        <v>25696</v>
      </c>
      <c r="H851" s="6">
        <f t="shared" si="21"/>
        <v>25822</v>
      </c>
      <c r="I851" s="6">
        <v>11542</v>
      </c>
      <c r="J851" s="6">
        <v>8542</v>
      </c>
      <c r="K851" s="6">
        <v>8040</v>
      </c>
    </row>
    <row r="852" spans="1:11" x14ac:dyDescent="0.2">
      <c r="A852" s="1">
        <v>0.59027777777777801</v>
      </c>
      <c r="B852" s="2">
        <v>6.16</v>
      </c>
      <c r="C852" s="2">
        <v>3.5999999999999996</v>
      </c>
      <c r="D852" s="2">
        <v>5.1100000000000003</v>
      </c>
      <c r="E852" s="2">
        <v>4.88</v>
      </c>
      <c r="F852" s="2">
        <v>3.12</v>
      </c>
      <c r="G852" s="6">
        <v>22467</v>
      </c>
      <c r="H852" s="6">
        <f t="shared" si="21"/>
        <v>22593</v>
      </c>
      <c r="I852" s="6">
        <v>8984</v>
      </c>
      <c r="J852" s="6">
        <v>6488</v>
      </c>
      <c r="K852" s="6">
        <v>6284</v>
      </c>
    </row>
    <row r="853" spans="1:11" x14ac:dyDescent="0.2">
      <c r="A853" s="1">
        <v>0.59097222222222201</v>
      </c>
      <c r="B853" s="2">
        <v>6.2600000000000007</v>
      </c>
      <c r="C853" s="2">
        <v>3.75</v>
      </c>
      <c r="D853" s="2">
        <v>5.24</v>
      </c>
      <c r="E853" s="2">
        <v>4.8900000000000006</v>
      </c>
      <c r="F853" s="2">
        <v>3.2</v>
      </c>
      <c r="G853" s="6">
        <v>22648</v>
      </c>
      <c r="H853" s="6">
        <v>22344</v>
      </c>
      <c r="I853" s="6">
        <v>8452</v>
      </c>
      <c r="J853" s="6">
        <v>6455</v>
      </c>
      <c r="K853" s="6">
        <v>6527</v>
      </c>
    </row>
    <row r="854" spans="1:11" x14ac:dyDescent="0.2">
      <c r="A854" s="1">
        <v>0.59166666666666701</v>
      </c>
      <c r="B854" s="2">
        <v>6.2200000000000006</v>
      </c>
      <c r="C854" s="2">
        <v>3.6999999999999997</v>
      </c>
      <c r="D854" s="2">
        <v>5.16</v>
      </c>
      <c r="E854" s="2">
        <v>5.48</v>
      </c>
      <c r="F854" s="2">
        <v>3.31</v>
      </c>
      <c r="G854" s="6">
        <v>25987</v>
      </c>
      <c r="H854" s="6">
        <f t="shared" si="21"/>
        <v>26113</v>
      </c>
      <c r="I854" s="6">
        <v>11064</v>
      </c>
      <c r="J854" s="6">
        <v>8045</v>
      </c>
      <c r="K854" s="6">
        <v>8282</v>
      </c>
    </row>
    <row r="855" spans="1:11" x14ac:dyDescent="0.2">
      <c r="A855" s="1">
        <v>0.59236111111111101</v>
      </c>
      <c r="B855" s="2">
        <v>6.24</v>
      </c>
      <c r="C855" s="2">
        <v>3.61</v>
      </c>
      <c r="D855" s="2">
        <v>4.9400000000000004</v>
      </c>
      <c r="E855" s="2">
        <v>5.03</v>
      </c>
      <c r="F855" s="2">
        <v>2.98</v>
      </c>
      <c r="G855" s="6">
        <v>21904</v>
      </c>
      <c r="H855" s="6">
        <f t="shared" si="21"/>
        <v>22030</v>
      </c>
      <c r="I855" s="6">
        <v>7545</v>
      </c>
      <c r="J855" s="6">
        <v>6452</v>
      </c>
      <c r="K855" s="6">
        <v>6042</v>
      </c>
    </row>
    <row r="856" spans="1:11" x14ac:dyDescent="0.2">
      <c r="A856" s="1">
        <v>0.593055555555556</v>
      </c>
      <c r="B856" s="2">
        <v>6.19</v>
      </c>
      <c r="C856" s="2">
        <v>3.65</v>
      </c>
      <c r="D856" s="2">
        <v>5.12</v>
      </c>
      <c r="E856" s="2">
        <v>5.0600000000000005</v>
      </c>
      <c r="F856" s="2">
        <v>3.0100000000000002</v>
      </c>
      <c r="G856" s="6">
        <v>19562</v>
      </c>
      <c r="H856" s="6">
        <v>20234</v>
      </c>
      <c r="I856" s="6">
        <v>6487</v>
      </c>
      <c r="J856" s="6">
        <v>4355</v>
      </c>
      <c r="K856" s="6">
        <v>4058</v>
      </c>
    </row>
    <row r="857" spans="1:11" x14ac:dyDescent="0.2">
      <c r="A857" s="1">
        <v>0.59375</v>
      </c>
      <c r="B857" s="2">
        <v>6.11</v>
      </c>
      <c r="C857" s="2">
        <v>3.61</v>
      </c>
      <c r="D857" s="2">
        <v>5.03</v>
      </c>
      <c r="E857" s="2">
        <v>5.3000000000000007</v>
      </c>
      <c r="F857" s="2">
        <v>2.88</v>
      </c>
      <c r="G857" s="6">
        <v>20907</v>
      </c>
      <c r="H857" s="6">
        <f t="shared" si="21"/>
        <v>21033</v>
      </c>
      <c r="I857" s="6">
        <v>7642</v>
      </c>
      <c r="J857" s="6">
        <v>5384</v>
      </c>
      <c r="K857" s="6">
        <v>7255</v>
      </c>
    </row>
    <row r="858" spans="1:11" x14ac:dyDescent="0.2">
      <c r="A858" s="1">
        <v>0.594444444444444</v>
      </c>
      <c r="B858" s="2">
        <v>6.1400000000000006</v>
      </c>
      <c r="C858" s="2">
        <v>3.5799999999999996</v>
      </c>
      <c r="D858" s="2">
        <v>5.17</v>
      </c>
      <c r="E858" s="2">
        <v>5.16</v>
      </c>
      <c r="F858" s="2">
        <v>3.17</v>
      </c>
      <c r="G858" s="6">
        <v>18657</v>
      </c>
      <c r="H858" s="6">
        <f t="shared" si="21"/>
        <v>18783</v>
      </c>
      <c r="I858" s="6">
        <v>5648</v>
      </c>
      <c r="J858" s="6">
        <v>4566</v>
      </c>
      <c r="K858" s="6">
        <v>5245</v>
      </c>
    </row>
    <row r="859" spans="1:11" x14ac:dyDescent="0.2">
      <c r="A859" s="1">
        <v>0.59513888888888899</v>
      </c>
      <c r="B859" s="2">
        <v>6.3000000000000007</v>
      </c>
      <c r="C859" s="2">
        <v>3.6599999999999997</v>
      </c>
      <c r="D859" s="2">
        <v>5.25</v>
      </c>
      <c r="E859" s="2">
        <v>4.92</v>
      </c>
      <c r="F859" s="2">
        <v>3.13</v>
      </c>
      <c r="G859" s="6">
        <v>20240</v>
      </c>
      <c r="H859" s="6">
        <v>23742</v>
      </c>
      <c r="I859" s="6">
        <v>13542</v>
      </c>
      <c r="J859" s="6">
        <v>7528</v>
      </c>
      <c r="K859" s="6">
        <v>7895</v>
      </c>
    </row>
    <row r="860" spans="1:11" x14ac:dyDescent="0.2">
      <c r="A860" s="1">
        <v>0.59583333333333299</v>
      </c>
      <c r="B860" s="2">
        <v>6.07</v>
      </c>
      <c r="C860" s="2">
        <v>3.69</v>
      </c>
      <c r="D860" s="2">
        <v>4.91</v>
      </c>
      <c r="E860" s="2">
        <v>5.2700000000000005</v>
      </c>
      <c r="F860" s="2">
        <v>3.0100000000000002</v>
      </c>
      <c r="G860" s="6">
        <v>16258</v>
      </c>
      <c r="H860" s="6">
        <f t="shared" si="21"/>
        <v>16384</v>
      </c>
      <c r="I860" s="6">
        <v>8542</v>
      </c>
      <c r="J860" s="6">
        <v>6452</v>
      </c>
      <c r="K860" s="6">
        <v>6255</v>
      </c>
    </row>
    <row r="861" spans="1:11" x14ac:dyDescent="0.2">
      <c r="A861" s="1">
        <v>0.59652777777777799</v>
      </c>
      <c r="B861" s="2">
        <v>6.07</v>
      </c>
      <c r="C861" s="2">
        <v>3.5999999999999996</v>
      </c>
      <c r="D861" s="2">
        <v>4.88</v>
      </c>
      <c r="E861" s="2">
        <v>5.29</v>
      </c>
      <c r="F861" s="2">
        <v>3.31</v>
      </c>
      <c r="G861" s="6">
        <v>14382</v>
      </c>
      <c r="H861" s="6">
        <v>15642</v>
      </c>
      <c r="I861" s="6">
        <v>8474</v>
      </c>
      <c r="J861" s="6">
        <v>5642</v>
      </c>
      <c r="K861" s="6">
        <v>6982</v>
      </c>
    </row>
    <row r="862" spans="1:11" x14ac:dyDescent="0.2">
      <c r="A862" s="1">
        <v>0.59722222222222199</v>
      </c>
      <c r="B862" s="2">
        <v>6.13</v>
      </c>
      <c r="C862" s="2">
        <v>3.6199999999999997</v>
      </c>
      <c r="D862" s="2">
        <v>5.16</v>
      </c>
      <c r="E862" s="2">
        <v>5</v>
      </c>
      <c r="F862" s="2">
        <v>2.96</v>
      </c>
      <c r="G862" s="6">
        <v>12348</v>
      </c>
      <c r="H862" s="6">
        <f t="shared" si="21"/>
        <v>12474</v>
      </c>
      <c r="I862" s="6">
        <v>6572</v>
      </c>
      <c r="J862" s="6">
        <v>4556</v>
      </c>
      <c r="K862" s="6">
        <v>4352</v>
      </c>
    </row>
    <row r="863" spans="1:11" x14ac:dyDescent="0.2">
      <c r="A863" s="1">
        <v>0.59791666666666698</v>
      </c>
      <c r="B863" s="2">
        <v>6.23</v>
      </c>
      <c r="C863" s="2">
        <v>3.5999999999999996</v>
      </c>
      <c r="D863" s="2">
        <v>5.0900000000000007</v>
      </c>
      <c r="E863" s="2">
        <v>5.4</v>
      </c>
      <c r="F863" s="2">
        <v>3.34</v>
      </c>
      <c r="G863" s="6">
        <v>16857</v>
      </c>
      <c r="H863" s="6">
        <f t="shared" si="21"/>
        <v>16983</v>
      </c>
      <c r="I863" s="6">
        <v>8674</v>
      </c>
      <c r="J863" s="6">
        <v>5845</v>
      </c>
      <c r="K863" s="6">
        <v>4927</v>
      </c>
    </row>
    <row r="864" spans="1:11" x14ac:dyDescent="0.2">
      <c r="A864" s="1">
        <v>0.59861111111111098</v>
      </c>
      <c r="B864" s="2">
        <v>6.19</v>
      </c>
      <c r="C864" s="2">
        <v>3.69</v>
      </c>
      <c r="D864" s="2">
        <v>5.2600000000000007</v>
      </c>
      <c r="E864" s="2">
        <v>5.3900000000000006</v>
      </c>
      <c r="F864" s="2">
        <v>3.2</v>
      </c>
      <c r="G864" s="6">
        <v>19562</v>
      </c>
      <c r="H864" s="6">
        <v>20347</v>
      </c>
      <c r="I864" s="6">
        <v>9578</v>
      </c>
      <c r="J864" s="6">
        <v>7554</v>
      </c>
      <c r="K864" s="6">
        <v>7200</v>
      </c>
    </row>
    <row r="865" spans="1:11" x14ac:dyDescent="0.2">
      <c r="A865" s="1">
        <v>0.59930555555555598</v>
      </c>
      <c r="B865" s="2">
        <v>6.1000000000000005</v>
      </c>
      <c r="C865" s="2">
        <v>3.65</v>
      </c>
      <c r="D865" s="2">
        <v>5.16</v>
      </c>
      <c r="E865" s="2">
        <v>5.3900000000000006</v>
      </c>
      <c r="F865" s="2">
        <v>2.99</v>
      </c>
      <c r="G865" s="6">
        <v>20907</v>
      </c>
      <c r="H865" s="6">
        <f t="shared" si="21"/>
        <v>21033</v>
      </c>
      <c r="I865" s="6">
        <v>10255</v>
      </c>
      <c r="J865" s="6">
        <v>8125</v>
      </c>
      <c r="K865" s="6">
        <v>8652</v>
      </c>
    </row>
    <row r="866" spans="1:11" x14ac:dyDescent="0.2">
      <c r="A866" s="1">
        <v>0.6</v>
      </c>
      <c r="B866" s="2">
        <v>6.32</v>
      </c>
      <c r="C866" s="2">
        <v>3.73</v>
      </c>
      <c r="D866" s="2">
        <v>5.0200000000000005</v>
      </c>
      <c r="E866" s="2">
        <v>4.9000000000000004</v>
      </c>
      <c r="F866" s="2">
        <v>3.18</v>
      </c>
      <c r="G866" s="6">
        <v>18657</v>
      </c>
      <c r="H866" s="6">
        <v>20234</v>
      </c>
      <c r="I866" s="6">
        <v>13546</v>
      </c>
      <c r="J866" s="6">
        <v>9524</v>
      </c>
      <c r="K866" s="6">
        <v>9147</v>
      </c>
    </row>
    <row r="867" spans="1:11" x14ac:dyDescent="0.2">
      <c r="A867" s="1">
        <v>0.60069444444444398</v>
      </c>
      <c r="B867" s="2">
        <v>6.29</v>
      </c>
      <c r="C867" s="2">
        <v>3.71</v>
      </c>
      <c r="D867" s="2">
        <v>5.21</v>
      </c>
      <c r="E867" s="2">
        <v>5.23</v>
      </c>
      <c r="F867" s="2">
        <v>2.84</v>
      </c>
      <c r="G867" s="6">
        <v>18952</v>
      </c>
      <c r="H867" s="6">
        <f t="shared" si="21"/>
        <v>19078</v>
      </c>
      <c r="I867" s="6">
        <v>11648</v>
      </c>
      <c r="J867" s="6">
        <v>8577</v>
      </c>
      <c r="K867" s="6">
        <v>8171</v>
      </c>
    </row>
    <row r="868" spans="1:11" x14ac:dyDescent="0.2">
      <c r="A868" s="1">
        <v>0.60138888888888897</v>
      </c>
      <c r="B868" s="2">
        <v>6.09</v>
      </c>
      <c r="C868" s="2">
        <v>3.5599999999999996</v>
      </c>
      <c r="D868" s="2">
        <v>5.0900000000000007</v>
      </c>
      <c r="E868" s="2">
        <v>5.29</v>
      </c>
      <c r="F868" s="2">
        <v>3.3200000000000003</v>
      </c>
      <c r="G868" s="6">
        <v>20345</v>
      </c>
      <c r="H868" s="6">
        <f t="shared" si="21"/>
        <v>20471</v>
      </c>
      <c r="I868" s="6">
        <v>12648</v>
      </c>
      <c r="J868" s="6">
        <v>8975</v>
      </c>
      <c r="K868" s="6">
        <v>8410</v>
      </c>
    </row>
    <row r="869" spans="1:11" x14ac:dyDescent="0.2">
      <c r="A869" s="1">
        <v>0.60208333333333297</v>
      </c>
      <c r="B869" s="2">
        <v>6.23</v>
      </c>
      <c r="C869" s="2">
        <v>3.78</v>
      </c>
      <c r="D869" s="2">
        <v>5.2</v>
      </c>
      <c r="E869" s="2">
        <v>4.82</v>
      </c>
      <c r="F869" s="2">
        <v>3.25</v>
      </c>
      <c r="G869" s="6">
        <v>14282</v>
      </c>
      <c r="H869" s="6">
        <v>15728</v>
      </c>
      <c r="I869" s="6">
        <v>8546</v>
      </c>
      <c r="J869" s="6">
        <v>7785</v>
      </c>
      <c r="K869" s="6">
        <v>7168</v>
      </c>
    </row>
    <row r="870" spans="1:11" x14ac:dyDescent="0.2">
      <c r="A870" s="1">
        <v>0.60277777777777797</v>
      </c>
      <c r="B870" s="2">
        <v>6.25</v>
      </c>
      <c r="C870" s="2">
        <v>3.57</v>
      </c>
      <c r="D870" s="2">
        <v>5.19</v>
      </c>
      <c r="E870" s="2">
        <v>5.1400000000000006</v>
      </c>
      <c r="F870" s="2">
        <v>2.87</v>
      </c>
      <c r="G870" s="6">
        <v>13678</v>
      </c>
      <c r="H870" s="6">
        <f t="shared" si="21"/>
        <v>13804</v>
      </c>
      <c r="I870" s="6">
        <v>6898</v>
      </c>
      <c r="J870" s="6">
        <v>6565</v>
      </c>
      <c r="K870" s="6">
        <v>5482</v>
      </c>
    </row>
    <row r="871" spans="1:11" x14ac:dyDescent="0.2">
      <c r="A871" s="1">
        <v>0.60347222222222197</v>
      </c>
      <c r="B871" s="2">
        <v>6.13</v>
      </c>
      <c r="C871" s="2">
        <v>3.7699999999999996</v>
      </c>
      <c r="D871" s="2">
        <v>5.12</v>
      </c>
      <c r="E871" s="2">
        <v>4.91</v>
      </c>
      <c r="F871" s="2">
        <v>3.08</v>
      </c>
      <c r="G871" s="6">
        <v>16854</v>
      </c>
      <c r="H871" s="6">
        <v>19632</v>
      </c>
      <c r="I871" s="6">
        <v>8524</v>
      </c>
      <c r="J871" s="6">
        <v>7544</v>
      </c>
      <c r="K871" s="6">
        <v>7852</v>
      </c>
    </row>
    <row r="872" spans="1:11" x14ac:dyDescent="0.2">
      <c r="A872" s="1">
        <v>0.60416666666666696</v>
      </c>
      <c r="B872" s="2">
        <v>6.12</v>
      </c>
      <c r="C872" s="2">
        <v>3.55</v>
      </c>
      <c r="D872" s="2">
        <v>4.96</v>
      </c>
      <c r="E872" s="2">
        <v>5.3000000000000007</v>
      </c>
      <c r="F872" s="2">
        <v>3.23</v>
      </c>
      <c r="G872" s="6">
        <v>14278</v>
      </c>
      <c r="H872" s="6">
        <f t="shared" si="21"/>
        <v>14404</v>
      </c>
      <c r="I872" s="6">
        <v>6458</v>
      </c>
      <c r="J872" s="6">
        <v>6454</v>
      </c>
      <c r="K872" s="6">
        <v>6852</v>
      </c>
    </row>
    <row r="873" spans="1:11" x14ac:dyDescent="0.2">
      <c r="A873" s="1">
        <v>0.60486111111111096</v>
      </c>
      <c r="B873" s="2">
        <v>6.24</v>
      </c>
      <c r="C873" s="2">
        <v>3.6399999999999997</v>
      </c>
      <c r="D873" s="2">
        <v>5.1800000000000006</v>
      </c>
      <c r="E873" s="2">
        <v>4.96</v>
      </c>
      <c r="F873" s="2">
        <v>3.27</v>
      </c>
      <c r="G873" s="6">
        <v>20467</v>
      </c>
      <c r="H873" s="6">
        <f t="shared" si="21"/>
        <v>20593</v>
      </c>
      <c r="I873" s="6">
        <v>10246</v>
      </c>
      <c r="J873" s="6">
        <v>8125</v>
      </c>
      <c r="K873" s="6">
        <v>8572</v>
      </c>
    </row>
    <row r="874" spans="1:11" x14ac:dyDescent="0.2">
      <c r="A874" s="1">
        <v>0.60555555555555596</v>
      </c>
      <c r="B874" s="2">
        <v>6.29</v>
      </c>
      <c r="C874" s="2">
        <v>3.6999999999999997</v>
      </c>
      <c r="D874" s="2">
        <v>4.88</v>
      </c>
      <c r="E874" s="2">
        <v>5.13</v>
      </c>
      <c r="F874" s="2">
        <v>3.15</v>
      </c>
      <c r="G874" s="6">
        <v>25364</v>
      </c>
      <c r="H874" s="6">
        <v>24507</v>
      </c>
      <c r="I874" s="6">
        <v>14566</v>
      </c>
      <c r="J874" s="6">
        <v>10245</v>
      </c>
      <c r="K874" s="6">
        <v>12045</v>
      </c>
    </row>
    <row r="875" spans="1:11" x14ac:dyDescent="0.2">
      <c r="A875" s="1">
        <v>0.60624999999999996</v>
      </c>
      <c r="B875" s="2">
        <v>6.16</v>
      </c>
      <c r="C875" s="2">
        <v>3.51</v>
      </c>
      <c r="D875" s="2">
        <v>5.19</v>
      </c>
      <c r="E875" s="2">
        <v>5.29</v>
      </c>
      <c r="F875" s="2">
        <v>2.95</v>
      </c>
      <c r="G875" s="6">
        <v>22467</v>
      </c>
      <c r="H875" s="6">
        <f t="shared" si="21"/>
        <v>22593</v>
      </c>
      <c r="I875" s="6">
        <v>9548</v>
      </c>
      <c r="J875" s="6">
        <v>5245</v>
      </c>
      <c r="K875" s="6">
        <v>5428</v>
      </c>
    </row>
    <row r="876" spans="1:11" x14ac:dyDescent="0.2">
      <c r="A876" s="1">
        <v>0.60694444444444495</v>
      </c>
      <c r="B876" s="2">
        <v>6.19</v>
      </c>
      <c r="C876" s="2">
        <v>3.51</v>
      </c>
      <c r="D876" s="2">
        <v>4.95</v>
      </c>
      <c r="E876" s="2">
        <v>5.45</v>
      </c>
      <c r="F876" s="2">
        <v>3.17</v>
      </c>
      <c r="G876" s="6">
        <v>19572</v>
      </c>
      <c r="H876" s="6">
        <v>20748</v>
      </c>
      <c r="I876" s="6">
        <v>8465</v>
      </c>
      <c r="J876" s="6">
        <v>8455</v>
      </c>
      <c r="K876" s="6">
        <v>8475</v>
      </c>
    </row>
    <row r="877" spans="1:11" x14ac:dyDescent="0.2">
      <c r="A877" s="1">
        <v>0.60763888888888895</v>
      </c>
      <c r="B877" s="2">
        <v>6.12</v>
      </c>
      <c r="C877" s="2">
        <v>3.51</v>
      </c>
      <c r="D877" s="2">
        <v>5.15</v>
      </c>
      <c r="E877" s="2">
        <v>5.2</v>
      </c>
      <c r="F877" s="2">
        <v>3.31</v>
      </c>
      <c r="G877" s="6">
        <v>16782</v>
      </c>
      <c r="H877" s="6">
        <f t="shared" si="21"/>
        <v>16908</v>
      </c>
      <c r="I877" s="6">
        <v>6489</v>
      </c>
      <c r="J877" s="6">
        <v>7757</v>
      </c>
      <c r="K877" s="6">
        <v>7952</v>
      </c>
    </row>
    <row r="878" spans="1:11" x14ac:dyDescent="0.2">
      <c r="A878" s="1">
        <v>0.60833333333333295</v>
      </c>
      <c r="B878" s="2">
        <v>6.13</v>
      </c>
      <c r="C878" s="2">
        <v>3.5599999999999996</v>
      </c>
      <c r="D878" s="2">
        <v>4.88</v>
      </c>
      <c r="E878" s="2">
        <v>5.3500000000000005</v>
      </c>
      <c r="F878" s="2">
        <v>3.0100000000000002</v>
      </c>
      <c r="G878" s="6">
        <v>19875</v>
      </c>
      <c r="H878" s="6">
        <v>29475</v>
      </c>
      <c r="I878" s="6">
        <v>15462</v>
      </c>
      <c r="J878" s="6">
        <v>10245</v>
      </c>
      <c r="K878" s="6">
        <v>12524</v>
      </c>
    </row>
    <row r="879" spans="1:11" x14ac:dyDescent="0.2">
      <c r="A879" s="1">
        <v>0.60902777777777795</v>
      </c>
      <c r="B879" s="2">
        <v>6.07</v>
      </c>
      <c r="C879" s="2">
        <v>3.6599999999999997</v>
      </c>
      <c r="D879" s="2">
        <v>5.1300000000000008</v>
      </c>
      <c r="E879" s="2">
        <v>4.84</v>
      </c>
      <c r="F879" s="2">
        <v>3.0500000000000003</v>
      </c>
      <c r="G879" s="6">
        <v>18050</v>
      </c>
      <c r="H879" s="6">
        <f t="shared" si="21"/>
        <v>18176</v>
      </c>
      <c r="I879" s="6">
        <v>7245</v>
      </c>
      <c r="J879" s="6">
        <v>6458</v>
      </c>
      <c r="K879" s="6">
        <v>6587</v>
      </c>
    </row>
    <row r="880" spans="1:11" x14ac:dyDescent="0.2">
      <c r="A880" s="1">
        <v>0.60972222222222205</v>
      </c>
      <c r="B880" s="2">
        <v>6.24</v>
      </c>
      <c r="C880" s="2">
        <v>3.63</v>
      </c>
      <c r="D880" s="2">
        <v>5.0100000000000007</v>
      </c>
      <c r="E880" s="2">
        <v>4.9300000000000006</v>
      </c>
      <c r="F880" s="2">
        <v>2.98</v>
      </c>
      <c r="G880" s="6">
        <v>15348</v>
      </c>
      <c r="H880" s="6">
        <f t="shared" si="21"/>
        <v>15474</v>
      </c>
      <c r="I880" s="6">
        <v>6485</v>
      </c>
      <c r="J880" s="6">
        <v>5852</v>
      </c>
      <c r="K880" s="6">
        <v>6428</v>
      </c>
    </row>
    <row r="881" spans="1:11" x14ac:dyDescent="0.2">
      <c r="A881" s="1">
        <v>0.61041666666666705</v>
      </c>
      <c r="B881" s="2">
        <v>6.1000000000000005</v>
      </c>
      <c r="C881" s="2">
        <v>3.71</v>
      </c>
      <c r="D881" s="2">
        <v>5.03</v>
      </c>
      <c r="E881" s="2">
        <v>5.3500000000000005</v>
      </c>
      <c r="F881" s="2">
        <v>3.27</v>
      </c>
      <c r="G881" s="6">
        <v>12034</v>
      </c>
      <c r="H881" s="6">
        <v>12457</v>
      </c>
      <c r="I881" s="6">
        <v>5642</v>
      </c>
      <c r="J881" s="6">
        <v>6657</v>
      </c>
      <c r="K881" s="6">
        <v>6985</v>
      </c>
    </row>
    <row r="882" spans="1:11" x14ac:dyDescent="0.2">
      <c r="A882" s="1">
        <v>0.61111111111111105</v>
      </c>
      <c r="B882" s="2">
        <v>6.12</v>
      </c>
      <c r="C882" s="2">
        <v>3.5799999999999996</v>
      </c>
      <c r="D882" s="2">
        <v>5.16</v>
      </c>
      <c r="E882" s="2">
        <v>4.99</v>
      </c>
      <c r="F882" s="2">
        <v>3.06</v>
      </c>
      <c r="G882" s="6">
        <v>10064</v>
      </c>
      <c r="H882" s="6">
        <f t="shared" si="21"/>
        <v>10190</v>
      </c>
      <c r="I882" s="6">
        <v>4256</v>
      </c>
      <c r="J882" s="6">
        <v>4565</v>
      </c>
      <c r="K882" s="6">
        <v>5248</v>
      </c>
    </row>
    <row r="883" spans="1:11" x14ac:dyDescent="0.2">
      <c r="A883" s="1">
        <v>0.61180555555555605</v>
      </c>
      <c r="B883" s="2">
        <v>6.11</v>
      </c>
      <c r="C883" s="2">
        <v>3.73</v>
      </c>
      <c r="D883" s="2">
        <v>5.0600000000000005</v>
      </c>
      <c r="E883" s="2">
        <v>5.1100000000000003</v>
      </c>
      <c r="F883" s="2">
        <v>3.24</v>
      </c>
      <c r="G883" s="6">
        <v>12235</v>
      </c>
      <c r="H883" s="6">
        <v>13454</v>
      </c>
      <c r="I883" s="6">
        <v>7564</v>
      </c>
      <c r="J883" s="6">
        <v>4587</v>
      </c>
      <c r="K883" s="6">
        <v>5246</v>
      </c>
    </row>
    <row r="884" spans="1:11" x14ac:dyDescent="0.2">
      <c r="A884" s="1">
        <v>0.61250000000000004</v>
      </c>
      <c r="B884" s="2">
        <v>6.1800000000000006</v>
      </c>
      <c r="C884" s="2">
        <v>3.6199999999999997</v>
      </c>
      <c r="D884" s="2">
        <v>5.1300000000000008</v>
      </c>
      <c r="E884" s="2">
        <v>5.2600000000000007</v>
      </c>
      <c r="F884" s="2">
        <v>3.0300000000000002</v>
      </c>
      <c r="G884" s="6">
        <v>16782</v>
      </c>
      <c r="H884" s="6">
        <f t="shared" si="21"/>
        <v>16908</v>
      </c>
      <c r="I884" s="6">
        <v>8524</v>
      </c>
      <c r="J884" s="6">
        <v>5642</v>
      </c>
      <c r="K884" s="6">
        <v>6242</v>
      </c>
    </row>
    <row r="885" spans="1:11" x14ac:dyDescent="0.2">
      <c r="A885" s="1">
        <v>0.61319444444444404</v>
      </c>
      <c r="B885" s="2">
        <v>6.2</v>
      </c>
      <c r="C885" s="2">
        <v>3.5399999999999996</v>
      </c>
      <c r="D885" s="2">
        <v>5.0900000000000007</v>
      </c>
      <c r="E885" s="2">
        <v>5.37</v>
      </c>
      <c r="F885" s="2">
        <v>2.93</v>
      </c>
      <c r="G885" s="6">
        <v>19547</v>
      </c>
      <c r="H885" s="6">
        <v>20482</v>
      </c>
      <c r="I885" s="6">
        <v>10524</v>
      </c>
      <c r="J885" s="6">
        <v>7520</v>
      </c>
      <c r="K885" s="6">
        <v>8427</v>
      </c>
    </row>
    <row r="886" spans="1:11" x14ac:dyDescent="0.2">
      <c r="A886" s="1">
        <v>0.61388888888888904</v>
      </c>
      <c r="B886" s="2">
        <v>6.1400000000000006</v>
      </c>
      <c r="C886" s="2">
        <v>3.6599999999999997</v>
      </c>
      <c r="D886" s="2">
        <v>5.03</v>
      </c>
      <c r="E886" s="2">
        <v>4.9300000000000006</v>
      </c>
      <c r="F886" s="2">
        <v>3.18</v>
      </c>
      <c r="G886" s="6">
        <v>15364</v>
      </c>
      <c r="H886" s="6">
        <f t="shared" si="21"/>
        <v>15490</v>
      </c>
      <c r="I886" s="6">
        <v>8524</v>
      </c>
      <c r="J886" s="6">
        <v>6418</v>
      </c>
      <c r="K886" s="6">
        <v>6742</v>
      </c>
    </row>
    <row r="887" spans="1:11" x14ac:dyDescent="0.2">
      <c r="A887" s="1">
        <v>0.61458333333333304</v>
      </c>
      <c r="B887" s="2">
        <v>6.24</v>
      </c>
      <c r="C887" s="2">
        <v>3.73</v>
      </c>
      <c r="D887" s="2">
        <v>5</v>
      </c>
      <c r="E887" s="2">
        <v>5.5</v>
      </c>
      <c r="F887" s="2">
        <v>3.04</v>
      </c>
      <c r="G887" s="6">
        <v>19640</v>
      </c>
      <c r="H887" s="6">
        <v>18642</v>
      </c>
      <c r="I887" s="6">
        <v>9542</v>
      </c>
      <c r="J887" s="6">
        <v>7552</v>
      </c>
      <c r="K887" s="6">
        <v>7952</v>
      </c>
    </row>
    <row r="888" spans="1:11" x14ac:dyDescent="0.2">
      <c r="A888" s="1">
        <v>0.61527777777777803</v>
      </c>
      <c r="B888" s="2">
        <v>6.2</v>
      </c>
      <c r="C888" s="2">
        <v>3.57</v>
      </c>
      <c r="D888" s="2">
        <v>5.12</v>
      </c>
      <c r="E888" s="2">
        <v>5.07</v>
      </c>
      <c r="F888" s="2">
        <v>3.2600000000000002</v>
      </c>
      <c r="G888" s="6">
        <v>22305</v>
      </c>
      <c r="H888" s="6">
        <f t="shared" si="21"/>
        <v>22431</v>
      </c>
      <c r="I888" s="6">
        <v>12456</v>
      </c>
      <c r="J888" s="6">
        <v>9542</v>
      </c>
      <c r="K888" s="6">
        <v>1054</v>
      </c>
    </row>
    <row r="889" spans="1:11" x14ac:dyDescent="0.2">
      <c r="A889" s="1">
        <v>0.61597222222222203</v>
      </c>
      <c r="B889" s="2">
        <v>6.13</v>
      </c>
      <c r="C889" s="2">
        <v>3.6199999999999997</v>
      </c>
      <c r="D889" s="2">
        <v>4.92</v>
      </c>
      <c r="E889" s="2">
        <v>5.3000000000000007</v>
      </c>
      <c r="F889" s="2">
        <v>2.92</v>
      </c>
      <c r="G889" s="6">
        <v>16069</v>
      </c>
      <c r="H889" s="6">
        <v>15672</v>
      </c>
      <c r="I889" s="6">
        <v>8542</v>
      </c>
      <c r="J889" s="6">
        <v>7525</v>
      </c>
      <c r="K889" s="6">
        <v>8271</v>
      </c>
    </row>
    <row r="890" spans="1:11" x14ac:dyDescent="0.2">
      <c r="A890" s="1">
        <v>0.61666666666666703</v>
      </c>
      <c r="B890" s="2">
        <v>6.2200000000000006</v>
      </c>
      <c r="C890" s="2">
        <v>3.6399999999999997</v>
      </c>
      <c r="D890" s="2">
        <v>5.04</v>
      </c>
      <c r="E890" s="2">
        <v>5.07</v>
      </c>
      <c r="F890" s="2">
        <v>2.85</v>
      </c>
      <c r="G890" s="6">
        <v>10641</v>
      </c>
      <c r="H890" s="6">
        <f t="shared" si="21"/>
        <v>10767</v>
      </c>
      <c r="I890" s="6">
        <v>6582</v>
      </c>
      <c r="J890" s="6">
        <v>4656</v>
      </c>
      <c r="K890" s="6">
        <v>5241</v>
      </c>
    </row>
    <row r="891" spans="1:11" x14ac:dyDescent="0.2">
      <c r="A891" s="1">
        <v>0.61736111111111103</v>
      </c>
      <c r="B891" s="2">
        <v>6.19</v>
      </c>
      <c r="C891" s="2">
        <v>3.7699999999999996</v>
      </c>
      <c r="D891" s="2">
        <v>4.9700000000000006</v>
      </c>
      <c r="E891" s="2">
        <v>5.4300000000000006</v>
      </c>
      <c r="F891" s="2">
        <v>3.1100000000000003</v>
      </c>
      <c r="G891" s="6">
        <v>12064</v>
      </c>
      <c r="H891" s="6">
        <f t="shared" si="21"/>
        <v>12190</v>
      </c>
      <c r="I891" s="6">
        <v>7541</v>
      </c>
      <c r="J891" s="6">
        <v>5215</v>
      </c>
      <c r="K891" s="6">
        <v>5482</v>
      </c>
    </row>
    <row r="892" spans="1:11" x14ac:dyDescent="0.2">
      <c r="A892" s="1">
        <v>0.61805555555555602</v>
      </c>
      <c r="B892" s="2">
        <v>6.07</v>
      </c>
      <c r="C892" s="2">
        <v>3.57</v>
      </c>
      <c r="D892" s="2">
        <v>4.92</v>
      </c>
      <c r="E892" s="2">
        <v>5.08</v>
      </c>
      <c r="F892" s="2">
        <v>3.33</v>
      </c>
      <c r="G892" s="6">
        <v>18247</v>
      </c>
      <c r="H892" s="6">
        <v>19433</v>
      </c>
      <c r="I892" s="6">
        <v>10245</v>
      </c>
      <c r="J892" s="6">
        <v>8245</v>
      </c>
      <c r="K892" s="6">
        <v>9242</v>
      </c>
    </row>
    <row r="893" spans="1:11" x14ac:dyDescent="0.2">
      <c r="A893" s="1">
        <v>0.61875000000000002</v>
      </c>
      <c r="B893" s="2">
        <v>6.28</v>
      </c>
      <c r="C893" s="2">
        <v>3.55</v>
      </c>
      <c r="D893" s="2">
        <v>4.92</v>
      </c>
      <c r="E893" s="2">
        <v>5.37</v>
      </c>
      <c r="F893" s="2">
        <v>3.12</v>
      </c>
      <c r="G893" s="6">
        <v>13642</v>
      </c>
      <c r="H893" s="6">
        <f t="shared" si="21"/>
        <v>13768</v>
      </c>
      <c r="I893" s="6">
        <v>7525</v>
      </c>
      <c r="J893" s="6">
        <v>6452</v>
      </c>
      <c r="K893" s="6">
        <v>6852</v>
      </c>
    </row>
    <row r="894" spans="1:11" x14ac:dyDescent="0.2">
      <c r="A894" s="1">
        <v>0.61944444444444402</v>
      </c>
      <c r="B894" s="2">
        <v>6.1800000000000006</v>
      </c>
      <c r="C894" s="2">
        <v>3.63</v>
      </c>
      <c r="D894" s="2">
        <v>4.9000000000000004</v>
      </c>
      <c r="E894" s="2">
        <v>5.5100000000000007</v>
      </c>
      <c r="F894" s="2">
        <v>3.27</v>
      </c>
      <c r="G894" s="6">
        <v>9326</v>
      </c>
      <c r="H894" s="6">
        <f t="shared" si="21"/>
        <v>9452</v>
      </c>
      <c r="I894" s="6">
        <v>6145</v>
      </c>
      <c r="J894" s="6">
        <v>4562</v>
      </c>
      <c r="K894" s="6">
        <v>5204</v>
      </c>
    </row>
    <row r="895" spans="1:11" x14ac:dyDescent="0.2">
      <c r="A895" s="1">
        <v>0.62013888888888902</v>
      </c>
      <c r="B895" s="2">
        <v>6.15</v>
      </c>
      <c r="C895" s="2">
        <v>3.76</v>
      </c>
      <c r="D895" s="2">
        <v>5.03</v>
      </c>
      <c r="E895" s="2">
        <v>5.24</v>
      </c>
      <c r="F895" s="2">
        <v>3.2</v>
      </c>
      <c r="G895" s="6">
        <v>11634</v>
      </c>
      <c r="H895" s="6">
        <v>12345</v>
      </c>
      <c r="I895" s="6">
        <v>8134</v>
      </c>
      <c r="J895" s="6">
        <v>6985</v>
      </c>
      <c r="K895" s="6">
        <v>7415</v>
      </c>
    </row>
    <row r="896" spans="1:11" x14ac:dyDescent="0.2">
      <c r="A896" s="1">
        <v>0.62083333333333302</v>
      </c>
      <c r="B896" s="2">
        <v>6.16</v>
      </c>
      <c r="C896" s="2">
        <v>3.5599999999999996</v>
      </c>
      <c r="D896" s="2">
        <v>5.0100000000000007</v>
      </c>
      <c r="E896" s="2">
        <v>5.36</v>
      </c>
      <c r="F896" s="2">
        <v>2.92</v>
      </c>
      <c r="G896" s="6">
        <v>15272</v>
      </c>
      <c r="H896" s="6">
        <f t="shared" si="21"/>
        <v>15398</v>
      </c>
      <c r="I896" s="6">
        <v>8648</v>
      </c>
      <c r="J896" s="6">
        <v>7512</v>
      </c>
      <c r="K896" s="6">
        <v>8524</v>
      </c>
    </row>
    <row r="897" spans="1:11" x14ac:dyDescent="0.2">
      <c r="A897" s="1">
        <v>0.62152777777777801</v>
      </c>
      <c r="B897" s="2">
        <v>6.19</v>
      </c>
      <c r="C897" s="2">
        <v>3.53</v>
      </c>
      <c r="D897" s="2">
        <v>5.1000000000000005</v>
      </c>
      <c r="E897" s="2">
        <v>4.84</v>
      </c>
      <c r="F897" s="2">
        <v>3.33</v>
      </c>
      <c r="G897" s="6">
        <v>12364</v>
      </c>
      <c r="H897" s="6">
        <v>13546</v>
      </c>
      <c r="I897" s="6">
        <v>8462</v>
      </c>
      <c r="J897" s="6">
        <v>7525</v>
      </c>
      <c r="K897" s="6">
        <v>7548</v>
      </c>
    </row>
    <row r="898" spans="1:11" x14ac:dyDescent="0.2">
      <c r="A898" s="1">
        <v>0.62222222222222201</v>
      </c>
      <c r="B898" s="2">
        <v>6.08</v>
      </c>
      <c r="C898" s="2">
        <v>3.5399999999999996</v>
      </c>
      <c r="D898" s="2">
        <v>5.1800000000000006</v>
      </c>
      <c r="E898" s="2">
        <v>4.92</v>
      </c>
      <c r="F898" s="2">
        <v>3.19</v>
      </c>
      <c r="G898" s="6">
        <v>9560</v>
      </c>
      <c r="H898" s="6">
        <f t="shared" si="21"/>
        <v>9686</v>
      </c>
      <c r="I898" s="6">
        <v>5824</v>
      </c>
      <c r="J898" s="6">
        <v>2454</v>
      </c>
      <c r="K898" s="6">
        <v>4562</v>
      </c>
    </row>
    <row r="899" spans="1:11" x14ac:dyDescent="0.2">
      <c r="A899" s="1">
        <v>0.62291666666666701</v>
      </c>
      <c r="B899" s="2">
        <v>6.13</v>
      </c>
      <c r="C899" s="2">
        <v>3.59</v>
      </c>
      <c r="D899" s="2">
        <v>5.21</v>
      </c>
      <c r="E899" s="2">
        <v>5.15</v>
      </c>
      <c r="F899" s="2">
        <v>2.92</v>
      </c>
      <c r="G899" s="6">
        <v>8969</v>
      </c>
      <c r="H899" s="6">
        <f t="shared" si="21"/>
        <v>9095</v>
      </c>
      <c r="I899" s="6">
        <v>5425</v>
      </c>
      <c r="J899" s="6">
        <v>3546</v>
      </c>
      <c r="K899" s="6">
        <v>3944</v>
      </c>
    </row>
    <row r="900" spans="1:11" x14ac:dyDescent="0.2">
      <c r="A900" s="1">
        <v>0.62361111111111101</v>
      </c>
      <c r="B900" s="2">
        <v>6.25</v>
      </c>
      <c r="C900" s="2">
        <v>3.6599999999999997</v>
      </c>
      <c r="D900" s="2">
        <v>4.9000000000000004</v>
      </c>
      <c r="E900" s="2">
        <v>4.9700000000000006</v>
      </c>
      <c r="F900" s="2">
        <v>3.23</v>
      </c>
      <c r="G900" s="6">
        <v>12305</v>
      </c>
      <c r="H900" s="6">
        <v>12470</v>
      </c>
      <c r="I900" s="6">
        <v>8542</v>
      </c>
      <c r="J900" s="6">
        <v>7226</v>
      </c>
      <c r="K900" s="6">
        <v>8456</v>
      </c>
    </row>
    <row r="901" spans="1:11" x14ac:dyDescent="0.2">
      <c r="A901" s="1">
        <v>0.624305555555556</v>
      </c>
      <c r="B901" s="2">
        <v>6.17</v>
      </c>
      <c r="C901" s="2">
        <v>3.63</v>
      </c>
      <c r="D901" s="2">
        <v>5.1000000000000005</v>
      </c>
      <c r="E901" s="2">
        <v>5.32</v>
      </c>
      <c r="F901" s="2">
        <v>3.02</v>
      </c>
      <c r="G901" s="6">
        <v>9483</v>
      </c>
      <c r="H901" s="6">
        <f t="shared" si="21"/>
        <v>9609</v>
      </c>
      <c r="I901" s="6">
        <v>5468</v>
      </c>
      <c r="J901" s="6">
        <v>3542</v>
      </c>
      <c r="K901" s="6">
        <v>5562</v>
      </c>
    </row>
    <row r="902" spans="1:11" x14ac:dyDescent="0.2">
      <c r="A902" s="3">
        <v>0.625</v>
      </c>
      <c r="B902" s="4">
        <v>6.19</v>
      </c>
      <c r="C902" s="4">
        <v>3.67</v>
      </c>
      <c r="D902" s="4">
        <v>5.09</v>
      </c>
      <c r="E902" s="4">
        <v>5.27</v>
      </c>
      <c r="F902" s="4">
        <v>3.09</v>
      </c>
      <c r="G902" s="7">
        <v>10830</v>
      </c>
      <c r="H902" s="7">
        <v>11130</v>
      </c>
      <c r="I902" s="6">
        <v>6652</v>
      </c>
      <c r="J902" s="7">
        <v>5582</v>
      </c>
      <c r="K902" s="7">
        <v>6507</v>
      </c>
    </row>
    <row r="903" spans="1:11" x14ac:dyDescent="0.2">
      <c r="A903" s="1">
        <v>0.625694444444444</v>
      </c>
      <c r="B903" s="2">
        <v>6.1800000000000006</v>
      </c>
      <c r="C903" s="2">
        <v>3.5199999999999996</v>
      </c>
      <c r="D903" s="2">
        <v>5.2600000000000007</v>
      </c>
      <c r="E903" s="2">
        <v>5.1400000000000006</v>
      </c>
      <c r="F903" s="2">
        <v>2.9</v>
      </c>
      <c r="G903" s="6">
        <v>9958</v>
      </c>
      <c r="H903" s="6">
        <v>13455</v>
      </c>
      <c r="I903" s="6">
        <f>H903-4399</f>
        <v>9056</v>
      </c>
      <c r="J903" s="6">
        <v>7952</v>
      </c>
      <c r="K903" s="6">
        <v>9595</v>
      </c>
    </row>
    <row r="904" spans="1:11" x14ac:dyDescent="0.2">
      <c r="A904" s="1">
        <v>0.62638888888888899</v>
      </c>
      <c r="B904" s="2">
        <v>6.2600000000000007</v>
      </c>
      <c r="C904" s="2">
        <v>3.6999999999999997</v>
      </c>
      <c r="D904" s="2">
        <v>4.99</v>
      </c>
      <c r="E904" s="2">
        <v>5.53</v>
      </c>
      <c r="F904" s="2">
        <v>3.19</v>
      </c>
      <c r="G904" s="6">
        <v>11254</v>
      </c>
      <c r="H904" s="6">
        <f t="shared" ref="H904:H960" si="22">G904+986</f>
        <v>12240</v>
      </c>
      <c r="I904" s="6">
        <f t="shared" ref="I904:I915" si="23">H904-4399</f>
        <v>7841</v>
      </c>
      <c r="J904" s="6">
        <v>6844</v>
      </c>
      <c r="K904" s="6">
        <v>7525</v>
      </c>
    </row>
    <row r="905" spans="1:11" x14ac:dyDescent="0.2">
      <c r="A905" s="1">
        <v>0.62708333333333299</v>
      </c>
      <c r="B905" s="2">
        <v>6.2200000000000006</v>
      </c>
      <c r="C905" s="2">
        <v>3.59</v>
      </c>
      <c r="D905" s="2">
        <v>5.15</v>
      </c>
      <c r="E905" s="2">
        <v>5.2200000000000006</v>
      </c>
      <c r="F905" s="2">
        <v>3.13</v>
      </c>
      <c r="G905" s="6">
        <v>12364</v>
      </c>
      <c r="H905" s="6">
        <v>13454</v>
      </c>
      <c r="I905" s="6">
        <f t="shared" si="23"/>
        <v>9055</v>
      </c>
      <c r="J905" s="6">
        <v>9874</v>
      </c>
      <c r="K905" s="6">
        <v>12102</v>
      </c>
    </row>
    <row r="906" spans="1:11" x14ac:dyDescent="0.2">
      <c r="A906" s="1">
        <v>0.62777777777777799</v>
      </c>
      <c r="B906" s="2">
        <v>6.25</v>
      </c>
      <c r="C906" s="2">
        <v>3.6999999999999997</v>
      </c>
      <c r="D906" s="2">
        <v>5.08</v>
      </c>
      <c r="E906" s="2">
        <v>4.96</v>
      </c>
      <c r="F906" s="2">
        <v>3.23</v>
      </c>
      <c r="G906" s="6">
        <v>9857</v>
      </c>
      <c r="H906" s="6">
        <f t="shared" si="22"/>
        <v>10843</v>
      </c>
      <c r="I906" s="6">
        <f t="shared" si="23"/>
        <v>6444</v>
      </c>
      <c r="J906" s="6">
        <v>7205</v>
      </c>
      <c r="K906" s="6">
        <v>8205</v>
      </c>
    </row>
    <row r="907" spans="1:11" x14ac:dyDescent="0.2">
      <c r="A907" s="1">
        <v>0.62847222222222199</v>
      </c>
      <c r="B907" s="2">
        <v>6.15</v>
      </c>
      <c r="C907" s="2">
        <v>3.5399999999999996</v>
      </c>
      <c r="D907" s="2">
        <v>5.07</v>
      </c>
      <c r="E907" s="2">
        <v>5.09</v>
      </c>
      <c r="F907" s="2">
        <v>3.0300000000000002</v>
      </c>
      <c r="G907" s="6">
        <v>6487</v>
      </c>
      <c r="H907" s="6">
        <f t="shared" si="22"/>
        <v>7473</v>
      </c>
      <c r="I907" s="6">
        <f t="shared" si="23"/>
        <v>3074</v>
      </c>
      <c r="J907" s="6">
        <v>4025</v>
      </c>
      <c r="K907" s="6">
        <v>4245</v>
      </c>
    </row>
    <row r="908" spans="1:11" x14ac:dyDescent="0.2">
      <c r="A908" s="1">
        <v>0.62916666666666698</v>
      </c>
      <c r="B908" s="2">
        <v>6.2</v>
      </c>
      <c r="C908" s="2">
        <v>3.61</v>
      </c>
      <c r="D908" s="2">
        <v>5.1800000000000006</v>
      </c>
      <c r="E908" s="2">
        <v>5.5</v>
      </c>
      <c r="F908" s="2">
        <v>3.2600000000000002</v>
      </c>
      <c r="G908" s="6">
        <v>5647</v>
      </c>
      <c r="H908" s="6">
        <v>6987</v>
      </c>
      <c r="I908" s="6">
        <v>5555</v>
      </c>
      <c r="J908" s="6">
        <v>6462</v>
      </c>
      <c r="K908" s="6">
        <v>7512</v>
      </c>
    </row>
    <row r="909" spans="1:11" x14ac:dyDescent="0.2">
      <c r="A909" s="1">
        <v>0.62986111111111098</v>
      </c>
      <c r="B909" s="2">
        <v>6.09</v>
      </c>
      <c r="C909" s="2">
        <v>3.7399999999999998</v>
      </c>
      <c r="D909" s="2">
        <v>5</v>
      </c>
      <c r="E909" s="2">
        <v>5.23</v>
      </c>
      <c r="F909" s="2">
        <v>3.23</v>
      </c>
      <c r="G909" s="6">
        <v>12647</v>
      </c>
      <c r="H909" s="6">
        <v>14687</v>
      </c>
      <c r="I909" s="6">
        <f t="shared" si="23"/>
        <v>10288</v>
      </c>
      <c r="J909" s="6">
        <v>8642</v>
      </c>
      <c r="K909" s="6">
        <v>9542</v>
      </c>
    </row>
    <row r="910" spans="1:11" x14ac:dyDescent="0.2">
      <c r="A910" s="1">
        <v>0.63055555555555598</v>
      </c>
      <c r="B910" s="2">
        <v>6.2600000000000007</v>
      </c>
      <c r="C910" s="2">
        <v>3.7699999999999996</v>
      </c>
      <c r="D910" s="2">
        <v>5.2</v>
      </c>
      <c r="E910" s="2">
        <v>5.3000000000000007</v>
      </c>
      <c r="F910" s="2">
        <v>3.22</v>
      </c>
      <c r="G910" s="6">
        <v>9564</v>
      </c>
      <c r="H910" s="6">
        <f t="shared" si="22"/>
        <v>10550</v>
      </c>
      <c r="I910" s="6">
        <f t="shared" si="23"/>
        <v>6151</v>
      </c>
      <c r="J910" s="6">
        <v>7525</v>
      </c>
      <c r="K910" s="6">
        <v>8245</v>
      </c>
    </row>
    <row r="911" spans="1:11" x14ac:dyDescent="0.2">
      <c r="A911" s="1">
        <v>0.63124999999999998</v>
      </c>
      <c r="B911" s="2">
        <v>6.2200000000000006</v>
      </c>
      <c r="C911" s="2">
        <v>3.5399999999999996</v>
      </c>
      <c r="D911" s="2">
        <v>5.0200000000000005</v>
      </c>
      <c r="E911" s="2">
        <v>5.32</v>
      </c>
      <c r="F911" s="2">
        <v>2.85</v>
      </c>
      <c r="G911" s="6">
        <v>7542</v>
      </c>
      <c r="H911" s="6">
        <f t="shared" si="22"/>
        <v>8528</v>
      </c>
      <c r="I911" s="6">
        <f t="shared" si="23"/>
        <v>4129</v>
      </c>
      <c r="J911" s="6">
        <v>5456</v>
      </c>
      <c r="K911" s="6">
        <v>5687</v>
      </c>
    </row>
    <row r="912" spans="1:11" x14ac:dyDescent="0.2">
      <c r="A912" s="1">
        <v>0.63194444444444398</v>
      </c>
      <c r="B912" s="2">
        <v>6.07</v>
      </c>
      <c r="C912" s="2">
        <v>3.6599999999999997</v>
      </c>
      <c r="D912" s="2">
        <v>4.95</v>
      </c>
      <c r="E912" s="2">
        <v>4.8500000000000005</v>
      </c>
      <c r="F912" s="2">
        <v>2.96</v>
      </c>
      <c r="G912" s="6">
        <v>8547</v>
      </c>
      <c r="H912" s="6">
        <v>9648</v>
      </c>
      <c r="I912" s="6">
        <f t="shared" si="23"/>
        <v>5249</v>
      </c>
      <c r="J912" s="6">
        <v>6488</v>
      </c>
      <c r="K912" s="6">
        <v>6645</v>
      </c>
    </row>
    <row r="913" spans="1:11" x14ac:dyDescent="0.2">
      <c r="A913" s="1">
        <v>0.63263888888888897</v>
      </c>
      <c r="B913" s="2">
        <v>6.12</v>
      </c>
      <c r="C913" s="2">
        <v>3.5799999999999996</v>
      </c>
      <c r="D913" s="2">
        <v>4.9300000000000006</v>
      </c>
      <c r="E913" s="2">
        <v>5.0600000000000005</v>
      </c>
      <c r="F913" s="2">
        <v>3.1</v>
      </c>
      <c r="G913" s="6">
        <v>10047</v>
      </c>
      <c r="H913" s="6">
        <f t="shared" si="22"/>
        <v>11033</v>
      </c>
      <c r="I913" s="6">
        <f t="shared" si="23"/>
        <v>6634</v>
      </c>
      <c r="J913" s="6">
        <v>6455</v>
      </c>
      <c r="K913" s="6">
        <v>7542</v>
      </c>
    </row>
    <row r="914" spans="1:11" x14ac:dyDescent="0.2">
      <c r="A914" s="1">
        <v>0.63333333333333297</v>
      </c>
      <c r="B914" s="2">
        <v>6.23</v>
      </c>
      <c r="C914" s="2">
        <v>3.76</v>
      </c>
      <c r="D914" s="2">
        <v>4.9000000000000004</v>
      </c>
      <c r="E914" s="2">
        <v>5.13</v>
      </c>
      <c r="F914" s="2">
        <v>3.1</v>
      </c>
      <c r="G914" s="6">
        <v>1124</v>
      </c>
      <c r="H914" s="6">
        <f t="shared" si="22"/>
        <v>2110</v>
      </c>
      <c r="I914" s="6">
        <v>2289</v>
      </c>
      <c r="J914" s="6">
        <v>2355</v>
      </c>
      <c r="K914" s="6">
        <v>3232</v>
      </c>
    </row>
    <row r="915" spans="1:11" x14ac:dyDescent="0.2">
      <c r="A915" s="1">
        <v>0.63402777777777797</v>
      </c>
      <c r="B915" s="2">
        <v>6.15</v>
      </c>
      <c r="C915" s="2">
        <v>3.6999999999999997</v>
      </c>
      <c r="D915" s="2">
        <v>5.0600000000000005</v>
      </c>
      <c r="E915" s="2">
        <v>5.13</v>
      </c>
      <c r="F915" s="2">
        <v>3.21</v>
      </c>
      <c r="G915" s="6">
        <v>8547</v>
      </c>
      <c r="H915" s="6">
        <v>10245</v>
      </c>
      <c r="I915" s="6">
        <f t="shared" si="23"/>
        <v>5846</v>
      </c>
      <c r="J915" s="6">
        <v>6452</v>
      </c>
      <c r="K915" s="6">
        <v>7542</v>
      </c>
    </row>
    <row r="916" spans="1:11" x14ac:dyDescent="0.2">
      <c r="A916" s="1">
        <v>0.63472222222222197</v>
      </c>
      <c r="B916" s="2">
        <v>6.2600000000000007</v>
      </c>
      <c r="C916" s="2">
        <v>3.75</v>
      </c>
      <c r="D916" s="2">
        <v>5.04</v>
      </c>
      <c r="E916" s="2">
        <v>4.83</v>
      </c>
      <c r="F916" s="2">
        <v>3.0500000000000003</v>
      </c>
      <c r="G916" s="6">
        <v>5427</v>
      </c>
      <c r="H916" s="6">
        <f t="shared" si="22"/>
        <v>6413</v>
      </c>
      <c r="I916" s="6">
        <v>5446</v>
      </c>
      <c r="J916" s="6">
        <v>4355</v>
      </c>
      <c r="K916" s="6">
        <v>4585</v>
      </c>
    </row>
    <row r="917" spans="1:11" x14ac:dyDescent="0.2">
      <c r="A917" s="1">
        <v>0.63541666666666696</v>
      </c>
      <c r="B917" s="2">
        <v>6.15</v>
      </c>
      <c r="C917" s="2">
        <v>3.5999999999999996</v>
      </c>
      <c r="D917" s="2">
        <v>4.92</v>
      </c>
      <c r="E917" s="2">
        <v>4.95</v>
      </c>
      <c r="F917" s="2">
        <v>3.15</v>
      </c>
      <c r="G917" s="6">
        <v>9547</v>
      </c>
      <c r="H917" s="6">
        <f t="shared" si="22"/>
        <v>10533</v>
      </c>
      <c r="I917" s="6">
        <v>6887</v>
      </c>
      <c r="J917" s="6">
        <v>5384</v>
      </c>
      <c r="K917" s="6">
        <v>5822</v>
      </c>
    </row>
    <row r="918" spans="1:11" x14ac:dyDescent="0.2">
      <c r="A918" s="1">
        <v>0.63611111111111096</v>
      </c>
      <c r="B918" s="2">
        <v>6.28</v>
      </c>
      <c r="C918" s="2">
        <v>3.71</v>
      </c>
      <c r="D918" s="2">
        <v>5.12</v>
      </c>
      <c r="E918" s="2">
        <v>5.44</v>
      </c>
      <c r="F918" s="2">
        <v>3.18</v>
      </c>
      <c r="G918" s="6">
        <v>8547</v>
      </c>
      <c r="H918" s="6">
        <v>10245</v>
      </c>
      <c r="I918" s="6">
        <v>9796</v>
      </c>
      <c r="J918" s="6">
        <v>8348</v>
      </c>
      <c r="K918" s="6">
        <v>8542</v>
      </c>
    </row>
    <row r="919" spans="1:11" x14ac:dyDescent="0.2">
      <c r="A919" s="1">
        <v>0.63680555555555596</v>
      </c>
      <c r="B919" s="2">
        <v>6.21</v>
      </c>
      <c r="C919" s="2">
        <v>3.5799999999999996</v>
      </c>
      <c r="D919" s="2">
        <v>5.17</v>
      </c>
      <c r="E919" s="2">
        <v>5.21</v>
      </c>
      <c r="F919" s="2">
        <v>2.96</v>
      </c>
      <c r="G919" s="6">
        <v>7758</v>
      </c>
      <c r="H919" s="6">
        <v>8526</v>
      </c>
      <c r="I919" s="6">
        <v>8754</v>
      </c>
      <c r="J919" s="6">
        <v>7528</v>
      </c>
      <c r="K919" s="6">
        <v>7852</v>
      </c>
    </row>
    <row r="920" spans="1:11" x14ac:dyDescent="0.2">
      <c r="A920" s="1">
        <v>0.63749999999999996</v>
      </c>
      <c r="B920" s="2">
        <v>6.33</v>
      </c>
      <c r="C920" s="2">
        <v>3.78</v>
      </c>
      <c r="D920" s="2">
        <v>4.99</v>
      </c>
      <c r="E920" s="2">
        <v>5.37</v>
      </c>
      <c r="F920" s="2">
        <v>2.92</v>
      </c>
      <c r="G920" s="6">
        <v>9547</v>
      </c>
      <c r="H920" s="6">
        <f t="shared" si="22"/>
        <v>10533</v>
      </c>
      <c r="I920" s="6">
        <v>6482</v>
      </c>
      <c r="J920" s="6">
        <v>5325</v>
      </c>
      <c r="K920" s="6">
        <v>5685</v>
      </c>
    </row>
    <row r="921" spans="1:11" x14ac:dyDescent="0.2">
      <c r="A921" s="1">
        <v>0.63819444444444495</v>
      </c>
      <c r="B921" s="2">
        <v>6.13</v>
      </c>
      <c r="C921" s="2">
        <v>3.7199999999999998</v>
      </c>
      <c r="D921" s="2">
        <v>5.21</v>
      </c>
      <c r="E921" s="2">
        <v>4.82</v>
      </c>
      <c r="F921" s="2">
        <v>3.12</v>
      </c>
      <c r="G921" s="6">
        <v>8547</v>
      </c>
      <c r="H921" s="6">
        <v>9572</v>
      </c>
      <c r="I921" s="6">
        <v>4682</v>
      </c>
      <c r="J921" s="6">
        <v>5642</v>
      </c>
      <c r="K921" s="6">
        <v>5985</v>
      </c>
    </row>
    <row r="922" spans="1:11" x14ac:dyDescent="0.2">
      <c r="A922" s="1">
        <v>0.63888888888888895</v>
      </c>
      <c r="B922" s="2">
        <v>6.13</v>
      </c>
      <c r="C922" s="2">
        <v>3.6599999999999997</v>
      </c>
      <c r="D922" s="2">
        <v>5.1400000000000006</v>
      </c>
      <c r="E922" s="2">
        <v>5.21</v>
      </c>
      <c r="F922" s="2">
        <v>3.08</v>
      </c>
      <c r="G922" s="6">
        <v>5487</v>
      </c>
      <c r="H922" s="6">
        <v>5588</v>
      </c>
      <c r="I922" s="6">
        <v>5887</v>
      </c>
      <c r="J922" s="6">
        <v>4556</v>
      </c>
      <c r="K922" s="6">
        <v>5478</v>
      </c>
    </row>
    <row r="923" spans="1:11" x14ac:dyDescent="0.2">
      <c r="A923" s="1">
        <v>0.63958333333333295</v>
      </c>
      <c r="B923" s="2">
        <v>6.2600000000000007</v>
      </c>
      <c r="C923" s="2">
        <v>3.7199999999999998</v>
      </c>
      <c r="D923" s="2">
        <v>4.9700000000000006</v>
      </c>
      <c r="E923" s="2">
        <v>5.03</v>
      </c>
      <c r="F923" s="2">
        <v>3.0100000000000002</v>
      </c>
      <c r="G923" s="6">
        <v>9954</v>
      </c>
      <c r="H923" s="6">
        <v>6587</v>
      </c>
      <c r="I923" s="6">
        <v>7356</v>
      </c>
      <c r="J923" s="6">
        <v>5845</v>
      </c>
      <c r="K923" s="6">
        <v>5482</v>
      </c>
    </row>
    <row r="924" spans="1:11" x14ac:dyDescent="0.2">
      <c r="A924" s="1">
        <v>0.64027777777777795</v>
      </c>
      <c r="B924" s="2">
        <v>6.12</v>
      </c>
      <c r="C924" s="2">
        <v>3.76</v>
      </c>
      <c r="D924" s="2">
        <v>4.8900000000000006</v>
      </c>
      <c r="E924" s="2">
        <v>5.04</v>
      </c>
      <c r="F924" s="2">
        <v>3.19</v>
      </c>
      <c r="G924" s="6">
        <v>5475</v>
      </c>
      <c r="H924" s="6">
        <f t="shared" si="22"/>
        <v>6461</v>
      </c>
      <c r="I924" s="6">
        <v>5335</v>
      </c>
      <c r="J924" s="6">
        <v>6465</v>
      </c>
      <c r="K924" s="6">
        <v>6245</v>
      </c>
    </row>
    <row r="925" spans="1:11" x14ac:dyDescent="0.2">
      <c r="A925" s="1">
        <v>0.64097222222222205</v>
      </c>
      <c r="B925" s="2">
        <v>6.19</v>
      </c>
      <c r="C925" s="2">
        <v>3.7399999999999998</v>
      </c>
      <c r="D925" s="2">
        <v>4.8600000000000003</v>
      </c>
      <c r="E925" s="2">
        <v>4.99</v>
      </c>
      <c r="F925" s="2">
        <v>3.31</v>
      </c>
      <c r="G925" s="6">
        <v>6654</v>
      </c>
      <c r="H925" s="6">
        <f t="shared" si="22"/>
        <v>7640</v>
      </c>
      <c r="I925" s="6">
        <v>6541</v>
      </c>
      <c r="J925" s="6">
        <v>5246</v>
      </c>
      <c r="K925" s="6">
        <v>5345</v>
      </c>
    </row>
    <row r="926" spans="1:11" x14ac:dyDescent="0.2">
      <c r="A926" s="1">
        <v>0.64166666666666705</v>
      </c>
      <c r="B926" s="2">
        <v>6.13</v>
      </c>
      <c r="C926" s="2">
        <v>3.75</v>
      </c>
      <c r="D926" s="2">
        <v>4.95</v>
      </c>
      <c r="E926" s="2">
        <v>5.17</v>
      </c>
      <c r="F926" s="2">
        <v>3.31</v>
      </c>
      <c r="G926" s="6">
        <v>6547</v>
      </c>
      <c r="H926" s="6">
        <f t="shared" si="22"/>
        <v>7533</v>
      </c>
      <c r="I926" s="6">
        <v>6564</v>
      </c>
      <c r="J926" s="6">
        <v>5642</v>
      </c>
      <c r="K926" s="6">
        <v>5548</v>
      </c>
    </row>
    <row r="927" spans="1:11" x14ac:dyDescent="0.2">
      <c r="A927" s="1">
        <v>0.64236111111111105</v>
      </c>
      <c r="B927" s="2">
        <v>6.11</v>
      </c>
      <c r="C927" s="2">
        <v>3.69</v>
      </c>
      <c r="D927" s="2">
        <v>5.2200000000000006</v>
      </c>
      <c r="E927" s="2">
        <v>5.3900000000000006</v>
      </c>
      <c r="F927" s="2">
        <v>3.13</v>
      </c>
      <c r="G927" s="6">
        <v>4567</v>
      </c>
      <c r="H927" s="6">
        <v>6547</v>
      </c>
      <c r="I927" s="6">
        <v>4364</v>
      </c>
      <c r="J927" s="6">
        <v>5456</v>
      </c>
      <c r="K927" s="6">
        <v>5248</v>
      </c>
    </row>
    <row r="928" spans="1:11" x14ac:dyDescent="0.2">
      <c r="A928" s="1">
        <v>0.64305555555555605</v>
      </c>
      <c r="B928" s="2">
        <v>6.24</v>
      </c>
      <c r="C928" s="2">
        <v>3.53</v>
      </c>
      <c r="D928" s="2">
        <v>5.1300000000000008</v>
      </c>
      <c r="E928" s="2">
        <v>4.9000000000000004</v>
      </c>
      <c r="F928" s="2">
        <v>3.1100000000000003</v>
      </c>
      <c r="G928" s="6">
        <v>4436</v>
      </c>
      <c r="H928" s="6">
        <f t="shared" si="22"/>
        <v>5422</v>
      </c>
      <c r="I928" s="6">
        <v>3354</v>
      </c>
      <c r="J928" s="6">
        <v>4252</v>
      </c>
      <c r="K928" s="6">
        <v>4368</v>
      </c>
    </row>
    <row r="929" spans="1:11" x14ac:dyDescent="0.2">
      <c r="A929" s="1">
        <v>0.64375000000000004</v>
      </c>
      <c r="B929" s="2">
        <v>6.09</v>
      </c>
      <c r="C929" s="2">
        <v>3.51</v>
      </c>
      <c r="D929" s="2">
        <v>4.87</v>
      </c>
      <c r="E929" s="2">
        <v>4.88</v>
      </c>
      <c r="F929" s="2">
        <v>3.3600000000000003</v>
      </c>
      <c r="G929" s="6">
        <v>5524</v>
      </c>
      <c r="H929" s="6">
        <f t="shared" si="22"/>
        <v>6510</v>
      </c>
      <c r="I929" s="6">
        <v>5462</v>
      </c>
      <c r="J929" s="6">
        <v>6542</v>
      </c>
      <c r="K929" s="6">
        <v>6582</v>
      </c>
    </row>
    <row r="930" spans="1:11" x14ac:dyDescent="0.2">
      <c r="A930" s="1">
        <v>0.64444444444444404</v>
      </c>
      <c r="B930" s="2">
        <v>6.28</v>
      </c>
      <c r="C930" s="2">
        <v>3.6599999999999997</v>
      </c>
      <c r="D930" s="2">
        <v>4.8900000000000006</v>
      </c>
      <c r="E930" s="2">
        <v>5.1100000000000003</v>
      </c>
      <c r="F930" s="2">
        <v>3.35</v>
      </c>
      <c r="G930" s="6">
        <v>5497</v>
      </c>
      <c r="H930" s="6">
        <v>6278</v>
      </c>
      <c r="I930" s="6">
        <v>5524</v>
      </c>
      <c r="J930" s="6">
        <v>6565</v>
      </c>
      <c r="K930" s="6">
        <v>7582</v>
      </c>
    </row>
    <row r="931" spans="1:11" x14ac:dyDescent="0.2">
      <c r="A931" s="1">
        <v>0.64513888888888904</v>
      </c>
      <c r="B931" s="2">
        <v>6.15</v>
      </c>
      <c r="C931" s="2">
        <v>3.5999999999999996</v>
      </c>
      <c r="D931" s="2">
        <v>4.87</v>
      </c>
      <c r="E931" s="2">
        <v>5.45</v>
      </c>
      <c r="F931" s="2">
        <v>3.13</v>
      </c>
      <c r="G931" s="6">
        <v>3548</v>
      </c>
      <c r="H931" s="6">
        <f t="shared" si="22"/>
        <v>4534</v>
      </c>
      <c r="I931" s="6">
        <v>3554</v>
      </c>
      <c r="J931" s="6">
        <v>2585</v>
      </c>
      <c r="K931" s="6">
        <v>3542</v>
      </c>
    </row>
    <row r="932" spans="1:11" x14ac:dyDescent="0.2">
      <c r="A932" s="1">
        <v>0.64583333333333304</v>
      </c>
      <c r="B932" s="2">
        <v>6.07</v>
      </c>
      <c r="C932" s="2">
        <v>3.5399999999999996</v>
      </c>
      <c r="D932" s="2">
        <v>5.08</v>
      </c>
      <c r="E932" s="2">
        <v>5.23</v>
      </c>
      <c r="F932" s="2">
        <v>2.91</v>
      </c>
      <c r="G932" s="6">
        <v>6472</v>
      </c>
      <c r="H932" s="6">
        <f t="shared" si="22"/>
        <v>7458</v>
      </c>
      <c r="I932" s="6">
        <v>5564</v>
      </c>
      <c r="J932" s="6">
        <v>6454</v>
      </c>
      <c r="K932" s="6">
        <v>6658</v>
      </c>
    </row>
    <row r="933" spans="1:11" x14ac:dyDescent="0.2">
      <c r="A933" s="1">
        <v>0.64652777777777803</v>
      </c>
      <c r="B933" s="2">
        <v>6.25</v>
      </c>
      <c r="C933" s="2">
        <v>3.76</v>
      </c>
      <c r="D933" s="2">
        <v>5.23</v>
      </c>
      <c r="E933" s="2">
        <v>5.48</v>
      </c>
      <c r="F933" s="2">
        <v>3.14</v>
      </c>
      <c r="G933" s="6">
        <v>8647</v>
      </c>
      <c r="H933" s="6">
        <v>10547</v>
      </c>
      <c r="I933" s="6">
        <v>7864</v>
      </c>
      <c r="J933" s="6">
        <v>8125</v>
      </c>
      <c r="K933" s="6">
        <v>7852</v>
      </c>
    </row>
    <row r="934" spans="1:11" x14ac:dyDescent="0.2">
      <c r="A934" s="1">
        <v>0.64722222222222203</v>
      </c>
      <c r="B934" s="2">
        <v>6.32</v>
      </c>
      <c r="C934" s="2">
        <v>3.51</v>
      </c>
      <c r="D934" s="2">
        <v>4.9400000000000004</v>
      </c>
      <c r="E934" s="2">
        <v>5.1800000000000006</v>
      </c>
      <c r="F934" s="2">
        <v>2.91</v>
      </c>
      <c r="G934" s="6">
        <v>5547</v>
      </c>
      <c r="H934" s="6">
        <f t="shared" si="22"/>
        <v>6533</v>
      </c>
      <c r="I934" s="6">
        <v>4562</v>
      </c>
      <c r="J934" s="6">
        <v>4556</v>
      </c>
      <c r="K934" s="6">
        <v>4685</v>
      </c>
    </row>
    <row r="935" spans="1:11" x14ac:dyDescent="0.2">
      <c r="A935" s="1">
        <v>0.64791666666666703</v>
      </c>
      <c r="B935" s="2">
        <v>6.16</v>
      </c>
      <c r="C935" s="2">
        <v>3.69</v>
      </c>
      <c r="D935" s="2">
        <v>5.0900000000000007</v>
      </c>
      <c r="E935" s="2">
        <v>4.88</v>
      </c>
      <c r="F935" s="2">
        <v>3.08</v>
      </c>
      <c r="G935" s="6">
        <v>4454</v>
      </c>
      <c r="H935" s="6">
        <v>5978</v>
      </c>
      <c r="I935" s="6">
        <v>4645</v>
      </c>
      <c r="J935" s="6">
        <v>5245</v>
      </c>
      <c r="K935" s="6">
        <v>5744</v>
      </c>
    </row>
    <row r="936" spans="1:11" x14ac:dyDescent="0.2">
      <c r="A936" s="1">
        <v>0.64861111111111103</v>
      </c>
      <c r="B936" s="2">
        <v>6.28</v>
      </c>
      <c r="C936" s="2">
        <v>3.57</v>
      </c>
      <c r="D936" s="2">
        <v>5.07</v>
      </c>
      <c r="E936" s="2">
        <v>5.3800000000000008</v>
      </c>
      <c r="F936" s="2">
        <v>3.06</v>
      </c>
      <c r="G936" s="6">
        <v>6549</v>
      </c>
      <c r="H936" s="6">
        <f t="shared" si="22"/>
        <v>7535</v>
      </c>
      <c r="I936" s="6">
        <v>5687</v>
      </c>
      <c r="J936" s="6">
        <v>8455</v>
      </c>
      <c r="K936" s="6">
        <v>9552</v>
      </c>
    </row>
    <row r="937" spans="1:11" x14ac:dyDescent="0.2">
      <c r="A937" s="1">
        <v>0.64930555555555602</v>
      </c>
      <c r="B937" s="2">
        <v>6.29</v>
      </c>
      <c r="C937" s="2">
        <v>3.6599999999999997</v>
      </c>
      <c r="D937" s="2">
        <v>5.0500000000000007</v>
      </c>
      <c r="E937" s="2">
        <v>4.84</v>
      </c>
      <c r="F937" s="2">
        <v>2.85</v>
      </c>
      <c r="G937" s="6">
        <v>8597</v>
      </c>
      <c r="H937" s="6">
        <v>10258</v>
      </c>
      <c r="I937" s="6">
        <v>7564</v>
      </c>
      <c r="J937" s="6">
        <v>7757</v>
      </c>
      <c r="K937" s="6">
        <v>7852</v>
      </c>
    </row>
    <row r="938" spans="1:11" x14ac:dyDescent="0.2">
      <c r="A938" s="1">
        <v>0.65</v>
      </c>
      <c r="B938" s="2">
        <v>6.1800000000000006</v>
      </c>
      <c r="C938" s="2">
        <v>3.65</v>
      </c>
      <c r="D938" s="2">
        <v>4.9800000000000004</v>
      </c>
      <c r="E938" s="2">
        <v>4.9700000000000006</v>
      </c>
      <c r="F938" s="2">
        <v>2.92</v>
      </c>
      <c r="G938" s="6">
        <v>5147</v>
      </c>
      <c r="H938" s="6">
        <f t="shared" si="22"/>
        <v>6133</v>
      </c>
      <c r="I938" s="6">
        <v>5546</v>
      </c>
      <c r="J938" s="6">
        <v>4988</v>
      </c>
      <c r="K938" s="6">
        <v>5240</v>
      </c>
    </row>
    <row r="939" spans="1:11" x14ac:dyDescent="0.2">
      <c r="A939" s="1">
        <v>0.65069444444444402</v>
      </c>
      <c r="B939" s="2">
        <v>6.13</v>
      </c>
      <c r="C939" s="2">
        <v>3.75</v>
      </c>
      <c r="D939" s="2">
        <v>4.9400000000000004</v>
      </c>
      <c r="E939" s="2">
        <v>4.8900000000000006</v>
      </c>
      <c r="F939" s="2">
        <v>3.16</v>
      </c>
      <c r="G939" s="6">
        <v>6478</v>
      </c>
      <c r="H939" s="6">
        <v>7684</v>
      </c>
      <c r="I939" s="6">
        <v>6582</v>
      </c>
      <c r="J939" s="6">
        <v>6458</v>
      </c>
      <c r="K939" s="6">
        <v>6482</v>
      </c>
    </row>
    <row r="940" spans="1:11" x14ac:dyDescent="0.2">
      <c r="A940" s="1">
        <v>0.65138888888888902</v>
      </c>
      <c r="B940" s="2">
        <v>6.1400000000000006</v>
      </c>
      <c r="C940" s="2">
        <v>3.67</v>
      </c>
      <c r="D940" s="2">
        <v>4.88</v>
      </c>
      <c r="E940" s="2">
        <v>5.21</v>
      </c>
      <c r="F940" s="2">
        <v>3.17</v>
      </c>
      <c r="G940" s="6">
        <v>5547</v>
      </c>
      <c r="H940" s="6">
        <f t="shared" si="22"/>
        <v>6533</v>
      </c>
      <c r="I940" s="6">
        <v>6845</v>
      </c>
      <c r="J940" s="6">
        <v>5852</v>
      </c>
      <c r="K940" s="6">
        <v>5985</v>
      </c>
    </row>
    <row r="941" spans="1:11" x14ac:dyDescent="0.2">
      <c r="A941" s="1">
        <v>0.65208333333333302</v>
      </c>
      <c r="B941" s="2">
        <v>6.12</v>
      </c>
      <c r="C941" s="2">
        <v>3.73</v>
      </c>
      <c r="D941" s="2">
        <v>5.12</v>
      </c>
      <c r="E941" s="2">
        <v>5.21</v>
      </c>
      <c r="F941" s="2">
        <v>3.15</v>
      </c>
      <c r="G941" s="6">
        <v>6478</v>
      </c>
      <c r="H941" s="6">
        <v>7598</v>
      </c>
      <c r="I941" s="6">
        <v>6354</v>
      </c>
      <c r="J941" s="6">
        <v>6657</v>
      </c>
      <c r="K941" s="6">
        <v>6482</v>
      </c>
    </row>
    <row r="942" spans="1:11" x14ac:dyDescent="0.2">
      <c r="A942" s="1">
        <v>0.65277777777777801</v>
      </c>
      <c r="B942" s="2">
        <v>6.29</v>
      </c>
      <c r="C942" s="2">
        <v>3.7699999999999996</v>
      </c>
      <c r="D942" s="2">
        <v>5.12</v>
      </c>
      <c r="E942" s="2">
        <v>5.1400000000000006</v>
      </c>
      <c r="F942" s="2">
        <v>2.85</v>
      </c>
      <c r="G942" s="6">
        <v>3369</v>
      </c>
      <c r="H942" s="6">
        <v>5462</v>
      </c>
      <c r="I942" s="6">
        <v>3652</v>
      </c>
      <c r="J942" s="6">
        <v>3568</v>
      </c>
      <c r="K942" s="6">
        <v>4528</v>
      </c>
    </row>
    <row r="943" spans="1:11" x14ac:dyDescent="0.2">
      <c r="A943" s="1">
        <v>0.65347222222222201</v>
      </c>
      <c r="B943" s="2">
        <v>6.23</v>
      </c>
      <c r="C943" s="2">
        <v>3.6399999999999997</v>
      </c>
      <c r="D943" s="2">
        <v>5.25</v>
      </c>
      <c r="E943" s="2">
        <v>5</v>
      </c>
      <c r="F943" s="2">
        <v>3.12</v>
      </c>
      <c r="G943" s="6">
        <v>4125</v>
      </c>
      <c r="H943" s="6">
        <f t="shared" si="22"/>
        <v>5111</v>
      </c>
      <c r="I943" s="6">
        <v>3655</v>
      </c>
      <c r="J943" s="6">
        <v>4587</v>
      </c>
      <c r="K943" s="6">
        <v>5242</v>
      </c>
    </row>
    <row r="944" spans="1:11" x14ac:dyDescent="0.2">
      <c r="A944" s="1">
        <v>0.65416666666666701</v>
      </c>
      <c r="B944" s="2">
        <v>6.19</v>
      </c>
      <c r="C944" s="2">
        <v>3.5999999999999996</v>
      </c>
      <c r="D944" s="2">
        <v>5.15</v>
      </c>
      <c r="E944" s="2">
        <v>5.3000000000000007</v>
      </c>
      <c r="F944" s="2">
        <v>3.13</v>
      </c>
      <c r="G944" s="6">
        <v>8474</v>
      </c>
      <c r="H944" s="6">
        <v>10235</v>
      </c>
      <c r="I944" s="6">
        <v>7565</v>
      </c>
      <c r="J944" s="6">
        <v>8206</v>
      </c>
      <c r="K944" s="6">
        <v>8644</v>
      </c>
    </row>
    <row r="945" spans="1:11" x14ac:dyDescent="0.2">
      <c r="A945" s="1">
        <v>0.65486111111111101</v>
      </c>
      <c r="B945" s="2">
        <v>6.29</v>
      </c>
      <c r="C945" s="2">
        <v>3.78</v>
      </c>
      <c r="D945" s="2">
        <v>4.91</v>
      </c>
      <c r="E945" s="2">
        <v>5.29</v>
      </c>
      <c r="F945" s="2">
        <v>2.85</v>
      </c>
      <c r="G945" s="6">
        <v>4872</v>
      </c>
      <c r="H945" s="6">
        <v>6985</v>
      </c>
      <c r="I945" s="6">
        <v>6345</v>
      </c>
      <c r="J945" s="6">
        <v>5067</v>
      </c>
      <c r="K945" s="6">
        <v>5524</v>
      </c>
    </row>
    <row r="946" spans="1:11" x14ac:dyDescent="0.2">
      <c r="A946" s="1">
        <v>0.655555555555556</v>
      </c>
      <c r="B946" s="2">
        <v>6.24</v>
      </c>
      <c r="C946" s="2">
        <v>3.65</v>
      </c>
      <c r="D946" s="2">
        <v>4.91</v>
      </c>
      <c r="E946" s="2">
        <v>5.5100000000000007</v>
      </c>
      <c r="F946" s="2">
        <v>3</v>
      </c>
      <c r="G946" s="6">
        <v>1987</v>
      </c>
      <c r="H946" s="6">
        <v>2648</v>
      </c>
      <c r="I946" s="6">
        <v>2054</v>
      </c>
      <c r="J946" s="6">
        <v>2205</v>
      </c>
      <c r="K946" s="6">
        <v>2356</v>
      </c>
    </row>
    <row r="947" spans="1:11" x14ac:dyDescent="0.2">
      <c r="A947" s="1">
        <v>0.65625</v>
      </c>
      <c r="B947" s="2">
        <v>6.19</v>
      </c>
      <c r="C947" s="2">
        <v>3.7399999999999998</v>
      </c>
      <c r="D947" s="2">
        <v>5.24</v>
      </c>
      <c r="E947" s="2">
        <v>5.1100000000000003</v>
      </c>
      <c r="F947" s="2">
        <v>2.89</v>
      </c>
      <c r="G947" s="6">
        <v>1857</v>
      </c>
      <c r="H947" s="6">
        <f t="shared" si="22"/>
        <v>2843</v>
      </c>
      <c r="I947" s="6">
        <v>1954</v>
      </c>
      <c r="J947" s="6">
        <v>2035</v>
      </c>
      <c r="K947" s="6">
        <v>2354</v>
      </c>
    </row>
    <row r="948" spans="1:11" x14ac:dyDescent="0.2">
      <c r="A948" s="1">
        <v>0.656944444444444</v>
      </c>
      <c r="B948" s="2">
        <v>6.24</v>
      </c>
      <c r="C948" s="2">
        <v>3.61</v>
      </c>
      <c r="D948" s="2">
        <v>5.1800000000000006</v>
      </c>
      <c r="E948" s="2">
        <v>5.12</v>
      </c>
      <c r="F948" s="2">
        <v>3.29</v>
      </c>
      <c r="G948" s="6">
        <v>1954</v>
      </c>
      <c r="H948" s="6">
        <v>2867</v>
      </c>
      <c r="I948" s="6">
        <v>1852</v>
      </c>
      <c r="J948" s="6">
        <v>2034</v>
      </c>
      <c r="K948" s="6">
        <v>2678</v>
      </c>
    </row>
    <row r="949" spans="1:11" x14ac:dyDescent="0.2">
      <c r="A949" s="1">
        <v>0.65763888888888899</v>
      </c>
      <c r="B949" s="2">
        <v>6.24</v>
      </c>
      <c r="C949" s="2">
        <v>3.76</v>
      </c>
      <c r="D949" s="2">
        <v>4.99</v>
      </c>
      <c r="E949" s="2">
        <v>4.8600000000000003</v>
      </c>
      <c r="F949" s="2">
        <v>3.06</v>
      </c>
      <c r="G949" s="6">
        <v>2564</v>
      </c>
      <c r="H949" s="6">
        <v>3254</v>
      </c>
      <c r="I949" s="6">
        <v>2642</v>
      </c>
      <c r="J949" s="6">
        <v>2985</v>
      </c>
      <c r="K949" s="6">
        <v>3054</v>
      </c>
    </row>
    <row r="950" spans="1:11" x14ac:dyDescent="0.2">
      <c r="A950" s="1">
        <v>0.65833333333333299</v>
      </c>
      <c r="B950" s="2">
        <v>6.24</v>
      </c>
      <c r="C950" s="2">
        <v>3.5199999999999996</v>
      </c>
      <c r="D950" s="2">
        <v>5.12</v>
      </c>
      <c r="E950" s="2">
        <v>5.5100000000000007</v>
      </c>
      <c r="F950" s="2">
        <v>3.17</v>
      </c>
      <c r="G950" s="6">
        <v>2764</v>
      </c>
      <c r="H950" s="6">
        <v>3698</v>
      </c>
      <c r="I950" s="6">
        <v>2781</v>
      </c>
      <c r="J950" s="6">
        <v>2648</v>
      </c>
      <c r="K950" s="6">
        <v>2954</v>
      </c>
    </row>
    <row r="951" spans="1:11" x14ac:dyDescent="0.2">
      <c r="A951" s="1">
        <v>0.65902777777777799</v>
      </c>
      <c r="B951" s="2">
        <v>6.2</v>
      </c>
      <c r="C951" s="2">
        <v>3.6599999999999997</v>
      </c>
      <c r="D951" s="2">
        <v>4.9700000000000006</v>
      </c>
      <c r="E951" s="2">
        <v>5.5100000000000007</v>
      </c>
      <c r="F951" s="2">
        <v>3.37</v>
      </c>
      <c r="G951" s="6">
        <v>3354</v>
      </c>
      <c r="H951" s="6">
        <v>4524</v>
      </c>
      <c r="I951" s="6">
        <v>3054</v>
      </c>
      <c r="J951" s="6">
        <v>3156</v>
      </c>
      <c r="K951" s="6">
        <v>3254</v>
      </c>
    </row>
    <row r="952" spans="1:11" x14ac:dyDescent="0.2">
      <c r="A952" s="1">
        <v>0.65972222222222199</v>
      </c>
      <c r="B952" s="2">
        <v>6.21</v>
      </c>
      <c r="C952" s="2">
        <v>3.69</v>
      </c>
      <c r="D952" s="2">
        <v>4.9700000000000006</v>
      </c>
      <c r="E952" s="2">
        <v>5.08</v>
      </c>
      <c r="F952" s="2">
        <v>3.22</v>
      </c>
      <c r="G952" s="6">
        <v>3571</v>
      </c>
      <c r="H952" s="6">
        <f t="shared" si="22"/>
        <v>4557</v>
      </c>
      <c r="I952" s="6">
        <v>3058</v>
      </c>
      <c r="J952" s="6">
        <v>2984</v>
      </c>
      <c r="K952" s="6">
        <v>3054</v>
      </c>
    </row>
    <row r="953" spans="1:11" x14ac:dyDescent="0.2">
      <c r="A953" s="1">
        <v>0.66041666666666698</v>
      </c>
      <c r="B953" s="2">
        <v>6.1000000000000005</v>
      </c>
      <c r="C953" s="2">
        <v>3.53</v>
      </c>
      <c r="D953" s="2">
        <v>5.04</v>
      </c>
      <c r="E953" s="2">
        <v>5.3100000000000005</v>
      </c>
      <c r="F953" s="2">
        <v>2.94</v>
      </c>
      <c r="G953" s="6">
        <v>3495</v>
      </c>
      <c r="H953" s="6">
        <v>4687</v>
      </c>
      <c r="I953" s="6">
        <v>3458</v>
      </c>
      <c r="J953" s="6">
        <v>3245</v>
      </c>
      <c r="K953" s="6">
        <v>3584</v>
      </c>
    </row>
    <row r="954" spans="1:11" x14ac:dyDescent="0.2">
      <c r="A954" s="1">
        <v>0.66111111111111098</v>
      </c>
      <c r="B954" s="2">
        <v>6.29</v>
      </c>
      <c r="C954" s="2">
        <v>3.5999999999999996</v>
      </c>
      <c r="D954" s="2">
        <v>5.1100000000000003</v>
      </c>
      <c r="E954" s="2">
        <v>4.84</v>
      </c>
      <c r="F954" s="2">
        <v>3.06</v>
      </c>
      <c r="G954" s="6">
        <v>3245</v>
      </c>
      <c r="H954" s="6">
        <v>3264</v>
      </c>
      <c r="I954" s="6">
        <v>3052</v>
      </c>
      <c r="J954" s="6">
        <v>3054</v>
      </c>
      <c r="K954" s="6">
        <v>3685</v>
      </c>
    </row>
    <row r="955" spans="1:11" x14ac:dyDescent="0.2">
      <c r="A955" s="1">
        <v>0.66180555555555598</v>
      </c>
      <c r="B955" s="2">
        <v>6.13</v>
      </c>
      <c r="C955" s="2">
        <v>3.59</v>
      </c>
      <c r="D955" s="2">
        <v>5.08</v>
      </c>
      <c r="E955" s="2">
        <v>4.99</v>
      </c>
      <c r="F955" s="2">
        <v>3.1100000000000003</v>
      </c>
      <c r="G955" s="6">
        <v>2854</v>
      </c>
      <c r="H955" s="6">
        <v>3355</v>
      </c>
      <c r="I955" s="6">
        <v>2775</v>
      </c>
      <c r="J955" s="6">
        <v>2754</v>
      </c>
      <c r="K955" s="6">
        <v>2785</v>
      </c>
    </row>
    <row r="956" spans="1:11" x14ac:dyDescent="0.2">
      <c r="A956" s="1">
        <v>0.66249999999999998</v>
      </c>
      <c r="B956" s="2">
        <v>6.2600000000000007</v>
      </c>
      <c r="C956" s="2">
        <v>3.76</v>
      </c>
      <c r="D956" s="2">
        <v>4.9300000000000006</v>
      </c>
      <c r="E956" s="2">
        <v>5.04</v>
      </c>
      <c r="F956" s="2">
        <v>3.2600000000000002</v>
      </c>
      <c r="G956" s="6">
        <v>2647</v>
      </c>
      <c r="H956" s="6">
        <v>3957</v>
      </c>
      <c r="I956" s="6">
        <v>2652</v>
      </c>
      <c r="J956" s="6">
        <v>2647</v>
      </c>
      <c r="K956" s="6">
        <v>2985</v>
      </c>
    </row>
    <row r="957" spans="1:11" x14ac:dyDescent="0.2">
      <c r="A957" s="1">
        <v>0.66319444444444398</v>
      </c>
      <c r="B957" s="2">
        <v>6.21</v>
      </c>
      <c r="C957" s="2">
        <v>3.57</v>
      </c>
      <c r="D957" s="2">
        <v>5.23</v>
      </c>
      <c r="E957" s="2">
        <v>5.24</v>
      </c>
      <c r="F957" s="2">
        <v>3.12</v>
      </c>
      <c r="G957" s="6">
        <v>1487</v>
      </c>
      <c r="H957" s="6">
        <f t="shared" si="22"/>
        <v>2473</v>
      </c>
      <c r="I957" s="6">
        <v>1528</v>
      </c>
      <c r="J957" s="6">
        <v>2754</v>
      </c>
      <c r="K957" s="6">
        <v>2985</v>
      </c>
    </row>
    <row r="958" spans="1:11" x14ac:dyDescent="0.2">
      <c r="A958" s="1">
        <v>0.66388888888888897</v>
      </c>
      <c r="B958" s="2">
        <v>6.1000000000000005</v>
      </c>
      <c r="C958" s="2">
        <v>3.71</v>
      </c>
      <c r="D958" s="2">
        <v>5.21</v>
      </c>
      <c r="E958" s="2">
        <v>4.99</v>
      </c>
      <c r="F958" s="2">
        <v>3.3600000000000003</v>
      </c>
      <c r="G958" s="6">
        <v>1364</v>
      </c>
      <c r="H958" s="6">
        <v>2647</v>
      </c>
      <c r="I958" s="6">
        <v>1364</v>
      </c>
      <c r="J958" s="6">
        <v>2454</v>
      </c>
      <c r="K958" s="6">
        <v>3014</v>
      </c>
    </row>
    <row r="959" spans="1:11" x14ac:dyDescent="0.2">
      <c r="A959" s="1">
        <v>0.66458333333333297</v>
      </c>
      <c r="B959" s="2">
        <v>6.1000000000000005</v>
      </c>
      <c r="C959" s="2">
        <v>3.51</v>
      </c>
      <c r="D959" s="2">
        <v>4.9000000000000004</v>
      </c>
      <c r="E959" s="2">
        <v>4.88</v>
      </c>
      <c r="F959" s="2">
        <v>2.99</v>
      </c>
      <c r="G959" s="6">
        <v>3456</v>
      </c>
      <c r="H959" s="6">
        <v>3442</v>
      </c>
      <c r="I959" s="6">
        <v>3542</v>
      </c>
      <c r="J959" s="6">
        <v>3546</v>
      </c>
      <c r="K959" s="6">
        <v>3782</v>
      </c>
    </row>
    <row r="960" spans="1:11" x14ac:dyDescent="0.2">
      <c r="A960" s="1">
        <v>0.66527777777777797</v>
      </c>
      <c r="B960" s="2">
        <v>6.08</v>
      </c>
      <c r="C960" s="2">
        <v>3.53</v>
      </c>
      <c r="D960" s="2">
        <v>5.21</v>
      </c>
      <c r="E960" s="2">
        <v>5.29</v>
      </c>
      <c r="F960" s="2">
        <v>2.98</v>
      </c>
      <c r="G960" s="6">
        <v>2567</v>
      </c>
      <c r="H960" s="6">
        <f t="shared" si="22"/>
        <v>3553</v>
      </c>
      <c r="I960" s="6">
        <v>2648</v>
      </c>
      <c r="J960" s="6">
        <v>2454</v>
      </c>
      <c r="K960" s="6">
        <v>2642</v>
      </c>
    </row>
    <row r="961" spans="1:11" x14ac:dyDescent="0.2">
      <c r="A961" s="1">
        <v>0.66597222222222197</v>
      </c>
      <c r="B961" s="2">
        <v>6.32</v>
      </c>
      <c r="C961" s="2">
        <v>3.71</v>
      </c>
      <c r="D961" s="2">
        <v>4.8600000000000003</v>
      </c>
      <c r="E961" s="2">
        <v>4.9800000000000004</v>
      </c>
      <c r="F961" s="2">
        <v>3.3200000000000003</v>
      </c>
      <c r="G961" s="6">
        <v>2298</v>
      </c>
      <c r="H961" s="6">
        <v>2648</v>
      </c>
      <c r="I961" s="6">
        <v>2485</v>
      </c>
      <c r="J961" s="6">
        <v>2548</v>
      </c>
      <c r="K961" s="6">
        <v>2985</v>
      </c>
    </row>
    <row r="962" spans="1:11" x14ac:dyDescent="0.2">
      <c r="A962" s="3">
        <v>0.66666666666666696</v>
      </c>
      <c r="B962" s="4">
        <v>6.19</v>
      </c>
      <c r="C962" s="4">
        <v>3.67</v>
      </c>
      <c r="D962" s="4">
        <v>5.09</v>
      </c>
      <c r="E962" s="4">
        <v>5.28</v>
      </c>
      <c r="F962" s="2">
        <v>3.11</v>
      </c>
      <c r="G962" s="7">
        <v>2529</v>
      </c>
      <c r="H962" s="7">
        <v>2659</v>
      </c>
      <c r="I962" s="6">
        <v>2231</v>
      </c>
      <c r="J962" s="7">
        <v>2473</v>
      </c>
      <c r="K962" s="7">
        <v>2571</v>
      </c>
    </row>
    <row r="963" spans="1:11" x14ac:dyDescent="0.2">
      <c r="A963" s="1">
        <v>0.66736111111111096</v>
      </c>
      <c r="B963" s="2">
        <v>6.2</v>
      </c>
      <c r="C963" s="2">
        <v>3.57</v>
      </c>
      <c r="D963" s="2">
        <v>4.9800000000000004</v>
      </c>
      <c r="E963" s="2">
        <v>5.25</v>
      </c>
      <c r="F963" s="2">
        <v>2.9</v>
      </c>
      <c r="G963" s="6">
        <v>2630</v>
      </c>
      <c r="H963" s="6">
        <f>G963+86</f>
        <v>2716</v>
      </c>
      <c r="I963" s="6">
        <f>H963-400</f>
        <v>2316</v>
      </c>
      <c r="J963" s="6">
        <f>I963+133</f>
        <v>2449</v>
      </c>
      <c r="K963" s="6">
        <f>J963+73</f>
        <v>2522</v>
      </c>
    </row>
    <row r="964" spans="1:11" x14ac:dyDescent="0.2">
      <c r="A964" s="1">
        <v>0.66805555555555596</v>
      </c>
      <c r="B964" s="2">
        <v>6.1000000000000005</v>
      </c>
      <c r="C964" s="2">
        <v>3.7399999999999998</v>
      </c>
      <c r="D964" s="2">
        <v>5.1300000000000008</v>
      </c>
      <c r="E964" s="2">
        <v>5.0600000000000005</v>
      </c>
      <c r="F964" s="2">
        <v>3.1399999999999997</v>
      </c>
      <c r="G964" s="6">
        <v>3297</v>
      </c>
      <c r="H964" s="6">
        <f t="shared" ref="H964:H1021" si="24">G964+86</f>
        <v>3383</v>
      </c>
      <c r="I964" s="6">
        <v>3678</v>
      </c>
      <c r="J964" s="6">
        <f t="shared" ref="J964:J1020" si="25">I964+133</f>
        <v>3811</v>
      </c>
      <c r="K964" s="6">
        <f t="shared" ref="K964:K1019" si="26">J964+73</f>
        <v>3884</v>
      </c>
    </row>
    <row r="965" spans="1:11" x14ac:dyDescent="0.2">
      <c r="A965" s="1">
        <v>0.66874999999999996</v>
      </c>
      <c r="B965" s="2">
        <v>6.25</v>
      </c>
      <c r="C965" s="2">
        <v>3.75</v>
      </c>
      <c r="D965" s="2">
        <v>4.9800000000000004</v>
      </c>
      <c r="E965" s="2">
        <v>4.92</v>
      </c>
      <c r="F965" s="2">
        <v>3.37</v>
      </c>
      <c r="G965" s="6">
        <v>2664</v>
      </c>
      <c r="H965" s="6">
        <v>2648</v>
      </c>
      <c r="I965" s="6">
        <v>3056</v>
      </c>
      <c r="J965" s="6">
        <v>3325</v>
      </c>
      <c r="K965" s="6">
        <v>3564</v>
      </c>
    </row>
    <row r="966" spans="1:11" x14ac:dyDescent="0.2">
      <c r="A966" s="1">
        <v>0.66944444444444495</v>
      </c>
      <c r="B966" s="2">
        <v>6.2</v>
      </c>
      <c r="C966" s="2">
        <v>3.7699999999999996</v>
      </c>
      <c r="D966" s="2">
        <v>5.15</v>
      </c>
      <c r="E966" s="2">
        <v>5.08</v>
      </c>
      <c r="F966" s="2">
        <v>3.1799999999999997</v>
      </c>
      <c r="G966" s="6">
        <v>3526</v>
      </c>
      <c r="H966" s="6">
        <f t="shared" si="24"/>
        <v>3612</v>
      </c>
      <c r="I966" s="6">
        <f t="shared" ref="I966:I1018" si="27">H966-400</f>
        <v>3212</v>
      </c>
      <c r="J966" s="6">
        <f t="shared" si="25"/>
        <v>3345</v>
      </c>
      <c r="K966" s="6">
        <f t="shared" si="26"/>
        <v>3418</v>
      </c>
    </row>
    <row r="967" spans="1:11" x14ac:dyDescent="0.2">
      <c r="A967" s="1">
        <v>0.67013888888888895</v>
      </c>
      <c r="B967" s="2">
        <v>6.2600000000000007</v>
      </c>
      <c r="C967" s="2">
        <v>3.57</v>
      </c>
      <c r="D967" s="2">
        <v>4.9300000000000006</v>
      </c>
      <c r="E967" s="2">
        <v>5.3100000000000005</v>
      </c>
      <c r="F967" s="2">
        <v>3.08</v>
      </c>
      <c r="G967" s="6">
        <v>2473</v>
      </c>
      <c r="H967" s="6">
        <f t="shared" si="24"/>
        <v>2559</v>
      </c>
      <c r="I967" s="6">
        <f t="shared" si="27"/>
        <v>2159</v>
      </c>
      <c r="J967" s="6">
        <f t="shared" si="25"/>
        <v>2292</v>
      </c>
      <c r="K967" s="6">
        <f t="shared" si="26"/>
        <v>2365</v>
      </c>
    </row>
    <row r="968" spans="1:11" x14ac:dyDescent="0.2">
      <c r="A968" s="1">
        <v>0.67083333333333295</v>
      </c>
      <c r="B968" s="2">
        <v>6.19</v>
      </c>
      <c r="C968" s="2">
        <v>3.51</v>
      </c>
      <c r="D968" s="2">
        <v>5.1300000000000008</v>
      </c>
      <c r="E968" s="2">
        <v>5.5100000000000007</v>
      </c>
      <c r="F968" s="2">
        <v>3.07</v>
      </c>
      <c r="G968" s="6">
        <v>268</v>
      </c>
      <c r="H968" s="6">
        <f t="shared" si="24"/>
        <v>354</v>
      </c>
      <c r="I968" s="6">
        <v>344</v>
      </c>
      <c r="J968" s="6">
        <v>245</v>
      </c>
      <c r="K968" s="6">
        <v>452</v>
      </c>
    </row>
    <row r="969" spans="1:11" x14ac:dyDescent="0.2">
      <c r="A969" s="1">
        <v>0.67152777777777795</v>
      </c>
      <c r="B969" s="2">
        <v>6.24</v>
      </c>
      <c r="C969" s="2">
        <v>3.5599999999999996</v>
      </c>
      <c r="D969" s="2">
        <v>5.16</v>
      </c>
      <c r="E969" s="2">
        <v>5.4300000000000006</v>
      </c>
      <c r="F969" s="2">
        <v>2.92</v>
      </c>
      <c r="G969" s="6">
        <v>1798</v>
      </c>
      <c r="H969" s="6">
        <f t="shared" si="24"/>
        <v>1884</v>
      </c>
      <c r="I969" s="6">
        <f t="shared" si="27"/>
        <v>1484</v>
      </c>
      <c r="J969" s="6">
        <f t="shared" si="25"/>
        <v>1617</v>
      </c>
      <c r="K969" s="6">
        <f t="shared" si="26"/>
        <v>1690</v>
      </c>
    </row>
    <row r="970" spans="1:11" x14ac:dyDescent="0.2">
      <c r="A970" s="1">
        <v>0.67222222222222205</v>
      </c>
      <c r="B970" s="2">
        <v>6.32</v>
      </c>
      <c r="C970" s="2">
        <v>3.6399999999999997</v>
      </c>
      <c r="D970" s="2">
        <v>4.9400000000000004</v>
      </c>
      <c r="E970" s="2">
        <v>5.2700000000000005</v>
      </c>
      <c r="F970" s="2">
        <v>2.88</v>
      </c>
      <c r="G970" s="6">
        <v>2851</v>
      </c>
      <c r="H970" s="6">
        <f t="shared" si="24"/>
        <v>2937</v>
      </c>
      <c r="I970" s="6">
        <f t="shared" si="27"/>
        <v>2537</v>
      </c>
      <c r="J970" s="6">
        <f t="shared" si="25"/>
        <v>2670</v>
      </c>
      <c r="K970" s="6">
        <v>2643</v>
      </c>
    </row>
    <row r="971" spans="1:11" x14ac:dyDescent="0.2">
      <c r="A971" s="1">
        <v>0.67291666666666705</v>
      </c>
      <c r="B971" s="2">
        <v>6.23</v>
      </c>
      <c r="C971" s="2">
        <v>3.53</v>
      </c>
      <c r="D971" s="2">
        <v>5.03</v>
      </c>
      <c r="E971" s="2">
        <v>5.5</v>
      </c>
      <c r="F971" s="2">
        <v>3.12</v>
      </c>
      <c r="G971" s="6">
        <v>2661</v>
      </c>
      <c r="H971" s="6">
        <f t="shared" si="24"/>
        <v>2747</v>
      </c>
      <c r="I971" s="6">
        <f t="shared" si="27"/>
        <v>2347</v>
      </c>
      <c r="J971" s="6">
        <v>2545</v>
      </c>
      <c r="K971" s="6">
        <f t="shared" si="26"/>
        <v>2618</v>
      </c>
    </row>
    <row r="972" spans="1:11" x14ac:dyDescent="0.2">
      <c r="A972" s="1">
        <v>0.67361111111111105</v>
      </c>
      <c r="B972" s="2">
        <v>6.2200000000000006</v>
      </c>
      <c r="C972" s="2">
        <v>3.5199999999999996</v>
      </c>
      <c r="D972" s="2">
        <v>5.2600000000000007</v>
      </c>
      <c r="E972" s="2">
        <v>4.96</v>
      </c>
      <c r="F972" s="2">
        <v>3</v>
      </c>
      <c r="G972" s="6">
        <v>1882</v>
      </c>
      <c r="H972" s="6">
        <f t="shared" si="24"/>
        <v>1968</v>
      </c>
      <c r="I972" s="6">
        <f t="shared" si="27"/>
        <v>1568</v>
      </c>
      <c r="J972" s="6">
        <f t="shared" si="25"/>
        <v>1701</v>
      </c>
      <c r="K972" s="6">
        <f t="shared" si="26"/>
        <v>1774</v>
      </c>
    </row>
    <row r="973" spans="1:11" x14ac:dyDescent="0.2">
      <c r="A973" s="1">
        <v>0.67430555555555605</v>
      </c>
      <c r="B973" s="2">
        <v>6.19</v>
      </c>
      <c r="C973" s="2">
        <v>3.61</v>
      </c>
      <c r="D973" s="2">
        <v>5.2600000000000007</v>
      </c>
      <c r="E973" s="2">
        <v>5</v>
      </c>
      <c r="F973" s="2">
        <v>3.0999999999999996</v>
      </c>
      <c r="G973" s="6">
        <v>2957</v>
      </c>
      <c r="H973" s="6">
        <f t="shared" si="24"/>
        <v>3043</v>
      </c>
      <c r="I973" s="6">
        <v>2579</v>
      </c>
      <c r="J973" s="6">
        <f t="shared" si="25"/>
        <v>2712</v>
      </c>
      <c r="K973" s="6">
        <v>2677</v>
      </c>
    </row>
    <row r="974" spans="1:11" x14ac:dyDescent="0.2">
      <c r="A974" s="1">
        <v>0.67500000000000004</v>
      </c>
      <c r="B974" s="2">
        <v>6.12</v>
      </c>
      <c r="C974" s="2">
        <v>3.6599999999999997</v>
      </c>
      <c r="D974" s="2">
        <v>4.99</v>
      </c>
      <c r="E974" s="2">
        <v>5.1000000000000005</v>
      </c>
      <c r="F974" s="2">
        <v>3.07</v>
      </c>
      <c r="G974" s="6">
        <v>1572</v>
      </c>
      <c r="H974" s="6">
        <f t="shared" si="24"/>
        <v>1658</v>
      </c>
      <c r="I974" s="6">
        <f t="shared" si="27"/>
        <v>1258</v>
      </c>
      <c r="J974" s="6">
        <f t="shared" si="25"/>
        <v>1391</v>
      </c>
      <c r="K974" s="6">
        <f t="shared" si="26"/>
        <v>1464</v>
      </c>
    </row>
    <row r="975" spans="1:11" x14ac:dyDescent="0.2">
      <c r="A975" s="1">
        <v>0.67569444444444404</v>
      </c>
      <c r="B975" s="2">
        <v>6.3000000000000007</v>
      </c>
      <c r="C975" s="2">
        <v>3.6799999999999997</v>
      </c>
      <c r="D975" s="2">
        <v>5.24</v>
      </c>
      <c r="E975" s="2">
        <v>5.53</v>
      </c>
      <c r="F975" s="2">
        <v>3.12</v>
      </c>
      <c r="G975" s="6">
        <v>2654</v>
      </c>
      <c r="H975" s="6">
        <v>2468</v>
      </c>
      <c r="I975" s="6">
        <f t="shared" si="27"/>
        <v>2068</v>
      </c>
      <c r="J975" s="6">
        <v>2645</v>
      </c>
      <c r="K975" s="6">
        <f t="shared" si="26"/>
        <v>2718</v>
      </c>
    </row>
    <row r="976" spans="1:11" x14ac:dyDescent="0.2">
      <c r="A976" s="1">
        <v>0.67638888888888904</v>
      </c>
      <c r="B976" s="2">
        <v>6.3100000000000005</v>
      </c>
      <c r="C976" s="2">
        <v>3.7199999999999998</v>
      </c>
      <c r="D976" s="2">
        <v>4.95</v>
      </c>
      <c r="E976" s="2">
        <v>5.08</v>
      </c>
      <c r="F976" s="2">
        <v>2.9499999999999997</v>
      </c>
      <c r="G976" s="6">
        <v>2867</v>
      </c>
      <c r="H976" s="6">
        <f t="shared" si="24"/>
        <v>2953</v>
      </c>
      <c r="I976" s="6">
        <f t="shared" si="27"/>
        <v>2553</v>
      </c>
      <c r="J976" s="6">
        <f t="shared" si="25"/>
        <v>2686</v>
      </c>
      <c r="K976" s="6">
        <v>2649</v>
      </c>
    </row>
    <row r="977" spans="1:11" x14ac:dyDescent="0.2">
      <c r="A977" s="1">
        <v>0.67708333333333304</v>
      </c>
      <c r="B977" s="2">
        <v>6.1800000000000006</v>
      </c>
      <c r="C977" s="2">
        <v>3.69</v>
      </c>
      <c r="D977" s="2">
        <v>4.9000000000000004</v>
      </c>
      <c r="E977" s="2">
        <v>4.91</v>
      </c>
      <c r="F977" s="2">
        <v>2.9699999999999998</v>
      </c>
      <c r="G977" s="6">
        <v>3257</v>
      </c>
      <c r="H977" s="6">
        <f t="shared" si="24"/>
        <v>3343</v>
      </c>
      <c r="I977" s="6">
        <f t="shared" si="27"/>
        <v>2943</v>
      </c>
      <c r="J977" s="6">
        <v>3251</v>
      </c>
      <c r="K977" s="6">
        <f t="shared" si="26"/>
        <v>3324</v>
      </c>
    </row>
    <row r="978" spans="1:11" x14ac:dyDescent="0.2">
      <c r="A978" s="1">
        <v>0.67777777777777803</v>
      </c>
      <c r="B978" s="2">
        <v>6.2600000000000007</v>
      </c>
      <c r="C978" s="2">
        <v>3.7199999999999998</v>
      </c>
      <c r="D978" s="2">
        <v>5.0900000000000007</v>
      </c>
      <c r="E978" s="2">
        <v>5.4700000000000006</v>
      </c>
      <c r="F978" s="2">
        <v>2.8699999999999997</v>
      </c>
      <c r="G978" s="6">
        <v>2775</v>
      </c>
      <c r="H978" s="6">
        <f t="shared" si="24"/>
        <v>2861</v>
      </c>
      <c r="I978" s="6">
        <v>2564</v>
      </c>
      <c r="J978" s="6">
        <f t="shared" si="25"/>
        <v>2697</v>
      </c>
      <c r="K978" s="6">
        <f t="shared" si="26"/>
        <v>2770</v>
      </c>
    </row>
    <row r="979" spans="1:11" x14ac:dyDescent="0.2">
      <c r="A979" s="1">
        <v>0.67847222222222203</v>
      </c>
      <c r="B979" s="2">
        <v>6.12</v>
      </c>
      <c r="C979" s="2">
        <v>3.53</v>
      </c>
      <c r="D979" s="2">
        <v>5.12</v>
      </c>
      <c r="E979" s="2">
        <v>5.0500000000000007</v>
      </c>
      <c r="F979" s="2">
        <v>3.01</v>
      </c>
      <c r="G979" s="6">
        <v>1777</v>
      </c>
      <c r="H979" s="6">
        <f t="shared" si="24"/>
        <v>1863</v>
      </c>
      <c r="I979" s="6">
        <v>1554</v>
      </c>
      <c r="J979" s="6">
        <f t="shared" si="25"/>
        <v>1687</v>
      </c>
      <c r="K979" s="6">
        <v>1973</v>
      </c>
    </row>
    <row r="980" spans="1:11" x14ac:dyDescent="0.2">
      <c r="A980" s="1">
        <v>0.67916666666666703</v>
      </c>
      <c r="B980" s="2">
        <v>6.1000000000000005</v>
      </c>
      <c r="C980" s="2">
        <v>3.5999999999999996</v>
      </c>
      <c r="D980" s="2">
        <v>5.24</v>
      </c>
      <c r="E980" s="2">
        <v>5.5</v>
      </c>
      <c r="F980" s="2">
        <v>2.92</v>
      </c>
      <c r="G980" s="6">
        <v>2034</v>
      </c>
      <c r="H980" s="6">
        <v>1957</v>
      </c>
      <c r="I980" s="6">
        <f t="shared" si="27"/>
        <v>1557</v>
      </c>
      <c r="J980" s="6">
        <v>1756</v>
      </c>
      <c r="K980" s="6">
        <f t="shared" si="26"/>
        <v>1829</v>
      </c>
    </row>
    <row r="981" spans="1:11" x14ac:dyDescent="0.2">
      <c r="A981" s="1">
        <v>0.67986111111111103</v>
      </c>
      <c r="B981" s="2">
        <v>6.33</v>
      </c>
      <c r="C981" s="2">
        <v>3.59</v>
      </c>
      <c r="D981" s="2">
        <v>5.1400000000000006</v>
      </c>
      <c r="E981" s="2">
        <v>5.4300000000000006</v>
      </c>
      <c r="F981" s="2">
        <v>3.1999999999999997</v>
      </c>
      <c r="G981" s="6">
        <v>1854</v>
      </c>
      <c r="H981" s="6">
        <f t="shared" si="24"/>
        <v>1940</v>
      </c>
      <c r="I981" s="6">
        <f t="shared" si="27"/>
        <v>1540</v>
      </c>
      <c r="J981" s="6">
        <f t="shared" si="25"/>
        <v>1673</v>
      </c>
      <c r="K981" s="6">
        <f t="shared" si="26"/>
        <v>1746</v>
      </c>
    </row>
    <row r="982" spans="1:11" x14ac:dyDescent="0.2">
      <c r="A982" s="1">
        <v>0.68055555555555602</v>
      </c>
      <c r="B982" s="2">
        <v>6.2</v>
      </c>
      <c r="C982" s="2">
        <v>3.76</v>
      </c>
      <c r="D982" s="2">
        <v>4.8600000000000003</v>
      </c>
      <c r="E982" s="2">
        <v>5.23</v>
      </c>
      <c r="F982" s="2">
        <v>2.9299999999999997</v>
      </c>
      <c r="G982" s="6">
        <v>2687</v>
      </c>
      <c r="H982" s="6">
        <f t="shared" si="24"/>
        <v>2773</v>
      </c>
      <c r="I982" s="6">
        <v>2647</v>
      </c>
      <c r="J982" s="6">
        <f t="shared" si="25"/>
        <v>2780</v>
      </c>
      <c r="K982" s="6">
        <v>2684</v>
      </c>
    </row>
    <row r="983" spans="1:11" x14ac:dyDescent="0.2">
      <c r="A983" s="1">
        <v>0.68125000000000002</v>
      </c>
      <c r="B983" s="2">
        <v>6.3000000000000007</v>
      </c>
      <c r="C983" s="2">
        <v>3.6399999999999997</v>
      </c>
      <c r="D983" s="2">
        <v>4.8600000000000003</v>
      </c>
      <c r="E983" s="2">
        <v>4.88</v>
      </c>
      <c r="F983" s="2">
        <v>3.34</v>
      </c>
      <c r="G983" s="6">
        <v>3324</v>
      </c>
      <c r="H983" s="6">
        <v>3243</v>
      </c>
      <c r="I983" s="6">
        <v>2888</v>
      </c>
      <c r="J983" s="6">
        <f t="shared" si="25"/>
        <v>3021</v>
      </c>
      <c r="K983" s="6">
        <f t="shared" si="26"/>
        <v>3094</v>
      </c>
    </row>
    <row r="984" spans="1:11" x14ac:dyDescent="0.2">
      <c r="A984" s="1">
        <v>0.68194444444444402</v>
      </c>
      <c r="B984" s="2">
        <v>6.21</v>
      </c>
      <c r="C984" s="2">
        <v>3.75</v>
      </c>
      <c r="D984" s="2">
        <v>4.87</v>
      </c>
      <c r="E984" s="2">
        <v>5.2700000000000005</v>
      </c>
      <c r="F984" s="2">
        <v>3.17</v>
      </c>
      <c r="G984" s="6">
        <v>2658</v>
      </c>
      <c r="H984" s="6">
        <f t="shared" si="24"/>
        <v>2744</v>
      </c>
      <c r="I984" s="6">
        <f t="shared" si="27"/>
        <v>2344</v>
      </c>
      <c r="J984" s="6">
        <v>2678</v>
      </c>
      <c r="K984" s="6">
        <v>2677</v>
      </c>
    </row>
    <row r="985" spans="1:11" x14ac:dyDescent="0.2">
      <c r="A985" s="1">
        <v>0.68263888888888902</v>
      </c>
      <c r="B985" s="2">
        <v>6.32</v>
      </c>
      <c r="C985" s="2">
        <v>3.7399999999999998</v>
      </c>
      <c r="D985" s="2">
        <v>5.23</v>
      </c>
      <c r="E985" s="2">
        <v>4.96</v>
      </c>
      <c r="F985" s="2">
        <v>3.2199999999999998</v>
      </c>
      <c r="G985" s="6">
        <v>2589</v>
      </c>
      <c r="H985" s="6">
        <f t="shared" si="24"/>
        <v>2675</v>
      </c>
      <c r="I985" s="6">
        <f t="shared" si="27"/>
        <v>2275</v>
      </c>
      <c r="J985" s="6">
        <f t="shared" si="25"/>
        <v>2408</v>
      </c>
      <c r="K985" s="6">
        <f t="shared" si="26"/>
        <v>2481</v>
      </c>
    </row>
    <row r="986" spans="1:11" x14ac:dyDescent="0.2">
      <c r="A986" s="1">
        <v>0.68333333333333302</v>
      </c>
      <c r="B986" s="2">
        <v>6.16</v>
      </c>
      <c r="C986" s="2">
        <v>3.53</v>
      </c>
      <c r="D986" s="2">
        <v>5.23</v>
      </c>
      <c r="E986" s="2">
        <v>5.2700000000000005</v>
      </c>
      <c r="F986" s="2">
        <v>2.8899999999999997</v>
      </c>
      <c r="G986" s="6">
        <v>2985</v>
      </c>
      <c r="H986" s="6">
        <f t="shared" si="24"/>
        <v>3071</v>
      </c>
      <c r="I986" s="6">
        <v>2578</v>
      </c>
      <c r="J986" s="6">
        <f t="shared" si="25"/>
        <v>2711</v>
      </c>
      <c r="K986" s="6">
        <v>2658</v>
      </c>
    </row>
    <row r="987" spans="1:11" x14ac:dyDescent="0.2">
      <c r="A987" s="1">
        <v>0.68402777777777801</v>
      </c>
      <c r="B987" s="2">
        <v>6.15</v>
      </c>
      <c r="C987" s="2">
        <v>3.7399999999999998</v>
      </c>
      <c r="D987" s="2">
        <v>5.15</v>
      </c>
      <c r="E987" s="2">
        <v>5.46</v>
      </c>
      <c r="F987" s="2">
        <v>3.02</v>
      </c>
      <c r="G987" s="6">
        <v>1832</v>
      </c>
      <c r="H987" s="6">
        <v>2034</v>
      </c>
      <c r="I987" s="6">
        <f t="shared" si="27"/>
        <v>1634</v>
      </c>
      <c r="J987" s="6">
        <f t="shared" si="25"/>
        <v>1767</v>
      </c>
      <c r="K987" s="6">
        <f t="shared" si="26"/>
        <v>1840</v>
      </c>
    </row>
    <row r="988" spans="1:11" x14ac:dyDescent="0.2">
      <c r="A988" s="1">
        <v>0.68472222222222201</v>
      </c>
      <c r="B988" s="2">
        <v>6.17</v>
      </c>
      <c r="C988" s="2">
        <v>3.57</v>
      </c>
      <c r="D988" s="2">
        <v>5.2200000000000006</v>
      </c>
      <c r="E988" s="2">
        <v>5.2600000000000007</v>
      </c>
      <c r="F988" s="2">
        <v>2.94</v>
      </c>
      <c r="G988" s="6">
        <v>3254</v>
      </c>
      <c r="H988" s="6">
        <f t="shared" si="24"/>
        <v>3340</v>
      </c>
      <c r="I988" s="6">
        <f t="shared" si="27"/>
        <v>2940</v>
      </c>
      <c r="J988" s="6">
        <v>3254</v>
      </c>
      <c r="K988" s="6">
        <v>3456</v>
      </c>
    </row>
    <row r="989" spans="1:11" x14ac:dyDescent="0.2">
      <c r="A989" s="1">
        <v>0.68541666666666701</v>
      </c>
      <c r="B989" s="2">
        <v>6.33</v>
      </c>
      <c r="C989" s="2">
        <v>3.6399999999999997</v>
      </c>
      <c r="D989" s="2">
        <v>5.21</v>
      </c>
      <c r="E989" s="2">
        <v>5.07</v>
      </c>
      <c r="F989" s="2">
        <v>3.29</v>
      </c>
      <c r="G989" s="6">
        <v>2278</v>
      </c>
      <c r="H989" s="6">
        <f t="shared" si="24"/>
        <v>2364</v>
      </c>
      <c r="I989" s="6">
        <f t="shared" si="27"/>
        <v>1964</v>
      </c>
      <c r="J989" s="6">
        <f t="shared" si="25"/>
        <v>2097</v>
      </c>
      <c r="K989" s="6">
        <f t="shared" si="26"/>
        <v>2170</v>
      </c>
    </row>
    <row r="990" spans="1:11" x14ac:dyDescent="0.2">
      <c r="A990" s="1">
        <v>0.68611111111111101</v>
      </c>
      <c r="B990" s="2">
        <v>6.25</v>
      </c>
      <c r="C990" s="2">
        <v>3.5399999999999996</v>
      </c>
      <c r="D990" s="2">
        <v>5.2200000000000006</v>
      </c>
      <c r="E990" s="2">
        <v>4.88</v>
      </c>
      <c r="F990" s="2">
        <v>3.06</v>
      </c>
      <c r="G990" s="6">
        <v>2657</v>
      </c>
      <c r="H990" s="6">
        <f t="shared" si="24"/>
        <v>2743</v>
      </c>
      <c r="I990" s="6">
        <f t="shared" si="27"/>
        <v>2343</v>
      </c>
      <c r="J990" s="6">
        <f t="shared" si="25"/>
        <v>2476</v>
      </c>
      <c r="K990" s="6">
        <f t="shared" si="26"/>
        <v>2549</v>
      </c>
    </row>
    <row r="991" spans="1:11" x14ac:dyDescent="0.2">
      <c r="A991" s="1">
        <v>0.686805555555556</v>
      </c>
      <c r="B991" s="2">
        <v>6.19</v>
      </c>
      <c r="C991" s="2">
        <v>3.51</v>
      </c>
      <c r="D991" s="2">
        <v>5.08</v>
      </c>
      <c r="E991" s="2">
        <v>5.5200000000000005</v>
      </c>
      <c r="F991" s="2">
        <v>3.0999999999999996</v>
      </c>
      <c r="G991" s="6">
        <v>2854</v>
      </c>
      <c r="H991" s="6">
        <v>3102</v>
      </c>
      <c r="I991" s="6">
        <f t="shared" si="27"/>
        <v>2702</v>
      </c>
      <c r="J991" s="6">
        <v>2985</v>
      </c>
      <c r="K991" s="6">
        <v>3248</v>
      </c>
    </row>
    <row r="992" spans="1:11" x14ac:dyDescent="0.2">
      <c r="A992" s="1">
        <v>0.6875</v>
      </c>
      <c r="B992" s="2">
        <v>6.3000000000000007</v>
      </c>
      <c r="C992" s="2">
        <v>3.5399999999999996</v>
      </c>
      <c r="D992" s="2">
        <v>4.9800000000000004</v>
      </c>
      <c r="E992" s="2">
        <v>4.9800000000000004</v>
      </c>
      <c r="F992" s="2">
        <v>3.15</v>
      </c>
      <c r="G992" s="6">
        <v>2594</v>
      </c>
      <c r="H992" s="6">
        <f t="shared" si="24"/>
        <v>2680</v>
      </c>
      <c r="I992" s="6">
        <v>2248</v>
      </c>
      <c r="J992" s="6">
        <f t="shared" si="25"/>
        <v>2381</v>
      </c>
      <c r="K992" s="6">
        <f t="shared" si="26"/>
        <v>2454</v>
      </c>
    </row>
    <row r="993" spans="1:11" x14ac:dyDescent="0.2">
      <c r="A993" s="1">
        <v>0.688194444444444</v>
      </c>
      <c r="B993" s="2">
        <v>6.12</v>
      </c>
      <c r="C993" s="2">
        <v>3.78</v>
      </c>
      <c r="D993" s="2">
        <v>4.9000000000000004</v>
      </c>
      <c r="E993" s="2">
        <v>4.9400000000000004</v>
      </c>
      <c r="F993" s="2">
        <v>2.9699999999999998</v>
      </c>
      <c r="G993" s="6">
        <v>2674</v>
      </c>
      <c r="H993" s="6">
        <f t="shared" si="24"/>
        <v>2760</v>
      </c>
      <c r="I993" s="6">
        <f t="shared" si="27"/>
        <v>2360</v>
      </c>
      <c r="J993" s="6">
        <f t="shared" si="25"/>
        <v>2493</v>
      </c>
      <c r="K993" s="6">
        <v>2678</v>
      </c>
    </row>
    <row r="994" spans="1:11" x14ac:dyDescent="0.2">
      <c r="A994" s="1">
        <v>0.68888888888888899</v>
      </c>
      <c r="B994" s="2">
        <v>6.15</v>
      </c>
      <c r="C994" s="2">
        <v>3.5999999999999996</v>
      </c>
      <c r="D994" s="2">
        <v>4.88</v>
      </c>
      <c r="E994" s="2">
        <v>5.5100000000000007</v>
      </c>
      <c r="F994" s="2">
        <v>3.21</v>
      </c>
      <c r="G994" s="6">
        <v>2297</v>
      </c>
      <c r="H994" s="6">
        <v>2498</v>
      </c>
      <c r="I994" s="6">
        <v>2682</v>
      </c>
      <c r="J994" s="6">
        <f t="shared" si="25"/>
        <v>2815</v>
      </c>
      <c r="K994" s="6">
        <f t="shared" si="26"/>
        <v>2888</v>
      </c>
    </row>
    <row r="995" spans="1:11" x14ac:dyDescent="0.2">
      <c r="A995" s="1">
        <v>0.68958333333333299</v>
      </c>
      <c r="B995" s="2">
        <v>6.3000000000000007</v>
      </c>
      <c r="C995" s="2">
        <v>3.5999999999999996</v>
      </c>
      <c r="D995" s="2">
        <v>5.16</v>
      </c>
      <c r="E995" s="2">
        <v>5.2600000000000007</v>
      </c>
      <c r="F995" s="2">
        <v>3.15</v>
      </c>
      <c r="G995" s="6">
        <v>3354</v>
      </c>
      <c r="H995" s="6">
        <f t="shared" si="24"/>
        <v>3440</v>
      </c>
      <c r="I995" s="6">
        <f t="shared" si="27"/>
        <v>3040</v>
      </c>
      <c r="J995" s="6">
        <v>3354</v>
      </c>
      <c r="K995" s="6">
        <f t="shared" si="26"/>
        <v>3427</v>
      </c>
    </row>
    <row r="996" spans="1:11" x14ac:dyDescent="0.2">
      <c r="A996" s="1">
        <v>0.69027777777777799</v>
      </c>
      <c r="B996" s="2">
        <v>6.3100000000000005</v>
      </c>
      <c r="C996" s="2">
        <v>3.61</v>
      </c>
      <c r="D996" s="2">
        <v>4.8600000000000003</v>
      </c>
      <c r="E996" s="2">
        <v>5.33</v>
      </c>
      <c r="F996" s="2">
        <v>3.29</v>
      </c>
      <c r="G996" s="6">
        <v>3247</v>
      </c>
      <c r="H996" s="6">
        <f t="shared" si="24"/>
        <v>3333</v>
      </c>
      <c r="I996" s="6">
        <f t="shared" si="27"/>
        <v>2933</v>
      </c>
      <c r="J996" s="6">
        <f t="shared" si="25"/>
        <v>3066</v>
      </c>
      <c r="K996" s="6">
        <v>3546</v>
      </c>
    </row>
    <row r="997" spans="1:11" x14ac:dyDescent="0.2">
      <c r="A997" s="1">
        <v>0.69097222222222199</v>
      </c>
      <c r="B997" s="2">
        <v>6.1400000000000006</v>
      </c>
      <c r="C997" s="2">
        <v>3.69</v>
      </c>
      <c r="D997" s="2">
        <v>5.0600000000000005</v>
      </c>
      <c r="E997" s="2">
        <v>5.3000000000000007</v>
      </c>
      <c r="F997" s="2">
        <v>2.92</v>
      </c>
      <c r="G997" s="6">
        <v>2654</v>
      </c>
      <c r="H997" s="6">
        <f t="shared" si="24"/>
        <v>2740</v>
      </c>
      <c r="I997" s="6">
        <f t="shared" si="27"/>
        <v>2340</v>
      </c>
      <c r="J997" s="6">
        <f t="shared" si="25"/>
        <v>2473</v>
      </c>
      <c r="K997" s="6">
        <f t="shared" si="26"/>
        <v>2546</v>
      </c>
    </row>
    <row r="998" spans="1:11" x14ac:dyDescent="0.2">
      <c r="A998" s="1">
        <v>0.69166666666666698</v>
      </c>
      <c r="B998" s="2">
        <v>6.23</v>
      </c>
      <c r="C998" s="2">
        <v>3.63</v>
      </c>
      <c r="D998" s="2">
        <v>5.1000000000000005</v>
      </c>
      <c r="E998" s="2">
        <v>5.34</v>
      </c>
      <c r="F998" s="2">
        <v>2.9499999999999997</v>
      </c>
      <c r="G998" s="6">
        <v>1864</v>
      </c>
      <c r="H998" s="6">
        <f t="shared" si="24"/>
        <v>1950</v>
      </c>
      <c r="I998" s="6">
        <f t="shared" si="27"/>
        <v>1550</v>
      </c>
      <c r="J998" s="6">
        <f t="shared" si="25"/>
        <v>1683</v>
      </c>
      <c r="K998" s="6">
        <f t="shared" si="26"/>
        <v>1756</v>
      </c>
    </row>
    <row r="999" spans="1:11" x14ac:dyDescent="0.2">
      <c r="A999" s="1">
        <v>0.69236111111111098</v>
      </c>
      <c r="B999" s="2">
        <v>6.21</v>
      </c>
      <c r="C999" s="2">
        <v>3.5199999999999996</v>
      </c>
      <c r="D999" s="2">
        <v>4.9700000000000006</v>
      </c>
      <c r="E999" s="2">
        <v>5.3500000000000005</v>
      </c>
      <c r="F999" s="2">
        <v>3.13</v>
      </c>
      <c r="G999" s="6">
        <v>1554</v>
      </c>
      <c r="H999" s="6">
        <f t="shared" si="24"/>
        <v>1640</v>
      </c>
      <c r="I999" s="6">
        <v>1687</v>
      </c>
      <c r="J999" s="6">
        <f t="shared" si="25"/>
        <v>1820</v>
      </c>
      <c r="K999" s="6">
        <v>1946</v>
      </c>
    </row>
    <row r="1000" spans="1:11" x14ac:dyDescent="0.2">
      <c r="A1000" s="1">
        <v>0.69305555555555598</v>
      </c>
      <c r="B1000" s="2">
        <v>6.23</v>
      </c>
      <c r="C1000" s="2">
        <v>3.6599999999999997</v>
      </c>
      <c r="D1000" s="2">
        <v>4.9700000000000006</v>
      </c>
      <c r="E1000" s="2">
        <v>5.08</v>
      </c>
      <c r="F1000" s="2">
        <v>3.23</v>
      </c>
      <c r="G1000" s="6">
        <v>2236</v>
      </c>
      <c r="H1000" s="6">
        <f t="shared" si="24"/>
        <v>2322</v>
      </c>
      <c r="I1000" s="6">
        <f t="shared" si="27"/>
        <v>1922</v>
      </c>
      <c r="J1000" s="6">
        <v>2160</v>
      </c>
      <c r="K1000" s="6">
        <f t="shared" si="26"/>
        <v>2233</v>
      </c>
    </row>
    <row r="1001" spans="1:11" x14ac:dyDescent="0.2">
      <c r="A1001" s="1">
        <v>0.69374999999999998</v>
      </c>
      <c r="B1001" s="2">
        <v>6.2200000000000006</v>
      </c>
      <c r="C1001" s="2">
        <v>3.6599999999999997</v>
      </c>
      <c r="D1001" s="2">
        <v>4.9800000000000004</v>
      </c>
      <c r="E1001" s="2">
        <v>5.4300000000000006</v>
      </c>
      <c r="F1001" s="2">
        <v>3.1399999999999997</v>
      </c>
      <c r="G1001" s="6">
        <v>2641</v>
      </c>
      <c r="H1001" s="6">
        <f t="shared" si="24"/>
        <v>2727</v>
      </c>
      <c r="I1001" s="6">
        <f t="shared" si="27"/>
        <v>2327</v>
      </c>
      <c r="J1001" s="6">
        <f t="shared" si="25"/>
        <v>2460</v>
      </c>
      <c r="K1001" s="6">
        <v>2348</v>
      </c>
    </row>
    <row r="1002" spans="1:11" x14ac:dyDescent="0.2">
      <c r="A1002" s="1">
        <v>0.69444444444444398</v>
      </c>
      <c r="B1002" s="2">
        <v>6.32</v>
      </c>
      <c r="C1002" s="2">
        <v>3.7199999999999998</v>
      </c>
      <c r="D1002" s="2">
        <v>5.0600000000000005</v>
      </c>
      <c r="E1002" s="2">
        <v>5.5200000000000005</v>
      </c>
      <c r="F1002" s="2">
        <v>2.8899999999999997</v>
      </c>
      <c r="G1002" s="6">
        <v>1534</v>
      </c>
      <c r="H1002" s="6">
        <f t="shared" si="24"/>
        <v>1620</v>
      </c>
      <c r="I1002" s="6">
        <v>1635</v>
      </c>
      <c r="J1002" s="6">
        <f t="shared" si="25"/>
        <v>1768</v>
      </c>
      <c r="K1002" s="6">
        <f t="shared" si="26"/>
        <v>1841</v>
      </c>
    </row>
    <row r="1003" spans="1:11" x14ac:dyDescent="0.2">
      <c r="A1003" s="1">
        <v>0.69513888888888897</v>
      </c>
      <c r="B1003" s="2">
        <v>6.1800000000000006</v>
      </c>
      <c r="C1003" s="2">
        <v>3.6199999999999997</v>
      </c>
      <c r="D1003" s="2">
        <v>5.1400000000000006</v>
      </c>
      <c r="E1003" s="2">
        <v>5.42</v>
      </c>
      <c r="F1003" s="2">
        <v>3.26</v>
      </c>
      <c r="G1003" s="6">
        <v>2547</v>
      </c>
      <c r="H1003" s="6">
        <f t="shared" si="24"/>
        <v>2633</v>
      </c>
      <c r="I1003" s="6">
        <f t="shared" si="27"/>
        <v>2233</v>
      </c>
      <c r="J1003" s="6">
        <v>2167</v>
      </c>
      <c r="K1003" s="6">
        <f t="shared" si="26"/>
        <v>2240</v>
      </c>
    </row>
    <row r="1004" spans="1:11" x14ac:dyDescent="0.2">
      <c r="A1004" s="1">
        <v>0.69583333333333297</v>
      </c>
      <c r="B1004" s="2">
        <v>6.25</v>
      </c>
      <c r="C1004" s="2">
        <v>3.73</v>
      </c>
      <c r="D1004" s="2">
        <v>5.1800000000000006</v>
      </c>
      <c r="E1004" s="2">
        <v>5.4</v>
      </c>
      <c r="F1004" s="2">
        <v>3.09</v>
      </c>
      <c r="G1004" s="6">
        <v>1895</v>
      </c>
      <c r="H1004" s="6">
        <f t="shared" si="24"/>
        <v>1981</v>
      </c>
      <c r="I1004" s="6">
        <f t="shared" si="27"/>
        <v>1581</v>
      </c>
      <c r="J1004" s="6">
        <f t="shared" si="25"/>
        <v>1714</v>
      </c>
      <c r="K1004" s="6">
        <v>1954</v>
      </c>
    </row>
    <row r="1005" spans="1:11" x14ac:dyDescent="0.2">
      <c r="A1005" s="1">
        <v>0.69652777777777797</v>
      </c>
      <c r="B1005" s="2">
        <v>6.19</v>
      </c>
      <c r="C1005" s="2">
        <v>3.5199999999999996</v>
      </c>
      <c r="D1005" s="2">
        <v>5.08</v>
      </c>
      <c r="E1005" s="2">
        <v>5.3000000000000007</v>
      </c>
      <c r="F1005" s="2">
        <v>2.8699999999999997</v>
      </c>
      <c r="G1005" s="6">
        <v>1536</v>
      </c>
      <c r="H1005" s="6">
        <v>1675</v>
      </c>
      <c r="I1005" s="6">
        <f t="shared" si="27"/>
        <v>1275</v>
      </c>
      <c r="J1005" s="6">
        <v>1368</v>
      </c>
      <c r="K1005" s="6">
        <f t="shared" si="26"/>
        <v>1441</v>
      </c>
    </row>
    <row r="1006" spans="1:11" x14ac:dyDescent="0.2">
      <c r="A1006" s="1">
        <v>0.69722222222222197</v>
      </c>
      <c r="B1006" s="2">
        <v>6.12</v>
      </c>
      <c r="C1006" s="2">
        <v>3.6999999999999997</v>
      </c>
      <c r="D1006" s="2">
        <v>5.1100000000000003</v>
      </c>
      <c r="E1006" s="2">
        <v>5.13</v>
      </c>
      <c r="F1006" s="2">
        <v>3.1799999999999997</v>
      </c>
      <c r="G1006" s="6">
        <v>1953</v>
      </c>
      <c r="H1006" s="6">
        <f t="shared" si="24"/>
        <v>2039</v>
      </c>
      <c r="I1006" s="6">
        <f t="shared" si="27"/>
        <v>1639</v>
      </c>
      <c r="J1006" s="6">
        <f t="shared" si="25"/>
        <v>1772</v>
      </c>
      <c r="K1006" s="6">
        <v>1888</v>
      </c>
    </row>
    <row r="1007" spans="1:11" x14ac:dyDescent="0.2">
      <c r="A1007" s="1">
        <v>0.69791666666666696</v>
      </c>
      <c r="B1007" s="2">
        <v>6.28</v>
      </c>
      <c r="C1007" s="2">
        <v>3.65</v>
      </c>
      <c r="D1007" s="2">
        <v>4.87</v>
      </c>
      <c r="E1007" s="2">
        <v>4.8600000000000003</v>
      </c>
      <c r="F1007" s="2">
        <v>3.01</v>
      </c>
      <c r="G1007" s="6">
        <v>1954</v>
      </c>
      <c r="H1007" s="6">
        <f t="shared" si="24"/>
        <v>2040</v>
      </c>
      <c r="I1007" s="6">
        <v>1586</v>
      </c>
      <c r="J1007" s="6">
        <f t="shared" si="25"/>
        <v>1719</v>
      </c>
      <c r="K1007" s="6">
        <f t="shared" si="26"/>
        <v>1792</v>
      </c>
    </row>
    <row r="1008" spans="1:11" x14ac:dyDescent="0.2">
      <c r="A1008" s="1">
        <v>0.69861111111111096</v>
      </c>
      <c r="B1008" s="2">
        <v>6.11</v>
      </c>
      <c r="C1008" s="2">
        <v>3.76</v>
      </c>
      <c r="D1008" s="2">
        <v>5.19</v>
      </c>
      <c r="E1008" s="2">
        <v>5.23</v>
      </c>
      <c r="F1008" s="2">
        <v>3.23</v>
      </c>
      <c r="G1008" s="6">
        <v>2549</v>
      </c>
      <c r="H1008" s="6">
        <v>2678</v>
      </c>
      <c r="I1008" s="6">
        <f t="shared" si="27"/>
        <v>2278</v>
      </c>
      <c r="J1008" s="6">
        <v>2351</v>
      </c>
      <c r="K1008" s="6">
        <f t="shared" si="26"/>
        <v>2424</v>
      </c>
    </row>
    <row r="1009" spans="1:11" x14ac:dyDescent="0.2">
      <c r="A1009" s="1">
        <v>0.69930555555555596</v>
      </c>
      <c r="B1009" s="2">
        <v>6.15</v>
      </c>
      <c r="C1009" s="2">
        <v>3.6799999999999997</v>
      </c>
      <c r="D1009" s="2">
        <v>5.0600000000000005</v>
      </c>
      <c r="E1009" s="2">
        <v>5.0200000000000005</v>
      </c>
      <c r="F1009" s="2">
        <v>3.38</v>
      </c>
      <c r="G1009" s="6">
        <v>2257</v>
      </c>
      <c r="H1009" s="6">
        <f t="shared" si="24"/>
        <v>2343</v>
      </c>
      <c r="I1009" s="6">
        <f t="shared" si="27"/>
        <v>1943</v>
      </c>
      <c r="J1009" s="6">
        <f t="shared" si="25"/>
        <v>2076</v>
      </c>
      <c r="K1009" s="6">
        <v>2245</v>
      </c>
    </row>
    <row r="1010" spans="1:11" x14ac:dyDescent="0.2">
      <c r="A1010" s="1">
        <v>0.7</v>
      </c>
      <c r="B1010" s="2">
        <v>6.3000000000000007</v>
      </c>
      <c r="C1010" s="2">
        <v>3.63</v>
      </c>
      <c r="D1010" s="2">
        <v>5.23</v>
      </c>
      <c r="E1010" s="2">
        <v>4.9000000000000004</v>
      </c>
      <c r="F1010" s="2">
        <v>3.29</v>
      </c>
      <c r="G1010" s="6">
        <v>1748</v>
      </c>
      <c r="H1010" s="6">
        <f t="shared" si="24"/>
        <v>1834</v>
      </c>
      <c r="I1010" s="6">
        <v>1654</v>
      </c>
      <c r="J1010" s="6">
        <f t="shared" si="25"/>
        <v>1787</v>
      </c>
      <c r="K1010" s="6">
        <f t="shared" si="26"/>
        <v>1860</v>
      </c>
    </row>
    <row r="1011" spans="1:11" x14ac:dyDescent="0.2">
      <c r="A1011" s="1">
        <v>0.70069444444444495</v>
      </c>
      <c r="B1011" s="2">
        <v>6.1800000000000006</v>
      </c>
      <c r="C1011" s="2">
        <v>3.5399999999999996</v>
      </c>
      <c r="D1011" s="2">
        <v>4.8600000000000003</v>
      </c>
      <c r="E1011" s="2">
        <v>5.3100000000000005</v>
      </c>
      <c r="F1011" s="2">
        <v>3.31</v>
      </c>
      <c r="G1011" s="6">
        <v>1594</v>
      </c>
      <c r="H1011" s="6">
        <f t="shared" si="24"/>
        <v>1680</v>
      </c>
      <c r="I1011" s="6">
        <f t="shared" si="27"/>
        <v>1280</v>
      </c>
      <c r="J1011" s="6">
        <v>1168</v>
      </c>
      <c r="K1011" s="6">
        <f t="shared" si="26"/>
        <v>1241</v>
      </c>
    </row>
    <row r="1012" spans="1:11" x14ac:dyDescent="0.2">
      <c r="A1012" s="1">
        <v>0.70138888888888895</v>
      </c>
      <c r="B1012" s="2">
        <v>6.23</v>
      </c>
      <c r="C1012" s="2">
        <v>3.69</v>
      </c>
      <c r="D1012" s="2">
        <v>5.1000000000000005</v>
      </c>
      <c r="E1012" s="2">
        <v>5.5100000000000007</v>
      </c>
      <c r="F1012" s="2">
        <v>3.27</v>
      </c>
      <c r="G1012" s="6">
        <v>1378</v>
      </c>
      <c r="H1012" s="6">
        <f t="shared" si="24"/>
        <v>1464</v>
      </c>
      <c r="I1012" s="6">
        <f t="shared" si="27"/>
        <v>1064</v>
      </c>
      <c r="J1012" s="6">
        <f t="shared" si="25"/>
        <v>1197</v>
      </c>
      <c r="K1012" s="6">
        <v>1365</v>
      </c>
    </row>
    <row r="1013" spans="1:11" x14ac:dyDescent="0.2">
      <c r="A1013" s="1">
        <v>0.70208333333333295</v>
      </c>
      <c r="B1013" s="2">
        <v>6.12</v>
      </c>
      <c r="C1013" s="2">
        <v>3.73</v>
      </c>
      <c r="D1013" s="2">
        <v>5.08</v>
      </c>
      <c r="E1013" s="2">
        <v>5.2700000000000005</v>
      </c>
      <c r="F1013" s="2">
        <v>3.31</v>
      </c>
      <c r="G1013" s="6">
        <v>2254</v>
      </c>
      <c r="H1013" s="6">
        <f t="shared" si="24"/>
        <v>2340</v>
      </c>
      <c r="I1013" s="6">
        <f t="shared" si="27"/>
        <v>1940</v>
      </c>
      <c r="J1013" s="6">
        <v>2450</v>
      </c>
      <c r="K1013" s="6">
        <f t="shared" si="26"/>
        <v>2523</v>
      </c>
    </row>
    <row r="1014" spans="1:11" x14ac:dyDescent="0.2">
      <c r="A1014" s="1">
        <v>0.70277777777777795</v>
      </c>
      <c r="B1014" s="2">
        <v>6.33</v>
      </c>
      <c r="C1014" s="2">
        <v>3.76</v>
      </c>
      <c r="D1014" s="2">
        <v>5.2600000000000007</v>
      </c>
      <c r="E1014" s="2">
        <v>5.3900000000000006</v>
      </c>
      <c r="F1014" s="2">
        <v>2.9899999999999998</v>
      </c>
      <c r="G1014" s="6">
        <v>2954</v>
      </c>
      <c r="H1014" s="6">
        <v>3354</v>
      </c>
      <c r="I1014" s="6">
        <v>3050</v>
      </c>
      <c r="J1014" s="6">
        <f t="shared" si="25"/>
        <v>3183</v>
      </c>
      <c r="K1014" s="6">
        <v>3364</v>
      </c>
    </row>
    <row r="1015" spans="1:11" x14ac:dyDescent="0.2">
      <c r="A1015" s="1">
        <v>0.70347222222222205</v>
      </c>
      <c r="B1015" s="2">
        <v>6.12</v>
      </c>
      <c r="C1015" s="2">
        <v>3.75</v>
      </c>
      <c r="D1015" s="2">
        <v>5.0200000000000005</v>
      </c>
      <c r="E1015" s="2">
        <v>5.3000000000000007</v>
      </c>
      <c r="F1015" s="2">
        <v>3.13</v>
      </c>
      <c r="G1015" s="6">
        <v>2478</v>
      </c>
      <c r="H1015" s="6">
        <f t="shared" si="24"/>
        <v>2564</v>
      </c>
      <c r="I1015" s="6">
        <f t="shared" si="27"/>
        <v>2164</v>
      </c>
      <c r="J1015" s="6">
        <f t="shared" si="25"/>
        <v>2297</v>
      </c>
      <c r="K1015" s="6">
        <f t="shared" si="26"/>
        <v>2370</v>
      </c>
    </row>
    <row r="1016" spans="1:11" x14ac:dyDescent="0.2">
      <c r="A1016" s="1">
        <v>0.70416666666666705</v>
      </c>
      <c r="B1016" s="2">
        <v>6.11</v>
      </c>
      <c r="C1016" s="2">
        <v>3.59</v>
      </c>
      <c r="D1016" s="2">
        <v>5.2200000000000006</v>
      </c>
      <c r="E1016" s="2">
        <v>4.88</v>
      </c>
      <c r="F1016" s="2">
        <v>3.37</v>
      </c>
      <c r="G1016" s="6">
        <v>2674</v>
      </c>
      <c r="H1016" s="6">
        <v>2568</v>
      </c>
      <c r="I1016" s="6">
        <f t="shared" si="27"/>
        <v>2168</v>
      </c>
      <c r="J1016" s="6">
        <v>2245</v>
      </c>
      <c r="K1016" s="6">
        <f t="shared" si="26"/>
        <v>2318</v>
      </c>
    </row>
    <row r="1017" spans="1:11" x14ac:dyDescent="0.2">
      <c r="A1017" s="1">
        <v>0.70486111111111105</v>
      </c>
      <c r="B1017" s="2">
        <v>6.11</v>
      </c>
      <c r="C1017" s="2">
        <v>3.65</v>
      </c>
      <c r="D1017" s="2">
        <v>4.99</v>
      </c>
      <c r="E1017" s="2">
        <v>4.9300000000000006</v>
      </c>
      <c r="F1017" s="2">
        <v>3.36</v>
      </c>
      <c r="G1017" s="6">
        <v>1846</v>
      </c>
      <c r="H1017" s="6">
        <f t="shared" si="24"/>
        <v>1932</v>
      </c>
      <c r="I1017" s="6">
        <v>1752</v>
      </c>
      <c r="J1017" s="6">
        <f t="shared" si="25"/>
        <v>1885</v>
      </c>
      <c r="K1017" s="6">
        <v>2541</v>
      </c>
    </row>
    <row r="1018" spans="1:11" x14ac:dyDescent="0.2">
      <c r="A1018" s="1">
        <v>0.70555555555555605</v>
      </c>
      <c r="B1018" s="2">
        <v>6.23</v>
      </c>
      <c r="C1018" s="2">
        <v>3.7699999999999996</v>
      </c>
      <c r="D1018" s="2">
        <v>5.17</v>
      </c>
      <c r="E1018" s="2">
        <v>5.34</v>
      </c>
      <c r="F1018" s="2">
        <v>2.9499999999999997</v>
      </c>
      <c r="G1018" s="6">
        <v>1534</v>
      </c>
      <c r="H1018" s="6">
        <f t="shared" si="24"/>
        <v>1620</v>
      </c>
      <c r="I1018" s="6">
        <f t="shared" si="27"/>
        <v>1220</v>
      </c>
      <c r="J1018" s="6">
        <f t="shared" si="25"/>
        <v>1353</v>
      </c>
      <c r="K1018" s="6">
        <f t="shared" si="26"/>
        <v>1426</v>
      </c>
    </row>
    <row r="1019" spans="1:11" x14ac:dyDescent="0.2">
      <c r="A1019" s="1">
        <v>0.70625000000000004</v>
      </c>
      <c r="B1019" s="2">
        <v>6.33</v>
      </c>
      <c r="C1019" s="2">
        <v>3.65</v>
      </c>
      <c r="D1019" s="2">
        <v>5.23</v>
      </c>
      <c r="E1019" s="2">
        <v>5.28</v>
      </c>
      <c r="F1019" s="2">
        <v>3.08</v>
      </c>
      <c r="G1019" s="6">
        <v>2135</v>
      </c>
      <c r="H1019" s="6">
        <v>2343</v>
      </c>
      <c r="I1019" s="6">
        <v>2641</v>
      </c>
      <c r="J1019" s="6">
        <v>2647</v>
      </c>
      <c r="K1019" s="6">
        <f t="shared" si="26"/>
        <v>2720</v>
      </c>
    </row>
    <row r="1020" spans="1:11" x14ac:dyDescent="0.2">
      <c r="A1020" s="1">
        <v>0.70694444444444404</v>
      </c>
      <c r="B1020" s="2">
        <v>6.1000000000000005</v>
      </c>
      <c r="C1020" s="2">
        <v>3.67</v>
      </c>
      <c r="D1020" s="2">
        <v>4.88</v>
      </c>
      <c r="E1020" s="2">
        <v>4.99</v>
      </c>
      <c r="F1020" s="2">
        <v>3.08</v>
      </c>
      <c r="G1020" s="6">
        <v>2217</v>
      </c>
      <c r="H1020" s="6">
        <f t="shared" si="24"/>
        <v>2303</v>
      </c>
      <c r="I1020" s="6">
        <v>2030</v>
      </c>
      <c r="J1020" s="6">
        <f t="shared" si="25"/>
        <v>2163</v>
      </c>
      <c r="K1020" s="6">
        <v>2365</v>
      </c>
    </row>
    <row r="1021" spans="1:11" x14ac:dyDescent="0.2">
      <c r="A1021" s="1">
        <v>0.70763888888888904</v>
      </c>
      <c r="B1021" s="2">
        <v>6.2600000000000007</v>
      </c>
      <c r="C1021" s="2">
        <v>3.6599999999999997</v>
      </c>
      <c r="D1021" s="2">
        <v>4.8600000000000003</v>
      </c>
      <c r="E1021" s="2">
        <v>5.41</v>
      </c>
      <c r="F1021" s="2">
        <v>2.96</v>
      </c>
      <c r="G1021" s="6">
        <v>2567</v>
      </c>
      <c r="H1021" s="6">
        <f t="shared" si="24"/>
        <v>2653</v>
      </c>
      <c r="I1021" s="6">
        <v>2364</v>
      </c>
      <c r="J1021" s="6">
        <v>2564</v>
      </c>
      <c r="K1021" s="6">
        <v>2695</v>
      </c>
    </row>
    <row r="1022" spans="1:11" x14ac:dyDescent="0.2">
      <c r="A1022" s="3">
        <v>0.70833333333333304</v>
      </c>
      <c r="B1022" s="4">
        <v>6.19</v>
      </c>
      <c r="C1022" s="4">
        <v>3.68</v>
      </c>
      <c r="D1022" s="4">
        <v>5.09</v>
      </c>
      <c r="E1022" s="4">
        <v>5.28</v>
      </c>
      <c r="F1022" s="4">
        <v>3.12</v>
      </c>
      <c r="G1022" s="7">
        <v>2701</v>
      </c>
      <c r="H1022" s="7">
        <v>2803</v>
      </c>
      <c r="I1022" s="7">
        <v>2415</v>
      </c>
      <c r="J1022" s="7">
        <v>2382</v>
      </c>
      <c r="K1022" s="7">
        <v>2449</v>
      </c>
    </row>
    <row r="1023" spans="1:11" x14ac:dyDescent="0.2">
      <c r="A1023" s="1">
        <v>0.70902777777777803</v>
      </c>
      <c r="B1023" s="2">
        <v>6.3100000000000005</v>
      </c>
      <c r="C1023" s="2">
        <v>3.78</v>
      </c>
      <c r="D1023" s="2">
        <v>5.0100000000000007</v>
      </c>
      <c r="E1023" s="2">
        <v>5.3500000000000005</v>
      </c>
      <c r="F1023" s="2">
        <v>3.39</v>
      </c>
      <c r="G1023" s="6">
        <v>2544</v>
      </c>
      <c r="H1023" s="6">
        <f>G1023+86</f>
        <v>2630</v>
      </c>
      <c r="I1023" s="6">
        <v>2079</v>
      </c>
      <c r="J1023" s="6">
        <v>2215</v>
      </c>
      <c r="K1023" s="6">
        <v>1905</v>
      </c>
    </row>
    <row r="1024" spans="1:11" x14ac:dyDescent="0.2">
      <c r="A1024" s="1">
        <v>0.70972222222222203</v>
      </c>
      <c r="B1024" s="2">
        <v>6.19</v>
      </c>
      <c r="C1024" s="2">
        <v>3.75</v>
      </c>
      <c r="D1024" s="2">
        <v>5.1100000000000003</v>
      </c>
      <c r="E1024" s="2">
        <v>5.5200000000000005</v>
      </c>
      <c r="F1024" s="2">
        <v>2.95</v>
      </c>
      <c r="G1024" s="6">
        <v>3211</v>
      </c>
      <c r="H1024" s="6">
        <f t="shared" ref="H1024:H1081" si="28">G1024+86</f>
        <v>3297</v>
      </c>
      <c r="I1024" s="6">
        <v>2749</v>
      </c>
      <c r="J1024" s="6">
        <v>2584</v>
      </c>
      <c r="K1024" s="6">
        <v>2477</v>
      </c>
    </row>
    <row r="1025" spans="1:11" x14ac:dyDescent="0.2">
      <c r="A1025" s="1">
        <v>0.71041666666666703</v>
      </c>
      <c r="B1025" s="2">
        <v>6.07</v>
      </c>
      <c r="C1025" s="2">
        <v>3.55</v>
      </c>
      <c r="D1025" s="2">
        <v>5.0900000000000007</v>
      </c>
      <c r="E1025" s="2">
        <v>5.0200000000000005</v>
      </c>
      <c r="F1025" s="2">
        <v>3.37</v>
      </c>
      <c r="G1025" s="6">
        <v>2567</v>
      </c>
      <c r="H1025" s="6">
        <v>2664</v>
      </c>
      <c r="I1025" s="6">
        <v>2854</v>
      </c>
      <c r="J1025" s="6">
        <v>2214</v>
      </c>
      <c r="K1025" s="6">
        <v>2895</v>
      </c>
    </row>
    <row r="1026" spans="1:11" x14ac:dyDescent="0.2">
      <c r="A1026" s="1">
        <v>0.71111111111111103</v>
      </c>
      <c r="B1026" s="2">
        <v>6.07</v>
      </c>
      <c r="C1026" s="2">
        <v>3.7699999999999996</v>
      </c>
      <c r="D1026" s="2">
        <v>5.04</v>
      </c>
      <c r="E1026" s="2">
        <v>5.3900000000000006</v>
      </c>
      <c r="F1026" s="2">
        <v>3.18</v>
      </c>
      <c r="G1026" s="6">
        <v>2498</v>
      </c>
      <c r="H1026" s="6">
        <f t="shared" si="28"/>
        <v>2584</v>
      </c>
      <c r="I1026" s="6">
        <v>2034</v>
      </c>
      <c r="J1026" s="6">
        <v>1854</v>
      </c>
      <c r="K1026" s="6">
        <v>1875</v>
      </c>
    </row>
    <row r="1027" spans="1:11" x14ac:dyDescent="0.2">
      <c r="A1027" s="1">
        <v>0.71180555555555602</v>
      </c>
      <c r="B1027" s="2">
        <v>6.16</v>
      </c>
      <c r="C1027" s="2">
        <v>3.6399999999999997</v>
      </c>
      <c r="D1027" s="2">
        <v>5.08</v>
      </c>
      <c r="E1027" s="2">
        <v>5.29</v>
      </c>
      <c r="F1027" s="2">
        <v>3.24</v>
      </c>
      <c r="G1027" s="6">
        <v>2387</v>
      </c>
      <c r="H1027" s="6">
        <f t="shared" si="28"/>
        <v>2473</v>
      </c>
      <c r="I1027" s="6">
        <f t="shared" ref="I1027:I1081" si="29">H1027-452</f>
        <v>2021</v>
      </c>
      <c r="J1027" s="6">
        <f t="shared" ref="J1027:J1081" si="30">I1027-77</f>
        <v>1944</v>
      </c>
      <c r="K1027" s="6">
        <f t="shared" ref="K1027:K1080" si="31">J1027-33</f>
        <v>1911</v>
      </c>
    </row>
    <row r="1028" spans="1:11" x14ac:dyDescent="0.2">
      <c r="A1028" s="1">
        <v>0.71250000000000002</v>
      </c>
      <c r="B1028" s="2">
        <v>6.33</v>
      </c>
      <c r="C1028" s="2">
        <v>3.57</v>
      </c>
      <c r="D1028" s="2">
        <v>4.96</v>
      </c>
      <c r="E1028" s="2">
        <v>5.4</v>
      </c>
      <c r="F1028" s="2">
        <v>3.24</v>
      </c>
      <c r="G1028" s="6">
        <v>2784</v>
      </c>
      <c r="H1028" s="6">
        <f t="shared" si="28"/>
        <v>2870</v>
      </c>
      <c r="I1028" s="6">
        <v>1954</v>
      </c>
      <c r="J1028" s="6">
        <v>2145</v>
      </c>
      <c r="K1028" s="6">
        <v>2204</v>
      </c>
    </row>
    <row r="1029" spans="1:11" x14ac:dyDescent="0.2">
      <c r="A1029" s="1">
        <v>0.71319444444444402</v>
      </c>
      <c r="B1029" s="2">
        <v>6.07</v>
      </c>
      <c r="C1029" s="2">
        <v>3.53</v>
      </c>
      <c r="D1029" s="2">
        <v>5.1400000000000006</v>
      </c>
      <c r="E1029" s="2">
        <v>5.08</v>
      </c>
      <c r="F1029" s="2">
        <v>3.12</v>
      </c>
      <c r="G1029" s="6">
        <v>3217</v>
      </c>
      <c r="H1029" s="6">
        <f t="shared" si="28"/>
        <v>3303</v>
      </c>
      <c r="I1029" s="6">
        <f t="shared" si="29"/>
        <v>2851</v>
      </c>
      <c r="J1029" s="6">
        <f t="shared" si="30"/>
        <v>2774</v>
      </c>
      <c r="K1029" s="6">
        <f t="shared" si="31"/>
        <v>2741</v>
      </c>
    </row>
    <row r="1030" spans="1:11" x14ac:dyDescent="0.2">
      <c r="A1030" s="1">
        <v>0.71388888888888902</v>
      </c>
      <c r="B1030" s="2">
        <v>6.12</v>
      </c>
      <c r="C1030" s="2">
        <v>3.67</v>
      </c>
      <c r="D1030" s="2">
        <v>5</v>
      </c>
      <c r="E1030" s="2">
        <v>4.8600000000000003</v>
      </c>
      <c r="F1030" s="2">
        <v>3.25</v>
      </c>
      <c r="G1030" s="6">
        <v>1555</v>
      </c>
      <c r="H1030" s="6">
        <f t="shared" si="28"/>
        <v>1641</v>
      </c>
      <c r="I1030" s="6">
        <f t="shared" si="29"/>
        <v>1189</v>
      </c>
      <c r="J1030" s="6">
        <f t="shared" si="30"/>
        <v>1112</v>
      </c>
      <c r="K1030" s="6">
        <f t="shared" si="31"/>
        <v>1079</v>
      </c>
    </row>
    <row r="1031" spans="1:11" x14ac:dyDescent="0.2">
      <c r="A1031" s="1">
        <v>0.71458333333333302</v>
      </c>
      <c r="B1031" s="2">
        <v>6.16</v>
      </c>
      <c r="C1031" s="2">
        <v>3.6399999999999997</v>
      </c>
      <c r="D1031" s="2">
        <v>5</v>
      </c>
      <c r="E1031" s="2">
        <v>5.21</v>
      </c>
      <c r="F1031" s="2">
        <v>3.1100000000000003</v>
      </c>
      <c r="G1031" s="6">
        <v>2048</v>
      </c>
      <c r="H1031" s="6">
        <f t="shared" si="28"/>
        <v>2134</v>
      </c>
      <c r="I1031" s="6">
        <f t="shared" si="29"/>
        <v>1682</v>
      </c>
      <c r="J1031" s="6">
        <f t="shared" si="30"/>
        <v>1605</v>
      </c>
      <c r="K1031" s="6">
        <f t="shared" si="31"/>
        <v>1572</v>
      </c>
    </row>
    <row r="1032" spans="1:11" x14ac:dyDescent="0.2">
      <c r="A1032" s="1">
        <v>0.71527777777777801</v>
      </c>
      <c r="B1032" s="2">
        <v>6.24</v>
      </c>
      <c r="C1032" s="2">
        <v>3.6199999999999997</v>
      </c>
      <c r="D1032" s="2">
        <v>5.1100000000000003</v>
      </c>
      <c r="E1032" s="2">
        <v>5.03</v>
      </c>
      <c r="F1032" s="2">
        <v>2.98</v>
      </c>
      <c r="G1032" s="6">
        <v>2164</v>
      </c>
      <c r="H1032" s="6">
        <f t="shared" si="28"/>
        <v>2250</v>
      </c>
      <c r="I1032" s="6">
        <f t="shared" si="29"/>
        <v>1798</v>
      </c>
      <c r="J1032" s="6">
        <f t="shared" si="30"/>
        <v>1721</v>
      </c>
      <c r="K1032" s="6">
        <f t="shared" si="31"/>
        <v>1688</v>
      </c>
    </row>
    <row r="1033" spans="1:11" x14ac:dyDescent="0.2">
      <c r="A1033" s="1">
        <v>0.71597222222222201</v>
      </c>
      <c r="B1033" s="2">
        <v>6.19</v>
      </c>
      <c r="C1033" s="2">
        <v>3.76</v>
      </c>
      <c r="D1033" s="2">
        <v>5.0200000000000005</v>
      </c>
      <c r="E1033" s="2">
        <v>5.24</v>
      </c>
      <c r="F1033" s="2">
        <v>3.3200000000000003</v>
      </c>
      <c r="G1033" s="6">
        <v>3217</v>
      </c>
      <c r="H1033" s="6">
        <f t="shared" si="28"/>
        <v>3303</v>
      </c>
      <c r="I1033" s="6">
        <f t="shared" si="29"/>
        <v>2851</v>
      </c>
      <c r="J1033" s="6">
        <f t="shared" si="30"/>
        <v>2774</v>
      </c>
      <c r="K1033" s="6">
        <f t="shared" si="31"/>
        <v>2741</v>
      </c>
    </row>
    <row r="1034" spans="1:11" x14ac:dyDescent="0.2">
      <c r="A1034" s="1">
        <v>0.71666666666666701</v>
      </c>
      <c r="B1034" s="2">
        <v>6.07</v>
      </c>
      <c r="C1034" s="2">
        <v>3.53</v>
      </c>
      <c r="D1034" s="2">
        <v>4.92</v>
      </c>
      <c r="E1034" s="2">
        <v>5.24</v>
      </c>
      <c r="F1034" s="2">
        <v>2.96</v>
      </c>
      <c r="G1034" s="6">
        <v>3027</v>
      </c>
      <c r="H1034" s="6">
        <f t="shared" si="28"/>
        <v>3113</v>
      </c>
      <c r="I1034" s="6">
        <f t="shared" si="29"/>
        <v>2661</v>
      </c>
      <c r="J1034" s="6">
        <f t="shared" si="30"/>
        <v>2584</v>
      </c>
      <c r="K1034" s="6">
        <f t="shared" si="31"/>
        <v>2551</v>
      </c>
    </row>
    <row r="1035" spans="1:11" x14ac:dyDescent="0.2">
      <c r="A1035" s="1">
        <v>0.71736111111111101</v>
      </c>
      <c r="B1035" s="2">
        <v>6.24</v>
      </c>
      <c r="C1035" s="2">
        <v>3.6199999999999997</v>
      </c>
      <c r="D1035" s="2">
        <v>5.04</v>
      </c>
      <c r="E1035" s="2">
        <v>5.3100000000000005</v>
      </c>
      <c r="F1035" s="2">
        <v>3.21</v>
      </c>
      <c r="G1035" s="6">
        <v>2248</v>
      </c>
      <c r="H1035" s="6">
        <f t="shared" si="28"/>
        <v>2334</v>
      </c>
      <c r="I1035" s="6">
        <f t="shared" si="29"/>
        <v>1882</v>
      </c>
      <c r="J1035" s="6">
        <f t="shared" si="30"/>
        <v>1805</v>
      </c>
      <c r="K1035" s="6">
        <f t="shared" si="31"/>
        <v>1772</v>
      </c>
    </row>
    <row r="1036" spans="1:11" x14ac:dyDescent="0.2">
      <c r="A1036" s="1">
        <v>0.718055555555556</v>
      </c>
      <c r="B1036" s="2">
        <v>6.25</v>
      </c>
      <c r="C1036" s="2">
        <v>3.7199999999999998</v>
      </c>
      <c r="D1036" s="2">
        <v>5.25</v>
      </c>
      <c r="E1036" s="2">
        <v>4.84</v>
      </c>
      <c r="F1036" s="2">
        <v>3.04</v>
      </c>
      <c r="G1036" s="6">
        <v>1348</v>
      </c>
      <c r="H1036" s="6">
        <f t="shared" si="28"/>
        <v>1434</v>
      </c>
      <c r="I1036" s="6">
        <f t="shared" si="29"/>
        <v>982</v>
      </c>
      <c r="J1036" s="6">
        <f t="shared" si="30"/>
        <v>905</v>
      </c>
      <c r="K1036" s="6">
        <f t="shared" si="31"/>
        <v>872</v>
      </c>
    </row>
    <row r="1037" spans="1:11" x14ac:dyDescent="0.2">
      <c r="A1037" s="1">
        <v>0.71875</v>
      </c>
      <c r="B1037" s="2">
        <v>6.2600000000000007</v>
      </c>
      <c r="C1037" s="2">
        <v>3.7399999999999998</v>
      </c>
      <c r="D1037" s="2">
        <v>5.1300000000000008</v>
      </c>
      <c r="E1037" s="2">
        <v>5</v>
      </c>
      <c r="F1037" s="2">
        <v>3.21</v>
      </c>
      <c r="G1037" s="6">
        <v>954</v>
      </c>
      <c r="H1037" s="6">
        <f t="shared" si="28"/>
        <v>1040</v>
      </c>
      <c r="I1037" s="6">
        <f t="shared" si="29"/>
        <v>588</v>
      </c>
      <c r="J1037" s="6">
        <f t="shared" si="30"/>
        <v>511</v>
      </c>
      <c r="K1037" s="6">
        <f t="shared" si="31"/>
        <v>478</v>
      </c>
    </row>
    <row r="1038" spans="1:11" x14ac:dyDescent="0.2">
      <c r="A1038" s="1">
        <v>0.719444444444444</v>
      </c>
      <c r="B1038" s="2">
        <v>6.17</v>
      </c>
      <c r="C1038" s="2">
        <v>3.67</v>
      </c>
      <c r="D1038" s="2">
        <v>5.0200000000000005</v>
      </c>
      <c r="E1038" s="2">
        <v>4.99</v>
      </c>
      <c r="F1038" s="2">
        <v>3.16</v>
      </c>
      <c r="G1038" s="6">
        <v>1567</v>
      </c>
      <c r="H1038" s="6">
        <f t="shared" si="28"/>
        <v>1653</v>
      </c>
      <c r="I1038" s="6">
        <f t="shared" si="29"/>
        <v>1201</v>
      </c>
      <c r="J1038" s="6">
        <f t="shared" si="30"/>
        <v>1124</v>
      </c>
      <c r="K1038" s="6">
        <f t="shared" si="31"/>
        <v>1091</v>
      </c>
    </row>
    <row r="1039" spans="1:11" x14ac:dyDescent="0.2">
      <c r="A1039" s="1">
        <v>0.72013888888888899</v>
      </c>
      <c r="B1039" s="2">
        <v>6.15</v>
      </c>
      <c r="C1039" s="2">
        <v>3.57</v>
      </c>
      <c r="D1039" s="2">
        <v>5.1100000000000003</v>
      </c>
      <c r="E1039" s="2">
        <v>4.83</v>
      </c>
      <c r="F1039" s="2">
        <v>3.1</v>
      </c>
      <c r="G1039" s="6">
        <v>2289</v>
      </c>
      <c r="H1039" s="6">
        <f t="shared" si="28"/>
        <v>2375</v>
      </c>
      <c r="I1039" s="6">
        <f t="shared" si="29"/>
        <v>1923</v>
      </c>
      <c r="J1039" s="6">
        <f t="shared" si="30"/>
        <v>1846</v>
      </c>
      <c r="K1039" s="6">
        <f t="shared" si="31"/>
        <v>1813</v>
      </c>
    </row>
    <row r="1040" spans="1:11" x14ac:dyDescent="0.2">
      <c r="A1040" s="1">
        <v>0.72083333333333299</v>
      </c>
      <c r="B1040" s="2">
        <v>6.21</v>
      </c>
      <c r="C1040" s="2">
        <v>3.6399999999999997</v>
      </c>
      <c r="D1040" s="2">
        <v>5.24</v>
      </c>
      <c r="E1040" s="2">
        <v>5.1100000000000003</v>
      </c>
      <c r="F1040" s="2">
        <v>3.0700000000000003</v>
      </c>
      <c r="G1040" s="6">
        <v>2874</v>
      </c>
      <c r="H1040" s="6">
        <f t="shared" si="28"/>
        <v>2960</v>
      </c>
      <c r="I1040" s="6">
        <f t="shared" si="29"/>
        <v>2508</v>
      </c>
      <c r="J1040" s="6">
        <f t="shared" si="30"/>
        <v>2431</v>
      </c>
      <c r="K1040" s="6">
        <f t="shared" si="31"/>
        <v>2398</v>
      </c>
    </row>
    <row r="1041" spans="1:11" x14ac:dyDescent="0.2">
      <c r="A1041" s="1">
        <v>0.72152777777777799</v>
      </c>
      <c r="B1041" s="2">
        <v>6.29</v>
      </c>
      <c r="C1041" s="2">
        <v>3.61</v>
      </c>
      <c r="D1041" s="2">
        <v>5.1000000000000005</v>
      </c>
      <c r="E1041" s="2">
        <v>4.9800000000000004</v>
      </c>
      <c r="F1041" s="2">
        <v>3.1100000000000003</v>
      </c>
      <c r="G1041" s="6">
        <v>2489</v>
      </c>
      <c r="H1041" s="6">
        <f t="shared" si="28"/>
        <v>2575</v>
      </c>
      <c r="I1041" s="6">
        <f t="shared" si="29"/>
        <v>2123</v>
      </c>
      <c r="J1041" s="6">
        <f t="shared" si="30"/>
        <v>2046</v>
      </c>
      <c r="K1041" s="6">
        <f t="shared" si="31"/>
        <v>2013</v>
      </c>
    </row>
    <row r="1042" spans="1:11" x14ac:dyDescent="0.2">
      <c r="A1042" s="1">
        <v>0.72222222222222199</v>
      </c>
      <c r="B1042" s="2">
        <v>6.15</v>
      </c>
      <c r="C1042" s="2">
        <v>3.6399999999999997</v>
      </c>
      <c r="D1042" s="2">
        <v>5.08</v>
      </c>
      <c r="E1042" s="2">
        <v>4.99</v>
      </c>
      <c r="F1042" s="2">
        <v>3.08</v>
      </c>
      <c r="G1042" s="6">
        <v>3221</v>
      </c>
      <c r="H1042" s="6">
        <f t="shared" si="28"/>
        <v>3307</v>
      </c>
      <c r="I1042" s="6">
        <f t="shared" si="29"/>
        <v>2855</v>
      </c>
      <c r="J1042" s="6">
        <f t="shared" si="30"/>
        <v>2778</v>
      </c>
      <c r="K1042" s="6">
        <f t="shared" si="31"/>
        <v>2745</v>
      </c>
    </row>
    <row r="1043" spans="1:11" x14ac:dyDescent="0.2">
      <c r="A1043" s="1">
        <v>0.72291666666666698</v>
      </c>
      <c r="B1043" s="2">
        <v>6.12</v>
      </c>
      <c r="C1043" s="2">
        <v>3.63</v>
      </c>
      <c r="D1043" s="2">
        <v>5.19</v>
      </c>
      <c r="E1043" s="2">
        <v>5.15</v>
      </c>
      <c r="F1043" s="2">
        <v>3.0500000000000003</v>
      </c>
      <c r="G1043" s="6">
        <v>2278</v>
      </c>
      <c r="H1043" s="6">
        <f t="shared" si="28"/>
        <v>2364</v>
      </c>
      <c r="I1043" s="6">
        <f t="shared" si="29"/>
        <v>1912</v>
      </c>
      <c r="J1043" s="6">
        <f t="shared" si="30"/>
        <v>1835</v>
      </c>
      <c r="K1043" s="6">
        <f t="shared" si="31"/>
        <v>1802</v>
      </c>
    </row>
    <row r="1044" spans="1:11" x14ac:dyDescent="0.2">
      <c r="A1044" s="1">
        <v>0.72361111111111098</v>
      </c>
      <c r="B1044" s="2">
        <v>6.13</v>
      </c>
      <c r="C1044" s="2">
        <v>3.6399999999999997</v>
      </c>
      <c r="D1044" s="2">
        <v>5.16</v>
      </c>
      <c r="E1044" s="2">
        <v>4.84</v>
      </c>
      <c r="F1044" s="2">
        <v>3.2</v>
      </c>
      <c r="G1044" s="6">
        <v>1547</v>
      </c>
      <c r="H1044" s="6">
        <f t="shared" si="28"/>
        <v>1633</v>
      </c>
      <c r="I1044" s="6">
        <f t="shared" si="29"/>
        <v>1181</v>
      </c>
      <c r="J1044" s="6">
        <f t="shared" si="30"/>
        <v>1104</v>
      </c>
      <c r="K1044" s="6">
        <f t="shared" si="31"/>
        <v>1071</v>
      </c>
    </row>
    <row r="1045" spans="1:11" x14ac:dyDescent="0.2">
      <c r="A1045" s="1">
        <v>0.72430555555555598</v>
      </c>
      <c r="B1045" s="2">
        <v>6.08</v>
      </c>
      <c r="C1045" s="2">
        <v>3.6599999999999997</v>
      </c>
      <c r="D1045" s="2">
        <v>4.9400000000000004</v>
      </c>
      <c r="E1045" s="2">
        <v>5.37</v>
      </c>
      <c r="F1045" s="2">
        <v>2.93</v>
      </c>
      <c r="G1045" s="6">
        <v>957</v>
      </c>
      <c r="H1045" s="6">
        <f t="shared" si="28"/>
        <v>1043</v>
      </c>
      <c r="I1045" s="6">
        <f t="shared" si="29"/>
        <v>591</v>
      </c>
      <c r="J1045" s="6">
        <f t="shared" si="30"/>
        <v>514</v>
      </c>
      <c r="K1045" s="6">
        <f t="shared" si="31"/>
        <v>481</v>
      </c>
    </row>
    <row r="1046" spans="1:11" x14ac:dyDescent="0.2">
      <c r="A1046" s="1">
        <v>0.72499999999999998</v>
      </c>
      <c r="B1046" s="2">
        <v>6.3100000000000005</v>
      </c>
      <c r="C1046" s="2">
        <v>3.5999999999999996</v>
      </c>
      <c r="D1046" s="2">
        <v>5.24</v>
      </c>
      <c r="E1046" s="2">
        <v>5.3000000000000007</v>
      </c>
      <c r="F1046" s="2">
        <v>3.12</v>
      </c>
      <c r="G1046" s="6">
        <v>897</v>
      </c>
      <c r="H1046" s="6">
        <f t="shared" si="28"/>
        <v>983</v>
      </c>
      <c r="I1046" s="6">
        <f t="shared" si="29"/>
        <v>531</v>
      </c>
      <c r="J1046" s="6">
        <f t="shared" si="30"/>
        <v>454</v>
      </c>
      <c r="K1046" s="6">
        <f t="shared" si="31"/>
        <v>421</v>
      </c>
    </row>
    <row r="1047" spans="1:11" x14ac:dyDescent="0.2">
      <c r="A1047" s="1">
        <v>0.72569444444444398</v>
      </c>
      <c r="B1047" s="2">
        <v>6.2600000000000007</v>
      </c>
      <c r="C1047" s="2">
        <v>3.7399999999999998</v>
      </c>
      <c r="D1047" s="2">
        <v>4.96</v>
      </c>
      <c r="E1047" s="2">
        <v>5.03</v>
      </c>
      <c r="F1047" s="2">
        <v>2.91</v>
      </c>
      <c r="G1047" s="6">
        <v>2248</v>
      </c>
      <c r="H1047" s="6">
        <f t="shared" si="28"/>
        <v>2334</v>
      </c>
      <c r="I1047" s="6">
        <f t="shared" si="29"/>
        <v>1882</v>
      </c>
      <c r="J1047" s="6">
        <f t="shared" si="30"/>
        <v>1805</v>
      </c>
      <c r="K1047" s="6">
        <f t="shared" si="31"/>
        <v>1772</v>
      </c>
    </row>
    <row r="1048" spans="1:11" x14ac:dyDescent="0.2">
      <c r="A1048" s="1">
        <v>0.72638888888888897</v>
      </c>
      <c r="B1048" s="2">
        <v>6.07</v>
      </c>
      <c r="C1048" s="2">
        <v>3.73</v>
      </c>
      <c r="D1048" s="2">
        <v>5.21</v>
      </c>
      <c r="E1048" s="2">
        <v>5.07</v>
      </c>
      <c r="F1048" s="2">
        <v>3.25</v>
      </c>
      <c r="G1048" s="6">
        <v>3421</v>
      </c>
      <c r="H1048" s="6">
        <f t="shared" si="28"/>
        <v>3507</v>
      </c>
      <c r="I1048" s="6">
        <f t="shared" si="29"/>
        <v>3055</v>
      </c>
      <c r="J1048" s="6">
        <f t="shared" si="30"/>
        <v>2978</v>
      </c>
      <c r="K1048" s="6">
        <f t="shared" si="31"/>
        <v>2945</v>
      </c>
    </row>
    <row r="1049" spans="1:11" x14ac:dyDescent="0.2">
      <c r="A1049" s="1">
        <v>0.72708333333333297</v>
      </c>
      <c r="B1049" s="2">
        <v>6.32</v>
      </c>
      <c r="C1049" s="2">
        <v>3.69</v>
      </c>
      <c r="D1049" s="2">
        <v>5.2</v>
      </c>
      <c r="E1049" s="2">
        <v>5.21</v>
      </c>
      <c r="F1049" s="2">
        <v>2.97</v>
      </c>
      <c r="G1049" s="6">
        <v>2847</v>
      </c>
      <c r="H1049" s="6">
        <f t="shared" si="28"/>
        <v>2933</v>
      </c>
      <c r="I1049" s="6">
        <f t="shared" si="29"/>
        <v>2481</v>
      </c>
      <c r="J1049" s="6">
        <f t="shared" si="30"/>
        <v>2404</v>
      </c>
      <c r="K1049" s="6">
        <f t="shared" si="31"/>
        <v>2371</v>
      </c>
    </row>
    <row r="1050" spans="1:11" x14ac:dyDescent="0.2">
      <c r="A1050" s="1">
        <v>0.72777777777777797</v>
      </c>
      <c r="B1050" s="2">
        <v>6.28</v>
      </c>
      <c r="C1050" s="2">
        <v>3.57</v>
      </c>
      <c r="D1050" s="2">
        <v>4.8900000000000006</v>
      </c>
      <c r="E1050" s="2">
        <v>5.0100000000000007</v>
      </c>
      <c r="F1050" s="2">
        <v>3.13</v>
      </c>
      <c r="G1050" s="6">
        <v>3042</v>
      </c>
      <c r="H1050" s="6">
        <f t="shared" si="28"/>
        <v>3128</v>
      </c>
      <c r="I1050" s="6">
        <f t="shared" si="29"/>
        <v>2676</v>
      </c>
      <c r="J1050" s="6">
        <f t="shared" si="30"/>
        <v>2599</v>
      </c>
      <c r="K1050" s="6">
        <f t="shared" si="31"/>
        <v>2566</v>
      </c>
    </row>
    <row r="1051" spans="1:11" x14ac:dyDescent="0.2">
      <c r="A1051" s="1">
        <v>0.72847222222222197</v>
      </c>
      <c r="B1051" s="2">
        <v>6.3000000000000007</v>
      </c>
      <c r="C1051" s="2">
        <v>3.6999999999999997</v>
      </c>
      <c r="D1051" s="2">
        <v>5.15</v>
      </c>
      <c r="E1051" s="2">
        <v>5.46</v>
      </c>
      <c r="F1051" s="2">
        <v>3.2</v>
      </c>
      <c r="G1051" s="6">
        <v>1554</v>
      </c>
      <c r="H1051" s="6">
        <f t="shared" si="28"/>
        <v>1640</v>
      </c>
      <c r="I1051" s="6">
        <f t="shared" si="29"/>
        <v>1188</v>
      </c>
      <c r="J1051" s="6">
        <f t="shared" si="30"/>
        <v>1111</v>
      </c>
      <c r="K1051" s="6">
        <f t="shared" si="31"/>
        <v>1078</v>
      </c>
    </row>
    <row r="1052" spans="1:11" x14ac:dyDescent="0.2">
      <c r="A1052" s="1">
        <v>0.72916666666666696</v>
      </c>
      <c r="B1052" s="2">
        <v>6.1800000000000006</v>
      </c>
      <c r="C1052" s="2">
        <v>3.6799999999999997</v>
      </c>
      <c r="D1052" s="2">
        <v>5.2200000000000006</v>
      </c>
      <c r="E1052" s="2">
        <v>5.24</v>
      </c>
      <c r="F1052" s="2">
        <v>3.1500000000000004</v>
      </c>
      <c r="G1052" s="6">
        <v>1354</v>
      </c>
      <c r="H1052" s="6">
        <f t="shared" si="28"/>
        <v>1440</v>
      </c>
      <c r="I1052" s="6">
        <f t="shared" si="29"/>
        <v>988</v>
      </c>
      <c r="J1052" s="6">
        <f t="shared" si="30"/>
        <v>911</v>
      </c>
      <c r="K1052" s="6">
        <f t="shared" si="31"/>
        <v>878</v>
      </c>
    </row>
    <row r="1053" spans="1:11" x14ac:dyDescent="0.2">
      <c r="A1053" s="1">
        <v>0.72986111111111096</v>
      </c>
      <c r="B1053" s="2">
        <v>6.13</v>
      </c>
      <c r="C1053" s="2">
        <v>3.76</v>
      </c>
      <c r="D1053" s="2">
        <v>5.15</v>
      </c>
      <c r="E1053" s="2">
        <v>4.8500000000000005</v>
      </c>
      <c r="F1053" s="2">
        <v>3.18</v>
      </c>
      <c r="G1053" s="6">
        <v>2249</v>
      </c>
      <c r="H1053" s="6">
        <f t="shared" si="28"/>
        <v>2335</v>
      </c>
      <c r="I1053" s="6">
        <f t="shared" si="29"/>
        <v>1883</v>
      </c>
      <c r="J1053" s="6">
        <f t="shared" si="30"/>
        <v>1806</v>
      </c>
      <c r="K1053" s="6">
        <f t="shared" si="31"/>
        <v>1773</v>
      </c>
    </row>
    <row r="1054" spans="1:11" x14ac:dyDescent="0.2">
      <c r="A1054" s="1">
        <v>0.73055555555555596</v>
      </c>
      <c r="B1054" s="2">
        <v>6.2200000000000006</v>
      </c>
      <c r="C1054" s="2">
        <v>3.57</v>
      </c>
      <c r="D1054" s="2">
        <v>4.88</v>
      </c>
      <c r="E1054" s="2">
        <v>5.13</v>
      </c>
      <c r="F1054" s="2">
        <v>3.37</v>
      </c>
      <c r="G1054" s="6">
        <v>2234</v>
      </c>
      <c r="H1054" s="6">
        <f t="shared" si="28"/>
        <v>2320</v>
      </c>
      <c r="I1054" s="6">
        <f t="shared" si="29"/>
        <v>1868</v>
      </c>
      <c r="J1054" s="6">
        <f t="shared" si="30"/>
        <v>1791</v>
      </c>
      <c r="K1054" s="6">
        <f t="shared" si="31"/>
        <v>1758</v>
      </c>
    </row>
    <row r="1055" spans="1:11" x14ac:dyDescent="0.2">
      <c r="A1055" s="1">
        <v>0.73124999999999996</v>
      </c>
      <c r="B1055" s="2">
        <v>6.2200000000000006</v>
      </c>
      <c r="C1055" s="2">
        <v>3.63</v>
      </c>
      <c r="D1055" s="2">
        <v>5.0200000000000005</v>
      </c>
      <c r="E1055" s="2">
        <v>5.29</v>
      </c>
      <c r="F1055" s="2">
        <v>3.16</v>
      </c>
      <c r="G1055" s="6">
        <v>1597</v>
      </c>
      <c r="H1055" s="6">
        <f t="shared" si="28"/>
        <v>1683</v>
      </c>
      <c r="I1055" s="6">
        <f t="shared" si="29"/>
        <v>1231</v>
      </c>
      <c r="J1055" s="6">
        <f t="shared" si="30"/>
        <v>1154</v>
      </c>
      <c r="K1055" s="6">
        <f t="shared" si="31"/>
        <v>1121</v>
      </c>
    </row>
    <row r="1056" spans="1:11" x14ac:dyDescent="0.2">
      <c r="A1056" s="1">
        <v>0.73194444444444495</v>
      </c>
      <c r="B1056" s="2">
        <v>6.16</v>
      </c>
      <c r="C1056" s="2">
        <v>3.5799999999999996</v>
      </c>
      <c r="D1056" s="2">
        <v>5.04</v>
      </c>
      <c r="E1056" s="2">
        <v>5.3900000000000006</v>
      </c>
      <c r="F1056" s="2">
        <v>2.96</v>
      </c>
      <c r="G1056" s="6">
        <v>1224</v>
      </c>
      <c r="H1056" s="6">
        <f t="shared" si="28"/>
        <v>1310</v>
      </c>
      <c r="I1056" s="6">
        <f t="shared" si="29"/>
        <v>858</v>
      </c>
      <c r="J1056" s="6">
        <f t="shared" si="30"/>
        <v>781</v>
      </c>
      <c r="K1056" s="6">
        <f t="shared" si="31"/>
        <v>748</v>
      </c>
    </row>
    <row r="1057" spans="1:11" x14ac:dyDescent="0.2">
      <c r="A1057" s="1">
        <v>0.73263888888888895</v>
      </c>
      <c r="B1057" s="2">
        <v>6.21</v>
      </c>
      <c r="C1057" s="2">
        <v>3.69</v>
      </c>
      <c r="D1057" s="2">
        <v>5.07</v>
      </c>
      <c r="E1057" s="2">
        <v>4.9000000000000004</v>
      </c>
      <c r="F1057" s="2">
        <v>3.2</v>
      </c>
      <c r="G1057" s="6">
        <v>957</v>
      </c>
      <c r="H1057" s="6">
        <f t="shared" si="28"/>
        <v>1043</v>
      </c>
      <c r="I1057" s="6">
        <f t="shared" si="29"/>
        <v>591</v>
      </c>
      <c r="J1057" s="6">
        <f t="shared" si="30"/>
        <v>514</v>
      </c>
      <c r="K1057" s="6">
        <f t="shared" si="31"/>
        <v>481</v>
      </c>
    </row>
    <row r="1058" spans="1:11" x14ac:dyDescent="0.2">
      <c r="A1058" s="1">
        <v>0.73333333333333295</v>
      </c>
      <c r="B1058" s="2">
        <v>6.28</v>
      </c>
      <c r="C1058" s="2">
        <v>3.5599999999999996</v>
      </c>
      <c r="D1058" s="2">
        <v>4.9300000000000006</v>
      </c>
      <c r="E1058" s="2">
        <v>5.1400000000000006</v>
      </c>
      <c r="F1058" s="2">
        <v>3</v>
      </c>
      <c r="G1058" s="6">
        <v>1647</v>
      </c>
      <c r="H1058" s="6">
        <f t="shared" si="28"/>
        <v>1733</v>
      </c>
      <c r="I1058" s="6">
        <f t="shared" si="29"/>
        <v>1281</v>
      </c>
      <c r="J1058" s="6">
        <f t="shared" si="30"/>
        <v>1204</v>
      </c>
      <c r="K1058" s="6">
        <f t="shared" si="31"/>
        <v>1171</v>
      </c>
    </row>
    <row r="1059" spans="1:11" x14ac:dyDescent="0.2">
      <c r="A1059" s="1">
        <v>0.73402777777777795</v>
      </c>
      <c r="B1059" s="2">
        <v>6.09</v>
      </c>
      <c r="C1059" s="2">
        <v>3.5399999999999996</v>
      </c>
      <c r="D1059" s="2">
        <v>5.08</v>
      </c>
      <c r="E1059" s="2">
        <v>5.0100000000000007</v>
      </c>
      <c r="F1059" s="2">
        <v>3.2</v>
      </c>
      <c r="G1059" s="6">
        <v>1823</v>
      </c>
      <c r="H1059" s="6">
        <f t="shared" si="28"/>
        <v>1909</v>
      </c>
      <c r="I1059" s="6">
        <f t="shared" si="29"/>
        <v>1457</v>
      </c>
      <c r="J1059" s="6">
        <f t="shared" si="30"/>
        <v>1380</v>
      </c>
      <c r="K1059" s="6">
        <f t="shared" si="31"/>
        <v>1347</v>
      </c>
    </row>
    <row r="1060" spans="1:11" x14ac:dyDescent="0.2">
      <c r="A1060" s="1">
        <v>0.73472222222222205</v>
      </c>
      <c r="B1060" s="2">
        <v>6.24</v>
      </c>
      <c r="C1060" s="2">
        <v>3.7399999999999998</v>
      </c>
      <c r="D1060" s="2">
        <v>5.17</v>
      </c>
      <c r="E1060" s="2">
        <v>5.0500000000000007</v>
      </c>
      <c r="F1060" s="2">
        <v>2.98</v>
      </c>
      <c r="G1060" s="6">
        <v>1847</v>
      </c>
      <c r="H1060" s="6">
        <f t="shared" si="28"/>
        <v>1933</v>
      </c>
      <c r="I1060" s="6">
        <f t="shared" si="29"/>
        <v>1481</v>
      </c>
      <c r="J1060" s="6">
        <f t="shared" si="30"/>
        <v>1404</v>
      </c>
      <c r="K1060" s="6">
        <f t="shared" si="31"/>
        <v>1371</v>
      </c>
    </row>
    <row r="1061" spans="1:11" x14ac:dyDescent="0.2">
      <c r="A1061" s="1">
        <v>0.73541666666666705</v>
      </c>
      <c r="B1061" s="2">
        <v>6.23</v>
      </c>
      <c r="C1061" s="2">
        <v>3.69</v>
      </c>
      <c r="D1061" s="2">
        <v>5.12</v>
      </c>
      <c r="E1061" s="2">
        <v>5.37</v>
      </c>
      <c r="F1061" s="2">
        <v>2.94</v>
      </c>
      <c r="G1061" s="6">
        <v>1954</v>
      </c>
      <c r="H1061" s="6">
        <f t="shared" si="28"/>
        <v>2040</v>
      </c>
      <c r="I1061" s="6">
        <f t="shared" si="29"/>
        <v>1588</v>
      </c>
      <c r="J1061" s="6">
        <f t="shared" si="30"/>
        <v>1511</v>
      </c>
      <c r="K1061" s="6">
        <f t="shared" si="31"/>
        <v>1478</v>
      </c>
    </row>
    <row r="1062" spans="1:11" x14ac:dyDescent="0.2">
      <c r="A1062" s="1">
        <v>0.73611111111111105</v>
      </c>
      <c r="B1062" s="2">
        <v>6.32</v>
      </c>
      <c r="C1062" s="2">
        <v>3.71</v>
      </c>
      <c r="D1062" s="2">
        <v>4.8600000000000003</v>
      </c>
      <c r="E1062" s="2">
        <v>4.8500000000000005</v>
      </c>
      <c r="F1062" s="2">
        <v>2.98</v>
      </c>
      <c r="G1062" s="6">
        <v>2248</v>
      </c>
      <c r="H1062" s="6">
        <f t="shared" si="28"/>
        <v>2334</v>
      </c>
      <c r="I1062" s="6">
        <f t="shared" si="29"/>
        <v>1882</v>
      </c>
      <c r="J1062" s="6">
        <f t="shared" si="30"/>
        <v>1805</v>
      </c>
      <c r="K1062" s="6">
        <f t="shared" si="31"/>
        <v>1772</v>
      </c>
    </row>
    <row r="1063" spans="1:11" x14ac:dyDescent="0.2">
      <c r="A1063" s="1">
        <v>0.73680555555555605</v>
      </c>
      <c r="B1063" s="2">
        <v>6.2700000000000005</v>
      </c>
      <c r="C1063" s="2">
        <v>3.63</v>
      </c>
      <c r="D1063" s="2">
        <v>5.1800000000000006</v>
      </c>
      <c r="E1063" s="2">
        <v>4.8600000000000003</v>
      </c>
      <c r="F1063" s="2">
        <v>3.17</v>
      </c>
      <c r="G1063" s="6">
        <v>3128</v>
      </c>
      <c r="H1063" s="6">
        <f t="shared" si="28"/>
        <v>3214</v>
      </c>
      <c r="I1063" s="6">
        <f t="shared" si="29"/>
        <v>2762</v>
      </c>
      <c r="J1063" s="6">
        <f t="shared" si="30"/>
        <v>2685</v>
      </c>
      <c r="K1063" s="6">
        <f t="shared" si="31"/>
        <v>2652</v>
      </c>
    </row>
    <row r="1064" spans="1:11" x14ac:dyDescent="0.2">
      <c r="A1064" s="1">
        <v>0.73750000000000004</v>
      </c>
      <c r="B1064" s="2">
        <v>6.25</v>
      </c>
      <c r="C1064" s="2">
        <v>3.61</v>
      </c>
      <c r="D1064" s="2">
        <v>4.8600000000000003</v>
      </c>
      <c r="E1064" s="2">
        <v>5.12</v>
      </c>
      <c r="F1064" s="2">
        <v>2.97</v>
      </c>
      <c r="G1064" s="6">
        <v>1640</v>
      </c>
      <c r="H1064" s="6">
        <v>1548</v>
      </c>
      <c r="I1064" s="6">
        <f t="shared" si="29"/>
        <v>1096</v>
      </c>
      <c r="J1064" s="6">
        <v>1254</v>
      </c>
      <c r="K1064" s="6">
        <v>1228</v>
      </c>
    </row>
    <row r="1065" spans="1:11" x14ac:dyDescent="0.2">
      <c r="A1065" s="1">
        <v>0.73819444444444404</v>
      </c>
      <c r="B1065" s="2">
        <v>6.23</v>
      </c>
      <c r="C1065" s="2">
        <v>3.67</v>
      </c>
      <c r="D1065" s="2">
        <v>4.95</v>
      </c>
      <c r="E1065" s="2">
        <v>5.03</v>
      </c>
      <c r="F1065" s="2">
        <v>3.38</v>
      </c>
      <c r="G1065" s="6">
        <v>1036</v>
      </c>
      <c r="H1065" s="6">
        <f t="shared" si="28"/>
        <v>1122</v>
      </c>
      <c r="I1065" s="6">
        <v>771</v>
      </c>
      <c r="J1065" s="6">
        <v>693</v>
      </c>
      <c r="K1065" s="6">
        <v>664</v>
      </c>
    </row>
    <row r="1066" spans="1:11" x14ac:dyDescent="0.2">
      <c r="A1066" s="1">
        <v>0.73888888888888904</v>
      </c>
      <c r="B1066" s="2">
        <v>6.2600000000000007</v>
      </c>
      <c r="C1066" s="2">
        <v>3.6399999999999997</v>
      </c>
      <c r="D1066" s="2">
        <v>5.0900000000000007</v>
      </c>
      <c r="E1066" s="2">
        <v>4.9400000000000004</v>
      </c>
      <c r="F1066" s="2">
        <v>3.16</v>
      </c>
      <c r="G1066" s="6">
        <v>1223</v>
      </c>
      <c r="H1066" s="6">
        <f t="shared" si="28"/>
        <v>1309</v>
      </c>
      <c r="I1066" s="6">
        <f t="shared" si="29"/>
        <v>857</v>
      </c>
      <c r="J1066" s="6">
        <f t="shared" si="30"/>
        <v>780</v>
      </c>
      <c r="K1066" s="6">
        <f t="shared" si="31"/>
        <v>747</v>
      </c>
    </row>
    <row r="1067" spans="1:11" x14ac:dyDescent="0.2">
      <c r="A1067" s="1">
        <v>0.73958333333333304</v>
      </c>
      <c r="B1067" s="2">
        <v>6.1000000000000005</v>
      </c>
      <c r="C1067" s="2">
        <v>3.5199999999999996</v>
      </c>
      <c r="D1067" s="2">
        <v>5.04</v>
      </c>
      <c r="E1067" s="2">
        <v>5.3800000000000008</v>
      </c>
      <c r="F1067" s="2">
        <v>2.98</v>
      </c>
      <c r="G1067" s="6">
        <v>1647</v>
      </c>
      <c r="H1067" s="6">
        <v>1654</v>
      </c>
      <c r="I1067" s="6">
        <f t="shared" si="29"/>
        <v>1202</v>
      </c>
      <c r="J1067" s="6">
        <v>1127</v>
      </c>
      <c r="K1067" s="6">
        <v>1127</v>
      </c>
    </row>
    <row r="1068" spans="1:11" x14ac:dyDescent="0.2">
      <c r="A1068" s="1">
        <v>0.74027777777777803</v>
      </c>
      <c r="B1068" s="2">
        <v>6.1800000000000006</v>
      </c>
      <c r="C1068" s="2">
        <v>3.63</v>
      </c>
      <c r="D1068" s="2">
        <v>4.9700000000000006</v>
      </c>
      <c r="E1068" s="2">
        <v>4.9400000000000004</v>
      </c>
      <c r="F1068" s="2">
        <v>3.12</v>
      </c>
      <c r="G1068" s="6">
        <v>1097</v>
      </c>
      <c r="H1068" s="6">
        <f t="shared" si="28"/>
        <v>1183</v>
      </c>
      <c r="I1068" s="6">
        <f t="shared" si="29"/>
        <v>731</v>
      </c>
      <c r="J1068" s="6">
        <f t="shared" si="30"/>
        <v>654</v>
      </c>
      <c r="K1068" s="6">
        <f t="shared" si="31"/>
        <v>621</v>
      </c>
    </row>
    <row r="1069" spans="1:11" x14ac:dyDescent="0.2">
      <c r="A1069" s="1">
        <v>0.74097222222222203</v>
      </c>
      <c r="B1069" s="2">
        <v>6.07</v>
      </c>
      <c r="C1069" s="2">
        <v>3.78</v>
      </c>
      <c r="D1069" s="2">
        <v>5.21</v>
      </c>
      <c r="E1069" s="2">
        <v>5.24</v>
      </c>
      <c r="F1069" s="2">
        <v>3.24</v>
      </c>
      <c r="G1069" s="6">
        <v>2264</v>
      </c>
      <c r="H1069" s="6">
        <f t="shared" si="28"/>
        <v>2350</v>
      </c>
      <c r="I1069" s="6">
        <v>1857</v>
      </c>
      <c r="J1069" s="6">
        <f t="shared" si="30"/>
        <v>1780</v>
      </c>
      <c r="K1069" s="6">
        <v>1678</v>
      </c>
    </row>
    <row r="1070" spans="1:11" x14ac:dyDescent="0.2">
      <c r="A1070" s="1">
        <v>0.74166666666666703</v>
      </c>
      <c r="B1070" s="2">
        <v>6.29</v>
      </c>
      <c r="C1070" s="2">
        <v>3.6799999999999997</v>
      </c>
      <c r="D1070" s="2">
        <v>5.15</v>
      </c>
      <c r="E1070" s="2">
        <v>5.53</v>
      </c>
      <c r="F1070" s="2">
        <v>3.3400000000000003</v>
      </c>
      <c r="G1070" s="6">
        <v>2647</v>
      </c>
      <c r="H1070" s="6">
        <v>2283</v>
      </c>
      <c r="I1070" s="6">
        <v>2164</v>
      </c>
      <c r="J1070" s="6">
        <v>2017</v>
      </c>
      <c r="K1070" s="6">
        <f t="shared" si="31"/>
        <v>1984</v>
      </c>
    </row>
    <row r="1071" spans="1:11" x14ac:dyDescent="0.2">
      <c r="A1071" s="1">
        <v>0.74236111111111103</v>
      </c>
      <c r="B1071" s="2">
        <v>6.11</v>
      </c>
      <c r="C1071" s="2">
        <v>3.7399999999999998</v>
      </c>
      <c r="D1071" s="2">
        <v>4.95</v>
      </c>
      <c r="E1071" s="2">
        <v>5.2</v>
      </c>
      <c r="F1071" s="2">
        <v>3.29</v>
      </c>
      <c r="G1071" s="6">
        <v>1587</v>
      </c>
      <c r="H1071" s="6">
        <f t="shared" si="28"/>
        <v>1673</v>
      </c>
      <c r="I1071" s="6">
        <f t="shared" si="29"/>
        <v>1221</v>
      </c>
      <c r="J1071" s="6">
        <f t="shared" si="30"/>
        <v>1144</v>
      </c>
      <c r="K1071" s="6">
        <f t="shared" si="31"/>
        <v>1111</v>
      </c>
    </row>
    <row r="1072" spans="1:11" x14ac:dyDescent="0.2">
      <c r="A1072" s="1">
        <v>0.74305555555555602</v>
      </c>
      <c r="B1072" s="2">
        <v>6.2200000000000006</v>
      </c>
      <c r="C1072" s="2">
        <v>3.6799999999999997</v>
      </c>
      <c r="D1072" s="2">
        <v>5.1000000000000005</v>
      </c>
      <c r="E1072" s="2">
        <v>5.21</v>
      </c>
      <c r="F1072" s="2">
        <v>2.94</v>
      </c>
      <c r="G1072" s="6">
        <v>1354</v>
      </c>
      <c r="H1072" s="6">
        <f t="shared" si="28"/>
        <v>1440</v>
      </c>
      <c r="I1072" s="6">
        <v>857</v>
      </c>
      <c r="J1072" s="6">
        <f t="shared" si="30"/>
        <v>780</v>
      </c>
      <c r="K1072" s="6">
        <v>854</v>
      </c>
    </row>
    <row r="1073" spans="1:11" x14ac:dyDescent="0.2">
      <c r="A1073" s="1">
        <v>0.74375000000000002</v>
      </c>
      <c r="B1073" s="2">
        <v>6.09</v>
      </c>
      <c r="C1073" s="2">
        <v>3.5799999999999996</v>
      </c>
      <c r="D1073" s="2">
        <v>4.9400000000000004</v>
      </c>
      <c r="E1073" s="2">
        <v>5.32</v>
      </c>
      <c r="F1073" s="2">
        <v>3.18</v>
      </c>
      <c r="G1073" s="6">
        <v>2258</v>
      </c>
      <c r="H1073" s="6">
        <f t="shared" si="28"/>
        <v>2344</v>
      </c>
      <c r="I1073" s="6">
        <f t="shared" si="29"/>
        <v>1892</v>
      </c>
      <c r="J1073" s="6">
        <f t="shared" si="30"/>
        <v>1815</v>
      </c>
      <c r="K1073" s="6">
        <f t="shared" si="31"/>
        <v>1782</v>
      </c>
    </row>
    <row r="1074" spans="1:11" x14ac:dyDescent="0.2">
      <c r="A1074" s="1">
        <v>0.74444444444444402</v>
      </c>
      <c r="B1074" s="2">
        <v>6.21</v>
      </c>
      <c r="C1074" s="2">
        <v>3.71</v>
      </c>
      <c r="D1074" s="2">
        <v>5.23</v>
      </c>
      <c r="E1074" s="2">
        <v>4.9000000000000004</v>
      </c>
      <c r="F1074" s="2">
        <v>3.31</v>
      </c>
      <c r="G1074" s="6">
        <v>1867</v>
      </c>
      <c r="H1074" s="6">
        <v>1452</v>
      </c>
      <c r="I1074" s="6">
        <f t="shared" si="29"/>
        <v>1000</v>
      </c>
      <c r="J1074" s="6">
        <f t="shared" si="30"/>
        <v>923</v>
      </c>
      <c r="K1074" s="6">
        <f t="shared" si="31"/>
        <v>890</v>
      </c>
    </row>
    <row r="1075" spans="1:11" x14ac:dyDescent="0.2">
      <c r="A1075" s="1">
        <v>0.74513888888888902</v>
      </c>
      <c r="B1075" s="2">
        <v>6.2700000000000005</v>
      </c>
      <c r="C1075" s="2">
        <v>3.71</v>
      </c>
      <c r="D1075" s="2">
        <v>4.8600000000000003</v>
      </c>
      <c r="E1075" s="2">
        <v>5.53</v>
      </c>
      <c r="F1075" s="2">
        <v>3.16</v>
      </c>
      <c r="G1075" s="6">
        <v>1547</v>
      </c>
      <c r="H1075" s="6">
        <f t="shared" si="28"/>
        <v>1633</v>
      </c>
      <c r="I1075" s="6">
        <f t="shared" si="29"/>
        <v>1181</v>
      </c>
      <c r="J1075" s="6">
        <f t="shared" si="30"/>
        <v>1104</v>
      </c>
      <c r="K1075" s="6">
        <v>957</v>
      </c>
    </row>
    <row r="1076" spans="1:11" x14ac:dyDescent="0.2">
      <c r="A1076" s="1">
        <v>0.74583333333333302</v>
      </c>
      <c r="B1076" s="2">
        <v>6.33</v>
      </c>
      <c r="C1076" s="2">
        <v>3.59</v>
      </c>
      <c r="D1076" s="2">
        <v>4.9700000000000006</v>
      </c>
      <c r="E1076" s="2">
        <v>5.4700000000000006</v>
      </c>
      <c r="F1076" s="2">
        <v>3.0700000000000003</v>
      </c>
      <c r="G1076" s="6">
        <v>1064</v>
      </c>
      <c r="H1076" s="6">
        <f t="shared" si="28"/>
        <v>1150</v>
      </c>
      <c r="I1076" s="6">
        <f t="shared" si="29"/>
        <v>698</v>
      </c>
      <c r="J1076" s="6">
        <f t="shared" si="30"/>
        <v>621</v>
      </c>
      <c r="K1076" s="6">
        <f t="shared" si="31"/>
        <v>588</v>
      </c>
    </row>
    <row r="1077" spans="1:11" x14ac:dyDescent="0.2">
      <c r="A1077" s="1">
        <v>0.74652777777777801</v>
      </c>
      <c r="B1077" s="2">
        <v>6.19</v>
      </c>
      <c r="C1077" s="2">
        <v>3.53</v>
      </c>
      <c r="D1077" s="2">
        <v>4.92</v>
      </c>
      <c r="E1077" s="2">
        <v>5.32</v>
      </c>
      <c r="F1077" s="2">
        <v>3.23</v>
      </c>
      <c r="G1077" s="6">
        <v>954</v>
      </c>
      <c r="H1077" s="6">
        <f t="shared" si="28"/>
        <v>1040</v>
      </c>
      <c r="I1077" s="6">
        <f t="shared" si="29"/>
        <v>588</v>
      </c>
      <c r="J1077" s="6">
        <f t="shared" si="30"/>
        <v>511</v>
      </c>
      <c r="K1077" s="6">
        <f t="shared" si="31"/>
        <v>478</v>
      </c>
    </row>
    <row r="1078" spans="1:11" x14ac:dyDescent="0.2">
      <c r="A1078" s="1">
        <v>0.74722222222222201</v>
      </c>
      <c r="B1078" s="2">
        <v>6.3000000000000007</v>
      </c>
      <c r="C1078" s="2">
        <v>3.6999999999999997</v>
      </c>
      <c r="D1078" s="2">
        <v>4.9300000000000006</v>
      </c>
      <c r="E1078" s="2">
        <v>4.95</v>
      </c>
      <c r="F1078" s="2">
        <v>3.08</v>
      </c>
      <c r="G1078" s="6">
        <v>1354</v>
      </c>
      <c r="H1078" s="6">
        <f t="shared" si="28"/>
        <v>1440</v>
      </c>
      <c r="I1078" s="6">
        <f t="shared" si="29"/>
        <v>988</v>
      </c>
      <c r="J1078" s="6">
        <v>847</v>
      </c>
      <c r="K1078" s="6">
        <v>457</v>
      </c>
    </row>
    <row r="1079" spans="1:11" x14ac:dyDescent="0.2">
      <c r="A1079" s="1">
        <v>0.74791666666666701</v>
      </c>
      <c r="B1079" s="2">
        <v>6.21</v>
      </c>
      <c r="C1079" s="2">
        <v>3.6999999999999997</v>
      </c>
      <c r="D1079" s="2">
        <v>4.9000000000000004</v>
      </c>
      <c r="E1079" s="2">
        <v>5.41</v>
      </c>
      <c r="F1079" s="2">
        <v>3.13</v>
      </c>
      <c r="G1079" s="6">
        <v>854</v>
      </c>
      <c r="H1079" s="6">
        <f t="shared" si="28"/>
        <v>940</v>
      </c>
      <c r="I1079" s="6">
        <f t="shared" si="29"/>
        <v>488</v>
      </c>
      <c r="J1079" s="6">
        <f t="shared" si="30"/>
        <v>411</v>
      </c>
      <c r="K1079" s="6">
        <f t="shared" si="31"/>
        <v>378</v>
      </c>
    </row>
    <row r="1080" spans="1:11" x14ac:dyDescent="0.2">
      <c r="A1080" s="1">
        <v>0.74861111111111101</v>
      </c>
      <c r="B1080" s="2">
        <v>6.1800000000000006</v>
      </c>
      <c r="C1080" s="2">
        <v>3.53</v>
      </c>
      <c r="D1080" s="2">
        <v>5.08</v>
      </c>
      <c r="E1080" s="2">
        <v>5.21</v>
      </c>
      <c r="F1080" s="2">
        <v>3.33</v>
      </c>
      <c r="G1080" s="6">
        <v>1034</v>
      </c>
      <c r="H1080" s="6">
        <f t="shared" si="28"/>
        <v>1120</v>
      </c>
      <c r="I1080" s="6">
        <f t="shared" si="29"/>
        <v>668</v>
      </c>
      <c r="J1080" s="6">
        <f t="shared" si="30"/>
        <v>591</v>
      </c>
      <c r="K1080" s="6">
        <f t="shared" si="31"/>
        <v>558</v>
      </c>
    </row>
    <row r="1081" spans="1:11" x14ac:dyDescent="0.2">
      <c r="A1081" s="1">
        <v>0.749305555555556</v>
      </c>
      <c r="B1081" s="2">
        <v>6.09</v>
      </c>
      <c r="C1081" s="2">
        <v>3.76</v>
      </c>
      <c r="D1081" s="2">
        <v>5.2600000000000007</v>
      </c>
      <c r="E1081" s="2">
        <v>5.33</v>
      </c>
      <c r="F1081" s="2">
        <v>3.1</v>
      </c>
      <c r="G1081" s="6">
        <v>854</v>
      </c>
      <c r="H1081" s="6">
        <f t="shared" si="28"/>
        <v>940</v>
      </c>
      <c r="I1081" s="6">
        <f t="shared" si="29"/>
        <v>488</v>
      </c>
      <c r="J1081" s="6">
        <f t="shared" si="30"/>
        <v>411</v>
      </c>
      <c r="K1081" s="6">
        <v>256</v>
      </c>
    </row>
    <row r="1082" spans="1:11" x14ac:dyDescent="0.2">
      <c r="A1082" s="3">
        <v>0.75</v>
      </c>
      <c r="B1082" s="4">
        <v>6.19</v>
      </c>
      <c r="C1082" s="4">
        <v>3.68</v>
      </c>
      <c r="D1082" s="4">
        <v>5.09</v>
      </c>
      <c r="E1082" s="4">
        <v>5.29</v>
      </c>
      <c r="F1082" s="4">
        <v>3.13</v>
      </c>
      <c r="G1082" s="7">
        <v>745</v>
      </c>
      <c r="H1082" s="7">
        <v>878</v>
      </c>
      <c r="I1082" s="7">
        <v>431</v>
      </c>
      <c r="J1082" s="7">
        <v>252</v>
      </c>
      <c r="K1082" s="7">
        <v>221</v>
      </c>
    </row>
    <row r="1083" spans="1:11" x14ac:dyDescent="0.2">
      <c r="A1083" s="1">
        <v>0.750694444444444</v>
      </c>
      <c r="B1083" s="2">
        <v>6.17</v>
      </c>
      <c r="C1083" s="2">
        <v>3.53</v>
      </c>
      <c r="D1083" s="2">
        <v>5</v>
      </c>
      <c r="E1083" s="2">
        <v>4.8500000000000005</v>
      </c>
      <c r="F1083" s="2">
        <v>3.1100000000000003</v>
      </c>
      <c r="G1083" s="6">
        <v>685</v>
      </c>
      <c r="H1083" s="6">
        <f>G1083+73</f>
        <v>758</v>
      </c>
      <c r="I1083" s="6">
        <v>554</v>
      </c>
      <c r="J1083" s="6">
        <v>489</v>
      </c>
      <c r="K1083" s="6">
        <v>452</v>
      </c>
    </row>
    <row r="1084" spans="1:11" x14ac:dyDescent="0.2">
      <c r="A1084" s="1">
        <v>0.75138888888888899</v>
      </c>
      <c r="B1084" s="2">
        <v>6.28</v>
      </c>
      <c r="C1084" s="2">
        <v>3.6</v>
      </c>
      <c r="D1084" s="2">
        <v>5.0299999999999994</v>
      </c>
      <c r="E1084" s="2">
        <v>5.5200000000000005</v>
      </c>
      <c r="F1084" s="2">
        <v>3.17</v>
      </c>
      <c r="G1084" s="6">
        <v>489</v>
      </c>
      <c r="H1084" s="6">
        <f t="shared" ref="H1084:H1107" si="32">G1084+73</f>
        <v>562</v>
      </c>
      <c r="I1084" s="6">
        <v>394</v>
      </c>
      <c r="J1084" s="6">
        <f>I1084-113</f>
        <v>281</v>
      </c>
      <c r="K1084" s="6">
        <v>245</v>
      </c>
    </row>
    <row r="1085" spans="1:11" x14ac:dyDescent="0.2">
      <c r="A1085" s="1">
        <v>0.75208333333333299</v>
      </c>
      <c r="B1085" s="2">
        <v>6.09</v>
      </c>
      <c r="C1085" s="2">
        <v>3.68</v>
      </c>
      <c r="D1085" s="2">
        <v>5.1599999999999993</v>
      </c>
      <c r="E1085" s="2">
        <v>4.9000000000000004</v>
      </c>
      <c r="F1085" s="2">
        <v>2.98</v>
      </c>
      <c r="G1085" s="6">
        <v>678</v>
      </c>
      <c r="H1085" s="6">
        <f t="shared" si="32"/>
        <v>751</v>
      </c>
      <c r="I1085" s="6">
        <f t="shared" ref="I1085:I1110" si="33">G1085-229</f>
        <v>449</v>
      </c>
      <c r="J1085" s="6">
        <f t="shared" ref="J1085:J1107" si="34">I1085-113</f>
        <v>336</v>
      </c>
      <c r="K1085" s="6">
        <f t="shared" ref="K1085:K1107" si="35">J1085-32</f>
        <v>304</v>
      </c>
    </row>
    <row r="1086" spans="1:11" x14ac:dyDescent="0.2">
      <c r="A1086" s="1">
        <v>0.75277777777777799</v>
      </c>
      <c r="B1086" s="2">
        <v>6.11</v>
      </c>
      <c r="C1086" s="2">
        <v>3.65</v>
      </c>
      <c r="D1086" s="2">
        <v>4.9499999999999993</v>
      </c>
      <c r="E1086" s="2">
        <v>4.92</v>
      </c>
      <c r="F1086" s="2">
        <v>2.91</v>
      </c>
      <c r="G1086" s="6">
        <v>459</v>
      </c>
      <c r="H1086" s="6">
        <f t="shared" si="32"/>
        <v>532</v>
      </c>
      <c r="I1086" s="6">
        <f t="shared" si="33"/>
        <v>230</v>
      </c>
      <c r="J1086" s="6">
        <v>213</v>
      </c>
      <c r="K1086" s="6">
        <f t="shared" si="35"/>
        <v>181</v>
      </c>
    </row>
    <row r="1087" spans="1:11" x14ac:dyDescent="0.2">
      <c r="A1087" s="1">
        <v>0.75347222222222199</v>
      </c>
      <c r="B1087" s="2">
        <v>6.21</v>
      </c>
      <c r="C1087" s="2">
        <v>3.7</v>
      </c>
      <c r="D1087" s="2">
        <v>5.14</v>
      </c>
      <c r="E1087" s="2">
        <v>4.91</v>
      </c>
      <c r="F1087" s="2">
        <v>2.91</v>
      </c>
      <c r="G1087" s="6">
        <v>998</v>
      </c>
      <c r="H1087" s="6">
        <f t="shared" si="32"/>
        <v>1071</v>
      </c>
      <c r="I1087" s="6">
        <v>857</v>
      </c>
      <c r="J1087" s="6">
        <f t="shared" si="34"/>
        <v>744</v>
      </c>
      <c r="K1087" s="6">
        <v>704</v>
      </c>
    </row>
    <row r="1088" spans="1:11" x14ac:dyDescent="0.2">
      <c r="A1088" s="1">
        <v>0.75416666666666698</v>
      </c>
      <c r="B1088" s="2">
        <v>6.23</v>
      </c>
      <c r="C1088" s="2">
        <v>3.58</v>
      </c>
      <c r="D1088" s="2">
        <v>5.25</v>
      </c>
      <c r="E1088" s="2">
        <v>5.2700000000000005</v>
      </c>
      <c r="F1088" s="2">
        <v>3.06</v>
      </c>
      <c r="G1088" s="6">
        <v>552</v>
      </c>
      <c r="H1088" s="6">
        <f t="shared" si="32"/>
        <v>625</v>
      </c>
      <c r="I1088" s="6">
        <v>335</v>
      </c>
      <c r="J1088" s="6">
        <v>286</v>
      </c>
      <c r="K1088" s="6">
        <v>259</v>
      </c>
    </row>
    <row r="1089" spans="1:11" x14ac:dyDescent="0.2">
      <c r="A1089" s="1">
        <v>0.75486111111111098</v>
      </c>
      <c r="B1089" s="2">
        <v>6.32</v>
      </c>
      <c r="C1089" s="2">
        <v>3.58</v>
      </c>
      <c r="D1089" s="2">
        <v>4.8599999999999994</v>
      </c>
      <c r="E1089" s="2">
        <v>5.33</v>
      </c>
      <c r="F1089" s="2">
        <v>2.89</v>
      </c>
      <c r="G1089" s="6">
        <v>548</v>
      </c>
      <c r="H1089" s="6">
        <f t="shared" si="32"/>
        <v>621</v>
      </c>
      <c r="I1089" s="6">
        <f t="shared" si="33"/>
        <v>319</v>
      </c>
      <c r="J1089" s="6">
        <v>375</v>
      </c>
      <c r="K1089" s="6">
        <f t="shared" si="35"/>
        <v>343</v>
      </c>
    </row>
    <row r="1090" spans="1:11" x14ac:dyDescent="0.2">
      <c r="A1090" s="1">
        <v>0.75555555555555598</v>
      </c>
      <c r="B1090" s="2">
        <v>6.29</v>
      </c>
      <c r="C1090" s="2">
        <v>3.71</v>
      </c>
      <c r="D1090" s="2">
        <v>4.88</v>
      </c>
      <c r="E1090" s="2">
        <v>5.48</v>
      </c>
      <c r="F1090" s="2">
        <v>2.96</v>
      </c>
      <c r="G1090" s="6">
        <v>784</v>
      </c>
      <c r="H1090" s="6">
        <f t="shared" si="32"/>
        <v>857</v>
      </c>
      <c r="I1090" s="6">
        <f t="shared" si="33"/>
        <v>555</v>
      </c>
      <c r="J1090" s="6">
        <f t="shared" si="34"/>
        <v>442</v>
      </c>
      <c r="K1090" s="6">
        <f t="shared" si="35"/>
        <v>410</v>
      </c>
    </row>
    <row r="1091" spans="1:11" x14ac:dyDescent="0.2">
      <c r="A1091" s="1">
        <v>0.75624999999999998</v>
      </c>
      <c r="B1091" s="2">
        <v>6.11</v>
      </c>
      <c r="C1091" s="2">
        <v>3.52</v>
      </c>
      <c r="D1091" s="2">
        <v>4.9399999999999995</v>
      </c>
      <c r="E1091" s="2">
        <v>5.0100000000000007</v>
      </c>
      <c r="F1091" s="2">
        <v>2.99</v>
      </c>
      <c r="G1091" s="6">
        <v>554</v>
      </c>
      <c r="H1091" s="6">
        <f t="shared" si="32"/>
        <v>627</v>
      </c>
      <c r="I1091" s="6">
        <v>333</v>
      </c>
      <c r="J1091" s="6">
        <v>327</v>
      </c>
      <c r="K1091" s="6">
        <f t="shared" si="35"/>
        <v>295</v>
      </c>
    </row>
    <row r="1092" spans="1:11" x14ac:dyDescent="0.2">
      <c r="A1092" s="1">
        <v>0.75694444444444398</v>
      </c>
      <c r="B1092" s="2">
        <v>6.08</v>
      </c>
      <c r="C1092" s="2">
        <v>3.66</v>
      </c>
      <c r="D1092" s="2">
        <v>5.0299999999999994</v>
      </c>
      <c r="E1092" s="2">
        <v>4.82</v>
      </c>
      <c r="F1092" s="2">
        <v>3.31</v>
      </c>
      <c r="G1092" s="6">
        <v>328</v>
      </c>
      <c r="H1092" s="6">
        <f t="shared" si="32"/>
        <v>401</v>
      </c>
      <c r="I1092" s="6">
        <v>358</v>
      </c>
      <c r="J1092" s="6">
        <v>358</v>
      </c>
      <c r="K1092" s="6">
        <v>333</v>
      </c>
    </row>
    <row r="1093" spans="1:11" x14ac:dyDescent="0.2">
      <c r="A1093" s="1">
        <v>0.75763888888888897</v>
      </c>
      <c r="B1093" s="2">
        <v>6.07</v>
      </c>
      <c r="C1093" s="2">
        <v>3.74</v>
      </c>
      <c r="D1093" s="2">
        <v>5.1199999999999992</v>
      </c>
      <c r="E1093" s="2">
        <v>5.13</v>
      </c>
      <c r="F1093" s="2">
        <v>2.92</v>
      </c>
      <c r="G1093" s="6">
        <v>442</v>
      </c>
      <c r="H1093" s="6">
        <f t="shared" si="32"/>
        <v>515</v>
      </c>
      <c r="I1093" s="6">
        <v>394</v>
      </c>
      <c r="J1093" s="6">
        <f t="shared" si="34"/>
        <v>281</v>
      </c>
      <c r="K1093" s="6">
        <v>259</v>
      </c>
    </row>
    <row r="1094" spans="1:11" x14ac:dyDescent="0.2">
      <c r="A1094" s="1">
        <v>0.75833333333333297</v>
      </c>
      <c r="B1094" s="2">
        <v>6.3100000000000005</v>
      </c>
      <c r="C1094" s="2">
        <v>3.63</v>
      </c>
      <c r="D1094" s="2">
        <v>4.9899999999999993</v>
      </c>
      <c r="E1094" s="2">
        <v>5.1100000000000003</v>
      </c>
      <c r="F1094" s="2">
        <v>3.25</v>
      </c>
      <c r="G1094" s="6">
        <v>789</v>
      </c>
      <c r="H1094" s="6">
        <f t="shared" si="32"/>
        <v>862</v>
      </c>
      <c r="I1094" s="6">
        <v>669</v>
      </c>
      <c r="J1094" s="6">
        <v>564</v>
      </c>
      <c r="K1094" s="6">
        <f t="shared" si="35"/>
        <v>532</v>
      </c>
    </row>
    <row r="1095" spans="1:11" x14ac:dyDescent="0.2">
      <c r="A1095" s="1">
        <v>0.75902777777777797</v>
      </c>
      <c r="B1095" s="2">
        <v>6.2200000000000006</v>
      </c>
      <c r="C1095" s="2">
        <v>3.69</v>
      </c>
      <c r="D1095" s="2">
        <v>4.9899999999999993</v>
      </c>
      <c r="E1095" s="2">
        <v>4.9400000000000004</v>
      </c>
      <c r="F1095" s="2">
        <v>3.17</v>
      </c>
      <c r="G1095" s="6">
        <v>664</v>
      </c>
      <c r="H1095" s="6">
        <f t="shared" si="32"/>
        <v>737</v>
      </c>
      <c r="I1095" s="6">
        <v>552</v>
      </c>
      <c r="J1095" s="6">
        <v>459</v>
      </c>
      <c r="K1095" s="6">
        <v>422</v>
      </c>
    </row>
    <row r="1096" spans="1:11" x14ac:dyDescent="0.2">
      <c r="A1096" s="1">
        <v>0.75972222222222197</v>
      </c>
      <c r="B1096" s="2">
        <v>6.2</v>
      </c>
      <c r="C1096" s="2">
        <v>3.7</v>
      </c>
      <c r="D1096" s="2">
        <v>5.0599999999999996</v>
      </c>
      <c r="E1096" s="2">
        <v>5.21</v>
      </c>
      <c r="F1096" s="2">
        <v>2.87</v>
      </c>
      <c r="G1096" s="6">
        <v>238</v>
      </c>
      <c r="H1096" s="6">
        <f t="shared" si="32"/>
        <v>311</v>
      </c>
      <c r="I1096" s="6">
        <v>224</v>
      </c>
      <c r="J1096" s="6">
        <v>200</v>
      </c>
      <c r="K1096" s="6">
        <v>184</v>
      </c>
    </row>
    <row r="1097" spans="1:11" x14ac:dyDescent="0.2">
      <c r="A1097" s="1">
        <v>0.76041666666666696</v>
      </c>
      <c r="B1097" s="2">
        <v>6.07</v>
      </c>
      <c r="C1097" s="2">
        <v>3.64</v>
      </c>
      <c r="D1097" s="2">
        <v>4.9399999999999995</v>
      </c>
      <c r="E1097" s="2">
        <v>5.0500000000000007</v>
      </c>
      <c r="F1097" s="2">
        <v>2.97</v>
      </c>
      <c r="G1097" s="6">
        <v>597</v>
      </c>
      <c r="H1097" s="6">
        <f t="shared" si="32"/>
        <v>670</v>
      </c>
      <c r="I1097" s="6">
        <f t="shared" si="33"/>
        <v>368</v>
      </c>
      <c r="J1097" s="6">
        <f t="shared" si="34"/>
        <v>255</v>
      </c>
      <c r="K1097" s="6">
        <f t="shared" si="35"/>
        <v>223</v>
      </c>
    </row>
    <row r="1098" spans="1:11" x14ac:dyDescent="0.2">
      <c r="A1098" s="1">
        <v>0.76111111111111096</v>
      </c>
      <c r="B1098" s="2">
        <v>6.33</v>
      </c>
      <c r="C1098" s="2">
        <v>3.67</v>
      </c>
      <c r="D1098" s="2">
        <v>5.04</v>
      </c>
      <c r="E1098" s="2">
        <v>5.1800000000000006</v>
      </c>
      <c r="F1098" s="2">
        <v>3.35</v>
      </c>
      <c r="G1098" s="6">
        <v>448</v>
      </c>
      <c r="H1098" s="6">
        <f t="shared" si="32"/>
        <v>521</v>
      </c>
      <c r="I1098" s="6">
        <f t="shared" si="33"/>
        <v>219</v>
      </c>
      <c r="J1098" s="6">
        <f t="shared" si="34"/>
        <v>106</v>
      </c>
      <c r="K1098" s="6">
        <f t="shared" si="35"/>
        <v>74</v>
      </c>
    </row>
    <row r="1099" spans="1:11" x14ac:dyDescent="0.2">
      <c r="A1099" s="1">
        <v>0.76180555555555596</v>
      </c>
      <c r="B1099" s="2">
        <v>6.15</v>
      </c>
      <c r="C1099" s="2">
        <v>3.65</v>
      </c>
      <c r="D1099" s="2">
        <v>5.22</v>
      </c>
      <c r="E1099" s="2">
        <v>5.45</v>
      </c>
      <c r="F1099" s="2">
        <v>3.35</v>
      </c>
      <c r="G1099" s="6">
        <v>894</v>
      </c>
      <c r="H1099" s="6">
        <v>885</v>
      </c>
      <c r="I1099" s="6">
        <v>754</v>
      </c>
      <c r="J1099" s="6">
        <f t="shared" si="34"/>
        <v>641</v>
      </c>
      <c r="K1099" s="6">
        <v>579</v>
      </c>
    </row>
    <row r="1100" spans="1:11" x14ac:dyDescent="0.2">
      <c r="A1100" s="1">
        <v>0.76249999999999996</v>
      </c>
      <c r="B1100" s="2">
        <v>6.2</v>
      </c>
      <c r="C1100" s="2">
        <v>3.68</v>
      </c>
      <c r="D1100" s="2">
        <v>5.1099999999999994</v>
      </c>
      <c r="E1100" s="2">
        <v>5.3100000000000005</v>
      </c>
      <c r="F1100" s="2">
        <v>3.18</v>
      </c>
      <c r="G1100" s="6">
        <v>578</v>
      </c>
      <c r="H1100" s="6">
        <v>546</v>
      </c>
      <c r="I1100" s="6">
        <v>495</v>
      </c>
      <c r="J1100" s="6">
        <f t="shared" si="34"/>
        <v>382</v>
      </c>
      <c r="K1100" s="6">
        <f t="shared" si="35"/>
        <v>350</v>
      </c>
    </row>
    <row r="1101" spans="1:11" x14ac:dyDescent="0.2">
      <c r="A1101" s="1">
        <v>0.76319444444444495</v>
      </c>
      <c r="B1101" s="2">
        <v>6.2200000000000006</v>
      </c>
      <c r="C1101" s="2">
        <v>3.69</v>
      </c>
      <c r="D1101" s="2">
        <v>4.8599999999999994</v>
      </c>
      <c r="E1101" s="2">
        <v>5.07</v>
      </c>
      <c r="F1101" s="2">
        <v>3.39</v>
      </c>
      <c r="G1101" s="6">
        <v>437</v>
      </c>
      <c r="H1101" s="6">
        <f t="shared" si="32"/>
        <v>510</v>
      </c>
      <c r="I1101" s="6">
        <v>395</v>
      </c>
      <c r="J1101" s="6">
        <v>357</v>
      </c>
      <c r="K1101" s="6">
        <f t="shared" si="35"/>
        <v>325</v>
      </c>
    </row>
    <row r="1102" spans="1:11" x14ac:dyDescent="0.2">
      <c r="A1102" s="1">
        <v>0.76388888888888895</v>
      </c>
      <c r="B1102" s="2">
        <v>6.08</v>
      </c>
      <c r="C1102" s="2">
        <v>3.67</v>
      </c>
      <c r="D1102" s="2">
        <v>5.1999999999999993</v>
      </c>
      <c r="E1102" s="2">
        <v>5.07</v>
      </c>
      <c r="F1102" s="2">
        <v>3</v>
      </c>
      <c r="G1102" s="6">
        <v>357</v>
      </c>
      <c r="H1102" s="6">
        <f t="shared" si="32"/>
        <v>430</v>
      </c>
      <c r="I1102" s="6">
        <v>287</v>
      </c>
      <c r="J1102" s="6">
        <v>215</v>
      </c>
      <c r="K1102" s="6">
        <f t="shared" si="35"/>
        <v>183</v>
      </c>
    </row>
    <row r="1103" spans="1:11" x14ac:dyDescent="0.2">
      <c r="A1103" s="1">
        <v>0.76458333333333295</v>
      </c>
      <c r="B1103" s="2">
        <v>6.09</v>
      </c>
      <c r="C1103" s="2">
        <v>3.55</v>
      </c>
      <c r="D1103" s="2">
        <v>5.09</v>
      </c>
      <c r="E1103" s="2">
        <v>5.3800000000000008</v>
      </c>
      <c r="F1103" s="2">
        <v>2.88</v>
      </c>
      <c r="G1103" s="6">
        <v>459</v>
      </c>
      <c r="H1103" s="6">
        <f t="shared" si="32"/>
        <v>532</v>
      </c>
      <c r="I1103" s="6">
        <v>324</v>
      </c>
      <c r="J1103" s="6">
        <v>284</v>
      </c>
      <c r="K1103" s="6">
        <v>274</v>
      </c>
    </row>
    <row r="1104" spans="1:11" x14ac:dyDescent="0.2">
      <c r="A1104" s="1">
        <v>0.76527777777777795</v>
      </c>
      <c r="B1104" s="2">
        <v>6.17</v>
      </c>
      <c r="C1104" s="2">
        <v>3.55</v>
      </c>
      <c r="D1104" s="2">
        <v>4.9499999999999993</v>
      </c>
      <c r="E1104" s="2">
        <v>5.4300000000000006</v>
      </c>
      <c r="F1104" s="2">
        <v>3.02</v>
      </c>
      <c r="G1104" s="6">
        <v>753</v>
      </c>
      <c r="H1104" s="6">
        <f t="shared" si="32"/>
        <v>826</v>
      </c>
      <c r="I1104" s="6">
        <v>577</v>
      </c>
      <c r="J1104" s="6">
        <f t="shared" si="34"/>
        <v>464</v>
      </c>
      <c r="K1104" s="6">
        <v>449</v>
      </c>
    </row>
    <row r="1105" spans="1:11" x14ac:dyDescent="0.2">
      <c r="A1105" s="1">
        <v>0.76597222222222205</v>
      </c>
      <c r="B1105" s="2">
        <v>6.2</v>
      </c>
      <c r="C1105" s="2">
        <v>3.54</v>
      </c>
      <c r="D1105" s="2">
        <v>4.9499999999999993</v>
      </c>
      <c r="E1105" s="2">
        <v>5.21</v>
      </c>
      <c r="F1105" s="2">
        <v>2.91</v>
      </c>
      <c r="G1105" s="6">
        <v>497</v>
      </c>
      <c r="H1105" s="6">
        <v>556</v>
      </c>
      <c r="I1105" s="6">
        <v>267</v>
      </c>
      <c r="J1105" s="6">
        <v>167</v>
      </c>
      <c r="K1105" s="6">
        <v>127</v>
      </c>
    </row>
    <row r="1106" spans="1:11" x14ac:dyDescent="0.2">
      <c r="A1106" s="1">
        <v>0.76666666666666705</v>
      </c>
      <c r="B1106" s="2">
        <v>6.19</v>
      </c>
      <c r="C1106" s="2">
        <v>3.61</v>
      </c>
      <c r="D1106" s="2">
        <v>4.97</v>
      </c>
      <c r="E1106" s="2">
        <v>5.48</v>
      </c>
      <c r="F1106" s="2">
        <v>3.14</v>
      </c>
      <c r="G1106" s="6">
        <v>524</v>
      </c>
      <c r="H1106" s="6">
        <v>574</v>
      </c>
      <c r="I1106" s="6">
        <f t="shared" si="33"/>
        <v>295</v>
      </c>
      <c r="J1106" s="6">
        <v>225</v>
      </c>
      <c r="K1106" s="6">
        <v>196</v>
      </c>
    </row>
    <row r="1107" spans="1:11" x14ac:dyDescent="0.2">
      <c r="A1107" s="1">
        <v>0.76736111111111105</v>
      </c>
      <c r="B1107" s="2">
        <v>6.19</v>
      </c>
      <c r="C1107" s="2">
        <v>3.66</v>
      </c>
      <c r="D1107" s="2">
        <v>4.88</v>
      </c>
      <c r="E1107" s="2">
        <v>5.4300000000000006</v>
      </c>
      <c r="F1107" s="2">
        <v>3.2800000000000002</v>
      </c>
      <c r="G1107" s="6">
        <v>728</v>
      </c>
      <c r="H1107" s="6">
        <f t="shared" si="32"/>
        <v>801</v>
      </c>
      <c r="I1107" s="6">
        <f t="shared" si="33"/>
        <v>499</v>
      </c>
      <c r="J1107" s="6">
        <f t="shared" si="34"/>
        <v>386</v>
      </c>
      <c r="K1107" s="6">
        <f t="shared" si="35"/>
        <v>354</v>
      </c>
    </row>
    <row r="1108" spans="1:11" x14ac:dyDescent="0.2">
      <c r="A1108" s="1">
        <v>0.76805555555555605</v>
      </c>
      <c r="B1108" s="2">
        <v>6.2600000000000007</v>
      </c>
      <c r="C1108" s="2">
        <v>3.72</v>
      </c>
      <c r="D1108" s="2">
        <v>5</v>
      </c>
      <c r="E1108" s="2">
        <v>5.28</v>
      </c>
      <c r="F1108" s="2">
        <v>3.13</v>
      </c>
      <c r="G1108" s="6">
        <v>429</v>
      </c>
      <c r="H1108" s="6">
        <v>450</v>
      </c>
      <c r="I1108" s="6">
        <f t="shared" si="33"/>
        <v>200</v>
      </c>
      <c r="J1108" s="6">
        <v>128</v>
      </c>
      <c r="K1108" s="6">
        <v>99</v>
      </c>
    </row>
    <row r="1109" spans="1:11" x14ac:dyDescent="0.2">
      <c r="A1109" s="1">
        <v>0.76875000000000004</v>
      </c>
      <c r="B1109" s="2">
        <v>6.19</v>
      </c>
      <c r="C1109" s="2">
        <v>3.67</v>
      </c>
      <c r="D1109" s="2">
        <v>5</v>
      </c>
      <c r="E1109" s="2">
        <v>5.12</v>
      </c>
      <c r="F1109" s="2">
        <v>2.99</v>
      </c>
      <c r="G1109" s="6">
        <v>338</v>
      </c>
      <c r="H1109" s="6">
        <v>435</v>
      </c>
      <c r="I1109" s="6">
        <v>128</v>
      </c>
      <c r="J1109" s="6">
        <v>115</v>
      </c>
      <c r="K1109" s="6">
        <v>85</v>
      </c>
    </row>
    <row r="1110" spans="1:11" x14ac:dyDescent="0.2">
      <c r="A1110" s="1">
        <v>0.76944444444444404</v>
      </c>
      <c r="B1110" s="2">
        <v>6.1000000000000005</v>
      </c>
      <c r="C1110" s="2">
        <v>3.7</v>
      </c>
      <c r="D1110" s="2">
        <v>5.1499999999999995</v>
      </c>
      <c r="E1110" s="2">
        <v>5.36</v>
      </c>
      <c r="F1110" s="2">
        <v>2.88</v>
      </c>
      <c r="G1110" s="6">
        <v>547</v>
      </c>
      <c r="H1110" s="6">
        <v>668</v>
      </c>
      <c r="I1110" s="6">
        <f t="shared" si="33"/>
        <v>318</v>
      </c>
      <c r="J1110" s="6">
        <v>195</v>
      </c>
      <c r="K1110" s="6">
        <v>155</v>
      </c>
    </row>
    <row r="1111" spans="1:11" x14ac:dyDescent="0.2">
      <c r="A1111" s="1">
        <v>0.77013888888888904</v>
      </c>
      <c r="B1111" s="2">
        <v>6.13</v>
      </c>
      <c r="C1111" s="2">
        <v>3.58</v>
      </c>
      <c r="D1111" s="2">
        <v>5.1899999999999995</v>
      </c>
      <c r="E1111" s="2">
        <v>4.96</v>
      </c>
      <c r="F1111" s="2">
        <v>3.2</v>
      </c>
      <c r="G1111" s="6">
        <v>329</v>
      </c>
      <c r="H1111" s="6">
        <v>421</v>
      </c>
      <c r="I1111" s="6">
        <v>286</v>
      </c>
      <c r="J1111" s="6">
        <v>172</v>
      </c>
      <c r="K1111" s="6">
        <v>122</v>
      </c>
    </row>
    <row r="1112" spans="1:11" x14ac:dyDescent="0.2">
      <c r="A1112" s="1">
        <v>0.77083333333333304</v>
      </c>
      <c r="B1112" s="2">
        <v>6.17</v>
      </c>
      <c r="C1112" s="2">
        <v>3.7</v>
      </c>
      <c r="D1112" s="2">
        <v>5</v>
      </c>
      <c r="E1112" s="2">
        <v>5.04</v>
      </c>
      <c r="F1112" s="2">
        <v>2.87</v>
      </c>
      <c r="G1112" s="6">
        <v>213</v>
      </c>
      <c r="H1112" s="6">
        <v>319</v>
      </c>
      <c r="I1112" s="6">
        <v>134</v>
      </c>
      <c r="J1112" s="6">
        <v>87</v>
      </c>
      <c r="K1112" s="6">
        <v>76</v>
      </c>
    </row>
    <row r="1113" spans="1:11" x14ac:dyDescent="0.2">
      <c r="A1113" s="1">
        <v>0.77152777777777803</v>
      </c>
      <c r="B1113" s="2">
        <v>6.24</v>
      </c>
      <c r="C1113" s="2">
        <v>3.54</v>
      </c>
      <c r="D1113" s="2">
        <v>5.21</v>
      </c>
      <c r="E1113" s="2">
        <v>5.23</v>
      </c>
      <c r="F1113" s="2">
        <v>3.3200000000000003</v>
      </c>
      <c r="G1113" s="6">
        <v>150</v>
      </c>
      <c r="H1113" s="6">
        <v>176</v>
      </c>
      <c r="I1113" s="6">
        <v>122</v>
      </c>
      <c r="J1113" s="6">
        <v>105</v>
      </c>
      <c r="K1113" s="6">
        <v>94</v>
      </c>
    </row>
    <row r="1114" spans="1:11" x14ac:dyDescent="0.2">
      <c r="A1114" s="1">
        <v>0.77222222222222203</v>
      </c>
      <c r="B1114" s="2">
        <v>6.08</v>
      </c>
      <c r="C1114" s="2">
        <v>3.73</v>
      </c>
      <c r="D1114" s="2">
        <v>5.21</v>
      </c>
      <c r="E1114" s="2">
        <v>4.91</v>
      </c>
      <c r="F1114" s="2">
        <v>2.89</v>
      </c>
      <c r="G1114" s="6">
        <v>184</v>
      </c>
      <c r="H1114" s="6">
        <v>200</v>
      </c>
      <c r="I1114" s="6">
        <v>145</v>
      </c>
      <c r="J1114" s="6">
        <v>147</v>
      </c>
      <c r="K1114" s="6">
        <v>132</v>
      </c>
    </row>
    <row r="1115" spans="1:11" x14ac:dyDescent="0.2">
      <c r="A1115" s="1">
        <v>0.77291666666666703</v>
      </c>
      <c r="B1115" s="2">
        <v>6.29</v>
      </c>
      <c r="C1115" s="2">
        <v>3.63</v>
      </c>
      <c r="D1115" s="2">
        <v>5.0699999999999994</v>
      </c>
      <c r="E1115" s="2">
        <v>5.4</v>
      </c>
      <c r="F1115" s="2">
        <v>2.95</v>
      </c>
      <c r="G1115" s="6">
        <v>120</v>
      </c>
      <c r="H1115" s="6">
        <v>149</v>
      </c>
      <c r="I1115" s="6">
        <v>97</v>
      </c>
      <c r="J1115" s="6">
        <v>75</v>
      </c>
      <c r="K1115" s="6">
        <v>77</v>
      </c>
    </row>
    <row r="1116" spans="1:11" x14ac:dyDescent="0.2">
      <c r="A1116" s="1">
        <v>0.77361111111111103</v>
      </c>
      <c r="B1116" s="2">
        <v>6.1800000000000006</v>
      </c>
      <c r="C1116" s="2">
        <v>3.73</v>
      </c>
      <c r="D1116" s="2">
        <v>5.2399999999999993</v>
      </c>
      <c r="E1116" s="2">
        <v>5.1100000000000003</v>
      </c>
      <c r="F1116" s="2">
        <v>2.91</v>
      </c>
      <c r="G1116" s="6">
        <v>159</v>
      </c>
      <c r="H1116" s="6">
        <v>210</v>
      </c>
      <c r="I1116" s="6">
        <v>188</v>
      </c>
      <c r="J1116" s="6">
        <v>56</v>
      </c>
      <c r="K1116" s="6">
        <v>77</v>
      </c>
    </row>
    <row r="1117" spans="1:11" x14ac:dyDescent="0.2">
      <c r="A1117" s="1">
        <v>0.77430555555555602</v>
      </c>
      <c r="B1117" s="2">
        <v>6.09</v>
      </c>
      <c r="C1117" s="2">
        <v>3.54</v>
      </c>
      <c r="D1117" s="2">
        <v>4.96</v>
      </c>
      <c r="E1117" s="2">
        <v>5.24</v>
      </c>
      <c r="F1117" s="2">
        <v>3.33</v>
      </c>
      <c r="G1117" s="6">
        <v>94</v>
      </c>
      <c r="H1117" s="6">
        <v>140</v>
      </c>
      <c r="I1117" s="6">
        <v>125</v>
      </c>
      <c r="J1117" s="6">
        <v>44</v>
      </c>
      <c r="K1117" s="6">
        <v>27</v>
      </c>
    </row>
    <row r="1118" spans="1:11" x14ac:dyDescent="0.2">
      <c r="A1118" s="1">
        <v>0.77500000000000002</v>
      </c>
      <c r="B1118" s="2">
        <v>6.13</v>
      </c>
      <c r="C1118" s="2">
        <v>3.56</v>
      </c>
      <c r="D1118" s="2">
        <v>5.1099999999999994</v>
      </c>
      <c r="E1118" s="2">
        <v>5.07</v>
      </c>
      <c r="F1118" s="2">
        <v>3.0900000000000003</v>
      </c>
      <c r="G1118" s="6">
        <v>80</v>
      </c>
      <c r="H1118" s="6">
        <v>95</v>
      </c>
      <c r="I1118" s="6">
        <v>74</v>
      </c>
      <c r="J1118" s="6">
        <v>48</v>
      </c>
      <c r="K1118" s="6">
        <v>42</v>
      </c>
    </row>
    <row r="1119" spans="1:11" x14ac:dyDescent="0.2">
      <c r="A1119" s="1">
        <v>0.77569444444444402</v>
      </c>
      <c r="B1119" s="2">
        <v>6.08</v>
      </c>
      <c r="C1119" s="2">
        <v>3.66</v>
      </c>
      <c r="D1119" s="2">
        <v>5.1499999999999995</v>
      </c>
      <c r="E1119" s="2">
        <v>5.2600000000000007</v>
      </c>
      <c r="F1119" s="2">
        <v>3.39</v>
      </c>
      <c r="G1119" s="6">
        <v>114</v>
      </c>
      <c r="H1119" s="6">
        <v>120</v>
      </c>
      <c r="I1119" s="6">
        <v>108</v>
      </c>
      <c r="J1119" s="6">
        <v>40</v>
      </c>
      <c r="K1119" s="6">
        <v>40</v>
      </c>
    </row>
    <row r="1120" spans="1:11" x14ac:dyDescent="0.2">
      <c r="A1120" s="1">
        <v>0.77638888888888902</v>
      </c>
      <c r="B1120" s="2">
        <v>6.3000000000000007</v>
      </c>
      <c r="C1120" s="2">
        <v>3.58</v>
      </c>
      <c r="D1120" s="2">
        <v>5</v>
      </c>
      <c r="E1120" s="2">
        <v>5.41</v>
      </c>
      <c r="F1120" s="2">
        <v>3.35</v>
      </c>
      <c r="G1120" s="6">
        <v>59</v>
      </c>
      <c r="H1120" s="6">
        <v>69</v>
      </c>
      <c r="I1120" s="6">
        <v>44</v>
      </c>
      <c r="J1120" s="6">
        <v>27</v>
      </c>
      <c r="K1120" s="6">
        <v>30</v>
      </c>
    </row>
    <row r="1121" spans="1:12" x14ac:dyDescent="0.2">
      <c r="A1121" s="1">
        <v>0.77708333333333302</v>
      </c>
      <c r="B1121" s="2">
        <v>6.2700000000000005</v>
      </c>
      <c r="C1121" s="2">
        <v>3.62</v>
      </c>
      <c r="D1121" s="2">
        <v>4.9399999999999995</v>
      </c>
      <c r="E1121" s="2">
        <v>4.9400000000000004</v>
      </c>
      <c r="F1121" s="2">
        <v>3.2</v>
      </c>
      <c r="G1121" s="6">
        <v>45</v>
      </c>
      <c r="H1121" s="6">
        <v>55</v>
      </c>
      <c r="I1121" s="6">
        <v>35</v>
      </c>
      <c r="J1121" s="6">
        <v>25</v>
      </c>
      <c r="K1121" s="6">
        <v>28</v>
      </c>
    </row>
    <row r="1122" spans="1:12" x14ac:dyDescent="0.2">
      <c r="A1122" s="1">
        <v>0.77777777777777801</v>
      </c>
      <c r="B1122" s="2">
        <v>6.19</v>
      </c>
      <c r="C1122" s="2">
        <v>3.64</v>
      </c>
      <c r="D1122" s="2">
        <v>4.9499999999999993</v>
      </c>
      <c r="E1122" s="2">
        <v>5.07</v>
      </c>
      <c r="F1122" s="2">
        <v>3.22</v>
      </c>
      <c r="G1122" s="6">
        <v>34</v>
      </c>
      <c r="H1122" s="6">
        <v>28</v>
      </c>
      <c r="I1122" s="6">
        <v>31</v>
      </c>
      <c r="J1122" s="6">
        <v>30</v>
      </c>
      <c r="K1122" s="6">
        <v>30</v>
      </c>
      <c r="L1122" s="2"/>
    </row>
    <row r="1123" spans="1:12" x14ac:dyDescent="0.2">
      <c r="A1123" s="1">
        <v>0.77847222222222201</v>
      </c>
      <c r="B1123" s="2">
        <v>6.3100000000000005</v>
      </c>
      <c r="C1123" s="2">
        <v>3.55</v>
      </c>
      <c r="D1123" s="2">
        <v>5.0699999999999994</v>
      </c>
      <c r="E1123" s="2">
        <v>5.28</v>
      </c>
      <c r="F1123" s="2">
        <v>3.38</v>
      </c>
      <c r="G1123" s="6">
        <v>27</v>
      </c>
      <c r="H1123" s="6">
        <v>24</v>
      </c>
      <c r="I1123" s="6">
        <v>27</v>
      </c>
      <c r="J1123" s="6">
        <v>30</v>
      </c>
      <c r="K1123" s="6">
        <v>0</v>
      </c>
    </row>
    <row r="1124" spans="1:12" x14ac:dyDescent="0.2">
      <c r="A1124" s="1">
        <v>0.77916666666666701</v>
      </c>
      <c r="B1124" s="2">
        <v>6.3000000000000007</v>
      </c>
      <c r="C1124" s="2">
        <v>3.58</v>
      </c>
      <c r="D1124" s="2">
        <v>4.88</v>
      </c>
      <c r="E1124" s="2">
        <v>5.48</v>
      </c>
      <c r="F1124" s="2">
        <v>2.9</v>
      </c>
      <c r="G1124" s="6">
        <v>23</v>
      </c>
      <c r="H1124" s="6">
        <v>20</v>
      </c>
      <c r="I1124" s="6">
        <v>24</v>
      </c>
      <c r="J1124" s="6">
        <v>27</v>
      </c>
      <c r="K1124" s="6">
        <v>0</v>
      </c>
    </row>
    <row r="1125" spans="1:12" x14ac:dyDescent="0.2">
      <c r="A1125" s="1">
        <v>0.77986111111111101</v>
      </c>
      <c r="B1125" s="2">
        <v>6.1400000000000006</v>
      </c>
      <c r="C1125" s="2">
        <v>3.74</v>
      </c>
      <c r="D1125" s="2">
        <v>4.8599999999999994</v>
      </c>
      <c r="E1125" s="2">
        <v>5.2200000000000006</v>
      </c>
      <c r="F1125" s="2">
        <v>2.98</v>
      </c>
      <c r="G1125" s="6">
        <v>15</v>
      </c>
      <c r="H1125" s="6">
        <v>24</v>
      </c>
      <c r="I1125" s="6">
        <v>16</v>
      </c>
      <c r="J1125" s="6">
        <v>15</v>
      </c>
      <c r="K1125" s="6">
        <v>15</v>
      </c>
    </row>
    <row r="1126" spans="1:12" x14ac:dyDescent="0.2">
      <c r="A1126" s="1">
        <v>0.780555555555556</v>
      </c>
      <c r="B1126" s="2">
        <v>6.2700000000000005</v>
      </c>
      <c r="C1126" s="2">
        <v>3.58</v>
      </c>
      <c r="D1126" s="2">
        <v>4.93</v>
      </c>
      <c r="E1126" s="2">
        <v>5.15</v>
      </c>
      <c r="F1126" s="2">
        <v>2.91</v>
      </c>
      <c r="G1126" s="6">
        <v>27</v>
      </c>
      <c r="H1126" s="6">
        <v>30</v>
      </c>
      <c r="I1126" s="6">
        <v>33</v>
      </c>
      <c r="J1126" s="6">
        <v>30</v>
      </c>
      <c r="K1126" s="6">
        <v>33</v>
      </c>
    </row>
    <row r="1127" spans="1:12" x14ac:dyDescent="0.2">
      <c r="A1127" s="1">
        <v>0.78125</v>
      </c>
      <c r="B1127" s="2">
        <v>6.33</v>
      </c>
      <c r="C1127" s="2">
        <v>3.67</v>
      </c>
      <c r="D1127" s="2">
        <v>5.1599999999999993</v>
      </c>
      <c r="E1127" s="2">
        <v>5.3100000000000005</v>
      </c>
      <c r="F1127" s="2">
        <v>3.12</v>
      </c>
      <c r="G1127" s="6">
        <v>25</v>
      </c>
      <c r="H1127" s="6">
        <v>20</v>
      </c>
      <c r="I1127" s="6">
        <v>24</v>
      </c>
      <c r="J1127" s="6">
        <v>20</v>
      </c>
      <c r="K1127" s="6">
        <v>24</v>
      </c>
    </row>
    <row r="1128" spans="1:12" x14ac:dyDescent="0.2">
      <c r="A1128" s="1">
        <v>0.781944444444444</v>
      </c>
      <c r="B1128" s="2">
        <v>6.1000000000000005</v>
      </c>
      <c r="C1128" s="2">
        <v>3.72</v>
      </c>
      <c r="D1128" s="2">
        <v>5.01</v>
      </c>
      <c r="E1128" s="2">
        <v>5.5200000000000005</v>
      </c>
      <c r="F1128" s="2">
        <v>3.06</v>
      </c>
      <c r="G1128" s="6">
        <v>18</v>
      </c>
      <c r="H1128" s="6">
        <v>17</v>
      </c>
      <c r="I1128" s="6">
        <v>10</v>
      </c>
      <c r="J1128" s="6">
        <v>15</v>
      </c>
      <c r="K1128" s="6">
        <v>18</v>
      </c>
    </row>
    <row r="1129" spans="1:12" x14ac:dyDescent="0.2">
      <c r="A1129" s="1">
        <v>0.78263888888888899</v>
      </c>
      <c r="B1129" s="2">
        <v>6.23</v>
      </c>
      <c r="C1129" s="2">
        <v>3.68</v>
      </c>
      <c r="D1129" s="2">
        <v>4.9899999999999993</v>
      </c>
      <c r="E1129" s="2">
        <v>4.9400000000000004</v>
      </c>
      <c r="F1129" s="2">
        <v>3.37</v>
      </c>
      <c r="G1129" s="6">
        <v>10</v>
      </c>
      <c r="H1129" s="6">
        <v>10</v>
      </c>
      <c r="I1129" s="6">
        <v>15</v>
      </c>
      <c r="J1129" s="6">
        <v>8</v>
      </c>
      <c r="K1129" s="6">
        <v>9</v>
      </c>
    </row>
    <row r="1130" spans="1:12" x14ac:dyDescent="0.2">
      <c r="A1130" s="1">
        <v>0.78333333333333299</v>
      </c>
      <c r="B1130" s="2">
        <v>6.29</v>
      </c>
      <c r="C1130" s="2">
        <v>3.55</v>
      </c>
      <c r="D1130" s="2">
        <v>5.21</v>
      </c>
      <c r="E1130" s="2">
        <v>5.2200000000000006</v>
      </c>
      <c r="F1130" s="2">
        <v>2.99</v>
      </c>
      <c r="G1130" s="6">
        <v>14</v>
      </c>
      <c r="H1130" s="6">
        <v>10</v>
      </c>
      <c r="I1130" s="6">
        <v>13</v>
      </c>
      <c r="J1130" s="6">
        <v>4</v>
      </c>
      <c r="K1130" s="6">
        <v>7</v>
      </c>
    </row>
    <row r="1131" spans="1:12" x14ac:dyDescent="0.2">
      <c r="A1131" s="1">
        <v>0.78402777777777799</v>
      </c>
      <c r="B1131" s="2">
        <v>6.2600000000000007</v>
      </c>
      <c r="C1131" s="2">
        <v>3.72</v>
      </c>
      <c r="D1131" s="2">
        <v>4.97</v>
      </c>
      <c r="E1131" s="2">
        <v>5.4700000000000006</v>
      </c>
      <c r="F1131" s="2">
        <v>2.97</v>
      </c>
      <c r="G1131" s="6">
        <v>8</v>
      </c>
      <c r="H1131" s="6">
        <v>5</v>
      </c>
      <c r="I1131" s="6">
        <v>10</v>
      </c>
      <c r="J1131" s="6">
        <v>7</v>
      </c>
      <c r="K1131" s="6">
        <v>5</v>
      </c>
    </row>
    <row r="1132" spans="1:12" x14ac:dyDescent="0.2">
      <c r="A1132" s="1">
        <v>0.78472222222222199</v>
      </c>
      <c r="B1132" s="2">
        <v>6.1800000000000006</v>
      </c>
      <c r="C1132" s="2">
        <v>3.53</v>
      </c>
      <c r="D1132" s="2">
        <v>5.05</v>
      </c>
      <c r="E1132" s="2">
        <v>5.5100000000000007</v>
      </c>
      <c r="F1132" s="2">
        <v>3.38</v>
      </c>
      <c r="G1132" s="6">
        <v>4</v>
      </c>
      <c r="H1132" s="6">
        <v>3</v>
      </c>
      <c r="I1132" s="6">
        <v>5</v>
      </c>
      <c r="J1132" s="6">
        <v>4</v>
      </c>
      <c r="K1132" s="6">
        <v>4</v>
      </c>
    </row>
    <row r="1133" spans="1:12" x14ac:dyDescent="0.2">
      <c r="A1133" s="1">
        <v>0.78541666666666698</v>
      </c>
      <c r="B1133" s="2">
        <v>6.17</v>
      </c>
      <c r="C1133" s="2">
        <v>3.64</v>
      </c>
      <c r="D1133" s="2">
        <v>4.88</v>
      </c>
      <c r="E1133" s="2">
        <v>5.13</v>
      </c>
      <c r="F1133" s="2">
        <v>2.96</v>
      </c>
      <c r="G1133" s="6">
        <v>3</v>
      </c>
      <c r="H1133" s="6">
        <v>3</v>
      </c>
      <c r="I1133" s="6">
        <v>4</v>
      </c>
      <c r="J1133" s="6">
        <v>4</v>
      </c>
      <c r="K1133" s="6">
        <v>4</v>
      </c>
    </row>
    <row r="1134" spans="1:12" x14ac:dyDescent="0.2">
      <c r="A1134" s="1">
        <v>0.78611111111111098</v>
      </c>
      <c r="B1134" s="2">
        <v>6.2700000000000005</v>
      </c>
      <c r="C1134" s="2">
        <v>3.73</v>
      </c>
      <c r="D1134" s="2">
        <v>5.1599999999999993</v>
      </c>
      <c r="E1134" s="2">
        <v>5.08</v>
      </c>
      <c r="F1134" s="2">
        <v>3.21</v>
      </c>
      <c r="G1134" s="6">
        <v>1</v>
      </c>
      <c r="H1134" s="6">
        <v>0</v>
      </c>
      <c r="I1134" s="6">
        <v>2</v>
      </c>
      <c r="J1134" s="6">
        <v>2</v>
      </c>
      <c r="K1134" s="6">
        <v>1</v>
      </c>
    </row>
    <row r="1135" spans="1:12" x14ac:dyDescent="0.2">
      <c r="A1135" s="1">
        <v>0.78680555555555598</v>
      </c>
      <c r="B1135" s="2">
        <v>6.15</v>
      </c>
      <c r="C1135" s="2">
        <v>3.59</v>
      </c>
      <c r="D1135" s="2">
        <v>5.1099999999999994</v>
      </c>
      <c r="E1135" s="2">
        <v>4.82</v>
      </c>
      <c r="F1135" s="2">
        <v>3.3200000000000003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</row>
    <row r="1136" spans="1:12" x14ac:dyDescent="0.2">
      <c r="A1136" s="1">
        <v>0.78749999999999998</v>
      </c>
      <c r="B1136" s="2">
        <v>6.24</v>
      </c>
      <c r="C1136" s="2">
        <v>3.73</v>
      </c>
      <c r="D1136" s="2">
        <v>5.17</v>
      </c>
      <c r="E1136" s="2">
        <v>5.13</v>
      </c>
      <c r="F1136" s="2">
        <v>3.23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</row>
    <row r="1137" spans="1:11" x14ac:dyDescent="0.2">
      <c r="A1137" s="1">
        <v>0.78819444444444398</v>
      </c>
      <c r="B1137" s="2">
        <v>6.33</v>
      </c>
      <c r="C1137" s="2">
        <v>3.63</v>
      </c>
      <c r="D1137" s="2">
        <v>5.1199999999999992</v>
      </c>
      <c r="E1137" s="2">
        <v>5.53</v>
      </c>
      <c r="F1137" s="2">
        <v>3.0300000000000002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</row>
    <row r="1138" spans="1:11" x14ac:dyDescent="0.2">
      <c r="A1138" s="1">
        <v>0.78888888888888897</v>
      </c>
      <c r="B1138" s="2">
        <v>6.13</v>
      </c>
      <c r="C1138" s="2">
        <v>3.59</v>
      </c>
      <c r="D1138" s="2">
        <v>5.2299999999999995</v>
      </c>
      <c r="E1138" s="2">
        <v>4.82</v>
      </c>
      <c r="F1138" s="2">
        <v>3.2600000000000002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</row>
    <row r="1139" spans="1:11" x14ac:dyDescent="0.2">
      <c r="A1139" s="1">
        <v>0.78958333333333297</v>
      </c>
      <c r="B1139" s="2">
        <v>6.19</v>
      </c>
      <c r="C1139" s="2">
        <v>3.6</v>
      </c>
      <c r="D1139" s="2">
        <v>5.1199999999999992</v>
      </c>
      <c r="E1139" s="2">
        <v>5.08</v>
      </c>
      <c r="F1139" s="2">
        <v>3.1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</row>
    <row r="1140" spans="1:11" x14ac:dyDescent="0.2">
      <c r="A1140" s="1">
        <v>0.79027777777777797</v>
      </c>
      <c r="B1140" s="2">
        <v>6.32</v>
      </c>
      <c r="C1140" s="2">
        <v>3.55</v>
      </c>
      <c r="D1140" s="2">
        <v>4.9799999999999995</v>
      </c>
      <c r="E1140" s="2">
        <v>5.36</v>
      </c>
      <c r="F1140" s="2">
        <v>3.16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</row>
    <row r="1141" spans="1:11" x14ac:dyDescent="0.2">
      <c r="A1141" s="1">
        <v>0.79097222222222197</v>
      </c>
      <c r="B1141" s="2">
        <v>6.13</v>
      </c>
      <c r="C1141" s="2">
        <v>3.71</v>
      </c>
      <c r="D1141" s="2">
        <v>5.0299999999999994</v>
      </c>
      <c r="E1141" s="2">
        <v>4.87</v>
      </c>
      <c r="F1141" s="2">
        <v>3.39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</row>
    <row r="1142" spans="1:11" x14ac:dyDescent="0.2">
      <c r="A1142" s="3">
        <v>0.79166666666666696</v>
      </c>
      <c r="B1142" s="4">
        <v>6.19</v>
      </c>
      <c r="C1142" s="4">
        <v>3.68</v>
      </c>
      <c r="D1142" s="4">
        <v>5.09</v>
      </c>
      <c r="E1142" s="4">
        <v>5.29</v>
      </c>
      <c r="F1142" s="4">
        <v>3.13</v>
      </c>
      <c r="G1142" s="7">
        <v>0</v>
      </c>
      <c r="H1142" s="7">
        <v>0</v>
      </c>
      <c r="I1142" s="6">
        <v>0</v>
      </c>
      <c r="J1142" s="6">
        <v>0</v>
      </c>
      <c r="K1142" s="6">
        <v>0</v>
      </c>
    </row>
    <row r="1143" spans="1:11" x14ac:dyDescent="0.2">
      <c r="A1143" s="1">
        <v>0.79236111111111096</v>
      </c>
      <c r="B1143" s="2">
        <v>6.25</v>
      </c>
      <c r="C1143" s="2">
        <v>3.71</v>
      </c>
      <c r="D1143" s="2">
        <v>5.2399999999999993</v>
      </c>
      <c r="E1143" s="2">
        <v>5.4</v>
      </c>
      <c r="F1143" s="2">
        <v>3.1100000000000003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</row>
    <row r="1144" spans="1:11" x14ac:dyDescent="0.2">
      <c r="A1144" s="1">
        <v>0.79305555555555596</v>
      </c>
      <c r="B1144" s="2">
        <v>6.19</v>
      </c>
      <c r="C1144" s="2">
        <v>3.53</v>
      </c>
      <c r="D1144" s="2">
        <v>5.0999999999999996</v>
      </c>
      <c r="E1144" s="2">
        <v>5.12</v>
      </c>
      <c r="F1144" s="2">
        <v>2.91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</row>
    <row r="1145" spans="1:11" x14ac:dyDescent="0.2">
      <c r="A1145" s="1">
        <v>0.79374999999999996</v>
      </c>
      <c r="B1145" s="2">
        <v>6.08</v>
      </c>
      <c r="C1145" s="2">
        <v>3.66</v>
      </c>
      <c r="D1145" s="2">
        <v>5.2399999999999993</v>
      </c>
      <c r="E1145" s="2">
        <v>5.09</v>
      </c>
      <c r="F1145" s="2">
        <v>3.1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</row>
    <row r="1146" spans="1:11" x14ac:dyDescent="0.2">
      <c r="A1146" s="1">
        <v>0.79444444444444495</v>
      </c>
      <c r="B1146" s="2">
        <v>6.17</v>
      </c>
      <c r="C1146" s="2">
        <v>3.73</v>
      </c>
      <c r="D1146" s="2">
        <v>5.2799999999999994</v>
      </c>
      <c r="E1146" s="2">
        <v>4.9000000000000004</v>
      </c>
      <c r="F1146" s="2">
        <v>2.91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</row>
    <row r="1147" spans="1:11" x14ac:dyDescent="0.2">
      <c r="A1147" s="1">
        <v>0.79513888888888895</v>
      </c>
      <c r="B1147" s="2">
        <v>6.28</v>
      </c>
      <c r="C1147" s="2">
        <v>3.75</v>
      </c>
      <c r="D1147" s="2">
        <v>4.8499999999999996</v>
      </c>
      <c r="E1147" s="2">
        <v>5.0100000000000007</v>
      </c>
      <c r="F1147" s="2">
        <v>3.25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</row>
    <row r="1148" spans="1:11" x14ac:dyDescent="0.2">
      <c r="A1148" s="1">
        <v>0.79583333333333295</v>
      </c>
      <c r="B1148" s="2">
        <v>6.1800000000000006</v>
      </c>
      <c r="C1148" s="2">
        <v>3.64</v>
      </c>
      <c r="D1148" s="2">
        <v>5.1199999999999992</v>
      </c>
      <c r="E1148" s="2">
        <v>4.88</v>
      </c>
      <c r="F1148" s="2">
        <v>2.92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</row>
    <row r="1149" spans="1:11" x14ac:dyDescent="0.2">
      <c r="A1149" s="1">
        <v>0.79652777777777795</v>
      </c>
      <c r="B1149" s="2">
        <v>6.21</v>
      </c>
      <c r="C1149" s="2">
        <v>3.53</v>
      </c>
      <c r="D1149" s="2">
        <v>5.0999999999999996</v>
      </c>
      <c r="E1149" s="2">
        <v>5.19</v>
      </c>
      <c r="F1149" s="2">
        <v>2.97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</row>
    <row r="1150" spans="1:11" x14ac:dyDescent="0.2">
      <c r="A1150" s="1">
        <v>0.79722222222222205</v>
      </c>
      <c r="B1150" s="2">
        <v>6.3100000000000005</v>
      </c>
      <c r="C1150" s="2">
        <v>3.56</v>
      </c>
      <c r="D1150" s="2">
        <v>5.1999999999999993</v>
      </c>
      <c r="E1150" s="2">
        <v>5.2</v>
      </c>
      <c r="F1150" s="2">
        <v>3.2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</row>
    <row r="1151" spans="1:11" x14ac:dyDescent="0.2">
      <c r="A1151" s="1">
        <v>0.79791666666666705</v>
      </c>
      <c r="B1151" s="2">
        <v>6.2200000000000006</v>
      </c>
      <c r="C1151" s="2">
        <v>3.7</v>
      </c>
      <c r="D1151" s="2">
        <v>4.9499999999999993</v>
      </c>
      <c r="E1151" s="2">
        <v>5.3000000000000007</v>
      </c>
      <c r="F1151" s="2">
        <v>3.35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</row>
    <row r="1152" spans="1:11" x14ac:dyDescent="0.2">
      <c r="A1152" s="1">
        <v>0.79861111111111105</v>
      </c>
      <c r="B1152" s="2">
        <v>6.17</v>
      </c>
      <c r="C1152" s="2">
        <v>3.77</v>
      </c>
      <c r="D1152" s="2">
        <v>4.9399999999999995</v>
      </c>
      <c r="E1152" s="2">
        <v>4.92</v>
      </c>
      <c r="F1152" s="2">
        <v>3.0300000000000002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</row>
    <row r="1153" spans="1:11" x14ac:dyDescent="0.2">
      <c r="A1153" s="1">
        <v>0.79930555555555605</v>
      </c>
      <c r="B1153" s="2">
        <v>6.3100000000000005</v>
      </c>
      <c r="C1153" s="2">
        <v>3.55</v>
      </c>
      <c r="D1153" s="2">
        <v>4.93</v>
      </c>
      <c r="E1153" s="2">
        <v>5.4</v>
      </c>
      <c r="F1153" s="2">
        <v>3.19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</row>
    <row r="1154" spans="1:11" x14ac:dyDescent="0.2">
      <c r="A1154" s="1">
        <v>0.8</v>
      </c>
      <c r="B1154" s="2">
        <v>6.12</v>
      </c>
      <c r="C1154" s="2">
        <v>3.68</v>
      </c>
      <c r="D1154" s="2">
        <v>5.1599999999999993</v>
      </c>
      <c r="E1154" s="2">
        <v>5.21</v>
      </c>
      <c r="F1154" s="2">
        <v>3.23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</row>
    <row r="1155" spans="1:11" x14ac:dyDescent="0.2">
      <c r="A1155" s="1">
        <v>0.80069444444444404</v>
      </c>
      <c r="B1155" s="2">
        <v>6.24</v>
      </c>
      <c r="C1155" s="2">
        <v>3.61</v>
      </c>
      <c r="D1155" s="2">
        <v>5.0299999999999994</v>
      </c>
      <c r="E1155" s="2">
        <v>5.04</v>
      </c>
      <c r="F1155" s="2">
        <v>2.94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</row>
    <row r="1156" spans="1:11" x14ac:dyDescent="0.2">
      <c r="A1156" s="1">
        <v>0.80138888888888904</v>
      </c>
      <c r="B1156" s="2">
        <v>6.23</v>
      </c>
      <c r="C1156" s="2">
        <v>3.73</v>
      </c>
      <c r="D1156" s="2">
        <v>4.96</v>
      </c>
      <c r="E1156" s="2">
        <v>5.19</v>
      </c>
      <c r="F1156" s="2">
        <v>3.18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</row>
    <row r="1157" spans="1:11" x14ac:dyDescent="0.2">
      <c r="A1157" s="1">
        <v>0.80208333333333304</v>
      </c>
      <c r="B1157" s="2">
        <v>6.11</v>
      </c>
      <c r="C1157" s="2">
        <v>3.61</v>
      </c>
      <c r="D1157" s="2">
        <v>5.09</v>
      </c>
      <c r="E1157" s="2">
        <v>4.8500000000000005</v>
      </c>
      <c r="F1157" s="2">
        <v>3.3600000000000003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</row>
    <row r="1158" spans="1:11" x14ac:dyDescent="0.2">
      <c r="A1158" s="1">
        <v>0.80277777777777803</v>
      </c>
      <c r="B1158" s="2">
        <v>6.32</v>
      </c>
      <c r="C1158" s="2">
        <v>3.74</v>
      </c>
      <c r="D1158" s="2">
        <v>5.01</v>
      </c>
      <c r="E1158" s="2">
        <v>4.84</v>
      </c>
      <c r="F1158" s="2">
        <v>3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</row>
    <row r="1159" spans="1:11" x14ac:dyDescent="0.2">
      <c r="A1159" s="1">
        <v>0.80347222222222203</v>
      </c>
      <c r="B1159" s="2">
        <v>6.1400000000000006</v>
      </c>
      <c r="C1159" s="2">
        <v>3.59</v>
      </c>
      <c r="D1159" s="2">
        <v>4.96</v>
      </c>
      <c r="E1159" s="2">
        <v>5.2200000000000006</v>
      </c>
      <c r="F1159" s="2">
        <v>3.39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</row>
    <row r="1160" spans="1:11" x14ac:dyDescent="0.2">
      <c r="A1160" s="1">
        <v>0.80416666666666703</v>
      </c>
      <c r="B1160" s="2">
        <v>6.17</v>
      </c>
      <c r="C1160" s="2">
        <v>3.65</v>
      </c>
      <c r="D1160" s="2">
        <v>4.93</v>
      </c>
      <c r="E1160" s="2">
        <v>5.49</v>
      </c>
      <c r="F1160" s="2">
        <v>3.21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</row>
    <row r="1161" spans="1:11" x14ac:dyDescent="0.2">
      <c r="A1161" s="1">
        <v>0.80486111111111103</v>
      </c>
      <c r="B1161" s="2">
        <v>6.15</v>
      </c>
      <c r="C1161" s="2">
        <v>3.74</v>
      </c>
      <c r="D1161" s="2">
        <v>5.1099999999999994</v>
      </c>
      <c r="E1161" s="2">
        <v>5.24</v>
      </c>
      <c r="F1161" s="2">
        <v>3.0500000000000003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</row>
    <row r="1162" spans="1:11" x14ac:dyDescent="0.2">
      <c r="A1162" s="1">
        <v>0.80555555555555602</v>
      </c>
      <c r="B1162" s="2">
        <v>6.2200000000000006</v>
      </c>
      <c r="C1162" s="2">
        <v>3.7</v>
      </c>
      <c r="D1162" s="2">
        <v>4.8999999999999995</v>
      </c>
      <c r="E1162" s="2">
        <v>4.95</v>
      </c>
      <c r="F1162" s="2">
        <v>3.25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</row>
    <row r="1163" spans="1:11" x14ac:dyDescent="0.2">
      <c r="A1163" s="1">
        <v>0.80625000000000002</v>
      </c>
      <c r="B1163" s="2">
        <v>6.21</v>
      </c>
      <c r="C1163" s="2">
        <v>3.74</v>
      </c>
      <c r="D1163" s="2">
        <v>5.21</v>
      </c>
      <c r="E1163" s="2">
        <v>5.4700000000000006</v>
      </c>
      <c r="F1163" s="2">
        <v>3.33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</row>
    <row r="1164" spans="1:11" x14ac:dyDescent="0.2">
      <c r="A1164" s="1">
        <v>0.80694444444444402</v>
      </c>
      <c r="B1164" s="2">
        <v>6.19</v>
      </c>
      <c r="C1164" s="2">
        <v>3.77</v>
      </c>
      <c r="D1164" s="2">
        <v>5.08</v>
      </c>
      <c r="E1164" s="2">
        <v>5.32</v>
      </c>
      <c r="F1164" s="2">
        <v>3.0900000000000003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</row>
    <row r="1165" spans="1:11" x14ac:dyDescent="0.2">
      <c r="A1165" s="1">
        <v>0.80763888888888902</v>
      </c>
      <c r="B1165" s="2">
        <v>6.2700000000000005</v>
      </c>
      <c r="C1165" s="2">
        <v>3.66</v>
      </c>
      <c r="D1165" s="2">
        <v>5.29</v>
      </c>
      <c r="E1165" s="2">
        <v>4.9000000000000004</v>
      </c>
      <c r="F1165" s="2">
        <v>3.35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</row>
    <row r="1166" spans="1:11" x14ac:dyDescent="0.2">
      <c r="A1166" s="1">
        <v>0.80833333333333302</v>
      </c>
      <c r="B1166" s="2">
        <v>6.1800000000000006</v>
      </c>
      <c r="C1166" s="2">
        <v>3.74</v>
      </c>
      <c r="D1166" s="2">
        <v>5.22</v>
      </c>
      <c r="E1166" s="2">
        <v>5.09</v>
      </c>
      <c r="F1166" s="2">
        <v>3.17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</row>
    <row r="1167" spans="1:11" x14ac:dyDescent="0.2">
      <c r="A1167" s="1">
        <v>0.80902777777777801</v>
      </c>
      <c r="B1167" s="2">
        <v>6.2600000000000007</v>
      </c>
      <c r="C1167" s="2">
        <v>3.77</v>
      </c>
      <c r="D1167" s="2">
        <v>4.88</v>
      </c>
      <c r="E1167" s="2">
        <v>5.0500000000000007</v>
      </c>
      <c r="F1167" s="2">
        <v>3.3200000000000003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</row>
    <row r="1168" spans="1:11" x14ac:dyDescent="0.2">
      <c r="A1168" s="1">
        <v>0.80972222222222201</v>
      </c>
      <c r="B1168" s="2">
        <v>6.08</v>
      </c>
      <c r="C1168" s="2">
        <v>3.77</v>
      </c>
      <c r="D1168" s="2">
        <v>5.1099999999999994</v>
      </c>
      <c r="E1168" s="2">
        <v>5.34</v>
      </c>
      <c r="F1168" s="2">
        <v>2.94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</row>
    <row r="1169" spans="1:11" x14ac:dyDescent="0.2">
      <c r="A1169" s="1">
        <v>0.81041666666666701</v>
      </c>
      <c r="B1169" s="2">
        <v>6.28</v>
      </c>
      <c r="C1169" s="2">
        <v>3.64</v>
      </c>
      <c r="D1169" s="2">
        <v>4.92</v>
      </c>
      <c r="E1169" s="2">
        <v>5.16</v>
      </c>
      <c r="F1169" s="2">
        <v>2.89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</row>
    <row r="1170" spans="1:11" x14ac:dyDescent="0.2">
      <c r="A1170" s="1">
        <v>0.81111111111111101</v>
      </c>
      <c r="B1170" s="2">
        <v>6.11</v>
      </c>
      <c r="C1170" s="2">
        <v>3.63</v>
      </c>
      <c r="D1170" s="2">
        <v>5.0199999999999996</v>
      </c>
      <c r="E1170" s="2">
        <v>5.0200000000000005</v>
      </c>
      <c r="F1170" s="2">
        <v>3.12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</row>
    <row r="1171" spans="1:11" x14ac:dyDescent="0.2">
      <c r="A1171" s="1">
        <v>0.811805555555556</v>
      </c>
      <c r="B1171" s="2">
        <v>6.33</v>
      </c>
      <c r="C1171" s="2">
        <v>3.64</v>
      </c>
      <c r="D1171" s="2">
        <v>4.9899999999999993</v>
      </c>
      <c r="E1171" s="2">
        <v>5.42</v>
      </c>
      <c r="F1171" s="2">
        <v>3.12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</row>
    <row r="1172" spans="1:11" x14ac:dyDescent="0.2">
      <c r="A1172" s="1">
        <v>0.8125</v>
      </c>
      <c r="B1172" s="2">
        <v>6.2700000000000005</v>
      </c>
      <c r="C1172" s="2">
        <v>3.54</v>
      </c>
      <c r="D1172" s="2">
        <v>5.0299999999999994</v>
      </c>
      <c r="E1172" s="2">
        <v>5.34</v>
      </c>
      <c r="F1172" s="2">
        <v>3.1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</row>
    <row r="1173" spans="1:11" x14ac:dyDescent="0.2">
      <c r="A1173" s="1">
        <v>0.813194444444444</v>
      </c>
      <c r="B1173" s="2">
        <v>6.16</v>
      </c>
      <c r="C1173" s="2">
        <v>3.67</v>
      </c>
      <c r="D1173" s="2">
        <v>5</v>
      </c>
      <c r="E1173" s="2">
        <v>4.82</v>
      </c>
      <c r="F1173" s="2">
        <v>3.37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</row>
    <row r="1174" spans="1:11" x14ac:dyDescent="0.2">
      <c r="A1174" s="1">
        <v>0.81388888888888899</v>
      </c>
      <c r="B1174" s="2">
        <v>6.25</v>
      </c>
      <c r="C1174" s="2">
        <v>3.73</v>
      </c>
      <c r="D1174" s="2">
        <v>4.9399999999999995</v>
      </c>
      <c r="E1174" s="2">
        <v>5.0200000000000005</v>
      </c>
      <c r="F1174" s="2">
        <v>3.16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</row>
    <row r="1175" spans="1:11" x14ac:dyDescent="0.2">
      <c r="A1175" s="1">
        <v>0.81458333333333299</v>
      </c>
      <c r="B1175" s="2">
        <v>6.12</v>
      </c>
      <c r="C1175" s="2">
        <v>3.56</v>
      </c>
      <c r="D1175" s="2">
        <v>4.8599999999999994</v>
      </c>
      <c r="E1175" s="2">
        <v>5.07</v>
      </c>
      <c r="F1175" s="2">
        <v>2.89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</row>
    <row r="1176" spans="1:11" x14ac:dyDescent="0.2">
      <c r="A1176" s="1">
        <v>0.81527777777777799</v>
      </c>
      <c r="B1176" s="2">
        <v>6.07</v>
      </c>
      <c r="C1176" s="2">
        <v>3.67</v>
      </c>
      <c r="D1176" s="2">
        <v>5.2799999999999994</v>
      </c>
      <c r="E1176" s="2">
        <v>5.44</v>
      </c>
      <c r="F1176" s="2">
        <v>3.23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</row>
    <row r="1177" spans="1:11" x14ac:dyDescent="0.2">
      <c r="A1177" s="1">
        <v>0.81597222222222199</v>
      </c>
      <c r="B1177" s="2">
        <v>6.33</v>
      </c>
      <c r="C1177" s="2">
        <v>3.71</v>
      </c>
      <c r="D1177" s="2">
        <v>5.27</v>
      </c>
      <c r="E1177" s="2">
        <v>5.44</v>
      </c>
      <c r="F1177" s="2">
        <v>3.19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</row>
    <row r="1178" spans="1:11" x14ac:dyDescent="0.2">
      <c r="A1178" s="1">
        <v>0.81666666666666698</v>
      </c>
      <c r="B1178" s="2">
        <v>6.28</v>
      </c>
      <c r="C1178" s="2">
        <v>3.75</v>
      </c>
      <c r="D1178" s="2">
        <v>4.8899999999999997</v>
      </c>
      <c r="E1178" s="2">
        <v>4.91</v>
      </c>
      <c r="F1178" s="2">
        <v>3.2800000000000002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</row>
    <row r="1179" spans="1:11" x14ac:dyDescent="0.2">
      <c r="A1179" s="1">
        <v>0.81736111111111098</v>
      </c>
      <c r="B1179" s="2">
        <v>6.11</v>
      </c>
      <c r="C1179" s="2">
        <v>3.67</v>
      </c>
      <c r="D1179" s="2">
        <v>5.14</v>
      </c>
      <c r="E1179" s="2">
        <v>5.32</v>
      </c>
      <c r="F1179" s="2">
        <v>2.91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</row>
    <row r="1180" spans="1:11" x14ac:dyDescent="0.2">
      <c r="A1180" s="1">
        <v>0.81805555555555598</v>
      </c>
      <c r="B1180" s="2">
        <v>6.23</v>
      </c>
      <c r="C1180" s="2">
        <v>3.68</v>
      </c>
      <c r="D1180" s="2">
        <v>5.0999999999999996</v>
      </c>
      <c r="E1180" s="2">
        <v>5.09</v>
      </c>
      <c r="F1180" s="2">
        <v>3.21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</row>
    <row r="1181" spans="1:11" x14ac:dyDescent="0.2">
      <c r="A1181" s="1">
        <v>0.81874999999999998</v>
      </c>
      <c r="B1181" s="2">
        <v>6.11</v>
      </c>
      <c r="C1181" s="2">
        <v>3.73</v>
      </c>
      <c r="D1181" s="2">
        <v>4.93</v>
      </c>
      <c r="E1181" s="2">
        <v>5.44</v>
      </c>
      <c r="F1181" s="2">
        <v>3.23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</row>
    <row r="1182" spans="1:11" x14ac:dyDescent="0.2">
      <c r="A1182" s="1">
        <v>0.81944444444444497</v>
      </c>
      <c r="B1182" s="2">
        <v>6.23</v>
      </c>
      <c r="C1182" s="2">
        <v>3.6</v>
      </c>
      <c r="D1182" s="2">
        <v>4.9899999999999993</v>
      </c>
      <c r="E1182" s="2">
        <v>5.3900000000000006</v>
      </c>
      <c r="F1182" s="2">
        <v>3.33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</row>
    <row r="1183" spans="1:11" x14ac:dyDescent="0.2">
      <c r="A1183" s="1">
        <v>0.82013888888888897</v>
      </c>
      <c r="B1183" s="2">
        <v>6.3000000000000007</v>
      </c>
      <c r="C1183" s="2">
        <v>3.72</v>
      </c>
      <c r="D1183" s="2">
        <v>4.92</v>
      </c>
      <c r="E1183" s="2">
        <v>4.84</v>
      </c>
      <c r="F1183" s="2">
        <v>2.87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</row>
    <row r="1184" spans="1:11" x14ac:dyDescent="0.2">
      <c r="A1184" s="1">
        <v>0.82083333333333297</v>
      </c>
      <c r="B1184" s="2">
        <v>6.19</v>
      </c>
      <c r="C1184" s="2">
        <v>3.77</v>
      </c>
      <c r="D1184" s="2">
        <v>5.1499999999999995</v>
      </c>
      <c r="E1184" s="2">
        <v>5.3100000000000005</v>
      </c>
      <c r="F1184" s="2">
        <v>3.0900000000000003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</row>
    <row r="1185" spans="1:11" x14ac:dyDescent="0.2">
      <c r="A1185" s="1">
        <v>0.82152777777777797</v>
      </c>
      <c r="B1185" s="2">
        <v>6.3000000000000007</v>
      </c>
      <c r="C1185" s="2">
        <v>3.56</v>
      </c>
      <c r="D1185" s="2">
        <v>4.9099999999999993</v>
      </c>
      <c r="E1185" s="2">
        <v>5.03</v>
      </c>
      <c r="F1185" s="2">
        <v>3.39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</row>
    <row r="1186" spans="1:11" x14ac:dyDescent="0.2">
      <c r="A1186" s="1">
        <v>0.82222222222222197</v>
      </c>
      <c r="B1186" s="2">
        <v>6.3000000000000007</v>
      </c>
      <c r="C1186" s="2">
        <v>3.57</v>
      </c>
      <c r="D1186" s="2">
        <v>5.27</v>
      </c>
      <c r="E1186" s="2">
        <v>5.2700000000000005</v>
      </c>
      <c r="F1186" s="2">
        <v>3.0300000000000002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</row>
    <row r="1187" spans="1:11" x14ac:dyDescent="0.2">
      <c r="A1187" s="1">
        <v>0.82291666666666696</v>
      </c>
      <c r="B1187" s="2">
        <v>6.1400000000000006</v>
      </c>
      <c r="C1187" s="2">
        <v>3.61</v>
      </c>
      <c r="D1187" s="2">
        <v>4.9799999999999995</v>
      </c>
      <c r="E1187" s="2">
        <v>5.0500000000000007</v>
      </c>
      <c r="F1187" s="2">
        <v>2.9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</row>
    <row r="1188" spans="1:11" x14ac:dyDescent="0.2">
      <c r="A1188" s="1">
        <v>0.82361111111111096</v>
      </c>
      <c r="B1188" s="2">
        <v>6.3000000000000007</v>
      </c>
      <c r="C1188" s="2">
        <v>3.68</v>
      </c>
      <c r="D1188" s="2">
        <v>5.18</v>
      </c>
      <c r="E1188" s="2">
        <v>5.2700000000000005</v>
      </c>
      <c r="F1188" s="2">
        <v>3.16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</row>
    <row r="1189" spans="1:11" x14ac:dyDescent="0.2">
      <c r="A1189" s="1">
        <v>0.82430555555555596</v>
      </c>
      <c r="B1189" s="2">
        <v>6.11</v>
      </c>
      <c r="C1189" s="2">
        <v>3.63</v>
      </c>
      <c r="D1189" s="2">
        <v>5.1499999999999995</v>
      </c>
      <c r="E1189" s="2">
        <v>4.99</v>
      </c>
      <c r="F1189" s="2">
        <v>3.38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</row>
    <row r="1190" spans="1:11" x14ac:dyDescent="0.2">
      <c r="A1190" s="1">
        <v>0.82499999999999996</v>
      </c>
      <c r="B1190" s="2">
        <v>6.28</v>
      </c>
      <c r="C1190" s="2">
        <v>3.55</v>
      </c>
      <c r="D1190" s="2">
        <v>4.97</v>
      </c>
      <c r="E1190" s="2">
        <v>5.37</v>
      </c>
      <c r="F1190" s="2">
        <v>3.1100000000000003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</row>
    <row r="1191" spans="1:11" x14ac:dyDescent="0.2">
      <c r="A1191" s="1">
        <v>0.82569444444444495</v>
      </c>
      <c r="B1191" s="2">
        <v>6.1000000000000005</v>
      </c>
      <c r="C1191" s="2">
        <v>3.73</v>
      </c>
      <c r="D1191" s="2">
        <v>5.1499999999999995</v>
      </c>
      <c r="E1191" s="2">
        <v>5.0100000000000007</v>
      </c>
      <c r="F1191" s="2">
        <v>3.16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</row>
    <row r="1192" spans="1:11" x14ac:dyDescent="0.2">
      <c r="A1192" s="1">
        <v>0.82638888888888895</v>
      </c>
      <c r="B1192" s="2">
        <v>6.2200000000000006</v>
      </c>
      <c r="C1192" s="2">
        <v>3.73</v>
      </c>
      <c r="D1192" s="2">
        <v>5.08</v>
      </c>
      <c r="E1192" s="2">
        <v>5.5100000000000007</v>
      </c>
      <c r="F1192" s="2">
        <v>3.0900000000000003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</row>
    <row r="1193" spans="1:11" x14ac:dyDescent="0.2">
      <c r="A1193" s="1">
        <v>0.82708333333333295</v>
      </c>
      <c r="B1193" s="2">
        <v>6.1800000000000006</v>
      </c>
      <c r="C1193" s="2">
        <v>3.6</v>
      </c>
      <c r="D1193" s="2">
        <v>5.27</v>
      </c>
      <c r="E1193" s="2">
        <v>5.5</v>
      </c>
      <c r="F1193" s="2">
        <v>3.18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</row>
    <row r="1194" spans="1:11" x14ac:dyDescent="0.2">
      <c r="A1194" s="1">
        <v>0.82777777777777795</v>
      </c>
      <c r="B1194" s="2">
        <v>6.32</v>
      </c>
      <c r="C1194" s="2">
        <v>3.54</v>
      </c>
      <c r="D1194" s="2">
        <v>5.3</v>
      </c>
      <c r="E1194" s="2">
        <v>5.3500000000000005</v>
      </c>
      <c r="F1194" s="2">
        <v>3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</row>
    <row r="1195" spans="1:11" x14ac:dyDescent="0.2">
      <c r="A1195" s="1">
        <v>0.82847222222222205</v>
      </c>
      <c r="B1195" s="2">
        <v>6.1000000000000005</v>
      </c>
      <c r="C1195" s="2">
        <v>3.56</v>
      </c>
      <c r="D1195" s="2">
        <v>4.9899999999999993</v>
      </c>
      <c r="E1195" s="2">
        <v>5.0500000000000007</v>
      </c>
      <c r="F1195" s="2">
        <v>3.04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</row>
    <row r="1196" spans="1:11" x14ac:dyDescent="0.2">
      <c r="A1196" s="1">
        <v>0.82916666666666705</v>
      </c>
      <c r="B1196" s="2">
        <v>6.24</v>
      </c>
      <c r="C1196" s="2">
        <v>3.62</v>
      </c>
      <c r="D1196" s="2">
        <v>5.0299999999999994</v>
      </c>
      <c r="E1196" s="2">
        <v>4.9400000000000004</v>
      </c>
      <c r="F1196" s="2">
        <v>3.3000000000000003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</row>
    <row r="1197" spans="1:11" x14ac:dyDescent="0.2">
      <c r="A1197" s="1">
        <v>0.82986111111111105</v>
      </c>
      <c r="B1197" s="2">
        <v>6.19</v>
      </c>
      <c r="C1197" s="2">
        <v>3.53</v>
      </c>
      <c r="D1197" s="2">
        <v>5.29</v>
      </c>
      <c r="E1197" s="2">
        <v>5.23</v>
      </c>
      <c r="F1197" s="2">
        <v>3.0900000000000003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</row>
    <row r="1198" spans="1:11" x14ac:dyDescent="0.2">
      <c r="A1198" s="1">
        <v>0.83055555555555605</v>
      </c>
      <c r="B1198" s="2">
        <v>6.17</v>
      </c>
      <c r="C1198" s="2">
        <v>3.52</v>
      </c>
      <c r="D1198" s="2">
        <v>5.27</v>
      </c>
      <c r="E1198" s="2">
        <v>5.1000000000000005</v>
      </c>
      <c r="F1198" s="2">
        <v>3.33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</row>
    <row r="1199" spans="1:11" x14ac:dyDescent="0.2">
      <c r="A1199" s="1">
        <v>0.83125000000000004</v>
      </c>
      <c r="B1199" s="2">
        <v>6.13</v>
      </c>
      <c r="C1199" s="2">
        <v>3.7</v>
      </c>
      <c r="D1199" s="2">
        <v>5.0699999999999994</v>
      </c>
      <c r="E1199" s="2">
        <v>4.82</v>
      </c>
      <c r="F1199" s="2">
        <v>3.0900000000000003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</row>
    <row r="1200" spans="1:11" x14ac:dyDescent="0.2">
      <c r="A1200" s="1">
        <v>0.83194444444444404</v>
      </c>
      <c r="B1200" s="2">
        <v>6.07</v>
      </c>
      <c r="C1200" s="2">
        <v>3.57</v>
      </c>
      <c r="D1200" s="2">
        <v>4.9399999999999995</v>
      </c>
      <c r="E1200" s="2">
        <v>5.12</v>
      </c>
      <c r="F1200" s="2">
        <v>3.39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</row>
    <row r="1201" spans="1:11" x14ac:dyDescent="0.2">
      <c r="A1201" s="1">
        <v>0.83263888888888904</v>
      </c>
      <c r="B1201" s="2">
        <v>6.1000000000000005</v>
      </c>
      <c r="C1201" s="2">
        <v>3.64</v>
      </c>
      <c r="D1201" s="2">
        <v>5.17</v>
      </c>
      <c r="E1201" s="2">
        <v>4.91</v>
      </c>
      <c r="F1201" s="2">
        <v>3.3400000000000003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</row>
    <row r="1202" spans="1:11" x14ac:dyDescent="0.2">
      <c r="A1202" s="3">
        <v>0.83333333333333304</v>
      </c>
      <c r="B1202" s="4">
        <v>6.19</v>
      </c>
      <c r="C1202" s="4">
        <v>3.69</v>
      </c>
      <c r="D1202" s="4">
        <v>5.09</v>
      </c>
      <c r="E1202" s="4">
        <v>5.29</v>
      </c>
      <c r="F1202" s="4">
        <v>3.14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</row>
    <row r="1203" spans="1:11" x14ac:dyDescent="0.2">
      <c r="A1203" s="1">
        <v>0.83402777777777803</v>
      </c>
      <c r="B1203" s="2">
        <v>6.23</v>
      </c>
      <c r="C1203" s="2">
        <v>3.5799999999999996</v>
      </c>
      <c r="D1203" s="2">
        <v>5.26</v>
      </c>
      <c r="E1203" s="2">
        <v>4.99</v>
      </c>
      <c r="F1203" s="2">
        <v>3.39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</row>
    <row r="1204" spans="1:11" x14ac:dyDescent="0.2">
      <c r="A1204" s="1">
        <v>0.83472222222222203</v>
      </c>
      <c r="B1204" s="2">
        <v>6.25</v>
      </c>
      <c r="C1204" s="2">
        <v>3.6999999999999997</v>
      </c>
      <c r="D1204" s="2">
        <v>4.8899999999999997</v>
      </c>
      <c r="E1204" s="2">
        <v>4.9300000000000006</v>
      </c>
      <c r="F1204" s="2">
        <v>3.25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</row>
    <row r="1205" spans="1:11" x14ac:dyDescent="0.2">
      <c r="A1205" s="1">
        <v>0.83541666666666703</v>
      </c>
      <c r="B1205" s="2">
        <v>6.19</v>
      </c>
      <c r="C1205" s="2">
        <v>3.53</v>
      </c>
      <c r="D1205" s="2">
        <v>5.18</v>
      </c>
      <c r="E1205" s="2">
        <v>4.96</v>
      </c>
      <c r="F1205" s="2">
        <v>3.12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</row>
    <row r="1206" spans="1:11" x14ac:dyDescent="0.2">
      <c r="A1206" s="1">
        <v>0.83611111111111103</v>
      </c>
      <c r="B1206" s="2">
        <v>6.1000000000000005</v>
      </c>
      <c r="C1206" s="2">
        <v>3.6599999999999997</v>
      </c>
      <c r="D1206" s="2">
        <v>5.1099999999999994</v>
      </c>
      <c r="E1206" s="2">
        <v>5.04</v>
      </c>
      <c r="F1206" s="2">
        <v>3.12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</row>
    <row r="1207" spans="1:11" x14ac:dyDescent="0.2">
      <c r="A1207" s="1">
        <v>0.83680555555555602</v>
      </c>
      <c r="B1207" s="2">
        <v>6.16</v>
      </c>
      <c r="C1207" s="2">
        <v>3.5799999999999996</v>
      </c>
      <c r="D1207" s="2">
        <v>5.13</v>
      </c>
      <c r="E1207" s="2">
        <v>5.0100000000000007</v>
      </c>
      <c r="F1207" s="2">
        <v>2.93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</row>
    <row r="1208" spans="1:11" x14ac:dyDescent="0.2">
      <c r="A1208" s="1">
        <v>0.83750000000000002</v>
      </c>
      <c r="B1208" s="2">
        <v>6.17</v>
      </c>
      <c r="C1208" s="2">
        <v>3.7699999999999996</v>
      </c>
      <c r="D1208" s="2">
        <v>5.1099999999999994</v>
      </c>
      <c r="E1208" s="2">
        <v>5.36</v>
      </c>
      <c r="F1208" s="2">
        <v>3.39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</row>
    <row r="1209" spans="1:11" x14ac:dyDescent="0.2">
      <c r="A1209" s="1">
        <v>0.83819444444444402</v>
      </c>
      <c r="B1209" s="2">
        <v>6.24</v>
      </c>
      <c r="C1209" s="2">
        <v>3.6799999999999997</v>
      </c>
      <c r="D1209" s="2">
        <v>5.09</v>
      </c>
      <c r="E1209" s="2">
        <v>5.2700000000000005</v>
      </c>
      <c r="F1209" s="2">
        <v>3.3600000000000003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</row>
    <row r="1210" spans="1:11" x14ac:dyDescent="0.2">
      <c r="A1210" s="1">
        <v>0.83888888888888902</v>
      </c>
      <c r="B1210" s="2">
        <v>6.24</v>
      </c>
      <c r="C1210" s="2">
        <v>3.5599999999999996</v>
      </c>
      <c r="D1210" s="2">
        <v>5.1599999999999993</v>
      </c>
      <c r="E1210" s="2">
        <v>5.3100000000000005</v>
      </c>
      <c r="F1210" s="2">
        <v>3.2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</row>
    <row r="1211" spans="1:11" x14ac:dyDescent="0.2">
      <c r="A1211" s="1">
        <v>0.83958333333333302</v>
      </c>
      <c r="B1211" s="2">
        <v>6.2200000000000006</v>
      </c>
      <c r="C1211" s="2">
        <v>3.75</v>
      </c>
      <c r="D1211" s="2">
        <v>5.1999999999999993</v>
      </c>
      <c r="E1211" s="2">
        <v>5.07</v>
      </c>
      <c r="F1211" s="2">
        <v>3.0500000000000003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</row>
    <row r="1212" spans="1:11" x14ac:dyDescent="0.2">
      <c r="A1212" s="1">
        <v>0.84027777777777801</v>
      </c>
      <c r="B1212" s="2">
        <v>6.15</v>
      </c>
      <c r="C1212" s="2">
        <v>3.6799999999999997</v>
      </c>
      <c r="D1212" s="2">
        <v>5.22</v>
      </c>
      <c r="E1212" s="2">
        <v>4.8600000000000003</v>
      </c>
      <c r="F1212" s="2">
        <v>3.08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</row>
    <row r="1213" spans="1:11" x14ac:dyDescent="0.2">
      <c r="A1213" s="1">
        <v>0.84097222222222201</v>
      </c>
      <c r="B1213" s="2">
        <v>6.15</v>
      </c>
      <c r="C1213" s="2">
        <v>3.57</v>
      </c>
      <c r="D1213" s="2">
        <v>5.3</v>
      </c>
      <c r="E1213" s="2">
        <v>5.04</v>
      </c>
      <c r="F1213" s="2">
        <v>3.16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</row>
    <row r="1214" spans="1:11" x14ac:dyDescent="0.2">
      <c r="A1214" s="1">
        <v>0.84166666666666701</v>
      </c>
      <c r="B1214" s="2">
        <v>6.25</v>
      </c>
      <c r="C1214" s="2">
        <v>3.6999999999999997</v>
      </c>
      <c r="D1214" s="2">
        <v>5.2799999999999994</v>
      </c>
      <c r="E1214" s="2">
        <v>4.8900000000000006</v>
      </c>
      <c r="F1214" s="2">
        <v>3.0700000000000003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</row>
    <row r="1215" spans="1:11" x14ac:dyDescent="0.2">
      <c r="A1215" s="1">
        <v>0.84236111111111101</v>
      </c>
      <c r="B1215" s="2">
        <v>6.23</v>
      </c>
      <c r="C1215" s="2">
        <v>3.6399999999999997</v>
      </c>
      <c r="D1215" s="2">
        <v>5.05</v>
      </c>
      <c r="E1215" s="2">
        <v>4.8600000000000003</v>
      </c>
      <c r="F1215" s="2">
        <v>3.1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</row>
    <row r="1216" spans="1:11" x14ac:dyDescent="0.2">
      <c r="A1216" s="1">
        <v>0.843055555555556</v>
      </c>
      <c r="B1216" s="2">
        <v>6.15</v>
      </c>
      <c r="C1216" s="2">
        <v>3.71</v>
      </c>
      <c r="D1216" s="2">
        <v>5.1999999999999993</v>
      </c>
      <c r="E1216" s="2">
        <v>5.1100000000000003</v>
      </c>
      <c r="F1216" s="2">
        <v>3.0100000000000002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</row>
    <row r="1217" spans="1:11" x14ac:dyDescent="0.2">
      <c r="A1217" s="1">
        <v>0.84375</v>
      </c>
      <c r="B1217" s="2">
        <v>6.16</v>
      </c>
      <c r="C1217" s="2">
        <v>3.6799999999999997</v>
      </c>
      <c r="D1217" s="2">
        <v>5.0299999999999994</v>
      </c>
      <c r="E1217" s="2">
        <v>4.8600000000000003</v>
      </c>
      <c r="F1217" s="2">
        <v>3.2800000000000002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</row>
    <row r="1218" spans="1:11" x14ac:dyDescent="0.2">
      <c r="A1218" s="1">
        <v>0.844444444444444</v>
      </c>
      <c r="B1218" s="2">
        <v>6.32</v>
      </c>
      <c r="C1218" s="2">
        <v>3.6599999999999997</v>
      </c>
      <c r="D1218" s="2">
        <v>4.92</v>
      </c>
      <c r="E1218" s="2">
        <v>5.25</v>
      </c>
      <c r="F1218" s="2">
        <v>3.12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</row>
    <row r="1219" spans="1:11" x14ac:dyDescent="0.2">
      <c r="A1219" s="1">
        <v>0.84513888888888899</v>
      </c>
      <c r="B1219" s="2">
        <v>6.08</v>
      </c>
      <c r="C1219" s="2">
        <v>3.7699999999999996</v>
      </c>
      <c r="D1219" s="2">
        <v>5.13</v>
      </c>
      <c r="E1219" s="2">
        <v>5.15</v>
      </c>
      <c r="F1219" s="2">
        <v>2.87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</row>
    <row r="1220" spans="1:11" x14ac:dyDescent="0.2">
      <c r="A1220" s="1">
        <v>0.84583333333333299</v>
      </c>
      <c r="B1220" s="2">
        <v>6.17</v>
      </c>
      <c r="C1220" s="2">
        <v>3.65</v>
      </c>
      <c r="D1220" s="2">
        <v>5.25</v>
      </c>
      <c r="E1220" s="2">
        <v>5.2700000000000005</v>
      </c>
      <c r="F1220" s="2">
        <v>3.04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</row>
    <row r="1221" spans="1:11" x14ac:dyDescent="0.2">
      <c r="A1221" s="1">
        <v>0.84652777777777799</v>
      </c>
      <c r="B1221" s="2">
        <v>6.12</v>
      </c>
      <c r="C1221" s="2">
        <v>3.76</v>
      </c>
      <c r="D1221" s="2">
        <v>5.0599999999999996</v>
      </c>
      <c r="E1221" s="2">
        <v>5.0100000000000007</v>
      </c>
      <c r="F1221" s="2">
        <v>3.21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</row>
    <row r="1222" spans="1:11" x14ac:dyDescent="0.2">
      <c r="A1222" s="1">
        <v>0.84722222222222199</v>
      </c>
      <c r="B1222" s="2">
        <v>6.15</v>
      </c>
      <c r="C1222" s="2">
        <v>3.79</v>
      </c>
      <c r="D1222" s="2">
        <v>4.8899999999999997</v>
      </c>
      <c r="E1222" s="2">
        <v>5.28</v>
      </c>
      <c r="F1222" s="2">
        <v>3.37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</row>
    <row r="1223" spans="1:11" x14ac:dyDescent="0.2">
      <c r="A1223" s="1">
        <v>0.84791666666666698</v>
      </c>
      <c r="B1223" s="2">
        <v>6.23</v>
      </c>
      <c r="C1223" s="2">
        <v>3.71</v>
      </c>
      <c r="D1223" s="2">
        <v>5.1999999999999993</v>
      </c>
      <c r="E1223" s="2">
        <v>5.23</v>
      </c>
      <c r="F1223" s="2">
        <v>3.24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</row>
    <row r="1224" spans="1:11" x14ac:dyDescent="0.2">
      <c r="A1224" s="1">
        <v>0.84861111111111098</v>
      </c>
      <c r="B1224" s="2">
        <v>6.13</v>
      </c>
      <c r="C1224" s="2">
        <v>3.71</v>
      </c>
      <c r="D1224" s="2">
        <v>4.8499999999999996</v>
      </c>
      <c r="E1224" s="2">
        <v>5.42</v>
      </c>
      <c r="F1224" s="2">
        <v>2.9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</row>
    <row r="1225" spans="1:11" x14ac:dyDescent="0.2">
      <c r="A1225" s="1">
        <v>0.84930555555555598</v>
      </c>
      <c r="B1225" s="2">
        <v>6.2</v>
      </c>
      <c r="C1225" s="2">
        <v>3.67</v>
      </c>
      <c r="D1225" s="2">
        <v>5.13</v>
      </c>
      <c r="E1225" s="2">
        <v>5.08</v>
      </c>
      <c r="F1225" s="2">
        <v>2.91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</row>
    <row r="1226" spans="1:11" x14ac:dyDescent="0.2">
      <c r="A1226" s="1">
        <v>0.85</v>
      </c>
      <c r="B1226" s="2">
        <v>6.09</v>
      </c>
      <c r="C1226" s="2">
        <v>3.5599999999999996</v>
      </c>
      <c r="D1226" s="2">
        <v>4.9499999999999993</v>
      </c>
      <c r="E1226" s="2">
        <v>5.1800000000000006</v>
      </c>
      <c r="F1226" s="2">
        <v>3.38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</row>
    <row r="1227" spans="1:11" x14ac:dyDescent="0.2">
      <c r="A1227" s="1">
        <v>0.85069444444444497</v>
      </c>
      <c r="B1227" s="2">
        <v>6.12</v>
      </c>
      <c r="C1227" s="2">
        <v>3.76</v>
      </c>
      <c r="D1227" s="2">
        <v>5.2299999999999995</v>
      </c>
      <c r="E1227" s="2">
        <v>5.45</v>
      </c>
      <c r="F1227" s="2">
        <v>3.35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</row>
    <row r="1228" spans="1:11" x14ac:dyDescent="0.2">
      <c r="A1228" s="1">
        <v>0.85138888888888897</v>
      </c>
      <c r="B1228" s="2">
        <v>6.29</v>
      </c>
      <c r="C1228" s="2">
        <v>3.5999999999999996</v>
      </c>
      <c r="D1228" s="2">
        <v>5.13</v>
      </c>
      <c r="E1228" s="2">
        <v>5.21</v>
      </c>
      <c r="F1228" s="2">
        <v>2.89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</row>
    <row r="1229" spans="1:11" x14ac:dyDescent="0.2">
      <c r="A1229" s="1">
        <v>0.85208333333333297</v>
      </c>
      <c r="B1229" s="2">
        <v>6.28</v>
      </c>
      <c r="C1229" s="2">
        <v>3.73</v>
      </c>
      <c r="D1229" s="2">
        <v>5.1099999999999994</v>
      </c>
      <c r="E1229" s="2">
        <v>5.24</v>
      </c>
      <c r="F1229" s="2">
        <v>3.23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</row>
    <row r="1230" spans="1:11" x14ac:dyDescent="0.2">
      <c r="A1230" s="1">
        <v>0.85277777777777797</v>
      </c>
      <c r="B1230" s="2">
        <v>6.12</v>
      </c>
      <c r="C1230" s="2">
        <v>3.55</v>
      </c>
      <c r="D1230" s="2">
        <v>4.9499999999999993</v>
      </c>
      <c r="E1230" s="2">
        <v>5.5100000000000007</v>
      </c>
      <c r="F1230" s="2">
        <v>3.33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</row>
    <row r="1231" spans="1:11" x14ac:dyDescent="0.2">
      <c r="A1231" s="1">
        <v>0.85347222222222197</v>
      </c>
      <c r="B1231" s="2">
        <v>6.1400000000000006</v>
      </c>
      <c r="C1231" s="2">
        <v>3.67</v>
      </c>
      <c r="D1231" s="2">
        <v>5.0599999999999996</v>
      </c>
      <c r="E1231" s="2">
        <v>5.0500000000000007</v>
      </c>
      <c r="F1231" s="2">
        <v>3.04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</row>
    <row r="1232" spans="1:11" x14ac:dyDescent="0.2">
      <c r="A1232" s="1">
        <v>0.85416666666666696</v>
      </c>
      <c r="B1232" s="2">
        <v>6.24</v>
      </c>
      <c r="C1232" s="2">
        <v>3.79</v>
      </c>
      <c r="D1232" s="2">
        <v>4.8999999999999995</v>
      </c>
      <c r="E1232" s="2">
        <v>4.82</v>
      </c>
      <c r="F1232" s="2">
        <v>3.22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</row>
    <row r="1233" spans="1:11" x14ac:dyDescent="0.2">
      <c r="A1233" s="1">
        <v>0.85486111111111096</v>
      </c>
      <c r="B1233" s="2">
        <v>6.15</v>
      </c>
      <c r="C1233" s="2">
        <v>3.75</v>
      </c>
      <c r="D1233" s="2">
        <v>4.93</v>
      </c>
      <c r="E1233" s="2">
        <v>4.8600000000000003</v>
      </c>
      <c r="F1233" s="2">
        <v>3.13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</row>
    <row r="1234" spans="1:11" x14ac:dyDescent="0.2">
      <c r="A1234" s="1">
        <v>0.85555555555555596</v>
      </c>
      <c r="B1234" s="2">
        <v>6.09</v>
      </c>
      <c r="C1234" s="2">
        <v>3.6199999999999997</v>
      </c>
      <c r="D1234" s="2">
        <v>5</v>
      </c>
      <c r="E1234" s="2">
        <v>5.0200000000000005</v>
      </c>
      <c r="F1234" s="2">
        <v>3.18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</row>
    <row r="1235" spans="1:11" x14ac:dyDescent="0.2">
      <c r="A1235" s="1">
        <v>0.85624999999999996</v>
      </c>
      <c r="B1235" s="2">
        <v>6.19</v>
      </c>
      <c r="C1235" s="2">
        <v>3.63</v>
      </c>
      <c r="D1235" s="2">
        <v>5.04</v>
      </c>
      <c r="E1235" s="2">
        <v>5.12</v>
      </c>
      <c r="F1235" s="2">
        <v>2.89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</row>
    <row r="1236" spans="1:11" x14ac:dyDescent="0.2">
      <c r="A1236" s="1">
        <v>0.85694444444444495</v>
      </c>
      <c r="B1236" s="2">
        <v>6.2600000000000007</v>
      </c>
      <c r="C1236" s="2">
        <v>3.71</v>
      </c>
      <c r="D1236" s="2">
        <v>5.0699999999999994</v>
      </c>
      <c r="E1236" s="2">
        <v>5.3500000000000005</v>
      </c>
      <c r="F1236" s="2">
        <v>2.96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</row>
    <row r="1237" spans="1:11" x14ac:dyDescent="0.2">
      <c r="A1237" s="1">
        <v>0.85763888888888895</v>
      </c>
      <c r="B1237" s="2">
        <v>6.16</v>
      </c>
      <c r="C1237" s="2">
        <v>3.55</v>
      </c>
      <c r="D1237" s="2">
        <v>5.09</v>
      </c>
      <c r="E1237" s="2">
        <v>5.5200000000000005</v>
      </c>
      <c r="F1237" s="2">
        <v>2.97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</row>
    <row r="1238" spans="1:11" x14ac:dyDescent="0.2">
      <c r="A1238" s="1">
        <v>0.85833333333333295</v>
      </c>
      <c r="B1238" s="2">
        <v>6.15</v>
      </c>
      <c r="C1238" s="2">
        <v>3.69</v>
      </c>
      <c r="D1238" s="2">
        <v>4.96</v>
      </c>
      <c r="E1238" s="2">
        <v>5.12</v>
      </c>
      <c r="F1238" s="2">
        <v>2.92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</row>
    <row r="1239" spans="1:11" x14ac:dyDescent="0.2">
      <c r="A1239" s="1">
        <v>0.85902777777777795</v>
      </c>
      <c r="B1239" s="2">
        <v>6.13</v>
      </c>
      <c r="C1239" s="2">
        <v>3.73</v>
      </c>
      <c r="D1239" s="2">
        <v>5</v>
      </c>
      <c r="E1239" s="2">
        <v>5.28</v>
      </c>
      <c r="F1239" s="2">
        <v>3.33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</row>
    <row r="1240" spans="1:11" x14ac:dyDescent="0.2">
      <c r="A1240" s="1">
        <v>0.85972222222222205</v>
      </c>
      <c r="B1240" s="2">
        <v>6.1800000000000006</v>
      </c>
      <c r="C1240" s="2">
        <v>3.6799999999999997</v>
      </c>
      <c r="D1240" s="2">
        <v>4.96</v>
      </c>
      <c r="E1240" s="2">
        <v>5.13</v>
      </c>
      <c r="F1240" s="2">
        <v>3.2600000000000002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</row>
    <row r="1241" spans="1:11" x14ac:dyDescent="0.2">
      <c r="A1241" s="1">
        <v>0.86041666666666705</v>
      </c>
      <c r="B1241" s="2">
        <v>6.2200000000000006</v>
      </c>
      <c r="C1241" s="2">
        <v>3.75</v>
      </c>
      <c r="D1241" s="2">
        <v>4.9099999999999993</v>
      </c>
      <c r="E1241" s="2">
        <v>4.9300000000000006</v>
      </c>
      <c r="F1241" s="2">
        <v>3.13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</row>
    <row r="1242" spans="1:11" x14ac:dyDescent="0.2">
      <c r="A1242" s="1">
        <v>0.86111111111111105</v>
      </c>
      <c r="B1242" s="2">
        <v>6.07</v>
      </c>
      <c r="C1242" s="2">
        <v>3.69</v>
      </c>
      <c r="D1242" s="2">
        <v>5.29</v>
      </c>
      <c r="E1242" s="2">
        <v>5.15</v>
      </c>
      <c r="F1242" s="2">
        <v>3.0700000000000003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</row>
    <row r="1243" spans="1:11" x14ac:dyDescent="0.2">
      <c r="A1243" s="1">
        <v>0.86180555555555605</v>
      </c>
      <c r="B1243" s="2">
        <v>6.1000000000000005</v>
      </c>
      <c r="C1243" s="2">
        <v>3.69</v>
      </c>
      <c r="D1243" s="2">
        <v>5.1099999999999994</v>
      </c>
      <c r="E1243" s="2">
        <v>4.8500000000000005</v>
      </c>
      <c r="F1243" s="2">
        <v>3.29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</row>
    <row r="1244" spans="1:11" x14ac:dyDescent="0.2">
      <c r="A1244" s="1">
        <v>0.86250000000000004</v>
      </c>
      <c r="B1244" s="2">
        <v>6.3100000000000005</v>
      </c>
      <c r="C1244" s="2">
        <v>3.73</v>
      </c>
      <c r="D1244" s="2">
        <v>5.0699999999999994</v>
      </c>
      <c r="E1244" s="2">
        <v>5.48</v>
      </c>
      <c r="F1244" s="2">
        <v>2.89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</row>
    <row r="1245" spans="1:11" x14ac:dyDescent="0.2">
      <c r="A1245" s="1">
        <v>0.86319444444444404</v>
      </c>
      <c r="B1245" s="2">
        <v>6.3000000000000007</v>
      </c>
      <c r="C1245" s="2">
        <v>3.65</v>
      </c>
      <c r="D1245" s="2">
        <v>5.1999999999999993</v>
      </c>
      <c r="E1245" s="2">
        <v>5.4</v>
      </c>
      <c r="F1245" s="2">
        <v>3.27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</row>
    <row r="1246" spans="1:11" x14ac:dyDescent="0.2">
      <c r="A1246" s="1">
        <v>0.86388888888888904</v>
      </c>
      <c r="B1246" s="2">
        <v>6.32</v>
      </c>
      <c r="C1246" s="2">
        <v>3.65</v>
      </c>
      <c r="D1246" s="2">
        <v>4.97</v>
      </c>
      <c r="E1246" s="2">
        <v>5.04</v>
      </c>
      <c r="F1246" s="2">
        <v>3.0700000000000003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</row>
    <row r="1247" spans="1:11" x14ac:dyDescent="0.2">
      <c r="A1247" s="1">
        <v>0.86458333333333304</v>
      </c>
      <c r="B1247" s="2">
        <v>6.33</v>
      </c>
      <c r="C1247" s="2">
        <v>3.79</v>
      </c>
      <c r="D1247" s="2">
        <v>5.09</v>
      </c>
      <c r="E1247" s="2">
        <v>4.96</v>
      </c>
      <c r="F1247" s="2">
        <v>3.24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</row>
    <row r="1248" spans="1:11" x14ac:dyDescent="0.2">
      <c r="A1248" s="1">
        <v>0.86527777777777803</v>
      </c>
      <c r="B1248" s="2">
        <v>6.1800000000000006</v>
      </c>
      <c r="C1248" s="2">
        <v>3.5399999999999996</v>
      </c>
      <c r="D1248" s="2">
        <v>5.0199999999999996</v>
      </c>
      <c r="E1248" s="2">
        <v>5.2600000000000007</v>
      </c>
      <c r="F1248" s="2">
        <v>3.3200000000000003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</row>
    <row r="1249" spans="1:11" x14ac:dyDescent="0.2">
      <c r="A1249" s="1">
        <v>0.86597222222222203</v>
      </c>
      <c r="B1249" s="2">
        <v>6.12</v>
      </c>
      <c r="C1249" s="2">
        <v>3.5999999999999996</v>
      </c>
      <c r="D1249" s="2">
        <v>4.8499999999999996</v>
      </c>
      <c r="E1249" s="2">
        <v>5.24</v>
      </c>
      <c r="F1249" s="2">
        <v>3.3400000000000003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</row>
    <row r="1250" spans="1:11" x14ac:dyDescent="0.2">
      <c r="A1250" s="1">
        <v>0.86666666666666703</v>
      </c>
      <c r="B1250" s="2">
        <v>6.2200000000000006</v>
      </c>
      <c r="C1250" s="2">
        <v>3.79</v>
      </c>
      <c r="D1250" s="2">
        <v>4.8499999999999996</v>
      </c>
      <c r="E1250" s="2">
        <v>5.3100000000000005</v>
      </c>
      <c r="F1250" s="2">
        <v>3.08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</row>
    <row r="1251" spans="1:11" x14ac:dyDescent="0.2">
      <c r="A1251" s="1">
        <v>0.86736111111111103</v>
      </c>
      <c r="B1251" s="2">
        <v>6.24</v>
      </c>
      <c r="C1251" s="2">
        <v>3.7199999999999998</v>
      </c>
      <c r="D1251" s="2">
        <v>4.8699999999999992</v>
      </c>
      <c r="E1251" s="2">
        <v>5.0100000000000007</v>
      </c>
      <c r="F1251" s="2">
        <v>3.13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</row>
    <row r="1252" spans="1:11" x14ac:dyDescent="0.2">
      <c r="A1252" s="1">
        <v>0.86805555555555602</v>
      </c>
      <c r="B1252" s="2">
        <v>6.17</v>
      </c>
      <c r="C1252" s="2">
        <v>3.5799999999999996</v>
      </c>
      <c r="D1252" s="2">
        <v>5.18</v>
      </c>
      <c r="E1252" s="2">
        <v>4.84</v>
      </c>
      <c r="F1252" s="2">
        <v>2.92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</row>
    <row r="1253" spans="1:11" x14ac:dyDescent="0.2">
      <c r="A1253" s="1">
        <v>0.86875000000000002</v>
      </c>
      <c r="B1253" s="2">
        <v>6.29</v>
      </c>
      <c r="C1253" s="2">
        <v>3.5399999999999996</v>
      </c>
      <c r="D1253" s="2">
        <v>5.09</v>
      </c>
      <c r="E1253" s="2">
        <v>5.3500000000000005</v>
      </c>
      <c r="F1253" s="2">
        <v>3.1500000000000004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</row>
    <row r="1254" spans="1:11" x14ac:dyDescent="0.2">
      <c r="A1254" s="1">
        <v>0.86944444444444402</v>
      </c>
      <c r="B1254" s="2">
        <v>6.15</v>
      </c>
      <c r="C1254" s="2">
        <v>3.65</v>
      </c>
      <c r="D1254" s="2">
        <v>4.8899999999999997</v>
      </c>
      <c r="E1254" s="2">
        <v>5.03</v>
      </c>
      <c r="F1254" s="2">
        <v>3.23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</row>
    <row r="1255" spans="1:11" x14ac:dyDescent="0.2">
      <c r="A1255" s="1">
        <v>0.87013888888888902</v>
      </c>
      <c r="B1255" s="2">
        <v>6.23</v>
      </c>
      <c r="C1255" s="2">
        <v>3.59</v>
      </c>
      <c r="D1255" s="2">
        <v>4.8999999999999995</v>
      </c>
      <c r="E1255" s="2">
        <v>5.15</v>
      </c>
      <c r="F1255" s="2">
        <v>3.0300000000000002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</row>
    <row r="1256" spans="1:11" x14ac:dyDescent="0.2">
      <c r="A1256" s="1">
        <v>0.87083333333333302</v>
      </c>
      <c r="B1256" s="2">
        <v>6.33</v>
      </c>
      <c r="C1256" s="2">
        <v>3.53</v>
      </c>
      <c r="D1256" s="2">
        <v>5.2399999999999993</v>
      </c>
      <c r="E1256" s="2">
        <v>5.25</v>
      </c>
      <c r="F1256" s="2">
        <v>3.38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</row>
    <row r="1257" spans="1:11" x14ac:dyDescent="0.2">
      <c r="A1257" s="1">
        <v>0.87152777777777801</v>
      </c>
      <c r="B1257" s="2">
        <v>6.28</v>
      </c>
      <c r="C1257" s="2">
        <v>3.53</v>
      </c>
      <c r="D1257" s="2">
        <v>5</v>
      </c>
      <c r="E1257" s="2">
        <v>5.36</v>
      </c>
      <c r="F1257" s="2">
        <v>3.06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</row>
    <row r="1258" spans="1:11" x14ac:dyDescent="0.2">
      <c r="A1258" s="1">
        <v>0.87222222222222201</v>
      </c>
      <c r="B1258" s="2">
        <v>6.19</v>
      </c>
      <c r="C1258" s="2">
        <v>3.71</v>
      </c>
      <c r="D1258" s="2">
        <v>4.9899999999999993</v>
      </c>
      <c r="E1258" s="2">
        <v>5.0200000000000005</v>
      </c>
      <c r="F1258" s="2">
        <v>2.98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</row>
    <row r="1259" spans="1:11" x14ac:dyDescent="0.2">
      <c r="A1259" s="1">
        <v>0.87291666666666701</v>
      </c>
      <c r="B1259" s="2">
        <v>6.1400000000000006</v>
      </c>
      <c r="C1259" s="2">
        <v>3.6999999999999997</v>
      </c>
      <c r="D1259" s="2">
        <v>5.2299999999999995</v>
      </c>
      <c r="E1259" s="2">
        <v>5.29</v>
      </c>
      <c r="F1259" s="2">
        <v>3.39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</row>
    <row r="1260" spans="1:11" x14ac:dyDescent="0.2">
      <c r="A1260" s="1">
        <v>0.87361111111111101</v>
      </c>
      <c r="B1260" s="2">
        <v>6.3100000000000005</v>
      </c>
      <c r="C1260" s="2">
        <v>3.5399999999999996</v>
      </c>
      <c r="D1260" s="2">
        <v>5.2299999999999995</v>
      </c>
      <c r="E1260" s="2">
        <v>5.4</v>
      </c>
      <c r="F1260" s="2">
        <v>3.0900000000000003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</row>
    <row r="1261" spans="1:11" x14ac:dyDescent="0.2">
      <c r="A1261" s="1">
        <v>0.874305555555556</v>
      </c>
      <c r="B1261" s="2">
        <v>6.23</v>
      </c>
      <c r="C1261" s="2">
        <v>3.59</v>
      </c>
      <c r="D1261" s="2">
        <v>5</v>
      </c>
      <c r="E1261" s="2">
        <v>4.8500000000000005</v>
      </c>
      <c r="F1261" s="2">
        <v>3.29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</row>
    <row r="1262" spans="1:11" x14ac:dyDescent="0.2">
      <c r="A1262" s="3">
        <v>0.875</v>
      </c>
      <c r="B1262" s="4">
        <v>6.19</v>
      </c>
      <c r="C1262" s="4">
        <v>3.7</v>
      </c>
      <c r="D1262" s="4">
        <v>5.09</v>
      </c>
      <c r="E1262" s="4">
        <v>5.31</v>
      </c>
      <c r="F1262" s="4">
        <v>3.15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</row>
    <row r="1263" spans="1:11" x14ac:dyDescent="0.2">
      <c r="A1263" s="1">
        <v>0.875694444444444</v>
      </c>
      <c r="B1263" s="2">
        <v>6.29</v>
      </c>
      <c r="C1263" s="2">
        <v>3.6199999999999997</v>
      </c>
      <c r="D1263" s="2">
        <v>5.0699999999999994</v>
      </c>
      <c r="E1263" s="2">
        <v>5.28</v>
      </c>
      <c r="F1263" s="2">
        <v>2.98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</row>
    <row r="1264" spans="1:11" x14ac:dyDescent="0.2">
      <c r="A1264" s="1">
        <v>0.87638888888888899</v>
      </c>
      <c r="B1264" s="2">
        <v>6.17</v>
      </c>
      <c r="C1264" s="2">
        <v>3.5799999999999996</v>
      </c>
      <c r="D1264" s="2">
        <v>5.25</v>
      </c>
      <c r="E1264" s="2">
        <v>4.9700000000000006</v>
      </c>
      <c r="F1264" s="2">
        <v>3.1100000000000003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</row>
    <row r="1265" spans="1:11" x14ac:dyDescent="0.2">
      <c r="A1265" s="1">
        <v>0.87708333333333299</v>
      </c>
      <c r="B1265" s="2">
        <v>6.17</v>
      </c>
      <c r="C1265" s="2">
        <v>3.6599999999999997</v>
      </c>
      <c r="D1265" s="2">
        <v>5.1499999999999995</v>
      </c>
      <c r="E1265" s="2">
        <v>5.17</v>
      </c>
      <c r="F1265" s="2">
        <v>3.3200000000000003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</row>
    <row r="1266" spans="1:11" x14ac:dyDescent="0.2">
      <c r="A1266" s="1">
        <v>0.87777777777777799</v>
      </c>
      <c r="B1266" s="2">
        <v>6.15</v>
      </c>
      <c r="C1266" s="2">
        <v>3.6799999999999997</v>
      </c>
      <c r="D1266" s="2">
        <v>4.92</v>
      </c>
      <c r="E1266" s="2">
        <v>4.9000000000000004</v>
      </c>
      <c r="F1266" s="2">
        <v>2.95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</row>
    <row r="1267" spans="1:11" x14ac:dyDescent="0.2">
      <c r="A1267" s="1">
        <v>0.87847222222222199</v>
      </c>
      <c r="B1267" s="2">
        <v>6.12</v>
      </c>
      <c r="C1267" s="2">
        <v>3.5799999999999996</v>
      </c>
      <c r="D1267" s="2">
        <v>5.1999999999999993</v>
      </c>
      <c r="E1267" s="2">
        <v>5.19</v>
      </c>
      <c r="F1267" s="2">
        <v>3.37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</row>
    <row r="1268" spans="1:11" x14ac:dyDescent="0.2">
      <c r="A1268" s="1">
        <v>0.87916666666666698</v>
      </c>
      <c r="B1268" s="2">
        <v>6.15</v>
      </c>
      <c r="C1268" s="2">
        <v>3.69</v>
      </c>
      <c r="D1268" s="2">
        <v>5.1599999999999993</v>
      </c>
      <c r="E1268" s="2">
        <v>5.13</v>
      </c>
      <c r="F1268" s="2">
        <v>3.3200000000000003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 x14ac:dyDescent="0.2">
      <c r="A1269" s="1">
        <v>0.87986111111111098</v>
      </c>
      <c r="B1269" s="2">
        <v>6.2600000000000007</v>
      </c>
      <c r="C1269" s="2">
        <v>3.7399999999999998</v>
      </c>
      <c r="D1269" s="2">
        <v>5.27</v>
      </c>
      <c r="E1269" s="2">
        <v>5.19</v>
      </c>
      <c r="F1269" s="2">
        <v>3.39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</row>
    <row r="1270" spans="1:11" x14ac:dyDescent="0.2">
      <c r="A1270" s="1">
        <v>0.88055555555555598</v>
      </c>
      <c r="B1270" s="2">
        <v>6.23</v>
      </c>
      <c r="C1270" s="2">
        <v>3.6999999999999997</v>
      </c>
      <c r="D1270" s="2">
        <v>5.17</v>
      </c>
      <c r="E1270" s="2">
        <v>4.9800000000000004</v>
      </c>
      <c r="F1270" s="2">
        <v>2.87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</row>
    <row r="1271" spans="1:11" x14ac:dyDescent="0.2">
      <c r="A1271" s="1">
        <v>0.88124999999999998</v>
      </c>
      <c r="B1271" s="2">
        <v>6.3000000000000007</v>
      </c>
      <c r="C1271" s="2">
        <v>3.67</v>
      </c>
      <c r="D1271" s="2">
        <v>5.0699999999999994</v>
      </c>
      <c r="E1271" s="2">
        <v>4.82</v>
      </c>
      <c r="F1271" s="2">
        <v>3.38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</row>
    <row r="1272" spans="1:11" x14ac:dyDescent="0.2">
      <c r="A1272" s="1">
        <v>0.88194444444444497</v>
      </c>
      <c r="B1272" s="2">
        <v>6.33</v>
      </c>
      <c r="C1272" s="2">
        <v>3.67</v>
      </c>
      <c r="D1272" s="2">
        <v>5.17</v>
      </c>
      <c r="E1272" s="2">
        <v>5.48</v>
      </c>
      <c r="F1272" s="2">
        <v>3.13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</row>
    <row r="1273" spans="1:11" x14ac:dyDescent="0.2">
      <c r="A1273" s="1">
        <v>0.88263888888888897</v>
      </c>
      <c r="B1273" s="2">
        <v>6.32</v>
      </c>
      <c r="C1273" s="2">
        <v>3.69</v>
      </c>
      <c r="D1273" s="2">
        <v>5.09</v>
      </c>
      <c r="E1273" s="2">
        <v>5.2200000000000006</v>
      </c>
      <c r="F1273" s="2">
        <v>3.04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</row>
    <row r="1274" spans="1:11" x14ac:dyDescent="0.2">
      <c r="A1274" s="1">
        <v>0.88333333333333297</v>
      </c>
      <c r="B1274" s="2">
        <v>6.19</v>
      </c>
      <c r="C1274" s="2">
        <v>3.6799999999999997</v>
      </c>
      <c r="D1274" s="2">
        <v>4.8699999999999992</v>
      </c>
      <c r="E1274" s="2">
        <v>5.41</v>
      </c>
      <c r="F1274" s="2">
        <v>3.1500000000000004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</row>
    <row r="1275" spans="1:11" x14ac:dyDescent="0.2">
      <c r="A1275" s="1">
        <v>0.88402777777777797</v>
      </c>
      <c r="B1275" s="2">
        <v>6.1000000000000005</v>
      </c>
      <c r="C1275" s="2">
        <v>3.7199999999999998</v>
      </c>
      <c r="D1275" s="2">
        <v>4.97</v>
      </c>
      <c r="E1275" s="2">
        <v>4.9400000000000004</v>
      </c>
      <c r="F1275" s="2">
        <v>3.37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</row>
    <row r="1276" spans="1:11" x14ac:dyDescent="0.2">
      <c r="A1276" s="1">
        <v>0.88472222222222197</v>
      </c>
      <c r="B1276" s="2">
        <v>6.08</v>
      </c>
      <c r="C1276" s="2">
        <v>3.55</v>
      </c>
      <c r="D1276" s="2">
        <v>4.92</v>
      </c>
      <c r="E1276" s="2">
        <v>5.32</v>
      </c>
      <c r="F1276" s="2">
        <v>2.89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</row>
    <row r="1277" spans="1:11" x14ac:dyDescent="0.2">
      <c r="A1277" s="1">
        <v>0.88541666666666696</v>
      </c>
      <c r="B1277" s="2">
        <v>6.19</v>
      </c>
      <c r="C1277" s="2">
        <v>3.73</v>
      </c>
      <c r="D1277" s="2">
        <v>5.29</v>
      </c>
      <c r="E1277" s="2">
        <v>5.24</v>
      </c>
      <c r="F1277" s="2">
        <v>3.0500000000000003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</row>
    <row r="1278" spans="1:11" x14ac:dyDescent="0.2">
      <c r="A1278" s="1">
        <v>0.88611111111111096</v>
      </c>
      <c r="B1278" s="2">
        <v>6.23</v>
      </c>
      <c r="C1278" s="2">
        <v>3.75</v>
      </c>
      <c r="D1278" s="2">
        <v>5.0699999999999994</v>
      </c>
      <c r="E1278" s="2">
        <v>5.49</v>
      </c>
      <c r="F1278" s="2">
        <v>3.21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</row>
    <row r="1279" spans="1:11" x14ac:dyDescent="0.2">
      <c r="A1279" s="1">
        <v>0.88680555555555596</v>
      </c>
      <c r="B1279" s="2">
        <v>6.23</v>
      </c>
      <c r="C1279" s="2">
        <v>3.5599999999999996</v>
      </c>
      <c r="D1279" s="2">
        <v>5.1999999999999993</v>
      </c>
      <c r="E1279" s="2">
        <v>5.24</v>
      </c>
      <c r="F1279" s="2">
        <v>3.0100000000000002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</row>
    <row r="1280" spans="1:11" x14ac:dyDescent="0.2">
      <c r="A1280" s="1">
        <v>0.88749999999999996</v>
      </c>
      <c r="B1280" s="2">
        <v>6.09</v>
      </c>
      <c r="C1280" s="2">
        <v>3.69</v>
      </c>
      <c r="D1280" s="2">
        <v>5.0299999999999994</v>
      </c>
      <c r="E1280" s="2">
        <v>5.13</v>
      </c>
      <c r="F1280" s="2">
        <v>3.0300000000000002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</row>
    <row r="1281" spans="1:11" x14ac:dyDescent="0.2">
      <c r="A1281" s="1">
        <v>0.88819444444444495</v>
      </c>
      <c r="B1281" s="2">
        <v>6.11</v>
      </c>
      <c r="C1281" s="2">
        <v>3.63</v>
      </c>
      <c r="D1281" s="2">
        <v>4.96</v>
      </c>
      <c r="E1281" s="2">
        <v>5.29</v>
      </c>
      <c r="F1281" s="2">
        <v>3.02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</row>
    <row r="1282" spans="1:11" x14ac:dyDescent="0.2">
      <c r="A1282" s="1">
        <v>0.88888888888888895</v>
      </c>
      <c r="B1282" s="2">
        <v>6.25</v>
      </c>
      <c r="C1282" s="2">
        <v>3.71</v>
      </c>
      <c r="D1282" s="2">
        <v>5.27</v>
      </c>
      <c r="E1282" s="2">
        <v>4.88</v>
      </c>
      <c r="F1282" s="2">
        <v>3.38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</row>
    <row r="1283" spans="1:11" x14ac:dyDescent="0.2">
      <c r="A1283" s="1">
        <v>0.88958333333333295</v>
      </c>
      <c r="B1283" s="2">
        <v>6.12</v>
      </c>
      <c r="C1283" s="2">
        <v>3.65</v>
      </c>
      <c r="D1283" s="2">
        <v>5.25</v>
      </c>
      <c r="E1283" s="2">
        <v>4.9700000000000006</v>
      </c>
      <c r="F1283" s="2">
        <v>2.98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</row>
    <row r="1284" spans="1:11" x14ac:dyDescent="0.2">
      <c r="A1284" s="1">
        <v>0.89027777777777795</v>
      </c>
      <c r="B1284" s="2">
        <v>6.09</v>
      </c>
      <c r="C1284" s="2">
        <v>3.5799999999999996</v>
      </c>
      <c r="D1284" s="2">
        <v>4.8899999999999997</v>
      </c>
      <c r="E1284" s="2">
        <v>5.21</v>
      </c>
      <c r="F1284" s="2">
        <v>2.93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</row>
    <row r="1285" spans="1:11" x14ac:dyDescent="0.2">
      <c r="A1285" s="1">
        <v>0.89097222222222205</v>
      </c>
      <c r="B1285" s="2">
        <v>6.07</v>
      </c>
      <c r="C1285" s="2">
        <v>3.57</v>
      </c>
      <c r="D1285" s="2">
        <v>5.0199999999999996</v>
      </c>
      <c r="E1285" s="2">
        <v>5.2700000000000005</v>
      </c>
      <c r="F1285" s="2">
        <v>2.93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</row>
    <row r="1286" spans="1:11" x14ac:dyDescent="0.2">
      <c r="A1286" s="1">
        <v>0.89166666666666705</v>
      </c>
      <c r="B1286" s="2">
        <v>6.24</v>
      </c>
      <c r="C1286" s="2">
        <v>3.5399999999999996</v>
      </c>
      <c r="D1286" s="2">
        <v>4.8999999999999995</v>
      </c>
      <c r="E1286" s="2">
        <v>5.25</v>
      </c>
      <c r="F1286" s="2">
        <v>3.3200000000000003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</row>
    <row r="1287" spans="1:11" x14ac:dyDescent="0.2">
      <c r="A1287" s="1">
        <v>0.89236111111111105</v>
      </c>
      <c r="B1287" s="2">
        <v>6.3000000000000007</v>
      </c>
      <c r="C1287" s="2">
        <v>3.67</v>
      </c>
      <c r="D1287" s="2">
        <v>5.25</v>
      </c>
      <c r="E1287" s="2">
        <v>5.28</v>
      </c>
      <c r="F1287" s="2">
        <v>3.21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</row>
    <row r="1288" spans="1:11" x14ac:dyDescent="0.2">
      <c r="A1288" s="1">
        <v>0.89305555555555605</v>
      </c>
      <c r="B1288" s="2">
        <v>6.2600000000000007</v>
      </c>
      <c r="C1288" s="2">
        <v>3.7199999999999998</v>
      </c>
      <c r="D1288" s="2">
        <v>5.1499999999999995</v>
      </c>
      <c r="E1288" s="2">
        <v>5.23</v>
      </c>
      <c r="F1288" s="2">
        <v>3.25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</row>
    <row r="1289" spans="1:11" x14ac:dyDescent="0.2">
      <c r="A1289" s="1">
        <v>0.89375000000000004</v>
      </c>
      <c r="B1289" s="2">
        <v>6.2</v>
      </c>
      <c r="C1289" s="2">
        <v>3.6599999999999997</v>
      </c>
      <c r="D1289" s="2">
        <v>4.96</v>
      </c>
      <c r="E1289" s="2">
        <v>5.45</v>
      </c>
      <c r="F1289" s="2">
        <v>3.2600000000000002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</row>
    <row r="1290" spans="1:11" x14ac:dyDescent="0.2">
      <c r="A1290" s="1">
        <v>0.89444444444444404</v>
      </c>
      <c r="B1290" s="2">
        <v>6.15</v>
      </c>
      <c r="C1290" s="2">
        <v>3.6599999999999997</v>
      </c>
      <c r="D1290" s="2">
        <v>4.92</v>
      </c>
      <c r="E1290" s="2">
        <v>4.91</v>
      </c>
      <c r="F1290" s="2">
        <v>3.35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</row>
    <row r="1291" spans="1:11" x14ac:dyDescent="0.2">
      <c r="A1291" s="1">
        <v>0.89513888888888904</v>
      </c>
      <c r="B1291" s="2">
        <v>6.33</v>
      </c>
      <c r="C1291" s="2">
        <v>3.5799999999999996</v>
      </c>
      <c r="D1291" s="2">
        <v>5.3</v>
      </c>
      <c r="E1291" s="2">
        <v>5.2</v>
      </c>
      <c r="F1291" s="2">
        <v>3.31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</row>
    <row r="1292" spans="1:11" x14ac:dyDescent="0.2">
      <c r="A1292" s="1">
        <v>0.89583333333333304</v>
      </c>
      <c r="B1292" s="2">
        <v>6.17</v>
      </c>
      <c r="C1292" s="2">
        <v>3.79</v>
      </c>
      <c r="D1292" s="2">
        <v>5.21</v>
      </c>
      <c r="E1292" s="2">
        <v>5.44</v>
      </c>
      <c r="F1292" s="2">
        <v>2.97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</row>
    <row r="1293" spans="1:11" x14ac:dyDescent="0.2">
      <c r="A1293" s="1">
        <v>0.89652777777777803</v>
      </c>
      <c r="B1293" s="2">
        <v>6.2700000000000005</v>
      </c>
      <c r="C1293" s="2">
        <v>3.57</v>
      </c>
      <c r="D1293" s="2">
        <v>5.17</v>
      </c>
      <c r="E1293" s="2">
        <v>5.1400000000000006</v>
      </c>
      <c r="F1293" s="2">
        <v>3.1100000000000003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</row>
    <row r="1294" spans="1:11" x14ac:dyDescent="0.2">
      <c r="A1294" s="1">
        <v>0.89722222222222203</v>
      </c>
      <c r="B1294" s="2">
        <v>6.1000000000000005</v>
      </c>
      <c r="C1294" s="2">
        <v>3.6599999999999997</v>
      </c>
      <c r="D1294" s="2">
        <v>5.01</v>
      </c>
      <c r="E1294" s="2">
        <v>5.07</v>
      </c>
      <c r="F1294" s="2">
        <v>3.2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</row>
    <row r="1295" spans="1:11" x14ac:dyDescent="0.2">
      <c r="A1295" s="1">
        <v>0.89791666666666703</v>
      </c>
      <c r="B1295" s="2">
        <v>6.3100000000000005</v>
      </c>
      <c r="C1295" s="2">
        <v>3.6799999999999997</v>
      </c>
      <c r="D1295" s="2">
        <v>5.29</v>
      </c>
      <c r="E1295" s="2">
        <v>5.03</v>
      </c>
      <c r="F1295" s="2">
        <v>3.1100000000000003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</row>
    <row r="1296" spans="1:11" x14ac:dyDescent="0.2">
      <c r="A1296" s="1">
        <v>0.89861111111111103</v>
      </c>
      <c r="B1296" s="2">
        <v>6.23</v>
      </c>
      <c r="C1296" s="2">
        <v>3.53</v>
      </c>
      <c r="D1296" s="2">
        <v>5.08</v>
      </c>
      <c r="E1296" s="2">
        <v>5.13</v>
      </c>
      <c r="F1296" s="2">
        <v>3.02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</row>
    <row r="1297" spans="1:11" x14ac:dyDescent="0.2">
      <c r="A1297" s="1">
        <v>0.89930555555555602</v>
      </c>
      <c r="B1297" s="2">
        <v>6.17</v>
      </c>
      <c r="C1297" s="2">
        <v>3.55</v>
      </c>
      <c r="D1297" s="2">
        <v>5.26</v>
      </c>
      <c r="E1297" s="2">
        <v>5.0600000000000005</v>
      </c>
      <c r="F1297" s="2">
        <v>3.19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</row>
    <row r="1298" spans="1:11" x14ac:dyDescent="0.2">
      <c r="A1298" s="1">
        <v>0.9</v>
      </c>
      <c r="B1298" s="2">
        <v>6.1800000000000006</v>
      </c>
      <c r="C1298" s="2">
        <v>3.53</v>
      </c>
      <c r="D1298" s="2">
        <v>4.88</v>
      </c>
      <c r="E1298" s="2">
        <v>4.8900000000000006</v>
      </c>
      <c r="F1298" s="2">
        <v>2.97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</row>
    <row r="1299" spans="1:11" x14ac:dyDescent="0.2">
      <c r="A1299" s="1">
        <v>0.90069444444444402</v>
      </c>
      <c r="B1299" s="2">
        <v>6.24</v>
      </c>
      <c r="C1299" s="2">
        <v>3.63</v>
      </c>
      <c r="D1299" s="2">
        <v>4.9099999999999993</v>
      </c>
      <c r="E1299" s="2">
        <v>4.8900000000000006</v>
      </c>
      <c r="F1299" s="2">
        <v>3.39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</row>
    <row r="1300" spans="1:11" x14ac:dyDescent="0.2">
      <c r="A1300" s="1">
        <v>0.90138888888888902</v>
      </c>
      <c r="B1300" s="2">
        <v>6.3100000000000005</v>
      </c>
      <c r="C1300" s="2">
        <v>3.7199999999999998</v>
      </c>
      <c r="D1300" s="2">
        <v>4.9099999999999993</v>
      </c>
      <c r="E1300" s="2">
        <v>4.91</v>
      </c>
      <c r="F1300" s="2">
        <v>3.06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</row>
    <row r="1301" spans="1:11" x14ac:dyDescent="0.2">
      <c r="A1301" s="1">
        <v>0.90208333333333302</v>
      </c>
      <c r="B1301" s="2">
        <v>6.16</v>
      </c>
      <c r="C1301" s="2">
        <v>3.67</v>
      </c>
      <c r="D1301" s="2">
        <v>5.22</v>
      </c>
      <c r="E1301" s="2">
        <v>4.88</v>
      </c>
      <c r="F1301" s="2">
        <v>3.2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</row>
    <row r="1302" spans="1:11" x14ac:dyDescent="0.2">
      <c r="A1302" s="1">
        <v>0.90277777777777801</v>
      </c>
      <c r="B1302" s="2">
        <v>6.2</v>
      </c>
      <c r="C1302" s="2">
        <v>3.5599999999999996</v>
      </c>
      <c r="D1302" s="2">
        <v>4.93</v>
      </c>
      <c r="E1302" s="2">
        <v>5.19</v>
      </c>
      <c r="F1302" s="2">
        <v>3.22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</row>
    <row r="1303" spans="1:11" x14ac:dyDescent="0.2">
      <c r="A1303" s="1">
        <v>0.90347222222222201</v>
      </c>
      <c r="B1303" s="2">
        <v>6.32</v>
      </c>
      <c r="C1303" s="2">
        <v>3.7699999999999996</v>
      </c>
      <c r="D1303" s="2">
        <v>5.0999999999999996</v>
      </c>
      <c r="E1303" s="2">
        <v>4.8500000000000005</v>
      </c>
      <c r="F1303" s="2">
        <v>3.0100000000000002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</row>
    <row r="1304" spans="1:11" x14ac:dyDescent="0.2">
      <c r="A1304" s="1">
        <v>0.90416666666666701</v>
      </c>
      <c r="B1304" s="2">
        <v>6.21</v>
      </c>
      <c r="C1304" s="2">
        <v>3.76</v>
      </c>
      <c r="D1304" s="2">
        <v>5.22</v>
      </c>
      <c r="E1304" s="2">
        <v>4.82</v>
      </c>
      <c r="F1304" s="2">
        <v>3.25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</row>
    <row r="1305" spans="1:11" x14ac:dyDescent="0.2">
      <c r="A1305" s="1">
        <v>0.90486111111111101</v>
      </c>
      <c r="B1305" s="2">
        <v>6.3100000000000005</v>
      </c>
      <c r="C1305" s="2">
        <v>3.61</v>
      </c>
      <c r="D1305" s="2">
        <v>4.8999999999999995</v>
      </c>
      <c r="E1305" s="2">
        <v>5.29</v>
      </c>
      <c r="F1305" s="2">
        <v>2.95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</row>
    <row r="1306" spans="1:11" x14ac:dyDescent="0.2">
      <c r="A1306" s="1">
        <v>0.905555555555556</v>
      </c>
      <c r="B1306" s="2">
        <v>6.1800000000000006</v>
      </c>
      <c r="C1306" s="2">
        <v>3.5799999999999996</v>
      </c>
      <c r="D1306" s="2">
        <v>5.05</v>
      </c>
      <c r="E1306" s="2">
        <v>5.2700000000000005</v>
      </c>
      <c r="F1306" s="2">
        <v>3.0700000000000003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</row>
    <row r="1307" spans="1:11" x14ac:dyDescent="0.2">
      <c r="A1307" s="1">
        <v>0.90625</v>
      </c>
      <c r="B1307" s="2">
        <v>6.21</v>
      </c>
      <c r="C1307" s="2">
        <v>3.69</v>
      </c>
      <c r="D1307" s="2">
        <v>5.08</v>
      </c>
      <c r="E1307" s="2">
        <v>5.25</v>
      </c>
      <c r="F1307" s="2">
        <v>3.04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</row>
    <row r="1308" spans="1:11" x14ac:dyDescent="0.2">
      <c r="A1308" s="1">
        <v>0.906944444444444</v>
      </c>
      <c r="B1308" s="2">
        <v>6.32</v>
      </c>
      <c r="C1308" s="2">
        <v>3.57</v>
      </c>
      <c r="D1308" s="2">
        <v>4.8899999999999997</v>
      </c>
      <c r="E1308" s="2">
        <v>5.48</v>
      </c>
      <c r="F1308" s="2">
        <v>2.93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</row>
    <row r="1309" spans="1:11" x14ac:dyDescent="0.2">
      <c r="A1309" s="1">
        <v>0.90763888888888899</v>
      </c>
      <c r="B1309" s="2">
        <v>6.15</v>
      </c>
      <c r="C1309" s="2">
        <v>3.6399999999999997</v>
      </c>
      <c r="D1309" s="2">
        <v>4.97</v>
      </c>
      <c r="E1309" s="2">
        <v>5.1000000000000005</v>
      </c>
      <c r="F1309" s="2">
        <v>3.17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</row>
    <row r="1310" spans="1:11" x14ac:dyDescent="0.2">
      <c r="A1310" s="1">
        <v>0.90833333333333299</v>
      </c>
      <c r="B1310" s="2">
        <v>6.25</v>
      </c>
      <c r="C1310" s="2">
        <v>3.55</v>
      </c>
      <c r="D1310" s="2">
        <v>5</v>
      </c>
      <c r="E1310" s="2">
        <v>4.8900000000000006</v>
      </c>
      <c r="F1310" s="2">
        <v>3.2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</row>
    <row r="1311" spans="1:11" x14ac:dyDescent="0.2">
      <c r="A1311" s="1">
        <v>0.90902777777777799</v>
      </c>
      <c r="B1311" s="2">
        <v>6.25</v>
      </c>
      <c r="C1311" s="2">
        <v>3.69</v>
      </c>
      <c r="D1311" s="2">
        <v>4.8999999999999995</v>
      </c>
      <c r="E1311" s="2">
        <v>5.04</v>
      </c>
      <c r="F1311" s="2">
        <v>3.1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</row>
    <row r="1312" spans="1:11" x14ac:dyDescent="0.2">
      <c r="A1312" s="1">
        <v>0.90972222222222199</v>
      </c>
      <c r="B1312" s="2">
        <v>6.33</v>
      </c>
      <c r="C1312" s="2">
        <v>3.6999999999999997</v>
      </c>
      <c r="D1312" s="2">
        <v>5.21</v>
      </c>
      <c r="E1312" s="2">
        <v>5.21</v>
      </c>
      <c r="F1312" s="2">
        <v>3.12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</row>
    <row r="1313" spans="1:11" x14ac:dyDescent="0.2">
      <c r="A1313" s="1">
        <v>0.91041666666666698</v>
      </c>
      <c r="B1313" s="2">
        <v>6.11</v>
      </c>
      <c r="C1313" s="2">
        <v>3.7699999999999996</v>
      </c>
      <c r="D1313" s="2">
        <v>5.22</v>
      </c>
      <c r="E1313" s="2">
        <v>5.16</v>
      </c>
      <c r="F1313" s="2">
        <v>3.18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 x14ac:dyDescent="0.2">
      <c r="A1314" s="1">
        <v>0.91111111111111098</v>
      </c>
      <c r="B1314" s="2">
        <v>6.1800000000000006</v>
      </c>
      <c r="C1314" s="2">
        <v>3.67</v>
      </c>
      <c r="D1314" s="2">
        <v>4.8499999999999996</v>
      </c>
      <c r="E1314" s="2">
        <v>5.0200000000000005</v>
      </c>
      <c r="F1314" s="2">
        <v>3.1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</row>
    <row r="1315" spans="1:11" x14ac:dyDescent="0.2">
      <c r="A1315" s="1">
        <v>0.91180555555555598</v>
      </c>
      <c r="B1315" s="2">
        <v>6.28</v>
      </c>
      <c r="C1315" s="2">
        <v>3.53</v>
      </c>
      <c r="D1315" s="2">
        <v>5.0299999999999994</v>
      </c>
      <c r="E1315" s="2">
        <v>5.3900000000000006</v>
      </c>
      <c r="F1315" s="2">
        <v>3.14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</row>
    <row r="1316" spans="1:11" x14ac:dyDescent="0.2">
      <c r="A1316" s="1">
        <v>0.91249999999999998</v>
      </c>
      <c r="B1316" s="2">
        <v>6.28</v>
      </c>
      <c r="C1316" s="2">
        <v>3.59</v>
      </c>
      <c r="D1316" s="2">
        <v>4.9399999999999995</v>
      </c>
      <c r="E1316" s="2">
        <v>5.09</v>
      </c>
      <c r="F1316" s="2">
        <v>3.38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</row>
    <row r="1317" spans="1:11" x14ac:dyDescent="0.2">
      <c r="A1317" s="1">
        <v>0.91319444444444497</v>
      </c>
      <c r="B1317" s="2">
        <v>6.2</v>
      </c>
      <c r="C1317" s="2">
        <v>3.73</v>
      </c>
      <c r="D1317" s="2">
        <v>5.29</v>
      </c>
      <c r="E1317" s="2">
        <v>5.12</v>
      </c>
      <c r="F1317" s="2">
        <v>3.06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</row>
    <row r="1318" spans="1:11" x14ac:dyDescent="0.2">
      <c r="A1318" s="1">
        <v>0.91388888888888897</v>
      </c>
      <c r="B1318" s="2">
        <v>6.24</v>
      </c>
      <c r="C1318" s="2">
        <v>3.57</v>
      </c>
      <c r="D1318" s="2">
        <v>5.14</v>
      </c>
      <c r="E1318" s="2">
        <v>5.09</v>
      </c>
      <c r="F1318" s="2">
        <v>3.31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</row>
    <row r="1319" spans="1:11" x14ac:dyDescent="0.2">
      <c r="A1319" s="1">
        <v>0.91458333333333297</v>
      </c>
      <c r="B1319" s="2">
        <v>6.2600000000000007</v>
      </c>
      <c r="C1319" s="2">
        <v>3.71</v>
      </c>
      <c r="D1319" s="2">
        <v>5.05</v>
      </c>
      <c r="E1319" s="2">
        <v>5.46</v>
      </c>
      <c r="F1319" s="2">
        <v>3.18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</row>
    <row r="1320" spans="1:11" x14ac:dyDescent="0.2">
      <c r="A1320" s="1">
        <v>0.91527777777777797</v>
      </c>
      <c r="B1320" s="2">
        <v>6.2200000000000006</v>
      </c>
      <c r="C1320" s="2">
        <v>3.75</v>
      </c>
      <c r="D1320" s="2">
        <v>5.05</v>
      </c>
      <c r="E1320" s="2">
        <v>4.95</v>
      </c>
      <c r="F1320" s="2">
        <v>2.97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</row>
    <row r="1321" spans="1:11" x14ac:dyDescent="0.2">
      <c r="A1321" s="1">
        <v>0.91597222222222197</v>
      </c>
      <c r="B1321" s="2">
        <v>6.29</v>
      </c>
      <c r="C1321" s="2">
        <v>3.6599999999999997</v>
      </c>
      <c r="D1321" s="2">
        <v>5.05</v>
      </c>
      <c r="E1321" s="2">
        <v>5.5100000000000007</v>
      </c>
      <c r="F1321" s="2">
        <v>3.13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</row>
    <row r="1322" spans="1:11" x14ac:dyDescent="0.2">
      <c r="A1322" s="3">
        <v>0.91666666666666696</v>
      </c>
      <c r="B1322" s="4">
        <v>6.19</v>
      </c>
      <c r="C1322" s="4">
        <v>3.7</v>
      </c>
      <c r="D1322" s="4">
        <v>5.09</v>
      </c>
      <c r="E1322" s="4">
        <v>5.31</v>
      </c>
      <c r="F1322" s="4">
        <v>3.15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</row>
    <row r="1323" spans="1:11" x14ac:dyDescent="0.2">
      <c r="A1323" s="1">
        <v>0.91736111111111096</v>
      </c>
      <c r="B1323" s="2">
        <v>6.3000000000000007</v>
      </c>
      <c r="C1323" s="2">
        <v>3.5399999999999996</v>
      </c>
      <c r="D1323" s="2">
        <v>4.8599999999999994</v>
      </c>
      <c r="E1323" s="2">
        <v>4.8500000000000005</v>
      </c>
      <c r="F1323" s="2">
        <v>2.95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</row>
    <row r="1324" spans="1:11" x14ac:dyDescent="0.2">
      <c r="A1324" s="1">
        <v>0.91805555555555596</v>
      </c>
      <c r="B1324" s="2">
        <v>6.11</v>
      </c>
      <c r="C1324" s="2">
        <v>3.76</v>
      </c>
      <c r="D1324" s="2">
        <v>5.09</v>
      </c>
      <c r="E1324" s="2">
        <v>5.21</v>
      </c>
      <c r="F1324" s="2">
        <v>2.89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</row>
    <row r="1325" spans="1:11" x14ac:dyDescent="0.2">
      <c r="A1325" s="1">
        <v>0.91874999999999996</v>
      </c>
      <c r="B1325" s="2">
        <v>6.23</v>
      </c>
      <c r="C1325" s="2">
        <v>3.7699999999999996</v>
      </c>
      <c r="D1325" s="2">
        <v>5.1499999999999995</v>
      </c>
      <c r="E1325" s="2">
        <v>5.1000000000000005</v>
      </c>
      <c r="F1325" s="2">
        <v>3.3200000000000003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</row>
    <row r="1326" spans="1:11" x14ac:dyDescent="0.2">
      <c r="A1326" s="1">
        <v>0.91944444444444495</v>
      </c>
      <c r="B1326" s="2">
        <v>6.28</v>
      </c>
      <c r="C1326" s="2">
        <v>3.69</v>
      </c>
      <c r="D1326" s="2">
        <v>4.97</v>
      </c>
      <c r="E1326" s="2">
        <v>4.8500000000000005</v>
      </c>
      <c r="F1326" s="2">
        <v>3.2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</row>
    <row r="1327" spans="1:11" x14ac:dyDescent="0.2">
      <c r="A1327" s="1">
        <v>0.92013888888888895</v>
      </c>
      <c r="B1327" s="2">
        <v>6.17</v>
      </c>
      <c r="C1327" s="2">
        <v>3.63</v>
      </c>
      <c r="D1327" s="2">
        <v>5.0999999999999996</v>
      </c>
      <c r="E1327" s="2">
        <v>5.5200000000000005</v>
      </c>
      <c r="F1327" s="2">
        <v>3.16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</row>
    <row r="1328" spans="1:11" x14ac:dyDescent="0.2">
      <c r="A1328" s="1">
        <v>0.92083333333333295</v>
      </c>
      <c r="B1328" s="2">
        <v>6.09</v>
      </c>
      <c r="C1328" s="2">
        <v>3.57</v>
      </c>
      <c r="D1328" s="2">
        <v>5.1999999999999993</v>
      </c>
      <c r="E1328" s="2">
        <v>4.9000000000000004</v>
      </c>
      <c r="F1328" s="2">
        <v>3.0100000000000002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</row>
    <row r="1329" spans="1:11" x14ac:dyDescent="0.2">
      <c r="A1329" s="1">
        <v>0.92152777777777795</v>
      </c>
      <c r="B1329" s="2">
        <v>6.29</v>
      </c>
      <c r="C1329" s="2">
        <v>3.6399999999999997</v>
      </c>
      <c r="D1329" s="2">
        <v>5.14</v>
      </c>
      <c r="E1329" s="2">
        <v>5.4300000000000006</v>
      </c>
      <c r="F1329" s="2">
        <v>2.95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</row>
    <row r="1330" spans="1:11" x14ac:dyDescent="0.2">
      <c r="A1330" s="1">
        <v>0.92222222222222205</v>
      </c>
      <c r="B1330" s="2">
        <v>6.25</v>
      </c>
      <c r="C1330" s="2">
        <v>3.59</v>
      </c>
      <c r="D1330" s="2">
        <v>5</v>
      </c>
      <c r="E1330" s="2">
        <v>5.13</v>
      </c>
      <c r="F1330" s="2">
        <v>2.89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</row>
    <row r="1331" spans="1:11" x14ac:dyDescent="0.2">
      <c r="A1331" s="1">
        <v>0.92291666666666705</v>
      </c>
      <c r="B1331" s="2">
        <v>6.2</v>
      </c>
      <c r="C1331" s="2">
        <v>3.61</v>
      </c>
      <c r="D1331" s="2">
        <v>5.14</v>
      </c>
      <c r="E1331" s="2">
        <v>5.36</v>
      </c>
      <c r="F1331" s="2">
        <v>3.19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</row>
    <row r="1332" spans="1:11" x14ac:dyDescent="0.2">
      <c r="A1332" s="1">
        <v>0.92361111111111105</v>
      </c>
      <c r="B1332" s="2">
        <v>6.28</v>
      </c>
      <c r="C1332" s="2">
        <v>3.5599999999999996</v>
      </c>
      <c r="D1332" s="2">
        <v>4.8499999999999996</v>
      </c>
      <c r="E1332" s="2">
        <v>4.99</v>
      </c>
      <c r="F1332" s="2">
        <v>3.1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</row>
    <row r="1333" spans="1:11" x14ac:dyDescent="0.2">
      <c r="A1333" s="1">
        <v>0.92430555555555605</v>
      </c>
      <c r="B1333" s="2">
        <v>6.29</v>
      </c>
      <c r="C1333" s="2">
        <v>3.65</v>
      </c>
      <c r="D1333" s="2">
        <v>5.18</v>
      </c>
      <c r="E1333" s="2">
        <v>5.1000000000000005</v>
      </c>
      <c r="F1333" s="2">
        <v>3.33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</row>
    <row r="1334" spans="1:11" x14ac:dyDescent="0.2">
      <c r="A1334" s="1">
        <v>0.92500000000000004</v>
      </c>
      <c r="B1334" s="2">
        <v>6.12</v>
      </c>
      <c r="C1334" s="2">
        <v>3.6199999999999997</v>
      </c>
      <c r="D1334" s="2">
        <v>4.8499999999999996</v>
      </c>
      <c r="E1334" s="2">
        <v>5.0500000000000007</v>
      </c>
      <c r="F1334" s="2">
        <v>3.16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 x14ac:dyDescent="0.2">
      <c r="A1335" s="1">
        <v>0.92569444444444404</v>
      </c>
      <c r="B1335" s="2">
        <v>6.16</v>
      </c>
      <c r="C1335" s="2">
        <v>3.6599999999999997</v>
      </c>
      <c r="D1335" s="2">
        <v>4.8699999999999992</v>
      </c>
      <c r="E1335" s="2">
        <v>5.41</v>
      </c>
      <c r="F1335" s="2">
        <v>3.08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</row>
    <row r="1336" spans="1:11" x14ac:dyDescent="0.2">
      <c r="A1336" s="1">
        <v>0.92638888888888904</v>
      </c>
      <c r="B1336" s="2">
        <v>6.11</v>
      </c>
      <c r="C1336" s="2">
        <v>3.63</v>
      </c>
      <c r="D1336" s="2">
        <v>5.17</v>
      </c>
      <c r="E1336" s="2">
        <v>4.92</v>
      </c>
      <c r="F1336" s="2">
        <v>3.1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</row>
    <row r="1337" spans="1:11" x14ac:dyDescent="0.2">
      <c r="A1337" s="1">
        <v>0.92708333333333304</v>
      </c>
      <c r="B1337" s="2">
        <v>6.17</v>
      </c>
      <c r="C1337" s="2">
        <v>3.6999999999999997</v>
      </c>
      <c r="D1337" s="2">
        <v>5.3</v>
      </c>
      <c r="E1337" s="2">
        <v>5.29</v>
      </c>
      <c r="F1337" s="2">
        <v>2.92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</row>
    <row r="1338" spans="1:11" x14ac:dyDescent="0.2">
      <c r="A1338" s="1">
        <v>0.92777777777777803</v>
      </c>
      <c r="B1338" s="2">
        <v>6.09</v>
      </c>
      <c r="C1338" s="2">
        <v>3.5799999999999996</v>
      </c>
      <c r="D1338" s="2">
        <v>5.05</v>
      </c>
      <c r="E1338" s="2">
        <v>5.41</v>
      </c>
      <c r="F1338" s="2">
        <v>3.1100000000000003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</row>
    <row r="1339" spans="1:11" x14ac:dyDescent="0.2">
      <c r="A1339" s="1">
        <v>0.92847222222222203</v>
      </c>
      <c r="B1339" s="2">
        <v>6.19</v>
      </c>
      <c r="C1339" s="2">
        <v>3.78</v>
      </c>
      <c r="D1339" s="2">
        <v>5.0199999999999996</v>
      </c>
      <c r="E1339" s="2">
        <v>5.2600000000000007</v>
      </c>
      <c r="F1339" s="2">
        <v>3.04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</row>
    <row r="1340" spans="1:11" x14ac:dyDescent="0.2">
      <c r="A1340" s="1">
        <v>0.92916666666666703</v>
      </c>
      <c r="B1340" s="2">
        <v>6.3000000000000007</v>
      </c>
      <c r="C1340" s="2">
        <v>3.65</v>
      </c>
      <c r="D1340" s="2">
        <v>5.3</v>
      </c>
      <c r="E1340" s="2">
        <v>4.8600000000000003</v>
      </c>
      <c r="F1340" s="2">
        <v>2.87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</row>
    <row r="1341" spans="1:11" x14ac:dyDescent="0.2">
      <c r="A1341" s="1">
        <v>0.92986111111111103</v>
      </c>
      <c r="B1341" s="2">
        <v>6.12</v>
      </c>
      <c r="C1341" s="2">
        <v>3.71</v>
      </c>
      <c r="D1341" s="2">
        <v>5.13</v>
      </c>
      <c r="E1341" s="2">
        <v>5.0100000000000007</v>
      </c>
      <c r="F1341" s="2">
        <v>3.1100000000000003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</row>
    <row r="1342" spans="1:11" x14ac:dyDescent="0.2">
      <c r="A1342" s="1">
        <v>0.93055555555555602</v>
      </c>
      <c r="B1342" s="2">
        <v>6.3000000000000007</v>
      </c>
      <c r="C1342" s="2">
        <v>3.75</v>
      </c>
      <c r="D1342" s="2">
        <v>4.9799999999999995</v>
      </c>
      <c r="E1342" s="2">
        <v>4.9300000000000006</v>
      </c>
      <c r="F1342" s="2">
        <v>3.0500000000000003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</row>
    <row r="1343" spans="1:11" x14ac:dyDescent="0.2">
      <c r="A1343" s="1">
        <v>0.93125000000000002</v>
      </c>
      <c r="B1343" s="2">
        <v>6.24</v>
      </c>
      <c r="C1343" s="2">
        <v>3.59</v>
      </c>
      <c r="D1343" s="2">
        <v>5.21</v>
      </c>
      <c r="E1343" s="2">
        <v>5.07</v>
      </c>
      <c r="F1343" s="2">
        <v>3.35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</row>
    <row r="1344" spans="1:11" x14ac:dyDescent="0.2">
      <c r="A1344" s="1">
        <v>0.93194444444444402</v>
      </c>
      <c r="B1344" s="2">
        <v>6.3100000000000005</v>
      </c>
      <c r="C1344" s="2">
        <v>3.5399999999999996</v>
      </c>
      <c r="D1344" s="2">
        <v>4.8899999999999997</v>
      </c>
      <c r="E1344" s="2">
        <v>5.49</v>
      </c>
      <c r="F1344" s="2">
        <v>3.27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</row>
    <row r="1345" spans="1:11" x14ac:dyDescent="0.2">
      <c r="A1345" s="1">
        <v>0.93263888888888902</v>
      </c>
      <c r="B1345" s="2">
        <v>6.24</v>
      </c>
      <c r="C1345" s="2">
        <v>3.69</v>
      </c>
      <c r="D1345" s="2">
        <v>5.08</v>
      </c>
      <c r="E1345" s="2">
        <v>5.33</v>
      </c>
      <c r="F1345" s="2">
        <v>3.38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</row>
    <row r="1346" spans="1:11" x14ac:dyDescent="0.2">
      <c r="A1346" s="1">
        <v>0.93333333333333302</v>
      </c>
      <c r="B1346" s="2">
        <v>6.16</v>
      </c>
      <c r="C1346" s="2">
        <v>3.79</v>
      </c>
      <c r="D1346" s="2">
        <v>4.97</v>
      </c>
      <c r="E1346" s="2">
        <v>5.48</v>
      </c>
      <c r="F1346" s="2">
        <v>3.3200000000000003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</row>
    <row r="1347" spans="1:11" x14ac:dyDescent="0.2">
      <c r="A1347" s="1">
        <v>0.93402777777777801</v>
      </c>
      <c r="B1347" s="2">
        <v>6.12</v>
      </c>
      <c r="C1347" s="2">
        <v>3.5599999999999996</v>
      </c>
      <c r="D1347" s="2">
        <v>4.9399999999999995</v>
      </c>
      <c r="E1347" s="2">
        <v>4.82</v>
      </c>
      <c r="F1347" s="2">
        <v>3.16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</row>
    <row r="1348" spans="1:11" x14ac:dyDescent="0.2">
      <c r="A1348" s="1">
        <v>0.93472222222222201</v>
      </c>
      <c r="B1348" s="2">
        <v>6.24</v>
      </c>
      <c r="C1348" s="2">
        <v>3.6799999999999997</v>
      </c>
      <c r="D1348" s="2">
        <v>4.9099999999999993</v>
      </c>
      <c r="E1348" s="2">
        <v>5.07</v>
      </c>
      <c r="F1348" s="2">
        <v>3.14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</row>
    <row r="1349" spans="1:11" x14ac:dyDescent="0.2">
      <c r="A1349" s="1">
        <v>0.93541666666666701</v>
      </c>
      <c r="B1349" s="2">
        <v>6.2</v>
      </c>
      <c r="C1349" s="2">
        <v>3.71</v>
      </c>
      <c r="D1349" s="2">
        <v>5.2299999999999995</v>
      </c>
      <c r="E1349" s="2">
        <v>5.16</v>
      </c>
      <c r="F1349" s="2">
        <v>3.35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</row>
    <row r="1350" spans="1:11" x14ac:dyDescent="0.2">
      <c r="A1350" s="1">
        <v>0.93611111111111101</v>
      </c>
      <c r="B1350" s="2">
        <v>6.3100000000000005</v>
      </c>
      <c r="C1350" s="2">
        <v>3.5399999999999996</v>
      </c>
      <c r="D1350" s="2">
        <v>4.88</v>
      </c>
      <c r="E1350" s="2">
        <v>5.33</v>
      </c>
      <c r="F1350" s="2">
        <v>3.19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</row>
    <row r="1351" spans="1:11" x14ac:dyDescent="0.2">
      <c r="A1351" s="1">
        <v>0.936805555555556</v>
      </c>
      <c r="B1351" s="2">
        <v>6.16</v>
      </c>
      <c r="C1351" s="2">
        <v>3.59</v>
      </c>
      <c r="D1351" s="2">
        <v>5.09</v>
      </c>
      <c r="E1351" s="2">
        <v>5.2600000000000007</v>
      </c>
      <c r="F1351" s="2">
        <v>3.2600000000000002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</row>
    <row r="1352" spans="1:11" x14ac:dyDescent="0.2">
      <c r="A1352" s="1">
        <v>0.9375</v>
      </c>
      <c r="B1352" s="2">
        <v>6.25</v>
      </c>
      <c r="C1352" s="2">
        <v>3.71</v>
      </c>
      <c r="D1352" s="2">
        <v>4.9099999999999993</v>
      </c>
      <c r="E1352" s="2">
        <v>5.41</v>
      </c>
      <c r="F1352" s="2">
        <v>3.35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</row>
    <row r="1353" spans="1:11" x14ac:dyDescent="0.2">
      <c r="A1353" s="1">
        <v>0.938194444444444</v>
      </c>
      <c r="B1353" s="2">
        <v>6.08</v>
      </c>
      <c r="C1353" s="2">
        <v>3.57</v>
      </c>
      <c r="D1353" s="2">
        <v>4.8999999999999995</v>
      </c>
      <c r="E1353" s="2">
        <v>5.1400000000000006</v>
      </c>
      <c r="F1353" s="2">
        <v>2.99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</row>
    <row r="1354" spans="1:11" x14ac:dyDescent="0.2">
      <c r="A1354" s="1">
        <v>0.93888888888888899</v>
      </c>
      <c r="B1354" s="2">
        <v>6.2</v>
      </c>
      <c r="C1354" s="2">
        <v>3.6399999999999997</v>
      </c>
      <c r="D1354" s="2">
        <v>5.1099999999999994</v>
      </c>
      <c r="E1354" s="2">
        <v>5.5</v>
      </c>
      <c r="F1354" s="2">
        <v>3.08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</row>
    <row r="1355" spans="1:11" x14ac:dyDescent="0.2">
      <c r="A1355" s="1">
        <v>0.93958333333333299</v>
      </c>
      <c r="B1355" s="2">
        <v>6.07</v>
      </c>
      <c r="C1355" s="2">
        <v>3.55</v>
      </c>
      <c r="D1355" s="2">
        <v>4.9899999999999993</v>
      </c>
      <c r="E1355" s="2">
        <v>5.36</v>
      </c>
      <c r="F1355" s="2">
        <v>3.0700000000000003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</row>
    <row r="1356" spans="1:11" x14ac:dyDescent="0.2">
      <c r="A1356" s="1">
        <v>0.94027777777777799</v>
      </c>
      <c r="B1356" s="2">
        <v>6.24</v>
      </c>
      <c r="C1356" s="2">
        <v>3.6399999999999997</v>
      </c>
      <c r="D1356" s="2">
        <v>4.9899999999999993</v>
      </c>
      <c r="E1356" s="2">
        <v>4.91</v>
      </c>
      <c r="F1356" s="2">
        <v>2.97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</row>
    <row r="1357" spans="1:11" x14ac:dyDescent="0.2">
      <c r="A1357" s="1">
        <v>0.94097222222222199</v>
      </c>
      <c r="B1357" s="2">
        <v>6.19</v>
      </c>
      <c r="C1357" s="2">
        <v>3.61</v>
      </c>
      <c r="D1357" s="2">
        <v>5</v>
      </c>
      <c r="E1357" s="2">
        <v>5.21</v>
      </c>
      <c r="F1357" s="2">
        <v>3.38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</row>
    <row r="1358" spans="1:11" x14ac:dyDescent="0.2">
      <c r="A1358" s="1">
        <v>0.94166666666666698</v>
      </c>
      <c r="B1358" s="2">
        <v>6.19</v>
      </c>
      <c r="C1358" s="2">
        <v>3.57</v>
      </c>
      <c r="D1358" s="2">
        <v>4.8899999999999997</v>
      </c>
      <c r="E1358" s="2">
        <v>5.4700000000000006</v>
      </c>
      <c r="F1358" s="2">
        <v>3.21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</row>
    <row r="1359" spans="1:11" x14ac:dyDescent="0.2">
      <c r="A1359" s="1">
        <v>0.94236111111111098</v>
      </c>
      <c r="B1359" s="2">
        <v>6.25</v>
      </c>
      <c r="C1359" s="2">
        <v>3.63</v>
      </c>
      <c r="D1359" s="2">
        <v>5.09</v>
      </c>
      <c r="E1359" s="2">
        <v>5.08</v>
      </c>
      <c r="F1359" s="2">
        <v>3.14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</row>
    <row r="1360" spans="1:11" x14ac:dyDescent="0.2">
      <c r="A1360" s="1">
        <v>0.94305555555555598</v>
      </c>
      <c r="B1360" s="2">
        <v>6.16</v>
      </c>
      <c r="C1360" s="2">
        <v>3.5799999999999996</v>
      </c>
      <c r="D1360" s="2">
        <v>5.08</v>
      </c>
      <c r="E1360" s="2">
        <v>4.88</v>
      </c>
      <c r="F1360" s="2">
        <v>3.04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</row>
    <row r="1361" spans="1:11" x14ac:dyDescent="0.2">
      <c r="A1361" s="1">
        <v>0.94374999999999998</v>
      </c>
      <c r="B1361" s="2">
        <v>6.16</v>
      </c>
      <c r="C1361" s="2">
        <v>3.5399999999999996</v>
      </c>
      <c r="D1361" s="2">
        <v>5.0299999999999994</v>
      </c>
      <c r="E1361" s="2">
        <v>5.2600000000000007</v>
      </c>
      <c r="F1361" s="2">
        <v>2.89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</row>
    <row r="1362" spans="1:11" x14ac:dyDescent="0.2">
      <c r="A1362" s="1">
        <v>0.94444444444444497</v>
      </c>
      <c r="B1362" s="2">
        <v>6.3000000000000007</v>
      </c>
      <c r="C1362" s="2">
        <v>3.73</v>
      </c>
      <c r="D1362" s="2">
        <v>4.93</v>
      </c>
      <c r="E1362" s="2">
        <v>4.91</v>
      </c>
      <c r="F1362" s="2">
        <v>2.93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</row>
    <row r="1363" spans="1:11" x14ac:dyDescent="0.2">
      <c r="A1363" s="1">
        <v>0.94513888888888897</v>
      </c>
      <c r="B1363" s="2">
        <v>6.24</v>
      </c>
      <c r="C1363" s="2">
        <v>3.6599999999999997</v>
      </c>
      <c r="D1363" s="2">
        <v>5.1599999999999993</v>
      </c>
      <c r="E1363" s="2">
        <v>5.3100000000000005</v>
      </c>
      <c r="F1363" s="2">
        <v>2.97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</row>
    <row r="1364" spans="1:11" x14ac:dyDescent="0.2">
      <c r="A1364" s="1">
        <v>0.94583333333333297</v>
      </c>
      <c r="B1364" s="2">
        <v>6.1400000000000006</v>
      </c>
      <c r="C1364" s="2">
        <v>3.67</v>
      </c>
      <c r="D1364" s="2">
        <v>4.88</v>
      </c>
      <c r="E1364" s="2">
        <v>5.17</v>
      </c>
      <c r="F1364" s="2">
        <v>3.04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</row>
    <row r="1365" spans="1:11" x14ac:dyDescent="0.2">
      <c r="A1365" s="1">
        <v>0.94652777777777797</v>
      </c>
      <c r="B1365" s="2">
        <v>6.2</v>
      </c>
      <c r="C1365" s="2">
        <v>3.63</v>
      </c>
      <c r="D1365" s="2">
        <v>5.26</v>
      </c>
      <c r="E1365" s="2">
        <v>5.23</v>
      </c>
      <c r="F1365" s="2">
        <v>3.04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</row>
    <row r="1366" spans="1:11" x14ac:dyDescent="0.2">
      <c r="A1366" s="1">
        <v>0.94722222222222197</v>
      </c>
      <c r="B1366" s="2">
        <v>6.07</v>
      </c>
      <c r="C1366" s="2">
        <v>3.57</v>
      </c>
      <c r="D1366" s="2">
        <v>5.0299999999999994</v>
      </c>
      <c r="E1366" s="2">
        <v>5.48</v>
      </c>
      <c r="F1366" s="2">
        <v>3.3200000000000003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</row>
    <row r="1367" spans="1:11" x14ac:dyDescent="0.2">
      <c r="A1367" s="1">
        <v>0.94791666666666696</v>
      </c>
      <c r="B1367" s="2">
        <v>6.19</v>
      </c>
      <c r="C1367" s="2">
        <v>3.5999999999999996</v>
      </c>
      <c r="D1367" s="2">
        <v>4.8999999999999995</v>
      </c>
      <c r="E1367" s="2">
        <v>5.2200000000000006</v>
      </c>
      <c r="F1367" s="2">
        <v>3.16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</row>
    <row r="1368" spans="1:11" x14ac:dyDescent="0.2">
      <c r="A1368" s="1">
        <v>0.94861111111111096</v>
      </c>
      <c r="B1368" s="2">
        <v>6.33</v>
      </c>
      <c r="C1368" s="2">
        <v>3.65</v>
      </c>
      <c r="D1368" s="2">
        <v>5.21</v>
      </c>
      <c r="E1368" s="2">
        <v>5.0600000000000005</v>
      </c>
      <c r="F1368" s="2">
        <v>3.27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</row>
    <row r="1369" spans="1:11" x14ac:dyDescent="0.2">
      <c r="A1369" s="1">
        <v>0.94930555555555596</v>
      </c>
      <c r="B1369" s="2">
        <v>6.09</v>
      </c>
      <c r="C1369" s="2">
        <v>3.63</v>
      </c>
      <c r="D1369" s="2">
        <v>4.8499999999999996</v>
      </c>
      <c r="E1369" s="2">
        <v>5.3900000000000006</v>
      </c>
      <c r="F1369" s="2">
        <v>3.2800000000000002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</row>
    <row r="1370" spans="1:11" x14ac:dyDescent="0.2">
      <c r="A1370" s="1">
        <v>0.95</v>
      </c>
      <c r="B1370" s="2">
        <v>6.16</v>
      </c>
      <c r="C1370" s="2">
        <v>3.5999999999999996</v>
      </c>
      <c r="D1370" s="2">
        <v>5.08</v>
      </c>
      <c r="E1370" s="2">
        <v>4.9800000000000004</v>
      </c>
      <c r="F1370" s="2">
        <v>3.0900000000000003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</row>
    <row r="1371" spans="1:11" x14ac:dyDescent="0.2">
      <c r="A1371" s="1">
        <v>0.95069444444444495</v>
      </c>
      <c r="B1371" s="2">
        <v>6.25</v>
      </c>
      <c r="C1371" s="2">
        <v>3.78</v>
      </c>
      <c r="D1371" s="2">
        <v>5.1099999999999994</v>
      </c>
      <c r="E1371" s="2">
        <v>4.82</v>
      </c>
      <c r="F1371" s="2">
        <v>3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</row>
    <row r="1372" spans="1:11" x14ac:dyDescent="0.2">
      <c r="A1372" s="1">
        <v>0.95138888888888895</v>
      </c>
      <c r="B1372" s="2">
        <v>6.1400000000000006</v>
      </c>
      <c r="C1372" s="2">
        <v>3.6999999999999997</v>
      </c>
      <c r="D1372" s="2">
        <v>4.93</v>
      </c>
      <c r="E1372" s="2">
        <v>4.99</v>
      </c>
      <c r="F1372" s="2">
        <v>3.23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</row>
    <row r="1373" spans="1:11" x14ac:dyDescent="0.2">
      <c r="A1373" s="1">
        <v>0.95208333333333295</v>
      </c>
      <c r="B1373" s="2">
        <v>6.3100000000000005</v>
      </c>
      <c r="C1373" s="2">
        <v>3.61</v>
      </c>
      <c r="D1373" s="2">
        <v>5.1899999999999995</v>
      </c>
      <c r="E1373" s="2">
        <v>5.36</v>
      </c>
      <c r="F1373" s="2">
        <v>2.93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</row>
    <row r="1374" spans="1:11" x14ac:dyDescent="0.2">
      <c r="A1374" s="1">
        <v>0.95277777777777795</v>
      </c>
      <c r="B1374" s="2">
        <v>6.11</v>
      </c>
      <c r="C1374" s="2">
        <v>3.61</v>
      </c>
      <c r="D1374" s="2">
        <v>5.25</v>
      </c>
      <c r="E1374" s="2">
        <v>5.3100000000000005</v>
      </c>
      <c r="F1374" s="2">
        <v>3.0300000000000002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</row>
    <row r="1375" spans="1:11" x14ac:dyDescent="0.2">
      <c r="A1375" s="1">
        <v>0.95347222222222205</v>
      </c>
      <c r="B1375" s="2">
        <v>6.25</v>
      </c>
      <c r="C1375" s="2">
        <v>3.69</v>
      </c>
      <c r="D1375" s="2">
        <v>4.8899999999999997</v>
      </c>
      <c r="E1375" s="2">
        <v>5.4300000000000006</v>
      </c>
      <c r="F1375" s="2">
        <v>2.95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</row>
    <row r="1376" spans="1:11" x14ac:dyDescent="0.2">
      <c r="A1376" s="1">
        <v>0.95416666666666705</v>
      </c>
      <c r="B1376" s="2">
        <v>6.1000000000000005</v>
      </c>
      <c r="C1376" s="2">
        <v>3.6799999999999997</v>
      </c>
      <c r="D1376" s="2">
        <v>4.8499999999999996</v>
      </c>
      <c r="E1376" s="2">
        <v>4.91</v>
      </c>
      <c r="F1376" s="2">
        <v>3.21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</row>
    <row r="1377" spans="1:11" x14ac:dyDescent="0.2">
      <c r="A1377" s="1">
        <v>0.95486111111111105</v>
      </c>
      <c r="B1377" s="2">
        <v>6.33</v>
      </c>
      <c r="C1377" s="2">
        <v>3.53</v>
      </c>
      <c r="D1377" s="2">
        <v>4.9899999999999993</v>
      </c>
      <c r="E1377" s="2">
        <v>5.4700000000000006</v>
      </c>
      <c r="F1377" s="2">
        <v>3.13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</row>
    <row r="1378" spans="1:11" x14ac:dyDescent="0.2">
      <c r="A1378" s="1">
        <v>0.95555555555555605</v>
      </c>
      <c r="B1378" s="2">
        <v>6.11</v>
      </c>
      <c r="C1378" s="2">
        <v>3.7399999999999998</v>
      </c>
      <c r="D1378" s="2">
        <v>4.88</v>
      </c>
      <c r="E1378" s="2">
        <v>5.53</v>
      </c>
      <c r="F1378" s="2">
        <v>3.21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</row>
    <row r="1379" spans="1:11" x14ac:dyDescent="0.2">
      <c r="A1379" s="1">
        <v>0.95625000000000004</v>
      </c>
      <c r="B1379" s="2">
        <v>6.08</v>
      </c>
      <c r="C1379" s="2">
        <v>3.6599999999999997</v>
      </c>
      <c r="D1379" s="2">
        <v>5.3</v>
      </c>
      <c r="E1379" s="2">
        <v>5.48</v>
      </c>
      <c r="F1379" s="2">
        <v>2.93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</row>
    <row r="1380" spans="1:11" x14ac:dyDescent="0.2">
      <c r="A1380" s="1">
        <v>0.95694444444444404</v>
      </c>
      <c r="B1380" s="2">
        <v>6.12</v>
      </c>
      <c r="C1380" s="2">
        <v>3.53</v>
      </c>
      <c r="D1380" s="2">
        <v>4.8899999999999997</v>
      </c>
      <c r="E1380" s="2">
        <v>5.0100000000000007</v>
      </c>
      <c r="F1380" s="2">
        <v>2.9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</row>
    <row r="1381" spans="1:11" x14ac:dyDescent="0.2">
      <c r="A1381" s="1">
        <v>0.95763888888888904</v>
      </c>
      <c r="B1381" s="2">
        <v>6.2</v>
      </c>
      <c r="C1381" s="2">
        <v>3.6799999999999997</v>
      </c>
      <c r="D1381" s="2">
        <v>5.2799999999999994</v>
      </c>
      <c r="E1381" s="2">
        <v>5.42</v>
      </c>
      <c r="F1381" s="2">
        <v>3.12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</row>
    <row r="1382" spans="1:11" x14ac:dyDescent="0.2">
      <c r="A1382" s="3">
        <v>0.95833333333333304</v>
      </c>
      <c r="B1382" s="4">
        <v>6.19</v>
      </c>
      <c r="C1382" s="4">
        <v>3.71</v>
      </c>
      <c r="D1382" s="4">
        <v>5.09</v>
      </c>
      <c r="E1382" s="4">
        <v>5.31</v>
      </c>
      <c r="F1382" s="4">
        <v>3.15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</row>
    <row r="1383" spans="1:11" x14ac:dyDescent="0.2">
      <c r="A1383" s="1">
        <v>0.95902777777777803</v>
      </c>
      <c r="B1383" s="2">
        <v>6.1400000000000006</v>
      </c>
      <c r="C1383" s="2">
        <v>3.6799999999999997</v>
      </c>
      <c r="D1383" s="2">
        <v>5.14</v>
      </c>
      <c r="E1383" s="2">
        <v>5.16</v>
      </c>
      <c r="F1383" s="2">
        <v>3.12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</row>
    <row r="1384" spans="1:11" x14ac:dyDescent="0.2">
      <c r="A1384" s="1">
        <v>0.95972222222222203</v>
      </c>
      <c r="B1384" s="2">
        <v>6.17</v>
      </c>
      <c r="C1384" s="2">
        <v>3.76</v>
      </c>
      <c r="D1384" s="2">
        <v>5.1599999999999993</v>
      </c>
      <c r="E1384" s="2">
        <v>5.29</v>
      </c>
      <c r="F1384" s="2">
        <v>3.23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</row>
    <row r="1385" spans="1:11" x14ac:dyDescent="0.2">
      <c r="A1385" s="1">
        <v>0.96041666666666703</v>
      </c>
      <c r="B1385" s="2">
        <v>6.24</v>
      </c>
      <c r="C1385" s="2">
        <v>3.5599999999999996</v>
      </c>
      <c r="D1385" s="2">
        <v>4.9499999999999993</v>
      </c>
      <c r="E1385" s="2">
        <v>4.92</v>
      </c>
      <c r="F1385" s="2">
        <v>3.16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</row>
    <row r="1386" spans="1:11" x14ac:dyDescent="0.2">
      <c r="A1386" s="1">
        <v>0.96111111111111103</v>
      </c>
      <c r="B1386" s="2">
        <v>6.24</v>
      </c>
      <c r="C1386" s="2">
        <v>3.73</v>
      </c>
      <c r="D1386" s="2">
        <v>5.22</v>
      </c>
      <c r="E1386" s="2">
        <v>5.28</v>
      </c>
      <c r="F1386" s="2">
        <v>3.35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</row>
    <row r="1387" spans="1:11" x14ac:dyDescent="0.2">
      <c r="A1387" s="1">
        <v>0.96180555555555602</v>
      </c>
      <c r="B1387" s="2">
        <v>6.07</v>
      </c>
      <c r="C1387" s="2">
        <v>3.7699999999999996</v>
      </c>
      <c r="D1387" s="2">
        <v>5.2299999999999995</v>
      </c>
      <c r="E1387" s="2">
        <v>5.28</v>
      </c>
      <c r="F1387" s="2">
        <v>3.2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</row>
    <row r="1388" spans="1:11" x14ac:dyDescent="0.2">
      <c r="A1388" s="1">
        <v>0.96250000000000002</v>
      </c>
      <c r="B1388" s="2">
        <v>6.33</v>
      </c>
      <c r="C1388" s="2">
        <v>3.75</v>
      </c>
      <c r="D1388" s="2">
        <v>4.8899999999999997</v>
      </c>
      <c r="E1388" s="2">
        <v>5.46</v>
      </c>
      <c r="F1388" s="2">
        <v>2.88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</row>
    <row r="1389" spans="1:11" x14ac:dyDescent="0.2">
      <c r="A1389" s="1">
        <v>0.96319444444444402</v>
      </c>
      <c r="B1389" s="2">
        <v>6.17</v>
      </c>
      <c r="C1389" s="2">
        <v>3.65</v>
      </c>
      <c r="D1389" s="2">
        <v>5.0299999999999994</v>
      </c>
      <c r="E1389" s="2">
        <v>5.46</v>
      </c>
      <c r="F1389" s="2">
        <v>3.08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</row>
    <row r="1390" spans="1:11" x14ac:dyDescent="0.2">
      <c r="A1390" s="1">
        <v>0.96388888888888902</v>
      </c>
      <c r="B1390" s="2">
        <v>6.11</v>
      </c>
      <c r="C1390" s="2">
        <v>3.6399999999999997</v>
      </c>
      <c r="D1390" s="2">
        <v>5.05</v>
      </c>
      <c r="E1390" s="2">
        <v>5.0999999999999996</v>
      </c>
      <c r="F1390" s="2">
        <v>3.38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</row>
    <row r="1391" spans="1:11" x14ac:dyDescent="0.2">
      <c r="A1391" s="1">
        <v>0.96458333333333302</v>
      </c>
      <c r="B1391" s="2">
        <v>6.3000000000000007</v>
      </c>
      <c r="C1391" s="2">
        <v>3.5999999999999996</v>
      </c>
      <c r="D1391" s="2">
        <v>5.26</v>
      </c>
      <c r="E1391" s="2">
        <v>5.4399999999999995</v>
      </c>
      <c r="F1391" s="2">
        <v>3.2800000000000002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</row>
    <row r="1392" spans="1:11" x14ac:dyDescent="0.2">
      <c r="A1392" s="1">
        <v>0.96527777777777801</v>
      </c>
      <c r="B1392" s="2">
        <v>6.2600000000000007</v>
      </c>
      <c r="C1392" s="2">
        <v>3.75</v>
      </c>
      <c r="D1392" s="2">
        <v>5.05</v>
      </c>
      <c r="E1392" s="2">
        <v>4.99</v>
      </c>
      <c r="F1392" s="2">
        <v>3.24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</row>
    <row r="1393" spans="1:11" x14ac:dyDescent="0.2">
      <c r="A1393" s="1">
        <v>0.96597222222222201</v>
      </c>
      <c r="B1393" s="2">
        <v>6.2200000000000006</v>
      </c>
      <c r="C1393" s="2">
        <v>3.6799999999999997</v>
      </c>
      <c r="D1393" s="2">
        <v>5.3</v>
      </c>
      <c r="E1393" s="2">
        <v>5.09</v>
      </c>
      <c r="F1393" s="2">
        <v>2.91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</row>
    <row r="1394" spans="1:11" x14ac:dyDescent="0.2">
      <c r="A1394" s="1">
        <v>0.96666666666666701</v>
      </c>
      <c r="B1394" s="2">
        <v>6.2</v>
      </c>
      <c r="C1394" s="2">
        <v>3.53</v>
      </c>
      <c r="D1394" s="2">
        <v>4.8499999999999996</v>
      </c>
      <c r="E1394" s="2">
        <v>5.4</v>
      </c>
      <c r="F1394" s="2">
        <v>3.37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</row>
    <row r="1395" spans="1:11" x14ac:dyDescent="0.2">
      <c r="A1395" s="1">
        <v>0.96736111111111101</v>
      </c>
      <c r="B1395" s="2">
        <v>6.16</v>
      </c>
      <c r="C1395" s="2">
        <v>3.7699999999999996</v>
      </c>
      <c r="D1395" s="2">
        <v>5.0199999999999996</v>
      </c>
      <c r="E1395" s="2">
        <v>5.2299999999999995</v>
      </c>
      <c r="F1395" s="2">
        <v>3.38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</row>
    <row r="1396" spans="1:11" x14ac:dyDescent="0.2">
      <c r="A1396" s="1">
        <v>0.968055555555556</v>
      </c>
      <c r="B1396" s="2">
        <v>6.33</v>
      </c>
      <c r="C1396" s="2">
        <v>3.7399999999999998</v>
      </c>
      <c r="D1396" s="2">
        <v>5.1599999999999993</v>
      </c>
      <c r="E1396" s="2">
        <v>5.01</v>
      </c>
      <c r="F1396" s="2">
        <v>3.38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</row>
    <row r="1397" spans="1:11" x14ac:dyDescent="0.2">
      <c r="A1397" s="1">
        <v>0.96875</v>
      </c>
      <c r="B1397" s="2">
        <v>6.33</v>
      </c>
      <c r="C1397" s="2">
        <v>3.5999999999999996</v>
      </c>
      <c r="D1397" s="2">
        <v>5.04</v>
      </c>
      <c r="E1397" s="2">
        <v>5.1899999999999995</v>
      </c>
      <c r="F1397" s="2">
        <v>3.35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</row>
    <row r="1398" spans="1:11" x14ac:dyDescent="0.2">
      <c r="A1398" s="1">
        <v>0.969444444444444</v>
      </c>
      <c r="B1398" s="2">
        <v>6.33</v>
      </c>
      <c r="C1398" s="2">
        <v>3.6399999999999997</v>
      </c>
      <c r="D1398" s="2">
        <v>5</v>
      </c>
      <c r="E1398" s="2">
        <v>5.4</v>
      </c>
      <c r="F1398" s="2">
        <v>3.25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</row>
    <row r="1399" spans="1:11" x14ac:dyDescent="0.2">
      <c r="A1399" s="1">
        <v>0.97013888888888899</v>
      </c>
      <c r="B1399" s="2">
        <v>6.32</v>
      </c>
      <c r="C1399" s="2">
        <v>3.61</v>
      </c>
      <c r="D1399" s="2">
        <v>5.1499999999999995</v>
      </c>
      <c r="E1399" s="2">
        <v>5.1100000000000003</v>
      </c>
      <c r="F1399" s="2">
        <v>2.94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</row>
    <row r="1400" spans="1:11" x14ac:dyDescent="0.2">
      <c r="A1400" s="1">
        <v>0.97083333333333299</v>
      </c>
      <c r="B1400" s="2">
        <v>6.1800000000000006</v>
      </c>
      <c r="C1400" s="2">
        <v>3.57</v>
      </c>
      <c r="D1400" s="2">
        <v>4.9399999999999995</v>
      </c>
      <c r="E1400" s="2">
        <v>5.22</v>
      </c>
      <c r="F1400" s="2">
        <v>3.0500000000000003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</row>
    <row r="1401" spans="1:11" x14ac:dyDescent="0.2">
      <c r="A1401" s="1">
        <v>0.97152777777777799</v>
      </c>
      <c r="B1401" s="2">
        <v>6.15</v>
      </c>
      <c r="C1401" s="2">
        <v>3.7199999999999998</v>
      </c>
      <c r="D1401" s="2">
        <v>5.3</v>
      </c>
      <c r="E1401" s="2">
        <v>5.12</v>
      </c>
      <c r="F1401" s="2">
        <v>3.1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</row>
    <row r="1402" spans="1:11" x14ac:dyDescent="0.2">
      <c r="A1402" s="1">
        <v>0.97222222222222199</v>
      </c>
      <c r="B1402" s="2">
        <v>6.1000000000000005</v>
      </c>
      <c r="C1402" s="2">
        <v>3.6999999999999997</v>
      </c>
      <c r="D1402" s="2">
        <v>5.1599999999999993</v>
      </c>
      <c r="E1402" s="2">
        <v>5.33</v>
      </c>
      <c r="F1402" s="2">
        <v>3.1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</row>
    <row r="1403" spans="1:11" x14ac:dyDescent="0.2">
      <c r="A1403" s="1">
        <v>0.97291666666666698</v>
      </c>
      <c r="B1403" s="2">
        <v>6.15</v>
      </c>
      <c r="C1403" s="2">
        <v>3.6199999999999997</v>
      </c>
      <c r="D1403" s="2">
        <v>5.22</v>
      </c>
      <c r="E1403" s="2">
        <v>5.0999999999999996</v>
      </c>
      <c r="F1403" s="2">
        <v>3.04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</row>
    <row r="1404" spans="1:11" x14ac:dyDescent="0.2">
      <c r="A1404" s="1">
        <v>0.97361111111111098</v>
      </c>
      <c r="B1404" s="2">
        <v>6.07</v>
      </c>
      <c r="C1404" s="2">
        <v>3.55</v>
      </c>
      <c r="D1404" s="2">
        <v>5.0299999999999994</v>
      </c>
      <c r="E1404" s="2">
        <v>5.48</v>
      </c>
      <c r="F1404" s="2">
        <v>3.38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</row>
    <row r="1405" spans="1:11" x14ac:dyDescent="0.2">
      <c r="A1405" s="1">
        <v>0.97430555555555598</v>
      </c>
      <c r="B1405" s="2">
        <v>6.24</v>
      </c>
      <c r="C1405" s="2">
        <v>3.5599999999999996</v>
      </c>
      <c r="D1405" s="2">
        <v>5.1499999999999995</v>
      </c>
      <c r="E1405" s="2">
        <v>5.03</v>
      </c>
      <c r="F1405" s="2">
        <v>3.0100000000000002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</row>
    <row r="1406" spans="1:11" x14ac:dyDescent="0.2">
      <c r="A1406" s="1">
        <v>0.97499999999999998</v>
      </c>
      <c r="B1406" s="2">
        <v>6.11</v>
      </c>
      <c r="C1406" s="2">
        <v>3.55</v>
      </c>
      <c r="D1406" s="2">
        <v>4.8899999999999997</v>
      </c>
      <c r="E1406" s="2">
        <v>5.53</v>
      </c>
      <c r="F1406" s="2">
        <v>2.92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</row>
    <row r="1407" spans="1:11" x14ac:dyDescent="0.2">
      <c r="A1407" s="1">
        <v>0.97569444444444497</v>
      </c>
      <c r="B1407" s="2">
        <v>6.11</v>
      </c>
      <c r="C1407" s="2">
        <v>3.79</v>
      </c>
      <c r="D1407" s="2">
        <v>5.09</v>
      </c>
      <c r="E1407" s="2">
        <v>5.42</v>
      </c>
      <c r="F1407" s="2">
        <v>2.95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</row>
    <row r="1408" spans="1:11" x14ac:dyDescent="0.2">
      <c r="A1408" s="1">
        <v>0.97638888888888897</v>
      </c>
      <c r="B1408" s="2">
        <v>6.3000000000000007</v>
      </c>
      <c r="C1408" s="2">
        <v>3.65</v>
      </c>
      <c r="D1408" s="2">
        <v>5.1899999999999995</v>
      </c>
      <c r="E1408" s="2">
        <v>5.03</v>
      </c>
      <c r="F1408" s="2">
        <v>3.02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</row>
    <row r="1409" spans="1:11" x14ac:dyDescent="0.2">
      <c r="A1409" s="1">
        <v>0.97708333333333297</v>
      </c>
      <c r="B1409" s="2">
        <v>6.16</v>
      </c>
      <c r="C1409" s="2">
        <v>3.6199999999999997</v>
      </c>
      <c r="D1409" s="2">
        <v>5.01</v>
      </c>
      <c r="E1409" s="2">
        <v>5.0599999999999996</v>
      </c>
      <c r="F1409" s="2">
        <v>2.95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</row>
    <row r="1410" spans="1:11" x14ac:dyDescent="0.2">
      <c r="A1410" s="1">
        <v>0.97777777777777797</v>
      </c>
      <c r="B1410" s="2">
        <v>6.2700000000000005</v>
      </c>
      <c r="C1410" s="2">
        <v>3.75</v>
      </c>
      <c r="D1410" s="2">
        <v>5.2799999999999994</v>
      </c>
      <c r="E1410" s="2">
        <v>5.2</v>
      </c>
      <c r="F1410" s="2">
        <v>3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</row>
    <row r="1411" spans="1:11" x14ac:dyDescent="0.2">
      <c r="A1411" s="1">
        <v>0.97847222222222197</v>
      </c>
      <c r="B1411" s="2">
        <v>6.3000000000000007</v>
      </c>
      <c r="C1411" s="2">
        <v>3.55</v>
      </c>
      <c r="D1411" s="2">
        <v>5.04</v>
      </c>
      <c r="E1411" s="2">
        <v>5.43</v>
      </c>
      <c r="F1411" s="2">
        <v>3.1500000000000004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</row>
    <row r="1412" spans="1:11" x14ac:dyDescent="0.2">
      <c r="A1412" s="1">
        <v>0.97916666666666696</v>
      </c>
      <c r="B1412" s="2">
        <v>6.2600000000000007</v>
      </c>
      <c r="C1412" s="2">
        <v>3.69</v>
      </c>
      <c r="D1412" s="2">
        <v>5.3</v>
      </c>
      <c r="E1412" s="2">
        <v>4.99</v>
      </c>
      <c r="F1412" s="2">
        <v>3.3400000000000003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</row>
    <row r="1413" spans="1:11" x14ac:dyDescent="0.2">
      <c r="A1413" s="1">
        <v>0.97986111111111096</v>
      </c>
      <c r="B1413" s="2">
        <v>6.3000000000000007</v>
      </c>
      <c r="C1413" s="2">
        <v>3.78</v>
      </c>
      <c r="D1413" s="2">
        <v>4.9499999999999993</v>
      </c>
      <c r="E1413" s="2">
        <v>5.29</v>
      </c>
      <c r="F1413" s="2">
        <v>3.04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</row>
    <row r="1414" spans="1:11" x14ac:dyDescent="0.2">
      <c r="A1414" s="1">
        <v>0.98055555555555596</v>
      </c>
      <c r="B1414" s="2">
        <v>6.28</v>
      </c>
      <c r="C1414" s="2">
        <v>3.5999999999999996</v>
      </c>
      <c r="D1414" s="2">
        <v>5.2299999999999995</v>
      </c>
      <c r="E1414" s="2">
        <v>5.54</v>
      </c>
      <c r="F1414" s="2">
        <v>2.89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</row>
    <row r="1415" spans="1:11" x14ac:dyDescent="0.2">
      <c r="A1415" s="1">
        <v>0.98124999999999996</v>
      </c>
      <c r="B1415" s="2">
        <v>6.29</v>
      </c>
      <c r="C1415" s="2">
        <v>3.63</v>
      </c>
      <c r="D1415" s="2">
        <v>5.08</v>
      </c>
      <c r="E1415" s="2">
        <v>5.29</v>
      </c>
      <c r="F1415" s="2">
        <v>3.18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</row>
    <row r="1416" spans="1:11" x14ac:dyDescent="0.2">
      <c r="A1416" s="1">
        <v>0.98194444444444495</v>
      </c>
      <c r="B1416" s="2">
        <v>6.2200000000000006</v>
      </c>
      <c r="C1416" s="2">
        <v>3.78</v>
      </c>
      <c r="D1416" s="2">
        <v>5.09</v>
      </c>
      <c r="E1416" s="2">
        <v>5.46</v>
      </c>
      <c r="F1416" s="2">
        <v>3.2600000000000002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</row>
    <row r="1417" spans="1:11" x14ac:dyDescent="0.2">
      <c r="A1417" s="1">
        <v>0.98263888888888895</v>
      </c>
      <c r="B1417" s="2">
        <v>6.15</v>
      </c>
      <c r="C1417" s="2">
        <v>3.5599999999999996</v>
      </c>
      <c r="D1417" s="2">
        <v>4.9899999999999993</v>
      </c>
      <c r="E1417" s="2">
        <v>5.2299999999999995</v>
      </c>
      <c r="F1417" s="2">
        <v>2.89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</row>
    <row r="1418" spans="1:11" x14ac:dyDescent="0.2">
      <c r="A1418" s="1">
        <v>0.98333333333333295</v>
      </c>
      <c r="B1418" s="2">
        <v>6.3100000000000005</v>
      </c>
      <c r="C1418" s="2">
        <v>3.55</v>
      </c>
      <c r="D1418" s="2">
        <v>5.14</v>
      </c>
      <c r="E1418" s="2">
        <v>5.04</v>
      </c>
      <c r="F1418" s="2">
        <v>3.1100000000000003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</row>
    <row r="1419" spans="1:11" x14ac:dyDescent="0.2">
      <c r="A1419" s="1">
        <v>0.98402777777777795</v>
      </c>
      <c r="B1419" s="2">
        <v>6.2700000000000005</v>
      </c>
      <c r="C1419" s="2">
        <v>3.53</v>
      </c>
      <c r="D1419" s="2">
        <v>4.8899999999999997</v>
      </c>
      <c r="E1419" s="2">
        <v>5.18</v>
      </c>
      <c r="F1419" s="2">
        <v>3.3400000000000003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</row>
    <row r="1420" spans="1:11" x14ac:dyDescent="0.2">
      <c r="A1420" s="1">
        <v>0.98472222222222205</v>
      </c>
      <c r="B1420" s="2">
        <v>6.16</v>
      </c>
      <c r="C1420" s="2">
        <v>3.5599999999999996</v>
      </c>
      <c r="D1420" s="2">
        <v>4.93</v>
      </c>
      <c r="E1420" s="2">
        <v>5.0999999999999996</v>
      </c>
      <c r="F1420" s="2">
        <v>3.1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</row>
    <row r="1421" spans="1:11" x14ac:dyDescent="0.2">
      <c r="A1421" s="1">
        <v>0.98541666666666705</v>
      </c>
      <c r="B1421" s="2">
        <v>6.2200000000000006</v>
      </c>
      <c r="C1421" s="2">
        <v>3.71</v>
      </c>
      <c r="D1421" s="2">
        <v>5.09</v>
      </c>
      <c r="E1421" s="2">
        <v>5.4</v>
      </c>
      <c r="F1421" s="2">
        <v>3.1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</row>
    <row r="1422" spans="1:11" x14ac:dyDescent="0.2">
      <c r="A1422" s="1">
        <v>0.98611111111111105</v>
      </c>
      <c r="B1422" s="2">
        <v>6.2200000000000006</v>
      </c>
      <c r="C1422" s="2">
        <v>3.61</v>
      </c>
      <c r="D1422" s="2">
        <v>5.21</v>
      </c>
      <c r="E1422" s="2">
        <v>5.51</v>
      </c>
      <c r="F1422" s="2">
        <v>3.3400000000000003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</row>
    <row r="1423" spans="1:11" x14ac:dyDescent="0.2">
      <c r="A1423" s="1">
        <v>0.98680555555555605</v>
      </c>
      <c r="B1423" s="2">
        <v>6.16</v>
      </c>
      <c r="C1423" s="2">
        <v>3.76</v>
      </c>
      <c r="D1423" s="2">
        <v>5.1199999999999992</v>
      </c>
      <c r="E1423" s="2">
        <v>5.37</v>
      </c>
      <c r="F1423" s="2">
        <v>3.3200000000000003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</row>
    <row r="1424" spans="1:11" x14ac:dyDescent="0.2">
      <c r="A1424" s="1">
        <v>0.98750000000000004</v>
      </c>
      <c r="B1424" s="2">
        <v>6.07</v>
      </c>
      <c r="C1424" s="2">
        <v>3.57</v>
      </c>
      <c r="D1424" s="2">
        <v>4.8999999999999995</v>
      </c>
      <c r="E1424" s="2">
        <v>5.49</v>
      </c>
      <c r="F1424" s="2">
        <v>2.87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</row>
    <row r="1425" spans="1:11" x14ac:dyDescent="0.2">
      <c r="A1425" s="1">
        <v>0.98819444444444404</v>
      </c>
      <c r="B1425" s="2">
        <v>6.21</v>
      </c>
      <c r="C1425" s="2">
        <v>3.55</v>
      </c>
      <c r="D1425" s="2">
        <v>5.1499999999999995</v>
      </c>
      <c r="E1425" s="2">
        <v>5.2299999999999995</v>
      </c>
      <c r="F1425" s="2">
        <v>3.21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</row>
    <row r="1426" spans="1:11" x14ac:dyDescent="0.2">
      <c r="A1426" s="1">
        <v>0.98888888888888904</v>
      </c>
      <c r="B1426" s="2">
        <v>6.09</v>
      </c>
      <c r="C1426" s="2">
        <v>3.7399999999999998</v>
      </c>
      <c r="D1426" s="2">
        <v>5.26</v>
      </c>
      <c r="E1426" s="2">
        <v>5.0999999999999996</v>
      </c>
      <c r="F1426" s="2">
        <v>3.3200000000000003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</row>
    <row r="1427" spans="1:11" x14ac:dyDescent="0.2">
      <c r="A1427" s="1">
        <v>0.98958333333333304</v>
      </c>
      <c r="B1427" s="2">
        <v>6.1000000000000005</v>
      </c>
      <c r="C1427" s="2">
        <v>3.6799999999999997</v>
      </c>
      <c r="D1427" s="2">
        <v>5.3</v>
      </c>
      <c r="E1427" s="2">
        <v>5.1899999999999995</v>
      </c>
      <c r="F1427" s="2">
        <v>3.14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</row>
    <row r="1428" spans="1:11" x14ac:dyDescent="0.2">
      <c r="A1428" s="1">
        <v>0.99027777777777803</v>
      </c>
      <c r="B1428" s="2">
        <v>6.08</v>
      </c>
      <c r="C1428" s="2">
        <v>3.53</v>
      </c>
      <c r="D1428" s="2">
        <v>4.8599999999999994</v>
      </c>
      <c r="E1428" s="2">
        <v>5.42</v>
      </c>
      <c r="F1428" s="2">
        <v>3.21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</row>
    <row r="1429" spans="1:11" x14ac:dyDescent="0.2">
      <c r="A1429" s="1">
        <v>0.99097222222222203</v>
      </c>
      <c r="B1429" s="2">
        <v>6.24</v>
      </c>
      <c r="C1429" s="2">
        <v>3.5399999999999996</v>
      </c>
      <c r="D1429" s="2">
        <v>5.2399999999999993</v>
      </c>
      <c r="E1429" s="2">
        <v>5.53</v>
      </c>
      <c r="F1429" s="2">
        <v>2.88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</row>
    <row r="1430" spans="1:11" x14ac:dyDescent="0.2">
      <c r="A1430" s="1">
        <v>0.99166666666666703</v>
      </c>
      <c r="B1430" s="2">
        <v>6.16</v>
      </c>
      <c r="C1430" s="2">
        <v>3.7199999999999998</v>
      </c>
      <c r="D1430" s="2">
        <v>5.1199999999999992</v>
      </c>
      <c r="E1430" s="2">
        <v>5.29</v>
      </c>
      <c r="F1430" s="2">
        <v>3.39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</row>
    <row r="1431" spans="1:11" x14ac:dyDescent="0.2">
      <c r="A1431" s="1">
        <v>0.99236111111111103</v>
      </c>
      <c r="B1431" s="2">
        <v>6.24</v>
      </c>
      <c r="C1431" s="2">
        <v>3.6599999999999997</v>
      </c>
      <c r="D1431" s="2">
        <v>4.9399999999999995</v>
      </c>
      <c r="E1431" s="2">
        <v>5.24</v>
      </c>
      <c r="F1431" s="2">
        <v>3.1100000000000003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</row>
    <row r="1432" spans="1:11" x14ac:dyDescent="0.2">
      <c r="A1432" s="1">
        <v>0.99305555555555602</v>
      </c>
      <c r="B1432" s="2">
        <v>6.29</v>
      </c>
      <c r="C1432" s="2">
        <v>3.61</v>
      </c>
      <c r="D1432" s="2">
        <v>5.1599999999999993</v>
      </c>
      <c r="E1432" s="2">
        <v>5.49</v>
      </c>
      <c r="F1432" s="2">
        <v>3.39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</row>
    <row r="1433" spans="1:11" x14ac:dyDescent="0.2">
      <c r="A1433" s="1">
        <v>0.99375000000000002</v>
      </c>
      <c r="B1433" s="2">
        <v>6.2200000000000006</v>
      </c>
      <c r="C1433" s="2">
        <v>3.57</v>
      </c>
      <c r="D1433" s="2">
        <v>4.96</v>
      </c>
      <c r="E1433" s="2">
        <v>5.53</v>
      </c>
      <c r="F1433" s="2">
        <v>3.31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</row>
    <row r="1434" spans="1:11" x14ac:dyDescent="0.2">
      <c r="A1434" s="1">
        <v>0.99444444444444402</v>
      </c>
      <c r="B1434" s="2">
        <v>6.11</v>
      </c>
      <c r="C1434" s="2">
        <v>3.6999999999999997</v>
      </c>
      <c r="D1434" s="2">
        <v>5.1199999999999992</v>
      </c>
      <c r="E1434" s="2">
        <v>5.5</v>
      </c>
      <c r="F1434" s="2">
        <v>3.08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</row>
    <row r="1435" spans="1:11" x14ac:dyDescent="0.2">
      <c r="A1435" s="1">
        <v>0.99513888888888902</v>
      </c>
      <c r="B1435" s="2">
        <v>6.3000000000000007</v>
      </c>
      <c r="C1435" s="2">
        <v>3.57</v>
      </c>
      <c r="D1435" s="2">
        <v>5.2799999999999994</v>
      </c>
      <c r="E1435" s="2">
        <v>5.4</v>
      </c>
      <c r="F1435" s="2">
        <v>3.38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</row>
    <row r="1436" spans="1:11" x14ac:dyDescent="0.2">
      <c r="A1436" s="1">
        <v>0.99583333333333302</v>
      </c>
      <c r="B1436" s="2">
        <v>6.2200000000000006</v>
      </c>
      <c r="C1436" s="2">
        <v>3.6399999999999997</v>
      </c>
      <c r="D1436" s="2">
        <v>5.08</v>
      </c>
      <c r="E1436" s="2">
        <v>5.25</v>
      </c>
      <c r="F1436" s="2">
        <v>3.0700000000000003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</row>
    <row r="1437" spans="1:11" x14ac:dyDescent="0.2">
      <c r="A1437" s="1">
        <v>0.99652777777777801</v>
      </c>
      <c r="B1437" s="2">
        <v>6.1800000000000006</v>
      </c>
      <c r="C1437" s="2">
        <v>3.7699999999999996</v>
      </c>
      <c r="D1437" s="2">
        <v>5.2299999999999995</v>
      </c>
      <c r="E1437" s="2">
        <v>4.9799999999999995</v>
      </c>
      <c r="F1437" s="2">
        <v>3.39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</row>
    <row r="1438" spans="1:11" x14ac:dyDescent="0.2">
      <c r="A1438" s="1">
        <v>0.99722222222222201</v>
      </c>
      <c r="B1438" s="2">
        <v>6.23</v>
      </c>
      <c r="C1438" s="2">
        <v>3.6599999999999997</v>
      </c>
      <c r="D1438" s="2">
        <v>5.3</v>
      </c>
      <c r="E1438" s="2">
        <v>5.38</v>
      </c>
      <c r="F1438" s="2">
        <v>2.92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</row>
    <row r="1439" spans="1:11" x14ac:dyDescent="0.2">
      <c r="A1439" s="1">
        <v>0.99791666666666701</v>
      </c>
      <c r="B1439" s="2">
        <v>6.2700000000000005</v>
      </c>
      <c r="C1439" s="2">
        <v>3.6999999999999997</v>
      </c>
      <c r="D1439" s="2">
        <v>5.17</v>
      </c>
      <c r="E1439" s="2">
        <v>4.92</v>
      </c>
      <c r="F1439" s="2">
        <v>3.18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</row>
    <row r="1440" spans="1:11" x14ac:dyDescent="0.2">
      <c r="A1440" s="1">
        <v>0.99861111111111101</v>
      </c>
      <c r="B1440" s="2">
        <v>6.17</v>
      </c>
      <c r="C1440" s="2">
        <v>3.7199999999999998</v>
      </c>
      <c r="D1440" s="2">
        <v>5.13</v>
      </c>
      <c r="E1440" s="2">
        <v>5</v>
      </c>
      <c r="F1440" s="2">
        <v>3.2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</row>
    <row r="1441" spans="1:11" x14ac:dyDescent="0.2">
      <c r="A1441" s="1">
        <v>0.999305555555556</v>
      </c>
      <c r="B1441" s="2">
        <v>6.25</v>
      </c>
      <c r="C1441" s="2">
        <v>3.7199999999999998</v>
      </c>
      <c r="D1441" s="2">
        <v>5.0999999999999996</v>
      </c>
      <c r="E1441" s="2">
        <v>5.29</v>
      </c>
      <c r="F1441" s="2">
        <v>2.98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</row>
    <row r="1442" spans="1:11" x14ac:dyDescent="0.2">
      <c r="A1442" s="3">
        <v>0</v>
      </c>
      <c r="B1442" s="2">
        <v>6.19</v>
      </c>
      <c r="C1442" s="2">
        <v>3.71</v>
      </c>
      <c r="D1442" s="2">
        <v>5.09</v>
      </c>
      <c r="E1442" s="2">
        <v>5.31</v>
      </c>
      <c r="F1442" s="2">
        <v>3.15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</row>
    <row r="1443" spans="1:11" x14ac:dyDescent="0.2">
      <c r="A1443" s="1">
        <v>6.9444444444444447E-4</v>
      </c>
      <c r="B1443" s="2">
        <v>6.15</v>
      </c>
      <c r="C1443" s="2">
        <v>3.53</v>
      </c>
      <c r="D1443" s="2">
        <v>4.92</v>
      </c>
      <c r="E1443" s="2">
        <v>5.13</v>
      </c>
      <c r="F1443" s="2">
        <v>2.94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</row>
    <row r="1444" spans="1:11" x14ac:dyDescent="0.2">
      <c r="A1444" s="1">
        <v>1.38888888888889E-3</v>
      </c>
      <c r="B1444" s="2">
        <v>6.33</v>
      </c>
      <c r="C1444" s="2">
        <v>3.63</v>
      </c>
      <c r="D1444" s="2">
        <v>5.2399999999999993</v>
      </c>
      <c r="E1444" s="2">
        <v>4.96</v>
      </c>
      <c r="F1444" s="2">
        <v>3.0900000000000003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</row>
    <row r="1445" spans="1:11" x14ac:dyDescent="0.2">
      <c r="A1445" s="1">
        <v>2.0833333333333298E-3</v>
      </c>
      <c r="B1445" s="2">
        <v>6.3</v>
      </c>
      <c r="C1445" s="2">
        <v>3.53</v>
      </c>
      <c r="D1445" s="2">
        <v>4.8699999999999992</v>
      </c>
      <c r="E1445" s="2">
        <v>5.28</v>
      </c>
      <c r="F1445" s="2">
        <v>3.2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</row>
    <row r="1446" spans="1:11" x14ac:dyDescent="0.2">
      <c r="A1446" s="1">
        <v>2.7777777777777801E-3</v>
      </c>
      <c r="B1446" s="2">
        <v>6.17</v>
      </c>
      <c r="C1446" s="2">
        <v>3.6999999999999997</v>
      </c>
      <c r="D1446" s="2">
        <v>4.88</v>
      </c>
      <c r="E1446" s="2">
        <v>5.36</v>
      </c>
      <c r="F1446" s="2">
        <v>2.91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</row>
    <row r="1447" spans="1:11" x14ac:dyDescent="0.2">
      <c r="A1447" s="1">
        <v>3.4722222222222199E-3</v>
      </c>
      <c r="B1447" s="2">
        <v>6.19</v>
      </c>
      <c r="C1447" s="2">
        <v>3.5399999999999996</v>
      </c>
      <c r="D1447" s="2">
        <v>5.2399999999999993</v>
      </c>
      <c r="E1447" s="2">
        <v>5.09</v>
      </c>
      <c r="F1447" s="2">
        <v>3.37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</row>
    <row r="1448" spans="1:11" x14ac:dyDescent="0.2">
      <c r="A1448" s="1">
        <v>4.1666666666666701E-3</v>
      </c>
      <c r="B1448" s="2">
        <v>6.3100000000000005</v>
      </c>
      <c r="C1448" s="2">
        <v>3.63</v>
      </c>
      <c r="D1448" s="2">
        <v>5.2399999999999993</v>
      </c>
      <c r="E1448" s="2">
        <v>5.42</v>
      </c>
      <c r="F1448" s="2">
        <v>3.0300000000000002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</row>
    <row r="1449" spans="1:11" x14ac:dyDescent="0.2">
      <c r="A1449" s="1">
        <v>4.8611111111111103E-3</v>
      </c>
      <c r="B1449" s="2">
        <v>6.1</v>
      </c>
      <c r="C1449" s="2">
        <v>3.57</v>
      </c>
      <c r="D1449" s="2">
        <v>4.8899999999999997</v>
      </c>
      <c r="E1449" s="2">
        <v>5.51</v>
      </c>
      <c r="F1449" s="2">
        <v>3.0100000000000002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</row>
    <row r="1450" spans="1:11" x14ac:dyDescent="0.2">
      <c r="A1450" s="1">
        <v>5.5555555555555601E-3</v>
      </c>
      <c r="B1450" s="2">
        <v>6.25</v>
      </c>
      <c r="C1450" s="2">
        <v>3.5799999999999996</v>
      </c>
      <c r="D1450" s="2">
        <v>4.8599999999999994</v>
      </c>
      <c r="E1450" s="2">
        <v>4.99</v>
      </c>
      <c r="F1450" s="2">
        <v>3.1500000000000004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</row>
    <row r="1451" spans="1:11" x14ac:dyDescent="0.2">
      <c r="A1451" s="1">
        <v>6.2500000000000003E-3</v>
      </c>
      <c r="B1451" s="2">
        <v>6.3100000000000005</v>
      </c>
      <c r="C1451" s="2">
        <v>3.7199999999999998</v>
      </c>
      <c r="D1451" s="2">
        <v>5.26</v>
      </c>
      <c r="E1451" s="2">
        <v>5.41</v>
      </c>
      <c r="F1451" s="2">
        <v>3.22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</row>
    <row r="1452" spans="1:11" x14ac:dyDescent="0.2">
      <c r="A1452" s="1">
        <v>6.9444444444444397E-3</v>
      </c>
      <c r="B1452" s="2">
        <v>6.23</v>
      </c>
      <c r="C1452" s="2">
        <v>3.61</v>
      </c>
      <c r="D1452" s="2">
        <v>5.01</v>
      </c>
      <c r="E1452" s="2">
        <v>5.17</v>
      </c>
      <c r="F1452" s="2">
        <v>2.93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</row>
    <row r="1453" spans="1:11" x14ac:dyDescent="0.2">
      <c r="A1453" s="1">
        <v>7.6388888888888904E-3</v>
      </c>
      <c r="B1453" s="2">
        <v>6.33</v>
      </c>
      <c r="C1453" s="2">
        <v>3.7199999999999998</v>
      </c>
      <c r="D1453" s="2">
        <v>5.26</v>
      </c>
      <c r="E1453" s="2">
        <v>4.96</v>
      </c>
      <c r="F1453" s="2">
        <v>2.96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</row>
    <row r="1454" spans="1:11" x14ac:dyDescent="0.2">
      <c r="A1454" s="1">
        <v>8.3333333333333297E-3</v>
      </c>
      <c r="B1454" s="2">
        <v>6.18</v>
      </c>
      <c r="C1454" s="2">
        <v>3.75</v>
      </c>
      <c r="D1454" s="2">
        <v>5.26</v>
      </c>
      <c r="E1454" s="2">
        <v>5.05</v>
      </c>
      <c r="F1454" s="2">
        <v>2.87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</row>
    <row r="1455" spans="1:11" x14ac:dyDescent="0.2">
      <c r="A1455" s="1">
        <v>9.0277777777777804E-3</v>
      </c>
      <c r="B1455" s="2">
        <v>6.22</v>
      </c>
      <c r="C1455" s="2">
        <v>3.5999999999999996</v>
      </c>
      <c r="D1455" s="2">
        <v>5.2399999999999993</v>
      </c>
      <c r="E1455" s="2">
        <v>5.12</v>
      </c>
      <c r="F1455" s="2">
        <v>3.37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</row>
    <row r="1456" spans="1:11" x14ac:dyDescent="0.2">
      <c r="A1456" s="1">
        <v>9.7222222222222206E-3</v>
      </c>
      <c r="B1456" s="2">
        <v>6.16</v>
      </c>
      <c r="C1456" s="2">
        <v>3.6799999999999997</v>
      </c>
      <c r="D1456" s="2">
        <v>5.3</v>
      </c>
      <c r="E1456" s="2">
        <v>5.2299999999999995</v>
      </c>
      <c r="F1456" s="2">
        <v>3.1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</row>
    <row r="1457" spans="1:11" x14ac:dyDescent="0.2">
      <c r="A1457" s="1">
        <v>1.0416666666666701E-2</v>
      </c>
      <c r="B1457" s="2">
        <v>6.1</v>
      </c>
      <c r="C1457" s="2">
        <v>3.57</v>
      </c>
      <c r="D1457" s="2">
        <v>5.1999999999999993</v>
      </c>
      <c r="E1457" s="2">
        <v>5.45</v>
      </c>
      <c r="F1457" s="2">
        <v>3.3600000000000003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</row>
    <row r="1458" spans="1:11" x14ac:dyDescent="0.2">
      <c r="A1458" s="1">
        <v>1.1111111111111099E-2</v>
      </c>
      <c r="B1458" s="2">
        <v>6.17</v>
      </c>
      <c r="C1458" s="2">
        <v>3.6799999999999997</v>
      </c>
      <c r="D1458" s="2">
        <v>5.0299999999999994</v>
      </c>
      <c r="E1458" s="2">
        <v>5.45</v>
      </c>
      <c r="F1458" s="2">
        <v>3.2800000000000002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</row>
    <row r="1459" spans="1:11" x14ac:dyDescent="0.2">
      <c r="A1459" s="1">
        <v>1.18055555555556E-2</v>
      </c>
      <c r="B1459" s="2">
        <v>6.1</v>
      </c>
      <c r="C1459" s="2">
        <v>3.75</v>
      </c>
      <c r="D1459" s="2">
        <v>4.93</v>
      </c>
      <c r="E1459" s="2">
        <v>5.34</v>
      </c>
      <c r="F1459" s="2">
        <v>3.25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</row>
    <row r="1460" spans="1:11" x14ac:dyDescent="0.2">
      <c r="A1460" s="1">
        <v>1.2500000000000001E-2</v>
      </c>
      <c r="B1460" s="2">
        <v>6.25</v>
      </c>
      <c r="C1460" s="2">
        <v>3.53</v>
      </c>
      <c r="D1460" s="2">
        <v>5.18</v>
      </c>
      <c r="E1460" s="2">
        <v>5.4399999999999995</v>
      </c>
      <c r="F1460" s="2">
        <v>2.9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</row>
    <row r="1461" spans="1:11" x14ac:dyDescent="0.2">
      <c r="A1461" s="1">
        <v>1.3194444444444399E-2</v>
      </c>
      <c r="B1461" s="2">
        <v>6.17</v>
      </c>
      <c r="C1461" s="2">
        <v>3.5599999999999996</v>
      </c>
      <c r="D1461" s="2">
        <v>5.13</v>
      </c>
      <c r="E1461" s="2">
        <v>5.49</v>
      </c>
      <c r="F1461" s="2">
        <v>3.13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</row>
    <row r="1462" spans="1:11" x14ac:dyDescent="0.2">
      <c r="A1462" s="1">
        <v>1.38888888888889E-2</v>
      </c>
      <c r="B1462" s="2">
        <v>6.33</v>
      </c>
      <c r="C1462" s="2">
        <v>3.61</v>
      </c>
      <c r="D1462" s="2">
        <v>5.1499999999999995</v>
      </c>
      <c r="E1462" s="2">
        <v>5.38</v>
      </c>
      <c r="F1462" s="2">
        <v>2.9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</row>
    <row r="1463" spans="1:11" x14ac:dyDescent="0.2">
      <c r="A1463" s="1">
        <v>1.4583333333333301E-2</v>
      </c>
      <c r="B1463" s="2">
        <v>6.16</v>
      </c>
      <c r="C1463" s="2">
        <v>3.79</v>
      </c>
      <c r="D1463" s="2">
        <v>4.8699999999999992</v>
      </c>
      <c r="E1463" s="2">
        <v>4.96</v>
      </c>
      <c r="F1463" s="2">
        <v>2.97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</row>
    <row r="1464" spans="1:11" x14ac:dyDescent="0.2">
      <c r="A1464" s="1">
        <v>1.52777777777778E-2</v>
      </c>
      <c r="B1464" s="2">
        <v>6.1</v>
      </c>
      <c r="C1464" s="2">
        <v>3.71</v>
      </c>
      <c r="D1464" s="2">
        <v>4.9899999999999993</v>
      </c>
      <c r="E1464" s="2">
        <v>5.42</v>
      </c>
      <c r="F1464" s="2">
        <v>3.3600000000000003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</row>
    <row r="1465" spans="1:11" x14ac:dyDescent="0.2">
      <c r="A1465" s="1">
        <v>1.59722222222222E-2</v>
      </c>
      <c r="B1465" s="2">
        <v>6.3100000000000005</v>
      </c>
      <c r="C1465" s="2">
        <v>3.79</v>
      </c>
      <c r="D1465" s="2">
        <v>5.0699999999999994</v>
      </c>
      <c r="E1465" s="2">
        <v>5.45</v>
      </c>
      <c r="F1465" s="2">
        <v>3.0300000000000002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</row>
    <row r="1466" spans="1:11" x14ac:dyDescent="0.2">
      <c r="A1466" s="1">
        <v>1.6666666666666701E-2</v>
      </c>
      <c r="B1466" s="2">
        <v>6.12</v>
      </c>
      <c r="C1466" s="2">
        <v>3.65</v>
      </c>
      <c r="D1466" s="2">
        <v>5.0699999999999994</v>
      </c>
      <c r="E1466" s="2">
        <v>5.3</v>
      </c>
      <c r="F1466" s="2">
        <v>3.16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</row>
    <row r="1467" spans="1:11" x14ac:dyDescent="0.2">
      <c r="A1467" s="1">
        <v>1.7361111111111101E-2</v>
      </c>
      <c r="B1467" s="2">
        <v>6.18</v>
      </c>
      <c r="C1467" s="2">
        <v>3.7399999999999998</v>
      </c>
      <c r="D1467" s="2">
        <v>5.1599999999999993</v>
      </c>
      <c r="E1467" s="2">
        <v>5.26</v>
      </c>
      <c r="F1467" s="2">
        <v>2.92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</row>
    <row r="1468" spans="1:11" x14ac:dyDescent="0.2">
      <c r="A1468" s="1">
        <v>1.8055555555555599E-2</v>
      </c>
      <c r="B1468" s="2">
        <v>6.09</v>
      </c>
      <c r="C1468" s="2">
        <v>3.6599999999999997</v>
      </c>
      <c r="D1468" s="2">
        <v>5.05</v>
      </c>
      <c r="E1468" s="2">
        <v>5.1100000000000003</v>
      </c>
      <c r="F1468" s="2">
        <v>3.06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</row>
    <row r="1469" spans="1:11" x14ac:dyDescent="0.2">
      <c r="A1469" s="1">
        <v>1.8749999999999999E-2</v>
      </c>
      <c r="B1469" s="2">
        <v>6.32</v>
      </c>
      <c r="C1469" s="2">
        <v>3.7699999999999996</v>
      </c>
      <c r="D1469" s="2">
        <v>4.9799999999999995</v>
      </c>
      <c r="E1469" s="2">
        <v>5.41</v>
      </c>
      <c r="F1469" s="2">
        <v>3.27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</row>
    <row r="1470" spans="1:11" x14ac:dyDescent="0.2">
      <c r="A1470" s="1">
        <v>1.94444444444444E-2</v>
      </c>
      <c r="B1470" s="2">
        <v>6.26</v>
      </c>
      <c r="C1470" s="2">
        <v>3.78</v>
      </c>
      <c r="D1470" s="2">
        <v>5.22</v>
      </c>
      <c r="E1470" s="2">
        <v>5.39</v>
      </c>
      <c r="F1470" s="2">
        <v>2.99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</row>
    <row r="1471" spans="1:11" x14ac:dyDescent="0.2">
      <c r="A1471" s="1">
        <v>2.0138888888888901E-2</v>
      </c>
      <c r="B1471" s="2">
        <v>6.16</v>
      </c>
      <c r="C1471" s="2">
        <v>3.78</v>
      </c>
      <c r="D1471" s="2">
        <v>5.18</v>
      </c>
      <c r="E1471" s="2">
        <v>5.32</v>
      </c>
      <c r="F1471" s="2">
        <v>3.0100000000000002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</row>
    <row r="1472" spans="1:11" x14ac:dyDescent="0.2">
      <c r="A1472" s="1">
        <v>2.0833333333333301E-2</v>
      </c>
      <c r="B1472" s="2">
        <v>6.13</v>
      </c>
      <c r="C1472" s="2">
        <v>3.6799999999999997</v>
      </c>
      <c r="D1472" s="2">
        <v>5.0599999999999996</v>
      </c>
      <c r="E1472" s="2">
        <v>5.4399999999999995</v>
      </c>
      <c r="F1472" s="2">
        <v>3.13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</row>
    <row r="1473" spans="1:11" x14ac:dyDescent="0.2">
      <c r="A1473" s="1">
        <v>2.1527777777777798E-2</v>
      </c>
      <c r="B1473" s="2">
        <v>6.33</v>
      </c>
      <c r="C1473" s="2">
        <v>3.59</v>
      </c>
      <c r="D1473" s="2">
        <v>4.8499999999999996</v>
      </c>
      <c r="E1473" s="2">
        <v>4.96</v>
      </c>
      <c r="F1473" s="2">
        <v>3.24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</row>
    <row r="1474" spans="1:11" x14ac:dyDescent="0.2">
      <c r="A1474" s="1">
        <v>2.2222222222222199E-2</v>
      </c>
      <c r="B1474" s="2">
        <v>6.14</v>
      </c>
      <c r="C1474" s="2">
        <v>3.61</v>
      </c>
      <c r="D1474" s="2">
        <v>5.1099999999999994</v>
      </c>
      <c r="E1474" s="2">
        <v>5.3</v>
      </c>
      <c r="F1474" s="2">
        <v>3.14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</row>
    <row r="1475" spans="1:11" x14ac:dyDescent="0.2">
      <c r="A1475" s="1">
        <v>2.29166666666667E-2</v>
      </c>
      <c r="B1475" s="2">
        <v>6.3</v>
      </c>
      <c r="C1475" s="2">
        <v>3.53</v>
      </c>
      <c r="D1475" s="2">
        <v>5.3</v>
      </c>
      <c r="E1475" s="2">
        <v>5.0599999999999996</v>
      </c>
      <c r="F1475" s="2">
        <v>3.0300000000000002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</row>
    <row r="1476" spans="1:11" x14ac:dyDescent="0.2">
      <c r="A1476" s="1">
        <v>2.36111111111111E-2</v>
      </c>
      <c r="B1476" s="2">
        <v>6.08</v>
      </c>
      <c r="C1476" s="2">
        <v>3.5999999999999996</v>
      </c>
      <c r="D1476" s="2">
        <v>4.9899999999999993</v>
      </c>
      <c r="E1476" s="2">
        <v>5.4</v>
      </c>
      <c r="F1476" s="2">
        <v>2.88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</row>
    <row r="1477" spans="1:11" x14ac:dyDescent="0.2">
      <c r="A1477" s="1">
        <v>2.4305555555555601E-2</v>
      </c>
      <c r="B1477" s="2">
        <v>6.15</v>
      </c>
      <c r="C1477" s="2">
        <v>3.78</v>
      </c>
      <c r="D1477" s="2">
        <v>5.27</v>
      </c>
      <c r="E1477" s="2">
        <v>5.12</v>
      </c>
      <c r="F1477" s="2">
        <v>3.12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</row>
    <row r="1478" spans="1:11" x14ac:dyDescent="0.2">
      <c r="A1478" s="1">
        <v>2.5000000000000001E-2</v>
      </c>
      <c r="B1478" s="2">
        <v>6.16</v>
      </c>
      <c r="C1478" s="2">
        <v>3.5999999999999996</v>
      </c>
      <c r="D1478" s="2">
        <v>5.1599999999999993</v>
      </c>
      <c r="E1478" s="2">
        <v>5.4399999999999995</v>
      </c>
      <c r="F1478" s="2">
        <v>3.13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</row>
    <row r="1479" spans="1:11" x14ac:dyDescent="0.2">
      <c r="A1479" s="1">
        <v>2.5694444444444402E-2</v>
      </c>
      <c r="B1479" s="2">
        <v>6.26</v>
      </c>
      <c r="C1479" s="2">
        <v>3.57</v>
      </c>
      <c r="D1479" s="2">
        <v>5</v>
      </c>
      <c r="E1479" s="2">
        <v>5.38</v>
      </c>
      <c r="F1479" s="2">
        <v>3.24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</row>
    <row r="1480" spans="1:11" x14ac:dyDescent="0.2">
      <c r="A1480" s="1">
        <v>2.6388888888888899E-2</v>
      </c>
      <c r="B1480" s="2">
        <v>6.18</v>
      </c>
      <c r="C1480" s="2">
        <v>3.53</v>
      </c>
      <c r="D1480" s="2">
        <v>5.1199999999999992</v>
      </c>
      <c r="E1480" s="2">
        <v>5.54</v>
      </c>
      <c r="F1480" s="2">
        <v>2.89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</row>
    <row r="1481" spans="1:11" x14ac:dyDescent="0.2">
      <c r="A1481" s="1">
        <v>2.70833333333333E-2</v>
      </c>
      <c r="B1481" s="2">
        <v>6.24</v>
      </c>
      <c r="C1481" s="2">
        <v>3.6199999999999997</v>
      </c>
      <c r="D1481" s="2">
        <v>4.9799999999999995</v>
      </c>
      <c r="E1481" s="2">
        <v>5.4</v>
      </c>
      <c r="F1481" s="2">
        <v>3.38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</row>
    <row r="1482" spans="1:11" x14ac:dyDescent="0.2">
      <c r="A1482" s="1">
        <v>2.7777777777777801E-2</v>
      </c>
      <c r="B1482" s="2">
        <v>6.09</v>
      </c>
      <c r="C1482" s="2">
        <v>3.6199999999999997</v>
      </c>
      <c r="D1482" s="2">
        <v>4.9399999999999995</v>
      </c>
      <c r="E1482" s="2">
        <v>5.1899999999999995</v>
      </c>
      <c r="F1482" s="2">
        <v>3.18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</row>
    <row r="1483" spans="1:11" x14ac:dyDescent="0.2">
      <c r="A1483" s="1">
        <v>2.8472222222222201E-2</v>
      </c>
      <c r="B1483" s="2">
        <v>6.24</v>
      </c>
      <c r="C1483" s="2">
        <v>3.55</v>
      </c>
      <c r="D1483" s="2">
        <v>4.8499999999999996</v>
      </c>
      <c r="E1483" s="2">
        <v>5.18</v>
      </c>
      <c r="F1483" s="2">
        <v>2.89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</row>
    <row r="1484" spans="1:11" x14ac:dyDescent="0.2">
      <c r="A1484" s="1">
        <v>2.9166666666666698E-2</v>
      </c>
      <c r="B1484" s="2">
        <v>6.29</v>
      </c>
      <c r="C1484" s="2">
        <v>3.75</v>
      </c>
      <c r="D1484" s="2">
        <v>5.3</v>
      </c>
      <c r="E1484" s="2">
        <v>5.35</v>
      </c>
      <c r="F1484" s="2">
        <v>3.0900000000000003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</row>
    <row r="1485" spans="1:11" x14ac:dyDescent="0.2">
      <c r="A1485" s="1">
        <v>2.9861111111111099E-2</v>
      </c>
      <c r="B1485" s="2">
        <v>6.11</v>
      </c>
      <c r="C1485" s="2">
        <v>3.59</v>
      </c>
      <c r="D1485" s="2">
        <v>4.8899999999999997</v>
      </c>
      <c r="E1485" s="2">
        <v>5.31</v>
      </c>
      <c r="F1485" s="2">
        <v>2.87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</row>
    <row r="1486" spans="1:11" x14ac:dyDescent="0.2">
      <c r="A1486" s="1">
        <v>3.05555555555556E-2</v>
      </c>
      <c r="B1486" s="2">
        <v>6.14</v>
      </c>
      <c r="C1486" s="2">
        <v>3.7699999999999996</v>
      </c>
      <c r="D1486" s="2">
        <v>4.8699999999999992</v>
      </c>
      <c r="E1486" s="2">
        <v>5.07</v>
      </c>
      <c r="F1486" s="2">
        <v>3.0500000000000003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</row>
    <row r="1487" spans="1:11" x14ac:dyDescent="0.2">
      <c r="A1487" s="1">
        <v>3.125E-2</v>
      </c>
      <c r="B1487" s="2">
        <v>6.1</v>
      </c>
      <c r="C1487" s="2">
        <v>3.5599999999999996</v>
      </c>
      <c r="D1487" s="2">
        <v>5.29</v>
      </c>
      <c r="E1487" s="2">
        <v>4.99</v>
      </c>
      <c r="F1487" s="2">
        <v>3.14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</row>
    <row r="1488" spans="1:11" x14ac:dyDescent="0.2">
      <c r="A1488" s="1">
        <v>3.19444444444444E-2</v>
      </c>
      <c r="B1488" s="2">
        <v>6.23</v>
      </c>
      <c r="C1488" s="2">
        <v>3.76</v>
      </c>
      <c r="D1488" s="2">
        <v>5.27</v>
      </c>
      <c r="E1488" s="2">
        <v>5.2</v>
      </c>
      <c r="F1488" s="2">
        <v>2.91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</row>
    <row r="1489" spans="1:11" x14ac:dyDescent="0.2">
      <c r="A1489" s="1">
        <v>3.2638888888888898E-2</v>
      </c>
      <c r="B1489" s="2">
        <v>6.24</v>
      </c>
      <c r="C1489" s="2">
        <v>3.79</v>
      </c>
      <c r="D1489" s="2">
        <v>4.92</v>
      </c>
      <c r="E1489" s="2">
        <v>5.52</v>
      </c>
      <c r="F1489" s="2">
        <v>2.88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</row>
    <row r="1490" spans="1:11" x14ac:dyDescent="0.2">
      <c r="A1490" s="1">
        <v>3.3333333333333298E-2</v>
      </c>
      <c r="B1490" s="2">
        <v>6.3100000000000005</v>
      </c>
      <c r="C1490" s="2">
        <v>3.5999999999999996</v>
      </c>
      <c r="D1490" s="2">
        <v>5.1099999999999994</v>
      </c>
      <c r="E1490" s="2">
        <v>5.3</v>
      </c>
      <c r="F1490" s="2">
        <v>3.12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</row>
    <row r="1491" spans="1:11" x14ac:dyDescent="0.2">
      <c r="A1491" s="1">
        <v>3.4027777777777803E-2</v>
      </c>
      <c r="B1491" s="2">
        <v>6.13</v>
      </c>
      <c r="C1491" s="2">
        <v>3.6799999999999997</v>
      </c>
      <c r="D1491" s="2">
        <v>5.13</v>
      </c>
      <c r="E1491" s="2">
        <v>4.9799999999999995</v>
      </c>
      <c r="F1491" s="2">
        <v>3.24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</row>
    <row r="1492" spans="1:11" x14ac:dyDescent="0.2">
      <c r="A1492" s="1">
        <v>3.4722222222222203E-2</v>
      </c>
      <c r="B1492" s="2">
        <v>6.14</v>
      </c>
      <c r="C1492" s="2">
        <v>3.59</v>
      </c>
      <c r="D1492" s="2">
        <v>5.05</v>
      </c>
      <c r="E1492" s="2">
        <v>5.27</v>
      </c>
      <c r="F1492" s="2">
        <v>3.31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</row>
    <row r="1493" spans="1:11" x14ac:dyDescent="0.2">
      <c r="A1493" s="1">
        <v>3.54166666666667E-2</v>
      </c>
      <c r="B1493" s="2">
        <v>6.3</v>
      </c>
      <c r="C1493" s="2">
        <v>3.57</v>
      </c>
      <c r="D1493" s="2">
        <v>5.0299999999999994</v>
      </c>
      <c r="E1493" s="2">
        <v>5.36</v>
      </c>
      <c r="F1493" s="2">
        <v>3.37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</row>
    <row r="1494" spans="1:11" x14ac:dyDescent="0.2">
      <c r="A1494" s="1">
        <v>3.6111111111111101E-2</v>
      </c>
      <c r="B1494" s="2">
        <v>6.28</v>
      </c>
      <c r="C1494" s="2">
        <v>3.5799999999999996</v>
      </c>
      <c r="D1494" s="2">
        <v>5.17</v>
      </c>
      <c r="E1494" s="2">
        <v>5.14</v>
      </c>
      <c r="F1494" s="2">
        <v>3.02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</row>
    <row r="1495" spans="1:11" x14ac:dyDescent="0.2">
      <c r="A1495" s="1">
        <v>3.6805555555555598E-2</v>
      </c>
      <c r="B1495" s="2">
        <v>6.26</v>
      </c>
      <c r="C1495" s="2">
        <v>3.6399999999999997</v>
      </c>
      <c r="D1495" s="2">
        <v>5.2299999999999995</v>
      </c>
      <c r="E1495" s="2">
        <v>5.03</v>
      </c>
      <c r="F1495" s="2">
        <v>3.2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</row>
    <row r="1496" spans="1:11" x14ac:dyDescent="0.2">
      <c r="A1496" s="1">
        <v>3.7499999999999999E-2</v>
      </c>
      <c r="B1496" s="2">
        <v>6.18</v>
      </c>
      <c r="C1496" s="2">
        <v>3.78</v>
      </c>
      <c r="D1496" s="2">
        <v>4.9899999999999993</v>
      </c>
      <c r="E1496" s="2">
        <v>5.32</v>
      </c>
      <c r="F1496" s="2">
        <v>3.0100000000000002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</row>
    <row r="1497" spans="1:11" x14ac:dyDescent="0.2">
      <c r="A1497" s="1">
        <v>3.8194444444444399E-2</v>
      </c>
      <c r="B1497" s="2">
        <v>6.22</v>
      </c>
      <c r="C1497" s="2">
        <v>3.63</v>
      </c>
      <c r="D1497" s="2">
        <v>5.1099999999999994</v>
      </c>
      <c r="E1497" s="2">
        <v>5.46</v>
      </c>
      <c r="F1497" s="2">
        <v>3.0700000000000003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</row>
    <row r="1498" spans="1:11" x14ac:dyDescent="0.2">
      <c r="A1498" s="1">
        <v>3.8888888888888903E-2</v>
      </c>
      <c r="B1498" s="2">
        <v>6.18</v>
      </c>
      <c r="C1498" s="2">
        <v>3.6999999999999997</v>
      </c>
      <c r="D1498" s="2">
        <v>4.9099999999999993</v>
      </c>
      <c r="E1498" s="2">
        <v>5.54</v>
      </c>
      <c r="F1498" s="2">
        <v>2.95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</row>
    <row r="1499" spans="1:11" x14ac:dyDescent="0.2">
      <c r="A1499" s="1">
        <v>3.9583333333333297E-2</v>
      </c>
      <c r="B1499" s="2">
        <v>6.15</v>
      </c>
      <c r="C1499" s="2">
        <v>3.5799999999999996</v>
      </c>
      <c r="D1499" s="2">
        <v>4.8699999999999992</v>
      </c>
      <c r="E1499" s="2">
        <v>4.99</v>
      </c>
      <c r="F1499" s="2">
        <v>3.3600000000000003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</row>
    <row r="1500" spans="1:11" x14ac:dyDescent="0.2">
      <c r="A1500" s="1">
        <v>4.0277777777777801E-2</v>
      </c>
      <c r="B1500" s="2">
        <v>6.3</v>
      </c>
      <c r="C1500" s="2">
        <v>3.6599999999999997</v>
      </c>
      <c r="D1500" s="2">
        <v>5.0599999999999996</v>
      </c>
      <c r="E1500" s="2">
        <v>5.17</v>
      </c>
      <c r="F1500" s="2">
        <v>3.37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</row>
    <row r="1501" spans="1:11" x14ac:dyDescent="0.2">
      <c r="A1501" s="1">
        <v>4.0972222222222202E-2</v>
      </c>
      <c r="B1501" s="2">
        <v>6.33</v>
      </c>
      <c r="C1501" s="2">
        <v>3.55</v>
      </c>
      <c r="D1501" s="2">
        <v>5.27</v>
      </c>
      <c r="E1501" s="2">
        <v>4.97</v>
      </c>
      <c r="F1501" s="2">
        <v>3.3200000000000003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</row>
    <row r="1502" spans="1:11" x14ac:dyDescent="0.2">
      <c r="A1502" s="3">
        <v>4.1666666666666699E-2</v>
      </c>
      <c r="B1502" s="2">
        <v>6.19</v>
      </c>
      <c r="C1502" s="2">
        <v>3.71</v>
      </c>
      <c r="D1502" s="2">
        <v>5.09</v>
      </c>
      <c r="E1502" s="2">
        <v>5.31</v>
      </c>
      <c r="F1502" s="2">
        <v>3.15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</row>
    <row r="1503" spans="1:11" x14ac:dyDescent="0.2">
      <c r="A1503" s="1">
        <v>4.2361111111111099E-2</v>
      </c>
      <c r="B1503" s="2">
        <v>6.13</v>
      </c>
      <c r="C1503" s="2">
        <v>3.61</v>
      </c>
      <c r="D1503" s="2">
        <v>5.29</v>
      </c>
      <c r="E1503" s="2">
        <v>4.9399999999999995</v>
      </c>
      <c r="F1503" s="2">
        <v>3.27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</row>
    <row r="1504" spans="1:11" x14ac:dyDescent="0.2">
      <c r="A1504" s="1">
        <v>4.3055555555555597E-2</v>
      </c>
      <c r="B1504" s="2">
        <v>6.16</v>
      </c>
      <c r="C1504" s="2">
        <v>3.61</v>
      </c>
      <c r="D1504" s="2">
        <v>5.0299999999999994</v>
      </c>
      <c r="E1504" s="2">
        <v>5.1899999999999995</v>
      </c>
      <c r="F1504" s="2">
        <v>3.27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</row>
    <row r="1505" spans="1:11" x14ac:dyDescent="0.2">
      <c r="A1505" s="1">
        <v>4.3749999999999997E-2</v>
      </c>
      <c r="B1505" s="2">
        <v>6.24</v>
      </c>
      <c r="C1505" s="2">
        <v>3.5799999999999996</v>
      </c>
      <c r="D1505" s="2">
        <v>4.8999999999999995</v>
      </c>
      <c r="E1505" s="2">
        <v>5.18</v>
      </c>
      <c r="F1505" s="2">
        <v>3.2600000000000002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</row>
    <row r="1506" spans="1:11" x14ac:dyDescent="0.2">
      <c r="A1506" s="1">
        <v>4.4444444444444398E-2</v>
      </c>
      <c r="B1506" s="2">
        <v>6.11</v>
      </c>
      <c r="C1506" s="2">
        <v>3.55</v>
      </c>
      <c r="D1506" s="2">
        <v>5.14</v>
      </c>
      <c r="E1506" s="2">
        <v>5.09</v>
      </c>
      <c r="F1506" s="2">
        <v>3.27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</row>
    <row r="1507" spans="1:11" x14ac:dyDescent="0.2">
      <c r="A1507" s="1">
        <v>4.5138888888888902E-2</v>
      </c>
      <c r="B1507" s="2">
        <v>6.23</v>
      </c>
      <c r="C1507" s="2">
        <v>3.65</v>
      </c>
      <c r="D1507" s="2">
        <v>4.8699999999999992</v>
      </c>
      <c r="E1507" s="2">
        <v>5.52</v>
      </c>
      <c r="F1507" s="2">
        <v>3.38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</row>
    <row r="1508" spans="1:11" x14ac:dyDescent="0.2">
      <c r="A1508" s="1">
        <v>4.5833333333333302E-2</v>
      </c>
      <c r="B1508" s="2">
        <v>6.28</v>
      </c>
      <c r="C1508" s="2">
        <v>3.5799999999999996</v>
      </c>
      <c r="D1508" s="2">
        <v>5.2799999999999994</v>
      </c>
      <c r="E1508" s="2">
        <v>4.99</v>
      </c>
      <c r="F1508" s="2">
        <v>2.89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</row>
    <row r="1509" spans="1:11" x14ac:dyDescent="0.2">
      <c r="A1509" s="1">
        <v>4.65277777777778E-2</v>
      </c>
      <c r="B1509" s="2">
        <v>6.23</v>
      </c>
      <c r="C1509" s="2">
        <v>3.67</v>
      </c>
      <c r="D1509" s="2">
        <v>5.05</v>
      </c>
      <c r="E1509" s="2">
        <v>5.0999999999999996</v>
      </c>
      <c r="F1509" s="2">
        <v>3.12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</row>
    <row r="1510" spans="1:11" x14ac:dyDescent="0.2">
      <c r="A1510" s="1">
        <v>4.72222222222222E-2</v>
      </c>
      <c r="B1510" s="2">
        <v>6.15</v>
      </c>
      <c r="C1510" s="2">
        <v>3.63</v>
      </c>
      <c r="D1510" s="2">
        <v>4.93</v>
      </c>
      <c r="E1510" s="2">
        <v>5.09</v>
      </c>
      <c r="F1510" s="2">
        <v>2.95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</row>
    <row r="1511" spans="1:11" x14ac:dyDescent="0.2">
      <c r="A1511" s="1">
        <v>4.7916666666666698E-2</v>
      </c>
      <c r="B1511" s="2">
        <v>6.14</v>
      </c>
      <c r="C1511" s="2">
        <v>3.55</v>
      </c>
      <c r="D1511" s="2">
        <v>4.92</v>
      </c>
      <c r="E1511" s="2">
        <v>5.18</v>
      </c>
      <c r="F1511" s="2">
        <v>2.99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</row>
    <row r="1512" spans="1:11" x14ac:dyDescent="0.2">
      <c r="A1512" s="1">
        <v>4.8611111111111098E-2</v>
      </c>
      <c r="B1512" s="2">
        <v>6.29</v>
      </c>
      <c r="C1512" s="2">
        <v>3.57</v>
      </c>
      <c r="D1512" s="2">
        <v>5.18</v>
      </c>
      <c r="E1512" s="2">
        <v>5.37</v>
      </c>
      <c r="F1512" s="2">
        <v>2.92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</row>
    <row r="1513" spans="1:11" x14ac:dyDescent="0.2">
      <c r="A1513" s="1">
        <v>4.9305555555555602E-2</v>
      </c>
      <c r="B1513" s="2">
        <v>6.25</v>
      </c>
      <c r="C1513" s="2">
        <v>3.6599999999999997</v>
      </c>
      <c r="D1513" s="2">
        <v>5.25</v>
      </c>
      <c r="E1513" s="2">
        <v>5.45</v>
      </c>
      <c r="F1513" s="2">
        <v>3.35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</row>
    <row r="1514" spans="1:11" x14ac:dyDescent="0.2">
      <c r="A1514" s="1">
        <v>0.05</v>
      </c>
      <c r="B1514" s="2">
        <v>6.25</v>
      </c>
      <c r="C1514" s="2">
        <v>3.5599999999999996</v>
      </c>
      <c r="D1514" s="2">
        <v>5.1499999999999995</v>
      </c>
      <c r="E1514" s="2">
        <v>5.4</v>
      </c>
      <c r="F1514" s="2">
        <v>2.98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</row>
    <row r="1515" spans="1:11" x14ac:dyDescent="0.2">
      <c r="A1515" s="1">
        <v>5.0694444444444403E-2</v>
      </c>
      <c r="B1515" s="2">
        <v>6.21</v>
      </c>
      <c r="C1515" s="2">
        <v>3.5399999999999996</v>
      </c>
      <c r="D1515" s="2">
        <v>5.1199999999999992</v>
      </c>
      <c r="E1515" s="2">
        <v>5.41</v>
      </c>
      <c r="F1515" s="2">
        <v>3.0300000000000002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</row>
    <row r="1516" spans="1:11" x14ac:dyDescent="0.2">
      <c r="A1516" s="1">
        <v>5.1388888888888901E-2</v>
      </c>
      <c r="B1516" s="2">
        <v>6.08</v>
      </c>
      <c r="C1516" s="2">
        <v>3.73</v>
      </c>
      <c r="D1516" s="2">
        <v>5.3</v>
      </c>
      <c r="E1516" s="2">
        <v>5.17</v>
      </c>
      <c r="F1516" s="2">
        <v>3.17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</row>
    <row r="1517" spans="1:11" x14ac:dyDescent="0.2">
      <c r="A1517" s="1">
        <v>5.2083333333333301E-2</v>
      </c>
      <c r="B1517" s="2">
        <v>6.19</v>
      </c>
      <c r="C1517" s="2">
        <v>3.6799999999999997</v>
      </c>
      <c r="D1517" s="2">
        <v>5.14</v>
      </c>
      <c r="E1517" s="2">
        <v>5.37</v>
      </c>
      <c r="F1517" s="2">
        <v>3.27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</row>
    <row r="1518" spans="1:11" x14ac:dyDescent="0.2">
      <c r="A1518" s="1">
        <v>5.2777777777777798E-2</v>
      </c>
      <c r="B1518" s="2">
        <v>6.23</v>
      </c>
      <c r="C1518" s="2">
        <v>3.7399999999999998</v>
      </c>
      <c r="D1518" s="2">
        <v>5.3</v>
      </c>
      <c r="E1518" s="2">
        <v>5.33</v>
      </c>
      <c r="F1518" s="2">
        <v>2.92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</row>
    <row r="1519" spans="1:11" x14ac:dyDescent="0.2">
      <c r="A1519" s="1">
        <v>5.3472222222222199E-2</v>
      </c>
      <c r="B1519" s="2">
        <v>6.18</v>
      </c>
      <c r="C1519" s="2">
        <v>3.7199999999999998</v>
      </c>
      <c r="D1519" s="2">
        <v>4.8599999999999994</v>
      </c>
      <c r="E1519" s="2">
        <v>5.48</v>
      </c>
      <c r="F1519" s="2">
        <v>3.2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</row>
    <row r="1520" spans="1:11" x14ac:dyDescent="0.2">
      <c r="A1520" s="1">
        <v>5.4166666666666703E-2</v>
      </c>
      <c r="B1520" s="2">
        <v>6.29</v>
      </c>
      <c r="C1520" s="2">
        <v>3.5799999999999996</v>
      </c>
      <c r="D1520" s="2">
        <v>5.1999999999999993</v>
      </c>
      <c r="E1520" s="2">
        <v>5.53</v>
      </c>
      <c r="F1520" s="2">
        <v>3.31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</row>
    <row r="1521" spans="1:11" x14ac:dyDescent="0.2">
      <c r="A1521" s="1">
        <v>5.4861111111111097E-2</v>
      </c>
      <c r="B1521" s="2">
        <v>6.29</v>
      </c>
      <c r="C1521" s="2">
        <v>3.79</v>
      </c>
      <c r="D1521" s="2">
        <v>5.0199999999999996</v>
      </c>
      <c r="E1521" s="2">
        <v>5.26</v>
      </c>
      <c r="F1521" s="2">
        <v>3.12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</row>
    <row r="1522" spans="1:11" x14ac:dyDescent="0.2">
      <c r="A1522" s="1">
        <v>5.5555555555555601E-2</v>
      </c>
      <c r="B1522" s="2">
        <v>6.16</v>
      </c>
      <c r="C1522" s="2">
        <v>3.6599999999999997</v>
      </c>
      <c r="D1522" s="2">
        <v>5.1999999999999993</v>
      </c>
      <c r="E1522" s="2">
        <v>5.42</v>
      </c>
      <c r="F1522" s="2">
        <v>3.2600000000000002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</row>
    <row r="1523" spans="1:11" x14ac:dyDescent="0.2">
      <c r="A1523" s="1">
        <v>5.6250000000000001E-2</v>
      </c>
      <c r="B1523" s="2">
        <v>6.25</v>
      </c>
      <c r="C1523" s="2">
        <v>3.55</v>
      </c>
      <c r="D1523" s="2">
        <v>5.25</v>
      </c>
      <c r="E1523" s="2">
        <v>5.38</v>
      </c>
      <c r="F1523" s="2">
        <v>3.16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</row>
    <row r="1524" spans="1:11" x14ac:dyDescent="0.2">
      <c r="A1524" s="1">
        <v>5.6944444444444402E-2</v>
      </c>
      <c r="B1524" s="2">
        <v>6.22</v>
      </c>
      <c r="C1524" s="2">
        <v>3.79</v>
      </c>
      <c r="D1524" s="2">
        <v>5.22</v>
      </c>
      <c r="E1524" s="2">
        <v>5.4</v>
      </c>
      <c r="F1524" s="2">
        <v>3.2600000000000002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</row>
    <row r="1525" spans="1:11" x14ac:dyDescent="0.2">
      <c r="A1525" s="1">
        <v>5.7638888888888899E-2</v>
      </c>
      <c r="B1525" s="2">
        <v>6.11</v>
      </c>
      <c r="C1525" s="2">
        <v>3.6599999999999997</v>
      </c>
      <c r="D1525" s="2">
        <v>5.1599999999999993</v>
      </c>
      <c r="E1525" s="2">
        <v>5.13</v>
      </c>
      <c r="F1525" s="2">
        <v>3.39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</row>
    <row r="1526" spans="1:11" x14ac:dyDescent="0.2">
      <c r="A1526" s="1">
        <v>5.83333333333333E-2</v>
      </c>
      <c r="B1526" s="2">
        <v>6.33</v>
      </c>
      <c r="C1526" s="2">
        <v>3.7399999999999998</v>
      </c>
      <c r="D1526" s="2">
        <v>5.2299999999999995</v>
      </c>
      <c r="E1526" s="2">
        <v>4.9399999999999995</v>
      </c>
      <c r="F1526" s="2">
        <v>3.23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</row>
    <row r="1527" spans="1:11" x14ac:dyDescent="0.2">
      <c r="A1527" s="1">
        <v>5.9027777777777797E-2</v>
      </c>
      <c r="B1527" s="2">
        <v>6.09</v>
      </c>
      <c r="C1527" s="2">
        <v>3.5599999999999996</v>
      </c>
      <c r="D1527" s="2">
        <v>4.8599999999999994</v>
      </c>
      <c r="E1527" s="2">
        <v>5.17</v>
      </c>
      <c r="F1527" s="2">
        <v>3.14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</row>
    <row r="1528" spans="1:11" x14ac:dyDescent="0.2">
      <c r="A1528" s="1">
        <v>5.9722222222222197E-2</v>
      </c>
      <c r="B1528" s="2">
        <v>6.23</v>
      </c>
      <c r="C1528" s="2">
        <v>3.61</v>
      </c>
      <c r="D1528" s="2">
        <v>5.14</v>
      </c>
      <c r="E1528" s="2">
        <v>5.46</v>
      </c>
      <c r="F1528" s="2">
        <v>3.25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</row>
    <row r="1529" spans="1:11" x14ac:dyDescent="0.2">
      <c r="A1529" s="1">
        <v>6.0416666666666702E-2</v>
      </c>
      <c r="B1529" s="2">
        <v>6.23</v>
      </c>
      <c r="C1529" s="2">
        <v>3.65</v>
      </c>
      <c r="D1529" s="2">
        <v>5.22</v>
      </c>
      <c r="E1529" s="2">
        <v>4.93</v>
      </c>
      <c r="F1529" s="2">
        <v>3.21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</row>
    <row r="1530" spans="1:11" x14ac:dyDescent="0.2">
      <c r="A1530" s="1">
        <v>6.1111111111111102E-2</v>
      </c>
      <c r="B1530" s="2">
        <v>6.09</v>
      </c>
      <c r="C1530" s="2">
        <v>3.5999999999999996</v>
      </c>
      <c r="D1530" s="2">
        <v>5.27</v>
      </c>
      <c r="E1530" s="2">
        <v>5.18</v>
      </c>
      <c r="F1530" s="2">
        <v>2.97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</row>
    <row r="1531" spans="1:11" x14ac:dyDescent="0.2">
      <c r="A1531" s="1">
        <v>6.18055555555556E-2</v>
      </c>
      <c r="B1531" s="2">
        <v>6.28</v>
      </c>
      <c r="C1531" s="2">
        <v>3.6999999999999997</v>
      </c>
      <c r="D1531" s="2">
        <v>5.1199999999999992</v>
      </c>
      <c r="E1531" s="2">
        <v>5.0999999999999996</v>
      </c>
      <c r="F1531" s="2">
        <v>3.2600000000000002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</row>
    <row r="1532" spans="1:11" x14ac:dyDescent="0.2">
      <c r="A1532" s="1">
        <v>6.25E-2</v>
      </c>
      <c r="B1532" s="2">
        <v>6.3</v>
      </c>
      <c r="C1532" s="2">
        <v>3.5399999999999996</v>
      </c>
      <c r="D1532" s="2">
        <v>5.2299999999999995</v>
      </c>
      <c r="E1532" s="2">
        <v>5.15</v>
      </c>
      <c r="F1532" s="2">
        <v>3.38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</row>
    <row r="1533" spans="1:11" x14ac:dyDescent="0.2">
      <c r="A1533" s="1">
        <v>6.31944444444444E-2</v>
      </c>
      <c r="B1533" s="2">
        <v>6.29</v>
      </c>
      <c r="C1533" s="2">
        <v>3.61</v>
      </c>
      <c r="D1533" s="2">
        <v>5.21</v>
      </c>
      <c r="E1533" s="2">
        <v>5.07</v>
      </c>
      <c r="F1533" s="2">
        <v>3.0900000000000003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</row>
    <row r="1534" spans="1:11" x14ac:dyDescent="0.2">
      <c r="A1534" s="1">
        <v>6.3888888888888898E-2</v>
      </c>
      <c r="B1534" s="2">
        <v>6.25</v>
      </c>
      <c r="C1534" s="2">
        <v>3.6799999999999997</v>
      </c>
      <c r="D1534" s="2">
        <v>5.1099999999999994</v>
      </c>
      <c r="E1534" s="2">
        <v>5.39</v>
      </c>
      <c r="F1534" s="2">
        <v>3.25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</row>
    <row r="1535" spans="1:11" x14ac:dyDescent="0.2">
      <c r="A1535" s="1">
        <v>6.4583333333333298E-2</v>
      </c>
      <c r="B1535" s="2">
        <v>6.17</v>
      </c>
      <c r="C1535" s="2">
        <v>3.59</v>
      </c>
      <c r="D1535" s="2">
        <v>4.93</v>
      </c>
      <c r="E1535" s="2">
        <v>5.26</v>
      </c>
      <c r="F1535" s="2">
        <v>2.87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</row>
    <row r="1536" spans="1:11" x14ac:dyDescent="0.2">
      <c r="A1536" s="1">
        <v>6.5277777777777796E-2</v>
      </c>
      <c r="B1536" s="2">
        <v>6.18</v>
      </c>
      <c r="C1536" s="2">
        <v>3.78</v>
      </c>
      <c r="D1536" s="2">
        <v>5.1599999999999993</v>
      </c>
      <c r="E1536" s="2">
        <v>5.01</v>
      </c>
      <c r="F1536" s="2">
        <v>3.39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</row>
    <row r="1537" spans="1:11" x14ac:dyDescent="0.2">
      <c r="A1537" s="1">
        <v>6.5972222222222196E-2</v>
      </c>
      <c r="B1537" s="2">
        <v>6.3</v>
      </c>
      <c r="C1537" s="2">
        <v>3.79</v>
      </c>
      <c r="D1537" s="2">
        <v>5.1099999999999994</v>
      </c>
      <c r="E1537" s="2">
        <v>5.24</v>
      </c>
      <c r="F1537" s="2">
        <v>3.0300000000000002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</row>
    <row r="1538" spans="1:11" x14ac:dyDescent="0.2">
      <c r="A1538" s="1">
        <v>6.6666666666666693E-2</v>
      </c>
      <c r="B1538" s="2">
        <v>6.29</v>
      </c>
      <c r="C1538" s="2">
        <v>3.7399999999999998</v>
      </c>
      <c r="D1538" s="2">
        <v>5.04</v>
      </c>
      <c r="E1538" s="2">
        <v>5.13</v>
      </c>
      <c r="F1538" s="2">
        <v>3.12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</row>
    <row r="1539" spans="1:11" x14ac:dyDescent="0.2">
      <c r="A1539" s="1">
        <v>6.7361111111111094E-2</v>
      </c>
      <c r="B1539" s="2">
        <v>6.2</v>
      </c>
      <c r="C1539" s="2">
        <v>3.61</v>
      </c>
      <c r="D1539" s="2">
        <v>4.9499999999999993</v>
      </c>
      <c r="E1539" s="2">
        <v>5.41</v>
      </c>
      <c r="F1539" s="2">
        <v>3.23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</row>
    <row r="1540" spans="1:11" x14ac:dyDescent="0.2">
      <c r="A1540" s="1">
        <v>6.8055555555555605E-2</v>
      </c>
      <c r="B1540" s="2">
        <v>6.21</v>
      </c>
      <c r="C1540" s="2">
        <v>3.7699999999999996</v>
      </c>
      <c r="D1540" s="2">
        <v>5.29</v>
      </c>
      <c r="E1540" s="2">
        <v>5.34</v>
      </c>
      <c r="F1540" s="2">
        <v>3.0500000000000003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</row>
    <row r="1541" spans="1:11" x14ac:dyDescent="0.2">
      <c r="A1541" s="1">
        <v>6.8750000000000006E-2</v>
      </c>
      <c r="B1541" s="2">
        <v>6.13</v>
      </c>
      <c r="C1541" s="2">
        <v>3.73</v>
      </c>
      <c r="D1541" s="2">
        <v>5.1499999999999995</v>
      </c>
      <c r="E1541" s="2">
        <v>5.2299999999999995</v>
      </c>
      <c r="F1541" s="2">
        <v>2.94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</row>
    <row r="1542" spans="1:11" x14ac:dyDescent="0.2">
      <c r="A1542" s="1">
        <v>6.9444444444444406E-2</v>
      </c>
      <c r="B1542" s="2">
        <v>6.08</v>
      </c>
      <c r="C1542" s="2">
        <v>3.73</v>
      </c>
      <c r="D1542" s="2">
        <v>5.13</v>
      </c>
      <c r="E1542" s="2">
        <v>4.93</v>
      </c>
      <c r="F1542" s="2">
        <v>3.0500000000000003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</row>
    <row r="1543" spans="1:11" x14ac:dyDescent="0.2">
      <c r="A1543" s="1">
        <v>7.0138888888888903E-2</v>
      </c>
      <c r="B1543" s="2">
        <v>6.21</v>
      </c>
      <c r="C1543" s="2">
        <v>3.73</v>
      </c>
      <c r="D1543" s="2">
        <v>5.14</v>
      </c>
      <c r="E1543" s="2">
        <v>4.9399999999999995</v>
      </c>
      <c r="F1543" s="2">
        <v>2.97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</row>
    <row r="1544" spans="1:11" x14ac:dyDescent="0.2">
      <c r="A1544" s="1">
        <v>7.0833333333333304E-2</v>
      </c>
      <c r="B1544" s="2">
        <v>6.29</v>
      </c>
      <c r="C1544" s="2">
        <v>3.7199999999999998</v>
      </c>
      <c r="D1544" s="2">
        <v>4.8699999999999992</v>
      </c>
      <c r="E1544" s="2">
        <v>5.01</v>
      </c>
      <c r="F1544" s="2">
        <v>3.27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</row>
    <row r="1545" spans="1:11" x14ac:dyDescent="0.2">
      <c r="A1545" s="1">
        <v>7.1527777777777801E-2</v>
      </c>
      <c r="B1545" s="2">
        <v>6.14</v>
      </c>
      <c r="C1545" s="2">
        <v>3.63</v>
      </c>
      <c r="D1545" s="2">
        <v>5.1899999999999995</v>
      </c>
      <c r="E1545" s="2">
        <v>5.28</v>
      </c>
      <c r="F1545" s="2">
        <v>3.1100000000000003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</row>
    <row r="1546" spans="1:11" x14ac:dyDescent="0.2">
      <c r="A1546" s="1">
        <v>7.2222222222222202E-2</v>
      </c>
      <c r="B1546" s="2">
        <v>6.09</v>
      </c>
      <c r="C1546" s="2">
        <v>3.55</v>
      </c>
      <c r="D1546" s="2">
        <v>5.0699999999999994</v>
      </c>
      <c r="E1546" s="2">
        <v>5.21</v>
      </c>
      <c r="F1546" s="2">
        <v>2.9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</row>
    <row r="1547" spans="1:11" x14ac:dyDescent="0.2">
      <c r="A1547" s="1">
        <v>7.2916666666666699E-2</v>
      </c>
      <c r="B1547" s="2">
        <v>6.29</v>
      </c>
      <c r="C1547" s="2">
        <v>3.65</v>
      </c>
      <c r="D1547" s="2">
        <v>5.1499999999999995</v>
      </c>
      <c r="E1547" s="2">
        <v>5.52</v>
      </c>
      <c r="F1547" s="2">
        <v>3.0900000000000003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</row>
    <row r="1548" spans="1:11" x14ac:dyDescent="0.2">
      <c r="A1548" s="1">
        <v>7.3611111111111099E-2</v>
      </c>
      <c r="B1548" s="2">
        <v>6.28</v>
      </c>
      <c r="C1548" s="2">
        <v>3.75</v>
      </c>
      <c r="D1548" s="2">
        <v>4.93</v>
      </c>
      <c r="E1548" s="2">
        <v>5.52</v>
      </c>
      <c r="F1548" s="2">
        <v>3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</row>
    <row r="1549" spans="1:11" x14ac:dyDescent="0.2">
      <c r="A1549" s="1">
        <v>7.4305555555555597E-2</v>
      </c>
      <c r="B1549" s="2">
        <v>6.08</v>
      </c>
      <c r="C1549" s="2">
        <v>3.6399999999999997</v>
      </c>
      <c r="D1549" s="2">
        <v>5.26</v>
      </c>
      <c r="E1549" s="2">
        <v>5.36</v>
      </c>
      <c r="F1549" s="2">
        <v>3.24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</row>
    <row r="1550" spans="1:11" x14ac:dyDescent="0.2">
      <c r="A1550" s="1">
        <v>7.4999999999999997E-2</v>
      </c>
      <c r="B1550" s="2">
        <v>6.12</v>
      </c>
      <c r="C1550" s="2">
        <v>3.78</v>
      </c>
      <c r="D1550" s="2">
        <v>5.1099999999999994</v>
      </c>
      <c r="E1550" s="2">
        <v>5.29</v>
      </c>
      <c r="F1550" s="2">
        <v>3.14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</row>
    <row r="1551" spans="1:11" x14ac:dyDescent="0.2">
      <c r="A1551" s="1">
        <v>7.5694444444444495E-2</v>
      </c>
      <c r="B1551" s="2">
        <v>6.23</v>
      </c>
      <c r="C1551" s="2">
        <v>3.6399999999999997</v>
      </c>
      <c r="D1551" s="2">
        <v>4.88</v>
      </c>
      <c r="E1551" s="2">
        <v>5.07</v>
      </c>
      <c r="F1551" s="2">
        <v>3.24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</row>
    <row r="1552" spans="1:11" x14ac:dyDescent="0.2">
      <c r="A1552" s="1">
        <v>7.6388888888888895E-2</v>
      </c>
      <c r="B1552" s="2">
        <v>6.17</v>
      </c>
      <c r="C1552" s="2">
        <v>3.7199999999999998</v>
      </c>
      <c r="D1552" s="2">
        <v>4.9099999999999993</v>
      </c>
      <c r="E1552" s="2">
        <v>5.09</v>
      </c>
      <c r="F1552" s="2">
        <v>3.24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</row>
    <row r="1553" spans="1:11" x14ac:dyDescent="0.2">
      <c r="A1553" s="1">
        <v>7.7083333333333295E-2</v>
      </c>
      <c r="B1553" s="2">
        <v>6.29</v>
      </c>
      <c r="C1553" s="2">
        <v>3.7199999999999998</v>
      </c>
      <c r="D1553" s="2">
        <v>5.14</v>
      </c>
      <c r="E1553" s="2">
        <v>5.22</v>
      </c>
      <c r="F1553" s="2">
        <v>3.25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</row>
    <row r="1554" spans="1:11" x14ac:dyDescent="0.2">
      <c r="A1554" s="1">
        <v>7.7777777777777807E-2</v>
      </c>
      <c r="B1554" s="2">
        <v>6.15</v>
      </c>
      <c r="C1554" s="2">
        <v>3.6399999999999997</v>
      </c>
      <c r="D1554" s="2">
        <v>5.1899999999999995</v>
      </c>
      <c r="E1554" s="2">
        <v>5.2</v>
      </c>
      <c r="F1554" s="2">
        <v>3.13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</row>
    <row r="1555" spans="1:11" x14ac:dyDescent="0.2">
      <c r="A1555" s="1">
        <v>7.8472222222222193E-2</v>
      </c>
      <c r="B1555" s="2">
        <v>6.3</v>
      </c>
      <c r="C1555" s="2">
        <v>3.76</v>
      </c>
      <c r="D1555" s="2">
        <v>5.0999999999999996</v>
      </c>
      <c r="E1555" s="2">
        <v>5.18</v>
      </c>
      <c r="F1555" s="2">
        <v>3.2800000000000002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</row>
    <row r="1556" spans="1:11" x14ac:dyDescent="0.2">
      <c r="A1556" s="1">
        <v>7.9166666666666705E-2</v>
      </c>
      <c r="B1556" s="2">
        <v>6.08</v>
      </c>
      <c r="C1556" s="2">
        <v>3.79</v>
      </c>
      <c r="D1556" s="2">
        <v>5.29</v>
      </c>
      <c r="E1556" s="2">
        <v>5.48</v>
      </c>
      <c r="F1556" s="2">
        <v>3.22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</row>
    <row r="1557" spans="1:11" x14ac:dyDescent="0.2">
      <c r="A1557" s="1">
        <v>7.9861111111111105E-2</v>
      </c>
      <c r="B1557" s="2">
        <v>6.25</v>
      </c>
      <c r="C1557" s="2">
        <v>3.65</v>
      </c>
      <c r="D1557" s="2">
        <v>5.13</v>
      </c>
      <c r="E1557" s="2">
        <v>5.22</v>
      </c>
      <c r="F1557" s="2">
        <v>3.12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</row>
    <row r="1558" spans="1:11" x14ac:dyDescent="0.2">
      <c r="A1558" s="1">
        <v>8.0555555555555602E-2</v>
      </c>
      <c r="B1558" s="2">
        <v>6.23</v>
      </c>
      <c r="C1558" s="2">
        <v>3.55</v>
      </c>
      <c r="D1558" s="2">
        <v>5.17</v>
      </c>
      <c r="E1558" s="2">
        <v>4.99</v>
      </c>
      <c r="F1558" s="2">
        <v>3.13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</row>
    <row r="1559" spans="1:11" x14ac:dyDescent="0.2">
      <c r="A1559" s="1">
        <v>8.1250000000000003E-2</v>
      </c>
      <c r="B1559" s="2">
        <v>6.28</v>
      </c>
      <c r="C1559" s="2">
        <v>3.71</v>
      </c>
      <c r="D1559" s="2">
        <v>4.9799999999999995</v>
      </c>
      <c r="E1559" s="2">
        <v>5.34</v>
      </c>
      <c r="F1559" s="2">
        <v>2.97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</row>
    <row r="1560" spans="1:11" x14ac:dyDescent="0.2">
      <c r="A1560" s="1">
        <v>8.1944444444444403E-2</v>
      </c>
      <c r="B1560" s="2">
        <v>6.3100000000000005</v>
      </c>
      <c r="C1560" s="2">
        <v>3.5799999999999996</v>
      </c>
      <c r="D1560" s="2">
        <v>4.9099999999999993</v>
      </c>
      <c r="E1560" s="2">
        <v>5.22</v>
      </c>
      <c r="F1560" s="2">
        <v>3.0500000000000003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</row>
    <row r="1561" spans="1:11" x14ac:dyDescent="0.2">
      <c r="A1561" s="1">
        <v>8.2638888888888901E-2</v>
      </c>
      <c r="B1561" s="2">
        <v>6.18</v>
      </c>
      <c r="C1561" s="2">
        <v>3.7699999999999996</v>
      </c>
      <c r="D1561" s="2">
        <v>4.97</v>
      </c>
      <c r="E1561" s="2">
        <v>5.42</v>
      </c>
      <c r="F1561" s="2">
        <v>3.3600000000000003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</row>
    <row r="1562" spans="1:11" x14ac:dyDescent="0.2">
      <c r="A1562" s="3">
        <v>8.3333333333333301E-2</v>
      </c>
      <c r="B1562" s="2">
        <v>6.2</v>
      </c>
      <c r="C1562" s="2">
        <v>3.72</v>
      </c>
      <c r="D1562" s="2">
        <v>5.09</v>
      </c>
      <c r="E1562" s="2">
        <v>5.31</v>
      </c>
      <c r="F1562" s="2">
        <v>3.16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</row>
    <row r="1563" spans="1:11" x14ac:dyDescent="0.2">
      <c r="A1563" s="1">
        <v>8.4027777777777798E-2</v>
      </c>
      <c r="B1563" s="2">
        <v>6.26</v>
      </c>
      <c r="C1563" s="2">
        <v>3.55</v>
      </c>
      <c r="D1563" s="2">
        <v>5.1099999999999994</v>
      </c>
      <c r="E1563" s="2">
        <v>5.61</v>
      </c>
      <c r="F1563" s="2">
        <v>2.88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</row>
    <row r="1564" spans="1:11" x14ac:dyDescent="0.2">
      <c r="A1564" s="1">
        <v>8.4722222222222199E-2</v>
      </c>
      <c r="B1564" s="2">
        <v>6.23</v>
      </c>
      <c r="C1564" s="2">
        <v>3.68</v>
      </c>
      <c r="D1564" s="2">
        <v>5.09</v>
      </c>
      <c r="E1564" s="2">
        <v>5.35</v>
      </c>
      <c r="F1564" s="2">
        <v>3.13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</row>
    <row r="1565" spans="1:11" x14ac:dyDescent="0.2">
      <c r="A1565" s="1">
        <v>8.5416666666666696E-2</v>
      </c>
      <c r="B1565" s="2">
        <v>6.3</v>
      </c>
      <c r="C1565" s="2">
        <v>3.71</v>
      </c>
      <c r="D1565" s="2">
        <v>5.25</v>
      </c>
      <c r="E1565" s="2">
        <v>5.32</v>
      </c>
      <c r="F1565" s="2">
        <v>2.96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</row>
    <row r="1566" spans="1:11" x14ac:dyDescent="0.2">
      <c r="A1566" s="1">
        <v>8.6111111111111097E-2</v>
      </c>
      <c r="B1566" s="2">
        <v>6.26</v>
      </c>
      <c r="C1566" s="2">
        <v>3.69</v>
      </c>
      <c r="D1566" s="2">
        <v>4.8599999999999994</v>
      </c>
      <c r="E1566" s="2">
        <v>5.12</v>
      </c>
      <c r="F1566" s="2">
        <v>3.1100000000000003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</row>
    <row r="1567" spans="1:11" x14ac:dyDescent="0.2">
      <c r="A1567" s="1">
        <v>8.6805555555555594E-2</v>
      </c>
      <c r="B1567" s="2">
        <v>6.09</v>
      </c>
      <c r="C1567" s="2">
        <v>3.65</v>
      </c>
      <c r="D1567" s="2">
        <v>4.97</v>
      </c>
      <c r="E1567" s="2">
        <v>5.54</v>
      </c>
      <c r="F1567" s="2">
        <v>3.12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</row>
    <row r="1568" spans="1:11" x14ac:dyDescent="0.2">
      <c r="A1568" s="1">
        <v>8.7499999999999994E-2</v>
      </c>
      <c r="B1568" s="2">
        <v>6.14</v>
      </c>
      <c r="C1568" s="2">
        <v>3.74</v>
      </c>
      <c r="D1568" s="2">
        <v>5.27</v>
      </c>
      <c r="E1568" s="2">
        <v>5.33</v>
      </c>
      <c r="F1568" s="2">
        <v>2.92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</row>
    <row r="1569" spans="1:11" x14ac:dyDescent="0.2">
      <c r="A1569" s="1">
        <v>8.8194444444444506E-2</v>
      </c>
      <c r="B1569" s="2">
        <v>6.14</v>
      </c>
      <c r="C1569" s="2">
        <v>3.7600000000000002</v>
      </c>
      <c r="D1569" s="2">
        <v>5.0599999999999996</v>
      </c>
      <c r="E1569" s="2">
        <v>5.63</v>
      </c>
      <c r="F1569" s="2">
        <v>3.21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</row>
    <row r="1570" spans="1:11" x14ac:dyDescent="0.2">
      <c r="A1570" s="1">
        <v>8.8888888888888906E-2</v>
      </c>
      <c r="B1570" s="2">
        <v>6.3</v>
      </c>
      <c r="C1570" s="2">
        <v>3.68</v>
      </c>
      <c r="D1570" s="2">
        <v>4.9899999999999993</v>
      </c>
      <c r="E1570" s="2">
        <v>5.08</v>
      </c>
      <c r="F1570" s="2">
        <v>3.08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</row>
    <row r="1571" spans="1:11" x14ac:dyDescent="0.2">
      <c r="A1571" s="1">
        <v>8.9583333333333307E-2</v>
      </c>
      <c r="B1571" s="2">
        <v>6.2700000000000005</v>
      </c>
      <c r="C1571" s="2">
        <v>3.61</v>
      </c>
      <c r="D1571" s="2">
        <v>5.0199999999999996</v>
      </c>
      <c r="E1571" s="2">
        <v>5.24</v>
      </c>
      <c r="F1571" s="2">
        <v>3.33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</row>
    <row r="1572" spans="1:11" x14ac:dyDescent="0.2">
      <c r="A1572" s="1">
        <v>9.0277777777777804E-2</v>
      </c>
      <c r="B1572" s="2">
        <v>6.3100000000000005</v>
      </c>
      <c r="C1572" s="2">
        <v>3.63</v>
      </c>
      <c r="D1572" s="2">
        <v>5.2299999999999995</v>
      </c>
      <c r="E1572" s="2">
        <v>5.4399999999999995</v>
      </c>
      <c r="F1572" s="2">
        <v>3.14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</row>
    <row r="1573" spans="1:11" x14ac:dyDescent="0.2">
      <c r="A1573" s="1">
        <v>9.0972222222222204E-2</v>
      </c>
      <c r="B1573" s="2">
        <v>6.12</v>
      </c>
      <c r="C1573" s="2">
        <v>3.58</v>
      </c>
      <c r="D1573" s="2">
        <v>4.97</v>
      </c>
      <c r="E1573" s="2">
        <v>4.95</v>
      </c>
      <c r="F1573" s="2">
        <v>3.3200000000000003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</row>
    <row r="1574" spans="1:11" x14ac:dyDescent="0.2">
      <c r="A1574" s="1">
        <v>9.1666666666666702E-2</v>
      </c>
      <c r="B1574" s="2">
        <v>6.25</v>
      </c>
      <c r="C1574" s="2">
        <v>3.77</v>
      </c>
      <c r="D1574" s="2">
        <v>5.09</v>
      </c>
      <c r="E1574" s="2">
        <v>5.48</v>
      </c>
      <c r="F1574" s="2">
        <v>3.23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</row>
    <row r="1575" spans="1:11" x14ac:dyDescent="0.2">
      <c r="A1575" s="1">
        <v>9.2361111111111102E-2</v>
      </c>
      <c r="B1575" s="2">
        <v>6.08</v>
      </c>
      <c r="C1575" s="2">
        <v>3.67</v>
      </c>
      <c r="D1575" s="2">
        <v>4.9499999999999993</v>
      </c>
      <c r="E1575" s="2">
        <v>5.62</v>
      </c>
      <c r="F1575" s="2">
        <v>3.23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</row>
    <row r="1576" spans="1:11" x14ac:dyDescent="0.2">
      <c r="A1576" s="1">
        <v>9.30555555555556E-2</v>
      </c>
      <c r="B1576" s="2">
        <v>6.16</v>
      </c>
      <c r="C1576" s="2">
        <v>3.7800000000000002</v>
      </c>
      <c r="D1576" s="2">
        <v>4.8699999999999992</v>
      </c>
      <c r="E1576" s="2">
        <v>5.54</v>
      </c>
      <c r="F1576" s="2">
        <v>3.04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</row>
    <row r="1577" spans="1:11" x14ac:dyDescent="0.2">
      <c r="A1577" s="1">
        <v>9.375E-2</v>
      </c>
      <c r="B1577" s="2">
        <v>6.22</v>
      </c>
      <c r="C1577" s="2">
        <v>3.73</v>
      </c>
      <c r="D1577" s="2">
        <v>5.0999999999999996</v>
      </c>
      <c r="E1577" s="2">
        <v>5.39</v>
      </c>
      <c r="F1577" s="2">
        <v>3.3200000000000003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</row>
    <row r="1578" spans="1:11" x14ac:dyDescent="0.2">
      <c r="A1578" s="1">
        <v>9.44444444444444E-2</v>
      </c>
      <c r="B1578" s="2">
        <v>6.08</v>
      </c>
      <c r="C1578" s="2">
        <v>3.63</v>
      </c>
      <c r="D1578" s="2">
        <v>4.8899999999999997</v>
      </c>
      <c r="E1578" s="2">
        <v>5.01</v>
      </c>
      <c r="F1578" s="2">
        <v>3.18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</row>
    <row r="1579" spans="1:11" x14ac:dyDescent="0.2">
      <c r="A1579" s="1">
        <v>9.5138888888888898E-2</v>
      </c>
      <c r="B1579" s="2">
        <v>6.25</v>
      </c>
      <c r="C1579" s="2">
        <v>3.7600000000000002</v>
      </c>
      <c r="D1579" s="2">
        <v>5.13</v>
      </c>
      <c r="E1579" s="2">
        <v>5.38</v>
      </c>
      <c r="F1579" s="2">
        <v>3.0700000000000003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</row>
    <row r="1580" spans="1:11" x14ac:dyDescent="0.2">
      <c r="A1580" s="1">
        <v>9.5833333333333298E-2</v>
      </c>
      <c r="B1580" s="2">
        <v>6.16</v>
      </c>
      <c r="C1580" s="2">
        <v>3.54</v>
      </c>
      <c r="D1580" s="2">
        <v>4.8599999999999994</v>
      </c>
      <c r="E1580" s="2">
        <v>4.93</v>
      </c>
      <c r="F1580" s="2">
        <v>3.0100000000000002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</row>
    <row r="1581" spans="1:11" x14ac:dyDescent="0.2">
      <c r="A1581" s="1">
        <v>9.6527777777777796E-2</v>
      </c>
      <c r="B1581" s="2">
        <v>6.28</v>
      </c>
      <c r="C1581" s="2">
        <v>3.68</v>
      </c>
      <c r="D1581" s="2">
        <v>5.1099999999999994</v>
      </c>
      <c r="E1581" s="2">
        <v>4.95</v>
      </c>
      <c r="F1581" s="2">
        <v>3.0100000000000002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</row>
    <row r="1582" spans="1:11" x14ac:dyDescent="0.2">
      <c r="A1582" s="1">
        <v>9.7222222222222196E-2</v>
      </c>
      <c r="B1582" s="2">
        <v>6.24</v>
      </c>
      <c r="C1582" s="2">
        <v>3.55</v>
      </c>
      <c r="D1582" s="2">
        <v>5.1099999999999994</v>
      </c>
      <c r="E1582" s="2">
        <v>5.4</v>
      </c>
      <c r="F1582" s="2">
        <v>3.38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</row>
    <row r="1583" spans="1:11" x14ac:dyDescent="0.2">
      <c r="A1583" s="1">
        <v>9.7916666666666693E-2</v>
      </c>
      <c r="B1583" s="2">
        <v>6.16</v>
      </c>
      <c r="C1583" s="2">
        <v>3.73</v>
      </c>
      <c r="D1583" s="2">
        <v>5.2299999999999995</v>
      </c>
      <c r="E1583" s="2">
        <v>4.95</v>
      </c>
      <c r="F1583" s="2">
        <v>3.24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</row>
    <row r="1584" spans="1:11" x14ac:dyDescent="0.2">
      <c r="A1584" s="1">
        <v>9.8611111111111094E-2</v>
      </c>
      <c r="B1584" s="2">
        <v>6.2</v>
      </c>
      <c r="C1584" s="2">
        <v>3.72</v>
      </c>
      <c r="D1584" s="2">
        <v>5.13</v>
      </c>
      <c r="E1584" s="2">
        <v>5.56</v>
      </c>
      <c r="F1584" s="2">
        <v>2.91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</row>
    <row r="1585" spans="1:11" x14ac:dyDescent="0.2">
      <c r="A1585" s="1">
        <v>9.9305555555555605E-2</v>
      </c>
      <c r="B1585" s="2">
        <v>6.2</v>
      </c>
      <c r="C1585" s="2">
        <v>3.69</v>
      </c>
      <c r="D1585" s="2">
        <v>4.9399999999999995</v>
      </c>
      <c r="E1585" s="2">
        <v>5.18</v>
      </c>
      <c r="F1585" s="2">
        <v>3.2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</row>
    <row r="1586" spans="1:11" x14ac:dyDescent="0.2">
      <c r="A1586" s="1">
        <v>0.1</v>
      </c>
      <c r="B1586" s="2">
        <v>6.16</v>
      </c>
      <c r="C1586" s="2">
        <v>3.55</v>
      </c>
      <c r="D1586" s="2">
        <v>5.1199999999999992</v>
      </c>
      <c r="E1586" s="2">
        <v>4.9799999999999995</v>
      </c>
      <c r="F1586" s="2">
        <v>3.23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</row>
    <row r="1587" spans="1:11" x14ac:dyDescent="0.2">
      <c r="A1587" s="1">
        <v>0.100694444444444</v>
      </c>
      <c r="B1587" s="2">
        <v>6.28</v>
      </c>
      <c r="C1587" s="2">
        <v>3.74</v>
      </c>
      <c r="D1587" s="2">
        <v>4.88</v>
      </c>
      <c r="E1587" s="2">
        <v>4.92</v>
      </c>
      <c r="F1587" s="2">
        <v>3.0900000000000003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</row>
    <row r="1588" spans="1:11" x14ac:dyDescent="0.2">
      <c r="A1588" s="1">
        <v>0.101388888888889</v>
      </c>
      <c r="B1588" s="2">
        <v>6.18</v>
      </c>
      <c r="C1588" s="2">
        <v>3.7800000000000002</v>
      </c>
      <c r="D1588" s="2">
        <v>4.9399999999999995</v>
      </c>
      <c r="E1588" s="2">
        <v>5.38</v>
      </c>
      <c r="F1588" s="2">
        <v>3.19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</row>
    <row r="1589" spans="1:11" x14ac:dyDescent="0.2">
      <c r="A1589" s="1">
        <v>0.102083333333333</v>
      </c>
      <c r="B1589" s="2">
        <v>6.25</v>
      </c>
      <c r="C1589" s="2">
        <v>3.6</v>
      </c>
      <c r="D1589" s="2">
        <v>5.3</v>
      </c>
      <c r="E1589" s="2">
        <v>5.29</v>
      </c>
      <c r="F1589" s="2">
        <v>3.0100000000000002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</row>
    <row r="1590" spans="1:11" x14ac:dyDescent="0.2">
      <c r="A1590" s="1">
        <v>0.102777777777778</v>
      </c>
      <c r="B1590" s="2">
        <v>6.09</v>
      </c>
      <c r="C1590" s="2">
        <v>3.6</v>
      </c>
      <c r="D1590" s="2">
        <v>4.8599999999999994</v>
      </c>
      <c r="E1590" s="2">
        <v>5.38</v>
      </c>
      <c r="F1590" s="2">
        <v>3.02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</row>
    <row r="1591" spans="1:11" x14ac:dyDescent="0.2">
      <c r="A1591" s="1">
        <v>0.10347222222222199</v>
      </c>
      <c r="B1591" s="2">
        <v>6.33</v>
      </c>
      <c r="C1591" s="2">
        <v>3.79</v>
      </c>
      <c r="D1591" s="2">
        <v>5.2399999999999993</v>
      </c>
      <c r="E1591" s="2">
        <v>5.3</v>
      </c>
      <c r="F1591" s="2">
        <v>2.94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</row>
    <row r="1592" spans="1:11" x14ac:dyDescent="0.2">
      <c r="A1592" s="1">
        <v>0.104166666666667</v>
      </c>
      <c r="B1592" s="2">
        <v>6.32</v>
      </c>
      <c r="C1592" s="2">
        <v>3.55</v>
      </c>
      <c r="D1592" s="2">
        <v>5.2399999999999993</v>
      </c>
      <c r="E1592" s="2">
        <v>5.45</v>
      </c>
      <c r="F1592" s="2">
        <v>2.91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</row>
    <row r="1593" spans="1:11" x14ac:dyDescent="0.2">
      <c r="A1593" s="1">
        <v>0.104861111111111</v>
      </c>
      <c r="B1593" s="2">
        <v>6.32</v>
      </c>
      <c r="C1593" s="2">
        <v>3.77</v>
      </c>
      <c r="D1593" s="2">
        <v>4.92</v>
      </c>
      <c r="E1593" s="2">
        <v>5.2</v>
      </c>
      <c r="F1593" s="2">
        <v>3.04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</row>
    <row r="1594" spans="1:11" x14ac:dyDescent="0.2">
      <c r="A1594" s="1">
        <v>0.105555555555556</v>
      </c>
      <c r="B1594" s="2">
        <v>6.2700000000000005</v>
      </c>
      <c r="C1594" s="2">
        <v>3.66</v>
      </c>
      <c r="D1594" s="2">
        <v>4.97</v>
      </c>
      <c r="E1594" s="2">
        <v>5.46</v>
      </c>
      <c r="F1594" s="2">
        <v>2.89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</row>
    <row r="1595" spans="1:11" x14ac:dyDescent="0.2">
      <c r="A1595" s="1">
        <v>0.10625</v>
      </c>
      <c r="B1595" s="2">
        <v>6.24</v>
      </c>
      <c r="C1595" s="2">
        <v>3.75</v>
      </c>
      <c r="D1595" s="2">
        <v>4.8699999999999992</v>
      </c>
      <c r="E1595" s="2">
        <v>5.03</v>
      </c>
      <c r="F1595" s="2">
        <v>3.1100000000000003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</row>
    <row r="1596" spans="1:11" x14ac:dyDescent="0.2">
      <c r="A1596" s="1">
        <v>0.106944444444444</v>
      </c>
      <c r="B1596" s="2">
        <v>6.12</v>
      </c>
      <c r="C1596" s="2">
        <v>3.62</v>
      </c>
      <c r="D1596" s="2">
        <v>5.27</v>
      </c>
      <c r="E1596" s="2">
        <v>5.07</v>
      </c>
      <c r="F1596" s="2">
        <v>3.24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</row>
    <row r="1597" spans="1:11" x14ac:dyDescent="0.2">
      <c r="A1597" s="1">
        <v>0.10763888888888901</v>
      </c>
      <c r="B1597" s="2">
        <v>6.12</v>
      </c>
      <c r="C1597" s="2">
        <v>3.79</v>
      </c>
      <c r="D1597" s="2">
        <v>5</v>
      </c>
      <c r="E1597" s="2">
        <v>5.07</v>
      </c>
      <c r="F1597" s="2">
        <v>3.3600000000000003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</row>
    <row r="1598" spans="1:11" x14ac:dyDescent="0.2">
      <c r="A1598" s="1">
        <v>0.108333333333333</v>
      </c>
      <c r="B1598" s="2">
        <v>6.24</v>
      </c>
      <c r="C1598" s="2">
        <v>3.72</v>
      </c>
      <c r="D1598" s="2">
        <v>5.27</v>
      </c>
      <c r="E1598" s="2">
        <v>5.55</v>
      </c>
      <c r="F1598" s="2">
        <v>2.88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</row>
    <row r="1599" spans="1:11" x14ac:dyDescent="0.2">
      <c r="A1599" s="1">
        <v>0.109027777777778</v>
      </c>
      <c r="B1599" s="2">
        <v>6.22</v>
      </c>
      <c r="C1599" s="2">
        <v>3.54</v>
      </c>
      <c r="D1599" s="2">
        <v>5.21</v>
      </c>
      <c r="E1599" s="2">
        <v>5.1899999999999995</v>
      </c>
      <c r="F1599" s="2">
        <v>3.08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</row>
    <row r="1600" spans="1:11" x14ac:dyDescent="0.2">
      <c r="A1600" s="1">
        <v>0.109722222222222</v>
      </c>
      <c r="B1600" s="2">
        <v>6.28</v>
      </c>
      <c r="C1600" s="2">
        <v>3.57</v>
      </c>
      <c r="D1600" s="2">
        <v>5.18</v>
      </c>
      <c r="E1600" s="2">
        <v>4.99</v>
      </c>
      <c r="F1600" s="2">
        <v>3.1500000000000004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</row>
    <row r="1601" spans="1:11" x14ac:dyDescent="0.2">
      <c r="A1601" s="1">
        <v>0.110416666666667</v>
      </c>
      <c r="B1601" s="2">
        <v>6.14</v>
      </c>
      <c r="C1601" s="2">
        <v>3.75</v>
      </c>
      <c r="D1601" s="2">
        <v>4.8499999999999996</v>
      </c>
      <c r="E1601" s="2">
        <v>5.0199999999999996</v>
      </c>
      <c r="F1601" s="2">
        <v>3.29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</row>
    <row r="1602" spans="1:11" x14ac:dyDescent="0.2">
      <c r="A1602" s="1">
        <v>0.11111111111111099</v>
      </c>
      <c r="B1602" s="2">
        <v>6.2700000000000005</v>
      </c>
      <c r="C1602" s="2">
        <v>3.75</v>
      </c>
      <c r="D1602" s="2">
        <v>5.1999999999999993</v>
      </c>
      <c r="E1602" s="2">
        <v>5.28</v>
      </c>
      <c r="F1602" s="2">
        <v>3.21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</row>
    <row r="1603" spans="1:11" x14ac:dyDescent="0.2">
      <c r="A1603" s="1">
        <v>0.111805555555556</v>
      </c>
      <c r="B1603" s="2">
        <v>6.14</v>
      </c>
      <c r="C1603" s="2">
        <v>3.7800000000000002</v>
      </c>
      <c r="D1603" s="2">
        <v>5.25</v>
      </c>
      <c r="E1603" s="2">
        <v>5.24</v>
      </c>
      <c r="F1603" s="2">
        <v>2.87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</row>
    <row r="1604" spans="1:11" x14ac:dyDescent="0.2">
      <c r="A1604" s="1">
        <v>0.1125</v>
      </c>
      <c r="B1604" s="2">
        <v>6.29</v>
      </c>
      <c r="C1604" s="2">
        <v>3.7600000000000002</v>
      </c>
      <c r="D1604" s="2">
        <v>5.1599999999999993</v>
      </c>
      <c r="E1604" s="2">
        <v>5.04</v>
      </c>
      <c r="F1604" s="2">
        <v>3.1100000000000003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</row>
    <row r="1605" spans="1:11" x14ac:dyDescent="0.2">
      <c r="A1605" s="1">
        <v>0.113194444444444</v>
      </c>
      <c r="B1605" s="2">
        <v>6.15</v>
      </c>
      <c r="C1605" s="2">
        <v>3.62</v>
      </c>
      <c r="D1605" s="2">
        <v>5.13</v>
      </c>
      <c r="E1605" s="2">
        <v>5.09</v>
      </c>
      <c r="F1605" s="2">
        <v>3.39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</row>
    <row r="1606" spans="1:11" x14ac:dyDescent="0.2">
      <c r="A1606" s="1">
        <v>0.113888888888889</v>
      </c>
      <c r="B1606" s="2">
        <v>6.2700000000000005</v>
      </c>
      <c r="C1606" s="2">
        <v>3.6</v>
      </c>
      <c r="D1606" s="2">
        <v>5.2299999999999995</v>
      </c>
      <c r="E1606" s="2">
        <v>5.33</v>
      </c>
      <c r="F1606" s="2">
        <v>3.0700000000000003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</row>
    <row r="1607" spans="1:11" x14ac:dyDescent="0.2">
      <c r="A1607" s="1">
        <v>0.114583333333333</v>
      </c>
      <c r="B1607" s="2">
        <v>6.18</v>
      </c>
      <c r="C1607" s="2">
        <v>3.55</v>
      </c>
      <c r="D1607" s="2">
        <v>5.0299999999999994</v>
      </c>
      <c r="E1607" s="2">
        <v>5.24</v>
      </c>
      <c r="F1607" s="2">
        <v>3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</row>
    <row r="1608" spans="1:11" x14ac:dyDescent="0.2">
      <c r="A1608" s="1">
        <v>0.11527777777777801</v>
      </c>
      <c r="B1608" s="2">
        <v>6.18</v>
      </c>
      <c r="C1608" s="2">
        <v>3.72</v>
      </c>
      <c r="D1608" s="2">
        <v>5.05</v>
      </c>
      <c r="E1608" s="2">
        <v>5.52</v>
      </c>
      <c r="F1608" s="2">
        <v>3.22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</row>
    <row r="1609" spans="1:11" x14ac:dyDescent="0.2">
      <c r="A1609" s="1">
        <v>0.115972222222222</v>
      </c>
      <c r="B1609" s="2">
        <v>6.28</v>
      </c>
      <c r="C1609" s="2">
        <v>3.66</v>
      </c>
      <c r="D1609" s="2">
        <v>5.17</v>
      </c>
      <c r="E1609" s="2">
        <v>5.31</v>
      </c>
      <c r="F1609" s="2">
        <v>3.3200000000000003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</row>
    <row r="1610" spans="1:11" x14ac:dyDescent="0.2">
      <c r="A1610" s="1">
        <v>0.116666666666667</v>
      </c>
      <c r="B1610" s="2">
        <v>6.28</v>
      </c>
      <c r="C1610" s="2">
        <v>3.56</v>
      </c>
      <c r="D1610" s="2">
        <v>5.17</v>
      </c>
      <c r="E1610" s="2">
        <v>5.63</v>
      </c>
      <c r="F1610" s="2">
        <v>3.21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</row>
    <row r="1611" spans="1:11" x14ac:dyDescent="0.2">
      <c r="A1611" s="1">
        <v>0.117361111111111</v>
      </c>
      <c r="B1611" s="2">
        <v>6.32</v>
      </c>
      <c r="C1611" s="2">
        <v>3.73</v>
      </c>
      <c r="D1611" s="2">
        <v>5.05</v>
      </c>
      <c r="E1611" s="2">
        <v>5.24</v>
      </c>
      <c r="F1611" s="2">
        <v>2.95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</row>
    <row r="1612" spans="1:11" x14ac:dyDescent="0.2">
      <c r="A1612" s="1">
        <v>0.118055555555556</v>
      </c>
      <c r="B1612" s="2">
        <v>6.08</v>
      </c>
      <c r="C1612" s="2">
        <v>3.55</v>
      </c>
      <c r="D1612" s="2">
        <v>5.0599999999999996</v>
      </c>
      <c r="E1612" s="2">
        <v>5.2</v>
      </c>
      <c r="F1612" s="2">
        <v>2.9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</row>
    <row r="1613" spans="1:11" x14ac:dyDescent="0.2">
      <c r="A1613" s="1">
        <v>0.11874999999999999</v>
      </c>
      <c r="B1613" s="2">
        <v>6.16</v>
      </c>
      <c r="C1613" s="2">
        <v>3.6</v>
      </c>
      <c r="D1613" s="2">
        <v>5.04</v>
      </c>
      <c r="E1613" s="2">
        <v>5.29</v>
      </c>
      <c r="F1613" s="2">
        <v>3.0700000000000003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</row>
    <row r="1614" spans="1:11" x14ac:dyDescent="0.2">
      <c r="A1614" s="1">
        <v>0.11944444444444401</v>
      </c>
      <c r="B1614" s="2">
        <v>6.32</v>
      </c>
      <c r="C1614" s="2">
        <v>3.68</v>
      </c>
      <c r="D1614" s="2">
        <v>5.0199999999999996</v>
      </c>
      <c r="E1614" s="2">
        <v>5.25</v>
      </c>
      <c r="F1614" s="2">
        <v>2.88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</row>
    <row r="1615" spans="1:11" x14ac:dyDescent="0.2">
      <c r="A1615" s="1">
        <v>0.120138888888889</v>
      </c>
      <c r="B1615" s="2">
        <v>6.13</v>
      </c>
      <c r="C1615" s="2">
        <v>3.62</v>
      </c>
      <c r="D1615" s="2">
        <v>4.96</v>
      </c>
      <c r="E1615" s="2">
        <v>4.99</v>
      </c>
      <c r="F1615" s="2">
        <v>3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</row>
    <row r="1616" spans="1:11" x14ac:dyDescent="0.2">
      <c r="A1616" s="1">
        <v>0.120833333333333</v>
      </c>
      <c r="B1616" s="2">
        <v>6.32</v>
      </c>
      <c r="C1616" s="2">
        <v>3.71</v>
      </c>
      <c r="D1616" s="2">
        <v>5.2299999999999995</v>
      </c>
      <c r="E1616" s="2">
        <v>5.2299999999999995</v>
      </c>
      <c r="F1616" s="2">
        <v>3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</row>
    <row r="1617" spans="1:11" x14ac:dyDescent="0.2">
      <c r="A1617" s="1">
        <v>0.121527777777778</v>
      </c>
      <c r="B1617" s="2">
        <v>6.18</v>
      </c>
      <c r="C1617" s="2">
        <v>3.72</v>
      </c>
      <c r="D1617" s="2">
        <v>4.92</v>
      </c>
      <c r="E1617" s="2">
        <v>5.37</v>
      </c>
      <c r="F1617" s="2">
        <v>3.24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</row>
    <row r="1618" spans="1:11" x14ac:dyDescent="0.2">
      <c r="A1618" s="1">
        <v>0.122222222222222</v>
      </c>
      <c r="B1618" s="2">
        <v>6.25</v>
      </c>
      <c r="C1618" s="2">
        <v>3.65</v>
      </c>
      <c r="D1618" s="2">
        <v>5.2799999999999994</v>
      </c>
      <c r="E1618" s="2">
        <v>5.36</v>
      </c>
      <c r="F1618" s="2">
        <v>3.2800000000000002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</row>
    <row r="1619" spans="1:11" x14ac:dyDescent="0.2">
      <c r="A1619" s="1">
        <v>0.12291666666666699</v>
      </c>
      <c r="B1619" s="2">
        <v>6.22</v>
      </c>
      <c r="C1619" s="2">
        <v>3.58</v>
      </c>
      <c r="D1619" s="2">
        <v>5.1099999999999994</v>
      </c>
      <c r="E1619" s="2">
        <v>5.1899999999999995</v>
      </c>
      <c r="F1619" s="2">
        <v>2.93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</row>
    <row r="1620" spans="1:11" x14ac:dyDescent="0.2">
      <c r="A1620" s="1">
        <v>0.12361111111111101</v>
      </c>
      <c r="B1620" s="2">
        <v>6.25</v>
      </c>
      <c r="C1620" s="2">
        <v>3.75</v>
      </c>
      <c r="D1620" s="2">
        <v>4.93</v>
      </c>
      <c r="E1620" s="2">
        <v>5.36</v>
      </c>
      <c r="F1620" s="2">
        <v>3.12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</row>
    <row r="1621" spans="1:11" x14ac:dyDescent="0.2">
      <c r="A1621" s="1">
        <v>0.124305555555556</v>
      </c>
      <c r="B1621" s="2">
        <v>6.17</v>
      </c>
      <c r="C1621" s="2">
        <v>3.66</v>
      </c>
      <c r="D1621" s="2">
        <v>5.09</v>
      </c>
      <c r="E1621" s="2">
        <v>5.14</v>
      </c>
      <c r="F1621" s="2">
        <v>3.2800000000000002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</row>
    <row r="1622" spans="1:11" x14ac:dyDescent="0.2">
      <c r="A1622" s="3">
        <v>0.125</v>
      </c>
      <c r="B1622" s="2">
        <v>6.2</v>
      </c>
      <c r="C1622" s="2">
        <v>3.72</v>
      </c>
      <c r="D1622" s="2">
        <v>5.09</v>
      </c>
      <c r="E1622" s="2">
        <v>5.31</v>
      </c>
      <c r="F1622" s="2">
        <v>3.16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</row>
    <row r="1623" spans="1:11" x14ac:dyDescent="0.2">
      <c r="A1623" s="1">
        <v>0.125694444444444</v>
      </c>
      <c r="B1623" s="2">
        <v>6.2</v>
      </c>
      <c r="C1623" s="2">
        <v>3.54</v>
      </c>
      <c r="D1623" s="2">
        <v>5.1099999999999994</v>
      </c>
      <c r="E1623" s="2">
        <v>5.05</v>
      </c>
      <c r="F1623" s="2">
        <v>3.18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</row>
    <row r="1624" spans="1:11" x14ac:dyDescent="0.2">
      <c r="A1624" s="1">
        <v>0.12638888888888899</v>
      </c>
      <c r="B1624" s="2">
        <v>6.17</v>
      </c>
      <c r="C1624" s="2">
        <v>3.73</v>
      </c>
      <c r="D1624" s="2">
        <v>5.05</v>
      </c>
      <c r="E1624" s="2">
        <v>5.17</v>
      </c>
      <c r="F1624" s="2">
        <v>3.0500000000000003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</row>
    <row r="1625" spans="1:11" x14ac:dyDescent="0.2">
      <c r="A1625" s="1">
        <v>0.12708333333333299</v>
      </c>
      <c r="B1625" s="2">
        <v>6.09</v>
      </c>
      <c r="C1625" s="2">
        <v>3.67</v>
      </c>
      <c r="D1625" s="2">
        <v>5.09</v>
      </c>
      <c r="E1625" s="2">
        <v>5.63</v>
      </c>
      <c r="F1625" s="2">
        <v>2.95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</row>
    <row r="1626" spans="1:11" x14ac:dyDescent="0.2">
      <c r="A1626" s="1">
        <v>0.12777777777777799</v>
      </c>
      <c r="B1626" s="2">
        <v>6.2700000000000005</v>
      </c>
      <c r="C1626" s="2">
        <v>3.65</v>
      </c>
      <c r="D1626" s="2">
        <v>5.04</v>
      </c>
      <c r="E1626" s="2">
        <v>5.31</v>
      </c>
      <c r="F1626" s="2">
        <v>2.88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</row>
    <row r="1627" spans="1:11" x14ac:dyDescent="0.2">
      <c r="A1627" s="1">
        <v>0.12847222222222199</v>
      </c>
      <c r="B1627" s="2">
        <v>6.12</v>
      </c>
      <c r="C1627" s="2">
        <v>3.56</v>
      </c>
      <c r="D1627" s="2">
        <v>5.14</v>
      </c>
      <c r="E1627" s="2">
        <v>5.38</v>
      </c>
      <c r="F1627" s="2">
        <v>2.94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</row>
    <row r="1628" spans="1:11" x14ac:dyDescent="0.2">
      <c r="A1628" s="1">
        <v>0.12916666666666701</v>
      </c>
      <c r="B1628" s="2">
        <v>6.17</v>
      </c>
      <c r="C1628" s="2">
        <v>3.61</v>
      </c>
      <c r="D1628" s="2">
        <v>4.8499999999999996</v>
      </c>
      <c r="E1628" s="2">
        <v>5.26</v>
      </c>
      <c r="F1628" s="2">
        <v>3.17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</row>
    <row r="1629" spans="1:11" x14ac:dyDescent="0.2">
      <c r="A1629" s="1">
        <v>0.12986111111111101</v>
      </c>
      <c r="B1629" s="2">
        <v>6.09</v>
      </c>
      <c r="C1629" s="2">
        <v>3.75</v>
      </c>
      <c r="D1629" s="2">
        <v>5.25</v>
      </c>
      <c r="E1629" s="2">
        <v>5.18</v>
      </c>
      <c r="F1629" s="2">
        <v>2.98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</row>
    <row r="1630" spans="1:11" x14ac:dyDescent="0.2">
      <c r="A1630" s="1">
        <v>0.13055555555555601</v>
      </c>
      <c r="B1630" s="2">
        <v>6.11</v>
      </c>
      <c r="C1630" s="2">
        <v>3.55</v>
      </c>
      <c r="D1630" s="2">
        <v>5.1199999999999992</v>
      </c>
      <c r="E1630" s="2">
        <v>5.2299999999999995</v>
      </c>
      <c r="F1630" s="2">
        <v>3.33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</row>
    <row r="1631" spans="1:11" x14ac:dyDescent="0.2">
      <c r="A1631" s="1">
        <v>0.13125000000000001</v>
      </c>
      <c r="B1631" s="2">
        <v>6.13</v>
      </c>
      <c r="C1631" s="2">
        <v>3.56</v>
      </c>
      <c r="D1631" s="2">
        <v>5.2399999999999993</v>
      </c>
      <c r="E1631" s="2">
        <v>5.08</v>
      </c>
      <c r="F1631" s="2">
        <v>3.29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</row>
    <row r="1632" spans="1:11" x14ac:dyDescent="0.2">
      <c r="A1632" s="1">
        <v>0.131944444444444</v>
      </c>
      <c r="B1632" s="2">
        <v>6.09</v>
      </c>
      <c r="C1632" s="2">
        <v>3.54</v>
      </c>
      <c r="D1632" s="2">
        <v>5.0699999999999994</v>
      </c>
      <c r="E1632" s="2">
        <v>5.14</v>
      </c>
      <c r="F1632" s="2">
        <v>3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</row>
    <row r="1633" spans="1:11" x14ac:dyDescent="0.2">
      <c r="A1633" s="1">
        <v>0.132638888888889</v>
      </c>
      <c r="B1633" s="2">
        <v>6.28</v>
      </c>
      <c r="C1633" s="2">
        <v>3.69</v>
      </c>
      <c r="D1633" s="2">
        <v>4.97</v>
      </c>
      <c r="E1633" s="2">
        <v>5.14</v>
      </c>
      <c r="F1633" s="2">
        <v>3.1100000000000003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</row>
    <row r="1634" spans="1:11" x14ac:dyDescent="0.2">
      <c r="A1634" s="1">
        <v>0.133333333333333</v>
      </c>
      <c r="B1634" s="2">
        <v>6.16</v>
      </c>
      <c r="C1634" s="2">
        <v>3.7800000000000002</v>
      </c>
      <c r="D1634" s="2">
        <v>4.8999999999999995</v>
      </c>
      <c r="E1634" s="2">
        <v>5.26</v>
      </c>
      <c r="F1634" s="2">
        <v>3.12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</row>
    <row r="1635" spans="1:11" x14ac:dyDescent="0.2">
      <c r="A1635" s="1">
        <v>0.134027777777778</v>
      </c>
      <c r="B1635" s="2">
        <v>6.23</v>
      </c>
      <c r="C1635" s="2">
        <v>3.79</v>
      </c>
      <c r="D1635" s="2">
        <v>5.01</v>
      </c>
      <c r="E1635" s="2">
        <v>5.39</v>
      </c>
      <c r="F1635" s="2">
        <v>2.93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</row>
    <row r="1636" spans="1:11" x14ac:dyDescent="0.2">
      <c r="A1636" s="1">
        <v>0.13472222222222199</v>
      </c>
      <c r="B1636" s="2">
        <v>6.18</v>
      </c>
      <c r="C1636" s="2">
        <v>3.7800000000000002</v>
      </c>
      <c r="D1636" s="2">
        <v>4.8899999999999997</v>
      </c>
      <c r="E1636" s="2">
        <v>5.31</v>
      </c>
      <c r="F1636" s="2">
        <v>2.88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</row>
    <row r="1637" spans="1:11" x14ac:dyDescent="0.2">
      <c r="A1637" s="1">
        <v>0.13541666666666699</v>
      </c>
      <c r="B1637" s="2">
        <v>6.21</v>
      </c>
      <c r="C1637" s="2">
        <v>3.67</v>
      </c>
      <c r="D1637" s="2">
        <v>5.0199999999999996</v>
      </c>
      <c r="E1637" s="2">
        <v>5.16</v>
      </c>
      <c r="F1637" s="2">
        <v>2.88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</row>
    <row r="1638" spans="1:11" x14ac:dyDescent="0.2">
      <c r="A1638" s="1">
        <v>0.13611111111111099</v>
      </c>
      <c r="B1638" s="2">
        <v>6.14</v>
      </c>
      <c r="C1638" s="2">
        <v>3.64</v>
      </c>
      <c r="D1638" s="2">
        <v>4.92</v>
      </c>
      <c r="E1638" s="2">
        <v>5.26</v>
      </c>
      <c r="F1638" s="2">
        <v>3.0300000000000002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</row>
    <row r="1639" spans="1:11" x14ac:dyDescent="0.2">
      <c r="A1639" s="1">
        <v>0.13680555555555601</v>
      </c>
      <c r="B1639" s="2">
        <v>6.2700000000000005</v>
      </c>
      <c r="C1639" s="2">
        <v>3.7800000000000002</v>
      </c>
      <c r="D1639" s="2">
        <v>5.04</v>
      </c>
      <c r="E1639" s="2">
        <v>5.39</v>
      </c>
      <c r="F1639" s="2">
        <v>3.0500000000000003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</row>
    <row r="1640" spans="1:11" x14ac:dyDescent="0.2">
      <c r="A1640" s="1">
        <v>0.13750000000000001</v>
      </c>
      <c r="B1640" s="2">
        <v>6.13</v>
      </c>
      <c r="C1640" s="2">
        <v>3.59</v>
      </c>
      <c r="D1640" s="2">
        <v>5.0699999999999994</v>
      </c>
      <c r="E1640" s="2">
        <v>5.46</v>
      </c>
      <c r="F1640" s="2">
        <v>3.19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</row>
    <row r="1641" spans="1:11" x14ac:dyDescent="0.2">
      <c r="A1641" s="1">
        <v>0.13819444444444401</v>
      </c>
      <c r="B1641" s="2">
        <v>6.17</v>
      </c>
      <c r="C1641" s="2">
        <v>3.68</v>
      </c>
      <c r="D1641" s="2">
        <v>5.13</v>
      </c>
      <c r="E1641" s="2">
        <v>5.0999999999999996</v>
      </c>
      <c r="F1641" s="2">
        <v>3.33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</row>
    <row r="1642" spans="1:11" x14ac:dyDescent="0.2">
      <c r="A1642" s="1">
        <v>0.13888888888888901</v>
      </c>
      <c r="B1642" s="2">
        <v>6.32</v>
      </c>
      <c r="C1642" s="2">
        <v>3.79</v>
      </c>
      <c r="D1642" s="2">
        <v>5.0699999999999994</v>
      </c>
      <c r="E1642" s="2">
        <v>5.16</v>
      </c>
      <c r="F1642" s="2">
        <v>3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</row>
    <row r="1643" spans="1:11" x14ac:dyDescent="0.2">
      <c r="A1643" s="1">
        <v>0.139583333333333</v>
      </c>
      <c r="B1643" s="2">
        <v>6.09</v>
      </c>
      <c r="C1643" s="2">
        <v>3.66</v>
      </c>
      <c r="D1643" s="2">
        <v>5.13</v>
      </c>
      <c r="E1643" s="2">
        <v>5.35</v>
      </c>
      <c r="F1643" s="2">
        <v>2.99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</row>
    <row r="1644" spans="1:11" x14ac:dyDescent="0.2">
      <c r="A1644" s="1">
        <v>0.140277777777778</v>
      </c>
      <c r="B1644" s="2">
        <v>6.2</v>
      </c>
      <c r="C1644" s="2">
        <v>3.55</v>
      </c>
      <c r="D1644" s="2">
        <v>5.14</v>
      </c>
      <c r="E1644" s="2">
        <v>5.43</v>
      </c>
      <c r="F1644" s="2">
        <v>3.33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</row>
    <row r="1645" spans="1:11" x14ac:dyDescent="0.2">
      <c r="A1645" s="1">
        <v>0.140972222222222</v>
      </c>
      <c r="B1645" s="2">
        <v>6.17</v>
      </c>
      <c r="C1645" s="2">
        <v>3.69</v>
      </c>
      <c r="D1645" s="2">
        <v>5</v>
      </c>
      <c r="E1645" s="2">
        <v>5.16</v>
      </c>
      <c r="F1645" s="2">
        <v>3.08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</row>
    <row r="1646" spans="1:11" x14ac:dyDescent="0.2">
      <c r="A1646" s="1">
        <v>0.141666666666667</v>
      </c>
      <c r="B1646" s="2">
        <v>6.09</v>
      </c>
      <c r="C1646" s="2">
        <v>3.6</v>
      </c>
      <c r="D1646" s="2">
        <v>4.8699999999999992</v>
      </c>
      <c r="E1646" s="2">
        <v>5.25</v>
      </c>
      <c r="F1646" s="2">
        <v>3.39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</row>
    <row r="1647" spans="1:11" x14ac:dyDescent="0.2">
      <c r="A1647" s="1">
        <v>0.14236111111111099</v>
      </c>
      <c r="B1647" s="2">
        <v>6.2700000000000005</v>
      </c>
      <c r="C1647" s="2">
        <v>3.7600000000000002</v>
      </c>
      <c r="D1647" s="2">
        <v>5.27</v>
      </c>
      <c r="E1647" s="2">
        <v>5.0999999999999996</v>
      </c>
      <c r="F1647" s="2">
        <v>3.1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</row>
    <row r="1648" spans="1:11" x14ac:dyDescent="0.2">
      <c r="A1648" s="1">
        <v>0.14305555555555599</v>
      </c>
      <c r="B1648" s="2">
        <v>6.21</v>
      </c>
      <c r="C1648" s="2">
        <v>3.74</v>
      </c>
      <c r="D1648" s="2">
        <v>4.88</v>
      </c>
      <c r="E1648" s="2">
        <v>5.52</v>
      </c>
      <c r="F1648" s="2">
        <v>3.0300000000000002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</row>
    <row r="1649" spans="1:11" x14ac:dyDescent="0.2">
      <c r="A1649" s="1">
        <v>0.14374999999999999</v>
      </c>
      <c r="B1649" s="2">
        <v>6.13</v>
      </c>
      <c r="C1649" s="2">
        <v>3.65</v>
      </c>
      <c r="D1649" s="2">
        <v>4.9799999999999995</v>
      </c>
      <c r="E1649" s="2">
        <v>5.53</v>
      </c>
      <c r="F1649" s="2">
        <v>2.98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</row>
    <row r="1650" spans="1:11" x14ac:dyDescent="0.2">
      <c r="A1650" s="1">
        <v>0.14444444444444399</v>
      </c>
      <c r="B1650" s="2">
        <v>6.33</v>
      </c>
      <c r="C1650" s="2">
        <v>3.56</v>
      </c>
      <c r="D1650" s="2">
        <v>5.1999999999999993</v>
      </c>
      <c r="E1650" s="2">
        <v>5.24</v>
      </c>
      <c r="F1650" s="2">
        <v>3.08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</row>
    <row r="1651" spans="1:11" x14ac:dyDescent="0.2">
      <c r="A1651" s="1">
        <v>0.14513888888888901</v>
      </c>
      <c r="B1651" s="2">
        <v>6.09</v>
      </c>
      <c r="C1651" s="2">
        <v>3.64</v>
      </c>
      <c r="D1651" s="2">
        <v>5</v>
      </c>
      <c r="E1651" s="2">
        <v>5.6</v>
      </c>
      <c r="F1651" s="2">
        <v>3.3000000000000003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</row>
    <row r="1652" spans="1:11" x14ac:dyDescent="0.2">
      <c r="A1652" s="1">
        <v>0.14583333333333301</v>
      </c>
      <c r="B1652" s="2">
        <v>6.25</v>
      </c>
      <c r="C1652" s="2">
        <v>3.7600000000000002</v>
      </c>
      <c r="D1652" s="2">
        <v>4.9899999999999993</v>
      </c>
      <c r="E1652" s="2">
        <v>4.95</v>
      </c>
      <c r="F1652" s="2">
        <v>3.19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</row>
    <row r="1653" spans="1:11" x14ac:dyDescent="0.2">
      <c r="A1653" s="1">
        <v>0.14652777777777801</v>
      </c>
      <c r="B1653" s="2">
        <v>6.24</v>
      </c>
      <c r="C1653" s="2">
        <v>3.79</v>
      </c>
      <c r="D1653" s="2">
        <v>4.9099999999999993</v>
      </c>
      <c r="E1653" s="2">
        <v>5.41</v>
      </c>
      <c r="F1653" s="2">
        <v>3.0300000000000002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</row>
    <row r="1654" spans="1:11" x14ac:dyDescent="0.2">
      <c r="A1654" s="1">
        <v>0.147222222222222</v>
      </c>
      <c r="B1654" s="2">
        <v>6.3100000000000005</v>
      </c>
      <c r="C1654" s="2">
        <v>3.56</v>
      </c>
      <c r="D1654" s="2">
        <v>5.14</v>
      </c>
      <c r="E1654" s="2">
        <v>5.59</v>
      </c>
      <c r="F1654" s="2">
        <v>3.08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</row>
    <row r="1655" spans="1:11" x14ac:dyDescent="0.2">
      <c r="A1655" s="1">
        <v>0.147916666666667</v>
      </c>
      <c r="B1655" s="2">
        <v>6.23</v>
      </c>
      <c r="C1655" s="2">
        <v>3.71</v>
      </c>
      <c r="D1655" s="2">
        <v>5.1599999999999993</v>
      </c>
      <c r="E1655" s="2">
        <v>5.51</v>
      </c>
      <c r="F1655" s="2">
        <v>2.97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</row>
    <row r="1656" spans="1:11" x14ac:dyDescent="0.2">
      <c r="A1656" s="1">
        <v>0.148611111111111</v>
      </c>
      <c r="B1656" s="2">
        <v>6.12</v>
      </c>
      <c r="C1656" s="2">
        <v>3.72</v>
      </c>
      <c r="D1656" s="2">
        <v>5.1499999999999995</v>
      </c>
      <c r="E1656" s="2">
        <v>5.4</v>
      </c>
      <c r="F1656" s="2">
        <v>3.17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</row>
    <row r="1657" spans="1:11" x14ac:dyDescent="0.2">
      <c r="A1657" s="1">
        <v>0.149305555555556</v>
      </c>
      <c r="B1657" s="2">
        <v>6.09</v>
      </c>
      <c r="C1657" s="2">
        <v>3.74</v>
      </c>
      <c r="D1657" s="2">
        <v>5.04</v>
      </c>
      <c r="E1657" s="2">
        <v>5.15</v>
      </c>
      <c r="F1657" s="2">
        <v>3.0300000000000002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</row>
    <row r="1658" spans="1:11" x14ac:dyDescent="0.2">
      <c r="A1658" s="1">
        <v>0.15</v>
      </c>
      <c r="B1658" s="2">
        <v>6.19</v>
      </c>
      <c r="C1658" s="2">
        <v>3.79</v>
      </c>
      <c r="D1658" s="2">
        <v>4.8999999999999995</v>
      </c>
      <c r="E1658" s="2">
        <v>5.46</v>
      </c>
      <c r="F1658" s="2">
        <v>3.3600000000000003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</row>
    <row r="1659" spans="1:11" x14ac:dyDescent="0.2">
      <c r="A1659" s="1">
        <v>0.15069444444444399</v>
      </c>
      <c r="B1659" s="2">
        <v>6.1</v>
      </c>
      <c r="C1659" s="2">
        <v>3.61</v>
      </c>
      <c r="D1659" s="2">
        <v>5.05</v>
      </c>
      <c r="E1659" s="2">
        <v>5.24</v>
      </c>
      <c r="F1659" s="2">
        <v>3.04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</row>
    <row r="1660" spans="1:11" x14ac:dyDescent="0.2">
      <c r="A1660" s="1">
        <v>0.15138888888888899</v>
      </c>
      <c r="B1660" s="2">
        <v>6.33</v>
      </c>
      <c r="C1660" s="2">
        <v>3.59</v>
      </c>
      <c r="D1660" s="2">
        <v>5.3</v>
      </c>
      <c r="E1660" s="2">
        <v>5.49</v>
      </c>
      <c r="F1660" s="2">
        <v>3.02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</row>
    <row r="1661" spans="1:11" x14ac:dyDescent="0.2">
      <c r="A1661" s="1">
        <v>0.15208333333333299</v>
      </c>
      <c r="B1661" s="2">
        <v>6.1</v>
      </c>
      <c r="C1661" s="2">
        <v>3.69</v>
      </c>
      <c r="D1661" s="2">
        <v>5.18</v>
      </c>
      <c r="E1661" s="2">
        <v>4.97</v>
      </c>
      <c r="F1661" s="2">
        <v>2.9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</row>
    <row r="1662" spans="1:11" x14ac:dyDescent="0.2">
      <c r="A1662" s="1">
        <v>0.15277777777777801</v>
      </c>
      <c r="B1662" s="2">
        <v>6.09</v>
      </c>
      <c r="C1662" s="2">
        <v>3.75</v>
      </c>
      <c r="D1662" s="2">
        <v>5.1199999999999992</v>
      </c>
      <c r="E1662" s="2">
        <v>5.13</v>
      </c>
      <c r="F1662" s="2">
        <v>2.98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</row>
    <row r="1663" spans="1:11" x14ac:dyDescent="0.2">
      <c r="A1663" s="1">
        <v>0.15347222222222201</v>
      </c>
      <c r="B1663" s="2">
        <v>6.1</v>
      </c>
      <c r="C1663" s="2">
        <v>3.62</v>
      </c>
      <c r="D1663" s="2">
        <v>4.96</v>
      </c>
      <c r="E1663" s="2">
        <v>5.4</v>
      </c>
      <c r="F1663" s="2">
        <v>2.91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</row>
    <row r="1664" spans="1:11" x14ac:dyDescent="0.2">
      <c r="A1664" s="1">
        <v>0.15416666666666701</v>
      </c>
      <c r="B1664" s="2">
        <v>6.18</v>
      </c>
      <c r="C1664" s="2">
        <v>3.77</v>
      </c>
      <c r="D1664" s="2">
        <v>4.8999999999999995</v>
      </c>
      <c r="E1664" s="2">
        <v>5.48</v>
      </c>
      <c r="F1664" s="2">
        <v>3.1100000000000003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</row>
    <row r="1665" spans="1:11" x14ac:dyDescent="0.2">
      <c r="A1665" s="1">
        <v>0.15486111111111101</v>
      </c>
      <c r="B1665" s="2">
        <v>6.28</v>
      </c>
      <c r="C1665" s="2">
        <v>3.65</v>
      </c>
      <c r="D1665" s="2">
        <v>5.2799999999999994</v>
      </c>
      <c r="E1665" s="2">
        <v>5.26</v>
      </c>
      <c r="F1665" s="2">
        <v>3.13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</row>
    <row r="1666" spans="1:11" x14ac:dyDescent="0.2">
      <c r="A1666" s="1">
        <v>0.155555555555556</v>
      </c>
      <c r="B1666" s="2">
        <v>6.18</v>
      </c>
      <c r="C1666" s="2">
        <v>3.7600000000000002</v>
      </c>
      <c r="D1666" s="2">
        <v>4.9799999999999995</v>
      </c>
      <c r="E1666" s="2">
        <v>5.08</v>
      </c>
      <c r="F1666" s="2">
        <v>3.02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</row>
    <row r="1667" spans="1:11" x14ac:dyDescent="0.2">
      <c r="A1667" s="1">
        <v>0.15625</v>
      </c>
      <c r="B1667" s="2">
        <v>6.15</v>
      </c>
      <c r="C1667" s="2">
        <v>3.77</v>
      </c>
      <c r="D1667" s="2">
        <v>4.9499999999999993</v>
      </c>
      <c r="E1667" s="2">
        <v>5.37</v>
      </c>
      <c r="F1667" s="2">
        <v>3.3400000000000003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</row>
    <row r="1668" spans="1:11" x14ac:dyDescent="0.2">
      <c r="A1668" s="1">
        <v>0.156944444444444</v>
      </c>
      <c r="B1668" s="2">
        <v>6.21</v>
      </c>
      <c r="C1668" s="2">
        <v>3.58</v>
      </c>
      <c r="D1668" s="2">
        <v>4.92</v>
      </c>
      <c r="E1668" s="2">
        <v>5.61</v>
      </c>
      <c r="F1668" s="2">
        <v>2.92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</row>
    <row r="1669" spans="1:11" x14ac:dyDescent="0.2">
      <c r="A1669" s="1">
        <v>0.15763888888888899</v>
      </c>
      <c r="B1669" s="2">
        <v>6.25</v>
      </c>
      <c r="C1669" s="2">
        <v>3.72</v>
      </c>
      <c r="D1669" s="2">
        <v>4.8899999999999997</v>
      </c>
      <c r="E1669" s="2">
        <v>4.9799999999999995</v>
      </c>
      <c r="F1669" s="2">
        <v>3.23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</row>
    <row r="1670" spans="1:11" x14ac:dyDescent="0.2">
      <c r="A1670" s="1">
        <v>0.15833333333333299</v>
      </c>
      <c r="B1670" s="2">
        <v>6.12</v>
      </c>
      <c r="C1670" s="2">
        <v>3.57</v>
      </c>
      <c r="D1670" s="2">
        <v>5</v>
      </c>
      <c r="E1670" s="2">
        <v>5.12</v>
      </c>
      <c r="F1670" s="2">
        <v>3.29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 x14ac:dyDescent="0.2">
      <c r="A1671" s="1">
        <v>0.15902777777777799</v>
      </c>
      <c r="B1671" s="2">
        <v>6.28</v>
      </c>
      <c r="C1671" s="2">
        <v>3.56</v>
      </c>
      <c r="D1671" s="2">
        <v>5.25</v>
      </c>
      <c r="E1671" s="2">
        <v>5.01</v>
      </c>
      <c r="F1671" s="2">
        <v>3.12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</row>
    <row r="1672" spans="1:11" x14ac:dyDescent="0.2">
      <c r="A1672" s="1">
        <v>0.15972222222222199</v>
      </c>
      <c r="B1672" s="2">
        <v>6.08</v>
      </c>
      <c r="C1672" s="2">
        <v>3.73</v>
      </c>
      <c r="D1672" s="2">
        <v>4.9499999999999993</v>
      </c>
      <c r="E1672" s="2">
        <v>5.42</v>
      </c>
      <c r="F1672" s="2">
        <v>3.0500000000000003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</row>
    <row r="1673" spans="1:11" x14ac:dyDescent="0.2">
      <c r="A1673" s="1">
        <v>0.16041666666666701</v>
      </c>
      <c r="B1673" s="2">
        <v>6.22</v>
      </c>
      <c r="C1673" s="2">
        <v>3.72</v>
      </c>
      <c r="D1673" s="2">
        <v>4.8899999999999997</v>
      </c>
      <c r="E1673" s="2">
        <v>5.14</v>
      </c>
      <c r="F1673" s="2">
        <v>2.95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</row>
    <row r="1674" spans="1:11" x14ac:dyDescent="0.2">
      <c r="A1674" s="1">
        <v>0.16111111111111101</v>
      </c>
      <c r="B1674" s="2">
        <v>6.26</v>
      </c>
      <c r="C1674" s="2">
        <v>3.54</v>
      </c>
      <c r="D1674" s="2">
        <v>4.8599999999999994</v>
      </c>
      <c r="E1674" s="2">
        <v>5.25</v>
      </c>
      <c r="F1674" s="2">
        <v>3.35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</row>
    <row r="1675" spans="1:11" x14ac:dyDescent="0.2">
      <c r="A1675" s="1">
        <v>0.16180555555555601</v>
      </c>
      <c r="B1675" s="2">
        <v>6.28</v>
      </c>
      <c r="C1675" s="2">
        <v>3.7600000000000002</v>
      </c>
      <c r="D1675" s="2">
        <v>4.8499999999999996</v>
      </c>
      <c r="E1675" s="2">
        <v>5.09</v>
      </c>
      <c r="F1675" s="2">
        <v>3.2800000000000002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</row>
    <row r="1676" spans="1:11" x14ac:dyDescent="0.2">
      <c r="A1676" s="1">
        <v>0.16250000000000001</v>
      </c>
      <c r="B1676" s="2">
        <v>6.15</v>
      </c>
      <c r="C1676" s="2">
        <v>3.68</v>
      </c>
      <c r="D1676" s="2">
        <v>5.04</v>
      </c>
      <c r="E1676" s="2">
        <v>5.41</v>
      </c>
      <c r="F1676" s="2">
        <v>3.25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</row>
    <row r="1677" spans="1:11" x14ac:dyDescent="0.2">
      <c r="A1677" s="1">
        <v>0.163194444444444</v>
      </c>
      <c r="B1677" s="2">
        <v>6.09</v>
      </c>
      <c r="C1677" s="2">
        <v>3.64</v>
      </c>
      <c r="D1677" s="2">
        <v>5.26</v>
      </c>
      <c r="E1677" s="2">
        <v>5.4399999999999995</v>
      </c>
      <c r="F1677" s="2">
        <v>3.13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</row>
    <row r="1678" spans="1:11" x14ac:dyDescent="0.2">
      <c r="A1678" s="1">
        <v>0.163888888888889</v>
      </c>
      <c r="B1678" s="2">
        <v>6.26</v>
      </c>
      <c r="C1678" s="2">
        <v>3.56</v>
      </c>
      <c r="D1678" s="2">
        <v>5.08</v>
      </c>
      <c r="E1678" s="2">
        <v>5.22</v>
      </c>
      <c r="F1678" s="2">
        <v>3.25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</row>
    <row r="1679" spans="1:11" x14ac:dyDescent="0.2">
      <c r="A1679" s="1">
        <v>0.164583333333333</v>
      </c>
      <c r="B1679" s="2">
        <v>6.22</v>
      </c>
      <c r="C1679" s="2">
        <v>3.65</v>
      </c>
      <c r="D1679" s="2">
        <v>4.8699999999999992</v>
      </c>
      <c r="E1679" s="2">
        <v>4.96</v>
      </c>
      <c r="F1679" s="2">
        <v>2.94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</row>
    <row r="1680" spans="1:11" x14ac:dyDescent="0.2">
      <c r="A1680" s="1">
        <v>0.165277777777778</v>
      </c>
      <c r="B1680" s="2">
        <v>6.26</v>
      </c>
      <c r="C1680" s="2">
        <v>3.68</v>
      </c>
      <c r="D1680" s="2">
        <v>4.88</v>
      </c>
      <c r="E1680" s="2">
        <v>5.1899999999999995</v>
      </c>
      <c r="F1680" s="2">
        <v>3.1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</row>
    <row r="1681" spans="1:11" x14ac:dyDescent="0.2">
      <c r="A1681" s="1">
        <v>0.16597222222222199</v>
      </c>
      <c r="B1681" s="2">
        <v>6.25</v>
      </c>
      <c r="C1681" s="2">
        <v>3.59</v>
      </c>
      <c r="D1681" s="2">
        <v>5.29</v>
      </c>
      <c r="E1681" s="2">
        <v>5.2299999999999995</v>
      </c>
      <c r="F1681" s="2">
        <v>2.95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</row>
    <row r="1682" spans="1:11" x14ac:dyDescent="0.2">
      <c r="A1682" s="3">
        <v>0.16666666666666699</v>
      </c>
      <c r="B1682" s="2">
        <v>6.2</v>
      </c>
      <c r="C1682" s="2">
        <v>3.72</v>
      </c>
      <c r="D1682" s="2">
        <v>5.09</v>
      </c>
      <c r="E1682" s="2">
        <v>5.31</v>
      </c>
      <c r="F1682" s="2">
        <v>3.16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</row>
    <row r="1683" spans="1:11" x14ac:dyDescent="0.2">
      <c r="A1683" s="1">
        <v>0.16736111111111099</v>
      </c>
      <c r="B1683" s="2">
        <v>6.16</v>
      </c>
      <c r="C1683" s="2">
        <v>3.63</v>
      </c>
      <c r="D1683" s="2">
        <v>5.17</v>
      </c>
      <c r="E1683" s="2">
        <v>5.48</v>
      </c>
      <c r="F1683" s="2">
        <v>2.95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</row>
    <row r="1684" spans="1:11" x14ac:dyDescent="0.2">
      <c r="A1684" s="1">
        <v>0.16805555555555601</v>
      </c>
      <c r="B1684" s="2">
        <v>6.09</v>
      </c>
      <c r="C1684" s="2">
        <v>3.77</v>
      </c>
      <c r="D1684" s="2">
        <v>5.26</v>
      </c>
      <c r="E1684" s="2">
        <v>4.93</v>
      </c>
      <c r="F1684" s="2">
        <v>3.27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</row>
    <row r="1685" spans="1:11" x14ac:dyDescent="0.2">
      <c r="A1685" s="1">
        <v>0.16875000000000001</v>
      </c>
      <c r="B1685" s="2">
        <v>6.15</v>
      </c>
      <c r="C1685" s="2">
        <v>3.84</v>
      </c>
      <c r="D1685" s="2">
        <v>4.88</v>
      </c>
      <c r="E1685" s="2">
        <v>5.38</v>
      </c>
      <c r="F1685" s="2">
        <v>2.97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</row>
    <row r="1686" spans="1:11" x14ac:dyDescent="0.2">
      <c r="A1686" s="1">
        <v>0.16944444444444401</v>
      </c>
      <c r="B1686" s="2">
        <v>6.16</v>
      </c>
      <c r="C1686" s="2">
        <v>3.57</v>
      </c>
      <c r="D1686" s="2">
        <v>5.1899999999999995</v>
      </c>
      <c r="E1686" s="2">
        <v>5.25</v>
      </c>
      <c r="F1686" s="2">
        <v>3.0900000000000003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</row>
    <row r="1687" spans="1:11" x14ac:dyDescent="0.2">
      <c r="A1687" s="1">
        <v>0.17013888888888901</v>
      </c>
      <c r="B1687" s="2">
        <v>6.09</v>
      </c>
      <c r="C1687" s="2">
        <v>3.69</v>
      </c>
      <c r="D1687" s="2">
        <v>5.1599999999999993</v>
      </c>
      <c r="E1687" s="2">
        <v>5.54</v>
      </c>
      <c r="F1687" s="2">
        <v>3.1500000000000004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</row>
    <row r="1688" spans="1:11" x14ac:dyDescent="0.2">
      <c r="A1688" s="1">
        <v>0.170833333333333</v>
      </c>
      <c r="B1688" s="2">
        <v>6.2700000000000005</v>
      </c>
      <c r="C1688" s="2">
        <v>3.71</v>
      </c>
      <c r="D1688" s="2">
        <v>5.3</v>
      </c>
      <c r="E1688" s="2">
        <v>5.1100000000000003</v>
      </c>
      <c r="F1688" s="2">
        <v>3.0700000000000003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</row>
    <row r="1689" spans="1:11" x14ac:dyDescent="0.2">
      <c r="A1689" s="1">
        <v>0.171527777777778</v>
      </c>
      <c r="B1689" s="2">
        <v>6.29</v>
      </c>
      <c r="C1689" s="2">
        <v>3.77</v>
      </c>
      <c r="D1689" s="2">
        <v>5.29</v>
      </c>
      <c r="E1689" s="2">
        <v>5.4</v>
      </c>
      <c r="F1689" s="2">
        <v>2.95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</row>
    <row r="1690" spans="1:11" x14ac:dyDescent="0.2">
      <c r="A1690" s="1">
        <v>0.172222222222222</v>
      </c>
      <c r="B1690" s="2">
        <v>6.08</v>
      </c>
      <c r="C1690" s="2">
        <v>3.6999999999999997</v>
      </c>
      <c r="D1690" s="2">
        <v>5.25</v>
      </c>
      <c r="E1690" s="2">
        <v>5.1100000000000003</v>
      </c>
      <c r="F1690" s="2">
        <v>2.9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</row>
    <row r="1691" spans="1:11" x14ac:dyDescent="0.2">
      <c r="A1691" s="1">
        <v>0.172916666666667</v>
      </c>
      <c r="B1691" s="2">
        <v>6.13</v>
      </c>
      <c r="C1691" s="2">
        <v>3.5999999999999996</v>
      </c>
      <c r="D1691" s="2">
        <v>5</v>
      </c>
      <c r="E1691" s="2">
        <v>5.6</v>
      </c>
      <c r="F1691" s="2">
        <v>2.97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</row>
    <row r="1692" spans="1:11" x14ac:dyDescent="0.2">
      <c r="A1692" s="1">
        <v>0.17361111111111099</v>
      </c>
      <c r="B1692" s="2">
        <v>6.3100000000000005</v>
      </c>
      <c r="C1692" s="2">
        <v>3.6799999999999997</v>
      </c>
      <c r="D1692" s="2">
        <v>4.9399999999999995</v>
      </c>
      <c r="E1692" s="2">
        <v>5.45</v>
      </c>
      <c r="F1692" s="2">
        <v>2.9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</row>
    <row r="1693" spans="1:11" x14ac:dyDescent="0.2">
      <c r="A1693" s="1">
        <v>0.17430555555555599</v>
      </c>
      <c r="B1693" s="2">
        <v>6.22</v>
      </c>
      <c r="C1693" s="2">
        <v>3.67</v>
      </c>
      <c r="D1693" s="2">
        <v>4.8999999999999995</v>
      </c>
      <c r="E1693" s="2">
        <v>5.14</v>
      </c>
      <c r="F1693" s="2">
        <v>3.17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</row>
    <row r="1694" spans="1:11" x14ac:dyDescent="0.2">
      <c r="A1694" s="1">
        <v>0.17499999999999999</v>
      </c>
      <c r="B1694" s="2">
        <v>6.14</v>
      </c>
      <c r="C1694" s="2">
        <v>3.77</v>
      </c>
      <c r="D1694" s="2">
        <v>4.97</v>
      </c>
      <c r="E1694" s="2">
        <v>5.22</v>
      </c>
      <c r="F1694" s="2">
        <v>3.3400000000000003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</row>
    <row r="1695" spans="1:11" x14ac:dyDescent="0.2">
      <c r="A1695" s="1">
        <v>0.17569444444444399</v>
      </c>
      <c r="B1695" s="2">
        <v>6.21</v>
      </c>
      <c r="C1695" s="2">
        <v>3.83</v>
      </c>
      <c r="D1695" s="2">
        <v>5.17</v>
      </c>
      <c r="E1695" s="2">
        <v>5.31</v>
      </c>
      <c r="F1695" s="2">
        <v>3.27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</row>
    <row r="1696" spans="1:11" x14ac:dyDescent="0.2">
      <c r="A1696" s="1">
        <v>0.17638888888888901</v>
      </c>
      <c r="B1696" s="2">
        <v>6.13</v>
      </c>
      <c r="C1696" s="2">
        <v>3.76</v>
      </c>
      <c r="D1696" s="2">
        <v>5.1599999999999993</v>
      </c>
      <c r="E1696" s="2">
        <v>5.61</v>
      </c>
      <c r="F1696" s="2">
        <v>3.06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</row>
    <row r="1697" spans="1:11" x14ac:dyDescent="0.2">
      <c r="A1697" s="1">
        <v>0.17708333333333301</v>
      </c>
      <c r="B1697" s="2">
        <v>6.13</v>
      </c>
      <c r="C1697" s="2">
        <v>3.82</v>
      </c>
      <c r="D1697" s="2">
        <v>4.9099999999999993</v>
      </c>
      <c r="E1697" s="2">
        <v>5.49</v>
      </c>
      <c r="F1697" s="2">
        <v>3.31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</row>
    <row r="1698" spans="1:11" x14ac:dyDescent="0.2">
      <c r="A1698" s="1">
        <v>0.17777777777777801</v>
      </c>
      <c r="B1698" s="2">
        <v>6.12</v>
      </c>
      <c r="C1698" s="2">
        <v>3.71</v>
      </c>
      <c r="D1698" s="2">
        <v>4.88</v>
      </c>
      <c r="E1698" s="2">
        <v>5.46</v>
      </c>
      <c r="F1698" s="2">
        <v>3.23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</row>
    <row r="1699" spans="1:11" x14ac:dyDescent="0.2">
      <c r="A1699" s="1">
        <v>0.178472222222222</v>
      </c>
      <c r="B1699" s="2">
        <v>6.23</v>
      </c>
      <c r="C1699" s="2">
        <v>3.8099999999999996</v>
      </c>
      <c r="D1699" s="2">
        <v>5.29</v>
      </c>
      <c r="E1699" s="2">
        <v>5.3</v>
      </c>
      <c r="F1699" s="2">
        <v>3.3000000000000003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</row>
    <row r="1700" spans="1:11" x14ac:dyDescent="0.2">
      <c r="A1700" s="1">
        <v>0.179166666666667</v>
      </c>
      <c r="B1700" s="2">
        <v>6.26</v>
      </c>
      <c r="C1700" s="2">
        <v>3.65</v>
      </c>
      <c r="D1700" s="2">
        <v>4.9799999999999995</v>
      </c>
      <c r="E1700" s="2">
        <v>5.22</v>
      </c>
      <c r="F1700" s="2">
        <v>2.95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</row>
    <row r="1701" spans="1:11" x14ac:dyDescent="0.2">
      <c r="A1701" s="1">
        <v>0.179861111111111</v>
      </c>
      <c r="B1701" s="2">
        <v>6.3</v>
      </c>
      <c r="C1701" s="2">
        <v>3.61</v>
      </c>
      <c r="D1701" s="2">
        <v>5.08</v>
      </c>
      <c r="E1701" s="2">
        <v>5.28</v>
      </c>
      <c r="F1701" s="2">
        <v>3.31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</row>
    <row r="1702" spans="1:11" x14ac:dyDescent="0.2">
      <c r="A1702" s="1">
        <v>0.180555555555556</v>
      </c>
      <c r="B1702" s="2">
        <v>6.23</v>
      </c>
      <c r="C1702" s="2">
        <v>3.75</v>
      </c>
      <c r="D1702" s="2">
        <v>5.14</v>
      </c>
      <c r="E1702" s="2">
        <v>5.38</v>
      </c>
      <c r="F1702" s="2">
        <v>3.3600000000000003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</row>
    <row r="1703" spans="1:11" x14ac:dyDescent="0.2">
      <c r="A1703" s="1">
        <v>0.18124999999999999</v>
      </c>
      <c r="B1703" s="2">
        <v>6.09</v>
      </c>
      <c r="C1703" s="2">
        <v>3.78</v>
      </c>
      <c r="D1703" s="2">
        <v>5.09</v>
      </c>
      <c r="E1703" s="2">
        <v>5.63</v>
      </c>
      <c r="F1703" s="2">
        <v>3.22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</row>
    <row r="1704" spans="1:11" x14ac:dyDescent="0.2">
      <c r="A1704" s="1">
        <v>0.18194444444444399</v>
      </c>
      <c r="B1704" s="2">
        <v>6.11</v>
      </c>
      <c r="C1704" s="2">
        <v>3.77</v>
      </c>
      <c r="D1704" s="2">
        <v>5.29</v>
      </c>
      <c r="E1704" s="2">
        <v>5.53</v>
      </c>
      <c r="F1704" s="2">
        <v>2.93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</row>
    <row r="1705" spans="1:11" x14ac:dyDescent="0.2">
      <c r="A1705" s="1">
        <v>0.18263888888888899</v>
      </c>
      <c r="B1705" s="2">
        <v>6.13</v>
      </c>
      <c r="C1705" s="2">
        <v>3.7399999999999998</v>
      </c>
      <c r="D1705" s="2">
        <v>5.05</v>
      </c>
      <c r="E1705" s="2">
        <v>5.63</v>
      </c>
      <c r="F1705" s="2">
        <v>3.24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</row>
    <row r="1706" spans="1:11" x14ac:dyDescent="0.2">
      <c r="A1706" s="1">
        <v>0.18333333333333299</v>
      </c>
      <c r="B1706" s="2">
        <v>6.09</v>
      </c>
      <c r="C1706" s="2">
        <v>3.6999999999999997</v>
      </c>
      <c r="D1706" s="2">
        <v>4.8899999999999997</v>
      </c>
      <c r="E1706" s="2">
        <v>4.95</v>
      </c>
      <c r="F1706" s="2">
        <v>3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</row>
    <row r="1707" spans="1:11" x14ac:dyDescent="0.2">
      <c r="A1707" s="1">
        <v>0.18402777777777801</v>
      </c>
      <c r="B1707" s="2">
        <v>6.2</v>
      </c>
      <c r="C1707" s="2">
        <v>3.57</v>
      </c>
      <c r="D1707" s="2">
        <v>5.1499999999999995</v>
      </c>
      <c r="E1707" s="2">
        <v>5.21</v>
      </c>
      <c r="F1707" s="2">
        <v>3.0100000000000002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</row>
    <row r="1708" spans="1:11" x14ac:dyDescent="0.2">
      <c r="A1708" s="1">
        <v>0.18472222222222201</v>
      </c>
      <c r="B1708" s="2">
        <v>6.3100000000000005</v>
      </c>
      <c r="C1708" s="2">
        <v>3.84</v>
      </c>
      <c r="D1708" s="2">
        <v>5.0299999999999994</v>
      </c>
      <c r="E1708" s="2">
        <v>5.56</v>
      </c>
      <c r="F1708" s="2">
        <v>3.33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</row>
    <row r="1709" spans="1:11" x14ac:dyDescent="0.2">
      <c r="A1709" s="1">
        <v>0.18541666666666701</v>
      </c>
      <c r="B1709" s="2">
        <v>6.19</v>
      </c>
      <c r="C1709" s="2">
        <v>3.82</v>
      </c>
      <c r="D1709" s="2">
        <v>4.8499999999999996</v>
      </c>
      <c r="E1709" s="2">
        <v>5.07</v>
      </c>
      <c r="F1709" s="2">
        <v>2.88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</row>
    <row r="1710" spans="1:11" x14ac:dyDescent="0.2">
      <c r="A1710" s="1">
        <v>0.18611111111111101</v>
      </c>
      <c r="B1710" s="2">
        <v>6.14</v>
      </c>
      <c r="C1710" s="2">
        <v>3.7199999999999998</v>
      </c>
      <c r="D1710" s="2">
        <v>4.8699999999999992</v>
      </c>
      <c r="E1710" s="2">
        <v>5.39</v>
      </c>
      <c r="F1710" s="2">
        <v>3.35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</row>
    <row r="1711" spans="1:11" x14ac:dyDescent="0.2">
      <c r="A1711" s="1">
        <v>0.186805555555556</v>
      </c>
      <c r="B1711" s="2">
        <v>6.2700000000000005</v>
      </c>
      <c r="C1711" s="2">
        <v>3.6599999999999997</v>
      </c>
      <c r="D1711" s="2">
        <v>4.8499999999999996</v>
      </c>
      <c r="E1711" s="2">
        <v>4.95</v>
      </c>
      <c r="F1711" s="2">
        <v>3.2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</row>
    <row r="1712" spans="1:11" x14ac:dyDescent="0.2">
      <c r="A1712" s="1">
        <v>0.1875</v>
      </c>
      <c r="B1712" s="2">
        <v>6.2700000000000005</v>
      </c>
      <c r="C1712" s="2">
        <v>3.5799999999999996</v>
      </c>
      <c r="D1712" s="2">
        <v>5.2399999999999993</v>
      </c>
      <c r="E1712" s="2">
        <v>5.52</v>
      </c>
      <c r="F1712" s="2">
        <v>3.39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</row>
    <row r="1713" spans="1:11" x14ac:dyDescent="0.2">
      <c r="A1713" s="1">
        <v>0.188194444444444</v>
      </c>
      <c r="B1713" s="2">
        <v>6.28</v>
      </c>
      <c r="C1713" s="2">
        <v>3.8499999999999996</v>
      </c>
      <c r="D1713" s="2">
        <v>5.04</v>
      </c>
      <c r="E1713" s="2">
        <v>4.95</v>
      </c>
      <c r="F1713" s="2">
        <v>2.99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</row>
    <row r="1714" spans="1:11" x14ac:dyDescent="0.2">
      <c r="A1714" s="1">
        <v>0.18888888888888899</v>
      </c>
      <c r="B1714" s="2">
        <v>6.23</v>
      </c>
      <c r="C1714" s="2">
        <v>3.6999999999999997</v>
      </c>
      <c r="D1714" s="2">
        <v>5.17</v>
      </c>
      <c r="E1714" s="2">
        <v>5.17</v>
      </c>
      <c r="F1714" s="2">
        <v>3.23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</row>
    <row r="1715" spans="1:11" x14ac:dyDescent="0.2">
      <c r="A1715" s="1">
        <v>0.18958333333333299</v>
      </c>
      <c r="B1715" s="2">
        <v>6.24</v>
      </c>
      <c r="C1715" s="2">
        <v>3.82</v>
      </c>
      <c r="D1715" s="2">
        <v>5.1499999999999995</v>
      </c>
      <c r="E1715" s="2">
        <v>5.32</v>
      </c>
      <c r="F1715" s="2">
        <v>2.98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</row>
    <row r="1716" spans="1:11" x14ac:dyDescent="0.2">
      <c r="A1716" s="1">
        <v>0.19027777777777799</v>
      </c>
      <c r="B1716" s="2">
        <v>6.22</v>
      </c>
      <c r="C1716" s="2">
        <v>3.67</v>
      </c>
      <c r="D1716" s="2">
        <v>5.0199999999999996</v>
      </c>
      <c r="E1716" s="2">
        <v>5.47</v>
      </c>
      <c r="F1716" s="2">
        <v>3.21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</row>
    <row r="1717" spans="1:11" x14ac:dyDescent="0.2">
      <c r="A1717" s="1">
        <v>0.19097222222222199</v>
      </c>
      <c r="B1717" s="2">
        <v>6.17</v>
      </c>
      <c r="C1717" s="2">
        <v>3.6799999999999997</v>
      </c>
      <c r="D1717" s="2">
        <v>5.14</v>
      </c>
      <c r="E1717" s="2">
        <v>5</v>
      </c>
      <c r="F1717" s="2">
        <v>3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</row>
    <row r="1718" spans="1:11" x14ac:dyDescent="0.2">
      <c r="A1718" s="1">
        <v>0.19166666666666701</v>
      </c>
      <c r="B1718" s="2">
        <v>6.15</v>
      </c>
      <c r="C1718" s="2">
        <v>3.69</v>
      </c>
      <c r="D1718" s="2">
        <v>5.29</v>
      </c>
      <c r="E1718" s="2">
        <v>5.57</v>
      </c>
      <c r="F1718" s="2">
        <v>3.38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</row>
    <row r="1719" spans="1:11" x14ac:dyDescent="0.2">
      <c r="A1719" s="1">
        <v>0.19236111111111101</v>
      </c>
      <c r="B1719" s="2">
        <v>6.26</v>
      </c>
      <c r="C1719" s="2">
        <v>3.79</v>
      </c>
      <c r="D1719" s="2">
        <v>5</v>
      </c>
      <c r="E1719" s="2">
        <v>5.58</v>
      </c>
      <c r="F1719" s="2">
        <v>3.2800000000000002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</row>
    <row r="1720" spans="1:11" x14ac:dyDescent="0.2">
      <c r="A1720" s="1">
        <v>0.19305555555555601</v>
      </c>
      <c r="B1720" s="2">
        <v>6.13</v>
      </c>
      <c r="C1720" s="2">
        <v>3.76</v>
      </c>
      <c r="D1720" s="2">
        <v>4.9099999999999993</v>
      </c>
      <c r="E1720" s="2">
        <v>5.52</v>
      </c>
      <c r="F1720" s="2">
        <v>2.97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</row>
    <row r="1721" spans="1:11" x14ac:dyDescent="0.2">
      <c r="A1721" s="1">
        <v>0.19375000000000001</v>
      </c>
      <c r="B1721" s="2">
        <v>6.3100000000000005</v>
      </c>
      <c r="C1721" s="2">
        <v>3.76</v>
      </c>
      <c r="D1721" s="2">
        <v>4.93</v>
      </c>
      <c r="E1721" s="2">
        <v>5.42</v>
      </c>
      <c r="F1721" s="2">
        <v>3.04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</row>
    <row r="1722" spans="1:11" x14ac:dyDescent="0.2">
      <c r="A1722" s="1">
        <v>0.194444444444444</v>
      </c>
      <c r="B1722" s="2">
        <v>6.14</v>
      </c>
      <c r="C1722" s="2">
        <v>3.6399999999999997</v>
      </c>
      <c r="D1722" s="2">
        <v>4.8999999999999995</v>
      </c>
      <c r="E1722" s="2">
        <v>5.62</v>
      </c>
      <c r="F1722" s="2">
        <v>3.38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</row>
    <row r="1723" spans="1:11" x14ac:dyDescent="0.2">
      <c r="A1723" s="1">
        <v>0.195138888888889</v>
      </c>
      <c r="B1723" s="2">
        <v>6.12</v>
      </c>
      <c r="C1723" s="2">
        <v>3.76</v>
      </c>
      <c r="D1723" s="2">
        <v>5.2299999999999995</v>
      </c>
      <c r="E1723" s="2">
        <v>5.3</v>
      </c>
      <c r="F1723" s="2">
        <v>3.0300000000000002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</row>
    <row r="1724" spans="1:11" x14ac:dyDescent="0.2">
      <c r="A1724" s="1">
        <v>0.195833333333333</v>
      </c>
      <c r="B1724" s="2">
        <v>6.08</v>
      </c>
      <c r="C1724" s="2">
        <v>3.5999999999999996</v>
      </c>
      <c r="D1724" s="2">
        <v>4.8999999999999995</v>
      </c>
      <c r="E1724" s="2">
        <v>5.57</v>
      </c>
      <c r="F1724" s="2">
        <v>2.93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</row>
    <row r="1725" spans="1:11" x14ac:dyDescent="0.2">
      <c r="A1725" s="1">
        <v>0.196527777777778</v>
      </c>
      <c r="B1725" s="2">
        <v>6.12</v>
      </c>
      <c r="C1725" s="2">
        <v>3.6199999999999997</v>
      </c>
      <c r="D1725" s="2">
        <v>4.9399999999999995</v>
      </c>
      <c r="E1725" s="2">
        <v>4.99</v>
      </c>
      <c r="F1725" s="2">
        <v>2.98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</row>
    <row r="1726" spans="1:11" x14ac:dyDescent="0.2">
      <c r="A1726" s="1">
        <v>0.19722222222222199</v>
      </c>
      <c r="B1726" s="2">
        <v>6.25</v>
      </c>
      <c r="C1726" s="2">
        <v>3.67</v>
      </c>
      <c r="D1726" s="2">
        <v>5.0699999999999994</v>
      </c>
      <c r="E1726" s="2">
        <v>5.08</v>
      </c>
      <c r="F1726" s="2">
        <v>3.12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</row>
    <row r="1727" spans="1:11" x14ac:dyDescent="0.2">
      <c r="A1727" s="1">
        <v>0.19791666666666699</v>
      </c>
      <c r="B1727" s="2">
        <v>6.23</v>
      </c>
      <c r="C1727" s="2">
        <v>3.7399999999999998</v>
      </c>
      <c r="D1727" s="2">
        <v>5.1599999999999993</v>
      </c>
      <c r="E1727" s="2">
        <v>5.37</v>
      </c>
      <c r="F1727" s="2">
        <v>3.0700000000000003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</row>
    <row r="1728" spans="1:11" x14ac:dyDescent="0.2">
      <c r="A1728" s="1">
        <v>0.19861111111111099</v>
      </c>
      <c r="B1728" s="2">
        <v>6.11</v>
      </c>
      <c r="C1728" s="2">
        <v>3.73</v>
      </c>
      <c r="D1728" s="2">
        <v>5.2799999999999994</v>
      </c>
      <c r="E1728" s="2">
        <v>5.13</v>
      </c>
      <c r="F1728" s="2">
        <v>3.0300000000000002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</row>
    <row r="1729" spans="1:11" x14ac:dyDescent="0.2">
      <c r="A1729" s="1">
        <v>0.19930555555555601</v>
      </c>
      <c r="B1729" s="2">
        <v>6.14</v>
      </c>
      <c r="C1729" s="2">
        <v>3.61</v>
      </c>
      <c r="D1729" s="2">
        <v>5.2299999999999995</v>
      </c>
      <c r="E1729" s="2">
        <v>5</v>
      </c>
      <c r="F1729" s="2">
        <v>3.19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</row>
    <row r="1730" spans="1:11" x14ac:dyDescent="0.2">
      <c r="A1730" s="1">
        <v>0.2</v>
      </c>
      <c r="B1730" s="2">
        <v>6.22</v>
      </c>
      <c r="C1730" s="2">
        <v>3.76</v>
      </c>
      <c r="D1730" s="2">
        <v>5.08</v>
      </c>
      <c r="E1730" s="2">
        <v>5.54</v>
      </c>
      <c r="F1730" s="2">
        <v>3.16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</row>
    <row r="1731" spans="1:11" x14ac:dyDescent="0.2">
      <c r="A1731" s="1">
        <v>0.20069444444444401</v>
      </c>
      <c r="B1731" s="2">
        <v>6.3100000000000005</v>
      </c>
      <c r="C1731" s="2">
        <v>3.6399999999999997</v>
      </c>
      <c r="D1731" s="2">
        <v>4.92</v>
      </c>
      <c r="E1731" s="2">
        <v>5.58</v>
      </c>
      <c r="F1731" s="2">
        <v>3.19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</row>
    <row r="1732" spans="1:11" x14ac:dyDescent="0.2">
      <c r="A1732" s="1">
        <v>0.20138888888888901</v>
      </c>
      <c r="B1732" s="2">
        <v>6.16</v>
      </c>
      <c r="C1732" s="2">
        <v>3.6199999999999997</v>
      </c>
      <c r="D1732" s="2">
        <v>4.8899999999999997</v>
      </c>
      <c r="E1732" s="2">
        <v>5.6</v>
      </c>
      <c r="F1732" s="2">
        <v>3.13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</row>
    <row r="1733" spans="1:11" x14ac:dyDescent="0.2">
      <c r="A1733" s="1">
        <v>0.202083333333333</v>
      </c>
      <c r="B1733" s="2">
        <v>6.15</v>
      </c>
      <c r="C1733" s="2">
        <v>3.83</v>
      </c>
      <c r="D1733" s="2">
        <v>5.1899999999999995</v>
      </c>
      <c r="E1733" s="2">
        <v>5.48</v>
      </c>
      <c r="F1733" s="2">
        <v>3.24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</row>
    <row r="1734" spans="1:11" x14ac:dyDescent="0.2">
      <c r="A1734" s="1">
        <v>0.202777777777778</v>
      </c>
      <c r="B1734" s="2">
        <v>6.25</v>
      </c>
      <c r="C1734" s="2">
        <v>3.79</v>
      </c>
      <c r="D1734" s="2">
        <v>5.2799999999999994</v>
      </c>
      <c r="E1734" s="2">
        <v>5.15</v>
      </c>
      <c r="F1734" s="2">
        <v>3.21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</row>
    <row r="1735" spans="1:11" x14ac:dyDescent="0.2">
      <c r="A1735" s="1">
        <v>0.203472222222222</v>
      </c>
      <c r="B1735" s="2">
        <v>6.33</v>
      </c>
      <c r="C1735" s="2">
        <v>3.61</v>
      </c>
      <c r="D1735" s="2">
        <v>5.09</v>
      </c>
      <c r="E1735" s="2">
        <v>5.28</v>
      </c>
      <c r="F1735" s="2">
        <v>3.1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</row>
    <row r="1736" spans="1:11" x14ac:dyDescent="0.2">
      <c r="A1736" s="1">
        <v>0.204166666666667</v>
      </c>
      <c r="B1736" s="2">
        <v>6.1</v>
      </c>
      <c r="C1736" s="2">
        <v>3.6399999999999997</v>
      </c>
      <c r="D1736" s="2">
        <v>4.9499999999999993</v>
      </c>
      <c r="E1736" s="2">
        <v>5.4</v>
      </c>
      <c r="F1736" s="2">
        <v>3.33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</row>
    <row r="1737" spans="1:11" x14ac:dyDescent="0.2">
      <c r="A1737" s="1">
        <v>0.20486111111111099</v>
      </c>
      <c r="B1737" s="2">
        <v>6.22</v>
      </c>
      <c r="C1737" s="2">
        <v>3.69</v>
      </c>
      <c r="D1737" s="2">
        <v>4.8499999999999996</v>
      </c>
      <c r="E1737" s="2">
        <v>5.22</v>
      </c>
      <c r="F1737" s="2">
        <v>2.94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</row>
    <row r="1738" spans="1:11" x14ac:dyDescent="0.2">
      <c r="A1738" s="1">
        <v>0.20555555555555599</v>
      </c>
      <c r="B1738" s="2">
        <v>6.25</v>
      </c>
      <c r="C1738" s="2">
        <v>3.65</v>
      </c>
      <c r="D1738" s="2">
        <v>5.0599999999999996</v>
      </c>
      <c r="E1738" s="2">
        <v>5.0199999999999996</v>
      </c>
      <c r="F1738" s="2">
        <v>3.37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</row>
    <row r="1739" spans="1:11" x14ac:dyDescent="0.2">
      <c r="A1739" s="1">
        <v>0.20624999999999999</v>
      </c>
      <c r="B1739" s="2">
        <v>6.3100000000000005</v>
      </c>
      <c r="C1739" s="2">
        <v>3.73</v>
      </c>
      <c r="D1739" s="2">
        <v>5</v>
      </c>
      <c r="E1739" s="2">
        <v>5.61</v>
      </c>
      <c r="F1739" s="2">
        <v>2.96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</row>
    <row r="1740" spans="1:11" x14ac:dyDescent="0.2">
      <c r="A1740" s="1">
        <v>0.20694444444444399</v>
      </c>
      <c r="B1740" s="2">
        <v>6.2700000000000005</v>
      </c>
      <c r="C1740" s="2">
        <v>3.65</v>
      </c>
      <c r="D1740" s="2">
        <v>5.2399999999999993</v>
      </c>
      <c r="E1740" s="2">
        <v>5.48</v>
      </c>
      <c r="F1740" s="2">
        <v>2.95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</row>
    <row r="1741" spans="1:11" x14ac:dyDescent="0.2">
      <c r="A1741" s="1">
        <v>0.20763888888888901</v>
      </c>
      <c r="B1741" s="2">
        <v>6.2</v>
      </c>
      <c r="C1741" s="2">
        <v>3.57</v>
      </c>
      <c r="D1741" s="2">
        <v>4.8899999999999997</v>
      </c>
      <c r="E1741" s="2">
        <v>5.59</v>
      </c>
      <c r="F1741" s="2">
        <v>2.91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</row>
    <row r="1742" spans="1:11" x14ac:dyDescent="0.2">
      <c r="A1742" s="3">
        <v>0.20833333333333301</v>
      </c>
      <c r="B1742" s="2">
        <v>6.21</v>
      </c>
      <c r="C1742" s="2">
        <v>3.73</v>
      </c>
      <c r="D1742" s="2">
        <v>5.0999999999999996</v>
      </c>
      <c r="E1742" s="2">
        <v>5.31</v>
      </c>
      <c r="F1742" s="2">
        <v>3.16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</row>
    <row r="1743" spans="1:11" x14ac:dyDescent="0.2">
      <c r="A1743" s="1">
        <v>0.20902777777777801</v>
      </c>
      <c r="B1743" s="2">
        <v>6.17</v>
      </c>
      <c r="C1743" s="2">
        <v>3.78</v>
      </c>
      <c r="D1743" s="2">
        <v>5.1199999999999992</v>
      </c>
      <c r="E1743" s="2">
        <v>5.4</v>
      </c>
      <c r="F1743" s="2">
        <v>3.24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</row>
    <row r="1744" spans="1:11" x14ac:dyDescent="0.2">
      <c r="A1744" s="1">
        <v>0.209722222222222</v>
      </c>
      <c r="B1744" s="2">
        <v>6.1099999999999994</v>
      </c>
      <c r="C1744" s="2">
        <v>3.63</v>
      </c>
      <c r="D1744" s="2">
        <v>4.8999999999999995</v>
      </c>
      <c r="E1744" s="2">
        <v>5.0999999999999996</v>
      </c>
      <c r="F1744" s="2">
        <v>3.13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</row>
    <row r="1745" spans="1:11" x14ac:dyDescent="0.2">
      <c r="A1745" s="1">
        <v>0.210416666666667</v>
      </c>
      <c r="B1745" s="2">
        <v>6.1499999999999995</v>
      </c>
      <c r="C1745" s="2">
        <v>3.75</v>
      </c>
      <c r="D1745" s="2">
        <v>5.0999999999999996</v>
      </c>
      <c r="E1745" s="2">
        <v>5.34</v>
      </c>
      <c r="F1745" s="2">
        <v>3.19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</row>
    <row r="1746" spans="1:11" x14ac:dyDescent="0.2">
      <c r="A1746" s="1">
        <v>0.211111111111111</v>
      </c>
      <c r="B1746" s="2">
        <v>6.22</v>
      </c>
      <c r="C1746" s="2">
        <v>3.6199999999999997</v>
      </c>
      <c r="D1746" s="2">
        <v>5.25</v>
      </c>
      <c r="E1746" s="2">
        <v>5.43</v>
      </c>
      <c r="F1746" s="2">
        <v>3.2600000000000002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</row>
    <row r="1747" spans="1:11" x14ac:dyDescent="0.2">
      <c r="A1747" s="1">
        <v>0.211805555555556</v>
      </c>
      <c r="B1747" s="2">
        <v>6.14</v>
      </c>
      <c r="C1747" s="2">
        <v>3.8099999999999996</v>
      </c>
      <c r="D1747" s="2">
        <v>5.2799999999999994</v>
      </c>
      <c r="E1747" s="2">
        <v>5.36</v>
      </c>
      <c r="F1747" s="2">
        <v>2.94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</row>
    <row r="1748" spans="1:11" x14ac:dyDescent="0.2">
      <c r="A1748" s="1">
        <v>0.21249999999999999</v>
      </c>
      <c r="B1748" s="2">
        <v>6.21</v>
      </c>
      <c r="C1748" s="2">
        <v>3.8099999999999996</v>
      </c>
      <c r="D1748" s="2">
        <v>5.21</v>
      </c>
      <c r="E1748" s="2">
        <v>4.9399999999999995</v>
      </c>
      <c r="F1748" s="2">
        <v>3.35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</row>
    <row r="1749" spans="1:11" x14ac:dyDescent="0.2">
      <c r="A1749" s="1">
        <v>0.21319444444444399</v>
      </c>
      <c r="B1749" s="2">
        <v>6.25</v>
      </c>
      <c r="C1749" s="2">
        <v>3.5999999999999996</v>
      </c>
      <c r="D1749" s="2">
        <v>5.1199999999999992</v>
      </c>
      <c r="E1749" s="2">
        <v>5.37</v>
      </c>
      <c r="F1749" s="2">
        <v>3.1100000000000003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</row>
    <row r="1750" spans="1:11" x14ac:dyDescent="0.2">
      <c r="A1750" s="1">
        <v>0.21388888888888899</v>
      </c>
      <c r="B1750" s="2">
        <v>6.25</v>
      </c>
      <c r="C1750" s="2">
        <v>3.82</v>
      </c>
      <c r="D1750" s="2">
        <v>5.1899999999999995</v>
      </c>
      <c r="E1750" s="2">
        <v>5.42</v>
      </c>
      <c r="F1750" s="2">
        <v>2.96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</row>
    <row r="1751" spans="1:11" x14ac:dyDescent="0.2">
      <c r="A1751" s="1">
        <v>0.21458333333333299</v>
      </c>
      <c r="B1751" s="2">
        <v>6.25</v>
      </c>
      <c r="C1751" s="2">
        <v>3.7399999999999998</v>
      </c>
      <c r="D1751" s="2">
        <v>5.13</v>
      </c>
      <c r="E1751" s="2">
        <v>5.32</v>
      </c>
      <c r="F1751" s="2">
        <v>2.9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</row>
    <row r="1752" spans="1:11" x14ac:dyDescent="0.2">
      <c r="A1752" s="1">
        <v>0.21527777777777801</v>
      </c>
      <c r="B1752" s="2">
        <v>6.1899999999999995</v>
      </c>
      <c r="C1752" s="2">
        <v>3.67</v>
      </c>
      <c r="D1752" s="2">
        <v>4.8999999999999995</v>
      </c>
      <c r="E1752" s="2">
        <v>5.45</v>
      </c>
      <c r="F1752" s="2">
        <v>3.29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</row>
    <row r="1753" spans="1:11" x14ac:dyDescent="0.2">
      <c r="A1753" s="1">
        <v>0.21597222222222201</v>
      </c>
      <c r="B1753" s="2">
        <v>6.24</v>
      </c>
      <c r="C1753" s="2">
        <v>3.7199999999999998</v>
      </c>
      <c r="D1753" s="2">
        <v>5.1599999999999993</v>
      </c>
      <c r="E1753" s="2">
        <v>4.95</v>
      </c>
      <c r="F1753" s="2">
        <v>2.93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</row>
    <row r="1754" spans="1:11" x14ac:dyDescent="0.2">
      <c r="A1754" s="1">
        <v>0.21666666666666701</v>
      </c>
      <c r="B1754" s="2">
        <v>6.32</v>
      </c>
      <c r="C1754" s="2">
        <v>3.61</v>
      </c>
      <c r="D1754" s="2">
        <v>5.08</v>
      </c>
      <c r="E1754" s="2">
        <v>4.96</v>
      </c>
      <c r="F1754" s="2">
        <v>3.0900000000000003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</row>
    <row r="1755" spans="1:11" x14ac:dyDescent="0.2">
      <c r="A1755" s="1">
        <v>0.21736111111111101</v>
      </c>
      <c r="B1755" s="2">
        <v>6.3599999999999994</v>
      </c>
      <c r="C1755" s="2">
        <v>3.7399999999999998</v>
      </c>
      <c r="D1755" s="2">
        <v>5.0199999999999996</v>
      </c>
      <c r="E1755" s="2">
        <v>5.62</v>
      </c>
      <c r="F1755" s="2">
        <v>3.38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</row>
    <row r="1756" spans="1:11" x14ac:dyDescent="0.2">
      <c r="A1756" s="1">
        <v>0.218055555555556</v>
      </c>
      <c r="B1756" s="2">
        <v>6.14</v>
      </c>
      <c r="C1756" s="2">
        <v>3.65</v>
      </c>
      <c r="D1756" s="2">
        <v>5.3</v>
      </c>
      <c r="E1756" s="2">
        <v>5.16</v>
      </c>
      <c r="F1756" s="2">
        <v>3.1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</row>
    <row r="1757" spans="1:11" x14ac:dyDescent="0.2">
      <c r="A1757" s="1">
        <v>0.21875</v>
      </c>
      <c r="B1757" s="2">
        <v>6.2299999999999995</v>
      </c>
      <c r="C1757" s="2">
        <v>3.6399999999999997</v>
      </c>
      <c r="D1757" s="2">
        <v>5.29</v>
      </c>
      <c r="E1757" s="2">
        <v>4.95</v>
      </c>
      <c r="F1757" s="2">
        <v>3.08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</row>
    <row r="1758" spans="1:11" x14ac:dyDescent="0.2">
      <c r="A1758" s="1">
        <v>0.219444444444444</v>
      </c>
      <c r="B1758" s="2">
        <v>6.34</v>
      </c>
      <c r="C1758" s="2">
        <v>3.7399999999999998</v>
      </c>
      <c r="D1758" s="2">
        <v>5.04</v>
      </c>
      <c r="E1758" s="2">
        <v>5.58</v>
      </c>
      <c r="F1758" s="2">
        <v>3.02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</row>
    <row r="1759" spans="1:11" x14ac:dyDescent="0.2">
      <c r="A1759" s="1">
        <v>0.22013888888888899</v>
      </c>
      <c r="B1759" s="2">
        <v>6.09</v>
      </c>
      <c r="C1759" s="2">
        <v>3.73</v>
      </c>
      <c r="D1759" s="2">
        <v>5.1999999999999993</v>
      </c>
      <c r="E1759" s="2">
        <v>5.62</v>
      </c>
      <c r="F1759" s="2">
        <v>3.13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</row>
    <row r="1760" spans="1:11" x14ac:dyDescent="0.2">
      <c r="A1760" s="1">
        <v>0.22083333333333299</v>
      </c>
      <c r="B1760" s="2">
        <v>6.18</v>
      </c>
      <c r="C1760" s="2">
        <v>3.79</v>
      </c>
      <c r="D1760" s="2">
        <v>5.1999999999999993</v>
      </c>
      <c r="E1760" s="2">
        <v>5.4399999999999995</v>
      </c>
      <c r="F1760" s="2">
        <v>3.25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</row>
    <row r="1761" spans="1:11" x14ac:dyDescent="0.2">
      <c r="A1761" s="1">
        <v>0.22152777777777799</v>
      </c>
      <c r="B1761" s="2">
        <v>6.21</v>
      </c>
      <c r="C1761" s="2">
        <v>3.59</v>
      </c>
      <c r="D1761" s="2">
        <v>5.3</v>
      </c>
      <c r="E1761" s="2">
        <v>5.63</v>
      </c>
      <c r="F1761" s="2">
        <v>2.94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</row>
    <row r="1762" spans="1:11" x14ac:dyDescent="0.2">
      <c r="A1762" s="1">
        <v>0.22222222222222199</v>
      </c>
      <c r="B1762" s="2">
        <v>6.1</v>
      </c>
      <c r="C1762" s="2">
        <v>3.8</v>
      </c>
      <c r="D1762" s="2">
        <v>4.9499999999999993</v>
      </c>
      <c r="E1762" s="2">
        <v>4.9799999999999995</v>
      </c>
      <c r="F1762" s="2">
        <v>3.18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</row>
    <row r="1763" spans="1:11" x14ac:dyDescent="0.2">
      <c r="A1763" s="1">
        <v>0.22291666666666701</v>
      </c>
      <c r="B1763" s="2">
        <v>6.3599999999999994</v>
      </c>
      <c r="C1763" s="2">
        <v>3.6599999999999997</v>
      </c>
      <c r="D1763" s="2">
        <v>5.21</v>
      </c>
      <c r="E1763" s="2">
        <v>5.52</v>
      </c>
      <c r="F1763" s="2">
        <v>2.99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</row>
    <row r="1764" spans="1:11" x14ac:dyDescent="0.2">
      <c r="A1764" s="1">
        <v>0.22361111111111101</v>
      </c>
      <c r="B1764" s="2">
        <v>6.27</v>
      </c>
      <c r="C1764" s="2">
        <v>3.73</v>
      </c>
      <c r="D1764" s="2">
        <v>5.08</v>
      </c>
      <c r="E1764" s="2">
        <v>5.2</v>
      </c>
      <c r="F1764" s="2">
        <v>3.2600000000000002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</row>
    <row r="1765" spans="1:11" x14ac:dyDescent="0.2">
      <c r="A1765" s="1">
        <v>0.22430555555555601</v>
      </c>
      <c r="B1765" s="2">
        <v>6.1499999999999995</v>
      </c>
      <c r="C1765" s="2">
        <v>3.7399999999999998</v>
      </c>
      <c r="D1765" s="2">
        <v>5.1499999999999995</v>
      </c>
      <c r="E1765" s="2">
        <v>5.22</v>
      </c>
      <c r="F1765" s="2">
        <v>3.19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</row>
    <row r="1766" spans="1:11" x14ac:dyDescent="0.2">
      <c r="A1766" s="1">
        <v>0.22500000000000001</v>
      </c>
      <c r="B1766" s="2">
        <v>6.29</v>
      </c>
      <c r="C1766" s="2">
        <v>3.73</v>
      </c>
      <c r="D1766" s="2">
        <v>5.2799999999999994</v>
      </c>
      <c r="E1766" s="2">
        <v>5.4</v>
      </c>
      <c r="F1766" s="2">
        <v>3.31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</row>
    <row r="1767" spans="1:11" x14ac:dyDescent="0.2">
      <c r="A1767" s="1">
        <v>0.225694444444444</v>
      </c>
      <c r="B1767" s="2">
        <v>6.12</v>
      </c>
      <c r="C1767" s="2">
        <v>3.5799999999999996</v>
      </c>
      <c r="D1767" s="2">
        <v>5.2299999999999995</v>
      </c>
      <c r="E1767" s="2">
        <v>5.4</v>
      </c>
      <c r="F1767" s="2">
        <v>3.2800000000000002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</row>
    <row r="1768" spans="1:11" x14ac:dyDescent="0.2">
      <c r="A1768" s="1">
        <v>0.226388888888889</v>
      </c>
      <c r="B1768" s="2">
        <v>6.31</v>
      </c>
      <c r="C1768" s="2">
        <v>3.73</v>
      </c>
      <c r="D1768" s="2">
        <v>4.8699999999999992</v>
      </c>
      <c r="E1768" s="2">
        <v>5.17</v>
      </c>
      <c r="F1768" s="2">
        <v>3.16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</row>
    <row r="1769" spans="1:11" x14ac:dyDescent="0.2">
      <c r="A1769" s="1">
        <v>0.227083333333333</v>
      </c>
      <c r="B1769" s="2">
        <v>6.1499999999999995</v>
      </c>
      <c r="C1769" s="2">
        <v>3.6599999999999997</v>
      </c>
      <c r="D1769" s="2">
        <v>4.8899999999999997</v>
      </c>
      <c r="E1769" s="2">
        <v>5.2299999999999995</v>
      </c>
      <c r="F1769" s="2">
        <v>2.99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</row>
    <row r="1770" spans="1:11" x14ac:dyDescent="0.2">
      <c r="A1770" s="1">
        <v>0.227777777777778</v>
      </c>
      <c r="B1770" s="2">
        <v>6.33</v>
      </c>
      <c r="C1770" s="2">
        <v>3.6999999999999997</v>
      </c>
      <c r="D1770" s="2">
        <v>5.1499999999999995</v>
      </c>
      <c r="E1770" s="2">
        <v>5.09</v>
      </c>
      <c r="F1770" s="2">
        <v>2.91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</row>
    <row r="1771" spans="1:11" x14ac:dyDescent="0.2">
      <c r="A1771" s="1">
        <v>0.22847222222222199</v>
      </c>
      <c r="B1771" s="2">
        <v>6.27</v>
      </c>
      <c r="C1771" s="2">
        <v>3.7399999999999998</v>
      </c>
      <c r="D1771" s="2">
        <v>5.2299999999999995</v>
      </c>
      <c r="E1771" s="2">
        <v>5.18</v>
      </c>
      <c r="F1771" s="2">
        <v>2.88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</row>
    <row r="1772" spans="1:11" x14ac:dyDescent="0.2">
      <c r="A1772" s="1">
        <v>0.22916666666666699</v>
      </c>
      <c r="B1772" s="2">
        <v>6.33</v>
      </c>
      <c r="C1772" s="2">
        <v>3.6799999999999997</v>
      </c>
      <c r="D1772" s="2">
        <v>5.21</v>
      </c>
      <c r="E1772" s="2">
        <v>5.07</v>
      </c>
      <c r="F1772" s="2">
        <v>2.95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</row>
    <row r="1773" spans="1:11" x14ac:dyDescent="0.2">
      <c r="A1773" s="1">
        <v>0.22986111111111099</v>
      </c>
      <c r="B1773" s="2">
        <v>6.16</v>
      </c>
      <c r="C1773" s="2">
        <v>3.69</v>
      </c>
      <c r="D1773" s="2">
        <v>5.29</v>
      </c>
      <c r="E1773" s="2">
        <v>5.07</v>
      </c>
      <c r="F1773" s="2">
        <v>3.1500000000000004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</row>
    <row r="1774" spans="1:11" x14ac:dyDescent="0.2">
      <c r="A1774" s="1">
        <v>0.23055555555555601</v>
      </c>
      <c r="B1774" s="2">
        <v>6.09</v>
      </c>
      <c r="C1774" s="2">
        <v>3.7199999999999998</v>
      </c>
      <c r="D1774" s="2">
        <v>5.27</v>
      </c>
      <c r="E1774" s="2">
        <v>4.9399999999999995</v>
      </c>
      <c r="F1774" s="2">
        <v>2.88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</row>
    <row r="1775" spans="1:11" x14ac:dyDescent="0.2">
      <c r="A1775" s="1">
        <v>0.23125000000000001</v>
      </c>
      <c r="B1775" s="2">
        <v>6.22</v>
      </c>
      <c r="C1775" s="2">
        <v>3.6799999999999997</v>
      </c>
      <c r="D1775" s="2">
        <v>5.0999999999999996</v>
      </c>
      <c r="E1775" s="2">
        <v>5.51</v>
      </c>
      <c r="F1775" s="2">
        <v>3.3200000000000003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</row>
    <row r="1776" spans="1:11" x14ac:dyDescent="0.2">
      <c r="A1776" s="1">
        <v>0.23194444444444401</v>
      </c>
      <c r="B1776" s="2">
        <v>6.25</v>
      </c>
      <c r="C1776" s="2">
        <v>3.65</v>
      </c>
      <c r="D1776" s="2">
        <v>5.04</v>
      </c>
      <c r="E1776" s="2">
        <v>5.37</v>
      </c>
      <c r="F1776" s="2">
        <v>3.3000000000000003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</row>
    <row r="1777" spans="1:16" x14ac:dyDescent="0.2">
      <c r="A1777" s="1">
        <v>0.23263888888888901</v>
      </c>
      <c r="B1777" s="2">
        <v>6.29</v>
      </c>
      <c r="C1777" s="2">
        <v>3.67</v>
      </c>
      <c r="D1777" s="2">
        <v>4.8699999999999992</v>
      </c>
      <c r="E1777" s="2">
        <v>5.57</v>
      </c>
      <c r="F1777" s="2">
        <v>3.0500000000000003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</row>
    <row r="1778" spans="1:16" x14ac:dyDescent="0.2">
      <c r="A1778" s="1">
        <v>0.233333333333333</v>
      </c>
      <c r="B1778" s="2">
        <v>6.13</v>
      </c>
      <c r="C1778" s="2">
        <v>3.67</v>
      </c>
      <c r="D1778" s="2">
        <v>4.8699999999999992</v>
      </c>
      <c r="E1778" s="2">
        <v>5.24</v>
      </c>
      <c r="F1778" s="2">
        <v>3.1500000000000004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</row>
    <row r="1779" spans="1:16" x14ac:dyDescent="0.2">
      <c r="A1779" s="1">
        <v>0.234027777777778</v>
      </c>
      <c r="B1779" s="2">
        <v>6.29</v>
      </c>
      <c r="C1779" s="2">
        <v>3.6199999999999997</v>
      </c>
      <c r="D1779" s="2">
        <v>4.9899999999999993</v>
      </c>
      <c r="E1779" s="2">
        <v>5.1899999999999995</v>
      </c>
      <c r="F1779" s="2">
        <v>3.33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</row>
    <row r="1780" spans="1:16" x14ac:dyDescent="0.2">
      <c r="A1780" s="1">
        <v>0.234722222222222</v>
      </c>
      <c r="B1780" s="2">
        <v>6.1499999999999995</v>
      </c>
      <c r="C1780" s="2">
        <v>3.61</v>
      </c>
      <c r="D1780" s="2">
        <v>4.8499999999999996</v>
      </c>
      <c r="E1780" s="2">
        <v>5.56</v>
      </c>
      <c r="F1780" s="2">
        <v>3.14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</row>
    <row r="1781" spans="1:16" x14ac:dyDescent="0.2">
      <c r="A1781" s="1">
        <v>0.235416666666667</v>
      </c>
      <c r="B1781" s="2">
        <v>6.3599999999999994</v>
      </c>
      <c r="C1781" s="2">
        <v>3.6399999999999997</v>
      </c>
      <c r="D1781" s="2">
        <v>5.27</v>
      </c>
      <c r="E1781" s="2">
        <v>5.39</v>
      </c>
      <c r="F1781" s="2">
        <v>3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</row>
    <row r="1782" spans="1:16" x14ac:dyDescent="0.2">
      <c r="A1782" s="1">
        <v>0.23611111111111099</v>
      </c>
      <c r="B1782" s="2">
        <v>6.16</v>
      </c>
      <c r="C1782" s="2">
        <v>3.6799999999999997</v>
      </c>
      <c r="D1782" s="2">
        <v>5.25</v>
      </c>
      <c r="E1782" s="2">
        <v>5.52</v>
      </c>
      <c r="F1782" s="2">
        <v>2.92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</row>
    <row r="1783" spans="1:16" x14ac:dyDescent="0.2">
      <c r="A1783" s="1">
        <v>0.23680555555555599</v>
      </c>
      <c r="B1783" s="2">
        <v>6.1099999999999994</v>
      </c>
      <c r="C1783" s="2">
        <v>3.67</v>
      </c>
      <c r="D1783" s="2">
        <v>5.25</v>
      </c>
      <c r="E1783" s="2">
        <v>5.28</v>
      </c>
      <c r="F1783" s="2">
        <v>3.14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</row>
    <row r="1784" spans="1:16" x14ac:dyDescent="0.2">
      <c r="A1784" s="1">
        <v>0.23749999999999999</v>
      </c>
      <c r="B1784" s="2">
        <v>6.1499999999999995</v>
      </c>
      <c r="C1784" s="2">
        <v>3.61</v>
      </c>
      <c r="D1784" s="2">
        <v>5.01</v>
      </c>
      <c r="E1784" s="2">
        <v>5.53</v>
      </c>
      <c r="F1784" s="2">
        <v>3.2600000000000002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</row>
    <row r="1785" spans="1:16" x14ac:dyDescent="0.2">
      <c r="A1785" s="1">
        <v>0.23819444444444399</v>
      </c>
      <c r="B1785" s="2">
        <v>6.35</v>
      </c>
      <c r="C1785" s="2">
        <v>3.8</v>
      </c>
      <c r="D1785" s="2">
        <v>5.2799999999999994</v>
      </c>
      <c r="E1785" s="2">
        <v>5.61</v>
      </c>
      <c r="F1785" s="2">
        <v>3.0300000000000002</v>
      </c>
      <c r="G1785" s="6">
        <v>45</v>
      </c>
      <c r="H1785" s="6">
        <v>64</v>
      </c>
      <c r="I1785" s="6">
        <v>68</v>
      </c>
      <c r="J1785" s="6">
        <v>54</v>
      </c>
      <c r="K1785" s="6">
        <v>89</v>
      </c>
      <c r="L1785" s="2"/>
      <c r="M1785" s="2"/>
      <c r="N1785" s="2"/>
      <c r="O1785" s="2"/>
      <c r="P1785" s="2"/>
    </row>
    <row r="1786" spans="1:16" x14ac:dyDescent="0.2">
      <c r="A1786" s="1">
        <v>0.23888888888888901</v>
      </c>
      <c r="B1786" s="2">
        <v>6.26</v>
      </c>
      <c r="C1786" s="2">
        <v>3.6399999999999997</v>
      </c>
      <c r="D1786" s="2">
        <v>5.1999999999999993</v>
      </c>
      <c r="E1786" s="2">
        <v>5.3</v>
      </c>
      <c r="F1786" s="2">
        <v>3.35</v>
      </c>
      <c r="G1786" s="6">
        <v>56</v>
      </c>
      <c r="H1786" s="6">
        <v>81</v>
      </c>
      <c r="I1786" s="6">
        <v>100</v>
      </c>
      <c r="J1786" s="6">
        <v>85</v>
      </c>
      <c r="K1786" s="6">
        <v>112</v>
      </c>
      <c r="L1786" s="2"/>
      <c r="M1786" s="2"/>
      <c r="N1786" s="2"/>
      <c r="O1786" s="2"/>
      <c r="P1786" s="2"/>
    </row>
    <row r="1787" spans="1:16" x14ac:dyDescent="0.2">
      <c r="A1787" s="1">
        <v>0.23958333333333301</v>
      </c>
      <c r="B1787" s="2">
        <v>6.26</v>
      </c>
      <c r="C1787" s="2">
        <v>3.69</v>
      </c>
      <c r="D1787" s="2">
        <v>5.1099999999999994</v>
      </c>
      <c r="E1787" s="2">
        <v>5.49</v>
      </c>
      <c r="F1787" s="2">
        <v>3.0700000000000003</v>
      </c>
      <c r="G1787" s="6">
        <v>58</v>
      </c>
      <c r="H1787" s="6">
        <v>70</v>
      </c>
      <c r="I1787" s="6">
        <v>124</v>
      </c>
      <c r="J1787" s="6">
        <v>114</v>
      </c>
      <c r="K1787" s="6">
        <v>162</v>
      </c>
      <c r="L1787" s="2"/>
      <c r="M1787" s="2"/>
      <c r="N1787" s="2"/>
      <c r="O1787" s="2"/>
      <c r="P1787" s="2"/>
    </row>
    <row r="1788" spans="1:16" x14ac:dyDescent="0.2">
      <c r="A1788" s="1">
        <v>0.24027777777777801</v>
      </c>
      <c r="B1788" s="2">
        <v>6.35</v>
      </c>
      <c r="C1788" s="2">
        <v>3.63</v>
      </c>
      <c r="D1788" s="2">
        <v>5.1099999999999994</v>
      </c>
      <c r="E1788" s="2">
        <v>4.97</v>
      </c>
      <c r="F1788" s="2">
        <v>3.1500000000000004</v>
      </c>
      <c r="G1788" s="6">
        <v>44</v>
      </c>
      <c r="H1788" s="6">
        <v>55</v>
      </c>
      <c r="I1788" s="6">
        <v>72</v>
      </c>
      <c r="J1788" s="6">
        <v>86</v>
      </c>
      <c r="K1788" s="6">
        <v>150</v>
      </c>
      <c r="L1788" s="2"/>
      <c r="M1788" s="2"/>
      <c r="N1788" s="2"/>
      <c r="O1788" s="2"/>
      <c r="P1788" s="2"/>
    </row>
    <row r="1789" spans="1:16" x14ac:dyDescent="0.2">
      <c r="A1789" s="1">
        <v>0.240972222222222</v>
      </c>
      <c r="B1789" s="2">
        <v>6.09</v>
      </c>
      <c r="C1789" s="2">
        <v>3.67</v>
      </c>
      <c r="D1789" s="2">
        <v>5.1599999999999993</v>
      </c>
      <c r="E1789" s="2">
        <v>5.0999999999999996</v>
      </c>
      <c r="F1789" s="2">
        <v>3.39</v>
      </c>
      <c r="G1789" s="6">
        <v>58</v>
      </c>
      <c r="H1789" s="6">
        <v>64</v>
      </c>
      <c r="I1789" s="6">
        <v>81</v>
      </c>
      <c r="J1789" s="6">
        <v>95</v>
      </c>
      <c r="K1789" s="6">
        <v>155</v>
      </c>
      <c r="L1789" s="2"/>
      <c r="M1789" s="2"/>
      <c r="N1789" s="2"/>
      <c r="O1789" s="2"/>
      <c r="P1789" s="2"/>
    </row>
    <row r="1790" spans="1:16" x14ac:dyDescent="0.2">
      <c r="A1790" s="1">
        <v>0.241666666666667</v>
      </c>
      <c r="B1790" s="2">
        <v>6.09</v>
      </c>
      <c r="C1790" s="2">
        <v>3.79</v>
      </c>
      <c r="D1790" s="2">
        <v>5.1599999999999993</v>
      </c>
      <c r="E1790" s="2">
        <v>4.9799999999999995</v>
      </c>
      <c r="F1790" s="2">
        <v>3.3200000000000003</v>
      </c>
      <c r="G1790" s="6">
        <v>79</v>
      </c>
      <c r="H1790" s="6">
        <v>92</v>
      </c>
      <c r="I1790" s="6">
        <v>134</v>
      </c>
      <c r="J1790" s="6">
        <v>127</v>
      </c>
      <c r="K1790" s="6">
        <v>234</v>
      </c>
      <c r="L1790" s="2"/>
      <c r="M1790" s="2"/>
      <c r="N1790" s="2"/>
      <c r="O1790" s="2"/>
      <c r="P1790" s="2"/>
    </row>
    <row r="1791" spans="1:16" x14ac:dyDescent="0.2">
      <c r="A1791" s="1">
        <v>0.242361111111111</v>
      </c>
      <c r="B1791" s="2">
        <v>6.33</v>
      </c>
      <c r="C1791" s="2">
        <v>3.73</v>
      </c>
      <c r="D1791" s="2">
        <v>5.1499999999999995</v>
      </c>
      <c r="E1791" s="2">
        <v>5.0199999999999996</v>
      </c>
      <c r="F1791" s="2">
        <v>3.29</v>
      </c>
      <c r="G1791" s="6">
        <v>85</v>
      </c>
      <c r="H1791" s="6">
        <v>102</v>
      </c>
      <c r="I1791" s="6">
        <v>120</v>
      </c>
      <c r="J1791" s="6">
        <v>115</v>
      </c>
      <c r="K1791" s="6">
        <v>222</v>
      </c>
      <c r="L1791" s="2"/>
      <c r="M1791" s="2"/>
      <c r="N1791" s="2"/>
      <c r="O1791" s="2"/>
      <c r="P1791" s="2"/>
    </row>
    <row r="1792" spans="1:16" x14ac:dyDescent="0.2">
      <c r="A1792" s="1">
        <v>0.243055555555556</v>
      </c>
      <c r="B1792" s="2">
        <v>6.2</v>
      </c>
      <c r="C1792" s="2">
        <v>3.82</v>
      </c>
      <c r="D1792" s="2">
        <v>5.25</v>
      </c>
      <c r="E1792" s="2">
        <v>5.05</v>
      </c>
      <c r="F1792" s="2">
        <v>3.2600000000000002</v>
      </c>
      <c r="G1792" s="6">
        <v>100</v>
      </c>
      <c r="H1792" s="6">
        <v>150</v>
      </c>
      <c r="I1792" s="6">
        <v>204</v>
      </c>
      <c r="J1792" s="6">
        <v>105</v>
      </c>
      <c r="K1792" s="6">
        <v>200</v>
      </c>
      <c r="L1792" s="2"/>
      <c r="M1792" s="2"/>
      <c r="N1792" s="2"/>
      <c r="O1792" s="2"/>
      <c r="P1792" s="2"/>
    </row>
    <row r="1793" spans="1:16" x14ac:dyDescent="0.2">
      <c r="A1793" s="1">
        <v>0.24374999999999999</v>
      </c>
      <c r="B1793" s="2">
        <v>6.17</v>
      </c>
      <c r="C1793" s="2">
        <v>3.63</v>
      </c>
      <c r="D1793" s="2">
        <v>4.96</v>
      </c>
      <c r="E1793" s="2">
        <v>5.41</v>
      </c>
      <c r="F1793" s="2">
        <v>3.06</v>
      </c>
      <c r="G1793" s="6">
        <v>254</v>
      </c>
      <c r="H1793" s="6">
        <v>301</v>
      </c>
      <c r="I1793" s="6">
        <v>321</v>
      </c>
      <c r="J1793" s="6">
        <v>354</v>
      </c>
      <c r="K1793" s="6">
        <v>345</v>
      </c>
      <c r="L1793" s="2"/>
      <c r="M1793" s="2"/>
      <c r="N1793" s="2"/>
      <c r="O1793" s="2"/>
      <c r="P1793" s="2"/>
    </row>
    <row r="1794" spans="1:16" x14ac:dyDescent="0.2">
      <c r="A1794" s="1">
        <v>0.24444444444444399</v>
      </c>
      <c r="B1794" s="2">
        <v>6.16</v>
      </c>
      <c r="C1794" s="2">
        <v>3.8</v>
      </c>
      <c r="D1794" s="2">
        <v>5.22</v>
      </c>
      <c r="E1794" s="2">
        <v>5.5</v>
      </c>
      <c r="F1794" s="2">
        <v>2.88</v>
      </c>
      <c r="G1794" s="6">
        <v>156</v>
      </c>
      <c r="H1794" s="6">
        <v>265</v>
      </c>
      <c r="I1794" s="6">
        <v>301</v>
      </c>
      <c r="J1794" s="6">
        <v>534</v>
      </c>
      <c r="K1794" s="6">
        <v>267</v>
      </c>
      <c r="L1794" s="2"/>
      <c r="M1794" s="2"/>
      <c r="N1794" s="2"/>
      <c r="O1794" s="2"/>
      <c r="P1794" s="2"/>
    </row>
    <row r="1795" spans="1:16" x14ac:dyDescent="0.2">
      <c r="A1795" s="1">
        <v>0.24513888888888899</v>
      </c>
      <c r="B1795" s="2">
        <v>6.35</v>
      </c>
      <c r="C1795" s="2">
        <v>3.8</v>
      </c>
      <c r="D1795" s="2">
        <v>4.8699999999999992</v>
      </c>
      <c r="E1795" s="2">
        <v>5.07</v>
      </c>
      <c r="F1795" s="2">
        <v>3.21</v>
      </c>
      <c r="G1795" s="6">
        <v>264</v>
      </c>
      <c r="H1795" s="6">
        <v>345</v>
      </c>
      <c r="I1795" s="6">
        <v>365</v>
      </c>
      <c r="J1795" s="6">
        <v>443</v>
      </c>
      <c r="K1795" s="6">
        <v>315</v>
      </c>
      <c r="L1795" s="2"/>
      <c r="M1795" s="2"/>
      <c r="N1795" s="2"/>
      <c r="O1795" s="2"/>
      <c r="P1795" s="2"/>
    </row>
    <row r="1796" spans="1:16" x14ac:dyDescent="0.2">
      <c r="A1796" s="1">
        <v>0.24583333333333299</v>
      </c>
      <c r="B1796" s="2">
        <v>6.29</v>
      </c>
      <c r="C1796" s="2">
        <v>3.73</v>
      </c>
      <c r="D1796" s="2">
        <v>5.17</v>
      </c>
      <c r="E1796" s="2">
        <v>5.3</v>
      </c>
      <c r="F1796" s="2">
        <v>3.12</v>
      </c>
      <c r="G1796" s="6">
        <v>345</v>
      </c>
      <c r="H1796" s="6">
        <v>242</v>
      </c>
      <c r="I1796" s="6">
        <v>349</v>
      </c>
      <c r="J1796" s="6">
        <v>254</v>
      </c>
      <c r="K1796" s="6">
        <v>419</v>
      </c>
      <c r="L1796" s="2"/>
      <c r="M1796" s="2"/>
      <c r="N1796" s="2"/>
      <c r="O1796" s="2"/>
      <c r="P1796" s="2"/>
    </row>
    <row r="1797" spans="1:16" x14ac:dyDescent="0.2">
      <c r="A1797" s="1">
        <v>0.24652777777777801</v>
      </c>
      <c r="B1797" s="2">
        <v>6.33</v>
      </c>
      <c r="C1797" s="2">
        <v>3.65</v>
      </c>
      <c r="D1797" s="2">
        <v>4.93</v>
      </c>
      <c r="E1797" s="2">
        <v>5.0999999999999996</v>
      </c>
      <c r="F1797" s="2">
        <v>3.19</v>
      </c>
      <c r="G1797" s="6">
        <v>456</v>
      </c>
      <c r="H1797" s="6">
        <v>314</v>
      </c>
      <c r="I1797" s="6">
        <v>545</v>
      </c>
      <c r="J1797" s="6">
        <v>314</v>
      </c>
      <c r="K1797" s="6">
        <v>468</v>
      </c>
      <c r="L1797" s="2"/>
      <c r="M1797" s="2"/>
      <c r="N1797" s="2"/>
      <c r="O1797" s="2"/>
      <c r="P1797" s="2"/>
    </row>
    <row r="1798" spans="1:16" x14ac:dyDescent="0.2">
      <c r="A1798" s="1">
        <v>0.24722222222222201</v>
      </c>
      <c r="B1798" s="2">
        <v>6.16</v>
      </c>
      <c r="C1798" s="2">
        <v>3.7199999999999998</v>
      </c>
      <c r="D1798" s="2">
        <v>4.9099999999999993</v>
      </c>
      <c r="E1798" s="2">
        <v>5.29</v>
      </c>
      <c r="F1798" s="2">
        <v>2.99</v>
      </c>
      <c r="G1798" s="6">
        <v>314</v>
      </c>
      <c r="H1798" s="6">
        <v>264</v>
      </c>
      <c r="I1798" s="6">
        <v>354</v>
      </c>
      <c r="J1798" s="6">
        <v>324</v>
      </c>
      <c r="K1798" s="6">
        <v>498</v>
      </c>
      <c r="L1798" s="2"/>
      <c r="M1798" s="2"/>
      <c r="N1798" s="2"/>
      <c r="O1798" s="2"/>
      <c r="P1798" s="2"/>
    </row>
    <row r="1799" spans="1:16" x14ac:dyDescent="0.2">
      <c r="A1799" s="1">
        <v>0.24791666666666701</v>
      </c>
      <c r="B1799" s="2">
        <v>6.1499999999999995</v>
      </c>
      <c r="C1799" s="2">
        <v>3.57</v>
      </c>
      <c r="D1799" s="2">
        <v>4.88</v>
      </c>
      <c r="E1799" s="2">
        <v>4.99</v>
      </c>
      <c r="F1799" s="2">
        <v>3.1100000000000003</v>
      </c>
      <c r="G1799" s="6">
        <v>245</v>
      </c>
      <c r="H1799" s="6">
        <v>184</v>
      </c>
      <c r="I1799" s="6">
        <v>264</v>
      </c>
      <c r="J1799" s="6">
        <v>184</v>
      </c>
      <c r="K1799" s="6">
        <v>264</v>
      </c>
      <c r="L1799" s="2"/>
      <c r="M1799" s="2"/>
      <c r="N1799" s="2"/>
      <c r="O1799" s="2"/>
      <c r="P1799" s="2"/>
    </row>
    <row r="1800" spans="1:16" x14ac:dyDescent="0.2">
      <c r="A1800" s="1">
        <v>0.24861111111111101</v>
      </c>
      <c r="B1800" s="2">
        <v>6.21</v>
      </c>
      <c r="C1800" s="2">
        <v>3.8099999999999996</v>
      </c>
      <c r="D1800" s="2">
        <v>5.3</v>
      </c>
      <c r="E1800" s="2">
        <v>4.9799999999999995</v>
      </c>
      <c r="F1800" s="2">
        <v>3.37</v>
      </c>
      <c r="G1800" s="6">
        <v>315</v>
      </c>
      <c r="H1800" s="6">
        <v>264</v>
      </c>
      <c r="I1800" s="6">
        <v>333</v>
      </c>
      <c r="J1800" s="6">
        <v>364</v>
      </c>
      <c r="K1800" s="6">
        <v>485</v>
      </c>
      <c r="L1800" s="2"/>
      <c r="M1800" s="2"/>
      <c r="N1800" s="2"/>
      <c r="O1800" s="2"/>
      <c r="P1800" s="2"/>
    </row>
    <row r="1801" spans="1:16" x14ac:dyDescent="0.2">
      <c r="A1801" s="1">
        <v>0.249305555555556</v>
      </c>
      <c r="B1801" s="2">
        <v>6.21</v>
      </c>
      <c r="C1801" s="2">
        <v>3.79</v>
      </c>
      <c r="D1801" s="2">
        <v>5.0299999999999994</v>
      </c>
      <c r="E1801" s="2">
        <v>5</v>
      </c>
      <c r="F1801" s="2">
        <v>3.21</v>
      </c>
      <c r="G1801" s="6">
        <v>333</v>
      </c>
      <c r="H1801" s="6">
        <v>314</v>
      </c>
      <c r="I1801" s="6">
        <v>458</v>
      </c>
      <c r="J1801" s="6">
        <v>452</v>
      </c>
      <c r="K1801" s="6">
        <v>549</v>
      </c>
      <c r="L1801" s="2"/>
      <c r="M1801" s="2"/>
      <c r="N1801" s="2"/>
      <c r="O1801" s="2"/>
      <c r="P1801" s="2"/>
    </row>
    <row r="1802" spans="1:16" x14ac:dyDescent="0.2">
      <c r="A1802" s="3">
        <v>0.25</v>
      </c>
      <c r="B1802" s="2">
        <v>6.21</v>
      </c>
      <c r="C1802" s="2">
        <v>3.73</v>
      </c>
      <c r="D1802" s="2">
        <v>5.0999999999999996</v>
      </c>
      <c r="E1802" s="2">
        <v>5.31</v>
      </c>
      <c r="F1802" s="2">
        <v>3.16</v>
      </c>
      <c r="G1802" s="6">
        <v>244</v>
      </c>
      <c r="H1802" s="6">
        <v>263</v>
      </c>
      <c r="I1802" s="6">
        <v>364</v>
      </c>
      <c r="J1802" s="6">
        <v>267</v>
      </c>
      <c r="K1802" s="6">
        <v>413</v>
      </c>
      <c r="L1802" s="2"/>
      <c r="M1802" s="2"/>
      <c r="N1802" s="2"/>
      <c r="O1802" s="2"/>
      <c r="P1802" s="2"/>
    </row>
    <row r="1803" spans="1:16" x14ac:dyDescent="0.2">
      <c r="A1803" s="1">
        <v>0.250694444444444</v>
      </c>
      <c r="B1803" s="2">
        <v>6.18</v>
      </c>
      <c r="C1803" s="2">
        <v>3.62</v>
      </c>
      <c r="D1803" s="2">
        <v>5.0699999999999994</v>
      </c>
      <c r="E1803" s="2">
        <v>5.52</v>
      </c>
      <c r="F1803" s="2">
        <v>3.0900000000000003</v>
      </c>
      <c r="G1803" s="6">
        <v>405</v>
      </c>
      <c r="H1803" s="6">
        <v>645</v>
      </c>
      <c r="I1803" s="6">
        <v>454</v>
      </c>
      <c r="J1803" s="6">
        <v>364</v>
      </c>
      <c r="K1803" s="6">
        <v>625</v>
      </c>
      <c r="L1803" s="2"/>
      <c r="M1803" s="2"/>
      <c r="N1803" s="2"/>
      <c r="O1803" s="2"/>
      <c r="P1803" s="2"/>
    </row>
    <row r="1804" spans="1:16" x14ac:dyDescent="0.2">
      <c r="A1804" s="1">
        <v>0.25138888888888899</v>
      </c>
      <c r="B1804" s="2">
        <v>6.27</v>
      </c>
      <c r="C1804" s="2">
        <v>3.68</v>
      </c>
      <c r="D1804" s="2">
        <v>5.26</v>
      </c>
      <c r="E1804" s="2">
        <v>5.61</v>
      </c>
      <c r="F1804" s="2">
        <v>3.18</v>
      </c>
      <c r="G1804" s="6">
        <v>627</v>
      </c>
      <c r="H1804" s="6">
        <v>553</v>
      </c>
      <c r="I1804" s="6">
        <v>583</v>
      </c>
      <c r="J1804" s="6">
        <v>616</v>
      </c>
      <c r="K1804" s="6">
        <v>433</v>
      </c>
      <c r="L1804" s="2"/>
      <c r="M1804" s="2"/>
      <c r="N1804" s="2"/>
      <c r="O1804" s="2"/>
      <c r="P1804" s="2"/>
    </row>
    <row r="1805" spans="1:16" x14ac:dyDescent="0.2">
      <c r="A1805" s="1">
        <v>0.25208333333333299</v>
      </c>
      <c r="B1805" s="2">
        <v>6.34</v>
      </c>
      <c r="C1805" s="2">
        <v>3.66</v>
      </c>
      <c r="D1805" s="2">
        <v>5.31</v>
      </c>
      <c r="E1805" s="2">
        <v>5.14</v>
      </c>
      <c r="F1805" s="2">
        <v>3.2800000000000002</v>
      </c>
      <c r="G1805" s="6">
        <v>601</v>
      </c>
      <c r="H1805" s="6">
        <v>367</v>
      </c>
      <c r="I1805" s="6">
        <v>314</v>
      </c>
      <c r="J1805" s="6">
        <v>403</v>
      </c>
      <c r="K1805" s="6">
        <v>712</v>
      </c>
    </row>
    <row r="1806" spans="1:16" x14ac:dyDescent="0.2">
      <c r="A1806" s="1">
        <v>0.25277777777777799</v>
      </c>
      <c r="B1806" s="2">
        <v>6.09</v>
      </c>
      <c r="C1806" s="2">
        <v>3.6</v>
      </c>
      <c r="D1806" s="2">
        <v>4.9099999999999993</v>
      </c>
      <c r="E1806" s="2">
        <v>5.15</v>
      </c>
      <c r="F1806" s="2">
        <v>3.27</v>
      </c>
      <c r="G1806" s="6">
        <v>592</v>
      </c>
      <c r="H1806" s="6">
        <v>561</v>
      </c>
      <c r="I1806" s="6">
        <v>466</v>
      </c>
      <c r="J1806" s="6">
        <v>540</v>
      </c>
      <c r="K1806" s="6">
        <v>409</v>
      </c>
    </row>
    <row r="1807" spans="1:16" x14ac:dyDescent="0.2">
      <c r="A1807" s="1">
        <v>0.25347222222222199</v>
      </c>
      <c r="B1807" s="2">
        <v>6.32</v>
      </c>
      <c r="C1807" s="2">
        <v>3.7600000000000002</v>
      </c>
      <c r="D1807" s="2">
        <v>5.0299999999999994</v>
      </c>
      <c r="E1807" s="2">
        <v>5.29</v>
      </c>
      <c r="F1807" s="2">
        <v>2.91</v>
      </c>
      <c r="G1807" s="6">
        <v>467</v>
      </c>
      <c r="H1807" s="6">
        <v>611</v>
      </c>
      <c r="I1807" s="6">
        <v>283</v>
      </c>
      <c r="J1807" s="6">
        <v>345</v>
      </c>
      <c r="K1807" s="6">
        <v>348</v>
      </c>
    </row>
    <row r="1808" spans="1:16" x14ac:dyDescent="0.2">
      <c r="A1808" s="1">
        <v>0.25416666666666698</v>
      </c>
      <c r="B1808" s="2">
        <v>6.32</v>
      </c>
      <c r="C1808" s="2">
        <v>3.81</v>
      </c>
      <c r="D1808" s="2">
        <v>5.1599999999999993</v>
      </c>
      <c r="E1808" s="2">
        <v>5.58</v>
      </c>
      <c r="F1808" s="2">
        <v>3.1</v>
      </c>
      <c r="G1808" s="6">
        <v>589</v>
      </c>
      <c r="H1808" s="6">
        <v>528</v>
      </c>
      <c r="I1808" s="6">
        <v>263</v>
      </c>
      <c r="J1808" s="6">
        <v>367</v>
      </c>
      <c r="K1808" s="6">
        <v>677</v>
      </c>
    </row>
    <row r="1809" spans="1:11" x14ac:dyDescent="0.2">
      <c r="A1809" s="1">
        <v>0.25486111111111098</v>
      </c>
      <c r="B1809" s="2">
        <v>6.27</v>
      </c>
      <c r="C1809" s="2">
        <v>3.71</v>
      </c>
      <c r="D1809" s="2">
        <v>5.34</v>
      </c>
      <c r="E1809" s="2">
        <v>5.45</v>
      </c>
      <c r="F1809" s="2">
        <v>3.3400000000000003</v>
      </c>
      <c r="G1809" s="6">
        <v>369</v>
      </c>
      <c r="H1809" s="6">
        <v>395</v>
      </c>
      <c r="I1809" s="6">
        <v>527</v>
      </c>
      <c r="J1809" s="6">
        <v>491</v>
      </c>
      <c r="K1809" s="6">
        <v>543</v>
      </c>
    </row>
    <row r="1810" spans="1:11" x14ac:dyDescent="0.2">
      <c r="A1810" s="1">
        <v>0.25555555555555598</v>
      </c>
      <c r="B1810" s="2">
        <v>6.18</v>
      </c>
      <c r="C1810" s="2">
        <v>3.65</v>
      </c>
      <c r="D1810" s="2">
        <v>5.22</v>
      </c>
      <c r="E1810" s="2">
        <v>5.18</v>
      </c>
      <c r="F1810" s="2">
        <v>3.18</v>
      </c>
      <c r="G1810" s="6">
        <v>462</v>
      </c>
      <c r="H1810" s="6">
        <v>768</v>
      </c>
      <c r="I1810" s="6">
        <v>302</v>
      </c>
      <c r="J1810" s="6">
        <v>675</v>
      </c>
      <c r="K1810" s="6">
        <v>658</v>
      </c>
    </row>
    <row r="1811" spans="1:11" x14ac:dyDescent="0.2">
      <c r="A1811" s="1">
        <v>0.25624999999999998</v>
      </c>
      <c r="B1811" s="2">
        <v>6.24</v>
      </c>
      <c r="C1811" s="2">
        <v>3.65</v>
      </c>
      <c r="D1811" s="2">
        <v>5.0299999999999994</v>
      </c>
      <c r="E1811" s="2">
        <v>5.41</v>
      </c>
      <c r="F1811" s="2">
        <v>3.04</v>
      </c>
      <c r="G1811" s="6">
        <v>295</v>
      </c>
      <c r="H1811" s="6">
        <v>405</v>
      </c>
      <c r="I1811" s="6">
        <v>549</v>
      </c>
      <c r="J1811" s="6">
        <v>533</v>
      </c>
      <c r="K1811" s="6">
        <v>489</v>
      </c>
    </row>
    <row r="1812" spans="1:11" x14ac:dyDescent="0.2">
      <c r="A1812" s="1">
        <v>0.25694444444444398</v>
      </c>
      <c r="B1812" s="2">
        <v>6.13</v>
      </c>
      <c r="C1812" s="2">
        <v>3.77</v>
      </c>
      <c r="D1812" s="2">
        <v>5.0599999999999996</v>
      </c>
      <c r="E1812" s="2">
        <v>5.52</v>
      </c>
      <c r="F1812" s="2">
        <v>3.31</v>
      </c>
      <c r="G1812" s="6">
        <v>536</v>
      </c>
      <c r="H1812" s="6">
        <v>612</v>
      </c>
      <c r="I1812" s="6">
        <v>236</v>
      </c>
      <c r="J1812" s="6">
        <v>647</v>
      </c>
      <c r="K1812" s="6">
        <v>331</v>
      </c>
    </row>
    <row r="1813" spans="1:11" x14ac:dyDescent="0.2">
      <c r="A1813" s="1">
        <v>0.25763888888888897</v>
      </c>
      <c r="B1813" s="2">
        <v>6.33</v>
      </c>
      <c r="C1813" s="2">
        <v>3.8200000000000003</v>
      </c>
      <c r="D1813" s="2">
        <v>5.05</v>
      </c>
      <c r="E1813" s="2">
        <v>5.59</v>
      </c>
      <c r="F1813" s="2">
        <v>3.14</v>
      </c>
      <c r="G1813" s="6">
        <v>370</v>
      </c>
      <c r="H1813" s="6">
        <v>746</v>
      </c>
      <c r="I1813" s="6">
        <v>235</v>
      </c>
      <c r="J1813" s="6">
        <v>584</v>
      </c>
      <c r="K1813" s="6">
        <v>583</v>
      </c>
    </row>
    <row r="1814" spans="1:11" x14ac:dyDescent="0.2">
      <c r="A1814" s="1">
        <v>0.25833333333333303</v>
      </c>
      <c r="B1814" s="2">
        <v>6.21</v>
      </c>
      <c r="C1814" s="2">
        <v>3.63</v>
      </c>
      <c r="D1814" s="2">
        <v>4.8999999999999995</v>
      </c>
      <c r="E1814" s="2">
        <v>5.07</v>
      </c>
      <c r="F1814" s="2">
        <v>3.19</v>
      </c>
      <c r="G1814" s="6">
        <v>253</v>
      </c>
      <c r="H1814" s="6">
        <v>325</v>
      </c>
      <c r="I1814" s="6">
        <v>542</v>
      </c>
      <c r="J1814" s="6">
        <v>642</v>
      </c>
      <c r="K1814" s="6">
        <v>574</v>
      </c>
    </row>
    <row r="1815" spans="1:11" x14ac:dyDescent="0.2">
      <c r="A1815" s="1">
        <v>0.25902777777777802</v>
      </c>
      <c r="B1815" s="2">
        <v>6.14</v>
      </c>
      <c r="C1815" s="2">
        <v>3.64</v>
      </c>
      <c r="D1815" s="2">
        <v>5.0999999999999996</v>
      </c>
      <c r="E1815" s="2">
        <v>4.97</v>
      </c>
      <c r="F1815" s="2">
        <v>3.3000000000000003</v>
      </c>
      <c r="G1815" s="6">
        <v>458</v>
      </c>
      <c r="H1815" s="6">
        <v>609</v>
      </c>
      <c r="I1815" s="6">
        <v>355</v>
      </c>
      <c r="J1815" s="6">
        <v>412</v>
      </c>
      <c r="K1815" s="6">
        <v>301</v>
      </c>
    </row>
    <row r="1816" spans="1:11" x14ac:dyDescent="0.2">
      <c r="A1816" s="1">
        <v>0.25972222222222202</v>
      </c>
      <c r="B1816" s="2">
        <v>6.22</v>
      </c>
      <c r="C1816" s="2">
        <v>3.58</v>
      </c>
      <c r="D1816" s="2">
        <v>5.13</v>
      </c>
      <c r="E1816" s="2">
        <v>5.01</v>
      </c>
      <c r="F1816" s="2">
        <v>3.3400000000000003</v>
      </c>
      <c r="G1816" s="6">
        <v>358</v>
      </c>
      <c r="H1816" s="6">
        <v>662</v>
      </c>
      <c r="I1816" s="6">
        <v>441</v>
      </c>
      <c r="J1816" s="6">
        <v>509</v>
      </c>
      <c r="K1816" s="6">
        <v>570</v>
      </c>
    </row>
    <row r="1817" spans="1:11" x14ac:dyDescent="0.2">
      <c r="A1817" s="1">
        <v>0.26041666666666702</v>
      </c>
      <c r="B1817" s="2">
        <v>6.09</v>
      </c>
      <c r="C1817" s="2">
        <v>3.79</v>
      </c>
      <c r="D1817" s="2">
        <v>5.14</v>
      </c>
      <c r="E1817" s="2">
        <v>5.58</v>
      </c>
      <c r="F1817" s="2">
        <v>2.89</v>
      </c>
      <c r="G1817" s="6">
        <v>464</v>
      </c>
      <c r="H1817" s="6">
        <v>462</v>
      </c>
      <c r="I1817" s="6">
        <v>474</v>
      </c>
      <c r="J1817" s="6">
        <v>503</v>
      </c>
      <c r="K1817" s="6">
        <v>511</v>
      </c>
    </row>
    <row r="1818" spans="1:11" x14ac:dyDescent="0.2">
      <c r="A1818" s="1">
        <v>0.26111111111111102</v>
      </c>
      <c r="B1818" s="2">
        <v>6.32</v>
      </c>
      <c r="C1818" s="2">
        <v>3.64</v>
      </c>
      <c r="D1818" s="2">
        <v>4.9499999999999993</v>
      </c>
      <c r="E1818" s="2">
        <v>5.55</v>
      </c>
      <c r="F1818" s="2">
        <v>2.96</v>
      </c>
      <c r="G1818" s="6">
        <v>608</v>
      </c>
      <c r="H1818" s="6">
        <v>580</v>
      </c>
      <c r="I1818" s="6">
        <v>314</v>
      </c>
      <c r="J1818" s="6">
        <v>381</v>
      </c>
      <c r="K1818" s="6">
        <v>711</v>
      </c>
    </row>
    <row r="1819" spans="1:11" x14ac:dyDescent="0.2">
      <c r="A1819" s="1">
        <v>0.26180555555555601</v>
      </c>
      <c r="B1819" s="2">
        <v>6.31</v>
      </c>
      <c r="C1819" s="2">
        <v>3.6</v>
      </c>
      <c r="D1819" s="2">
        <v>5.18</v>
      </c>
      <c r="E1819" s="2">
        <v>5.26</v>
      </c>
      <c r="F1819" s="2">
        <v>3.3600000000000003</v>
      </c>
      <c r="G1819" s="6">
        <v>329</v>
      </c>
      <c r="H1819" s="6">
        <v>639</v>
      </c>
      <c r="I1819" s="6">
        <v>399</v>
      </c>
      <c r="J1819" s="6">
        <v>297</v>
      </c>
      <c r="K1819" s="6">
        <v>670</v>
      </c>
    </row>
    <row r="1820" spans="1:11" x14ac:dyDescent="0.2">
      <c r="A1820" s="1">
        <v>0.26250000000000001</v>
      </c>
      <c r="B1820" s="2">
        <v>6.1899999999999995</v>
      </c>
      <c r="C1820" s="2">
        <v>3.72</v>
      </c>
      <c r="D1820" s="2">
        <v>5.35</v>
      </c>
      <c r="E1820" s="2">
        <v>5.62</v>
      </c>
      <c r="F1820" s="2">
        <v>3.14</v>
      </c>
      <c r="G1820" s="6">
        <v>388</v>
      </c>
      <c r="H1820" s="6">
        <v>614</v>
      </c>
      <c r="I1820" s="6">
        <v>473</v>
      </c>
      <c r="J1820" s="6">
        <v>299</v>
      </c>
      <c r="K1820" s="6">
        <v>294</v>
      </c>
    </row>
    <row r="1821" spans="1:11" x14ac:dyDescent="0.2">
      <c r="A1821" s="1">
        <v>0.26319444444444401</v>
      </c>
      <c r="B1821" s="2">
        <v>6.2299999999999995</v>
      </c>
      <c r="C1821" s="2">
        <v>3.65</v>
      </c>
      <c r="D1821" s="2">
        <v>5.27</v>
      </c>
      <c r="E1821" s="2">
        <v>5.3</v>
      </c>
      <c r="F1821" s="2">
        <v>3.17</v>
      </c>
      <c r="G1821" s="6">
        <v>362</v>
      </c>
      <c r="H1821" s="6">
        <v>628</v>
      </c>
      <c r="I1821" s="6">
        <v>355</v>
      </c>
      <c r="J1821" s="6">
        <v>386</v>
      </c>
      <c r="K1821" s="6">
        <v>700</v>
      </c>
    </row>
    <row r="1822" spans="1:11" x14ac:dyDescent="0.2">
      <c r="A1822" s="1">
        <v>0.26388888888888901</v>
      </c>
      <c r="B1822" s="2">
        <v>6.35</v>
      </c>
      <c r="C1822" s="2">
        <v>3.61</v>
      </c>
      <c r="D1822" s="2">
        <v>4.8499999999999996</v>
      </c>
      <c r="E1822" s="2">
        <v>5.58</v>
      </c>
      <c r="F1822" s="2">
        <v>3.18</v>
      </c>
      <c r="G1822" s="6">
        <v>260</v>
      </c>
      <c r="H1822" s="6">
        <v>735</v>
      </c>
      <c r="I1822" s="6">
        <v>464</v>
      </c>
      <c r="J1822" s="6">
        <v>550</v>
      </c>
      <c r="K1822" s="6">
        <v>418</v>
      </c>
    </row>
    <row r="1823" spans="1:11" x14ac:dyDescent="0.2">
      <c r="A1823" s="1">
        <v>0.264583333333333</v>
      </c>
      <c r="B1823" s="2">
        <v>6.32</v>
      </c>
      <c r="C1823" s="2">
        <v>3.77</v>
      </c>
      <c r="D1823" s="2">
        <v>5.22</v>
      </c>
      <c r="E1823" s="2">
        <v>4.95</v>
      </c>
      <c r="F1823" s="2">
        <v>3.35</v>
      </c>
      <c r="G1823" s="6">
        <v>302</v>
      </c>
      <c r="H1823" s="6">
        <v>641</v>
      </c>
      <c r="I1823" s="6">
        <v>295</v>
      </c>
      <c r="J1823" s="6">
        <v>441</v>
      </c>
      <c r="K1823" s="6">
        <v>403</v>
      </c>
    </row>
    <row r="1824" spans="1:11" x14ac:dyDescent="0.2">
      <c r="A1824" s="1">
        <v>0.265277777777778</v>
      </c>
      <c r="B1824" s="2">
        <v>6.27</v>
      </c>
      <c r="C1824" s="2">
        <v>3.66</v>
      </c>
      <c r="D1824" s="2">
        <v>5.13</v>
      </c>
      <c r="E1824" s="2">
        <v>5.24</v>
      </c>
      <c r="F1824" s="2">
        <v>2.87</v>
      </c>
      <c r="G1824" s="6">
        <v>257</v>
      </c>
      <c r="H1824" s="6">
        <v>489</v>
      </c>
      <c r="I1824" s="6">
        <v>584</v>
      </c>
      <c r="J1824" s="6">
        <v>538</v>
      </c>
      <c r="K1824" s="6">
        <v>706</v>
      </c>
    </row>
    <row r="1825" spans="1:11" x14ac:dyDescent="0.2">
      <c r="A1825" s="1">
        <v>0.265972222222222</v>
      </c>
      <c r="B1825" s="2">
        <v>6.1</v>
      </c>
      <c r="C1825" s="2">
        <v>3.66</v>
      </c>
      <c r="D1825" s="2">
        <v>5.33</v>
      </c>
      <c r="E1825" s="2">
        <v>5.49</v>
      </c>
      <c r="F1825" s="2">
        <v>2.9</v>
      </c>
      <c r="G1825" s="6">
        <v>319</v>
      </c>
      <c r="H1825" s="6">
        <v>356</v>
      </c>
      <c r="I1825" s="6">
        <v>348</v>
      </c>
      <c r="J1825" s="6">
        <v>280</v>
      </c>
      <c r="K1825" s="6">
        <v>306</v>
      </c>
    </row>
    <row r="1826" spans="1:11" x14ac:dyDescent="0.2">
      <c r="A1826" s="1">
        <v>0.266666666666667</v>
      </c>
      <c r="B1826" s="2">
        <v>6.27</v>
      </c>
      <c r="C1826" s="2">
        <v>3.59</v>
      </c>
      <c r="D1826" s="2">
        <v>5</v>
      </c>
      <c r="E1826" s="2">
        <v>5.0999999999999996</v>
      </c>
      <c r="F1826" s="2">
        <v>3.13</v>
      </c>
      <c r="G1826" s="6">
        <v>622</v>
      </c>
      <c r="H1826" s="6">
        <v>779</v>
      </c>
      <c r="I1826" s="6">
        <v>344</v>
      </c>
      <c r="J1826" s="6">
        <v>406</v>
      </c>
      <c r="K1826" s="6">
        <v>501</v>
      </c>
    </row>
    <row r="1827" spans="1:11" x14ac:dyDescent="0.2">
      <c r="A1827" s="1">
        <v>0.26736111111111099</v>
      </c>
      <c r="B1827" s="2">
        <v>6.1</v>
      </c>
      <c r="C1827" s="2">
        <v>3.6</v>
      </c>
      <c r="D1827" s="2">
        <v>4.9399999999999995</v>
      </c>
      <c r="E1827" s="2">
        <v>5.5</v>
      </c>
      <c r="F1827" s="2">
        <v>3.0300000000000002</v>
      </c>
      <c r="G1827" s="6">
        <v>569</v>
      </c>
      <c r="H1827" s="6">
        <v>684</v>
      </c>
      <c r="I1827" s="6">
        <v>433</v>
      </c>
      <c r="J1827" s="6">
        <v>264</v>
      </c>
      <c r="K1827" s="6">
        <v>499</v>
      </c>
    </row>
    <row r="1828" spans="1:11" x14ac:dyDescent="0.2">
      <c r="A1828" s="1">
        <v>0.26805555555555599</v>
      </c>
      <c r="B1828" s="2">
        <v>6.16</v>
      </c>
      <c r="C1828" s="2">
        <v>3.8200000000000003</v>
      </c>
      <c r="D1828" s="2">
        <v>5.09</v>
      </c>
      <c r="E1828" s="2">
        <v>4.9399999999999995</v>
      </c>
      <c r="F1828" s="2">
        <v>3.29</v>
      </c>
      <c r="G1828" s="6">
        <v>584</v>
      </c>
      <c r="H1828" s="6">
        <v>550</v>
      </c>
      <c r="I1828" s="6">
        <v>555</v>
      </c>
      <c r="J1828" s="6">
        <v>476</v>
      </c>
      <c r="K1828" s="6">
        <v>365</v>
      </c>
    </row>
    <row r="1829" spans="1:11" x14ac:dyDescent="0.2">
      <c r="A1829" s="1">
        <v>0.26874999999999999</v>
      </c>
      <c r="B1829" s="2">
        <v>6.28</v>
      </c>
      <c r="C1829" s="2">
        <v>3.7800000000000002</v>
      </c>
      <c r="D1829" s="2">
        <v>5.21</v>
      </c>
      <c r="E1829" s="2">
        <v>5.37</v>
      </c>
      <c r="F1829" s="2">
        <v>3.38</v>
      </c>
      <c r="G1829" s="6">
        <v>358</v>
      </c>
      <c r="H1829" s="6">
        <v>324</v>
      </c>
      <c r="I1829" s="6">
        <v>483</v>
      </c>
      <c r="J1829" s="6">
        <v>668</v>
      </c>
      <c r="K1829" s="6">
        <v>723</v>
      </c>
    </row>
    <row r="1830" spans="1:11" x14ac:dyDescent="0.2">
      <c r="A1830" s="1">
        <v>0.26944444444444399</v>
      </c>
      <c r="B1830" s="2">
        <v>6.22</v>
      </c>
      <c r="C1830" s="2">
        <v>3.71</v>
      </c>
      <c r="D1830" s="2">
        <v>5.2299999999999995</v>
      </c>
      <c r="E1830" s="2">
        <v>5.1100000000000003</v>
      </c>
      <c r="F1830" s="2">
        <v>2.95</v>
      </c>
      <c r="G1830" s="6">
        <v>283</v>
      </c>
      <c r="H1830" s="6">
        <v>571</v>
      </c>
      <c r="I1830" s="6">
        <v>253</v>
      </c>
      <c r="J1830" s="6">
        <v>413</v>
      </c>
      <c r="K1830" s="6">
        <v>304</v>
      </c>
    </row>
    <row r="1831" spans="1:11" x14ac:dyDescent="0.2">
      <c r="A1831" s="1">
        <v>0.27013888888888898</v>
      </c>
      <c r="B1831" s="2">
        <v>6.21</v>
      </c>
      <c r="C1831" s="2">
        <v>3.7800000000000002</v>
      </c>
      <c r="D1831" s="2">
        <v>5.25</v>
      </c>
      <c r="E1831" s="2">
        <v>5.24</v>
      </c>
      <c r="F1831" s="2">
        <v>3.16</v>
      </c>
      <c r="G1831" s="6">
        <v>395</v>
      </c>
      <c r="H1831" s="6">
        <v>656</v>
      </c>
      <c r="I1831" s="6">
        <v>593</v>
      </c>
      <c r="J1831" s="6">
        <v>609</v>
      </c>
      <c r="K1831" s="6">
        <v>659</v>
      </c>
    </row>
    <row r="1832" spans="1:11" x14ac:dyDescent="0.2">
      <c r="A1832" s="1">
        <v>0.27083333333333298</v>
      </c>
      <c r="B1832" s="2">
        <v>6.2299999999999995</v>
      </c>
      <c r="C1832" s="2">
        <v>3.65</v>
      </c>
      <c r="D1832" s="2">
        <v>5.31</v>
      </c>
      <c r="E1832" s="2">
        <v>5.12</v>
      </c>
      <c r="F1832" s="2">
        <v>3.21</v>
      </c>
      <c r="G1832" s="6">
        <v>468</v>
      </c>
      <c r="H1832" s="6">
        <v>450</v>
      </c>
      <c r="I1832" s="6">
        <v>512</v>
      </c>
      <c r="J1832" s="6">
        <v>548</v>
      </c>
      <c r="K1832" s="6">
        <v>418</v>
      </c>
    </row>
    <row r="1833" spans="1:11" x14ac:dyDescent="0.2">
      <c r="A1833" s="1">
        <v>0.27152777777777798</v>
      </c>
      <c r="B1833" s="2">
        <v>6.26</v>
      </c>
      <c r="C1833" s="2">
        <v>3.8000000000000003</v>
      </c>
      <c r="D1833" s="2">
        <v>5.2799999999999994</v>
      </c>
      <c r="E1833" s="2">
        <v>5.39</v>
      </c>
      <c r="F1833" s="2">
        <v>3.3400000000000003</v>
      </c>
      <c r="G1833" s="6">
        <v>369</v>
      </c>
      <c r="H1833" s="6">
        <v>748</v>
      </c>
      <c r="I1833" s="6">
        <v>502</v>
      </c>
      <c r="J1833" s="6">
        <v>592</v>
      </c>
      <c r="K1833" s="6">
        <v>396</v>
      </c>
    </row>
    <row r="1834" spans="1:11" x14ac:dyDescent="0.2">
      <c r="A1834" s="1">
        <v>0.27222222222222198</v>
      </c>
      <c r="B1834" s="2">
        <v>6.32</v>
      </c>
      <c r="C1834" s="2">
        <v>3.8200000000000003</v>
      </c>
      <c r="D1834" s="2">
        <v>4.9899999999999993</v>
      </c>
      <c r="E1834" s="2">
        <v>5.0199999999999996</v>
      </c>
      <c r="F1834" s="2">
        <v>3</v>
      </c>
      <c r="G1834" s="6">
        <v>571</v>
      </c>
      <c r="H1834" s="6">
        <v>775</v>
      </c>
      <c r="I1834" s="6">
        <v>254</v>
      </c>
      <c r="J1834" s="6">
        <v>327</v>
      </c>
      <c r="K1834" s="6">
        <v>586</v>
      </c>
    </row>
    <row r="1835" spans="1:11" x14ac:dyDescent="0.2">
      <c r="A1835" s="1">
        <v>0.27291666666666697</v>
      </c>
      <c r="B1835" s="2">
        <v>6.22</v>
      </c>
      <c r="C1835" s="2">
        <v>3.62</v>
      </c>
      <c r="D1835" s="2">
        <v>5.1999999999999993</v>
      </c>
      <c r="E1835" s="2">
        <v>5.12</v>
      </c>
      <c r="F1835" s="2">
        <v>3.3400000000000003</v>
      </c>
      <c r="G1835" s="6">
        <v>619</v>
      </c>
      <c r="H1835" s="6">
        <v>314</v>
      </c>
      <c r="I1835" s="6">
        <v>510</v>
      </c>
      <c r="J1835" s="6">
        <v>657</v>
      </c>
      <c r="K1835" s="6">
        <v>708</v>
      </c>
    </row>
    <row r="1836" spans="1:11" x14ac:dyDescent="0.2">
      <c r="A1836" s="1">
        <v>0.27361111111111103</v>
      </c>
      <c r="B1836" s="2">
        <v>6.22</v>
      </c>
      <c r="C1836" s="2">
        <v>3.72</v>
      </c>
      <c r="D1836" s="2">
        <v>4.8699999999999992</v>
      </c>
      <c r="E1836" s="2">
        <v>5.49</v>
      </c>
      <c r="F1836" s="2">
        <v>3.33</v>
      </c>
      <c r="G1836" s="6">
        <v>549</v>
      </c>
      <c r="H1836" s="6">
        <v>812</v>
      </c>
      <c r="I1836" s="6">
        <v>351</v>
      </c>
      <c r="J1836" s="6">
        <v>303</v>
      </c>
      <c r="K1836" s="6">
        <v>315</v>
      </c>
    </row>
    <row r="1837" spans="1:11" x14ac:dyDescent="0.2">
      <c r="A1837" s="1">
        <v>0.27430555555555602</v>
      </c>
      <c r="B1837" s="2">
        <v>6.31</v>
      </c>
      <c r="C1837" s="2">
        <v>3.7600000000000002</v>
      </c>
      <c r="D1837" s="2">
        <v>4.92</v>
      </c>
      <c r="E1837" s="2">
        <v>5.2</v>
      </c>
      <c r="F1837" s="2">
        <v>3.22</v>
      </c>
      <c r="G1837" s="6">
        <v>318</v>
      </c>
      <c r="H1837" s="6">
        <v>652</v>
      </c>
      <c r="I1837" s="6">
        <v>456</v>
      </c>
      <c r="J1837" s="6">
        <v>487</v>
      </c>
      <c r="K1837" s="6">
        <v>675</v>
      </c>
    </row>
    <row r="1838" spans="1:11" x14ac:dyDescent="0.2">
      <c r="A1838" s="1">
        <v>0.27500000000000002</v>
      </c>
      <c r="B1838" s="2">
        <v>6.2</v>
      </c>
      <c r="C1838" s="2">
        <v>3.77</v>
      </c>
      <c r="D1838" s="2">
        <v>5.13</v>
      </c>
      <c r="E1838" s="2">
        <v>5.18</v>
      </c>
      <c r="F1838" s="2">
        <v>3.31</v>
      </c>
      <c r="G1838" s="6">
        <v>246</v>
      </c>
      <c r="H1838" s="6">
        <v>514</v>
      </c>
      <c r="I1838" s="6">
        <v>582</v>
      </c>
      <c r="J1838" s="6">
        <v>336</v>
      </c>
      <c r="K1838" s="6">
        <v>384</v>
      </c>
    </row>
    <row r="1839" spans="1:11" x14ac:dyDescent="0.2">
      <c r="A1839" s="1">
        <v>0.27569444444444402</v>
      </c>
      <c r="B1839" s="2">
        <v>6.22</v>
      </c>
      <c r="C1839" s="2">
        <v>3.75</v>
      </c>
      <c r="D1839" s="2">
        <v>5.17</v>
      </c>
      <c r="E1839" s="2">
        <v>5.3</v>
      </c>
      <c r="F1839" s="2">
        <v>3.16</v>
      </c>
      <c r="G1839" s="6">
        <v>380</v>
      </c>
      <c r="H1839" s="6">
        <v>609</v>
      </c>
      <c r="I1839" s="6">
        <v>522</v>
      </c>
      <c r="J1839" s="6">
        <v>394</v>
      </c>
      <c r="K1839" s="6">
        <v>393</v>
      </c>
    </row>
    <row r="1840" spans="1:11" x14ac:dyDescent="0.2">
      <c r="A1840" s="1">
        <v>0.27638888888888902</v>
      </c>
      <c r="B1840" s="2">
        <v>6.21</v>
      </c>
      <c r="C1840" s="2">
        <v>3.68</v>
      </c>
      <c r="D1840" s="2">
        <v>4.96</v>
      </c>
      <c r="E1840" s="2">
        <v>5.21</v>
      </c>
      <c r="F1840" s="2">
        <v>3.37</v>
      </c>
      <c r="G1840" s="6">
        <v>298</v>
      </c>
      <c r="H1840" s="6">
        <v>388</v>
      </c>
      <c r="I1840" s="6">
        <v>374</v>
      </c>
      <c r="J1840" s="6">
        <v>639</v>
      </c>
      <c r="K1840" s="6">
        <v>631</v>
      </c>
    </row>
    <row r="1841" spans="1:11" x14ac:dyDescent="0.2">
      <c r="A1841" s="1">
        <v>0.27708333333333302</v>
      </c>
      <c r="B1841" s="2">
        <v>6.1499999999999995</v>
      </c>
      <c r="C1841" s="2">
        <v>3.68</v>
      </c>
      <c r="D1841" s="2">
        <v>5.2799999999999994</v>
      </c>
      <c r="E1841" s="2">
        <v>5.36</v>
      </c>
      <c r="F1841" s="2">
        <v>3.21</v>
      </c>
      <c r="G1841" s="6">
        <v>541</v>
      </c>
      <c r="H1841" s="6">
        <v>681</v>
      </c>
      <c r="I1841" s="6">
        <v>303</v>
      </c>
      <c r="J1841" s="6">
        <v>512</v>
      </c>
      <c r="K1841" s="6">
        <v>411</v>
      </c>
    </row>
    <row r="1842" spans="1:11" x14ac:dyDescent="0.2">
      <c r="A1842" s="1">
        <v>0.27777777777777801</v>
      </c>
      <c r="B1842" s="2">
        <v>6.13</v>
      </c>
      <c r="C1842" s="2">
        <v>3.83</v>
      </c>
      <c r="D1842" s="2">
        <v>5.3</v>
      </c>
      <c r="E1842" s="2">
        <v>5.41</v>
      </c>
      <c r="F1842" s="2">
        <v>3.14</v>
      </c>
      <c r="G1842" s="6">
        <v>479</v>
      </c>
      <c r="H1842" s="6">
        <v>307</v>
      </c>
      <c r="I1842" s="6">
        <v>281</v>
      </c>
      <c r="J1842" s="6">
        <v>619</v>
      </c>
      <c r="K1842" s="6">
        <v>547</v>
      </c>
    </row>
    <row r="1843" spans="1:11" x14ac:dyDescent="0.2">
      <c r="A1843" s="1">
        <v>0.27847222222222201</v>
      </c>
      <c r="B1843" s="2">
        <v>6.18</v>
      </c>
      <c r="C1843" s="2">
        <v>3.64</v>
      </c>
      <c r="D1843" s="2">
        <v>5.08</v>
      </c>
      <c r="E1843" s="2">
        <v>5.56</v>
      </c>
      <c r="F1843" s="2">
        <v>2.87</v>
      </c>
      <c r="G1843" s="6">
        <v>602</v>
      </c>
      <c r="H1843" s="6">
        <v>595</v>
      </c>
      <c r="I1843" s="6">
        <v>471</v>
      </c>
      <c r="J1843" s="6">
        <v>259</v>
      </c>
      <c r="K1843" s="6">
        <v>585</v>
      </c>
    </row>
    <row r="1844" spans="1:11" x14ac:dyDescent="0.2">
      <c r="A1844" s="1">
        <v>0.27916666666666701</v>
      </c>
      <c r="B1844" s="2">
        <v>6.1099999999999994</v>
      </c>
      <c r="C1844" s="2">
        <v>3.65</v>
      </c>
      <c r="D1844" s="2">
        <v>5.08</v>
      </c>
      <c r="E1844" s="2">
        <v>5.41</v>
      </c>
      <c r="F1844" s="2">
        <v>3.08</v>
      </c>
      <c r="G1844" s="6">
        <v>498</v>
      </c>
      <c r="H1844" s="6">
        <v>769</v>
      </c>
      <c r="I1844" s="6">
        <v>524</v>
      </c>
      <c r="J1844" s="6">
        <v>275</v>
      </c>
      <c r="K1844" s="6">
        <v>309</v>
      </c>
    </row>
    <row r="1845" spans="1:11" x14ac:dyDescent="0.2">
      <c r="A1845" s="1">
        <v>0.27986111111111101</v>
      </c>
      <c r="B1845" s="2">
        <v>6.14</v>
      </c>
      <c r="C1845" s="2">
        <v>3.85</v>
      </c>
      <c r="D1845" s="2">
        <v>5.01</v>
      </c>
      <c r="E1845" s="2">
        <v>4.93</v>
      </c>
      <c r="F1845" s="2">
        <v>2.93</v>
      </c>
      <c r="G1845" s="6">
        <v>578</v>
      </c>
      <c r="H1845" s="6">
        <v>374</v>
      </c>
      <c r="I1845" s="6">
        <v>325</v>
      </c>
      <c r="J1845" s="6">
        <v>662</v>
      </c>
      <c r="K1845" s="6">
        <v>721</v>
      </c>
    </row>
    <row r="1846" spans="1:11" x14ac:dyDescent="0.2">
      <c r="A1846" s="1">
        <v>0.280555555555556</v>
      </c>
      <c r="B1846" s="2">
        <v>6.1</v>
      </c>
      <c r="C1846" s="2">
        <v>3.68</v>
      </c>
      <c r="D1846" s="2">
        <v>5.01</v>
      </c>
      <c r="E1846" s="2">
        <v>4.96</v>
      </c>
      <c r="F1846" s="2">
        <v>3.3400000000000003</v>
      </c>
      <c r="G1846" s="6">
        <v>520</v>
      </c>
      <c r="H1846" s="6">
        <v>575</v>
      </c>
      <c r="I1846" s="6">
        <v>376</v>
      </c>
      <c r="J1846" s="6">
        <v>588</v>
      </c>
      <c r="K1846" s="6">
        <v>379</v>
      </c>
    </row>
    <row r="1847" spans="1:11" x14ac:dyDescent="0.2">
      <c r="A1847" s="1">
        <v>0.28125</v>
      </c>
      <c r="B1847" s="2">
        <v>6.21</v>
      </c>
      <c r="C1847" s="2">
        <v>3.58</v>
      </c>
      <c r="D1847" s="2">
        <v>5.31</v>
      </c>
      <c r="E1847" s="2">
        <v>5.08</v>
      </c>
      <c r="F1847" s="2">
        <v>3.27</v>
      </c>
      <c r="G1847" s="6">
        <v>520</v>
      </c>
      <c r="H1847" s="6">
        <v>752</v>
      </c>
      <c r="I1847" s="6">
        <v>539</v>
      </c>
      <c r="J1847" s="6">
        <v>460</v>
      </c>
      <c r="K1847" s="6">
        <v>664</v>
      </c>
    </row>
    <row r="1848" spans="1:11" x14ac:dyDescent="0.2">
      <c r="A1848" s="1">
        <v>0.281944444444444</v>
      </c>
      <c r="B1848" s="2">
        <v>6.17</v>
      </c>
      <c r="C1848" s="2">
        <v>3.71</v>
      </c>
      <c r="D1848" s="2">
        <v>4.8699999999999992</v>
      </c>
      <c r="E1848" s="2">
        <v>5.31</v>
      </c>
      <c r="F1848" s="2">
        <v>3.2800000000000002</v>
      </c>
      <c r="G1848" s="6">
        <v>333</v>
      </c>
      <c r="H1848" s="6">
        <v>408</v>
      </c>
      <c r="I1848" s="6">
        <v>465</v>
      </c>
      <c r="J1848" s="6">
        <v>287</v>
      </c>
      <c r="K1848" s="6">
        <v>582</v>
      </c>
    </row>
    <row r="1849" spans="1:11" x14ac:dyDescent="0.2">
      <c r="A1849" s="1">
        <v>0.28263888888888899</v>
      </c>
      <c r="B1849" s="2">
        <v>6.31</v>
      </c>
      <c r="C1849" s="2">
        <v>3.85</v>
      </c>
      <c r="D1849" s="2">
        <v>5.3</v>
      </c>
      <c r="E1849" s="2">
        <v>4.99</v>
      </c>
      <c r="F1849" s="2">
        <v>2.96</v>
      </c>
      <c r="G1849" s="6">
        <v>450</v>
      </c>
      <c r="H1849" s="6">
        <v>700</v>
      </c>
      <c r="I1849" s="6">
        <v>533</v>
      </c>
      <c r="J1849" s="6">
        <v>561</v>
      </c>
      <c r="K1849" s="6">
        <v>672</v>
      </c>
    </row>
    <row r="1850" spans="1:11" x14ac:dyDescent="0.2">
      <c r="A1850" s="1">
        <v>0.28333333333333299</v>
      </c>
      <c r="B1850" s="2">
        <v>6.26</v>
      </c>
      <c r="C1850" s="2">
        <v>3.8200000000000003</v>
      </c>
      <c r="D1850" s="2">
        <v>5.31</v>
      </c>
      <c r="E1850" s="2">
        <v>4.97</v>
      </c>
      <c r="F1850" s="2">
        <v>3</v>
      </c>
      <c r="G1850" s="6">
        <v>523</v>
      </c>
      <c r="H1850" s="6">
        <v>300</v>
      </c>
      <c r="I1850" s="6">
        <v>485</v>
      </c>
      <c r="J1850" s="6">
        <v>345</v>
      </c>
      <c r="K1850" s="6">
        <v>518</v>
      </c>
    </row>
    <row r="1851" spans="1:11" x14ac:dyDescent="0.2">
      <c r="A1851" s="1">
        <v>0.28402777777777799</v>
      </c>
      <c r="B1851" s="2">
        <v>6.1099999999999994</v>
      </c>
      <c r="C1851" s="2">
        <v>3.75</v>
      </c>
      <c r="D1851" s="2">
        <v>5.18</v>
      </c>
      <c r="E1851" s="2">
        <v>5.37</v>
      </c>
      <c r="F1851" s="2">
        <v>2.97</v>
      </c>
      <c r="G1851" s="6">
        <v>576</v>
      </c>
      <c r="H1851" s="6">
        <v>750</v>
      </c>
      <c r="I1851" s="6">
        <v>326</v>
      </c>
      <c r="J1851" s="6">
        <v>409</v>
      </c>
      <c r="K1851" s="6">
        <v>384</v>
      </c>
    </row>
    <row r="1852" spans="1:11" x14ac:dyDescent="0.2">
      <c r="A1852" s="1">
        <v>0.28472222222222199</v>
      </c>
      <c r="B1852" s="2">
        <v>6.34</v>
      </c>
      <c r="C1852" s="2">
        <v>3.7600000000000002</v>
      </c>
      <c r="D1852" s="2">
        <v>5.1599999999999993</v>
      </c>
      <c r="E1852" s="2">
        <v>5.12</v>
      </c>
      <c r="F1852" s="2">
        <v>2.92</v>
      </c>
      <c r="G1852" s="6">
        <v>457</v>
      </c>
      <c r="H1852" s="6">
        <v>759</v>
      </c>
      <c r="I1852" s="6">
        <v>490</v>
      </c>
      <c r="J1852" s="6">
        <v>371</v>
      </c>
      <c r="K1852" s="6">
        <v>681</v>
      </c>
    </row>
    <row r="1853" spans="1:11" x14ac:dyDescent="0.2">
      <c r="A1853" s="1">
        <v>0.28541666666666698</v>
      </c>
      <c r="B1853" s="2">
        <v>6.32</v>
      </c>
      <c r="C1853" s="2">
        <v>3.79</v>
      </c>
      <c r="D1853" s="2">
        <v>4.8499999999999996</v>
      </c>
      <c r="E1853" s="2">
        <v>5.14</v>
      </c>
      <c r="F1853" s="2">
        <v>3.23</v>
      </c>
      <c r="G1853" s="6">
        <v>247</v>
      </c>
      <c r="H1853" s="6">
        <v>468</v>
      </c>
      <c r="I1853" s="6">
        <v>497</v>
      </c>
      <c r="J1853" s="6">
        <v>629</v>
      </c>
      <c r="K1853" s="6">
        <v>450</v>
      </c>
    </row>
    <row r="1854" spans="1:11" x14ac:dyDescent="0.2">
      <c r="A1854" s="1">
        <v>0.28611111111111098</v>
      </c>
      <c r="B1854" s="2">
        <v>6.14</v>
      </c>
      <c r="C1854" s="2">
        <v>3.85</v>
      </c>
      <c r="D1854" s="2">
        <v>5</v>
      </c>
      <c r="E1854" s="2">
        <v>5.25</v>
      </c>
      <c r="F1854" s="2">
        <v>3.2</v>
      </c>
      <c r="G1854" s="6">
        <v>874</v>
      </c>
      <c r="H1854" s="6">
        <v>382</v>
      </c>
      <c r="I1854" s="6">
        <v>354</v>
      </c>
      <c r="J1854" s="6">
        <v>551</v>
      </c>
      <c r="K1854" s="6">
        <v>478</v>
      </c>
    </row>
    <row r="1855" spans="1:11" x14ac:dyDescent="0.2">
      <c r="A1855" s="1">
        <v>0.28680555555555598</v>
      </c>
      <c r="B1855" s="2">
        <v>6.24</v>
      </c>
      <c r="C1855" s="2">
        <v>3.59</v>
      </c>
      <c r="D1855" s="2">
        <v>5.1099999999999994</v>
      </c>
      <c r="E1855" s="2">
        <v>5.4</v>
      </c>
      <c r="F1855" s="2">
        <v>3.21</v>
      </c>
      <c r="G1855" s="6">
        <v>641</v>
      </c>
      <c r="H1855" s="6">
        <v>775</v>
      </c>
      <c r="I1855" s="6">
        <v>455</v>
      </c>
      <c r="J1855" s="6">
        <v>350</v>
      </c>
      <c r="K1855" s="6">
        <v>845</v>
      </c>
    </row>
    <row r="1856" spans="1:11" x14ac:dyDescent="0.2">
      <c r="A1856" s="1">
        <v>0.28749999999999998</v>
      </c>
      <c r="B1856" s="2">
        <v>6.1</v>
      </c>
      <c r="C1856" s="2">
        <v>3.68</v>
      </c>
      <c r="D1856" s="2">
        <v>4.9899999999999993</v>
      </c>
      <c r="E1856" s="2">
        <v>5.45</v>
      </c>
      <c r="F1856" s="2">
        <v>3.0300000000000002</v>
      </c>
      <c r="G1856" s="6">
        <v>242</v>
      </c>
      <c r="H1856" s="6">
        <v>585</v>
      </c>
      <c r="I1856" s="6">
        <v>573</v>
      </c>
      <c r="J1856" s="6">
        <v>654</v>
      </c>
      <c r="K1856" s="6">
        <v>345</v>
      </c>
    </row>
    <row r="1857" spans="1:11" x14ac:dyDescent="0.2">
      <c r="A1857" s="1">
        <v>0.28819444444444398</v>
      </c>
      <c r="B1857" s="2">
        <v>6.33</v>
      </c>
      <c r="C1857" s="2">
        <v>3.8000000000000003</v>
      </c>
      <c r="D1857" s="2">
        <v>5.1899999999999995</v>
      </c>
      <c r="E1857" s="2">
        <v>5.21</v>
      </c>
      <c r="F1857" s="2">
        <v>3.16</v>
      </c>
      <c r="G1857" s="6">
        <v>648</v>
      </c>
      <c r="H1857" s="6">
        <v>293</v>
      </c>
      <c r="I1857" s="6">
        <v>569</v>
      </c>
      <c r="J1857" s="6">
        <v>402</v>
      </c>
      <c r="K1857" s="6">
        <v>560</v>
      </c>
    </row>
    <row r="1858" spans="1:11" x14ac:dyDescent="0.2">
      <c r="A1858" s="1">
        <v>0.28888888888888897</v>
      </c>
      <c r="B1858" s="2">
        <v>6.34</v>
      </c>
      <c r="C1858" s="2">
        <v>3.72</v>
      </c>
      <c r="D1858" s="2">
        <v>5.1499999999999995</v>
      </c>
      <c r="E1858" s="2">
        <v>5.63</v>
      </c>
      <c r="F1858" s="2">
        <v>3.31</v>
      </c>
      <c r="G1858" s="6">
        <v>458</v>
      </c>
      <c r="H1858" s="6">
        <v>298</v>
      </c>
      <c r="I1858" s="6">
        <v>249</v>
      </c>
      <c r="J1858" s="6">
        <v>309</v>
      </c>
      <c r="K1858" s="6">
        <v>735</v>
      </c>
    </row>
    <row r="1859" spans="1:11" x14ac:dyDescent="0.2">
      <c r="A1859" s="1">
        <v>0.28958333333333303</v>
      </c>
      <c r="B1859" s="2">
        <v>6.14</v>
      </c>
      <c r="C1859" s="2">
        <v>3.75</v>
      </c>
      <c r="D1859" s="2">
        <v>5.33</v>
      </c>
      <c r="E1859" s="2">
        <v>5.58</v>
      </c>
      <c r="F1859" s="2">
        <v>3.3400000000000003</v>
      </c>
      <c r="G1859" s="6">
        <v>657</v>
      </c>
      <c r="H1859" s="6">
        <v>721</v>
      </c>
      <c r="I1859" s="6">
        <v>553</v>
      </c>
      <c r="J1859" s="6">
        <v>586</v>
      </c>
      <c r="K1859" s="6">
        <v>467</v>
      </c>
    </row>
    <row r="1860" spans="1:11" x14ac:dyDescent="0.2">
      <c r="A1860" s="1">
        <v>0.29027777777777802</v>
      </c>
      <c r="B1860" s="2">
        <v>6.14</v>
      </c>
      <c r="C1860" s="2">
        <v>3.65</v>
      </c>
      <c r="D1860" s="2">
        <v>4.8899999999999997</v>
      </c>
      <c r="E1860" s="2">
        <v>5.48</v>
      </c>
      <c r="F1860" s="2">
        <v>2.97</v>
      </c>
      <c r="G1860" s="6">
        <v>645</v>
      </c>
      <c r="H1860" s="6">
        <v>667</v>
      </c>
      <c r="I1860" s="6">
        <v>554</v>
      </c>
      <c r="J1860" s="6">
        <v>260</v>
      </c>
      <c r="K1860" s="6">
        <v>846</v>
      </c>
    </row>
    <row r="1861" spans="1:11" x14ac:dyDescent="0.2">
      <c r="A1861" s="1">
        <v>0.29097222222222202</v>
      </c>
      <c r="B1861" s="2">
        <v>6.25</v>
      </c>
      <c r="C1861" s="2">
        <v>3.73</v>
      </c>
      <c r="D1861" s="2">
        <v>4.8599999999999994</v>
      </c>
      <c r="E1861" s="2">
        <v>5.0199999999999996</v>
      </c>
      <c r="F1861" s="2">
        <v>2.99</v>
      </c>
      <c r="G1861" s="6">
        <v>450</v>
      </c>
      <c r="H1861" s="6">
        <v>427</v>
      </c>
      <c r="I1861" s="6">
        <v>382</v>
      </c>
      <c r="J1861" s="6">
        <v>456</v>
      </c>
      <c r="K1861" s="6">
        <v>546</v>
      </c>
    </row>
    <row r="1862" spans="1:11" x14ac:dyDescent="0.2">
      <c r="A1862" s="3">
        <v>0.29166666666666702</v>
      </c>
      <c r="B1862" s="2">
        <v>6.21</v>
      </c>
      <c r="C1862" s="2">
        <v>3.73</v>
      </c>
      <c r="D1862" s="2">
        <v>5.0999999999999996</v>
      </c>
      <c r="E1862" s="2">
        <v>5.31</v>
      </c>
      <c r="F1862" s="2">
        <v>3.16</v>
      </c>
      <c r="G1862" s="6">
        <v>634</v>
      </c>
      <c r="H1862" s="6">
        <v>688</v>
      </c>
      <c r="I1862" s="6">
        <v>596</v>
      </c>
      <c r="J1862" s="6">
        <v>623</v>
      </c>
      <c r="K1862" s="6">
        <v>661</v>
      </c>
    </row>
    <row r="1863" spans="1:11" x14ac:dyDescent="0.2">
      <c r="A1863" s="1">
        <v>0.29236111111111102</v>
      </c>
      <c r="B1863" s="2">
        <v>6.27</v>
      </c>
      <c r="C1863" s="2">
        <v>3.8000000000000003</v>
      </c>
      <c r="D1863" s="2">
        <v>5.35</v>
      </c>
      <c r="E1863" s="2">
        <v>5.07</v>
      </c>
      <c r="F1863" s="2">
        <v>2.89</v>
      </c>
      <c r="G1863" s="6">
        <v>879</v>
      </c>
      <c r="H1863" s="6">
        <v>999</v>
      </c>
      <c r="I1863" s="6">
        <v>815</v>
      </c>
      <c r="J1863" s="6">
        <v>867</v>
      </c>
      <c r="K1863" s="6">
        <v>788</v>
      </c>
    </row>
    <row r="1864" spans="1:11" x14ac:dyDescent="0.2">
      <c r="A1864" s="1">
        <v>0.29305555555555601</v>
      </c>
      <c r="B1864" s="2">
        <v>6.13</v>
      </c>
      <c r="C1864" s="2">
        <v>3.74</v>
      </c>
      <c r="D1864" s="2">
        <v>5.17</v>
      </c>
      <c r="E1864" s="2">
        <v>5.4399999999999995</v>
      </c>
      <c r="F1864" s="2">
        <v>3.0100000000000002</v>
      </c>
      <c r="G1864" s="6">
        <v>664</v>
      </c>
      <c r="H1864" s="6">
        <v>1242</v>
      </c>
      <c r="I1864" s="6">
        <v>768</v>
      </c>
      <c r="J1864" s="6">
        <v>811</v>
      </c>
      <c r="K1864" s="6">
        <v>1081</v>
      </c>
    </row>
    <row r="1865" spans="1:11" x14ac:dyDescent="0.2">
      <c r="A1865" s="1">
        <v>0.29375000000000001</v>
      </c>
      <c r="B1865" s="2">
        <v>6.32</v>
      </c>
      <c r="C1865" s="2">
        <v>3.58</v>
      </c>
      <c r="D1865" s="2">
        <v>5.0199999999999996</v>
      </c>
      <c r="E1865" s="2">
        <v>5.01</v>
      </c>
      <c r="F1865" s="2">
        <v>3</v>
      </c>
      <c r="G1865" s="6">
        <v>809</v>
      </c>
      <c r="H1865" s="6">
        <v>616</v>
      </c>
      <c r="I1865" s="6">
        <v>848</v>
      </c>
      <c r="J1865" s="6">
        <v>670</v>
      </c>
      <c r="K1865" s="6">
        <v>1181</v>
      </c>
    </row>
    <row r="1866" spans="1:11" x14ac:dyDescent="0.2">
      <c r="A1866" s="1">
        <v>0.29444444444444401</v>
      </c>
      <c r="B1866" s="2">
        <v>6.13</v>
      </c>
      <c r="C1866" s="2">
        <v>3.69</v>
      </c>
      <c r="D1866" s="2">
        <v>5.1999999999999993</v>
      </c>
      <c r="E1866" s="2">
        <v>4.9399999999999995</v>
      </c>
      <c r="F1866" s="2">
        <v>3.31</v>
      </c>
      <c r="G1866" s="6">
        <v>971</v>
      </c>
      <c r="H1866" s="6">
        <v>877</v>
      </c>
      <c r="I1866" s="6">
        <v>607</v>
      </c>
      <c r="J1866" s="6">
        <v>1083</v>
      </c>
      <c r="K1866" s="6">
        <v>1377</v>
      </c>
    </row>
    <row r="1867" spans="1:11" x14ac:dyDescent="0.2">
      <c r="A1867" s="1">
        <v>0.29513888888888901</v>
      </c>
      <c r="B1867" s="2">
        <v>6.3599999999999994</v>
      </c>
      <c r="C1867" s="2">
        <v>3.74</v>
      </c>
      <c r="D1867" s="2">
        <v>4.8599999999999994</v>
      </c>
      <c r="E1867" s="2">
        <v>5.0599999999999996</v>
      </c>
      <c r="F1867" s="2">
        <v>2.97</v>
      </c>
      <c r="G1867" s="6">
        <v>720</v>
      </c>
      <c r="H1867" s="6">
        <v>507</v>
      </c>
      <c r="I1867" s="6">
        <v>695</v>
      </c>
      <c r="J1867" s="6">
        <v>888</v>
      </c>
      <c r="K1867" s="6">
        <v>1292</v>
      </c>
    </row>
    <row r="1868" spans="1:11" x14ac:dyDescent="0.2">
      <c r="A1868" s="1">
        <v>0.295833333333333</v>
      </c>
      <c r="B1868" s="2">
        <v>6.17</v>
      </c>
      <c r="C1868" s="2">
        <v>3.67</v>
      </c>
      <c r="D1868" s="2">
        <v>5.27</v>
      </c>
      <c r="E1868" s="2">
        <v>5.26</v>
      </c>
      <c r="F1868" s="2">
        <v>3.29</v>
      </c>
      <c r="G1868" s="6">
        <v>895</v>
      </c>
      <c r="H1868" s="6">
        <v>1157</v>
      </c>
      <c r="I1868" s="6">
        <v>650</v>
      </c>
      <c r="J1868" s="6">
        <v>705</v>
      </c>
      <c r="K1868" s="6">
        <v>1414</v>
      </c>
    </row>
    <row r="1869" spans="1:11" x14ac:dyDescent="0.2">
      <c r="A1869" s="1">
        <v>0.296527777777778</v>
      </c>
      <c r="B1869" s="2">
        <v>6.1899999999999995</v>
      </c>
      <c r="C1869" s="2">
        <v>3.79</v>
      </c>
      <c r="D1869" s="2">
        <v>4.93</v>
      </c>
      <c r="E1869" s="2">
        <v>4.93</v>
      </c>
      <c r="F1869" s="2">
        <v>2.91</v>
      </c>
      <c r="G1869" s="6">
        <v>1028</v>
      </c>
      <c r="H1869" s="6">
        <v>738</v>
      </c>
      <c r="I1869" s="6">
        <v>990</v>
      </c>
      <c r="J1869" s="6">
        <v>664</v>
      </c>
      <c r="K1869" s="6">
        <v>1399</v>
      </c>
    </row>
    <row r="1870" spans="1:11" x14ac:dyDescent="0.2">
      <c r="A1870" s="1">
        <v>0.297222222222222</v>
      </c>
      <c r="B1870" s="2">
        <v>6.3599999999999994</v>
      </c>
      <c r="C1870" s="2">
        <v>3.73</v>
      </c>
      <c r="D1870" s="2">
        <v>5.0599999999999996</v>
      </c>
      <c r="E1870" s="2">
        <v>5.03</v>
      </c>
      <c r="F1870" s="2">
        <v>3.02</v>
      </c>
      <c r="G1870" s="6">
        <v>1201</v>
      </c>
      <c r="H1870" s="6">
        <v>1115</v>
      </c>
      <c r="I1870" s="6">
        <v>967</v>
      </c>
      <c r="J1870" s="6">
        <v>1016</v>
      </c>
      <c r="K1870" s="6">
        <v>1366</v>
      </c>
    </row>
    <row r="1871" spans="1:11" x14ac:dyDescent="0.2">
      <c r="A1871" s="1">
        <v>0.297916666666667</v>
      </c>
      <c r="B1871" s="2">
        <v>6.24</v>
      </c>
      <c r="C1871" s="2">
        <v>3.63</v>
      </c>
      <c r="D1871" s="2">
        <v>5.1599999999999993</v>
      </c>
      <c r="E1871" s="2">
        <v>5.41</v>
      </c>
      <c r="F1871" s="2">
        <v>2.95</v>
      </c>
      <c r="G1871" s="6">
        <v>992</v>
      </c>
      <c r="H1871" s="6">
        <v>695</v>
      </c>
      <c r="I1871" s="6">
        <v>1000</v>
      </c>
      <c r="J1871" s="6">
        <v>888</v>
      </c>
      <c r="K1871" s="6">
        <v>1234</v>
      </c>
    </row>
    <row r="1872" spans="1:11" x14ac:dyDescent="0.2">
      <c r="A1872" s="1">
        <v>0.29861111111111099</v>
      </c>
      <c r="B1872" s="2">
        <v>6.28</v>
      </c>
      <c r="C1872" s="2">
        <v>3.73</v>
      </c>
      <c r="D1872" s="2">
        <v>4.88</v>
      </c>
      <c r="E1872" s="2">
        <v>5.45</v>
      </c>
      <c r="F1872" s="2">
        <v>2.92</v>
      </c>
      <c r="G1872" s="6">
        <v>815</v>
      </c>
      <c r="H1872" s="6">
        <v>607</v>
      </c>
      <c r="I1872" s="6">
        <v>1122</v>
      </c>
      <c r="J1872" s="6">
        <v>853</v>
      </c>
      <c r="K1872" s="6">
        <v>1249</v>
      </c>
    </row>
    <row r="1873" spans="1:11" x14ac:dyDescent="0.2">
      <c r="A1873" s="1">
        <v>0.29930555555555599</v>
      </c>
      <c r="B1873" s="2">
        <v>6.12</v>
      </c>
      <c r="C1873" s="2">
        <v>3.68</v>
      </c>
      <c r="D1873" s="2">
        <v>5.1999999999999993</v>
      </c>
      <c r="E1873" s="2">
        <v>5.12</v>
      </c>
      <c r="F1873" s="2">
        <v>3.33</v>
      </c>
      <c r="G1873" s="6">
        <v>608</v>
      </c>
      <c r="H1873" s="6">
        <v>890</v>
      </c>
      <c r="I1873" s="6">
        <v>953</v>
      </c>
      <c r="J1873" s="6">
        <v>1130</v>
      </c>
      <c r="K1873" s="6">
        <v>657</v>
      </c>
    </row>
    <row r="1874" spans="1:11" x14ac:dyDescent="0.2">
      <c r="A1874" s="1">
        <v>0.3</v>
      </c>
      <c r="B1874" s="2">
        <v>6.35</v>
      </c>
      <c r="C1874" s="2">
        <v>3.66</v>
      </c>
      <c r="D1874" s="2">
        <v>4.93</v>
      </c>
      <c r="E1874" s="2">
        <v>5.28</v>
      </c>
      <c r="F1874" s="2">
        <v>2.97</v>
      </c>
      <c r="G1874" s="6">
        <v>1162</v>
      </c>
      <c r="H1874" s="6">
        <v>1189</v>
      </c>
      <c r="I1874" s="6">
        <v>677</v>
      </c>
      <c r="J1874" s="6">
        <v>645</v>
      </c>
      <c r="K1874" s="6">
        <v>951</v>
      </c>
    </row>
    <row r="1875" spans="1:11" x14ac:dyDescent="0.2">
      <c r="A1875" s="1">
        <v>0.30069444444444399</v>
      </c>
      <c r="B1875" s="2">
        <v>6.3599999999999994</v>
      </c>
      <c r="C1875" s="2">
        <v>3.71</v>
      </c>
      <c r="D1875" s="2">
        <v>5.0699999999999994</v>
      </c>
      <c r="E1875" s="2">
        <v>5.3</v>
      </c>
      <c r="F1875" s="2">
        <v>3.3600000000000003</v>
      </c>
      <c r="G1875" s="6">
        <v>1036</v>
      </c>
      <c r="H1875" s="6">
        <v>763</v>
      </c>
      <c r="I1875" s="6">
        <v>824</v>
      </c>
      <c r="J1875" s="6">
        <v>876</v>
      </c>
      <c r="K1875" s="6">
        <v>778</v>
      </c>
    </row>
    <row r="1876" spans="1:11" x14ac:dyDescent="0.2">
      <c r="A1876" s="1">
        <v>0.30138888888888898</v>
      </c>
      <c r="B1876" s="2">
        <v>6.2299999999999995</v>
      </c>
      <c r="C1876" s="2">
        <v>3.69</v>
      </c>
      <c r="D1876" s="2">
        <v>5.1199999999999992</v>
      </c>
      <c r="E1876" s="2">
        <v>5.49</v>
      </c>
      <c r="F1876" s="2">
        <v>3.1500000000000004</v>
      </c>
      <c r="G1876" s="6">
        <v>1066</v>
      </c>
      <c r="H1876" s="6">
        <v>576</v>
      </c>
      <c r="I1876" s="6">
        <v>747</v>
      </c>
      <c r="J1876" s="6">
        <v>813</v>
      </c>
      <c r="K1876" s="6">
        <v>1373</v>
      </c>
    </row>
    <row r="1877" spans="1:11" x14ac:dyDescent="0.2">
      <c r="A1877" s="1">
        <v>0.30208333333333298</v>
      </c>
      <c r="B1877" s="2">
        <v>6.22</v>
      </c>
      <c r="C1877" s="2">
        <v>3.79</v>
      </c>
      <c r="D1877" s="2">
        <v>5.13</v>
      </c>
      <c r="E1877" s="2">
        <v>5.37</v>
      </c>
      <c r="F1877" s="2">
        <v>3.1500000000000004</v>
      </c>
      <c r="G1877" s="6">
        <v>943</v>
      </c>
      <c r="H1877" s="6">
        <v>673</v>
      </c>
      <c r="I1877" s="6">
        <v>750</v>
      </c>
      <c r="J1877" s="6">
        <v>1027</v>
      </c>
      <c r="K1877" s="6">
        <v>946</v>
      </c>
    </row>
    <row r="1878" spans="1:11" x14ac:dyDescent="0.2">
      <c r="A1878" s="1">
        <v>0.30277777777777798</v>
      </c>
      <c r="B1878" s="2">
        <v>6.26</v>
      </c>
      <c r="C1878" s="2">
        <v>3.62</v>
      </c>
      <c r="D1878" s="2">
        <v>4.8499999999999996</v>
      </c>
      <c r="E1878" s="2">
        <v>5.05</v>
      </c>
      <c r="F1878" s="2">
        <v>3.1500000000000004</v>
      </c>
      <c r="G1878" s="6">
        <v>1200</v>
      </c>
      <c r="H1878" s="6">
        <v>1303</v>
      </c>
      <c r="I1878" s="6">
        <v>637</v>
      </c>
      <c r="J1878" s="6">
        <v>1174</v>
      </c>
      <c r="K1878" s="6">
        <v>761</v>
      </c>
    </row>
    <row r="1879" spans="1:11" x14ac:dyDescent="0.2">
      <c r="A1879" s="1">
        <v>0.30347222222222198</v>
      </c>
      <c r="B1879" s="2">
        <v>6.3599999999999994</v>
      </c>
      <c r="C1879" s="2">
        <v>3.84</v>
      </c>
      <c r="D1879" s="2">
        <v>5.29</v>
      </c>
      <c r="E1879" s="2">
        <v>5.26</v>
      </c>
      <c r="F1879" s="2">
        <v>2.94</v>
      </c>
      <c r="G1879" s="6">
        <v>725</v>
      </c>
      <c r="H1879" s="6">
        <v>572</v>
      </c>
      <c r="I1879" s="6">
        <v>649</v>
      </c>
      <c r="J1879" s="6">
        <v>1177</v>
      </c>
      <c r="K1879" s="6">
        <v>1161</v>
      </c>
    </row>
    <row r="1880" spans="1:11" x14ac:dyDescent="0.2">
      <c r="A1880" s="1">
        <v>0.30416666666666697</v>
      </c>
      <c r="B1880" s="2">
        <v>6.31</v>
      </c>
      <c r="C1880" s="2">
        <v>3.68</v>
      </c>
      <c r="D1880" s="2">
        <v>5.13</v>
      </c>
      <c r="E1880" s="2">
        <v>5.08</v>
      </c>
      <c r="F1880" s="2">
        <v>3.17</v>
      </c>
      <c r="G1880" s="6">
        <v>697</v>
      </c>
      <c r="H1880" s="6">
        <v>907</v>
      </c>
      <c r="I1880" s="6">
        <v>1107</v>
      </c>
      <c r="J1880" s="6">
        <v>999</v>
      </c>
      <c r="K1880" s="6">
        <v>993</v>
      </c>
    </row>
    <row r="1881" spans="1:11" x14ac:dyDescent="0.2">
      <c r="A1881" s="1">
        <v>0.30486111111111103</v>
      </c>
      <c r="B1881" s="2">
        <v>6.1099999999999994</v>
      </c>
      <c r="C1881" s="2">
        <v>3.69</v>
      </c>
      <c r="D1881" s="2">
        <v>5.29</v>
      </c>
      <c r="E1881" s="2">
        <v>5.52</v>
      </c>
      <c r="F1881" s="2">
        <v>3.2600000000000002</v>
      </c>
      <c r="G1881" s="6">
        <v>623</v>
      </c>
      <c r="H1881" s="6">
        <v>616</v>
      </c>
      <c r="I1881" s="6">
        <v>905</v>
      </c>
      <c r="J1881" s="6">
        <v>949</v>
      </c>
      <c r="K1881" s="6">
        <v>807</v>
      </c>
    </row>
    <row r="1882" spans="1:11" x14ac:dyDescent="0.2">
      <c r="A1882" s="1">
        <v>0.30555555555555602</v>
      </c>
      <c r="B1882" s="2">
        <v>6.24</v>
      </c>
      <c r="C1882" s="2">
        <v>3.62</v>
      </c>
      <c r="D1882" s="2">
        <v>5.0199999999999996</v>
      </c>
      <c r="E1882" s="2">
        <v>5.0999999999999996</v>
      </c>
      <c r="F1882" s="2">
        <v>2.95</v>
      </c>
      <c r="G1882" s="6">
        <v>1105</v>
      </c>
      <c r="H1882" s="6">
        <v>546</v>
      </c>
      <c r="I1882" s="6">
        <v>806</v>
      </c>
      <c r="J1882" s="6">
        <v>711</v>
      </c>
      <c r="K1882" s="6">
        <v>1131</v>
      </c>
    </row>
    <row r="1883" spans="1:11" x14ac:dyDescent="0.2">
      <c r="A1883" s="1">
        <v>0.30625000000000002</v>
      </c>
      <c r="B1883" s="2">
        <v>6.12</v>
      </c>
      <c r="C1883" s="2">
        <v>3.7</v>
      </c>
      <c r="D1883" s="2">
        <v>5.01</v>
      </c>
      <c r="E1883" s="2">
        <v>5.24</v>
      </c>
      <c r="F1883" s="2">
        <v>3.24</v>
      </c>
      <c r="G1883" s="6">
        <v>902</v>
      </c>
      <c r="H1883" s="6">
        <v>814</v>
      </c>
      <c r="I1883" s="6">
        <v>785</v>
      </c>
      <c r="J1883" s="6">
        <v>1201</v>
      </c>
      <c r="K1883" s="6">
        <v>1224</v>
      </c>
    </row>
    <row r="1884" spans="1:11" x14ac:dyDescent="0.2">
      <c r="A1884" s="1">
        <v>0.30694444444444402</v>
      </c>
      <c r="B1884" s="2">
        <v>6.32</v>
      </c>
      <c r="C1884" s="2">
        <v>3.7</v>
      </c>
      <c r="D1884" s="2">
        <v>4.9399999999999995</v>
      </c>
      <c r="E1884" s="2">
        <v>4.92</v>
      </c>
      <c r="F1884" s="2">
        <v>3.23</v>
      </c>
      <c r="G1884" s="6">
        <v>662</v>
      </c>
      <c r="H1884" s="6">
        <v>621</v>
      </c>
      <c r="I1884" s="6">
        <v>719</v>
      </c>
      <c r="J1884" s="6">
        <v>968</v>
      </c>
      <c r="K1884" s="6">
        <v>769</v>
      </c>
    </row>
    <row r="1885" spans="1:11" x14ac:dyDescent="0.2">
      <c r="A1885" s="1">
        <v>0.30763888888888902</v>
      </c>
      <c r="B1885" s="2">
        <v>6.3599999999999994</v>
      </c>
      <c r="C1885" s="2">
        <v>3.75</v>
      </c>
      <c r="D1885" s="2">
        <v>5.0599999999999996</v>
      </c>
      <c r="E1885" s="2">
        <v>5.38</v>
      </c>
      <c r="F1885" s="2">
        <v>2.96</v>
      </c>
      <c r="G1885" s="6">
        <v>789</v>
      </c>
      <c r="H1885" s="6">
        <v>1198</v>
      </c>
      <c r="I1885" s="6">
        <v>968</v>
      </c>
      <c r="J1885" s="6">
        <v>1069</v>
      </c>
      <c r="K1885" s="6">
        <v>971</v>
      </c>
    </row>
    <row r="1886" spans="1:11" x14ac:dyDescent="0.2">
      <c r="A1886" s="1">
        <v>0.30833333333333302</v>
      </c>
      <c r="B1886" s="2">
        <v>6.17</v>
      </c>
      <c r="C1886" s="2">
        <v>3.73</v>
      </c>
      <c r="D1886" s="2">
        <v>5.1599999999999993</v>
      </c>
      <c r="E1886" s="2">
        <v>5.49</v>
      </c>
      <c r="F1886" s="2">
        <v>3.33</v>
      </c>
      <c r="G1886" s="6">
        <v>598</v>
      </c>
      <c r="H1886" s="6">
        <v>672</v>
      </c>
      <c r="I1886" s="6">
        <v>1075</v>
      </c>
      <c r="J1886" s="6">
        <v>1030</v>
      </c>
      <c r="K1886" s="6">
        <v>732</v>
      </c>
    </row>
    <row r="1887" spans="1:11" x14ac:dyDescent="0.2">
      <c r="A1887" s="1">
        <v>0.30902777777777801</v>
      </c>
      <c r="B1887" s="2">
        <v>6.1</v>
      </c>
      <c r="C1887" s="2">
        <v>3.71</v>
      </c>
      <c r="D1887" s="2">
        <v>5.3199999999999994</v>
      </c>
      <c r="E1887" s="2">
        <v>5.09</v>
      </c>
      <c r="F1887" s="2">
        <v>3.3400000000000003</v>
      </c>
      <c r="G1887" s="6">
        <v>1243</v>
      </c>
      <c r="H1887" s="6">
        <v>882</v>
      </c>
      <c r="I1887" s="6">
        <v>548</v>
      </c>
      <c r="J1887" s="6">
        <v>768</v>
      </c>
      <c r="K1887" s="6">
        <v>703</v>
      </c>
    </row>
    <row r="1888" spans="1:11" x14ac:dyDescent="0.2">
      <c r="A1888" s="1">
        <v>0.30972222222222201</v>
      </c>
      <c r="B1888" s="2">
        <v>6.28</v>
      </c>
      <c r="C1888" s="2">
        <v>3.61</v>
      </c>
      <c r="D1888" s="2">
        <v>4.9499999999999993</v>
      </c>
      <c r="E1888" s="2">
        <v>5.38</v>
      </c>
      <c r="F1888" s="2">
        <v>3.1</v>
      </c>
      <c r="G1888" s="6">
        <v>602</v>
      </c>
      <c r="H1888" s="6">
        <v>965</v>
      </c>
      <c r="I1888" s="6">
        <v>1065</v>
      </c>
      <c r="J1888" s="6">
        <v>849</v>
      </c>
      <c r="K1888" s="6">
        <v>1137</v>
      </c>
    </row>
    <row r="1889" spans="1:11" x14ac:dyDescent="0.2">
      <c r="A1889" s="1">
        <v>0.31041666666666701</v>
      </c>
      <c r="B1889" s="2">
        <v>6.28</v>
      </c>
      <c r="C1889" s="2">
        <v>3.7</v>
      </c>
      <c r="D1889" s="2">
        <v>5.34</v>
      </c>
      <c r="E1889" s="2">
        <v>5.6</v>
      </c>
      <c r="F1889" s="2">
        <v>2.92</v>
      </c>
      <c r="G1889" s="6">
        <v>1009</v>
      </c>
      <c r="H1889" s="6">
        <v>1240</v>
      </c>
      <c r="I1889" s="6">
        <v>572</v>
      </c>
      <c r="J1889" s="6">
        <v>1031</v>
      </c>
      <c r="K1889" s="6">
        <v>1204</v>
      </c>
    </row>
    <row r="1890" spans="1:11" x14ac:dyDescent="0.2">
      <c r="A1890" s="1">
        <v>0.31111111111111101</v>
      </c>
      <c r="B1890" s="2">
        <v>6.26</v>
      </c>
      <c r="C1890" s="2">
        <v>3.73</v>
      </c>
      <c r="D1890" s="2">
        <v>5.05</v>
      </c>
      <c r="E1890" s="2">
        <v>5.1899999999999995</v>
      </c>
      <c r="F1890" s="2">
        <v>3.18</v>
      </c>
      <c r="G1890" s="6">
        <v>675</v>
      </c>
      <c r="H1890" s="6">
        <v>882</v>
      </c>
      <c r="I1890" s="6">
        <v>1086</v>
      </c>
      <c r="J1890" s="6">
        <v>676</v>
      </c>
      <c r="K1890" s="6">
        <v>1143</v>
      </c>
    </row>
    <row r="1891" spans="1:11" x14ac:dyDescent="0.2">
      <c r="A1891" s="1">
        <v>0.311805555555556</v>
      </c>
      <c r="B1891" s="2">
        <v>6.35</v>
      </c>
      <c r="C1891" s="2">
        <v>3.65</v>
      </c>
      <c r="D1891" s="2">
        <v>5.17</v>
      </c>
      <c r="E1891" s="2">
        <v>5.07</v>
      </c>
      <c r="F1891" s="2">
        <v>3.0900000000000003</v>
      </c>
      <c r="G1891" s="6">
        <v>1037</v>
      </c>
      <c r="H1891" s="6">
        <v>1130</v>
      </c>
      <c r="I1891" s="6">
        <v>599</v>
      </c>
      <c r="J1891" s="6">
        <v>977</v>
      </c>
      <c r="K1891" s="6">
        <v>1261</v>
      </c>
    </row>
    <row r="1892" spans="1:11" x14ac:dyDescent="0.2">
      <c r="A1892" s="1">
        <v>0.3125</v>
      </c>
      <c r="B1892" s="2">
        <v>6.09</v>
      </c>
      <c r="C1892" s="2">
        <v>3.7</v>
      </c>
      <c r="D1892" s="2">
        <v>4.9499999999999993</v>
      </c>
      <c r="E1892" s="2">
        <v>5.52</v>
      </c>
      <c r="F1892" s="2">
        <v>3.39</v>
      </c>
      <c r="G1892" s="6">
        <v>624</v>
      </c>
      <c r="H1892" s="6">
        <v>1139</v>
      </c>
      <c r="I1892" s="6">
        <v>802</v>
      </c>
      <c r="J1892" s="6">
        <v>1131</v>
      </c>
      <c r="K1892" s="6">
        <v>840</v>
      </c>
    </row>
    <row r="1893" spans="1:11" x14ac:dyDescent="0.2">
      <c r="A1893" s="1">
        <v>0.313194444444444</v>
      </c>
      <c r="B1893" s="2">
        <v>6.1</v>
      </c>
      <c r="C1893" s="2">
        <v>3.71</v>
      </c>
      <c r="D1893" s="2">
        <v>5.25</v>
      </c>
      <c r="E1893" s="2">
        <v>5.15</v>
      </c>
      <c r="F1893" s="2">
        <v>3.0100000000000002</v>
      </c>
      <c r="G1893" s="6">
        <v>837</v>
      </c>
      <c r="H1893" s="6">
        <v>684</v>
      </c>
      <c r="I1893" s="6">
        <v>639</v>
      </c>
      <c r="J1893" s="6">
        <v>1207</v>
      </c>
      <c r="K1893" s="6">
        <v>1439</v>
      </c>
    </row>
    <row r="1894" spans="1:11" x14ac:dyDescent="0.2">
      <c r="A1894" s="1">
        <v>0.31388888888888899</v>
      </c>
      <c r="B1894" s="2">
        <v>6.31</v>
      </c>
      <c r="C1894" s="2">
        <v>3.75</v>
      </c>
      <c r="D1894" s="2">
        <v>5.14</v>
      </c>
      <c r="E1894" s="2">
        <v>5.4</v>
      </c>
      <c r="F1894" s="2">
        <v>3.37</v>
      </c>
      <c r="G1894" s="6">
        <v>995</v>
      </c>
      <c r="H1894" s="6">
        <v>1187</v>
      </c>
      <c r="I1894" s="6">
        <v>807</v>
      </c>
      <c r="J1894" s="6">
        <v>828</v>
      </c>
      <c r="K1894" s="6">
        <v>974</v>
      </c>
    </row>
    <row r="1895" spans="1:11" x14ac:dyDescent="0.2">
      <c r="A1895" s="1">
        <v>0.31458333333333299</v>
      </c>
      <c r="B1895" s="2">
        <v>6.35</v>
      </c>
      <c r="C1895" s="2">
        <v>3.74</v>
      </c>
      <c r="D1895" s="2">
        <v>4.9899999999999993</v>
      </c>
      <c r="E1895" s="2">
        <v>5.24</v>
      </c>
      <c r="F1895" s="2">
        <v>3.39</v>
      </c>
      <c r="G1895" s="6">
        <v>838</v>
      </c>
      <c r="H1895" s="6">
        <v>1161</v>
      </c>
      <c r="I1895" s="6">
        <v>628</v>
      </c>
      <c r="J1895" s="6">
        <v>1030</v>
      </c>
      <c r="K1895" s="6">
        <v>1184</v>
      </c>
    </row>
    <row r="1896" spans="1:11" x14ac:dyDescent="0.2">
      <c r="A1896" s="1">
        <v>0.31527777777777799</v>
      </c>
      <c r="B1896" s="2">
        <v>6.16</v>
      </c>
      <c r="C1896" s="2">
        <v>3.6</v>
      </c>
      <c r="D1896" s="2">
        <v>5.35</v>
      </c>
      <c r="E1896" s="2">
        <v>5.0199999999999996</v>
      </c>
      <c r="F1896" s="2">
        <v>3.17</v>
      </c>
      <c r="G1896" s="6">
        <v>1178</v>
      </c>
      <c r="H1896" s="6">
        <v>921</v>
      </c>
      <c r="I1896" s="6">
        <v>899</v>
      </c>
      <c r="J1896" s="6">
        <v>798</v>
      </c>
      <c r="K1896" s="6">
        <v>1391</v>
      </c>
    </row>
    <row r="1897" spans="1:11" x14ac:dyDescent="0.2">
      <c r="A1897" s="1">
        <v>0.31597222222222199</v>
      </c>
      <c r="B1897" s="2">
        <v>6.25</v>
      </c>
      <c r="C1897" s="2">
        <v>3.63</v>
      </c>
      <c r="D1897" s="2">
        <v>5.1599999999999993</v>
      </c>
      <c r="E1897" s="2">
        <v>5.38</v>
      </c>
      <c r="F1897" s="2">
        <v>3.3600000000000003</v>
      </c>
      <c r="G1897" s="6">
        <v>859</v>
      </c>
      <c r="H1897" s="6">
        <v>1084</v>
      </c>
      <c r="I1897" s="6">
        <v>545</v>
      </c>
      <c r="J1897" s="6">
        <v>1086</v>
      </c>
      <c r="K1897" s="6">
        <v>668</v>
      </c>
    </row>
    <row r="1898" spans="1:11" x14ac:dyDescent="0.2">
      <c r="A1898" s="1">
        <v>0.31666666666666698</v>
      </c>
      <c r="B1898" s="2">
        <v>6.26</v>
      </c>
      <c r="C1898" s="2">
        <v>3.81</v>
      </c>
      <c r="D1898" s="2">
        <v>5.33</v>
      </c>
      <c r="E1898" s="2">
        <v>5.13</v>
      </c>
      <c r="F1898" s="2">
        <v>2.89</v>
      </c>
      <c r="G1898" s="6">
        <v>878</v>
      </c>
      <c r="H1898" s="6">
        <v>956</v>
      </c>
      <c r="I1898" s="6">
        <v>647</v>
      </c>
      <c r="J1898" s="6">
        <v>1107</v>
      </c>
      <c r="K1898" s="6">
        <v>844</v>
      </c>
    </row>
    <row r="1899" spans="1:11" x14ac:dyDescent="0.2">
      <c r="A1899" s="1">
        <v>0.31736111111111098</v>
      </c>
      <c r="B1899" s="2">
        <v>6.1899999999999995</v>
      </c>
      <c r="C1899" s="2">
        <v>3.66</v>
      </c>
      <c r="D1899" s="2">
        <v>4.88</v>
      </c>
      <c r="E1899" s="2">
        <v>4.96</v>
      </c>
      <c r="F1899" s="2">
        <v>3.35</v>
      </c>
      <c r="G1899" s="6">
        <v>835</v>
      </c>
      <c r="H1899" s="6">
        <v>834</v>
      </c>
      <c r="I1899" s="6">
        <v>786</v>
      </c>
      <c r="J1899" s="6">
        <v>1201</v>
      </c>
      <c r="K1899" s="6">
        <v>916</v>
      </c>
    </row>
    <row r="1900" spans="1:11" x14ac:dyDescent="0.2">
      <c r="A1900" s="1">
        <v>0.31805555555555598</v>
      </c>
      <c r="B1900" s="2">
        <v>6.31</v>
      </c>
      <c r="C1900" s="2">
        <v>3.59</v>
      </c>
      <c r="D1900" s="2">
        <v>4.9499999999999993</v>
      </c>
      <c r="E1900" s="2">
        <v>4.92</v>
      </c>
      <c r="F1900" s="2">
        <v>3.1500000000000004</v>
      </c>
      <c r="G1900" s="6">
        <v>1046</v>
      </c>
      <c r="H1900" s="6">
        <v>996</v>
      </c>
      <c r="I1900" s="6">
        <v>941</v>
      </c>
      <c r="J1900" s="6">
        <v>1010</v>
      </c>
      <c r="K1900" s="6">
        <v>1099</v>
      </c>
    </row>
    <row r="1901" spans="1:11" x14ac:dyDescent="0.2">
      <c r="A1901" s="1">
        <v>0.31874999999999998</v>
      </c>
      <c r="B1901" s="2">
        <v>6.33</v>
      </c>
      <c r="C1901" s="2">
        <v>3.63</v>
      </c>
      <c r="D1901" s="2">
        <v>5.1099999999999994</v>
      </c>
      <c r="E1901" s="2">
        <v>4.9799999999999995</v>
      </c>
      <c r="F1901" s="2">
        <v>2.94</v>
      </c>
      <c r="G1901" s="6">
        <v>1151</v>
      </c>
      <c r="H1901" s="6">
        <v>1275</v>
      </c>
      <c r="I1901" s="6">
        <v>824</v>
      </c>
      <c r="J1901" s="6">
        <v>822</v>
      </c>
      <c r="K1901" s="6">
        <v>945</v>
      </c>
    </row>
    <row r="1902" spans="1:11" x14ac:dyDescent="0.2">
      <c r="A1902" s="1">
        <v>0.31944444444444398</v>
      </c>
      <c r="B1902" s="2">
        <v>6.1</v>
      </c>
      <c r="C1902" s="2">
        <v>3.7</v>
      </c>
      <c r="D1902" s="2">
        <v>5.31</v>
      </c>
      <c r="E1902" s="2">
        <v>4.95</v>
      </c>
      <c r="F1902" s="2">
        <v>3.0700000000000003</v>
      </c>
      <c r="G1902" s="6">
        <v>1165</v>
      </c>
      <c r="H1902" s="6">
        <v>1015</v>
      </c>
      <c r="I1902" s="6">
        <v>538</v>
      </c>
      <c r="J1902" s="6">
        <v>934</v>
      </c>
      <c r="K1902" s="6">
        <v>1195</v>
      </c>
    </row>
    <row r="1903" spans="1:11" x14ac:dyDescent="0.2">
      <c r="A1903" s="1">
        <v>0.32013888888888897</v>
      </c>
      <c r="B1903" s="2">
        <v>6.22</v>
      </c>
      <c r="C1903" s="2">
        <v>3.7800000000000002</v>
      </c>
      <c r="D1903" s="2">
        <v>5.01</v>
      </c>
      <c r="E1903" s="2">
        <v>5.49</v>
      </c>
      <c r="F1903" s="2">
        <v>2.93</v>
      </c>
      <c r="G1903" s="6">
        <v>783</v>
      </c>
      <c r="H1903" s="6">
        <v>642</v>
      </c>
      <c r="I1903" s="6">
        <v>870</v>
      </c>
      <c r="J1903" s="6">
        <v>1163</v>
      </c>
      <c r="K1903" s="6">
        <v>1436</v>
      </c>
    </row>
    <row r="1904" spans="1:11" x14ac:dyDescent="0.2">
      <c r="A1904" s="1">
        <v>0.32083333333333303</v>
      </c>
      <c r="B1904" s="2">
        <v>6.29</v>
      </c>
      <c r="C1904" s="2">
        <v>3.65</v>
      </c>
      <c r="D1904" s="2">
        <v>4.9499999999999993</v>
      </c>
      <c r="E1904" s="2">
        <v>4.97</v>
      </c>
      <c r="F1904" s="2">
        <v>3.0700000000000003</v>
      </c>
      <c r="G1904" s="6">
        <v>1015</v>
      </c>
      <c r="H1904" s="6">
        <v>982</v>
      </c>
      <c r="I1904" s="6">
        <v>971</v>
      </c>
      <c r="J1904" s="6">
        <v>1140</v>
      </c>
      <c r="K1904" s="6">
        <v>762</v>
      </c>
    </row>
    <row r="1905" spans="1:11" x14ac:dyDescent="0.2">
      <c r="A1905" s="1">
        <v>0.32152777777777802</v>
      </c>
      <c r="B1905" s="2">
        <v>6.26</v>
      </c>
      <c r="C1905" s="2">
        <v>3.64</v>
      </c>
      <c r="D1905" s="2">
        <v>5.0699999999999994</v>
      </c>
      <c r="E1905" s="2">
        <v>5.15</v>
      </c>
      <c r="F1905" s="2">
        <v>3.1</v>
      </c>
      <c r="G1905" s="6">
        <v>607</v>
      </c>
      <c r="H1905" s="6">
        <v>785</v>
      </c>
      <c r="I1905" s="6">
        <v>636</v>
      </c>
      <c r="J1905" s="6">
        <v>1133</v>
      </c>
      <c r="K1905" s="6">
        <v>950</v>
      </c>
    </row>
    <row r="1906" spans="1:11" x14ac:dyDescent="0.2">
      <c r="A1906" s="1">
        <v>0.32222222222222202</v>
      </c>
      <c r="B1906" s="2">
        <v>6.2299999999999995</v>
      </c>
      <c r="C1906" s="2">
        <v>3.8000000000000003</v>
      </c>
      <c r="D1906" s="2">
        <v>5.13</v>
      </c>
      <c r="E1906" s="2">
        <v>5.08</v>
      </c>
      <c r="F1906" s="2">
        <v>3.0100000000000002</v>
      </c>
      <c r="G1906" s="6">
        <v>748</v>
      </c>
      <c r="H1906" s="6">
        <v>951</v>
      </c>
      <c r="I1906" s="6">
        <v>948</v>
      </c>
      <c r="J1906" s="6">
        <v>1043</v>
      </c>
      <c r="K1906" s="6">
        <v>1125</v>
      </c>
    </row>
    <row r="1907" spans="1:11" x14ac:dyDescent="0.2">
      <c r="A1907" s="1">
        <v>0.32291666666666702</v>
      </c>
      <c r="B1907" s="2">
        <v>6.12</v>
      </c>
      <c r="C1907" s="2">
        <v>3.81</v>
      </c>
      <c r="D1907" s="2">
        <v>5.05</v>
      </c>
      <c r="E1907" s="2">
        <v>5.5</v>
      </c>
      <c r="F1907" s="2">
        <v>3.06</v>
      </c>
      <c r="G1907" s="6">
        <v>779</v>
      </c>
      <c r="H1907" s="6">
        <v>630</v>
      </c>
      <c r="I1907" s="6">
        <v>859</v>
      </c>
      <c r="J1907" s="6">
        <v>855</v>
      </c>
      <c r="K1907" s="6">
        <v>1199</v>
      </c>
    </row>
    <row r="1908" spans="1:11" x14ac:dyDescent="0.2">
      <c r="A1908" s="1">
        <v>0.32361111111111102</v>
      </c>
      <c r="B1908" s="2">
        <v>6.2299999999999995</v>
      </c>
      <c r="C1908" s="2">
        <v>3.7800000000000002</v>
      </c>
      <c r="D1908" s="2">
        <v>4.9899999999999993</v>
      </c>
      <c r="E1908" s="2">
        <v>5.39</v>
      </c>
      <c r="F1908" s="2">
        <v>2.97</v>
      </c>
      <c r="G1908" s="6">
        <v>827</v>
      </c>
      <c r="H1908" s="6">
        <v>1008</v>
      </c>
      <c r="I1908" s="6">
        <v>1091</v>
      </c>
      <c r="J1908" s="6">
        <v>958</v>
      </c>
      <c r="K1908" s="6">
        <v>1378</v>
      </c>
    </row>
    <row r="1909" spans="1:11" x14ac:dyDescent="0.2">
      <c r="A1909" s="1">
        <v>0.32430555555555601</v>
      </c>
      <c r="B1909" s="2">
        <v>6.13</v>
      </c>
      <c r="C1909" s="2">
        <v>3.79</v>
      </c>
      <c r="D1909" s="2">
        <v>5.18</v>
      </c>
      <c r="E1909" s="2">
        <v>5.62</v>
      </c>
      <c r="F1909" s="2">
        <v>3.17</v>
      </c>
      <c r="G1909" s="6">
        <v>558</v>
      </c>
      <c r="H1909" s="6">
        <v>947</v>
      </c>
      <c r="I1909" s="6">
        <v>762</v>
      </c>
      <c r="J1909" s="6">
        <v>949</v>
      </c>
      <c r="K1909" s="6">
        <v>1221</v>
      </c>
    </row>
    <row r="1910" spans="1:11" x14ac:dyDescent="0.2">
      <c r="A1910" s="1">
        <v>0.32500000000000001</v>
      </c>
      <c r="B1910" s="2">
        <v>6.2299999999999995</v>
      </c>
      <c r="C1910" s="2">
        <v>3.73</v>
      </c>
      <c r="D1910" s="2">
        <v>5.29</v>
      </c>
      <c r="E1910" s="2">
        <v>5.12</v>
      </c>
      <c r="F1910" s="2">
        <v>2.99</v>
      </c>
      <c r="G1910" s="6">
        <v>837</v>
      </c>
      <c r="H1910" s="6">
        <v>789</v>
      </c>
      <c r="I1910" s="6">
        <v>1059</v>
      </c>
      <c r="J1910" s="6">
        <v>937</v>
      </c>
      <c r="K1910" s="6">
        <v>706</v>
      </c>
    </row>
    <row r="1911" spans="1:11" x14ac:dyDescent="0.2">
      <c r="A1911" s="1">
        <v>0.32569444444444401</v>
      </c>
      <c r="B1911" s="2">
        <v>6.2</v>
      </c>
      <c r="C1911" s="2">
        <v>3.79</v>
      </c>
      <c r="D1911" s="2">
        <v>5.29</v>
      </c>
      <c r="E1911" s="2">
        <v>5.48</v>
      </c>
      <c r="F1911" s="2">
        <v>3.2</v>
      </c>
      <c r="G1911" s="6">
        <v>854</v>
      </c>
      <c r="H1911" s="6">
        <v>1188</v>
      </c>
      <c r="I1911" s="6">
        <v>998</v>
      </c>
      <c r="J1911" s="6">
        <v>905</v>
      </c>
      <c r="K1911" s="6">
        <v>657</v>
      </c>
    </row>
    <row r="1912" spans="1:11" x14ac:dyDescent="0.2">
      <c r="A1912" s="1">
        <v>0.32638888888888901</v>
      </c>
      <c r="B1912" s="2">
        <v>6.12</v>
      </c>
      <c r="C1912" s="2">
        <v>3.79</v>
      </c>
      <c r="D1912" s="2">
        <v>5.33</v>
      </c>
      <c r="E1912" s="2">
        <v>5.3</v>
      </c>
      <c r="F1912" s="2">
        <v>3.04</v>
      </c>
      <c r="G1912" s="6">
        <v>1129</v>
      </c>
      <c r="H1912" s="6">
        <v>1000</v>
      </c>
      <c r="I1912" s="6">
        <v>605</v>
      </c>
      <c r="J1912" s="6">
        <v>1165</v>
      </c>
      <c r="K1912" s="6">
        <v>1239</v>
      </c>
    </row>
    <row r="1913" spans="1:11" x14ac:dyDescent="0.2">
      <c r="A1913" s="1">
        <v>0.327083333333333</v>
      </c>
      <c r="B1913" s="2">
        <v>6.1899999999999995</v>
      </c>
      <c r="C1913" s="2">
        <v>3.72</v>
      </c>
      <c r="D1913" s="2">
        <v>5.17</v>
      </c>
      <c r="E1913" s="2">
        <v>5.15</v>
      </c>
      <c r="F1913" s="2">
        <v>3.22</v>
      </c>
      <c r="G1913" s="6">
        <v>1002</v>
      </c>
      <c r="H1913" s="6">
        <v>1200</v>
      </c>
      <c r="I1913" s="6">
        <v>780</v>
      </c>
      <c r="J1913" s="6">
        <v>1203</v>
      </c>
      <c r="K1913" s="6">
        <v>1407</v>
      </c>
    </row>
    <row r="1914" spans="1:11" x14ac:dyDescent="0.2">
      <c r="A1914" s="1">
        <v>0.327777777777778</v>
      </c>
      <c r="B1914" s="2">
        <v>6.12</v>
      </c>
      <c r="C1914" s="2">
        <v>3.84</v>
      </c>
      <c r="D1914" s="2">
        <v>4.9799999999999995</v>
      </c>
      <c r="E1914" s="2">
        <v>5.45</v>
      </c>
      <c r="F1914" s="2">
        <v>3.2800000000000002</v>
      </c>
      <c r="G1914" s="6">
        <v>1141</v>
      </c>
      <c r="H1914" s="6">
        <v>1220</v>
      </c>
      <c r="I1914" s="6">
        <v>686</v>
      </c>
      <c r="J1914" s="6">
        <v>697</v>
      </c>
      <c r="K1914" s="6">
        <v>1046</v>
      </c>
    </row>
    <row r="1915" spans="1:11" x14ac:dyDescent="0.2">
      <c r="A1915" s="1">
        <v>0.328472222222222</v>
      </c>
      <c r="B1915" s="2">
        <v>6.18</v>
      </c>
      <c r="C1915" s="2">
        <v>3.7800000000000002</v>
      </c>
      <c r="D1915" s="2">
        <v>4.8599999999999994</v>
      </c>
      <c r="E1915" s="2">
        <v>5.09</v>
      </c>
      <c r="F1915" s="2">
        <v>3.33</v>
      </c>
      <c r="G1915" s="6">
        <v>716</v>
      </c>
      <c r="H1915" s="6">
        <v>714</v>
      </c>
      <c r="I1915" s="6">
        <v>832</v>
      </c>
      <c r="J1915" s="6">
        <v>804</v>
      </c>
      <c r="K1915" s="6">
        <v>1242</v>
      </c>
    </row>
    <row r="1916" spans="1:11" x14ac:dyDescent="0.2">
      <c r="A1916" s="1">
        <v>0.329166666666667</v>
      </c>
      <c r="B1916" s="2">
        <v>6.2</v>
      </c>
      <c r="C1916" s="2">
        <v>3.7</v>
      </c>
      <c r="D1916" s="2">
        <v>5.18</v>
      </c>
      <c r="E1916" s="2">
        <v>5.56</v>
      </c>
      <c r="F1916" s="2">
        <v>2.98</v>
      </c>
      <c r="G1916" s="6">
        <v>770</v>
      </c>
      <c r="H1916" s="6">
        <v>1007</v>
      </c>
      <c r="I1916" s="6">
        <v>916</v>
      </c>
      <c r="J1916" s="6">
        <v>1077</v>
      </c>
      <c r="K1916" s="6">
        <v>1421</v>
      </c>
    </row>
    <row r="1917" spans="1:11" x14ac:dyDescent="0.2">
      <c r="A1917" s="1">
        <v>0.32986111111111099</v>
      </c>
      <c r="B1917" s="2">
        <v>6.22</v>
      </c>
      <c r="C1917" s="2">
        <v>3.7800000000000002</v>
      </c>
      <c r="D1917" s="2">
        <v>4.8899999999999997</v>
      </c>
      <c r="E1917" s="2">
        <v>5.07</v>
      </c>
      <c r="F1917" s="2">
        <v>3.1</v>
      </c>
      <c r="G1917" s="6">
        <v>1126</v>
      </c>
      <c r="H1917" s="6">
        <v>617</v>
      </c>
      <c r="I1917" s="6">
        <v>561</v>
      </c>
      <c r="J1917" s="6">
        <v>985</v>
      </c>
      <c r="K1917" s="6">
        <v>992</v>
      </c>
    </row>
    <row r="1918" spans="1:11" x14ac:dyDescent="0.2">
      <c r="A1918" s="1">
        <v>0.33055555555555599</v>
      </c>
      <c r="B1918" s="2">
        <v>6.09</v>
      </c>
      <c r="C1918" s="2">
        <v>3.74</v>
      </c>
      <c r="D1918" s="2">
        <v>5.0299999999999994</v>
      </c>
      <c r="E1918" s="2">
        <v>5.14</v>
      </c>
      <c r="F1918" s="2">
        <v>3.12</v>
      </c>
      <c r="G1918" s="6">
        <v>1043</v>
      </c>
      <c r="H1918" s="6">
        <v>685</v>
      </c>
      <c r="I1918" s="6">
        <v>548</v>
      </c>
      <c r="J1918" s="6">
        <v>1145</v>
      </c>
      <c r="K1918" s="6">
        <v>1287</v>
      </c>
    </row>
    <row r="1919" spans="1:11" x14ac:dyDescent="0.2">
      <c r="A1919" s="1">
        <v>0.33124999999999999</v>
      </c>
      <c r="B1919" s="2">
        <v>6.14</v>
      </c>
      <c r="C1919" s="2">
        <v>3.62</v>
      </c>
      <c r="D1919" s="2">
        <v>5.14</v>
      </c>
      <c r="E1919" s="2">
        <v>5.01</v>
      </c>
      <c r="F1919" s="2">
        <v>3.38</v>
      </c>
      <c r="G1919" s="6">
        <v>1056</v>
      </c>
      <c r="H1919" s="6">
        <v>1012</v>
      </c>
      <c r="I1919" s="6">
        <v>787</v>
      </c>
      <c r="J1919" s="6">
        <v>827</v>
      </c>
      <c r="K1919" s="6">
        <v>1287</v>
      </c>
    </row>
    <row r="1920" spans="1:11" x14ac:dyDescent="0.2">
      <c r="A1920" s="1">
        <v>0.33194444444444399</v>
      </c>
      <c r="B1920" s="2">
        <v>6.27</v>
      </c>
      <c r="C1920" s="2">
        <v>3.71</v>
      </c>
      <c r="D1920" s="2">
        <v>5.18</v>
      </c>
      <c r="E1920" s="2">
        <v>5.45</v>
      </c>
      <c r="F1920" s="2">
        <v>3.1500000000000004</v>
      </c>
      <c r="G1920" s="6">
        <v>1165</v>
      </c>
      <c r="H1920" s="6">
        <v>896</v>
      </c>
      <c r="I1920" s="6">
        <v>779</v>
      </c>
      <c r="J1920" s="6">
        <v>660</v>
      </c>
      <c r="K1920" s="6">
        <v>832</v>
      </c>
    </row>
    <row r="1921" spans="1:11" x14ac:dyDescent="0.2">
      <c r="A1921" s="1">
        <v>0.33263888888888898</v>
      </c>
      <c r="B1921" s="2">
        <v>6.25</v>
      </c>
      <c r="C1921" s="2">
        <v>3.84</v>
      </c>
      <c r="D1921" s="2">
        <v>5.0199999999999996</v>
      </c>
      <c r="E1921" s="2">
        <v>5.15</v>
      </c>
      <c r="F1921" s="2">
        <v>3.33</v>
      </c>
      <c r="G1921" s="6">
        <v>695</v>
      </c>
      <c r="H1921" s="6">
        <v>1318</v>
      </c>
      <c r="I1921" s="6">
        <v>734</v>
      </c>
      <c r="J1921" s="6">
        <v>1034</v>
      </c>
      <c r="K1921" s="6">
        <v>1051</v>
      </c>
    </row>
    <row r="1922" spans="1:11" x14ac:dyDescent="0.2">
      <c r="A1922" s="3">
        <v>0.33333333333333298</v>
      </c>
      <c r="B1922" s="2">
        <v>6.21</v>
      </c>
      <c r="C1922" s="2">
        <v>3.73</v>
      </c>
      <c r="D1922" s="2">
        <v>5.0999999999999996</v>
      </c>
      <c r="E1922" s="2">
        <v>5.31</v>
      </c>
      <c r="F1922" s="2">
        <v>3.16</v>
      </c>
      <c r="G1922" s="6">
        <v>1123</v>
      </c>
      <c r="H1922" s="6">
        <v>1213</v>
      </c>
      <c r="I1922" s="6">
        <v>950</v>
      </c>
      <c r="J1922" s="6">
        <v>1124</v>
      </c>
      <c r="K1922" s="6">
        <v>1310</v>
      </c>
    </row>
    <row r="1923" spans="1:11" x14ac:dyDescent="0.2">
      <c r="A1923" s="1">
        <v>0.33402777777777798</v>
      </c>
      <c r="B1923" s="2">
        <v>6.1099999999999994</v>
      </c>
      <c r="C1923" s="2">
        <v>3.84</v>
      </c>
      <c r="D1923" s="2">
        <v>5.05</v>
      </c>
      <c r="E1923" s="2">
        <v>5.29</v>
      </c>
      <c r="F1923" s="2">
        <v>3.3600000000000003</v>
      </c>
      <c r="G1923" s="6">
        <v>1150</v>
      </c>
      <c r="H1923" s="6">
        <v>4885</v>
      </c>
      <c r="I1923" s="6">
        <v>4635</v>
      </c>
      <c r="J1923" s="6">
        <v>3162</v>
      </c>
      <c r="K1923" s="6">
        <v>3799</v>
      </c>
    </row>
    <row r="1924" spans="1:11" x14ac:dyDescent="0.2">
      <c r="A1924" s="1">
        <v>0.33472222222222198</v>
      </c>
      <c r="B1924" s="2">
        <v>6.18</v>
      </c>
      <c r="C1924" s="2">
        <v>3.59</v>
      </c>
      <c r="D1924" s="2">
        <v>5.33</v>
      </c>
      <c r="E1924" s="2">
        <v>5.12</v>
      </c>
      <c r="F1924" s="2">
        <v>3.27</v>
      </c>
      <c r="G1924" s="6">
        <v>4253</v>
      </c>
      <c r="H1924" s="6">
        <v>2358</v>
      </c>
      <c r="I1924" s="6">
        <v>4442</v>
      </c>
      <c r="J1924" s="6">
        <v>2773</v>
      </c>
      <c r="K1924" s="6">
        <v>4120</v>
      </c>
    </row>
    <row r="1925" spans="1:11" x14ac:dyDescent="0.2">
      <c r="A1925" s="1">
        <v>0.33541666666666697</v>
      </c>
      <c r="B1925" s="2">
        <v>6.3</v>
      </c>
      <c r="C1925" s="2">
        <v>3.63</v>
      </c>
      <c r="D1925" s="2">
        <v>4.88</v>
      </c>
      <c r="E1925" s="2">
        <v>5.05</v>
      </c>
      <c r="F1925" s="2">
        <v>3.38</v>
      </c>
      <c r="G1925" s="6">
        <v>3745</v>
      </c>
      <c r="H1925" s="6">
        <v>1578</v>
      </c>
      <c r="I1925" s="6">
        <v>3962</v>
      </c>
      <c r="J1925" s="6">
        <v>2614</v>
      </c>
      <c r="K1925" s="6">
        <v>3762</v>
      </c>
    </row>
    <row r="1926" spans="1:11" x14ac:dyDescent="0.2">
      <c r="A1926" s="1">
        <v>0.33611111111111103</v>
      </c>
      <c r="B1926" s="2">
        <v>6.09</v>
      </c>
      <c r="C1926" s="2">
        <v>3.61</v>
      </c>
      <c r="D1926" s="2">
        <v>4.91</v>
      </c>
      <c r="E1926" s="2">
        <v>5.3</v>
      </c>
      <c r="F1926" s="2">
        <v>3.1100000000000003</v>
      </c>
      <c r="G1926" s="6">
        <v>2804</v>
      </c>
      <c r="H1926" s="6">
        <v>3583</v>
      </c>
      <c r="I1926" s="6">
        <v>1477</v>
      </c>
      <c r="J1926" s="6">
        <v>3085</v>
      </c>
      <c r="K1926" s="6">
        <v>2712</v>
      </c>
    </row>
    <row r="1927" spans="1:11" x14ac:dyDescent="0.2">
      <c r="A1927" s="1">
        <v>0.33680555555555602</v>
      </c>
      <c r="B1927" s="2">
        <v>6.1</v>
      </c>
      <c r="C1927" s="2">
        <v>3.61</v>
      </c>
      <c r="D1927" s="2">
        <v>5.19</v>
      </c>
      <c r="E1927" s="2">
        <v>5.16</v>
      </c>
      <c r="F1927" s="2">
        <v>2.89</v>
      </c>
      <c r="G1927" s="6">
        <v>4237</v>
      </c>
      <c r="H1927" s="6">
        <v>3062</v>
      </c>
      <c r="I1927" s="6">
        <v>1110</v>
      </c>
      <c r="J1927" s="6">
        <v>3840</v>
      </c>
      <c r="K1927" s="6">
        <v>3190</v>
      </c>
    </row>
    <row r="1928" spans="1:11" x14ac:dyDescent="0.2">
      <c r="A1928" s="1">
        <v>0.33750000000000002</v>
      </c>
      <c r="B1928" s="2">
        <v>6.34</v>
      </c>
      <c r="C1928" s="2">
        <v>3.59</v>
      </c>
      <c r="D1928" s="2">
        <v>4.91</v>
      </c>
      <c r="E1928" s="2">
        <v>5.32</v>
      </c>
      <c r="F1928" s="2">
        <v>3.25</v>
      </c>
      <c r="G1928" s="6">
        <v>1380</v>
      </c>
      <c r="H1928" s="6">
        <v>3389</v>
      </c>
      <c r="I1928" s="6">
        <v>2677</v>
      </c>
      <c r="J1928" s="6">
        <v>3345</v>
      </c>
      <c r="K1928" s="6">
        <v>1978</v>
      </c>
    </row>
    <row r="1929" spans="1:11" x14ac:dyDescent="0.2">
      <c r="A1929" s="1">
        <v>0.33819444444444402</v>
      </c>
      <c r="B1929" s="2">
        <v>6.09</v>
      </c>
      <c r="C1929" s="2">
        <v>3.85</v>
      </c>
      <c r="D1929" s="2">
        <v>5.3</v>
      </c>
      <c r="E1929" s="2">
        <v>5.21</v>
      </c>
      <c r="F1929" s="2">
        <v>3.0500000000000003</v>
      </c>
      <c r="G1929" s="6">
        <v>4109</v>
      </c>
      <c r="H1929" s="6">
        <v>3426</v>
      </c>
      <c r="I1929" s="6">
        <v>1972</v>
      </c>
      <c r="J1929" s="6">
        <v>4114</v>
      </c>
      <c r="K1929" s="6">
        <v>3389</v>
      </c>
    </row>
    <row r="1930" spans="1:11" x14ac:dyDescent="0.2">
      <c r="A1930" s="1">
        <v>0.33888888888888902</v>
      </c>
      <c r="B1930" s="2">
        <v>6.24</v>
      </c>
      <c r="C1930" s="2">
        <v>3.7600000000000002</v>
      </c>
      <c r="D1930" s="2">
        <v>5.32</v>
      </c>
      <c r="E1930" s="2">
        <v>5.62</v>
      </c>
      <c r="F1930" s="2">
        <v>3.19</v>
      </c>
      <c r="G1930" s="6">
        <v>3452</v>
      </c>
      <c r="H1930" s="6">
        <v>3553</v>
      </c>
      <c r="I1930" s="6">
        <v>3176</v>
      </c>
      <c r="J1930" s="6">
        <v>4878</v>
      </c>
      <c r="K1930" s="6">
        <v>5524</v>
      </c>
    </row>
    <row r="1931" spans="1:11" x14ac:dyDescent="0.2">
      <c r="A1931" s="1">
        <v>0.33958333333333302</v>
      </c>
      <c r="B1931" s="2">
        <v>6.31</v>
      </c>
      <c r="C1931" s="2">
        <v>3.68</v>
      </c>
      <c r="D1931" s="2">
        <v>5.2</v>
      </c>
      <c r="E1931" s="2">
        <v>5.52</v>
      </c>
      <c r="F1931" s="2">
        <v>3.3600000000000003</v>
      </c>
      <c r="G1931" s="6">
        <v>3137</v>
      </c>
      <c r="H1931" s="6">
        <v>2159</v>
      </c>
      <c r="I1931" s="6">
        <v>875</v>
      </c>
      <c r="J1931" s="6">
        <v>5322</v>
      </c>
      <c r="K1931" s="6">
        <v>903</v>
      </c>
    </row>
    <row r="1932" spans="1:11" x14ac:dyDescent="0.2">
      <c r="A1932" s="1">
        <v>0.34027777777777801</v>
      </c>
      <c r="B1932" s="2">
        <v>6.35</v>
      </c>
      <c r="C1932" s="2">
        <v>3.58</v>
      </c>
      <c r="D1932" s="2">
        <v>5.37</v>
      </c>
      <c r="E1932" s="2">
        <v>5.42</v>
      </c>
      <c r="F1932" s="2">
        <v>3.0700000000000003</v>
      </c>
      <c r="G1932" s="6">
        <v>3361</v>
      </c>
      <c r="H1932" s="6">
        <v>5493</v>
      </c>
      <c r="I1932" s="6">
        <v>3555</v>
      </c>
      <c r="J1932" s="6">
        <v>4051</v>
      </c>
      <c r="K1932" s="6">
        <v>1616</v>
      </c>
    </row>
    <row r="1933" spans="1:11" x14ac:dyDescent="0.2">
      <c r="A1933" s="1">
        <v>0.34097222222222201</v>
      </c>
      <c r="B1933" s="2">
        <v>6.1899999999999995</v>
      </c>
      <c r="C1933" s="2">
        <v>3.58</v>
      </c>
      <c r="D1933" s="2">
        <v>5.1100000000000003</v>
      </c>
      <c r="E1933" s="2">
        <v>5.1100000000000003</v>
      </c>
      <c r="F1933" s="2">
        <v>3.21</v>
      </c>
      <c r="G1933" s="6">
        <v>3338</v>
      </c>
      <c r="H1933" s="6">
        <v>4913</v>
      </c>
      <c r="I1933" s="6">
        <v>4494</v>
      </c>
      <c r="J1933" s="6">
        <v>2471</v>
      </c>
      <c r="K1933" s="6">
        <v>2449</v>
      </c>
    </row>
    <row r="1934" spans="1:11" x14ac:dyDescent="0.2">
      <c r="A1934" s="1">
        <v>0.34166666666666701</v>
      </c>
      <c r="B1934" s="2">
        <v>6.2</v>
      </c>
      <c r="C1934" s="2">
        <v>3.85</v>
      </c>
      <c r="D1934" s="2">
        <v>4.96</v>
      </c>
      <c r="E1934" s="2">
        <v>5.54</v>
      </c>
      <c r="F1934" s="2">
        <v>2.98</v>
      </c>
      <c r="G1934" s="6">
        <v>1159</v>
      </c>
      <c r="H1934" s="6">
        <v>813</v>
      </c>
      <c r="I1934" s="6">
        <v>3994</v>
      </c>
      <c r="J1934" s="6">
        <v>4704</v>
      </c>
      <c r="K1934" s="6">
        <v>5689</v>
      </c>
    </row>
    <row r="1935" spans="1:11" x14ac:dyDescent="0.2">
      <c r="A1935" s="1">
        <v>0.34236111111111101</v>
      </c>
      <c r="B1935" s="2">
        <v>6.26</v>
      </c>
      <c r="C1935" s="2">
        <v>3.6</v>
      </c>
      <c r="D1935" s="2">
        <v>5.13</v>
      </c>
      <c r="E1935" s="2">
        <v>4.95</v>
      </c>
      <c r="F1935" s="2">
        <v>3.33</v>
      </c>
      <c r="G1935" s="6">
        <v>803</v>
      </c>
      <c r="H1935" s="6">
        <v>1628</v>
      </c>
      <c r="I1935" s="6">
        <v>1673</v>
      </c>
      <c r="J1935" s="6">
        <v>2766</v>
      </c>
      <c r="K1935" s="6">
        <v>4629</v>
      </c>
    </row>
    <row r="1936" spans="1:11" x14ac:dyDescent="0.2">
      <c r="A1936" s="1">
        <v>0.343055555555556</v>
      </c>
      <c r="B1936" s="2">
        <v>6.2</v>
      </c>
      <c r="C1936" s="2">
        <v>3.59</v>
      </c>
      <c r="D1936" s="2">
        <v>5.07</v>
      </c>
      <c r="E1936" s="2">
        <v>5.45</v>
      </c>
      <c r="F1936" s="2">
        <v>3.12</v>
      </c>
      <c r="G1936" s="6">
        <v>5274</v>
      </c>
      <c r="H1936" s="6">
        <v>1040</v>
      </c>
      <c r="I1936" s="6">
        <v>1637</v>
      </c>
      <c r="J1936" s="6">
        <v>2566</v>
      </c>
      <c r="K1936" s="6">
        <v>3967</v>
      </c>
    </row>
    <row r="1937" spans="1:11" x14ac:dyDescent="0.2">
      <c r="A1937" s="1">
        <v>0.34375</v>
      </c>
      <c r="B1937" s="2">
        <v>6.22</v>
      </c>
      <c r="C1937" s="2">
        <v>3.77</v>
      </c>
      <c r="D1937" s="2">
        <v>5.1000000000000005</v>
      </c>
      <c r="E1937" s="2">
        <v>5.22</v>
      </c>
      <c r="F1937" s="2">
        <v>3.3400000000000003</v>
      </c>
      <c r="G1937" s="6">
        <v>4379</v>
      </c>
      <c r="H1937" s="6">
        <v>4111</v>
      </c>
      <c r="I1937" s="6">
        <v>869</v>
      </c>
      <c r="J1937" s="6">
        <v>1290</v>
      </c>
      <c r="K1937" s="6">
        <v>950</v>
      </c>
    </row>
    <row r="1938" spans="1:11" x14ac:dyDescent="0.2">
      <c r="A1938" s="1">
        <v>0.344444444444444</v>
      </c>
      <c r="B1938" s="2">
        <v>6.33</v>
      </c>
      <c r="C1938" s="2">
        <v>3.7800000000000002</v>
      </c>
      <c r="D1938" s="2">
        <v>5.3</v>
      </c>
      <c r="E1938" s="2">
        <v>5.46</v>
      </c>
      <c r="F1938" s="2">
        <v>2.97</v>
      </c>
      <c r="G1938" s="6">
        <v>3146</v>
      </c>
      <c r="H1938" s="6">
        <v>3836</v>
      </c>
      <c r="I1938" s="6">
        <v>3247</v>
      </c>
      <c r="J1938" s="6">
        <v>1859</v>
      </c>
      <c r="K1938" s="6">
        <v>4746</v>
      </c>
    </row>
    <row r="1939" spans="1:11" x14ac:dyDescent="0.2">
      <c r="A1939" s="1">
        <v>0.34513888888888899</v>
      </c>
      <c r="B1939" s="2">
        <v>6.31</v>
      </c>
      <c r="C1939" s="2">
        <v>3.7800000000000002</v>
      </c>
      <c r="D1939" s="2">
        <v>5.32</v>
      </c>
      <c r="E1939" s="2">
        <v>5.34</v>
      </c>
      <c r="F1939" s="2">
        <v>2.87</v>
      </c>
      <c r="G1939" s="6">
        <v>4966</v>
      </c>
      <c r="H1939" s="6">
        <v>1471</v>
      </c>
      <c r="I1939" s="6">
        <v>3559</v>
      </c>
      <c r="J1939" s="6">
        <v>2269</v>
      </c>
      <c r="K1939" s="6">
        <v>5073</v>
      </c>
    </row>
    <row r="1940" spans="1:11" x14ac:dyDescent="0.2">
      <c r="A1940" s="1">
        <v>0.34583333333333299</v>
      </c>
      <c r="B1940" s="2">
        <v>6.17</v>
      </c>
      <c r="C1940" s="2">
        <v>3.7600000000000002</v>
      </c>
      <c r="D1940" s="2">
        <v>5.09</v>
      </c>
      <c r="E1940" s="2">
        <v>5.5</v>
      </c>
      <c r="F1940" s="2">
        <v>2.96</v>
      </c>
      <c r="G1940" s="6">
        <v>2412</v>
      </c>
      <c r="H1940" s="6">
        <v>4681</v>
      </c>
      <c r="I1940" s="6">
        <v>2722</v>
      </c>
      <c r="J1940" s="6">
        <v>2967</v>
      </c>
      <c r="K1940" s="6">
        <v>1064</v>
      </c>
    </row>
    <row r="1941" spans="1:11" x14ac:dyDescent="0.2">
      <c r="A1941" s="1">
        <v>0.34652777777777799</v>
      </c>
      <c r="B1941" s="2">
        <v>6.31</v>
      </c>
      <c r="C1941" s="2">
        <v>3.71</v>
      </c>
      <c r="D1941" s="2">
        <v>4.96</v>
      </c>
      <c r="E1941" s="2">
        <v>5.18</v>
      </c>
      <c r="F1941" s="2">
        <v>3.33</v>
      </c>
      <c r="G1941" s="6">
        <v>4690</v>
      </c>
      <c r="H1941" s="6">
        <v>4014</v>
      </c>
      <c r="I1941" s="6">
        <v>1245</v>
      </c>
      <c r="J1941" s="6">
        <v>4586</v>
      </c>
      <c r="K1941" s="6">
        <v>5645</v>
      </c>
    </row>
    <row r="1942" spans="1:11" x14ac:dyDescent="0.2">
      <c r="A1942" s="1">
        <v>0.34722222222222199</v>
      </c>
      <c r="B1942" s="2">
        <v>6.1099999999999994</v>
      </c>
      <c r="C1942" s="2">
        <v>3.58</v>
      </c>
      <c r="D1942" s="2">
        <v>5.03</v>
      </c>
      <c r="E1942" s="2">
        <v>5.45</v>
      </c>
      <c r="F1942" s="2">
        <v>3.04</v>
      </c>
      <c r="G1942" s="6">
        <v>4006</v>
      </c>
      <c r="H1942" s="6">
        <v>1550</v>
      </c>
      <c r="I1942" s="6">
        <v>1450</v>
      </c>
      <c r="J1942" s="6">
        <v>4221</v>
      </c>
      <c r="K1942" s="6">
        <v>3947</v>
      </c>
    </row>
    <row r="1943" spans="1:11" x14ac:dyDescent="0.2">
      <c r="A1943" s="1">
        <v>0.34791666666666698</v>
      </c>
      <c r="B1943" s="2">
        <v>6.1099999999999994</v>
      </c>
      <c r="C1943" s="2">
        <v>3.65</v>
      </c>
      <c r="D1943" s="2">
        <v>5.2700000000000005</v>
      </c>
      <c r="E1943" s="2">
        <v>5.21</v>
      </c>
      <c r="F1943" s="2">
        <v>3.29</v>
      </c>
      <c r="G1943" s="6">
        <v>3059</v>
      </c>
      <c r="H1943" s="6">
        <v>2906</v>
      </c>
      <c r="I1943" s="6">
        <v>3005</v>
      </c>
      <c r="J1943" s="6">
        <v>3786</v>
      </c>
      <c r="K1943" s="6">
        <v>3777</v>
      </c>
    </row>
    <row r="1944" spans="1:11" x14ac:dyDescent="0.2">
      <c r="A1944" s="1">
        <v>0.34861111111111098</v>
      </c>
      <c r="B1944" s="2">
        <v>6.1099999999999994</v>
      </c>
      <c r="C1944" s="2">
        <v>3.6</v>
      </c>
      <c r="D1944" s="2">
        <v>5.37</v>
      </c>
      <c r="E1944" s="2">
        <v>5.03</v>
      </c>
      <c r="F1944" s="2">
        <v>3.16</v>
      </c>
      <c r="G1944" s="6">
        <v>2475</v>
      </c>
      <c r="H1944" s="6">
        <v>3488</v>
      </c>
      <c r="I1944" s="6">
        <v>5178</v>
      </c>
      <c r="J1944" s="6">
        <v>3243</v>
      </c>
      <c r="K1944" s="6">
        <v>2308</v>
      </c>
    </row>
    <row r="1945" spans="1:11" x14ac:dyDescent="0.2">
      <c r="A1945" s="1">
        <v>0.34930555555555598</v>
      </c>
      <c r="B1945" s="2">
        <v>6.27</v>
      </c>
      <c r="C1945" s="2">
        <v>3.65</v>
      </c>
      <c r="D1945" s="2">
        <v>5.32</v>
      </c>
      <c r="E1945" s="2">
        <v>5.01</v>
      </c>
      <c r="F1945" s="2">
        <v>3.22</v>
      </c>
      <c r="G1945" s="6">
        <v>3290</v>
      </c>
      <c r="H1945" s="6">
        <v>4236</v>
      </c>
      <c r="I1945" s="6">
        <v>1716</v>
      </c>
      <c r="J1945" s="6">
        <v>5209</v>
      </c>
      <c r="K1945" s="6">
        <v>1117</v>
      </c>
    </row>
    <row r="1946" spans="1:11" x14ac:dyDescent="0.2">
      <c r="A1946" s="1">
        <v>0.35</v>
      </c>
      <c r="B1946" s="2">
        <v>6.16</v>
      </c>
      <c r="C1946" s="2">
        <v>3.77</v>
      </c>
      <c r="D1946" s="2">
        <v>5.1000000000000005</v>
      </c>
      <c r="E1946" s="2">
        <v>5.0999999999999996</v>
      </c>
      <c r="F1946" s="2">
        <v>3.0300000000000002</v>
      </c>
      <c r="G1946" s="6">
        <v>3356</v>
      </c>
      <c r="H1946" s="6">
        <v>2586</v>
      </c>
      <c r="I1946" s="6">
        <v>4923</v>
      </c>
      <c r="J1946" s="6">
        <v>4126</v>
      </c>
      <c r="K1946" s="6">
        <v>1218</v>
      </c>
    </row>
    <row r="1947" spans="1:11" x14ac:dyDescent="0.2">
      <c r="A1947" s="1">
        <v>0.35069444444444398</v>
      </c>
      <c r="B1947" s="2">
        <v>6.28</v>
      </c>
      <c r="C1947" s="2">
        <v>3.69</v>
      </c>
      <c r="D1947" s="2">
        <v>5.33</v>
      </c>
      <c r="E1947" s="2">
        <v>5.37</v>
      </c>
      <c r="F1947" s="2">
        <v>3.3400000000000003</v>
      </c>
      <c r="G1947" s="6">
        <v>1384</v>
      </c>
      <c r="H1947" s="6">
        <v>5458</v>
      </c>
      <c r="I1947" s="6">
        <v>1781</v>
      </c>
      <c r="J1947" s="6">
        <v>4883</v>
      </c>
      <c r="K1947" s="6">
        <v>2290</v>
      </c>
    </row>
    <row r="1948" spans="1:11" x14ac:dyDescent="0.2">
      <c r="A1948" s="1">
        <v>0.35138888888888897</v>
      </c>
      <c r="B1948" s="2">
        <v>6.09</v>
      </c>
      <c r="C1948" s="2">
        <v>3.68</v>
      </c>
      <c r="D1948" s="2">
        <v>4.97</v>
      </c>
      <c r="E1948" s="2">
        <v>5.27</v>
      </c>
      <c r="F1948" s="2">
        <v>3.0100000000000002</v>
      </c>
      <c r="G1948" s="6">
        <v>5045</v>
      </c>
      <c r="H1948" s="6">
        <v>3972</v>
      </c>
      <c r="I1948" s="6">
        <v>5121</v>
      </c>
      <c r="J1948" s="6">
        <v>3651</v>
      </c>
      <c r="K1948" s="6">
        <v>2117</v>
      </c>
    </row>
    <row r="1949" spans="1:11" x14ac:dyDescent="0.2">
      <c r="A1949" s="1">
        <v>0.35208333333333303</v>
      </c>
      <c r="B1949" s="2">
        <v>6.29</v>
      </c>
      <c r="C1949" s="2">
        <v>3.81</v>
      </c>
      <c r="D1949" s="2">
        <v>5.3100000000000005</v>
      </c>
      <c r="E1949" s="2">
        <v>5.2</v>
      </c>
      <c r="F1949" s="2">
        <v>3.21</v>
      </c>
      <c r="G1949" s="6">
        <v>4160</v>
      </c>
      <c r="H1949" s="6">
        <v>3481</v>
      </c>
      <c r="I1949" s="6">
        <v>5126</v>
      </c>
      <c r="J1949" s="6">
        <v>3925</v>
      </c>
      <c r="K1949" s="6">
        <v>1923</v>
      </c>
    </row>
    <row r="1950" spans="1:11" x14ac:dyDescent="0.2">
      <c r="A1950" s="1">
        <v>0.35277777777777802</v>
      </c>
      <c r="B1950" s="2">
        <v>6.25</v>
      </c>
      <c r="C1950" s="2">
        <v>3.83</v>
      </c>
      <c r="D1950" s="2">
        <v>5.32</v>
      </c>
      <c r="E1950" s="2">
        <v>5.57</v>
      </c>
      <c r="F1950" s="2">
        <v>2.96</v>
      </c>
      <c r="G1950" s="6">
        <v>5306</v>
      </c>
      <c r="H1950" s="6">
        <v>3954</v>
      </c>
      <c r="I1950" s="6">
        <v>4285</v>
      </c>
      <c r="J1950" s="6">
        <v>4482</v>
      </c>
      <c r="K1950" s="6">
        <v>4329</v>
      </c>
    </row>
    <row r="1951" spans="1:11" x14ac:dyDescent="0.2">
      <c r="A1951" s="1">
        <v>0.35347222222222202</v>
      </c>
      <c r="B1951" s="2">
        <v>6.16</v>
      </c>
      <c r="C1951" s="2">
        <v>3.62</v>
      </c>
      <c r="D1951" s="2">
        <v>5.2700000000000005</v>
      </c>
      <c r="E1951" s="2">
        <v>5.4</v>
      </c>
      <c r="F1951" s="2">
        <v>2.92</v>
      </c>
      <c r="G1951" s="6">
        <v>2458</v>
      </c>
      <c r="H1951" s="6">
        <v>5235</v>
      </c>
      <c r="I1951" s="6">
        <v>3325</v>
      </c>
      <c r="J1951" s="6">
        <v>5715</v>
      </c>
      <c r="K1951" s="6">
        <v>2555</v>
      </c>
    </row>
    <row r="1952" spans="1:11" x14ac:dyDescent="0.2">
      <c r="A1952" s="1">
        <v>0.35416666666666702</v>
      </c>
      <c r="B1952" s="2">
        <v>6.09</v>
      </c>
      <c r="C1952" s="2">
        <v>3.64</v>
      </c>
      <c r="D1952" s="2">
        <v>5.0600000000000005</v>
      </c>
      <c r="E1952" s="2">
        <v>5.35</v>
      </c>
      <c r="F1952" s="2">
        <v>3.1500000000000004</v>
      </c>
      <c r="G1952" s="6">
        <v>1659</v>
      </c>
      <c r="H1952" s="6">
        <v>3755</v>
      </c>
      <c r="I1952" s="6">
        <v>2739</v>
      </c>
      <c r="J1952" s="6">
        <v>1576</v>
      </c>
      <c r="K1952" s="6">
        <v>3706</v>
      </c>
    </row>
    <row r="1953" spans="1:11" x14ac:dyDescent="0.2">
      <c r="A1953" s="1">
        <v>0.35486111111111102</v>
      </c>
      <c r="B1953" s="2">
        <v>6.33</v>
      </c>
      <c r="C1953" s="2">
        <v>3.8000000000000003</v>
      </c>
      <c r="D1953" s="2">
        <v>4.92</v>
      </c>
      <c r="E1953" s="2">
        <v>5.37</v>
      </c>
      <c r="F1953" s="2">
        <v>3.16</v>
      </c>
      <c r="G1953" s="6">
        <v>1479</v>
      </c>
      <c r="H1953" s="6">
        <v>3205</v>
      </c>
      <c r="I1953" s="6">
        <v>2110</v>
      </c>
      <c r="J1953" s="6">
        <v>5203</v>
      </c>
      <c r="K1953" s="6">
        <v>1231</v>
      </c>
    </row>
    <row r="1954" spans="1:11" x14ac:dyDescent="0.2">
      <c r="A1954" s="1">
        <v>0.35555555555555601</v>
      </c>
      <c r="B1954" s="2">
        <v>6.34</v>
      </c>
      <c r="C1954" s="2">
        <v>3.73</v>
      </c>
      <c r="D1954" s="2">
        <v>5</v>
      </c>
      <c r="E1954" s="2">
        <v>5.47</v>
      </c>
      <c r="F1954" s="2">
        <v>3.2800000000000002</v>
      </c>
      <c r="G1954" s="6">
        <v>4596</v>
      </c>
      <c r="H1954" s="6">
        <v>3981</v>
      </c>
      <c r="I1954" s="6">
        <v>4054</v>
      </c>
      <c r="J1954" s="6">
        <v>2001</v>
      </c>
      <c r="K1954" s="6">
        <v>5408</v>
      </c>
    </row>
    <row r="1955" spans="1:11" x14ac:dyDescent="0.2">
      <c r="A1955" s="1">
        <v>0.35625000000000001</v>
      </c>
      <c r="B1955" s="2">
        <v>6.14</v>
      </c>
      <c r="C1955" s="2">
        <v>3.58</v>
      </c>
      <c r="D1955" s="2">
        <v>5.21</v>
      </c>
      <c r="E1955" s="2">
        <v>5.4</v>
      </c>
      <c r="F1955" s="2">
        <v>3.19</v>
      </c>
      <c r="G1955" s="6">
        <v>2971</v>
      </c>
      <c r="H1955" s="6">
        <v>3975</v>
      </c>
      <c r="I1955" s="6">
        <v>1178</v>
      </c>
      <c r="J1955" s="6">
        <v>5429</v>
      </c>
      <c r="K1955" s="6">
        <v>3557</v>
      </c>
    </row>
    <row r="1956" spans="1:11" x14ac:dyDescent="0.2">
      <c r="A1956" s="1">
        <v>0.35694444444444401</v>
      </c>
      <c r="B1956" s="2">
        <v>6.27</v>
      </c>
      <c r="C1956" s="2">
        <v>3.74</v>
      </c>
      <c r="D1956" s="2">
        <v>5.36</v>
      </c>
      <c r="E1956" s="2">
        <v>5.01</v>
      </c>
      <c r="F1956" s="2">
        <v>2.99</v>
      </c>
      <c r="G1956" s="6">
        <v>1339</v>
      </c>
      <c r="H1956" s="6">
        <v>2704</v>
      </c>
      <c r="I1956" s="6">
        <v>5199</v>
      </c>
      <c r="J1956" s="6">
        <v>2341</v>
      </c>
      <c r="K1956" s="6">
        <v>4193</v>
      </c>
    </row>
    <row r="1957" spans="1:11" x14ac:dyDescent="0.2">
      <c r="A1957" s="1">
        <v>0.35763888888888901</v>
      </c>
      <c r="B1957" s="2">
        <v>6.35</v>
      </c>
      <c r="C1957" s="2">
        <v>3.67</v>
      </c>
      <c r="D1957" s="2">
        <v>5.33</v>
      </c>
      <c r="E1957" s="2">
        <v>5.43</v>
      </c>
      <c r="F1957" s="2">
        <v>3.33</v>
      </c>
      <c r="G1957" s="6">
        <v>4845</v>
      </c>
      <c r="H1957" s="6">
        <v>2905</v>
      </c>
      <c r="I1957" s="6">
        <v>3261</v>
      </c>
      <c r="J1957" s="6">
        <v>4417</v>
      </c>
      <c r="K1957" s="6">
        <v>5502</v>
      </c>
    </row>
    <row r="1958" spans="1:11" x14ac:dyDescent="0.2">
      <c r="A1958" s="1">
        <v>0.358333333333333</v>
      </c>
      <c r="B1958" s="2">
        <v>6.1</v>
      </c>
      <c r="C1958" s="2">
        <v>3.71</v>
      </c>
      <c r="D1958" s="2">
        <v>4.95</v>
      </c>
      <c r="E1958" s="2">
        <v>5.47</v>
      </c>
      <c r="F1958" s="2">
        <v>3.23</v>
      </c>
      <c r="G1958" s="6">
        <v>3034</v>
      </c>
      <c r="H1958" s="6">
        <v>2077</v>
      </c>
      <c r="I1958" s="6">
        <v>3412</v>
      </c>
      <c r="J1958" s="6">
        <v>1056</v>
      </c>
      <c r="K1958" s="6">
        <v>1596</v>
      </c>
    </row>
    <row r="1959" spans="1:11" x14ac:dyDescent="0.2">
      <c r="A1959" s="1">
        <v>0.359027777777778</v>
      </c>
      <c r="B1959" s="2">
        <v>6.16</v>
      </c>
      <c r="C1959" s="2">
        <v>3.8000000000000003</v>
      </c>
      <c r="D1959" s="2">
        <v>4.96</v>
      </c>
      <c r="E1959" s="2">
        <v>5</v>
      </c>
      <c r="F1959" s="2">
        <v>3.18</v>
      </c>
      <c r="G1959" s="6">
        <v>2647</v>
      </c>
      <c r="H1959" s="6">
        <v>4936</v>
      </c>
      <c r="I1959" s="6">
        <v>4897</v>
      </c>
      <c r="J1959" s="6">
        <v>4687</v>
      </c>
      <c r="K1959" s="6">
        <v>4210</v>
      </c>
    </row>
    <row r="1960" spans="1:11" x14ac:dyDescent="0.2">
      <c r="A1960" s="1">
        <v>0.359722222222222</v>
      </c>
      <c r="B1960" s="2">
        <v>6.21</v>
      </c>
      <c r="C1960" s="2">
        <v>3.83</v>
      </c>
      <c r="D1960" s="2">
        <v>4.8899999999999997</v>
      </c>
      <c r="E1960" s="2">
        <v>5.4</v>
      </c>
      <c r="F1960" s="2">
        <v>3.16</v>
      </c>
      <c r="G1960" s="6">
        <v>4003</v>
      </c>
      <c r="H1960" s="6">
        <v>917</v>
      </c>
      <c r="I1960" s="6">
        <v>3431</v>
      </c>
      <c r="J1960" s="6">
        <v>1811</v>
      </c>
      <c r="K1960" s="6">
        <v>915</v>
      </c>
    </row>
    <row r="1961" spans="1:11" x14ac:dyDescent="0.2">
      <c r="A1961" s="1">
        <v>0.360416666666667</v>
      </c>
      <c r="B1961" s="2">
        <v>6.3599999999999994</v>
      </c>
      <c r="C1961" s="2">
        <v>3.7800000000000002</v>
      </c>
      <c r="D1961" s="2">
        <v>4.9000000000000004</v>
      </c>
      <c r="E1961" s="2">
        <v>5.4</v>
      </c>
      <c r="F1961" s="2">
        <v>3.14</v>
      </c>
      <c r="G1961" s="6">
        <v>2689</v>
      </c>
      <c r="H1961" s="6">
        <v>1394</v>
      </c>
      <c r="I1961" s="6">
        <v>4263</v>
      </c>
      <c r="J1961" s="6">
        <v>5699</v>
      </c>
      <c r="K1961" s="6">
        <v>5573</v>
      </c>
    </row>
    <row r="1962" spans="1:11" x14ac:dyDescent="0.2">
      <c r="A1962" s="1">
        <v>0.36111111111111099</v>
      </c>
      <c r="B1962" s="2">
        <v>6.3599999999999994</v>
      </c>
      <c r="C1962" s="2">
        <v>3.73</v>
      </c>
      <c r="D1962" s="2">
        <v>5.33</v>
      </c>
      <c r="E1962" s="2">
        <v>5.24</v>
      </c>
      <c r="F1962" s="2">
        <v>2.98</v>
      </c>
      <c r="G1962" s="6">
        <v>2909</v>
      </c>
      <c r="H1962" s="6">
        <v>4501</v>
      </c>
      <c r="I1962" s="6">
        <v>818</v>
      </c>
      <c r="J1962" s="6">
        <v>4267</v>
      </c>
      <c r="K1962" s="6">
        <v>1982</v>
      </c>
    </row>
    <row r="1963" spans="1:11" x14ac:dyDescent="0.2">
      <c r="A1963" s="1">
        <v>0.36180555555555599</v>
      </c>
      <c r="B1963" s="2">
        <v>6.2</v>
      </c>
      <c r="C1963" s="2">
        <v>3.62</v>
      </c>
      <c r="D1963" s="2">
        <v>5.21</v>
      </c>
      <c r="E1963" s="2">
        <v>5.46</v>
      </c>
      <c r="F1963" s="2">
        <v>3.3200000000000003</v>
      </c>
      <c r="G1963" s="6">
        <v>4624</v>
      </c>
      <c r="H1963" s="6">
        <v>5192</v>
      </c>
      <c r="I1963" s="6">
        <v>3485</v>
      </c>
      <c r="J1963" s="6">
        <v>4521</v>
      </c>
      <c r="K1963" s="6">
        <v>2496</v>
      </c>
    </row>
    <row r="1964" spans="1:11" x14ac:dyDescent="0.2">
      <c r="A1964" s="1">
        <v>0.36249999999999999</v>
      </c>
      <c r="B1964" s="2">
        <v>6.17</v>
      </c>
      <c r="C1964" s="2">
        <v>3.64</v>
      </c>
      <c r="D1964" s="2">
        <v>5.23</v>
      </c>
      <c r="E1964" s="2">
        <v>4.99</v>
      </c>
      <c r="F1964" s="2">
        <v>3.13</v>
      </c>
      <c r="G1964" s="6">
        <v>4174</v>
      </c>
      <c r="H1964" s="6">
        <v>2683</v>
      </c>
      <c r="I1964" s="6">
        <v>4574</v>
      </c>
      <c r="J1964" s="6">
        <v>4548</v>
      </c>
      <c r="K1964" s="6">
        <v>3980</v>
      </c>
    </row>
    <row r="1965" spans="1:11" x14ac:dyDescent="0.2">
      <c r="A1965" s="1">
        <v>0.36319444444444399</v>
      </c>
      <c r="B1965" s="2">
        <v>6.31</v>
      </c>
      <c r="C1965" s="2">
        <v>3.7600000000000002</v>
      </c>
      <c r="D1965" s="2">
        <v>5.35</v>
      </c>
      <c r="E1965" s="2">
        <v>5.39</v>
      </c>
      <c r="F1965" s="2">
        <v>3.25</v>
      </c>
      <c r="G1965" s="6">
        <v>4467</v>
      </c>
      <c r="H1965" s="6">
        <v>4046</v>
      </c>
      <c r="I1965" s="6">
        <v>2157</v>
      </c>
      <c r="J1965" s="6">
        <v>1792</v>
      </c>
      <c r="K1965" s="6">
        <v>3863</v>
      </c>
    </row>
    <row r="1966" spans="1:11" x14ac:dyDescent="0.2">
      <c r="A1966" s="1">
        <v>0.36388888888888898</v>
      </c>
      <c r="B1966" s="2">
        <v>6.28</v>
      </c>
      <c r="C1966" s="2">
        <v>3.62</v>
      </c>
      <c r="D1966" s="2">
        <v>5.28</v>
      </c>
      <c r="E1966" s="2">
        <v>5.53</v>
      </c>
      <c r="F1966" s="2">
        <v>3.27</v>
      </c>
      <c r="G1966" s="6">
        <v>1607</v>
      </c>
      <c r="H1966" s="6">
        <v>2601</v>
      </c>
      <c r="I1966" s="6">
        <v>4302</v>
      </c>
      <c r="J1966" s="6">
        <v>4297</v>
      </c>
      <c r="K1966" s="6">
        <v>5863</v>
      </c>
    </row>
    <row r="1967" spans="1:11" x14ac:dyDescent="0.2">
      <c r="A1967" s="1">
        <v>0.36458333333333298</v>
      </c>
      <c r="B1967" s="2">
        <v>6.34</v>
      </c>
      <c r="C1967" s="2">
        <v>3.65</v>
      </c>
      <c r="D1967" s="2">
        <v>5.09</v>
      </c>
      <c r="E1967" s="2">
        <v>5.39</v>
      </c>
      <c r="F1967" s="2">
        <v>3.38</v>
      </c>
      <c r="G1967" s="6">
        <v>2501</v>
      </c>
      <c r="H1967" s="6">
        <v>3487</v>
      </c>
      <c r="I1967" s="6">
        <v>2674</v>
      </c>
      <c r="J1967" s="6">
        <v>1507</v>
      </c>
      <c r="K1967" s="6">
        <v>5832</v>
      </c>
    </row>
    <row r="1968" spans="1:11" x14ac:dyDescent="0.2">
      <c r="A1968" s="1">
        <v>0.36527777777777798</v>
      </c>
      <c r="B1968" s="2">
        <v>6.17</v>
      </c>
      <c r="C1968" s="2">
        <v>3.63</v>
      </c>
      <c r="D1968" s="2">
        <v>4.8899999999999997</v>
      </c>
      <c r="E1968" s="2">
        <v>5.05</v>
      </c>
      <c r="F1968" s="2">
        <v>3.38</v>
      </c>
      <c r="G1968" s="6">
        <v>759</v>
      </c>
      <c r="H1968" s="6">
        <v>2500</v>
      </c>
      <c r="I1968" s="6">
        <v>1946</v>
      </c>
      <c r="J1968" s="6">
        <v>3977</v>
      </c>
      <c r="K1968" s="6">
        <v>5162</v>
      </c>
    </row>
    <row r="1969" spans="1:11" x14ac:dyDescent="0.2">
      <c r="A1969" s="1">
        <v>0.36597222222222198</v>
      </c>
      <c r="B1969" s="2">
        <v>6.26</v>
      </c>
      <c r="C1969" s="2">
        <v>3.61</v>
      </c>
      <c r="D1969" s="2">
        <v>4.95</v>
      </c>
      <c r="E1969" s="2">
        <v>5.0999999999999996</v>
      </c>
      <c r="F1969" s="2">
        <v>2.93</v>
      </c>
      <c r="G1969" s="6">
        <v>1648</v>
      </c>
      <c r="H1969" s="6">
        <v>2543</v>
      </c>
      <c r="I1969" s="6">
        <v>3643</v>
      </c>
      <c r="J1969" s="6">
        <v>4154</v>
      </c>
      <c r="K1969" s="6">
        <v>2910</v>
      </c>
    </row>
    <row r="1970" spans="1:11" x14ac:dyDescent="0.2">
      <c r="A1970" s="1">
        <v>0.36666666666666697</v>
      </c>
      <c r="B1970" s="2">
        <v>6.34</v>
      </c>
      <c r="C1970" s="2">
        <v>3.84</v>
      </c>
      <c r="D1970" s="2">
        <v>5.21</v>
      </c>
      <c r="E1970" s="2">
        <v>5.51</v>
      </c>
      <c r="F1970" s="2">
        <v>3.1100000000000003</v>
      </c>
      <c r="G1970" s="6">
        <v>1992</v>
      </c>
      <c r="H1970" s="6">
        <v>4887</v>
      </c>
      <c r="I1970" s="6">
        <v>2000</v>
      </c>
      <c r="J1970" s="6">
        <v>1399</v>
      </c>
      <c r="K1970" s="6">
        <v>2187</v>
      </c>
    </row>
    <row r="1971" spans="1:11" x14ac:dyDescent="0.2">
      <c r="A1971" s="1">
        <v>0.36736111111111103</v>
      </c>
      <c r="B1971" s="2">
        <v>6.2299999999999995</v>
      </c>
      <c r="C1971" s="2">
        <v>3.7600000000000002</v>
      </c>
      <c r="D1971" s="2">
        <v>5.13</v>
      </c>
      <c r="E1971" s="2">
        <v>5.4399999999999995</v>
      </c>
      <c r="F1971" s="2">
        <v>3.12</v>
      </c>
      <c r="G1971" s="6">
        <v>2531</v>
      </c>
      <c r="H1971" s="6">
        <v>4493</v>
      </c>
      <c r="I1971" s="6">
        <v>4257</v>
      </c>
      <c r="J1971" s="6">
        <v>3773</v>
      </c>
      <c r="K1971" s="6">
        <v>2780</v>
      </c>
    </row>
    <row r="1972" spans="1:11" x14ac:dyDescent="0.2">
      <c r="A1972" s="1">
        <v>0.36805555555555602</v>
      </c>
      <c r="B1972" s="2">
        <v>6.32</v>
      </c>
      <c r="C1972" s="2">
        <v>3.66</v>
      </c>
      <c r="D1972" s="2">
        <v>4.9400000000000004</v>
      </c>
      <c r="E1972" s="2">
        <v>5.16</v>
      </c>
      <c r="F1972" s="2">
        <v>3.3400000000000003</v>
      </c>
      <c r="G1972" s="6">
        <v>3175</v>
      </c>
      <c r="H1972" s="6">
        <v>1005</v>
      </c>
      <c r="I1972" s="6">
        <v>5217</v>
      </c>
      <c r="J1972" s="6">
        <v>2986</v>
      </c>
      <c r="K1972" s="6">
        <v>2924</v>
      </c>
    </row>
    <row r="1973" spans="1:11" x14ac:dyDescent="0.2">
      <c r="A1973" s="1">
        <v>0.36875000000000002</v>
      </c>
      <c r="B1973" s="2">
        <v>6.3599999999999994</v>
      </c>
      <c r="C1973" s="2">
        <v>3.69</v>
      </c>
      <c r="D1973" s="2">
        <v>5.01</v>
      </c>
      <c r="E1973" s="2">
        <v>5.62</v>
      </c>
      <c r="F1973" s="2">
        <v>2.97</v>
      </c>
      <c r="G1973" s="6">
        <v>2638</v>
      </c>
      <c r="H1973" s="6">
        <v>3653</v>
      </c>
      <c r="I1973" s="6">
        <v>2714</v>
      </c>
      <c r="J1973" s="6">
        <v>5650</v>
      </c>
      <c r="K1973" s="6">
        <v>5144</v>
      </c>
    </row>
    <row r="1974" spans="1:11" x14ac:dyDescent="0.2">
      <c r="A1974" s="1">
        <v>0.36944444444444402</v>
      </c>
      <c r="B1974" s="2">
        <v>6.17</v>
      </c>
      <c r="C1974" s="2">
        <v>3.75</v>
      </c>
      <c r="D1974" s="2">
        <v>5.08</v>
      </c>
      <c r="E1974" s="2">
        <v>5.17</v>
      </c>
      <c r="F1974" s="2">
        <v>3.33</v>
      </c>
      <c r="G1974" s="6">
        <v>4604</v>
      </c>
      <c r="H1974" s="6">
        <v>3315</v>
      </c>
      <c r="I1974" s="6">
        <v>1986</v>
      </c>
      <c r="J1974" s="6">
        <v>2572</v>
      </c>
      <c r="K1974" s="6">
        <v>5187</v>
      </c>
    </row>
    <row r="1975" spans="1:11" x14ac:dyDescent="0.2">
      <c r="A1975" s="1">
        <v>0.37013888888888902</v>
      </c>
      <c r="B1975" s="2">
        <v>6.17</v>
      </c>
      <c r="C1975" s="2">
        <v>3.66</v>
      </c>
      <c r="D1975" s="2">
        <v>5.07</v>
      </c>
      <c r="E1975" s="2">
        <v>5.09</v>
      </c>
      <c r="F1975" s="2">
        <v>3.1</v>
      </c>
      <c r="G1975" s="6">
        <v>3396</v>
      </c>
      <c r="H1975" s="6">
        <v>5133</v>
      </c>
      <c r="I1975" s="6">
        <v>4743</v>
      </c>
      <c r="J1975" s="6">
        <v>4109</v>
      </c>
      <c r="K1975" s="6">
        <v>5835</v>
      </c>
    </row>
    <row r="1976" spans="1:11" x14ac:dyDescent="0.2">
      <c r="A1976" s="1">
        <v>0.37083333333333302</v>
      </c>
      <c r="B1976" s="2">
        <v>6.29</v>
      </c>
      <c r="C1976" s="2">
        <v>3.72</v>
      </c>
      <c r="D1976" s="2">
        <v>5.09</v>
      </c>
      <c r="E1976" s="2">
        <v>5.46</v>
      </c>
      <c r="F1976" s="2">
        <v>3.25</v>
      </c>
      <c r="G1976" s="6">
        <v>4769</v>
      </c>
      <c r="H1976" s="6">
        <v>2947</v>
      </c>
      <c r="I1976" s="6">
        <v>3560</v>
      </c>
      <c r="J1976" s="6">
        <v>1441</v>
      </c>
      <c r="K1976" s="6">
        <v>3743</v>
      </c>
    </row>
    <row r="1977" spans="1:11" x14ac:dyDescent="0.2">
      <c r="A1977" s="1">
        <v>0.37152777777777801</v>
      </c>
      <c r="B1977" s="2">
        <v>6.34</v>
      </c>
      <c r="C1977" s="2">
        <v>3.66</v>
      </c>
      <c r="D1977" s="2">
        <v>5.26</v>
      </c>
      <c r="E1977" s="2">
        <v>4.96</v>
      </c>
      <c r="F1977" s="2">
        <v>3.37</v>
      </c>
      <c r="G1977" s="6">
        <v>1038</v>
      </c>
      <c r="H1977" s="6">
        <v>1795</v>
      </c>
      <c r="I1977" s="6">
        <v>4874</v>
      </c>
      <c r="J1977" s="6">
        <v>3307</v>
      </c>
      <c r="K1977" s="6">
        <v>3915</v>
      </c>
    </row>
    <row r="1978" spans="1:11" x14ac:dyDescent="0.2">
      <c r="A1978" s="1">
        <v>0.37222222222222201</v>
      </c>
      <c r="B1978" s="2">
        <v>6.35</v>
      </c>
      <c r="C1978" s="2">
        <v>3.66</v>
      </c>
      <c r="D1978" s="2">
        <v>4.8899999999999997</v>
      </c>
      <c r="E1978" s="2">
        <v>5.16</v>
      </c>
      <c r="F1978" s="2">
        <v>2.96</v>
      </c>
      <c r="G1978" s="6">
        <v>1069</v>
      </c>
      <c r="H1978" s="6">
        <v>2964</v>
      </c>
      <c r="I1978" s="6">
        <v>5080</v>
      </c>
      <c r="J1978" s="6">
        <v>2333</v>
      </c>
      <c r="K1978" s="6">
        <v>1445</v>
      </c>
    </row>
    <row r="1979" spans="1:11" x14ac:dyDescent="0.2">
      <c r="A1979" s="1">
        <v>0.37291666666666701</v>
      </c>
      <c r="B1979" s="2">
        <v>6.1499999999999995</v>
      </c>
      <c r="C1979" s="2">
        <v>3.62</v>
      </c>
      <c r="D1979" s="2">
        <v>5.05</v>
      </c>
      <c r="E1979" s="2">
        <v>5.49</v>
      </c>
      <c r="F1979" s="2">
        <v>2.93</v>
      </c>
      <c r="G1979" s="6">
        <v>1437</v>
      </c>
      <c r="H1979" s="6">
        <v>1229</v>
      </c>
      <c r="I1979" s="6">
        <v>4231</v>
      </c>
      <c r="J1979" s="6">
        <v>3338</v>
      </c>
      <c r="K1979" s="6">
        <v>5671</v>
      </c>
    </row>
    <row r="1980" spans="1:11" x14ac:dyDescent="0.2">
      <c r="A1980" s="1">
        <v>0.37361111111111101</v>
      </c>
      <c r="B1980" s="2">
        <v>6.3</v>
      </c>
      <c r="C1980" s="2">
        <v>3.64</v>
      </c>
      <c r="D1980" s="2">
        <v>5.01</v>
      </c>
      <c r="E1980" s="2">
        <v>5.4399999999999995</v>
      </c>
      <c r="F1980" s="2">
        <v>2.93</v>
      </c>
      <c r="G1980" s="6">
        <v>1070</v>
      </c>
      <c r="H1980" s="6">
        <v>2018</v>
      </c>
      <c r="I1980" s="6">
        <v>2641</v>
      </c>
      <c r="J1980" s="6">
        <v>4541</v>
      </c>
      <c r="K1980" s="6">
        <v>4728</v>
      </c>
    </row>
    <row r="1981" spans="1:11" x14ac:dyDescent="0.2">
      <c r="A1981" s="1">
        <v>0.374305555555556</v>
      </c>
      <c r="B1981" s="2">
        <v>6.25</v>
      </c>
      <c r="C1981" s="2">
        <v>3.77</v>
      </c>
      <c r="D1981" s="2">
        <v>5.08</v>
      </c>
      <c r="E1981" s="2">
        <v>5.2299999999999995</v>
      </c>
      <c r="F1981" s="2">
        <v>3.23</v>
      </c>
      <c r="G1981" s="6">
        <v>3292</v>
      </c>
      <c r="H1981" s="6">
        <v>5429</v>
      </c>
      <c r="I1981" s="6">
        <v>2493</v>
      </c>
      <c r="J1981" s="6">
        <v>2680</v>
      </c>
      <c r="K1981" s="6">
        <v>5715</v>
      </c>
    </row>
    <row r="1982" spans="1:11" x14ac:dyDescent="0.2">
      <c r="A1982" s="3">
        <v>0.375</v>
      </c>
      <c r="B1982" s="2">
        <v>6.21</v>
      </c>
      <c r="C1982" s="2">
        <v>3.73</v>
      </c>
      <c r="D1982" s="2">
        <v>5.0999999999999996</v>
      </c>
      <c r="E1982" s="2">
        <v>5.31</v>
      </c>
      <c r="F1982" s="2">
        <v>3.16</v>
      </c>
      <c r="G1982" s="6">
        <v>5313</v>
      </c>
      <c r="H1982" s="6">
        <v>5312</v>
      </c>
      <c r="I1982" s="6">
        <v>4893</v>
      </c>
      <c r="J1982" s="6">
        <v>5521</v>
      </c>
      <c r="K1982" s="6">
        <v>5721</v>
      </c>
    </row>
    <row r="1983" spans="1:11" x14ac:dyDescent="0.2">
      <c r="A1983" s="1">
        <v>0.375694444444444</v>
      </c>
      <c r="B1983" s="2">
        <v>6.14</v>
      </c>
      <c r="C1983" s="2">
        <v>3.72</v>
      </c>
      <c r="D1983" s="2">
        <v>5</v>
      </c>
      <c r="E1983" s="2">
        <v>5.34</v>
      </c>
      <c r="F1983" s="2">
        <v>2.94</v>
      </c>
      <c r="G1983" s="6">
        <v>5898</v>
      </c>
      <c r="H1983" s="6">
        <v>4616</v>
      </c>
      <c r="I1983" s="6">
        <v>6292</v>
      </c>
      <c r="J1983" s="6">
        <v>4120</v>
      </c>
      <c r="K1983" s="6">
        <v>6938</v>
      </c>
    </row>
    <row r="1984" spans="1:11" x14ac:dyDescent="0.2">
      <c r="A1984" s="1">
        <v>0.37638888888888899</v>
      </c>
      <c r="B1984" s="2">
        <v>6.3</v>
      </c>
      <c r="C1984" s="2">
        <v>3.66</v>
      </c>
      <c r="D1984" s="2">
        <v>4.96</v>
      </c>
      <c r="E1984" s="2">
        <v>5.15</v>
      </c>
      <c r="F1984" s="2">
        <v>3.16</v>
      </c>
      <c r="G1984" s="6">
        <v>3573</v>
      </c>
      <c r="H1984" s="6">
        <v>7200</v>
      </c>
      <c r="I1984" s="6">
        <v>7772</v>
      </c>
      <c r="J1984" s="6">
        <v>5623</v>
      </c>
      <c r="K1984" s="6">
        <v>5657</v>
      </c>
    </row>
    <row r="1985" spans="1:11" x14ac:dyDescent="0.2">
      <c r="A1985" s="1">
        <v>0.37708333333333299</v>
      </c>
      <c r="B1985" s="2">
        <v>6.28</v>
      </c>
      <c r="C1985" s="2">
        <v>3.83</v>
      </c>
      <c r="D1985" s="2">
        <v>4.99</v>
      </c>
      <c r="E1985" s="2">
        <v>5.31</v>
      </c>
      <c r="F1985" s="2">
        <v>2.9</v>
      </c>
      <c r="G1985" s="6">
        <v>5155</v>
      </c>
      <c r="H1985" s="6">
        <v>7716</v>
      </c>
      <c r="I1985" s="6">
        <v>4760</v>
      </c>
      <c r="J1985" s="6">
        <v>3608</v>
      </c>
      <c r="K1985" s="6">
        <v>8685</v>
      </c>
    </row>
    <row r="1986" spans="1:11" x14ac:dyDescent="0.2">
      <c r="A1986" s="1">
        <v>0.37777777777777799</v>
      </c>
      <c r="B1986" s="2">
        <v>6.12</v>
      </c>
      <c r="C1986" s="2">
        <v>3.69</v>
      </c>
      <c r="D1986" s="2">
        <v>5.1400000000000006</v>
      </c>
      <c r="E1986" s="2">
        <v>4.97</v>
      </c>
      <c r="F1986" s="2">
        <v>3.0100000000000002</v>
      </c>
      <c r="G1986" s="6">
        <v>8203</v>
      </c>
      <c r="H1986" s="6">
        <v>4933</v>
      </c>
      <c r="I1986" s="6">
        <v>2720</v>
      </c>
      <c r="J1986" s="6">
        <v>4833</v>
      </c>
      <c r="K1986" s="6">
        <v>10114</v>
      </c>
    </row>
    <row r="1987" spans="1:11" x14ac:dyDescent="0.2">
      <c r="A1987" s="1">
        <v>0.37847222222222199</v>
      </c>
      <c r="B1987" s="2">
        <v>6.3</v>
      </c>
      <c r="C1987" s="2">
        <v>3.7600000000000002</v>
      </c>
      <c r="D1987" s="2">
        <v>5.07</v>
      </c>
      <c r="E1987" s="2">
        <v>5.34</v>
      </c>
      <c r="F1987" s="2">
        <v>3.23</v>
      </c>
      <c r="G1987" s="6">
        <v>7229</v>
      </c>
      <c r="H1987" s="6">
        <v>3810</v>
      </c>
      <c r="I1987" s="6">
        <v>4925</v>
      </c>
      <c r="J1987" s="6">
        <v>7623</v>
      </c>
      <c r="K1987" s="6">
        <v>4438</v>
      </c>
    </row>
    <row r="1988" spans="1:11" x14ac:dyDescent="0.2">
      <c r="A1988" s="1">
        <v>0.37916666666666698</v>
      </c>
      <c r="B1988" s="2">
        <v>6.28</v>
      </c>
      <c r="C1988" s="2">
        <v>3.7600000000000002</v>
      </c>
      <c r="D1988" s="2">
        <v>4.8899999999999997</v>
      </c>
      <c r="E1988" s="2">
        <v>5.41</v>
      </c>
      <c r="F1988" s="2">
        <v>3.29</v>
      </c>
      <c r="G1988" s="6">
        <v>6012</v>
      </c>
      <c r="H1988" s="6">
        <v>4842</v>
      </c>
      <c r="I1988" s="6">
        <v>6463</v>
      </c>
      <c r="J1988" s="6">
        <v>3842</v>
      </c>
      <c r="K1988" s="6">
        <v>9920</v>
      </c>
    </row>
    <row r="1989" spans="1:11" x14ac:dyDescent="0.2">
      <c r="A1989" s="1">
        <v>0.37986111111111098</v>
      </c>
      <c r="B1989" s="2">
        <v>6.17</v>
      </c>
      <c r="C1989" s="2">
        <v>3.7800000000000002</v>
      </c>
      <c r="D1989" s="2">
        <v>5.37</v>
      </c>
      <c r="E1989" s="2">
        <v>5.39</v>
      </c>
      <c r="F1989" s="2">
        <v>3.39</v>
      </c>
      <c r="G1989" s="6">
        <v>5709</v>
      </c>
      <c r="H1989" s="6">
        <v>5162</v>
      </c>
      <c r="I1989" s="6">
        <v>7340</v>
      </c>
      <c r="J1989" s="6">
        <v>8657</v>
      </c>
      <c r="K1989" s="6">
        <v>7304</v>
      </c>
    </row>
    <row r="1990" spans="1:11" x14ac:dyDescent="0.2">
      <c r="A1990" s="1">
        <v>0.38055555555555598</v>
      </c>
      <c r="B1990" s="2">
        <v>6.1899999999999995</v>
      </c>
      <c r="C1990" s="2">
        <v>3.81</v>
      </c>
      <c r="D1990" s="2">
        <v>5.12</v>
      </c>
      <c r="E1990" s="2">
        <v>5.22</v>
      </c>
      <c r="F1990" s="2">
        <v>3.2600000000000002</v>
      </c>
      <c r="G1990" s="6">
        <v>3697</v>
      </c>
      <c r="H1990" s="6">
        <v>4732</v>
      </c>
      <c r="I1990" s="6">
        <v>7006</v>
      </c>
      <c r="J1990" s="6">
        <v>4278</v>
      </c>
      <c r="K1990" s="6">
        <v>8913</v>
      </c>
    </row>
    <row r="1991" spans="1:11" x14ac:dyDescent="0.2">
      <c r="A1991" s="1">
        <v>0.38124999999999998</v>
      </c>
      <c r="B1991" s="2">
        <v>6.33</v>
      </c>
      <c r="C1991" s="2">
        <v>3.63</v>
      </c>
      <c r="D1991" s="2">
        <v>4.9800000000000004</v>
      </c>
      <c r="E1991" s="2">
        <v>5.43</v>
      </c>
      <c r="F1991" s="2">
        <v>3.27</v>
      </c>
      <c r="G1991" s="6">
        <v>5316</v>
      </c>
      <c r="H1991" s="6">
        <v>4033</v>
      </c>
      <c r="I1991" s="6">
        <v>8703</v>
      </c>
      <c r="J1991" s="6">
        <v>3580</v>
      </c>
      <c r="K1991" s="6">
        <v>5398</v>
      </c>
    </row>
    <row r="1992" spans="1:11" x14ac:dyDescent="0.2">
      <c r="A1992" s="1">
        <v>0.38194444444444398</v>
      </c>
      <c r="B1992" s="2">
        <v>6.09</v>
      </c>
      <c r="C1992" s="2">
        <v>3.62</v>
      </c>
      <c r="D1992" s="2">
        <v>5.24</v>
      </c>
      <c r="E1992" s="2">
        <v>4.96</v>
      </c>
      <c r="F1992" s="2">
        <v>3.02</v>
      </c>
      <c r="G1992" s="6">
        <v>8518</v>
      </c>
      <c r="H1992" s="6">
        <v>6906</v>
      </c>
      <c r="I1992" s="6">
        <v>4322</v>
      </c>
      <c r="J1992" s="6">
        <v>4166</v>
      </c>
      <c r="K1992" s="6">
        <v>9884</v>
      </c>
    </row>
    <row r="1993" spans="1:11" x14ac:dyDescent="0.2">
      <c r="A1993" s="1">
        <v>0.38263888888888897</v>
      </c>
      <c r="B1993" s="2">
        <v>6.27</v>
      </c>
      <c r="C1993" s="2">
        <v>3.63</v>
      </c>
      <c r="D1993" s="2">
        <v>5.25</v>
      </c>
      <c r="E1993" s="2">
        <v>5.32</v>
      </c>
      <c r="F1993" s="2">
        <v>3.2</v>
      </c>
      <c r="G1993" s="6">
        <v>9482</v>
      </c>
      <c r="H1993" s="6">
        <v>5142</v>
      </c>
      <c r="I1993" s="6">
        <v>6951</v>
      </c>
      <c r="J1993" s="6">
        <v>8078</v>
      </c>
      <c r="K1993" s="6">
        <v>7382</v>
      </c>
    </row>
    <row r="1994" spans="1:11" x14ac:dyDescent="0.2">
      <c r="A1994" s="1">
        <v>0.38333333333333303</v>
      </c>
      <c r="B1994" s="2">
        <v>6.26</v>
      </c>
      <c r="C1994" s="2">
        <v>3.74</v>
      </c>
      <c r="D1994" s="2">
        <v>4.87</v>
      </c>
      <c r="E1994" s="2">
        <v>5.5</v>
      </c>
      <c r="F1994" s="2">
        <v>3.22</v>
      </c>
      <c r="G1994" s="6">
        <v>4835</v>
      </c>
      <c r="H1994" s="6">
        <v>7039</v>
      </c>
      <c r="I1994" s="6">
        <v>4648</v>
      </c>
      <c r="J1994" s="6">
        <v>6355</v>
      </c>
      <c r="K1994" s="6">
        <v>10471</v>
      </c>
    </row>
    <row r="1995" spans="1:11" x14ac:dyDescent="0.2">
      <c r="A1995" s="1">
        <v>0.38402777777777802</v>
      </c>
      <c r="B1995" s="2">
        <v>6.22</v>
      </c>
      <c r="C1995" s="2">
        <v>3.7800000000000002</v>
      </c>
      <c r="D1995" s="2">
        <v>5.1100000000000003</v>
      </c>
      <c r="E1995" s="2">
        <v>5.26</v>
      </c>
      <c r="F1995" s="2">
        <v>3.2</v>
      </c>
      <c r="G1995" s="6">
        <v>4468</v>
      </c>
      <c r="H1995" s="6">
        <v>4744</v>
      </c>
      <c r="I1995" s="6">
        <v>8777</v>
      </c>
      <c r="J1995" s="6">
        <v>3942</v>
      </c>
      <c r="K1995" s="6">
        <v>10630</v>
      </c>
    </row>
    <row r="1996" spans="1:11" x14ac:dyDescent="0.2">
      <c r="A1996" s="1">
        <v>0.38472222222222202</v>
      </c>
      <c r="B1996" s="2">
        <v>6.1899999999999995</v>
      </c>
      <c r="C1996" s="2">
        <v>3.61</v>
      </c>
      <c r="D1996" s="2">
        <v>5.2700000000000005</v>
      </c>
      <c r="E1996" s="2">
        <v>5.04</v>
      </c>
      <c r="F1996" s="2">
        <v>2.89</v>
      </c>
      <c r="G1996" s="6">
        <v>4961</v>
      </c>
      <c r="H1996" s="6">
        <v>9030</v>
      </c>
      <c r="I1996" s="6">
        <v>7529</v>
      </c>
      <c r="J1996" s="6">
        <v>9189</v>
      </c>
      <c r="K1996" s="6">
        <v>6930</v>
      </c>
    </row>
    <row r="1997" spans="1:11" x14ac:dyDescent="0.2">
      <c r="A1997" s="1">
        <v>0.38541666666666702</v>
      </c>
      <c r="B1997" s="2">
        <v>6.12</v>
      </c>
      <c r="C1997" s="2">
        <v>3.77</v>
      </c>
      <c r="D1997" s="2">
        <v>5.09</v>
      </c>
      <c r="E1997" s="2">
        <v>5.07</v>
      </c>
      <c r="F1997" s="2">
        <v>3.16</v>
      </c>
      <c r="G1997" s="6">
        <v>8103</v>
      </c>
      <c r="H1997" s="6">
        <v>6768</v>
      </c>
      <c r="I1997" s="6">
        <v>7814</v>
      </c>
      <c r="J1997" s="6">
        <v>6653</v>
      </c>
      <c r="K1997" s="6">
        <v>6896</v>
      </c>
    </row>
    <row r="1998" spans="1:11" x14ac:dyDescent="0.2">
      <c r="A1998" s="1">
        <v>0.38611111111111102</v>
      </c>
      <c r="B1998" s="2">
        <v>6.29</v>
      </c>
      <c r="C1998" s="2">
        <v>3.66</v>
      </c>
      <c r="D1998" s="2">
        <v>5.23</v>
      </c>
      <c r="E1998" s="2">
        <v>5.0599999999999996</v>
      </c>
      <c r="F1998" s="2">
        <v>3.24</v>
      </c>
      <c r="G1998" s="6">
        <v>8375</v>
      </c>
      <c r="H1998" s="6">
        <v>5336</v>
      </c>
      <c r="I1998" s="6">
        <v>4152</v>
      </c>
      <c r="J1998" s="6">
        <v>7759</v>
      </c>
      <c r="K1998" s="6">
        <v>7696</v>
      </c>
    </row>
    <row r="1999" spans="1:11" x14ac:dyDescent="0.2">
      <c r="A1999" s="1">
        <v>0.38680555555555601</v>
      </c>
      <c r="B1999" s="2">
        <v>6.28</v>
      </c>
      <c r="C1999" s="2">
        <v>3.63</v>
      </c>
      <c r="D1999" s="2">
        <v>5.0600000000000005</v>
      </c>
      <c r="E1999" s="2">
        <v>5.36</v>
      </c>
      <c r="F1999" s="2">
        <v>3.02</v>
      </c>
      <c r="G1999" s="6">
        <v>3629</v>
      </c>
      <c r="H1999" s="6">
        <v>8328</v>
      </c>
      <c r="I1999" s="6">
        <v>5587</v>
      </c>
      <c r="J1999" s="6">
        <v>3774</v>
      </c>
      <c r="K1999" s="6">
        <v>6170</v>
      </c>
    </row>
    <row r="2000" spans="1:11" x14ac:dyDescent="0.2">
      <c r="A2000" s="1">
        <v>0.38750000000000001</v>
      </c>
      <c r="B2000" s="2">
        <v>6.12</v>
      </c>
      <c r="C2000" s="2">
        <v>3.66</v>
      </c>
      <c r="D2000" s="2">
        <v>5.04</v>
      </c>
      <c r="E2000" s="2">
        <v>5.07</v>
      </c>
      <c r="F2000" s="2">
        <v>3.33</v>
      </c>
      <c r="G2000" s="6">
        <v>5295</v>
      </c>
      <c r="H2000" s="6">
        <v>4459</v>
      </c>
      <c r="I2000" s="6">
        <v>7172</v>
      </c>
      <c r="J2000" s="6">
        <v>5168</v>
      </c>
      <c r="K2000" s="6">
        <v>6004</v>
      </c>
    </row>
    <row r="2001" spans="1:11" x14ac:dyDescent="0.2">
      <c r="A2001" s="1">
        <v>0.38819444444444401</v>
      </c>
      <c r="B2001" s="2">
        <v>6.1</v>
      </c>
      <c r="C2001" s="2">
        <v>3.8200000000000003</v>
      </c>
      <c r="D2001" s="2">
        <v>4.96</v>
      </c>
      <c r="E2001" s="2">
        <v>4.95</v>
      </c>
      <c r="F2001" s="2">
        <v>3.2800000000000002</v>
      </c>
      <c r="G2001" s="6">
        <v>8858</v>
      </c>
      <c r="H2001" s="6">
        <v>9929</v>
      </c>
      <c r="I2001" s="6">
        <v>8314</v>
      </c>
      <c r="J2001" s="6">
        <v>9453</v>
      </c>
      <c r="K2001" s="6">
        <v>6723</v>
      </c>
    </row>
    <row r="2002" spans="1:11" x14ac:dyDescent="0.2">
      <c r="A2002" s="1">
        <v>0.38888888888888901</v>
      </c>
      <c r="B2002" s="2">
        <v>6.32</v>
      </c>
      <c r="C2002" s="2">
        <v>3.83</v>
      </c>
      <c r="D2002" s="2">
        <v>5.12</v>
      </c>
      <c r="E2002" s="2">
        <v>4.97</v>
      </c>
      <c r="F2002" s="2">
        <v>2.94</v>
      </c>
      <c r="G2002" s="6">
        <v>8833</v>
      </c>
      <c r="H2002" s="6">
        <v>9932</v>
      </c>
      <c r="I2002" s="6">
        <v>5967</v>
      </c>
      <c r="J2002" s="6">
        <v>4314</v>
      </c>
      <c r="K2002" s="6">
        <v>5177</v>
      </c>
    </row>
    <row r="2003" spans="1:11" x14ac:dyDescent="0.2">
      <c r="A2003" s="1">
        <v>0.389583333333333</v>
      </c>
      <c r="B2003" s="2">
        <v>6.14</v>
      </c>
      <c r="C2003" s="2">
        <v>3.63</v>
      </c>
      <c r="D2003" s="2">
        <v>4.9800000000000004</v>
      </c>
      <c r="E2003" s="2">
        <v>5.04</v>
      </c>
      <c r="F2003" s="2">
        <v>2.89</v>
      </c>
      <c r="G2003" s="6">
        <v>8467</v>
      </c>
      <c r="H2003" s="6">
        <v>5017</v>
      </c>
      <c r="I2003" s="6">
        <v>4574</v>
      </c>
      <c r="J2003" s="6">
        <v>6855</v>
      </c>
      <c r="K2003" s="6">
        <v>10947</v>
      </c>
    </row>
    <row r="2004" spans="1:11" x14ac:dyDescent="0.2">
      <c r="A2004" s="1">
        <v>0.390277777777778</v>
      </c>
      <c r="B2004" s="2">
        <v>6.27</v>
      </c>
      <c r="C2004" s="2">
        <v>3.58</v>
      </c>
      <c r="D2004" s="2">
        <v>5.08</v>
      </c>
      <c r="E2004" s="2">
        <v>5.13</v>
      </c>
      <c r="F2004" s="2">
        <v>3.27</v>
      </c>
      <c r="G2004" s="6">
        <v>5698</v>
      </c>
      <c r="H2004" s="6">
        <v>3721</v>
      </c>
      <c r="I2004" s="6">
        <v>4900</v>
      </c>
      <c r="J2004" s="6">
        <v>7029</v>
      </c>
      <c r="K2004" s="6">
        <v>8501</v>
      </c>
    </row>
    <row r="2005" spans="1:11" x14ac:dyDescent="0.2">
      <c r="A2005" s="1">
        <v>0.390972222222222</v>
      </c>
      <c r="B2005" s="2">
        <v>6.1899999999999995</v>
      </c>
      <c r="C2005" s="2">
        <v>3.81</v>
      </c>
      <c r="D2005" s="2">
        <v>5.13</v>
      </c>
      <c r="E2005" s="2">
        <v>5.5</v>
      </c>
      <c r="F2005" s="2">
        <v>3.38</v>
      </c>
      <c r="G2005" s="6">
        <v>9229</v>
      </c>
      <c r="H2005" s="6">
        <v>7409</v>
      </c>
      <c r="I2005" s="6">
        <v>7093</v>
      </c>
      <c r="J2005" s="6">
        <v>8615</v>
      </c>
      <c r="K2005" s="6">
        <v>4800</v>
      </c>
    </row>
    <row r="2006" spans="1:11" x14ac:dyDescent="0.2">
      <c r="A2006" s="1">
        <v>0.391666666666667</v>
      </c>
      <c r="B2006" s="2">
        <v>6.1099999999999994</v>
      </c>
      <c r="C2006" s="2">
        <v>3.8000000000000003</v>
      </c>
      <c r="D2006" s="2">
        <v>4.8899999999999997</v>
      </c>
      <c r="E2006" s="2">
        <v>5.63</v>
      </c>
      <c r="F2006" s="2">
        <v>2.96</v>
      </c>
      <c r="G2006" s="6">
        <v>4575</v>
      </c>
      <c r="H2006" s="6">
        <v>7732</v>
      </c>
      <c r="I2006" s="6">
        <v>3385</v>
      </c>
      <c r="J2006" s="6">
        <v>6288</v>
      </c>
      <c r="K2006" s="6">
        <v>9530</v>
      </c>
    </row>
    <row r="2007" spans="1:11" x14ac:dyDescent="0.2">
      <c r="A2007" s="1">
        <v>0.39236111111111099</v>
      </c>
      <c r="B2007" s="2">
        <v>6.1099999999999994</v>
      </c>
      <c r="C2007" s="2">
        <v>3.63</v>
      </c>
      <c r="D2007" s="2">
        <v>4.93</v>
      </c>
      <c r="E2007" s="2">
        <v>4.9399999999999995</v>
      </c>
      <c r="F2007" s="2">
        <v>3.0100000000000002</v>
      </c>
      <c r="G2007" s="6">
        <v>6707</v>
      </c>
      <c r="H2007" s="6">
        <v>4149</v>
      </c>
      <c r="I2007" s="6">
        <v>7092</v>
      </c>
      <c r="J2007" s="6">
        <v>4076</v>
      </c>
      <c r="K2007" s="6">
        <v>10639</v>
      </c>
    </row>
    <row r="2008" spans="1:11" x14ac:dyDescent="0.2">
      <c r="A2008" s="1">
        <v>0.39305555555555599</v>
      </c>
      <c r="B2008" s="2">
        <v>6.1899999999999995</v>
      </c>
      <c r="C2008" s="2">
        <v>3.63</v>
      </c>
      <c r="D2008" s="2">
        <v>5.0600000000000005</v>
      </c>
      <c r="E2008" s="2">
        <v>4.96</v>
      </c>
      <c r="F2008" s="2">
        <v>3.02</v>
      </c>
      <c r="G2008" s="6">
        <v>5052</v>
      </c>
      <c r="H2008" s="6">
        <v>4767</v>
      </c>
      <c r="I2008" s="6">
        <v>8237</v>
      </c>
      <c r="J2008" s="6">
        <v>7466</v>
      </c>
      <c r="K2008" s="6">
        <v>6853</v>
      </c>
    </row>
    <row r="2009" spans="1:11" x14ac:dyDescent="0.2">
      <c r="A2009" s="1">
        <v>0.39374999999999999</v>
      </c>
      <c r="B2009" s="2">
        <v>6.2299999999999995</v>
      </c>
      <c r="C2009" s="2">
        <v>3.83</v>
      </c>
      <c r="D2009" s="2">
        <v>5.33</v>
      </c>
      <c r="E2009" s="2">
        <v>5.38</v>
      </c>
      <c r="F2009" s="2">
        <v>3.39</v>
      </c>
      <c r="G2009" s="6">
        <v>4983</v>
      </c>
      <c r="H2009" s="6">
        <v>4155</v>
      </c>
      <c r="I2009" s="6">
        <v>4346</v>
      </c>
      <c r="J2009" s="6">
        <v>8177</v>
      </c>
      <c r="K2009" s="6">
        <v>5572</v>
      </c>
    </row>
    <row r="2010" spans="1:11" x14ac:dyDescent="0.2">
      <c r="A2010" s="1">
        <v>0.39444444444444399</v>
      </c>
      <c r="B2010" s="2">
        <v>6.16</v>
      </c>
      <c r="C2010" s="2">
        <v>3.58</v>
      </c>
      <c r="D2010" s="2">
        <v>5.03</v>
      </c>
      <c r="E2010" s="2">
        <v>5.16</v>
      </c>
      <c r="F2010" s="2">
        <v>3.2</v>
      </c>
      <c r="G2010" s="6">
        <v>5509</v>
      </c>
      <c r="H2010" s="6">
        <v>6663</v>
      </c>
      <c r="I2010" s="6">
        <v>4207</v>
      </c>
      <c r="J2010" s="6">
        <v>6517</v>
      </c>
      <c r="K2010" s="6">
        <v>7839</v>
      </c>
    </row>
    <row r="2011" spans="1:11" x14ac:dyDescent="0.2">
      <c r="A2011" s="1">
        <v>0.39513888888888898</v>
      </c>
      <c r="B2011" s="2">
        <v>6.32</v>
      </c>
      <c r="C2011" s="2">
        <v>3.7600000000000002</v>
      </c>
      <c r="D2011" s="2">
        <v>4.96</v>
      </c>
      <c r="E2011" s="2">
        <v>5.38</v>
      </c>
      <c r="F2011" s="2">
        <v>3.19</v>
      </c>
      <c r="G2011" s="6">
        <v>8969</v>
      </c>
      <c r="H2011" s="6">
        <v>9499</v>
      </c>
      <c r="I2011" s="6">
        <v>2918</v>
      </c>
      <c r="J2011" s="6">
        <v>8171</v>
      </c>
      <c r="K2011" s="6">
        <v>8739</v>
      </c>
    </row>
    <row r="2012" spans="1:11" x14ac:dyDescent="0.2">
      <c r="A2012" s="1">
        <v>0.39583333333333298</v>
      </c>
      <c r="B2012" s="2">
        <v>6.16</v>
      </c>
      <c r="C2012" s="2">
        <v>3.8000000000000003</v>
      </c>
      <c r="D2012" s="2">
        <v>5.24</v>
      </c>
      <c r="E2012" s="2">
        <v>5.33</v>
      </c>
      <c r="F2012" s="2">
        <v>3.08</v>
      </c>
      <c r="G2012" s="6">
        <v>3844</v>
      </c>
      <c r="H2012" s="6">
        <v>9449</v>
      </c>
      <c r="I2012" s="6">
        <v>8313</v>
      </c>
      <c r="J2012" s="6">
        <v>6714</v>
      </c>
      <c r="K2012" s="6">
        <v>7989</v>
      </c>
    </row>
    <row r="2013" spans="1:11" x14ac:dyDescent="0.2">
      <c r="A2013" s="1">
        <v>0.39652777777777798</v>
      </c>
      <c r="B2013" s="2">
        <v>6.24</v>
      </c>
      <c r="C2013" s="2">
        <v>3.65</v>
      </c>
      <c r="D2013" s="2">
        <v>5.0600000000000005</v>
      </c>
      <c r="E2013" s="2">
        <v>5.22</v>
      </c>
      <c r="F2013" s="2">
        <v>3.13</v>
      </c>
      <c r="G2013" s="6">
        <v>6245</v>
      </c>
      <c r="H2013" s="6">
        <v>6192</v>
      </c>
      <c r="I2013" s="6">
        <v>4719</v>
      </c>
      <c r="J2013" s="6">
        <v>7803</v>
      </c>
      <c r="K2013" s="6">
        <v>10759</v>
      </c>
    </row>
    <row r="2014" spans="1:11" x14ac:dyDescent="0.2">
      <c r="A2014" s="1">
        <v>0.39722222222222198</v>
      </c>
      <c r="B2014" s="2">
        <v>6.17</v>
      </c>
      <c r="C2014" s="2">
        <v>3.7800000000000002</v>
      </c>
      <c r="D2014" s="2">
        <v>5.15</v>
      </c>
      <c r="E2014" s="2">
        <v>5.16</v>
      </c>
      <c r="F2014" s="2">
        <v>3.29</v>
      </c>
      <c r="G2014" s="6">
        <v>4021</v>
      </c>
      <c r="H2014" s="6">
        <v>5023</v>
      </c>
      <c r="I2014" s="6">
        <v>2886</v>
      </c>
      <c r="J2014" s="6">
        <v>4863</v>
      </c>
      <c r="K2014" s="6">
        <v>8962</v>
      </c>
    </row>
    <row r="2015" spans="1:11" x14ac:dyDescent="0.2">
      <c r="A2015" s="1">
        <v>0.39791666666666697</v>
      </c>
      <c r="B2015" s="2">
        <v>6.27</v>
      </c>
      <c r="C2015" s="2">
        <v>3.72</v>
      </c>
      <c r="D2015" s="2">
        <v>5.28</v>
      </c>
      <c r="E2015" s="2">
        <v>5.54</v>
      </c>
      <c r="F2015" s="2">
        <v>2.98</v>
      </c>
      <c r="G2015" s="6">
        <v>8136</v>
      </c>
      <c r="H2015" s="6">
        <v>8999</v>
      </c>
      <c r="I2015" s="6">
        <v>2702</v>
      </c>
      <c r="J2015" s="6">
        <v>4714</v>
      </c>
      <c r="K2015" s="6">
        <v>4581</v>
      </c>
    </row>
    <row r="2016" spans="1:11" x14ac:dyDescent="0.2">
      <c r="A2016" s="1">
        <v>0.39861111111111103</v>
      </c>
      <c r="B2016" s="2">
        <v>6.21</v>
      </c>
      <c r="C2016" s="2">
        <v>3.71</v>
      </c>
      <c r="D2016" s="2">
        <v>4.9400000000000004</v>
      </c>
      <c r="E2016" s="2">
        <v>5.25</v>
      </c>
      <c r="F2016" s="2">
        <v>3.12</v>
      </c>
      <c r="G2016" s="6">
        <v>4661</v>
      </c>
      <c r="H2016" s="6">
        <v>9641</v>
      </c>
      <c r="I2016" s="6">
        <v>3927</v>
      </c>
      <c r="J2016" s="6">
        <v>7328</v>
      </c>
      <c r="K2016" s="6">
        <v>10936</v>
      </c>
    </row>
    <row r="2017" spans="1:11" x14ac:dyDescent="0.2">
      <c r="A2017" s="1">
        <v>0.39930555555555602</v>
      </c>
      <c r="B2017" s="2">
        <v>6.2299999999999995</v>
      </c>
      <c r="C2017" s="2">
        <v>3.6</v>
      </c>
      <c r="D2017" s="2">
        <v>5.12</v>
      </c>
      <c r="E2017" s="2">
        <v>5.14</v>
      </c>
      <c r="F2017" s="2">
        <v>3.38</v>
      </c>
      <c r="G2017" s="6">
        <v>4051</v>
      </c>
      <c r="H2017" s="6">
        <v>4749</v>
      </c>
      <c r="I2017" s="6">
        <v>2627</v>
      </c>
      <c r="J2017" s="6">
        <v>6309</v>
      </c>
      <c r="K2017" s="6">
        <v>5019</v>
      </c>
    </row>
    <row r="2018" spans="1:11" x14ac:dyDescent="0.2">
      <c r="A2018" s="1">
        <v>0.4</v>
      </c>
      <c r="B2018" s="2">
        <v>6.3599999999999994</v>
      </c>
      <c r="C2018" s="2">
        <v>3.63</v>
      </c>
      <c r="D2018" s="2">
        <v>5.04</v>
      </c>
      <c r="E2018" s="2">
        <v>5.14</v>
      </c>
      <c r="F2018" s="2">
        <v>3.21</v>
      </c>
      <c r="G2018" s="6">
        <v>5038</v>
      </c>
      <c r="H2018" s="6">
        <v>7157</v>
      </c>
      <c r="I2018" s="6">
        <v>5388</v>
      </c>
      <c r="J2018" s="6">
        <v>3737</v>
      </c>
      <c r="K2018" s="6">
        <v>4989</v>
      </c>
    </row>
    <row r="2019" spans="1:11" x14ac:dyDescent="0.2">
      <c r="A2019" s="1">
        <v>0.40069444444444402</v>
      </c>
      <c r="B2019" s="2">
        <v>6.32</v>
      </c>
      <c r="C2019" s="2">
        <v>3.7800000000000002</v>
      </c>
      <c r="D2019" s="2">
        <v>4.99</v>
      </c>
      <c r="E2019" s="2">
        <v>5.13</v>
      </c>
      <c r="F2019" s="2">
        <v>3.04</v>
      </c>
      <c r="G2019" s="6">
        <v>4207</v>
      </c>
      <c r="H2019" s="6">
        <v>4390</v>
      </c>
      <c r="I2019" s="6">
        <v>8115</v>
      </c>
      <c r="J2019" s="6">
        <v>8164</v>
      </c>
      <c r="K2019" s="6">
        <v>7034</v>
      </c>
    </row>
    <row r="2020" spans="1:11" x14ac:dyDescent="0.2">
      <c r="A2020" s="1">
        <v>0.40138888888888902</v>
      </c>
      <c r="B2020" s="2">
        <v>6.2</v>
      </c>
      <c r="C2020" s="2">
        <v>3.67</v>
      </c>
      <c r="D2020" s="2">
        <v>5.23</v>
      </c>
      <c r="E2020" s="2">
        <v>5.14</v>
      </c>
      <c r="F2020" s="2">
        <v>3.1500000000000004</v>
      </c>
      <c r="G2020" s="6">
        <v>7902</v>
      </c>
      <c r="H2020" s="6">
        <v>6909</v>
      </c>
      <c r="I2020" s="6">
        <v>8038</v>
      </c>
      <c r="J2020" s="6">
        <v>4370</v>
      </c>
      <c r="K2020" s="6">
        <v>6498</v>
      </c>
    </row>
    <row r="2021" spans="1:11" x14ac:dyDescent="0.2">
      <c r="A2021" s="1">
        <v>0.40208333333333302</v>
      </c>
      <c r="B2021" s="2">
        <v>6.1499999999999995</v>
      </c>
      <c r="C2021" s="2">
        <v>3.84</v>
      </c>
      <c r="D2021" s="2">
        <v>5.16</v>
      </c>
      <c r="E2021" s="2">
        <v>5.33</v>
      </c>
      <c r="F2021" s="2">
        <v>3.3000000000000003</v>
      </c>
      <c r="G2021" s="6">
        <v>8789</v>
      </c>
      <c r="H2021" s="6">
        <v>6713</v>
      </c>
      <c r="I2021" s="6">
        <v>7521</v>
      </c>
      <c r="J2021" s="6">
        <v>6704</v>
      </c>
      <c r="K2021" s="6">
        <v>4471</v>
      </c>
    </row>
    <row r="2022" spans="1:11" x14ac:dyDescent="0.2">
      <c r="A2022" s="1">
        <v>0.40277777777777801</v>
      </c>
      <c r="B2022" s="2">
        <v>6.13</v>
      </c>
      <c r="C2022" s="2">
        <v>3.7</v>
      </c>
      <c r="D2022" s="2">
        <v>4.91</v>
      </c>
      <c r="E2022" s="2">
        <v>5.08</v>
      </c>
      <c r="F2022" s="2">
        <v>2.92</v>
      </c>
      <c r="G2022" s="6">
        <v>6552</v>
      </c>
      <c r="H2022" s="6">
        <v>8780</v>
      </c>
      <c r="I2022" s="6">
        <v>4530</v>
      </c>
      <c r="J2022" s="6">
        <v>5153</v>
      </c>
      <c r="K2022" s="6">
        <v>9142</v>
      </c>
    </row>
    <row r="2023" spans="1:11" x14ac:dyDescent="0.2">
      <c r="A2023" s="1">
        <v>0.40347222222222201</v>
      </c>
      <c r="B2023" s="2">
        <v>6.28</v>
      </c>
      <c r="C2023" s="2">
        <v>3.73</v>
      </c>
      <c r="D2023" s="2">
        <v>5.0600000000000005</v>
      </c>
      <c r="E2023" s="2">
        <v>5.37</v>
      </c>
      <c r="F2023" s="2">
        <v>2.94</v>
      </c>
      <c r="G2023" s="6">
        <v>5200</v>
      </c>
      <c r="H2023" s="6">
        <v>4134</v>
      </c>
      <c r="I2023" s="6">
        <v>2764</v>
      </c>
      <c r="J2023" s="6">
        <v>3728</v>
      </c>
      <c r="K2023" s="6">
        <v>9128</v>
      </c>
    </row>
    <row r="2024" spans="1:11" x14ac:dyDescent="0.2">
      <c r="A2024" s="1">
        <v>0.40416666666666701</v>
      </c>
      <c r="B2024" s="2">
        <v>6.33</v>
      </c>
      <c r="C2024" s="2">
        <v>3.65</v>
      </c>
      <c r="D2024" s="2">
        <v>5.09</v>
      </c>
      <c r="E2024" s="2">
        <v>5.16</v>
      </c>
      <c r="F2024" s="2">
        <v>3.31</v>
      </c>
      <c r="G2024" s="6">
        <v>9079</v>
      </c>
      <c r="H2024" s="6">
        <v>8215</v>
      </c>
      <c r="I2024" s="6">
        <v>4729</v>
      </c>
      <c r="J2024" s="6">
        <v>7588</v>
      </c>
      <c r="K2024" s="6">
        <v>5820</v>
      </c>
    </row>
    <row r="2025" spans="1:11" x14ac:dyDescent="0.2">
      <c r="A2025" s="1">
        <v>0.40486111111111101</v>
      </c>
      <c r="B2025" s="2">
        <v>6.35</v>
      </c>
      <c r="C2025" s="2">
        <v>3.67</v>
      </c>
      <c r="D2025" s="2">
        <v>4.93</v>
      </c>
      <c r="E2025" s="2">
        <v>5.4399999999999995</v>
      </c>
      <c r="F2025" s="2">
        <v>3.38</v>
      </c>
      <c r="G2025" s="6">
        <v>7163</v>
      </c>
      <c r="H2025" s="6">
        <v>9167</v>
      </c>
      <c r="I2025" s="6">
        <v>6840</v>
      </c>
      <c r="J2025" s="6">
        <v>4484</v>
      </c>
      <c r="K2025" s="6">
        <v>4988</v>
      </c>
    </row>
    <row r="2026" spans="1:11" x14ac:dyDescent="0.2">
      <c r="A2026" s="1">
        <v>0.405555555555556</v>
      </c>
      <c r="B2026" s="2">
        <v>6.09</v>
      </c>
      <c r="C2026" s="2">
        <v>3.84</v>
      </c>
      <c r="D2026" s="2">
        <v>5.15</v>
      </c>
      <c r="E2026" s="2">
        <v>5.22</v>
      </c>
      <c r="F2026" s="2">
        <v>3.2800000000000002</v>
      </c>
      <c r="G2026" s="6">
        <v>7312</v>
      </c>
      <c r="H2026" s="6">
        <v>9457</v>
      </c>
      <c r="I2026" s="6">
        <v>8039</v>
      </c>
      <c r="J2026" s="6">
        <v>9298</v>
      </c>
      <c r="K2026" s="6">
        <v>7048</v>
      </c>
    </row>
    <row r="2027" spans="1:11" x14ac:dyDescent="0.2">
      <c r="A2027" s="1">
        <v>0.40625</v>
      </c>
      <c r="B2027" s="2">
        <v>6.22</v>
      </c>
      <c r="C2027" s="2">
        <v>3.68</v>
      </c>
      <c r="D2027" s="2">
        <v>5.36</v>
      </c>
      <c r="E2027" s="2">
        <v>5.21</v>
      </c>
      <c r="F2027" s="2">
        <v>3.33</v>
      </c>
      <c r="G2027" s="6">
        <v>4091</v>
      </c>
      <c r="H2027" s="6">
        <v>5142</v>
      </c>
      <c r="I2027" s="6">
        <v>8600</v>
      </c>
      <c r="J2027" s="6">
        <v>6446</v>
      </c>
      <c r="K2027" s="6">
        <v>5146</v>
      </c>
    </row>
    <row r="2028" spans="1:11" x14ac:dyDescent="0.2">
      <c r="A2028" s="1">
        <v>0.406944444444444</v>
      </c>
      <c r="B2028" s="2">
        <v>6.26</v>
      </c>
      <c r="C2028" s="2">
        <v>3.64</v>
      </c>
      <c r="D2028" s="2">
        <v>4.8899999999999997</v>
      </c>
      <c r="E2028" s="2">
        <v>5.0599999999999996</v>
      </c>
      <c r="F2028" s="2">
        <v>3.14</v>
      </c>
      <c r="G2028" s="6">
        <v>4109</v>
      </c>
      <c r="H2028" s="6">
        <v>4055</v>
      </c>
      <c r="I2028" s="6">
        <v>3627</v>
      </c>
      <c r="J2028" s="6">
        <v>4209</v>
      </c>
      <c r="K2028" s="6">
        <v>9487</v>
      </c>
    </row>
    <row r="2029" spans="1:11" x14ac:dyDescent="0.2">
      <c r="A2029" s="1">
        <v>0.40763888888888899</v>
      </c>
      <c r="B2029" s="2">
        <v>6.26</v>
      </c>
      <c r="C2029" s="2">
        <v>3.71</v>
      </c>
      <c r="D2029" s="2">
        <v>5.1400000000000006</v>
      </c>
      <c r="E2029" s="2">
        <v>5.48</v>
      </c>
      <c r="F2029" s="2">
        <v>3.12</v>
      </c>
      <c r="G2029" s="6">
        <v>3834</v>
      </c>
      <c r="H2029" s="6">
        <v>7477</v>
      </c>
      <c r="I2029" s="6">
        <v>7252</v>
      </c>
      <c r="J2029" s="6">
        <v>7903</v>
      </c>
      <c r="K2029" s="6">
        <v>6936</v>
      </c>
    </row>
    <row r="2030" spans="1:11" x14ac:dyDescent="0.2">
      <c r="A2030" s="1">
        <v>0.40833333333333299</v>
      </c>
      <c r="B2030" s="2">
        <v>6.27</v>
      </c>
      <c r="C2030" s="2">
        <v>3.79</v>
      </c>
      <c r="D2030" s="2">
        <v>5.29</v>
      </c>
      <c r="E2030" s="2">
        <v>5.37</v>
      </c>
      <c r="F2030" s="2">
        <v>3.3200000000000003</v>
      </c>
      <c r="G2030" s="6">
        <v>9714</v>
      </c>
      <c r="H2030" s="6">
        <v>7512</v>
      </c>
      <c r="I2030" s="6">
        <v>4302</v>
      </c>
      <c r="J2030" s="6">
        <v>8540</v>
      </c>
      <c r="K2030" s="6">
        <v>4831</v>
      </c>
    </row>
    <row r="2031" spans="1:11" x14ac:dyDescent="0.2">
      <c r="A2031" s="1">
        <v>0.40902777777777799</v>
      </c>
      <c r="B2031" s="2">
        <v>6.29</v>
      </c>
      <c r="C2031" s="2">
        <v>3.69</v>
      </c>
      <c r="D2031" s="2">
        <v>5.25</v>
      </c>
      <c r="E2031" s="2">
        <v>5.62</v>
      </c>
      <c r="F2031" s="2">
        <v>2.92</v>
      </c>
      <c r="G2031" s="6">
        <v>8461</v>
      </c>
      <c r="H2031" s="6">
        <v>8053</v>
      </c>
      <c r="I2031" s="6">
        <v>3352</v>
      </c>
      <c r="J2031" s="6">
        <v>6105</v>
      </c>
      <c r="K2031" s="6">
        <v>9418</v>
      </c>
    </row>
    <row r="2032" spans="1:11" x14ac:dyDescent="0.2">
      <c r="A2032" s="1">
        <v>0.40972222222222199</v>
      </c>
      <c r="B2032" s="2">
        <v>6.27</v>
      </c>
      <c r="C2032" s="2">
        <v>3.81</v>
      </c>
      <c r="D2032" s="2">
        <v>5.36</v>
      </c>
      <c r="E2032" s="2">
        <v>5.0599999999999996</v>
      </c>
      <c r="F2032" s="2">
        <v>3.25</v>
      </c>
      <c r="G2032" s="6">
        <v>8986</v>
      </c>
      <c r="H2032" s="6">
        <v>5697</v>
      </c>
      <c r="I2032" s="6">
        <v>6451</v>
      </c>
      <c r="J2032" s="6">
        <v>8511</v>
      </c>
      <c r="K2032" s="6">
        <v>5510</v>
      </c>
    </row>
    <row r="2033" spans="1:11" x14ac:dyDescent="0.2">
      <c r="A2033" s="1">
        <v>0.41041666666666698</v>
      </c>
      <c r="B2033" s="2">
        <v>6.1899999999999995</v>
      </c>
      <c r="C2033" s="2">
        <v>3.7</v>
      </c>
      <c r="D2033" s="2">
        <v>4.91</v>
      </c>
      <c r="E2033" s="2">
        <v>5.54</v>
      </c>
      <c r="F2033" s="2">
        <v>3.12</v>
      </c>
      <c r="G2033" s="6">
        <v>7134</v>
      </c>
      <c r="H2033" s="6">
        <v>4981</v>
      </c>
      <c r="I2033" s="6">
        <v>7193</v>
      </c>
      <c r="J2033" s="6">
        <v>4953</v>
      </c>
      <c r="K2033" s="6">
        <v>7633</v>
      </c>
    </row>
    <row r="2034" spans="1:11" x14ac:dyDescent="0.2">
      <c r="A2034" s="1">
        <v>0.41111111111111098</v>
      </c>
      <c r="B2034" s="2">
        <v>6.35</v>
      </c>
      <c r="C2034" s="2">
        <v>3.72</v>
      </c>
      <c r="D2034" s="2">
        <v>5.1000000000000005</v>
      </c>
      <c r="E2034" s="2">
        <v>5.0999999999999996</v>
      </c>
      <c r="F2034" s="2">
        <v>2.97</v>
      </c>
      <c r="G2034" s="6">
        <v>5131</v>
      </c>
      <c r="H2034" s="6">
        <v>9311</v>
      </c>
      <c r="I2034" s="6">
        <v>6399</v>
      </c>
      <c r="J2034" s="6">
        <v>7313</v>
      </c>
      <c r="K2034" s="6">
        <v>10955</v>
      </c>
    </row>
    <row r="2035" spans="1:11" x14ac:dyDescent="0.2">
      <c r="A2035" s="1">
        <v>0.41180555555555598</v>
      </c>
      <c r="B2035" s="2">
        <v>6.27</v>
      </c>
      <c r="C2035" s="2">
        <v>3.68</v>
      </c>
      <c r="D2035" s="2">
        <v>4.99</v>
      </c>
      <c r="E2035" s="2">
        <v>5.39</v>
      </c>
      <c r="F2035" s="2">
        <v>3.02</v>
      </c>
      <c r="G2035" s="6">
        <v>7851</v>
      </c>
      <c r="H2035" s="6">
        <v>8541</v>
      </c>
      <c r="I2035" s="6">
        <v>5687</v>
      </c>
      <c r="J2035" s="6">
        <v>5007</v>
      </c>
      <c r="K2035" s="6">
        <v>8863</v>
      </c>
    </row>
    <row r="2036" spans="1:11" x14ac:dyDescent="0.2">
      <c r="A2036" s="1">
        <v>0.41249999999999998</v>
      </c>
      <c r="B2036" s="2">
        <v>6.34</v>
      </c>
      <c r="C2036" s="2">
        <v>3.7</v>
      </c>
      <c r="D2036" s="2">
        <v>5.18</v>
      </c>
      <c r="E2036" s="2">
        <v>5.42</v>
      </c>
      <c r="F2036" s="2">
        <v>3.31</v>
      </c>
      <c r="G2036" s="6">
        <v>4362</v>
      </c>
      <c r="H2036" s="6">
        <v>7342</v>
      </c>
      <c r="I2036" s="6">
        <v>7115</v>
      </c>
      <c r="J2036" s="6">
        <v>9399</v>
      </c>
      <c r="K2036" s="6">
        <v>9778</v>
      </c>
    </row>
    <row r="2037" spans="1:11" x14ac:dyDescent="0.2">
      <c r="A2037" s="1">
        <v>0.41319444444444398</v>
      </c>
      <c r="B2037" s="2">
        <v>6.35</v>
      </c>
      <c r="C2037" s="2">
        <v>3.7</v>
      </c>
      <c r="D2037" s="2">
        <v>4.91</v>
      </c>
      <c r="E2037" s="2">
        <v>4.96</v>
      </c>
      <c r="F2037" s="2">
        <v>3.1</v>
      </c>
      <c r="G2037" s="6">
        <v>3614</v>
      </c>
      <c r="H2037" s="6">
        <v>5095</v>
      </c>
      <c r="I2037" s="6">
        <v>2956</v>
      </c>
      <c r="J2037" s="6">
        <v>4945</v>
      </c>
      <c r="K2037" s="6">
        <v>9105</v>
      </c>
    </row>
    <row r="2038" spans="1:11" x14ac:dyDescent="0.2">
      <c r="A2038" s="1">
        <v>0.41388888888888897</v>
      </c>
      <c r="B2038" s="2">
        <v>6.24</v>
      </c>
      <c r="C2038" s="2">
        <v>3.68</v>
      </c>
      <c r="D2038" s="2">
        <v>5.28</v>
      </c>
      <c r="E2038" s="2">
        <v>5.57</v>
      </c>
      <c r="F2038" s="2">
        <v>3.2600000000000002</v>
      </c>
      <c r="G2038" s="6">
        <v>5559</v>
      </c>
      <c r="H2038" s="6">
        <v>8199</v>
      </c>
      <c r="I2038" s="6">
        <v>8270</v>
      </c>
      <c r="J2038" s="6">
        <v>6988</v>
      </c>
      <c r="K2038" s="6">
        <v>6184</v>
      </c>
    </row>
    <row r="2039" spans="1:11" x14ac:dyDescent="0.2">
      <c r="A2039" s="1">
        <v>0.41458333333333303</v>
      </c>
      <c r="B2039" s="2">
        <v>6.3599999999999994</v>
      </c>
      <c r="C2039" s="2">
        <v>3.68</v>
      </c>
      <c r="D2039" s="2">
        <v>5.0600000000000005</v>
      </c>
      <c r="E2039" s="2">
        <v>5.07</v>
      </c>
      <c r="F2039" s="2">
        <v>3.22</v>
      </c>
      <c r="G2039" s="6">
        <v>6613</v>
      </c>
      <c r="H2039" s="6">
        <v>9402</v>
      </c>
      <c r="I2039" s="6">
        <v>8623</v>
      </c>
      <c r="J2039" s="6">
        <v>8554</v>
      </c>
      <c r="K2039" s="6">
        <v>5561</v>
      </c>
    </row>
    <row r="2040" spans="1:11" x14ac:dyDescent="0.2">
      <c r="A2040" s="1">
        <v>0.41527777777777802</v>
      </c>
      <c r="B2040" s="2">
        <v>6.26</v>
      </c>
      <c r="C2040" s="2">
        <v>3.58</v>
      </c>
      <c r="D2040" s="2">
        <v>5.33</v>
      </c>
      <c r="E2040" s="2">
        <v>5.39</v>
      </c>
      <c r="F2040" s="2">
        <v>3.37</v>
      </c>
      <c r="G2040" s="6">
        <v>9539</v>
      </c>
      <c r="H2040" s="6">
        <v>7393</v>
      </c>
      <c r="I2040" s="6">
        <v>6202</v>
      </c>
      <c r="J2040" s="6">
        <v>4748</v>
      </c>
      <c r="K2040" s="6">
        <v>6280</v>
      </c>
    </row>
    <row r="2041" spans="1:11" x14ac:dyDescent="0.2">
      <c r="A2041" s="1">
        <v>0.41597222222222202</v>
      </c>
      <c r="B2041" s="2">
        <v>6.3</v>
      </c>
      <c r="C2041" s="2">
        <v>3.7</v>
      </c>
      <c r="D2041" s="2">
        <v>5.05</v>
      </c>
      <c r="E2041" s="2">
        <v>5.24</v>
      </c>
      <c r="F2041" s="2">
        <v>3.17</v>
      </c>
      <c r="G2041" s="6">
        <v>4465</v>
      </c>
      <c r="H2041" s="6">
        <v>5026</v>
      </c>
      <c r="I2041" s="6">
        <v>2776</v>
      </c>
      <c r="J2041" s="6">
        <v>8538</v>
      </c>
      <c r="K2041" s="6">
        <v>7144</v>
      </c>
    </row>
    <row r="2042" spans="1:11" x14ac:dyDescent="0.2">
      <c r="A2042" s="3">
        <v>0.41666666666666702</v>
      </c>
      <c r="B2042" s="2">
        <v>6.21</v>
      </c>
      <c r="C2042" s="2">
        <v>3.74</v>
      </c>
      <c r="D2042" s="2">
        <v>5.1100000000000003</v>
      </c>
      <c r="E2042" s="2">
        <v>5.32</v>
      </c>
      <c r="F2042" s="2">
        <v>3.18</v>
      </c>
      <c r="G2042" s="6">
        <v>9431</v>
      </c>
      <c r="H2042" s="6">
        <v>9734</v>
      </c>
      <c r="I2042" s="6">
        <v>8954</v>
      </c>
      <c r="J2042" s="6">
        <v>9231</v>
      </c>
      <c r="K2042" s="6">
        <v>10321</v>
      </c>
    </row>
    <row r="2043" spans="1:11" x14ac:dyDescent="0.2">
      <c r="A2043" s="1">
        <v>0.41736111111111102</v>
      </c>
      <c r="B2043" s="2">
        <v>6.35</v>
      </c>
      <c r="C2043" s="2">
        <v>3.84</v>
      </c>
      <c r="D2043" s="2">
        <v>5</v>
      </c>
      <c r="E2043" s="2">
        <v>5.57</v>
      </c>
      <c r="F2043" s="2">
        <v>3.12</v>
      </c>
      <c r="G2043" s="6">
        <v>9568</v>
      </c>
      <c r="H2043" s="6">
        <v>16704</v>
      </c>
      <c r="I2043" s="6">
        <v>6058</v>
      </c>
      <c r="J2043" s="6">
        <v>8149</v>
      </c>
      <c r="K2043" s="6">
        <v>10340</v>
      </c>
    </row>
    <row r="2044" spans="1:11" x14ac:dyDescent="0.2">
      <c r="A2044" s="1">
        <v>0.41805555555555601</v>
      </c>
      <c r="B2044" s="2">
        <v>6.21</v>
      </c>
      <c r="C2044" s="2">
        <v>3.83</v>
      </c>
      <c r="D2044" s="2">
        <v>4.96</v>
      </c>
      <c r="E2044" s="2">
        <v>5.0599999999999996</v>
      </c>
      <c r="F2044" s="2">
        <v>3.31</v>
      </c>
      <c r="G2044" s="6">
        <v>8861</v>
      </c>
      <c r="H2044" s="6">
        <v>16005</v>
      </c>
      <c r="I2044" s="6">
        <v>13276</v>
      </c>
      <c r="J2044" s="6">
        <v>9391</v>
      </c>
      <c r="K2044" s="6">
        <v>12425</v>
      </c>
    </row>
    <row r="2045" spans="1:11" x14ac:dyDescent="0.2">
      <c r="A2045" s="1">
        <v>0.41875000000000001</v>
      </c>
      <c r="B2045" s="2">
        <v>6.16</v>
      </c>
      <c r="C2045" s="2">
        <v>3.59</v>
      </c>
      <c r="D2045" s="2">
        <v>5.09</v>
      </c>
      <c r="E2045" s="2">
        <v>5.63</v>
      </c>
      <c r="F2045" s="2">
        <v>3.1</v>
      </c>
      <c r="G2045" s="6">
        <v>10415</v>
      </c>
      <c r="H2045" s="6">
        <v>12048</v>
      </c>
      <c r="I2045" s="6">
        <v>6946</v>
      </c>
      <c r="J2045" s="6">
        <v>10276</v>
      </c>
      <c r="K2045" s="6">
        <v>11281</v>
      </c>
    </row>
    <row r="2046" spans="1:11" x14ac:dyDescent="0.2">
      <c r="A2046" s="1">
        <v>0.41944444444444401</v>
      </c>
      <c r="B2046" s="2">
        <v>6.1499999999999995</v>
      </c>
      <c r="C2046" s="2">
        <v>3.68</v>
      </c>
      <c r="D2046" s="2">
        <v>5.2700000000000005</v>
      </c>
      <c r="E2046" s="2">
        <v>5.53</v>
      </c>
      <c r="F2046" s="2">
        <v>3.0300000000000002</v>
      </c>
      <c r="G2046" s="6">
        <v>6901</v>
      </c>
      <c r="H2046" s="6">
        <v>7755</v>
      </c>
      <c r="I2046" s="6">
        <v>8709</v>
      </c>
      <c r="J2046" s="6">
        <v>12058</v>
      </c>
      <c r="K2046" s="6">
        <v>13642</v>
      </c>
    </row>
    <row r="2047" spans="1:11" x14ac:dyDescent="0.2">
      <c r="A2047" s="1">
        <v>0.42013888888888901</v>
      </c>
      <c r="B2047" s="2">
        <v>6.22</v>
      </c>
      <c r="C2047" s="2">
        <v>3.63</v>
      </c>
      <c r="D2047" s="2">
        <v>5.2700000000000005</v>
      </c>
      <c r="E2047" s="2">
        <v>4.92</v>
      </c>
      <c r="F2047" s="2">
        <v>3.23</v>
      </c>
      <c r="G2047" s="6">
        <v>6879</v>
      </c>
      <c r="H2047" s="6">
        <v>16659</v>
      </c>
      <c r="I2047" s="6">
        <v>10672</v>
      </c>
      <c r="J2047" s="6">
        <v>8399</v>
      </c>
      <c r="K2047" s="6">
        <v>11150</v>
      </c>
    </row>
    <row r="2048" spans="1:11" x14ac:dyDescent="0.2">
      <c r="A2048" s="1">
        <v>0.420833333333333</v>
      </c>
      <c r="B2048" s="2">
        <v>6.17</v>
      </c>
      <c r="C2048" s="2">
        <v>3.6</v>
      </c>
      <c r="D2048" s="2">
        <v>5.04</v>
      </c>
      <c r="E2048" s="2">
        <v>4.97</v>
      </c>
      <c r="F2048" s="2">
        <v>3.2800000000000002</v>
      </c>
      <c r="G2048" s="6">
        <v>7422</v>
      </c>
      <c r="H2048" s="6">
        <v>14178</v>
      </c>
      <c r="I2048" s="6">
        <v>7593</v>
      </c>
      <c r="J2048" s="6">
        <v>8593</v>
      </c>
      <c r="K2048" s="6">
        <v>15439</v>
      </c>
    </row>
    <row r="2049" spans="1:11" x14ac:dyDescent="0.2">
      <c r="A2049" s="1">
        <v>0.421527777777778</v>
      </c>
      <c r="B2049" s="2">
        <v>6.21</v>
      </c>
      <c r="C2049" s="2">
        <v>3.58</v>
      </c>
      <c r="D2049" s="2">
        <v>5.37</v>
      </c>
      <c r="E2049" s="2">
        <v>5.07</v>
      </c>
      <c r="F2049" s="2">
        <v>3</v>
      </c>
      <c r="G2049" s="6">
        <v>10388</v>
      </c>
      <c r="H2049" s="6">
        <v>15637</v>
      </c>
      <c r="I2049" s="6">
        <v>9966</v>
      </c>
      <c r="J2049" s="6">
        <v>9549</v>
      </c>
      <c r="K2049" s="6">
        <v>9835</v>
      </c>
    </row>
    <row r="2050" spans="1:11" x14ac:dyDescent="0.2">
      <c r="A2050" s="1">
        <v>0.422222222222222</v>
      </c>
      <c r="B2050" s="2">
        <v>6.3</v>
      </c>
      <c r="C2050" s="2">
        <v>3.74</v>
      </c>
      <c r="D2050" s="2">
        <v>5.07</v>
      </c>
      <c r="E2050" s="2">
        <v>5.56</v>
      </c>
      <c r="F2050" s="2">
        <v>2.96</v>
      </c>
      <c r="G2050" s="6">
        <v>13445</v>
      </c>
      <c r="H2050" s="6">
        <v>15611</v>
      </c>
      <c r="I2050" s="6">
        <v>10374</v>
      </c>
      <c r="J2050" s="6">
        <v>11608</v>
      </c>
      <c r="K2050" s="6">
        <v>11764</v>
      </c>
    </row>
    <row r="2051" spans="1:11" x14ac:dyDescent="0.2">
      <c r="A2051" s="1">
        <v>0.422916666666667</v>
      </c>
      <c r="B2051" s="2">
        <v>6.1</v>
      </c>
      <c r="C2051" s="2">
        <v>3.63</v>
      </c>
      <c r="D2051" s="2">
        <v>5.12</v>
      </c>
      <c r="E2051" s="2">
        <v>4.93</v>
      </c>
      <c r="F2051" s="2">
        <v>3.02</v>
      </c>
      <c r="G2051" s="6">
        <v>13864</v>
      </c>
      <c r="H2051" s="6">
        <v>12352</v>
      </c>
      <c r="I2051" s="6">
        <v>9046</v>
      </c>
      <c r="J2051" s="6">
        <v>10010</v>
      </c>
      <c r="K2051" s="6">
        <v>15192</v>
      </c>
    </row>
    <row r="2052" spans="1:11" x14ac:dyDescent="0.2">
      <c r="A2052" s="1">
        <v>0.42361111111111099</v>
      </c>
      <c r="B2052" s="2">
        <v>6.1899999999999995</v>
      </c>
      <c r="C2052" s="2">
        <v>3.66</v>
      </c>
      <c r="D2052" s="2">
        <v>4.88</v>
      </c>
      <c r="E2052" s="2">
        <v>5.49</v>
      </c>
      <c r="F2052" s="2">
        <v>3.1100000000000003</v>
      </c>
      <c r="G2052" s="6">
        <v>13964</v>
      </c>
      <c r="H2052" s="6">
        <v>13360</v>
      </c>
      <c r="I2052" s="6">
        <v>12827</v>
      </c>
      <c r="J2052" s="6">
        <v>8432</v>
      </c>
      <c r="K2052" s="6">
        <v>9939</v>
      </c>
    </row>
    <row r="2053" spans="1:11" x14ac:dyDescent="0.2">
      <c r="A2053" s="1">
        <v>0.42430555555555599</v>
      </c>
      <c r="B2053" s="2">
        <v>6.1499999999999995</v>
      </c>
      <c r="C2053" s="2">
        <v>3.87</v>
      </c>
      <c r="D2053" s="2">
        <v>5.3</v>
      </c>
      <c r="E2053" s="2">
        <v>5.62</v>
      </c>
      <c r="F2053" s="2">
        <v>3.3400000000000003</v>
      </c>
      <c r="G2053" s="6">
        <v>6850</v>
      </c>
      <c r="H2053" s="6">
        <v>10090</v>
      </c>
      <c r="I2053" s="6">
        <v>12021</v>
      </c>
      <c r="J2053" s="6">
        <v>10201</v>
      </c>
      <c r="K2053" s="6">
        <v>15666</v>
      </c>
    </row>
    <row r="2054" spans="1:11" x14ac:dyDescent="0.2">
      <c r="A2054" s="1">
        <v>0.42499999999999999</v>
      </c>
      <c r="B2054" s="2">
        <v>6.3</v>
      </c>
      <c r="C2054" s="2">
        <v>3.59</v>
      </c>
      <c r="D2054" s="2">
        <v>5</v>
      </c>
      <c r="E2054" s="2">
        <v>4.9799999999999995</v>
      </c>
      <c r="F2054" s="2">
        <v>3.12</v>
      </c>
      <c r="G2054" s="6">
        <v>13031</v>
      </c>
      <c r="H2054" s="6">
        <v>7036</v>
      </c>
      <c r="I2054" s="6">
        <v>11570</v>
      </c>
      <c r="J2054" s="6">
        <v>10242</v>
      </c>
      <c r="K2054" s="6">
        <v>13391</v>
      </c>
    </row>
    <row r="2055" spans="1:11" x14ac:dyDescent="0.2">
      <c r="A2055" s="1">
        <v>0.42569444444444399</v>
      </c>
      <c r="B2055" s="2">
        <v>6.1899999999999995</v>
      </c>
      <c r="C2055" s="2">
        <v>3.83</v>
      </c>
      <c r="D2055" s="2">
        <v>5.3</v>
      </c>
      <c r="E2055" s="2">
        <v>5.07</v>
      </c>
      <c r="F2055" s="2">
        <v>3.37</v>
      </c>
      <c r="G2055" s="6">
        <v>6568</v>
      </c>
      <c r="H2055" s="6">
        <v>12688</v>
      </c>
      <c r="I2055" s="6">
        <v>10555</v>
      </c>
      <c r="J2055" s="6">
        <v>9068</v>
      </c>
      <c r="K2055" s="6">
        <v>13690</v>
      </c>
    </row>
    <row r="2056" spans="1:11" x14ac:dyDescent="0.2">
      <c r="A2056" s="1">
        <v>0.42638888888888898</v>
      </c>
      <c r="B2056" s="2">
        <v>6.28</v>
      </c>
      <c r="C2056" s="2">
        <v>3.61</v>
      </c>
      <c r="D2056" s="2">
        <v>5.03</v>
      </c>
      <c r="E2056" s="2">
        <v>5.05</v>
      </c>
      <c r="F2056" s="2">
        <v>2.91</v>
      </c>
      <c r="G2056" s="6">
        <v>11080</v>
      </c>
      <c r="H2056" s="6">
        <v>8204</v>
      </c>
      <c r="I2056" s="6">
        <v>11820</v>
      </c>
      <c r="J2056" s="6">
        <v>10012</v>
      </c>
      <c r="K2056" s="6">
        <v>13503</v>
      </c>
    </row>
    <row r="2057" spans="1:11" x14ac:dyDescent="0.2">
      <c r="A2057" s="1">
        <v>0.42708333333333298</v>
      </c>
      <c r="B2057" s="2">
        <v>6.21</v>
      </c>
      <c r="C2057" s="2">
        <v>3.7</v>
      </c>
      <c r="D2057" s="2">
        <v>4.95</v>
      </c>
      <c r="E2057" s="2">
        <v>4.99</v>
      </c>
      <c r="F2057" s="2">
        <v>3.16</v>
      </c>
      <c r="G2057" s="6">
        <v>13145</v>
      </c>
      <c r="H2057" s="6">
        <v>9499</v>
      </c>
      <c r="I2057" s="6">
        <v>6567</v>
      </c>
      <c r="J2057" s="6">
        <v>10280</v>
      </c>
      <c r="K2057" s="6">
        <v>9636</v>
      </c>
    </row>
    <row r="2058" spans="1:11" x14ac:dyDescent="0.2">
      <c r="A2058" s="1">
        <v>0.42777777777777798</v>
      </c>
      <c r="B2058" s="2">
        <v>6.24</v>
      </c>
      <c r="C2058" s="2">
        <v>3.67</v>
      </c>
      <c r="D2058" s="2">
        <v>5.36</v>
      </c>
      <c r="E2058" s="2">
        <v>4.9799999999999995</v>
      </c>
      <c r="F2058" s="2">
        <v>2.96</v>
      </c>
      <c r="G2058" s="6">
        <v>12180</v>
      </c>
      <c r="H2058" s="6">
        <v>7758</v>
      </c>
      <c r="I2058" s="6">
        <v>13633</v>
      </c>
      <c r="J2058" s="6">
        <v>9723</v>
      </c>
      <c r="K2058" s="6">
        <v>11975</v>
      </c>
    </row>
    <row r="2059" spans="1:11" x14ac:dyDescent="0.2">
      <c r="A2059" s="1">
        <v>0.42847222222222198</v>
      </c>
      <c r="B2059" s="2">
        <v>6.1099999999999994</v>
      </c>
      <c r="C2059" s="2">
        <v>3.73</v>
      </c>
      <c r="D2059" s="2">
        <v>5.36</v>
      </c>
      <c r="E2059" s="2">
        <v>5.16</v>
      </c>
      <c r="F2059" s="2">
        <v>2.89</v>
      </c>
      <c r="G2059" s="6">
        <v>9790</v>
      </c>
      <c r="H2059" s="6">
        <v>16262</v>
      </c>
      <c r="I2059" s="6">
        <v>7535</v>
      </c>
      <c r="J2059" s="6">
        <v>8194</v>
      </c>
      <c r="K2059" s="6">
        <v>12031</v>
      </c>
    </row>
    <row r="2060" spans="1:11" x14ac:dyDescent="0.2">
      <c r="A2060" s="1">
        <v>0.42916666666666697</v>
      </c>
      <c r="B2060" s="2">
        <v>6.3</v>
      </c>
      <c r="C2060" s="2">
        <v>3.58</v>
      </c>
      <c r="D2060" s="2">
        <v>5.09</v>
      </c>
      <c r="E2060" s="2">
        <v>5.32</v>
      </c>
      <c r="F2060" s="2">
        <v>3.12</v>
      </c>
      <c r="G2060" s="6">
        <v>10359</v>
      </c>
      <c r="H2060" s="6">
        <v>13940</v>
      </c>
      <c r="I2060" s="6">
        <v>13458</v>
      </c>
      <c r="J2060" s="6">
        <v>7932</v>
      </c>
      <c r="K2060" s="6">
        <v>15960</v>
      </c>
    </row>
    <row r="2061" spans="1:11" x14ac:dyDescent="0.2">
      <c r="A2061" s="1">
        <v>0.42986111111111103</v>
      </c>
      <c r="B2061" s="2">
        <v>6.33</v>
      </c>
      <c r="C2061" s="2">
        <v>3.61</v>
      </c>
      <c r="D2061" s="2">
        <v>5.16</v>
      </c>
      <c r="E2061" s="2">
        <v>5.61</v>
      </c>
      <c r="F2061" s="2">
        <v>3.14</v>
      </c>
      <c r="G2061" s="6">
        <v>8189</v>
      </c>
      <c r="H2061" s="6">
        <v>7687</v>
      </c>
      <c r="I2061" s="6">
        <v>9284</v>
      </c>
      <c r="J2061" s="6">
        <v>9903</v>
      </c>
      <c r="K2061" s="6">
        <v>11673</v>
      </c>
    </row>
    <row r="2062" spans="1:11" x14ac:dyDescent="0.2">
      <c r="A2062" s="1">
        <v>0.43055555555555602</v>
      </c>
      <c r="B2062" s="2">
        <v>6.2299999999999995</v>
      </c>
      <c r="C2062" s="2">
        <v>3.63</v>
      </c>
      <c r="D2062" s="2">
        <v>5.23</v>
      </c>
      <c r="E2062" s="2">
        <v>5.48</v>
      </c>
      <c r="F2062" s="2">
        <v>2.88</v>
      </c>
      <c r="G2062" s="6">
        <v>6777</v>
      </c>
      <c r="H2062" s="6">
        <v>11051</v>
      </c>
      <c r="I2062" s="6">
        <v>9774</v>
      </c>
      <c r="J2062" s="6">
        <v>9978</v>
      </c>
      <c r="K2062" s="6">
        <v>8939</v>
      </c>
    </row>
    <row r="2063" spans="1:11" x14ac:dyDescent="0.2">
      <c r="A2063" s="1">
        <v>0.43125000000000002</v>
      </c>
      <c r="B2063" s="2">
        <v>6.2</v>
      </c>
      <c r="C2063" s="2">
        <v>3.7</v>
      </c>
      <c r="D2063" s="2">
        <v>4.92</v>
      </c>
      <c r="E2063" s="2">
        <v>5.41</v>
      </c>
      <c r="F2063" s="2">
        <v>3.21</v>
      </c>
      <c r="G2063" s="6">
        <v>10135</v>
      </c>
      <c r="H2063" s="6">
        <v>15404</v>
      </c>
      <c r="I2063" s="6">
        <v>8335</v>
      </c>
      <c r="J2063" s="6">
        <v>11151</v>
      </c>
      <c r="K2063" s="6">
        <v>13763</v>
      </c>
    </row>
    <row r="2064" spans="1:11" x14ac:dyDescent="0.2">
      <c r="A2064" s="1">
        <v>0.43194444444444402</v>
      </c>
      <c r="B2064" s="2">
        <v>6.1499999999999995</v>
      </c>
      <c r="C2064" s="2">
        <v>3.87</v>
      </c>
      <c r="D2064" s="2">
        <v>4.99</v>
      </c>
      <c r="E2064" s="2">
        <v>5.37</v>
      </c>
      <c r="F2064" s="2">
        <v>3.13</v>
      </c>
      <c r="G2064" s="6">
        <v>6527</v>
      </c>
      <c r="H2064" s="6">
        <v>12774</v>
      </c>
      <c r="I2064" s="6">
        <v>12033</v>
      </c>
      <c r="J2064" s="6">
        <v>10805</v>
      </c>
      <c r="K2064" s="6">
        <v>12640</v>
      </c>
    </row>
    <row r="2065" spans="1:11" x14ac:dyDescent="0.2">
      <c r="A2065" s="1">
        <v>0.43263888888888902</v>
      </c>
      <c r="B2065" s="2">
        <v>6.26</v>
      </c>
      <c r="C2065" s="2">
        <v>3.75</v>
      </c>
      <c r="D2065" s="2">
        <v>5.2700000000000005</v>
      </c>
      <c r="E2065" s="2">
        <v>5.45</v>
      </c>
      <c r="F2065" s="2">
        <v>2.94</v>
      </c>
      <c r="G2065" s="6">
        <v>12737</v>
      </c>
      <c r="H2065" s="6">
        <v>14638</v>
      </c>
      <c r="I2065" s="6">
        <v>12729</v>
      </c>
      <c r="J2065" s="6">
        <v>10774</v>
      </c>
      <c r="K2065" s="6">
        <v>10473</v>
      </c>
    </row>
    <row r="2066" spans="1:11" x14ac:dyDescent="0.2">
      <c r="A2066" s="1">
        <v>0.43333333333333302</v>
      </c>
      <c r="B2066" s="2">
        <v>6.18</v>
      </c>
      <c r="C2066" s="2">
        <v>3.58</v>
      </c>
      <c r="D2066" s="2">
        <v>5.0600000000000005</v>
      </c>
      <c r="E2066" s="2">
        <v>5.43</v>
      </c>
      <c r="F2066" s="2">
        <v>3.1100000000000003</v>
      </c>
      <c r="G2066" s="6">
        <v>7399</v>
      </c>
      <c r="H2066" s="6">
        <v>13517</v>
      </c>
      <c r="I2066" s="6">
        <v>12386</v>
      </c>
      <c r="J2066" s="6">
        <v>10528</v>
      </c>
      <c r="K2066" s="6">
        <v>11035</v>
      </c>
    </row>
    <row r="2067" spans="1:11" x14ac:dyDescent="0.2">
      <c r="A2067" s="1">
        <v>0.43402777777777801</v>
      </c>
      <c r="B2067" s="2">
        <v>6.1099999999999994</v>
      </c>
      <c r="C2067" s="2">
        <v>3.69</v>
      </c>
      <c r="D2067" s="2">
        <v>5.05</v>
      </c>
      <c r="E2067" s="2">
        <v>5.14</v>
      </c>
      <c r="F2067" s="2">
        <v>3.24</v>
      </c>
      <c r="G2067" s="6">
        <v>11470</v>
      </c>
      <c r="H2067" s="6">
        <v>13179</v>
      </c>
      <c r="I2067" s="6">
        <v>13929</v>
      </c>
      <c r="J2067" s="6">
        <v>9829</v>
      </c>
      <c r="K2067" s="6">
        <v>13818</v>
      </c>
    </row>
    <row r="2068" spans="1:11" x14ac:dyDescent="0.2">
      <c r="A2068" s="1">
        <v>0.43472222222222201</v>
      </c>
      <c r="B2068" s="2">
        <v>6.1099999999999994</v>
      </c>
      <c r="C2068" s="2">
        <v>3.8600000000000003</v>
      </c>
      <c r="D2068" s="2">
        <v>5.34</v>
      </c>
      <c r="E2068" s="2">
        <v>5.4399999999999995</v>
      </c>
      <c r="F2068" s="2">
        <v>3.12</v>
      </c>
      <c r="G2068" s="6">
        <v>12631</v>
      </c>
      <c r="H2068" s="6">
        <v>16879</v>
      </c>
      <c r="I2068" s="6">
        <v>7234</v>
      </c>
      <c r="J2068" s="6">
        <v>10511</v>
      </c>
      <c r="K2068" s="6">
        <v>10012</v>
      </c>
    </row>
    <row r="2069" spans="1:11" x14ac:dyDescent="0.2">
      <c r="A2069" s="1">
        <v>0.43541666666666701</v>
      </c>
      <c r="B2069" s="2">
        <v>6.25</v>
      </c>
      <c r="C2069" s="2">
        <v>3.63</v>
      </c>
      <c r="D2069" s="2">
        <v>5.1400000000000006</v>
      </c>
      <c r="E2069" s="2">
        <v>5.45</v>
      </c>
      <c r="F2069" s="2">
        <v>2.93</v>
      </c>
      <c r="G2069" s="6">
        <v>10105</v>
      </c>
      <c r="H2069" s="6">
        <v>12618</v>
      </c>
      <c r="I2069" s="6">
        <v>9992</v>
      </c>
      <c r="J2069" s="6">
        <v>8074</v>
      </c>
      <c r="K2069" s="6">
        <v>12865</v>
      </c>
    </row>
    <row r="2070" spans="1:11" x14ac:dyDescent="0.2">
      <c r="A2070" s="1">
        <v>0.43611111111111101</v>
      </c>
      <c r="B2070" s="2">
        <v>6.3599999999999994</v>
      </c>
      <c r="C2070" s="2">
        <v>3.84</v>
      </c>
      <c r="D2070" s="2">
        <v>5.32</v>
      </c>
      <c r="E2070" s="2">
        <v>4.9399999999999995</v>
      </c>
      <c r="F2070" s="2">
        <v>3.3600000000000003</v>
      </c>
      <c r="G2070" s="6">
        <v>14262</v>
      </c>
      <c r="H2070" s="6">
        <v>12012</v>
      </c>
      <c r="I2070" s="6">
        <v>7181</v>
      </c>
      <c r="J2070" s="6">
        <v>8651</v>
      </c>
      <c r="K2070" s="6">
        <v>14813</v>
      </c>
    </row>
    <row r="2071" spans="1:11" x14ac:dyDescent="0.2">
      <c r="A2071" s="1">
        <v>0.436805555555556</v>
      </c>
      <c r="B2071" s="2">
        <v>6.26</v>
      </c>
      <c r="C2071" s="2">
        <v>3.8600000000000003</v>
      </c>
      <c r="D2071" s="2">
        <v>5.26</v>
      </c>
      <c r="E2071" s="2">
        <v>5.35</v>
      </c>
      <c r="F2071" s="2">
        <v>3.0100000000000002</v>
      </c>
      <c r="G2071" s="6">
        <v>13699</v>
      </c>
      <c r="H2071" s="6">
        <v>11897</v>
      </c>
      <c r="I2071" s="6">
        <v>13343</v>
      </c>
      <c r="J2071" s="6">
        <v>11581</v>
      </c>
      <c r="K2071" s="6">
        <v>15644</v>
      </c>
    </row>
    <row r="2072" spans="1:11" x14ac:dyDescent="0.2">
      <c r="A2072" s="1">
        <v>0.4375</v>
      </c>
      <c r="B2072" s="2">
        <v>6.13</v>
      </c>
      <c r="C2072" s="2">
        <v>3.87</v>
      </c>
      <c r="D2072" s="2">
        <v>4.87</v>
      </c>
      <c r="E2072" s="2">
        <v>5.1100000000000003</v>
      </c>
      <c r="F2072" s="2">
        <v>2.96</v>
      </c>
      <c r="G2072" s="6">
        <v>9789</v>
      </c>
      <c r="H2072" s="6">
        <v>9616</v>
      </c>
      <c r="I2072" s="6">
        <v>9509</v>
      </c>
      <c r="J2072" s="6">
        <v>9263</v>
      </c>
      <c r="K2072" s="6">
        <v>11071</v>
      </c>
    </row>
    <row r="2073" spans="1:11" x14ac:dyDescent="0.2">
      <c r="A2073" s="1">
        <v>0.438194444444444</v>
      </c>
      <c r="B2073" s="2">
        <v>6.2</v>
      </c>
      <c r="C2073" s="2">
        <v>3.62</v>
      </c>
      <c r="D2073" s="2">
        <v>5.2</v>
      </c>
      <c r="E2073" s="2">
        <v>4.96</v>
      </c>
      <c r="F2073" s="2">
        <v>2.91</v>
      </c>
      <c r="G2073" s="6">
        <v>9290</v>
      </c>
      <c r="H2073" s="6">
        <v>8148</v>
      </c>
      <c r="I2073" s="6">
        <v>12072</v>
      </c>
      <c r="J2073" s="6">
        <v>9618</v>
      </c>
      <c r="K2073" s="6">
        <v>14003</v>
      </c>
    </row>
    <row r="2074" spans="1:11" x14ac:dyDescent="0.2">
      <c r="A2074" s="1">
        <v>0.43888888888888899</v>
      </c>
      <c r="B2074" s="2">
        <v>6.21</v>
      </c>
      <c r="C2074" s="2">
        <v>3.65</v>
      </c>
      <c r="D2074" s="2">
        <v>5.28</v>
      </c>
      <c r="E2074" s="2">
        <v>5.3</v>
      </c>
      <c r="F2074" s="2">
        <v>2.96</v>
      </c>
      <c r="G2074" s="6">
        <v>11876</v>
      </c>
      <c r="H2074" s="6">
        <v>13523</v>
      </c>
      <c r="I2074" s="6">
        <v>9770</v>
      </c>
      <c r="J2074" s="6">
        <v>11716</v>
      </c>
      <c r="K2074" s="6">
        <v>15017</v>
      </c>
    </row>
    <row r="2075" spans="1:11" x14ac:dyDescent="0.2">
      <c r="A2075" s="1">
        <v>0.43958333333333299</v>
      </c>
      <c r="B2075" s="2">
        <v>6.29</v>
      </c>
      <c r="C2075" s="2">
        <v>3.74</v>
      </c>
      <c r="D2075" s="2">
        <v>5.13</v>
      </c>
      <c r="E2075" s="2">
        <v>4.9399999999999995</v>
      </c>
      <c r="F2075" s="2">
        <v>3.04</v>
      </c>
      <c r="G2075" s="6">
        <v>11258</v>
      </c>
      <c r="H2075" s="6">
        <v>14564</v>
      </c>
      <c r="I2075" s="6">
        <v>6261</v>
      </c>
      <c r="J2075" s="6">
        <v>10929</v>
      </c>
      <c r="K2075" s="6">
        <v>13381</v>
      </c>
    </row>
    <row r="2076" spans="1:11" x14ac:dyDescent="0.2">
      <c r="A2076" s="1">
        <v>0.44027777777777799</v>
      </c>
      <c r="B2076" s="2">
        <v>6.29</v>
      </c>
      <c r="C2076" s="2">
        <v>3.68</v>
      </c>
      <c r="D2076" s="2">
        <v>5.1000000000000005</v>
      </c>
      <c r="E2076" s="2">
        <v>5.2299999999999995</v>
      </c>
      <c r="F2076" s="2">
        <v>3.27</v>
      </c>
      <c r="G2076" s="6">
        <v>13049</v>
      </c>
      <c r="H2076" s="6">
        <v>13702</v>
      </c>
      <c r="I2076" s="6">
        <v>14055</v>
      </c>
      <c r="J2076" s="6">
        <v>8493</v>
      </c>
      <c r="K2076" s="6">
        <v>9933</v>
      </c>
    </row>
    <row r="2077" spans="1:11" x14ac:dyDescent="0.2">
      <c r="A2077" s="1">
        <v>0.44097222222222199</v>
      </c>
      <c r="B2077" s="2">
        <v>6.22</v>
      </c>
      <c r="C2077" s="2">
        <v>3.84</v>
      </c>
      <c r="D2077" s="2">
        <v>5.1100000000000003</v>
      </c>
      <c r="E2077" s="2">
        <v>5.24</v>
      </c>
      <c r="F2077" s="2">
        <v>3</v>
      </c>
      <c r="G2077" s="6">
        <v>13887</v>
      </c>
      <c r="H2077" s="6">
        <v>14037</v>
      </c>
      <c r="I2077" s="6">
        <v>8808</v>
      </c>
      <c r="J2077" s="6">
        <v>8106</v>
      </c>
      <c r="K2077" s="6">
        <v>13596</v>
      </c>
    </row>
    <row r="2078" spans="1:11" x14ac:dyDescent="0.2">
      <c r="A2078" s="1">
        <v>0.44166666666666698</v>
      </c>
      <c r="B2078" s="2">
        <v>6.1899999999999995</v>
      </c>
      <c r="C2078" s="2">
        <v>3.81</v>
      </c>
      <c r="D2078" s="2">
        <v>4.93</v>
      </c>
      <c r="E2078" s="2">
        <v>5.61</v>
      </c>
      <c r="F2078" s="2">
        <v>2.92</v>
      </c>
      <c r="G2078" s="6">
        <v>9715</v>
      </c>
      <c r="H2078" s="6">
        <v>16544</v>
      </c>
      <c r="I2078" s="6">
        <v>7256</v>
      </c>
      <c r="J2078" s="6">
        <v>11351</v>
      </c>
      <c r="K2078" s="6">
        <v>14825</v>
      </c>
    </row>
    <row r="2079" spans="1:11" x14ac:dyDescent="0.2">
      <c r="A2079" s="1">
        <v>0.44236111111111098</v>
      </c>
      <c r="B2079" s="2">
        <v>6.3599999999999994</v>
      </c>
      <c r="C2079" s="2">
        <v>3.58</v>
      </c>
      <c r="D2079" s="2">
        <v>5.12</v>
      </c>
      <c r="E2079" s="2">
        <v>5.03</v>
      </c>
      <c r="F2079" s="2">
        <v>3.17</v>
      </c>
      <c r="G2079" s="6">
        <v>11325</v>
      </c>
      <c r="H2079" s="6">
        <v>8206</v>
      </c>
      <c r="I2079" s="6">
        <v>10996</v>
      </c>
      <c r="J2079" s="6">
        <v>10360</v>
      </c>
      <c r="K2079" s="6">
        <v>12678</v>
      </c>
    </row>
    <row r="2080" spans="1:11" x14ac:dyDescent="0.2">
      <c r="A2080" s="1">
        <v>0.44305555555555598</v>
      </c>
      <c r="B2080" s="2">
        <v>6.16</v>
      </c>
      <c r="C2080" s="2">
        <v>3.58</v>
      </c>
      <c r="D2080" s="2">
        <v>4.96</v>
      </c>
      <c r="E2080" s="2">
        <v>5</v>
      </c>
      <c r="F2080" s="2">
        <v>2.99</v>
      </c>
      <c r="G2080" s="6">
        <v>7998</v>
      </c>
      <c r="H2080" s="6">
        <v>16891</v>
      </c>
      <c r="I2080" s="6">
        <v>10362</v>
      </c>
      <c r="J2080" s="6">
        <v>11922</v>
      </c>
      <c r="K2080" s="6">
        <v>10354</v>
      </c>
    </row>
    <row r="2081" spans="1:11" x14ac:dyDescent="0.2">
      <c r="A2081" s="1">
        <v>0.44374999999999998</v>
      </c>
      <c r="B2081" s="2">
        <v>6.16</v>
      </c>
      <c r="C2081" s="2">
        <v>3.81</v>
      </c>
      <c r="D2081" s="2">
        <v>5.15</v>
      </c>
      <c r="E2081" s="2">
        <v>5.29</v>
      </c>
      <c r="F2081" s="2">
        <v>3.13</v>
      </c>
      <c r="G2081" s="6">
        <v>10731</v>
      </c>
      <c r="H2081" s="6">
        <v>13268</v>
      </c>
      <c r="I2081" s="6">
        <v>7165</v>
      </c>
      <c r="J2081" s="6">
        <v>11193</v>
      </c>
      <c r="K2081" s="6">
        <v>11874</v>
      </c>
    </row>
    <row r="2082" spans="1:11" x14ac:dyDescent="0.2">
      <c r="A2082" s="1">
        <v>0.44444444444444398</v>
      </c>
      <c r="B2082" s="2">
        <v>6.12</v>
      </c>
      <c r="C2082" s="2">
        <v>3.69</v>
      </c>
      <c r="D2082" s="2">
        <v>5.01</v>
      </c>
      <c r="E2082" s="2">
        <v>5.36</v>
      </c>
      <c r="F2082" s="2">
        <v>3.19</v>
      </c>
      <c r="G2082" s="6">
        <v>14968</v>
      </c>
      <c r="H2082" s="6">
        <v>15775</v>
      </c>
      <c r="I2082" s="6">
        <v>10627</v>
      </c>
      <c r="J2082" s="6">
        <v>11048</v>
      </c>
      <c r="K2082" s="6">
        <v>15842</v>
      </c>
    </row>
    <row r="2083" spans="1:11" x14ac:dyDescent="0.2">
      <c r="A2083" s="1">
        <v>0.44513888888888897</v>
      </c>
      <c r="B2083" s="2">
        <v>6.31</v>
      </c>
      <c r="C2083" s="2">
        <v>3.71</v>
      </c>
      <c r="D2083" s="2">
        <v>4.88</v>
      </c>
      <c r="E2083" s="2">
        <v>5.54</v>
      </c>
      <c r="F2083" s="2">
        <v>3.16</v>
      </c>
      <c r="G2083" s="6">
        <v>10407</v>
      </c>
      <c r="H2083" s="6">
        <v>11960</v>
      </c>
      <c r="I2083" s="6">
        <v>7649</v>
      </c>
      <c r="J2083" s="6">
        <v>11665</v>
      </c>
      <c r="K2083" s="6">
        <v>9184</v>
      </c>
    </row>
    <row r="2084" spans="1:11" x14ac:dyDescent="0.2">
      <c r="A2084" s="1">
        <v>0.44583333333333303</v>
      </c>
      <c r="B2084" s="2">
        <v>6.3</v>
      </c>
      <c r="C2084" s="2">
        <v>3.7</v>
      </c>
      <c r="D2084" s="2">
        <v>5.2700000000000005</v>
      </c>
      <c r="E2084" s="2">
        <v>5.05</v>
      </c>
      <c r="F2084" s="2">
        <v>3.3600000000000003</v>
      </c>
      <c r="G2084" s="6">
        <v>12234</v>
      </c>
      <c r="H2084" s="6">
        <v>14231</v>
      </c>
      <c r="I2084" s="6">
        <v>10566</v>
      </c>
      <c r="J2084" s="6">
        <v>7904</v>
      </c>
      <c r="K2084" s="6">
        <v>9282</v>
      </c>
    </row>
    <row r="2085" spans="1:11" x14ac:dyDescent="0.2">
      <c r="A2085" s="1">
        <v>0.44652777777777802</v>
      </c>
      <c r="B2085" s="2">
        <v>6.33</v>
      </c>
      <c r="C2085" s="2">
        <v>3.59</v>
      </c>
      <c r="D2085" s="2">
        <v>5.1000000000000005</v>
      </c>
      <c r="E2085" s="2">
        <v>4.95</v>
      </c>
      <c r="F2085" s="2">
        <v>3.19</v>
      </c>
      <c r="G2085" s="6">
        <v>13292</v>
      </c>
      <c r="H2085" s="6">
        <v>8388</v>
      </c>
      <c r="I2085" s="6">
        <v>13071</v>
      </c>
      <c r="J2085" s="6">
        <v>11554</v>
      </c>
      <c r="K2085" s="6">
        <v>14774</v>
      </c>
    </row>
    <row r="2086" spans="1:11" x14ac:dyDescent="0.2">
      <c r="A2086" s="1">
        <v>0.44722222222222202</v>
      </c>
      <c r="B2086" s="2">
        <v>6.09</v>
      </c>
      <c r="C2086" s="2">
        <v>3.75</v>
      </c>
      <c r="D2086" s="2">
        <v>5.2</v>
      </c>
      <c r="E2086" s="2">
        <v>5.05</v>
      </c>
      <c r="F2086" s="2">
        <v>3.3200000000000003</v>
      </c>
      <c r="G2086" s="6">
        <v>7482</v>
      </c>
      <c r="H2086" s="6">
        <v>9409</v>
      </c>
      <c r="I2086" s="6">
        <v>8894</v>
      </c>
      <c r="J2086" s="6">
        <v>11237</v>
      </c>
      <c r="K2086" s="6">
        <v>9928</v>
      </c>
    </row>
    <row r="2087" spans="1:11" x14ac:dyDescent="0.2">
      <c r="A2087" s="1">
        <v>0.44791666666666702</v>
      </c>
      <c r="B2087" s="2">
        <v>6.3</v>
      </c>
      <c r="C2087" s="2">
        <v>3.6</v>
      </c>
      <c r="D2087" s="2">
        <v>5.32</v>
      </c>
      <c r="E2087" s="2">
        <v>5.6</v>
      </c>
      <c r="F2087" s="2">
        <v>2.95</v>
      </c>
      <c r="G2087" s="6">
        <v>8169</v>
      </c>
      <c r="H2087" s="6">
        <v>13766</v>
      </c>
      <c r="I2087" s="6">
        <v>8797</v>
      </c>
      <c r="J2087" s="6">
        <v>8376</v>
      </c>
      <c r="K2087" s="6">
        <v>13050</v>
      </c>
    </row>
    <row r="2088" spans="1:11" x14ac:dyDescent="0.2">
      <c r="A2088" s="1">
        <v>0.44861111111111102</v>
      </c>
      <c r="B2088" s="2">
        <v>6.09</v>
      </c>
      <c r="C2088" s="2">
        <v>3.64</v>
      </c>
      <c r="D2088" s="2">
        <v>5.1000000000000005</v>
      </c>
      <c r="E2088" s="2">
        <v>5.51</v>
      </c>
      <c r="F2088" s="2">
        <v>3.06</v>
      </c>
      <c r="G2088" s="6">
        <v>7594</v>
      </c>
      <c r="H2088" s="6">
        <v>11469</v>
      </c>
      <c r="I2088" s="6">
        <v>12995</v>
      </c>
      <c r="J2088" s="6">
        <v>9575</v>
      </c>
      <c r="K2088" s="6">
        <v>11699</v>
      </c>
    </row>
    <row r="2089" spans="1:11" x14ac:dyDescent="0.2">
      <c r="A2089" s="1">
        <v>0.44930555555555601</v>
      </c>
      <c r="B2089" s="2">
        <v>6.1</v>
      </c>
      <c r="C2089" s="2">
        <v>3.8200000000000003</v>
      </c>
      <c r="D2089" s="2">
        <v>5.35</v>
      </c>
      <c r="E2089" s="2">
        <v>5.41</v>
      </c>
      <c r="F2089" s="2">
        <v>3.33</v>
      </c>
      <c r="G2089" s="6">
        <v>10886</v>
      </c>
      <c r="H2089" s="6">
        <v>11303</v>
      </c>
      <c r="I2089" s="6">
        <v>6980</v>
      </c>
      <c r="J2089" s="6">
        <v>10407</v>
      </c>
      <c r="K2089" s="6">
        <v>11496</v>
      </c>
    </row>
    <row r="2090" spans="1:11" x14ac:dyDescent="0.2">
      <c r="A2090" s="1">
        <v>0.45</v>
      </c>
      <c r="B2090" s="2">
        <v>6.3599999999999994</v>
      </c>
      <c r="C2090" s="2">
        <v>3.58</v>
      </c>
      <c r="D2090" s="2">
        <v>4.87</v>
      </c>
      <c r="E2090" s="2">
        <v>5.49</v>
      </c>
      <c r="F2090" s="2">
        <v>3.24</v>
      </c>
      <c r="G2090" s="6">
        <v>13290</v>
      </c>
      <c r="H2090" s="6">
        <v>9006</v>
      </c>
      <c r="I2090" s="6">
        <v>8948</v>
      </c>
      <c r="J2090" s="6">
        <v>8534</v>
      </c>
      <c r="K2090" s="6">
        <v>9688</v>
      </c>
    </row>
    <row r="2091" spans="1:11" x14ac:dyDescent="0.2">
      <c r="A2091" s="1">
        <v>0.45069444444444401</v>
      </c>
      <c r="B2091" s="2">
        <v>6.32</v>
      </c>
      <c r="C2091" s="2">
        <v>3.7800000000000002</v>
      </c>
      <c r="D2091" s="2">
        <v>5.18</v>
      </c>
      <c r="E2091" s="2">
        <v>5.51</v>
      </c>
      <c r="F2091" s="2">
        <v>2.93</v>
      </c>
      <c r="G2091" s="6">
        <v>14690</v>
      </c>
      <c r="H2091" s="6">
        <v>13268</v>
      </c>
      <c r="I2091" s="6">
        <v>6841</v>
      </c>
      <c r="J2091" s="6">
        <v>9826</v>
      </c>
      <c r="K2091" s="6">
        <v>9011</v>
      </c>
    </row>
    <row r="2092" spans="1:11" x14ac:dyDescent="0.2">
      <c r="A2092" s="1">
        <v>0.45138888888888901</v>
      </c>
      <c r="B2092" s="2">
        <v>6.17</v>
      </c>
      <c r="C2092" s="2">
        <v>3.79</v>
      </c>
      <c r="D2092" s="2">
        <v>4.95</v>
      </c>
      <c r="E2092" s="2">
        <v>5.1899999999999995</v>
      </c>
      <c r="F2092" s="2">
        <v>3.04</v>
      </c>
      <c r="G2092" s="6">
        <v>14775</v>
      </c>
      <c r="H2092" s="6">
        <v>10313</v>
      </c>
      <c r="I2092" s="6">
        <v>9611</v>
      </c>
      <c r="J2092" s="6">
        <v>8841</v>
      </c>
      <c r="K2092" s="6">
        <v>10481</v>
      </c>
    </row>
    <row r="2093" spans="1:11" x14ac:dyDescent="0.2">
      <c r="A2093" s="1">
        <v>0.452083333333333</v>
      </c>
      <c r="B2093" s="2">
        <v>6.3599999999999994</v>
      </c>
      <c r="C2093" s="2">
        <v>3.74</v>
      </c>
      <c r="D2093" s="2">
        <v>5.0600000000000005</v>
      </c>
      <c r="E2093" s="2">
        <v>5.5</v>
      </c>
      <c r="F2093" s="2">
        <v>3.23</v>
      </c>
      <c r="G2093" s="6">
        <v>7691</v>
      </c>
      <c r="H2093" s="6">
        <v>14945</v>
      </c>
      <c r="I2093" s="6">
        <v>13523</v>
      </c>
      <c r="J2093" s="6">
        <v>11583</v>
      </c>
      <c r="K2093" s="6">
        <v>12823</v>
      </c>
    </row>
    <row r="2094" spans="1:11" x14ac:dyDescent="0.2">
      <c r="A2094" s="1">
        <v>0.452777777777778</v>
      </c>
      <c r="B2094" s="2">
        <v>6.1099999999999994</v>
      </c>
      <c r="C2094" s="2">
        <v>3.7</v>
      </c>
      <c r="D2094" s="2">
        <v>5.04</v>
      </c>
      <c r="E2094" s="2">
        <v>5.18</v>
      </c>
      <c r="F2094" s="2">
        <v>3.06</v>
      </c>
      <c r="G2094" s="6">
        <v>13832</v>
      </c>
      <c r="H2094" s="6">
        <v>10510</v>
      </c>
      <c r="I2094" s="6">
        <v>10597</v>
      </c>
      <c r="J2094" s="6">
        <v>9173</v>
      </c>
      <c r="K2094" s="6">
        <v>14534</v>
      </c>
    </row>
    <row r="2095" spans="1:11" x14ac:dyDescent="0.2">
      <c r="A2095" s="1">
        <v>0.453472222222222</v>
      </c>
      <c r="B2095" s="2">
        <v>6.1499999999999995</v>
      </c>
      <c r="C2095" s="2">
        <v>3.58</v>
      </c>
      <c r="D2095" s="2">
        <v>5.37</v>
      </c>
      <c r="E2095" s="2">
        <v>5.31</v>
      </c>
      <c r="F2095" s="2">
        <v>2.87</v>
      </c>
      <c r="G2095" s="6">
        <v>7334</v>
      </c>
      <c r="H2095" s="6">
        <v>15508</v>
      </c>
      <c r="I2095" s="6">
        <v>7059</v>
      </c>
      <c r="J2095" s="6">
        <v>9587</v>
      </c>
      <c r="K2095" s="6">
        <v>14019</v>
      </c>
    </row>
    <row r="2096" spans="1:11" x14ac:dyDescent="0.2">
      <c r="A2096" s="1">
        <v>0.454166666666667</v>
      </c>
      <c r="B2096" s="2">
        <v>6.17</v>
      </c>
      <c r="C2096" s="2">
        <v>3.64</v>
      </c>
      <c r="D2096" s="2">
        <v>4.9400000000000004</v>
      </c>
      <c r="E2096" s="2">
        <v>5.04</v>
      </c>
      <c r="F2096" s="2">
        <v>2.98</v>
      </c>
      <c r="G2096" s="6">
        <v>12415</v>
      </c>
      <c r="H2096" s="6">
        <v>17016</v>
      </c>
      <c r="I2096" s="6">
        <v>12283</v>
      </c>
      <c r="J2096" s="6">
        <v>9985</v>
      </c>
      <c r="K2096" s="6">
        <v>12291</v>
      </c>
    </row>
    <row r="2097" spans="1:11" x14ac:dyDescent="0.2">
      <c r="A2097" s="1">
        <v>0.45486111111111099</v>
      </c>
      <c r="B2097" s="2">
        <v>6.31</v>
      </c>
      <c r="C2097" s="2">
        <v>3.77</v>
      </c>
      <c r="D2097" s="2">
        <v>5.03</v>
      </c>
      <c r="E2097" s="2">
        <v>5.42</v>
      </c>
      <c r="F2097" s="2">
        <v>3.24</v>
      </c>
      <c r="G2097" s="6">
        <v>11386</v>
      </c>
      <c r="H2097" s="6">
        <v>8977</v>
      </c>
      <c r="I2097" s="6">
        <v>5984</v>
      </c>
      <c r="J2097" s="6">
        <v>7960</v>
      </c>
      <c r="K2097" s="6">
        <v>10270</v>
      </c>
    </row>
    <row r="2098" spans="1:11" x14ac:dyDescent="0.2">
      <c r="A2098" s="1">
        <v>0.45555555555555599</v>
      </c>
      <c r="B2098" s="2">
        <v>6.29</v>
      </c>
      <c r="C2098" s="2">
        <v>3.74</v>
      </c>
      <c r="D2098" s="2">
        <v>4.87</v>
      </c>
      <c r="E2098" s="2">
        <v>5.03</v>
      </c>
      <c r="F2098" s="2">
        <v>3.13</v>
      </c>
      <c r="G2098" s="6">
        <v>15098</v>
      </c>
      <c r="H2098" s="6">
        <v>9311</v>
      </c>
      <c r="I2098" s="6">
        <v>8789</v>
      </c>
      <c r="J2098" s="6">
        <v>8617</v>
      </c>
      <c r="K2098" s="6">
        <v>15399</v>
      </c>
    </row>
    <row r="2099" spans="1:11" x14ac:dyDescent="0.2">
      <c r="A2099" s="1">
        <v>0.45624999999999999</v>
      </c>
      <c r="B2099" s="2">
        <v>6.1899999999999995</v>
      </c>
      <c r="C2099" s="2">
        <v>3.7600000000000002</v>
      </c>
      <c r="D2099" s="2">
        <v>5.2700000000000005</v>
      </c>
      <c r="E2099" s="2">
        <v>5.01</v>
      </c>
      <c r="F2099" s="2">
        <v>3.02</v>
      </c>
      <c r="G2099" s="6">
        <v>12490</v>
      </c>
      <c r="H2099" s="6">
        <v>16832</v>
      </c>
      <c r="I2099" s="6">
        <v>12582</v>
      </c>
      <c r="J2099" s="6">
        <v>11718</v>
      </c>
      <c r="K2099" s="6">
        <v>11557</v>
      </c>
    </row>
    <row r="2100" spans="1:11" x14ac:dyDescent="0.2">
      <c r="A2100" s="1">
        <v>0.45694444444444399</v>
      </c>
      <c r="B2100" s="2">
        <v>6.1099999999999994</v>
      </c>
      <c r="C2100" s="2">
        <v>3.79</v>
      </c>
      <c r="D2100" s="2">
        <v>5.19</v>
      </c>
      <c r="E2100" s="2">
        <v>5.5</v>
      </c>
      <c r="F2100" s="2">
        <v>3.18</v>
      </c>
      <c r="G2100" s="6">
        <v>7329</v>
      </c>
      <c r="H2100" s="6">
        <v>12094</v>
      </c>
      <c r="I2100" s="6">
        <v>14232</v>
      </c>
      <c r="J2100" s="6">
        <v>12012</v>
      </c>
      <c r="K2100" s="6">
        <v>13761</v>
      </c>
    </row>
    <row r="2101" spans="1:11" x14ac:dyDescent="0.2">
      <c r="A2101" s="1">
        <v>0.45763888888888898</v>
      </c>
      <c r="B2101" s="2">
        <v>6.12</v>
      </c>
      <c r="C2101" s="2">
        <v>3.7</v>
      </c>
      <c r="D2101" s="2">
        <v>5.1000000000000005</v>
      </c>
      <c r="E2101" s="2">
        <v>5.54</v>
      </c>
      <c r="F2101" s="2">
        <v>2.91</v>
      </c>
      <c r="G2101" s="6">
        <v>15213</v>
      </c>
      <c r="H2101" s="6">
        <v>8453</v>
      </c>
      <c r="I2101" s="6">
        <v>13582</v>
      </c>
      <c r="J2101" s="6">
        <v>8249</v>
      </c>
      <c r="K2101" s="6">
        <v>10722</v>
      </c>
    </row>
    <row r="2102" spans="1:11" x14ac:dyDescent="0.2">
      <c r="A2102" s="3">
        <v>0.45833333333333298</v>
      </c>
      <c r="B2102" s="2">
        <v>6.21</v>
      </c>
      <c r="C2102" s="2">
        <v>3.74</v>
      </c>
      <c r="D2102" s="2">
        <v>5.1100000000000003</v>
      </c>
      <c r="E2102" s="2">
        <v>5.32</v>
      </c>
      <c r="F2102" s="2">
        <v>3.18</v>
      </c>
      <c r="G2102" s="6">
        <v>14212</v>
      </c>
      <c r="H2102" s="6">
        <v>16312</v>
      </c>
      <c r="I2102" s="6">
        <v>13312</v>
      </c>
      <c r="J2102" s="6">
        <v>11345</v>
      </c>
      <c r="K2102" s="6">
        <v>14823</v>
      </c>
    </row>
    <row r="2103" spans="1:11" x14ac:dyDescent="0.2">
      <c r="A2103" s="1">
        <v>0.45902777777777798</v>
      </c>
      <c r="B2103" s="2">
        <v>6.17</v>
      </c>
      <c r="C2103" s="2">
        <v>3.7800000000000002</v>
      </c>
      <c r="D2103" s="2">
        <v>5.28</v>
      </c>
      <c r="E2103" s="2">
        <v>5.33</v>
      </c>
      <c r="F2103" s="2">
        <v>3.0100000000000002</v>
      </c>
      <c r="G2103" s="6">
        <v>13055</v>
      </c>
      <c r="H2103" s="6">
        <v>14359</v>
      </c>
      <c r="I2103" s="6">
        <v>12663</v>
      </c>
      <c r="J2103" s="6">
        <v>10061</v>
      </c>
      <c r="K2103" s="6">
        <v>10205</v>
      </c>
    </row>
    <row r="2104" spans="1:11" x14ac:dyDescent="0.2">
      <c r="A2104" s="1">
        <v>0.45972222222222198</v>
      </c>
      <c r="B2104" s="2">
        <v>6.29</v>
      </c>
      <c r="C2104" s="2">
        <v>3.8600000000000003</v>
      </c>
      <c r="D2104" s="2">
        <v>4.91</v>
      </c>
      <c r="E2104" s="2">
        <v>5.36</v>
      </c>
      <c r="F2104" s="2">
        <v>3.16</v>
      </c>
      <c r="G2104" s="6">
        <v>15627</v>
      </c>
      <c r="H2104" s="6">
        <v>11123</v>
      </c>
      <c r="I2104" s="6">
        <v>11793</v>
      </c>
      <c r="J2104" s="6">
        <v>8084</v>
      </c>
      <c r="K2104" s="6">
        <v>8217</v>
      </c>
    </row>
    <row r="2105" spans="1:11" x14ac:dyDescent="0.2">
      <c r="A2105" s="1">
        <v>0.46041666666666697</v>
      </c>
      <c r="B2105" s="2">
        <v>6.09</v>
      </c>
      <c r="C2105" s="2">
        <v>3.8200000000000003</v>
      </c>
      <c r="D2105" s="2">
        <v>5.13</v>
      </c>
      <c r="E2105" s="2">
        <v>5.12</v>
      </c>
      <c r="F2105" s="2">
        <v>3.06</v>
      </c>
      <c r="G2105" s="6">
        <v>10836</v>
      </c>
      <c r="H2105" s="6">
        <v>10753</v>
      </c>
      <c r="I2105" s="6">
        <v>11334</v>
      </c>
      <c r="J2105" s="6">
        <v>10634</v>
      </c>
      <c r="K2105" s="6">
        <v>8274</v>
      </c>
    </row>
    <row r="2106" spans="1:11" x14ac:dyDescent="0.2">
      <c r="A2106" s="1">
        <v>0.46111111111111103</v>
      </c>
      <c r="B2106" s="2">
        <v>6.12</v>
      </c>
      <c r="C2106" s="2">
        <v>3.65</v>
      </c>
      <c r="D2106" s="2">
        <v>4.87</v>
      </c>
      <c r="E2106" s="2">
        <v>5.5600000000000005</v>
      </c>
      <c r="F2106" s="2">
        <v>3.0700000000000003</v>
      </c>
      <c r="G2106" s="6">
        <v>14447</v>
      </c>
      <c r="H2106" s="6">
        <v>13979</v>
      </c>
      <c r="I2106" s="6">
        <v>12563</v>
      </c>
      <c r="J2106" s="6">
        <v>8708</v>
      </c>
      <c r="K2106" s="6">
        <v>9257</v>
      </c>
    </row>
    <row r="2107" spans="1:11" x14ac:dyDescent="0.2">
      <c r="A2107" s="1">
        <v>0.46180555555555602</v>
      </c>
      <c r="B2107" s="2">
        <v>6.33</v>
      </c>
      <c r="C2107" s="2">
        <v>3.62</v>
      </c>
      <c r="D2107" s="2">
        <v>5.2700000000000005</v>
      </c>
      <c r="E2107" s="2">
        <v>5.19</v>
      </c>
      <c r="F2107" s="2">
        <v>3.17</v>
      </c>
      <c r="G2107" s="6">
        <v>10054</v>
      </c>
      <c r="H2107" s="6">
        <v>14515</v>
      </c>
      <c r="I2107" s="6">
        <v>11581</v>
      </c>
      <c r="J2107" s="6">
        <v>10581</v>
      </c>
      <c r="K2107" s="6">
        <v>9561</v>
      </c>
    </row>
    <row r="2108" spans="1:11" x14ac:dyDescent="0.2">
      <c r="A2108" s="1">
        <v>0.46250000000000002</v>
      </c>
      <c r="B2108" s="2">
        <v>6.28</v>
      </c>
      <c r="C2108" s="2">
        <v>3.67</v>
      </c>
      <c r="D2108" s="2">
        <v>5.1400000000000006</v>
      </c>
      <c r="E2108" s="2">
        <v>5.0600000000000005</v>
      </c>
      <c r="F2108" s="2">
        <v>2.99</v>
      </c>
      <c r="G2108" s="6">
        <v>11472</v>
      </c>
      <c r="H2108" s="6">
        <v>12696</v>
      </c>
      <c r="I2108" s="6">
        <v>9959</v>
      </c>
      <c r="J2108" s="6">
        <v>10171</v>
      </c>
      <c r="K2108" s="6">
        <v>14557</v>
      </c>
    </row>
    <row r="2109" spans="1:11" x14ac:dyDescent="0.2">
      <c r="A2109" s="1">
        <v>0.46319444444444402</v>
      </c>
      <c r="B2109" s="2">
        <v>6.2</v>
      </c>
      <c r="C2109" s="2">
        <v>3.8000000000000003</v>
      </c>
      <c r="D2109" s="2">
        <v>4.9800000000000004</v>
      </c>
      <c r="E2109" s="2">
        <v>5.5900000000000007</v>
      </c>
      <c r="F2109" s="2">
        <v>3.25</v>
      </c>
      <c r="G2109" s="6">
        <v>13468</v>
      </c>
      <c r="H2109" s="6">
        <v>13775</v>
      </c>
      <c r="I2109" s="6">
        <v>12719</v>
      </c>
      <c r="J2109" s="6">
        <v>11120</v>
      </c>
      <c r="K2109" s="6">
        <v>13636</v>
      </c>
    </row>
    <row r="2110" spans="1:11" x14ac:dyDescent="0.2">
      <c r="A2110" s="1">
        <v>0.46388888888888902</v>
      </c>
      <c r="B2110" s="2">
        <v>6.21</v>
      </c>
      <c r="C2110" s="2">
        <v>3.74</v>
      </c>
      <c r="D2110" s="2">
        <v>5.2700000000000005</v>
      </c>
      <c r="E2110" s="2">
        <v>5.62</v>
      </c>
      <c r="F2110" s="2">
        <v>3.02</v>
      </c>
      <c r="G2110" s="6">
        <v>12195</v>
      </c>
      <c r="H2110" s="6">
        <v>14045</v>
      </c>
      <c r="I2110" s="6">
        <v>11725</v>
      </c>
      <c r="J2110" s="6">
        <v>8856</v>
      </c>
      <c r="K2110" s="6">
        <v>14942</v>
      </c>
    </row>
    <row r="2111" spans="1:11" x14ac:dyDescent="0.2">
      <c r="A2111" s="1">
        <v>0.46458333333333302</v>
      </c>
      <c r="B2111" s="2">
        <v>6.26</v>
      </c>
      <c r="C2111" s="2">
        <v>3.59</v>
      </c>
      <c r="D2111" s="2">
        <v>4.87</v>
      </c>
      <c r="E2111" s="2">
        <v>5.5600000000000005</v>
      </c>
      <c r="F2111" s="2">
        <v>2.96</v>
      </c>
      <c r="G2111" s="6">
        <v>14196</v>
      </c>
      <c r="H2111" s="6">
        <v>13114</v>
      </c>
      <c r="I2111" s="6">
        <v>10593</v>
      </c>
      <c r="J2111" s="6">
        <v>10521</v>
      </c>
      <c r="K2111" s="6">
        <v>14942</v>
      </c>
    </row>
    <row r="2112" spans="1:11" x14ac:dyDescent="0.2">
      <c r="A2112" s="1">
        <v>0.46527777777777801</v>
      </c>
      <c r="B2112" s="2">
        <v>6.21</v>
      </c>
      <c r="C2112" s="2">
        <v>3.62</v>
      </c>
      <c r="D2112" s="2">
        <v>5.12</v>
      </c>
      <c r="E2112" s="2">
        <v>5.2700000000000005</v>
      </c>
      <c r="F2112" s="2">
        <v>3.24</v>
      </c>
      <c r="G2112" s="6">
        <v>14844</v>
      </c>
      <c r="H2112" s="6">
        <v>15885</v>
      </c>
      <c r="I2112" s="6">
        <v>9233</v>
      </c>
      <c r="J2112" s="6">
        <v>10243</v>
      </c>
      <c r="K2112" s="6">
        <v>11694</v>
      </c>
    </row>
    <row r="2113" spans="1:11" x14ac:dyDescent="0.2">
      <c r="A2113" s="1">
        <v>0.46597222222222201</v>
      </c>
      <c r="B2113" s="2">
        <v>6.22</v>
      </c>
      <c r="C2113" s="2">
        <v>3.8000000000000003</v>
      </c>
      <c r="D2113" s="2">
        <v>5.22</v>
      </c>
      <c r="E2113" s="2">
        <v>5.24</v>
      </c>
      <c r="F2113" s="2">
        <v>3.21</v>
      </c>
      <c r="G2113" s="6">
        <v>14816</v>
      </c>
      <c r="H2113" s="6">
        <v>14959</v>
      </c>
      <c r="I2113" s="6">
        <v>11768</v>
      </c>
      <c r="J2113" s="6">
        <v>8109</v>
      </c>
      <c r="K2113" s="6">
        <v>12832</v>
      </c>
    </row>
    <row r="2114" spans="1:11" x14ac:dyDescent="0.2">
      <c r="A2114" s="1">
        <v>0.46666666666666701</v>
      </c>
      <c r="B2114" s="2">
        <v>6.1899999999999995</v>
      </c>
      <c r="C2114" s="2">
        <v>3.66</v>
      </c>
      <c r="D2114" s="2">
        <v>5.1400000000000006</v>
      </c>
      <c r="E2114" s="2">
        <v>5.24</v>
      </c>
      <c r="F2114" s="2">
        <v>3.25</v>
      </c>
      <c r="G2114" s="6">
        <v>13521</v>
      </c>
      <c r="H2114" s="6">
        <v>10596</v>
      </c>
      <c r="I2114" s="6">
        <v>9772</v>
      </c>
      <c r="J2114" s="6">
        <v>10667</v>
      </c>
      <c r="K2114" s="6">
        <v>11507</v>
      </c>
    </row>
    <row r="2115" spans="1:11" x14ac:dyDescent="0.2">
      <c r="A2115" s="1">
        <v>0.46736111111111101</v>
      </c>
      <c r="B2115" s="2">
        <v>6.22</v>
      </c>
      <c r="C2115" s="2">
        <v>3.85</v>
      </c>
      <c r="D2115" s="2">
        <v>5.1000000000000005</v>
      </c>
      <c r="E2115" s="2">
        <v>4.9800000000000004</v>
      </c>
      <c r="F2115" s="2">
        <v>3.14</v>
      </c>
      <c r="G2115" s="6">
        <v>14786</v>
      </c>
      <c r="H2115" s="6">
        <v>12365</v>
      </c>
      <c r="I2115" s="6">
        <v>11518</v>
      </c>
      <c r="J2115" s="6">
        <v>11144</v>
      </c>
      <c r="K2115" s="6">
        <v>8761</v>
      </c>
    </row>
    <row r="2116" spans="1:11" x14ac:dyDescent="0.2">
      <c r="A2116" s="1">
        <v>0.468055555555556</v>
      </c>
      <c r="B2116" s="2">
        <v>6.12</v>
      </c>
      <c r="C2116" s="2">
        <v>3.81</v>
      </c>
      <c r="D2116" s="2">
        <v>5.0600000000000005</v>
      </c>
      <c r="E2116" s="2">
        <v>5.4600000000000009</v>
      </c>
      <c r="F2116" s="2">
        <v>2.88</v>
      </c>
      <c r="G2116" s="6">
        <v>13683</v>
      </c>
      <c r="H2116" s="6">
        <v>15983</v>
      </c>
      <c r="I2116" s="6">
        <v>12229</v>
      </c>
      <c r="J2116" s="6">
        <v>7891</v>
      </c>
      <c r="K2116" s="6">
        <v>9854</v>
      </c>
    </row>
    <row r="2117" spans="1:11" x14ac:dyDescent="0.2">
      <c r="A2117" s="1">
        <v>0.46875</v>
      </c>
      <c r="B2117" s="2">
        <v>6.27</v>
      </c>
      <c r="C2117" s="2">
        <v>3.68</v>
      </c>
      <c r="D2117" s="2">
        <v>5.25</v>
      </c>
      <c r="E2117" s="2">
        <v>5.41</v>
      </c>
      <c r="F2117" s="2">
        <v>2.89</v>
      </c>
      <c r="G2117" s="6">
        <v>11696</v>
      </c>
      <c r="H2117" s="6">
        <v>10321</v>
      </c>
      <c r="I2117" s="6">
        <v>12577</v>
      </c>
      <c r="J2117" s="6">
        <v>9329</v>
      </c>
      <c r="K2117" s="6">
        <v>9658</v>
      </c>
    </row>
    <row r="2118" spans="1:11" x14ac:dyDescent="0.2">
      <c r="A2118" s="1">
        <v>0.469444444444444</v>
      </c>
      <c r="B2118" s="2">
        <v>6.17</v>
      </c>
      <c r="C2118" s="2">
        <v>3.62</v>
      </c>
      <c r="D2118" s="2">
        <v>5.2</v>
      </c>
      <c r="E2118" s="2">
        <v>5.4</v>
      </c>
      <c r="F2118" s="2">
        <v>3.29</v>
      </c>
      <c r="G2118" s="6">
        <v>12468</v>
      </c>
      <c r="H2118" s="6">
        <v>14431</v>
      </c>
      <c r="I2118" s="6">
        <v>10217</v>
      </c>
      <c r="J2118" s="6">
        <v>8907</v>
      </c>
      <c r="K2118" s="6">
        <v>13085</v>
      </c>
    </row>
    <row r="2119" spans="1:11" x14ac:dyDescent="0.2">
      <c r="A2119" s="1">
        <v>0.47013888888888899</v>
      </c>
      <c r="B2119" s="2">
        <v>6.22</v>
      </c>
      <c r="C2119" s="2">
        <v>3.71</v>
      </c>
      <c r="D2119" s="2">
        <v>5.1000000000000005</v>
      </c>
      <c r="E2119" s="2">
        <v>5.41</v>
      </c>
      <c r="F2119" s="2">
        <v>3.3200000000000003</v>
      </c>
      <c r="G2119" s="6">
        <v>12597</v>
      </c>
      <c r="H2119" s="6">
        <v>14150</v>
      </c>
      <c r="I2119" s="6">
        <v>13172</v>
      </c>
      <c r="J2119" s="6">
        <v>7604</v>
      </c>
      <c r="K2119" s="6">
        <v>8165</v>
      </c>
    </row>
    <row r="2120" spans="1:11" x14ac:dyDescent="0.2">
      <c r="A2120" s="1">
        <v>0.47083333333333299</v>
      </c>
      <c r="B2120" s="2">
        <v>6.35</v>
      </c>
      <c r="C2120" s="2">
        <v>3.85</v>
      </c>
      <c r="D2120" s="2">
        <v>5.08</v>
      </c>
      <c r="E2120" s="2">
        <v>5.08</v>
      </c>
      <c r="F2120" s="2">
        <v>3.2</v>
      </c>
      <c r="G2120" s="6">
        <v>12436</v>
      </c>
      <c r="H2120" s="6">
        <v>15440</v>
      </c>
      <c r="I2120" s="6">
        <v>9908</v>
      </c>
      <c r="J2120" s="6">
        <v>8548</v>
      </c>
      <c r="K2120" s="6">
        <v>8190</v>
      </c>
    </row>
    <row r="2121" spans="1:11" x14ac:dyDescent="0.2">
      <c r="A2121" s="1">
        <v>0.47152777777777799</v>
      </c>
      <c r="B2121" s="2">
        <v>6.14</v>
      </c>
      <c r="C2121" s="2">
        <v>3.59</v>
      </c>
      <c r="D2121" s="2">
        <v>5.19</v>
      </c>
      <c r="E2121" s="2">
        <v>5.41</v>
      </c>
      <c r="F2121" s="2">
        <v>3.19</v>
      </c>
      <c r="G2121" s="6">
        <v>15023</v>
      </c>
      <c r="H2121" s="6">
        <v>11384</v>
      </c>
      <c r="I2121" s="6">
        <v>12901</v>
      </c>
      <c r="J2121" s="6">
        <v>9147</v>
      </c>
      <c r="K2121" s="6">
        <v>12477</v>
      </c>
    </row>
    <row r="2122" spans="1:11" x14ac:dyDescent="0.2">
      <c r="A2122" s="1">
        <v>0.47222222222222199</v>
      </c>
      <c r="B2122" s="2">
        <v>6.1</v>
      </c>
      <c r="C2122" s="2">
        <v>3.59</v>
      </c>
      <c r="D2122" s="2">
        <v>4.97</v>
      </c>
      <c r="E2122" s="2">
        <v>5.65</v>
      </c>
      <c r="F2122" s="2">
        <v>2.94</v>
      </c>
      <c r="G2122" s="6">
        <v>11685</v>
      </c>
      <c r="H2122" s="6">
        <v>14475</v>
      </c>
      <c r="I2122" s="6">
        <v>9803</v>
      </c>
      <c r="J2122" s="6">
        <v>9287</v>
      </c>
      <c r="K2122" s="6">
        <v>12941</v>
      </c>
    </row>
    <row r="2123" spans="1:11" x14ac:dyDescent="0.2">
      <c r="A2123" s="1">
        <v>0.47291666666666698</v>
      </c>
      <c r="B2123" s="2">
        <v>6.26</v>
      </c>
      <c r="C2123" s="2">
        <v>3.62</v>
      </c>
      <c r="D2123" s="2">
        <v>5.1100000000000003</v>
      </c>
      <c r="E2123" s="2">
        <v>5.45</v>
      </c>
      <c r="F2123" s="2">
        <v>3.3000000000000003</v>
      </c>
      <c r="G2123" s="6">
        <v>14395</v>
      </c>
      <c r="H2123" s="6">
        <v>12023</v>
      </c>
      <c r="I2123" s="6">
        <v>8874</v>
      </c>
      <c r="J2123" s="6">
        <v>8002</v>
      </c>
      <c r="K2123" s="6">
        <v>14104</v>
      </c>
    </row>
    <row r="2124" spans="1:11" x14ac:dyDescent="0.2">
      <c r="A2124" s="1">
        <v>0.47361111111111098</v>
      </c>
      <c r="B2124" s="2">
        <v>6.27</v>
      </c>
      <c r="C2124" s="2">
        <v>3.84</v>
      </c>
      <c r="D2124" s="2">
        <v>5.2</v>
      </c>
      <c r="E2124" s="2">
        <v>5.45</v>
      </c>
      <c r="F2124" s="2">
        <v>2.87</v>
      </c>
      <c r="G2124" s="6">
        <v>10287</v>
      </c>
      <c r="H2124" s="6">
        <v>10863</v>
      </c>
      <c r="I2124" s="6">
        <v>9734</v>
      </c>
      <c r="J2124" s="6">
        <v>7944</v>
      </c>
      <c r="K2124" s="6">
        <v>11456</v>
      </c>
    </row>
    <row r="2125" spans="1:11" x14ac:dyDescent="0.2">
      <c r="A2125" s="1">
        <v>0.47430555555555598</v>
      </c>
      <c r="B2125" s="2">
        <v>6.2299999999999995</v>
      </c>
      <c r="C2125" s="2">
        <v>3.71</v>
      </c>
      <c r="D2125" s="2">
        <v>5.0600000000000005</v>
      </c>
      <c r="E2125" s="2">
        <v>5.0200000000000005</v>
      </c>
      <c r="F2125" s="2">
        <v>3.39</v>
      </c>
      <c r="G2125" s="6">
        <v>13324</v>
      </c>
      <c r="H2125" s="6">
        <v>10228</v>
      </c>
      <c r="I2125" s="6">
        <v>12612</v>
      </c>
      <c r="J2125" s="6">
        <v>10227</v>
      </c>
      <c r="K2125" s="6">
        <v>12842</v>
      </c>
    </row>
    <row r="2126" spans="1:11" x14ac:dyDescent="0.2">
      <c r="A2126" s="1">
        <v>0.47499999999999998</v>
      </c>
      <c r="B2126" s="2">
        <v>6.3</v>
      </c>
      <c r="C2126" s="2">
        <v>3.67</v>
      </c>
      <c r="D2126" s="2">
        <v>5.3100000000000005</v>
      </c>
      <c r="E2126" s="2">
        <v>5.48</v>
      </c>
      <c r="F2126" s="2">
        <v>3.2600000000000002</v>
      </c>
      <c r="G2126" s="6">
        <v>10993</v>
      </c>
      <c r="H2126" s="6">
        <v>14846</v>
      </c>
      <c r="I2126" s="6">
        <v>9230</v>
      </c>
      <c r="J2126" s="6">
        <v>9279</v>
      </c>
      <c r="K2126" s="6">
        <v>11790</v>
      </c>
    </row>
    <row r="2127" spans="1:11" x14ac:dyDescent="0.2">
      <c r="A2127" s="1">
        <v>0.47569444444444398</v>
      </c>
      <c r="B2127" s="2">
        <v>6.26</v>
      </c>
      <c r="C2127" s="2">
        <v>3.61</v>
      </c>
      <c r="D2127" s="2">
        <v>5.36</v>
      </c>
      <c r="E2127" s="2">
        <v>5.3500000000000005</v>
      </c>
      <c r="F2127" s="2">
        <v>2.88</v>
      </c>
      <c r="G2127" s="6">
        <v>9977</v>
      </c>
      <c r="H2127" s="6">
        <v>15580</v>
      </c>
      <c r="I2127" s="6">
        <v>11045</v>
      </c>
      <c r="J2127" s="6">
        <v>7695</v>
      </c>
      <c r="K2127" s="6">
        <v>12345</v>
      </c>
    </row>
    <row r="2128" spans="1:11" x14ac:dyDescent="0.2">
      <c r="A2128" s="1">
        <v>0.47638888888888897</v>
      </c>
      <c r="B2128" s="2">
        <v>6.24</v>
      </c>
      <c r="C2128" s="2">
        <v>3.59</v>
      </c>
      <c r="D2128" s="2">
        <v>5.35</v>
      </c>
      <c r="E2128" s="2">
        <v>5.03</v>
      </c>
      <c r="F2128" s="2">
        <v>3.16</v>
      </c>
      <c r="G2128" s="6">
        <v>12792</v>
      </c>
      <c r="H2128" s="6">
        <v>12369</v>
      </c>
      <c r="I2128" s="6">
        <v>8326</v>
      </c>
      <c r="J2128" s="6">
        <v>10904</v>
      </c>
      <c r="K2128" s="6">
        <v>12665</v>
      </c>
    </row>
    <row r="2129" spans="1:11" x14ac:dyDescent="0.2">
      <c r="A2129" s="1">
        <v>0.47708333333333303</v>
      </c>
      <c r="B2129" s="2">
        <v>6.3</v>
      </c>
      <c r="C2129" s="2">
        <v>3.85</v>
      </c>
      <c r="D2129" s="2">
        <v>5.07</v>
      </c>
      <c r="E2129" s="2">
        <v>5.1800000000000006</v>
      </c>
      <c r="F2129" s="2">
        <v>2.87</v>
      </c>
      <c r="G2129" s="6">
        <v>14195</v>
      </c>
      <c r="H2129" s="6">
        <v>13862</v>
      </c>
      <c r="I2129" s="6">
        <v>13143</v>
      </c>
      <c r="J2129" s="6">
        <v>8766</v>
      </c>
      <c r="K2129" s="6">
        <v>8890</v>
      </c>
    </row>
    <row r="2130" spans="1:11" x14ac:dyDescent="0.2">
      <c r="A2130" s="1">
        <v>0.47777777777777802</v>
      </c>
      <c r="B2130" s="2">
        <v>6.27</v>
      </c>
      <c r="C2130" s="2">
        <v>3.67</v>
      </c>
      <c r="D2130" s="2">
        <v>5.01</v>
      </c>
      <c r="E2130" s="2">
        <v>5.0500000000000007</v>
      </c>
      <c r="F2130" s="2">
        <v>3.35</v>
      </c>
      <c r="G2130" s="6">
        <v>10271</v>
      </c>
      <c r="H2130" s="6">
        <v>11848</v>
      </c>
      <c r="I2130" s="6">
        <v>9685</v>
      </c>
      <c r="J2130" s="6">
        <v>9106</v>
      </c>
      <c r="K2130" s="6">
        <v>12092</v>
      </c>
    </row>
    <row r="2131" spans="1:11" x14ac:dyDescent="0.2">
      <c r="A2131" s="1">
        <v>0.47847222222222202</v>
      </c>
      <c r="B2131" s="2">
        <v>6.13</v>
      </c>
      <c r="C2131" s="2">
        <v>3.64</v>
      </c>
      <c r="D2131" s="2">
        <v>5.2</v>
      </c>
      <c r="E2131" s="2">
        <v>5.3400000000000007</v>
      </c>
      <c r="F2131" s="2">
        <v>2.92</v>
      </c>
      <c r="G2131" s="6">
        <v>14425</v>
      </c>
      <c r="H2131" s="6">
        <v>14730</v>
      </c>
      <c r="I2131" s="6">
        <v>9987</v>
      </c>
      <c r="J2131" s="6">
        <v>10434</v>
      </c>
      <c r="K2131" s="6">
        <v>12079</v>
      </c>
    </row>
    <row r="2132" spans="1:11" x14ac:dyDescent="0.2">
      <c r="A2132" s="1">
        <v>0.47916666666666702</v>
      </c>
      <c r="B2132" s="2">
        <v>6.17</v>
      </c>
      <c r="C2132" s="2">
        <v>3.79</v>
      </c>
      <c r="D2132" s="2">
        <v>5.12</v>
      </c>
      <c r="E2132" s="2">
        <v>5.04</v>
      </c>
      <c r="F2132" s="2">
        <v>3.2800000000000002</v>
      </c>
      <c r="G2132" s="6">
        <v>13280</v>
      </c>
      <c r="H2132" s="6">
        <v>15179</v>
      </c>
      <c r="I2132" s="6">
        <v>11866</v>
      </c>
      <c r="J2132" s="6">
        <v>9553</v>
      </c>
      <c r="K2132" s="6">
        <v>13338</v>
      </c>
    </row>
    <row r="2133" spans="1:11" x14ac:dyDescent="0.2">
      <c r="A2133" s="1">
        <v>0.47986111111111102</v>
      </c>
      <c r="B2133" s="2">
        <v>6.2299999999999995</v>
      </c>
      <c r="C2133" s="2">
        <v>3.6</v>
      </c>
      <c r="D2133" s="2">
        <v>5.01</v>
      </c>
      <c r="E2133" s="2">
        <v>5.3500000000000005</v>
      </c>
      <c r="F2133" s="2">
        <v>3.02</v>
      </c>
      <c r="G2133" s="6">
        <v>10997</v>
      </c>
      <c r="H2133" s="6">
        <v>12355</v>
      </c>
      <c r="I2133" s="6">
        <v>13047</v>
      </c>
      <c r="J2133" s="6">
        <v>9907</v>
      </c>
      <c r="K2133" s="6">
        <v>9033</v>
      </c>
    </row>
    <row r="2134" spans="1:11" x14ac:dyDescent="0.2">
      <c r="A2134" s="1">
        <v>0.48055555555555601</v>
      </c>
      <c r="B2134" s="2">
        <v>6.25</v>
      </c>
      <c r="C2134" s="2">
        <v>3.71</v>
      </c>
      <c r="D2134" s="2">
        <v>5.1000000000000005</v>
      </c>
      <c r="E2134" s="2">
        <v>5.4700000000000006</v>
      </c>
      <c r="F2134" s="2">
        <v>3.18</v>
      </c>
      <c r="G2134" s="6">
        <v>13926</v>
      </c>
      <c r="H2134" s="6">
        <v>15630</v>
      </c>
      <c r="I2134" s="6">
        <v>10670</v>
      </c>
      <c r="J2134" s="6">
        <v>7126</v>
      </c>
      <c r="K2134" s="6">
        <v>14127</v>
      </c>
    </row>
    <row r="2135" spans="1:11" x14ac:dyDescent="0.2">
      <c r="A2135" s="1">
        <v>0.48125000000000001</v>
      </c>
      <c r="B2135" s="2">
        <v>6.12</v>
      </c>
      <c r="C2135" s="2">
        <v>3.67</v>
      </c>
      <c r="D2135" s="2">
        <v>5.35</v>
      </c>
      <c r="E2135" s="2">
        <v>5.53</v>
      </c>
      <c r="F2135" s="2">
        <v>3.31</v>
      </c>
      <c r="G2135" s="6">
        <v>10142</v>
      </c>
      <c r="H2135" s="6">
        <v>13303</v>
      </c>
      <c r="I2135" s="6">
        <v>11394</v>
      </c>
      <c r="J2135" s="6">
        <v>8918</v>
      </c>
      <c r="K2135" s="6">
        <v>14699</v>
      </c>
    </row>
    <row r="2136" spans="1:11" x14ac:dyDescent="0.2">
      <c r="A2136" s="1">
        <v>0.48194444444444401</v>
      </c>
      <c r="B2136" s="2">
        <v>6.24</v>
      </c>
      <c r="C2136" s="2">
        <v>3.62</v>
      </c>
      <c r="D2136" s="2">
        <v>5.03</v>
      </c>
      <c r="E2136" s="2">
        <v>5.03</v>
      </c>
      <c r="F2136" s="2">
        <v>3.17</v>
      </c>
      <c r="G2136" s="6">
        <v>14039</v>
      </c>
      <c r="H2136" s="6">
        <v>15893</v>
      </c>
      <c r="I2136" s="6">
        <v>11335</v>
      </c>
      <c r="J2136" s="6">
        <v>8368</v>
      </c>
      <c r="K2136" s="6">
        <v>9747</v>
      </c>
    </row>
    <row r="2137" spans="1:11" x14ac:dyDescent="0.2">
      <c r="A2137" s="1">
        <v>0.48263888888888901</v>
      </c>
      <c r="B2137" s="2">
        <v>6.31</v>
      </c>
      <c r="C2137" s="2">
        <v>3.83</v>
      </c>
      <c r="D2137" s="2">
        <v>5.3100000000000005</v>
      </c>
      <c r="E2137" s="2">
        <v>5.23</v>
      </c>
      <c r="F2137" s="2">
        <v>2.91</v>
      </c>
      <c r="G2137" s="6">
        <v>14770</v>
      </c>
      <c r="H2137" s="6">
        <v>10129</v>
      </c>
      <c r="I2137" s="6">
        <v>10015</v>
      </c>
      <c r="J2137" s="6">
        <v>10896</v>
      </c>
      <c r="K2137" s="6">
        <v>8791</v>
      </c>
    </row>
    <row r="2138" spans="1:11" x14ac:dyDescent="0.2">
      <c r="A2138" s="1">
        <v>0.483333333333333</v>
      </c>
      <c r="B2138" s="2">
        <v>6.3599999999999994</v>
      </c>
      <c r="C2138" s="2">
        <v>3.65</v>
      </c>
      <c r="D2138" s="2">
        <v>5.21</v>
      </c>
      <c r="E2138" s="2">
        <v>5.16</v>
      </c>
      <c r="F2138" s="2">
        <v>3.29</v>
      </c>
      <c r="G2138" s="6">
        <v>11508</v>
      </c>
      <c r="H2138" s="6">
        <v>11770</v>
      </c>
      <c r="I2138" s="6">
        <v>9108</v>
      </c>
      <c r="J2138" s="6">
        <v>8743</v>
      </c>
      <c r="K2138" s="6">
        <v>13875</v>
      </c>
    </row>
    <row r="2139" spans="1:11" x14ac:dyDescent="0.2">
      <c r="A2139" s="1">
        <v>0.484027777777778</v>
      </c>
      <c r="B2139" s="2">
        <v>6.22</v>
      </c>
      <c r="C2139" s="2">
        <v>3.85</v>
      </c>
      <c r="D2139" s="2">
        <v>5.2</v>
      </c>
      <c r="E2139" s="2">
        <v>5.28</v>
      </c>
      <c r="F2139" s="2">
        <v>3.21</v>
      </c>
      <c r="G2139" s="6">
        <v>11377</v>
      </c>
      <c r="H2139" s="6">
        <v>14893</v>
      </c>
      <c r="I2139" s="6">
        <v>13203</v>
      </c>
      <c r="J2139" s="6">
        <v>8011</v>
      </c>
      <c r="K2139" s="6">
        <v>13014</v>
      </c>
    </row>
    <row r="2140" spans="1:11" x14ac:dyDescent="0.2">
      <c r="A2140" s="1">
        <v>0.484722222222222</v>
      </c>
      <c r="B2140" s="2">
        <v>6.16</v>
      </c>
      <c r="C2140" s="2">
        <v>3.79</v>
      </c>
      <c r="D2140" s="2">
        <v>5.04</v>
      </c>
      <c r="E2140" s="2">
        <v>5.44</v>
      </c>
      <c r="F2140" s="2">
        <v>2.87</v>
      </c>
      <c r="G2140" s="6">
        <v>10896</v>
      </c>
      <c r="H2140" s="6">
        <v>11816</v>
      </c>
      <c r="I2140" s="6">
        <v>10669</v>
      </c>
      <c r="J2140" s="6">
        <v>8621</v>
      </c>
      <c r="K2140" s="6">
        <v>9585</v>
      </c>
    </row>
    <row r="2141" spans="1:11" x14ac:dyDescent="0.2">
      <c r="A2141" s="1">
        <v>0.485416666666667</v>
      </c>
      <c r="B2141" s="2">
        <v>6.21</v>
      </c>
      <c r="C2141" s="2">
        <v>3.7600000000000002</v>
      </c>
      <c r="D2141" s="2">
        <v>5.17</v>
      </c>
      <c r="E2141" s="2">
        <v>5.2</v>
      </c>
      <c r="F2141" s="2">
        <v>3.06</v>
      </c>
      <c r="G2141" s="6">
        <v>11380</v>
      </c>
      <c r="H2141" s="6">
        <v>15658</v>
      </c>
      <c r="I2141" s="6">
        <v>9347</v>
      </c>
      <c r="J2141" s="6">
        <v>10249</v>
      </c>
      <c r="K2141" s="6">
        <v>12393</v>
      </c>
    </row>
    <row r="2142" spans="1:11" x14ac:dyDescent="0.2">
      <c r="A2142" s="1">
        <v>0.48611111111111099</v>
      </c>
      <c r="B2142" s="2">
        <v>6.09</v>
      </c>
      <c r="C2142" s="2">
        <v>3.81</v>
      </c>
      <c r="D2142" s="2">
        <v>5.07</v>
      </c>
      <c r="E2142" s="2">
        <v>5.2</v>
      </c>
      <c r="F2142" s="2">
        <v>3.12</v>
      </c>
      <c r="G2142" s="6">
        <v>10817</v>
      </c>
      <c r="H2142" s="6">
        <v>10672</v>
      </c>
      <c r="I2142" s="6">
        <v>10075</v>
      </c>
      <c r="J2142" s="6">
        <v>7217</v>
      </c>
      <c r="K2142" s="6">
        <v>9842</v>
      </c>
    </row>
    <row r="2143" spans="1:11" x14ac:dyDescent="0.2">
      <c r="A2143" s="1">
        <v>0.48680555555555599</v>
      </c>
      <c r="B2143" s="2">
        <v>6.33</v>
      </c>
      <c r="C2143" s="2">
        <v>3.83</v>
      </c>
      <c r="D2143" s="2">
        <v>5.36</v>
      </c>
      <c r="E2143" s="2">
        <v>5.45</v>
      </c>
      <c r="F2143" s="2">
        <v>3.04</v>
      </c>
      <c r="G2143" s="6">
        <v>15805</v>
      </c>
      <c r="H2143" s="6">
        <v>10246</v>
      </c>
      <c r="I2143" s="6">
        <v>9542</v>
      </c>
      <c r="J2143" s="6">
        <v>7380</v>
      </c>
      <c r="K2143" s="6">
        <v>13747</v>
      </c>
    </row>
    <row r="2144" spans="1:11" x14ac:dyDescent="0.2">
      <c r="A2144" s="1">
        <v>0.48749999999999999</v>
      </c>
      <c r="B2144" s="2">
        <v>6.29</v>
      </c>
      <c r="C2144" s="2">
        <v>3.71</v>
      </c>
      <c r="D2144" s="2">
        <v>5.04</v>
      </c>
      <c r="E2144" s="2">
        <v>5.6000000000000005</v>
      </c>
      <c r="F2144" s="2">
        <v>2.92</v>
      </c>
      <c r="G2144" s="6">
        <v>11221</v>
      </c>
      <c r="H2144" s="6">
        <v>14148</v>
      </c>
      <c r="I2144" s="6">
        <v>9733</v>
      </c>
      <c r="J2144" s="6">
        <v>10537</v>
      </c>
      <c r="K2144" s="6">
        <v>14619</v>
      </c>
    </row>
    <row r="2145" spans="1:11" x14ac:dyDescent="0.2">
      <c r="A2145" s="1">
        <v>0.48819444444444399</v>
      </c>
      <c r="B2145" s="2">
        <v>6.2</v>
      </c>
      <c r="C2145" s="2">
        <v>3.8200000000000003</v>
      </c>
      <c r="D2145" s="2">
        <v>4.93</v>
      </c>
      <c r="E2145" s="2">
        <v>5.6400000000000006</v>
      </c>
      <c r="F2145" s="2">
        <v>2.92</v>
      </c>
      <c r="G2145" s="6">
        <v>15707</v>
      </c>
      <c r="H2145" s="6">
        <v>14212</v>
      </c>
      <c r="I2145" s="6">
        <v>13059</v>
      </c>
      <c r="J2145" s="6">
        <v>9643</v>
      </c>
      <c r="K2145" s="6">
        <v>13191</v>
      </c>
    </row>
    <row r="2146" spans="1:11" x14ac:dyDescent="0.2">
      <c r="A2146" s="1">
        <v>0.48888888888888898</v>
      </c>
      <c r="B2146" s="2">
        <v>6.16</v>
      </c>
      <c r="C2146" s="2">
        <v>3.65</v>
      </c>
      <c r="D2146" s="2">
        <v>5.15</v>
      </c>
      <c r="E2146" s="2">
        <v>5.37</v>
      </c>
      <c r="F2146" s="2">
        <v>3.12</v>
      </c>
      <c r="G2146" s="6">
        <v>15336</v>
      </c>
      <c r="H2146" s="6">
        <v>12223</v>
      </c>
      <c r="I2146" s="6">
        <v>13005</v>
      </c>
      <c r="J2146" s="6">
        <v>7145</v>
      </c>
      <c r="K2146" s="6">
        <v>11677</v>
      </c>
    </row>
    <row r="2147" spans="1:11" x14ac:dyDescent="0.2">
      <c r="A2147" s="1">
        <v>0.48958333333333298</v>
      </c>
      <c r="B2147" s="2">
        <v>6.1099999999999994</v>
      </c>
      <c r="C2147" s="2">
        <v>3.77</v>
      </c>
      <c r="D2147" s="2">
        <v>5.16</v>
      </c>
      <c r="E2147" s="2">
        <v>5.4</v>
      </c>
      <c r="F2147" s="2">
        <v>3.33</v>
      </c>
      <c r="G2147" s="6">
        <v>14971</v>
      </c>
      <c r="H2147" s="6">
        <v>15488</v>
      </c>
      <c r="I2147" s="6">
        <v>11467</v>
      </c>
      <c r="J2147" s="6">
        <v>10141</v>
      </c>
      <c r="K2147" s="6">
        <v>11681</v>
      </c>
    </row>
    <row r="2148" spans="1:11" x14ac:dyDescent="0.2">
      <c r="A2148" s="1">
        <v>0.49027777777777798</v>
      </c>
      <c r="B2148" s="2">
        <v>6.24</v>
      </c>
      <c r="C2148" s="2">
        <v>3.84</v>
      </c>
      <c r="D2148" s="2">
        <v>5.1000000000000005</v>
      </c>
      <c r="E2148" s="2">
        <v>5.24</v>
      </c>
      <c r="F2148" s="2">
        <v>3.39</v>
      </c>
      <c r="G2148" s="6">
        <v>15329</v>
      </c>
      <c r="H2148" s="6">
        <v>13416</v>
      </c>
      <c r="I2148" s="6">
        <v>9244</v>
      </c>
      <c r="J2148" s="6">
        <v>8143</v>
      </c>
      <c r="K2148" s="6">
        <v>12301</v>
      </c>
    </row>
    <row r="2149" spans="1:11" x14ac:dyDescent="0.2">
      <c r="A2149" s="1">
        <v>0.49097222222222198</v>
      </c>
      <c r="B2149" s="2">
        <v>6.29</v>
      </c>
      <c r="C2149" s="2">
        <v>3.7</v>
      </c>
      <c r="D2149" s="2">
        <v>4.8899999999999997</v>
      </c>
      <c r="E2149" s="2">
        <v>5.0100000000000007</v>
      </c>
      <c r="F2149" s="2">
        <v>3.35</v>
      </c>
      <c r="G2149" s="6">
        <v>12884</v>
      </c>
      <c r="H2149" s="6">
        <v>16107</v>
      </c>
      <c r="I2149" s="6">
        <v>10288</v>
      </c>
      <c r="J2149" s="6">
        <v>8515</v>
      </c>
      <c r="K2149" s="6">
        <v>11677</v>
      </c>
    </row>
    <row r="2150" spans="1:11" x14ac:dyDescent="0.2">
      <c r="A2150" s="1">
        <v>0.49166666666666697</v>
      </c>
      <c r="B2150" s="2">
        <v>6.12</v>
      </c>
      <c r="C2150" s="2">
        <v>3.84</v>
      </c>
      <c r="D2150" s="2">
        <v>4.91</v>
      </c>
      <c r="E2150" s="2">
        <v>5.07</v>
      </c>
      <c r="F2150" s="2">
        <v>3.29</v>
      </c>
      <c r="G2150" s="6">
        <v>15975</v>
      </c>
      <c r="H2150" s="6">
        <v>15140</v>
      </c>
      <c r="I2150" s="6">
        <v>9513</v>
      </c>
      <c r="J2150" s="6">
        <v>7357</v>
      </c>
      <c r="K2150" s="6">
        <v>14763</v>
      </c>
    </row>
    <row r="2151" spans="1:11" x14ac:dyDescent="0.2">
      <c r="A2151" s="1">
        <v>0.49236111111111103</v>
      </c>
      <c r="B2151" s="2">
        <v>6.1099999999999994</v>
      </c>
      <c r="C2151" s="2">
        <v>3.73</v>
      </c>
      <c r="D2151" s="2">
        <v>4.99</v>
      </c>
      <c r="E2151" s="2">
        <v>5.6000000000000005</v>
      </c>
      <c r="F2151" s="2">
        <v>3.3400000000000003</v>
      </c>
      <c r="G2151" s="6">
        <v>12677</v>
      </c>
      <c r="H2151" s="6">
        <v>13287</v>
      </c>
      <c r="I2151" s="6">
        <v>12189</v>
      </c>
      <c r="J2151" s="6">
        <v>7579</v>
      </c>
      <c r="K2151" s="6">
        <v>8571</v>
      </c>
    </row>
    <row r="2152" spans="1:11" x14ac:dyDescent="0.2">
      <c r="A2152" s="1">
        <v>0.49305555555555602</v>
      </c>
      <c r="B2152" s="2">
        <v>6.3599999999999994</v>
      </c>
      <c r="C2152" s="2">
        <v>3.58</v>
      </c>
      <c r="D2152" s="2">
        <v>5.3</v>
      </c>
      <c r="E2152" s="2">
        <v>5.5500000000000007</v>
      </c>
      <c r="F2152" s="2">
        <v>3.06</v>
      </c>
      <c r="G2152" s="6">
        <v>12209</v>
      </c>
      <c r="H2152" s="6">
        <v>14238</v>
      </c>
      <c r="I2152" s="6">
        <v>11820</v>
      </c>
      <c r="J2152" s="6">
        <v>10160</v>
      </c>
      <c r="K2152" s="6">
        <v>12134</v>
      </c>
    </row>
    <row r="2153" spans="1:11" x14ac:dyDescent="0.2">
      <c r="A2153" s="1">
        <v>0.49375000000000002</v>
      </c>
      <c r="B2153" s="2">
        <v>6.2299999999999995</v>
      </c>
      <c r="C2153" s="2">
        <v>3.59</v>
      </c>
      <c r="D2153" s="2">
        <v>4.9000000000000004</v>
      </c>
      <c r="E2153" s="2">
        <v>5.58</v>
      </c>
      <c r="F2153" s="2">
        <v>3.3200000000000003</v>
      </c>
      <c r="G2153" s="6">
        <v>15667</v>
      </c>
      <c r="H2153" s="6">
        <v>14041</v>
      </c>
      <c r="I2153" s="6">
        <v>10279</v>
      </c>
      <c r="J2153" s="6">
        <v>8027</v>
      </c>
      <c r="K2153" s="6">
        <v>13810</v>
      </c>
    </row>
    <row r="2154" spans="1:11" x14ac:dyDescent="0.2">
      <c r="A2154" s="1">
        <v>0.49444444444444402</v>
      </c>
      <c r="B2154" s="2">
        <v>6.09</v>
      </c>
      <c r="C2154" s="2">
        <v>3.63</v>
      </c>
      <c r="D2154" s="2">
        <v>5.24</v>
      </c>
      <c r="E2154" s="2">
        <v>5.12</v>
      </c>
      <c r="F2154" s="2">
        <v>2.93</v>
      </c>
      <c r="G2154" s="6">
        <v>16228</v>
      </c>
      <c r="H2154" s="6">
        <v>15520</v>
      </c>
      <c r="I2154" s="6">
        <v>8320</v>
      </c>
      <c r="J2154" s="6">
        <v>9825</v>
      </c>
      <c r="K2154" s="6">
        <v>12425</v>
      </c>
    </row>
    <row r="2155" spans="1:11" x14ac:dyDescent="0.2">
      <c r="A2155" s="1">
        <v>0.49513888888888902</v>
      </c>
      <c r="B2155" s="2">
        <v>6.1</v>
      </c>
      <c r="C2155" s="2">
        <v>3.63</v>
      </c>
      <c r="D2155" s="2">
        <v>5.0600000000000005</v>
      </c>
      <c r="E2155" s="2">
        <v>5.65</v>
      </c>
      <c r="F2155" s="2">
        <v>3.31</v>
      </c>
      <c r="G2155" s="6">
        <v>13155</v>
      </c>
      <c r="H2155" s="6">
        <v>12654</v>
      </c>
      <c r="I2155" s="6">
        <v>10389</v>
      </c>
      <c r="J2155" s="6">
        <v>10689</v>
      </c>
      <c r="K2155" s="6">
        <v>12364</v>
      </c>
    </row>
    <row r="2156" spans="1:11" x14ac:dyDescent="0.2">
      <c r="A2156" s="1">
        <v>0.49583333333333302</v>
      </c>
      <c r="B2156" s="2">
        <v>6.21</v>
      </c>
      <c r="C2156" s="2">
        <v>3.73</v>
      </c>
      <c r="D2156" s="2">
        <v>5.1000000000000005</v>
      </c>
      <c r="E2156" s="2">
        <v>5.58</v>
      </c>
      <c r="F2156" s="2">
        <v>2.89</v>
      </c>
      <c r="G2156" s="6">
        <v>15013</v>
      </c>
      <c r="H2156" s="6">
        <v>16156</v>
      </c>
      <c r="I2156" s="6">
        <v>8832</v>
      </c>
      <c r="J2156" s="6">
        <v>7796</v>
      </c>
      <c r="K2156" s="6">
        <v>12214</v>
      </c>
    </row>
    <row r="2157" spans="1:11" x14ac:dyDescent="0.2">
      <c r="A2157" s="1">
        <v>0.49652777777777801</v>
      </c>
      <c r="B2157" s="2">
        <v>6.1099999999999994</v>
      </c>
      <c r="C2157" s="2">
        <v>3.62</v>
      </c>
      <c r="D2157" s="2">
        <v>5.03</v>
      </c>
      <c r="E2157" s="2">
        <v>5.1300000000000008</v>
      </c>
      <c r="F2157" s="2">
        <v>3.1100000000000003</v>
      </c>
      <c r="G2157" s="6">
        <v>15216</v>
      </c>
      <c r="H2157" s="6">
        <v>15933</v>
      </c>
      <c r="I2157" s="6">
        <v>9560</v>
      </c>
      <c r="J2157" s="6">
        <v>7755</v>
      </c>
      <c r="K2157" s="6">
        <v>9631</v>
      </c>
    </row>
    <row r="2158" spans="1:11" x14ac:dyDescent="0.2">
      <c r="A2158" s="1">
        <v>0.49722222222222201</v>
      </c>
      <c r="B2158" s="2">
        <v>6.2</v>
      </c>
      <c r="C2158" s="2">
        <v>3.63</v>
      </c>
      <c r="D2158" s="2">
        <v>5.35</v>
      </c>
      <c r="E2158" s="2">
        <v>5.0100000000000007</v>
      </c>
      <c r="F2158" s="2">
        <v>3.18</v>
      </c>
      <c r="G2158" s="6">
        <v>14376</v>
      </c>
      <c r="H2158" s="6">
        <v>13101</v>
      </c>
      <c r="I2158" s="6">
        <v>9844</v>
      </c>
      <c r="J2158" s="6">
        <v>8801</v>
      </c>
      <c r="K2158" s="6">
        <v>9909</v>
      </c>
    </row>
    <row r="2159" spans="1:11" x14ac:dyDescent="0.2">
      <c r="A2159" s="1">
        <v>0.49791666666666701</v>
      </c>
      <c r="B2159" s="2">
        <v>6.32</v>
      </c>
      <c r="C2159" s="2">
        <v>3.7600000000000002</v>
      </c>
      <c r="D2159" s="2">
        <v>4.93</v>
      </c>
      <c r="E2159" s="2">
        <v>5.16</v>
      </c>
      <c r="F2159" s="2">
        <v>3.33</v>
      </c>
      <c r="G2159" s="6">
        <v>10826</v>
      </c>
      <c r="H2159" s="6">
        <v>11678</v>
      </c>
      <c r="I2159" s="6">
        <v>9009</v>
      </c>
      <c r="J2159" s="6">
        <v>7835</v>
      </c>
      <c r="K2159" s="6">
        <v>9553</v>
      </c>
    </row>
    <row r="2160" spans="1:11" x14ac:dyDescent="0.2">
      <c r="A2160" s="1">
        <v>0.49861111111111101</v>
      </c>
      <c r="B2160" s="2">
        <v>6.25</v>
      </c>
      <c r="C2160" s="2">
        <v>3.7</v>
      </c>
      <c r="D2160" s="2">
        <v>5.0200000000000005</v>
      </c>
      <c r="E2160" s="2">
        <v>5.0100000000000007</v>
      </c>
      <c r="F2160" s="2">
        <v>3.3600000000000003</v>
      </c>
      <c r="G2160" s="6">
        <v>15427</v>
      </c>
      <c r="H2160" s="6">
        <v>14505</v>
      </c>
      <c r="I2160" s="6">
        <v>9845</v>
      </c>
      <c r="J2160" s="6">
        <v>10199</v>
      </c>
      <c r="K2160" s="6">
        <v>10534</v>
      </c>
    </row>
    <row r="2161" spans="1:11" x14ac:dyDescent="0.2">
      <c r="A2161" s="1">
        <v>0.499305555555556</v>
      </c>
      <c r="B2161" s="2">
        <v>6.26</v>
      </c>
      <c r="C2161" s="2">
        <v>3.7</v>
      </c>
      <c r="D2161" s="2">
        <v>5.3100000000000005</v>
      </c>
      <c r="E2161" s="2">
        <v>5</v>
      </c>
      <c r="F2161" s="2">
        <v>2.94</v>
      </c>
      <c r="G2161" s="6">
        <v>16195</v>
      </c>
      <c r="H2161" s="6">
        <v>11509</v>
      </c>
      <c r="I2161" s="6">
        <v>12022</v>
      </c>
      <c r="J2161" s="6">
        <v>7569</v>
      </c>
      <c r="K2161" s="6">
        <v>10988</v>
      </c>
    </row>
    <row r="2162" spans="1:11" x14ac:dyDescent="0.2">
      <c r="A2162" s="3">
        <v>0.5</v>
      </c>
      <c r="B2162" s="2">
        <v>6.21</v>
      </c>
      <c r="C2162" s="2">
        <v>3.74</v>
      </c>
      <c r="D2162" s="2">
        <v>5.1100000000000003</v>
      </c>
      <c r="E2162" s="2">
        <v>5.32</v>
      </c>
      <c r="F2162" s="2">
        <v>3.18</v>
      </c>
      <c r="G2162" s="6">
        <v>13350</v>
      </c>
      <c r="H2162" s="6">
        <v>16430</v>
      </c>
      <c r="I2162" s="6">
        <v>10250</v>
      </c>
      <c r="J2162" s="6">
        <v>11520</v>
      </c>
      <c r="K2162" s="6">
        <v>13650</v>
      </c>
    </row>
    <row r="2163" spans="1:11" x14ac:dyDescent="0.2">
      <c r="A2163" s="1">
        <v>0.500694444444444</v>
      </c>
      <c r="B2163" s="2">
        <v>6.27</v>
      </c>
      <c r="C2163" s="2">
        <v>3.63</v>
      </c>
      <c r="D2163" s="2">
        <v>5.3</v>
      </c>
      <c r="E2163" s="2">
        <v>5.41</v>
      </c>
      <c r="F2163" s="2">
        <v>3.02</v>
      </c>
      <c r="G2163" s="6">
        <v>12545</v>
      </c>
      <c r="H2163" s="6">
        <v>21403</v>
      </c>
      <c r="I2163" s="6">
        <v>15367</v>
      </c>
      <c r="J2163" s="6">
        <v>15466</v>
      </c>
      <c r="K2163" s="6">
        <v>23135</v>
      </c>
    </row>
    <row r="2164" spans="1:11" x14ac:dyDescent="0.2">
      <c r="A2164" s="1">
        <v>0.50138888888888899</v>
      </c>
      <c r="B2164" s="2">
        <v>6.17</v>
      </c>
      <c r="C2164" s="2">
        <v>3.68</v>
      </c>
      <c r="D2164" s="2">
        <v>5.04</v>
      </c>
      <c r="E2164" s="2">
        <v>5.0500000000000007</v>
      </c>
      <c r="F2164" s="2">
        <v>2.99</v>
      </c>
      <c r="G2164" s="6">
        <v>20278</v>
      </c>
      <c r="H2164" s="6">
        <v>16209</v>
      </c>
      <c r="I2164" s="6">
        <v>8041</v>
      </c>
      <c r="J2164" s="6">
        <v>23695</v>
      </c>
      <c r="K2164" s="6">
        <v>26121</v>
      </c>
    </row>
    <row r="2165" spans="1:11" x14ac:dyDescent="0.2">
      <c r="A2165" s="1">
        <v>0.50208333333333299</v>
      </c>
      <c r="B2165" s="2">
        <v>6.17</v>
      </c>
      <c r="C2165" s="2">
        <v>3.62</v>
      </c>
      <c r="D2165" s="2">
        <v>5.0600000000000005</v>
      </c>
      <c r="E2165" s="2">
        <v>5.6000000000000005</v>
      </c>
      <c r="F2165" s="2">
        <v>3.16</v>
      </c>
      <c r="G2165" s="6">
        <v>15220</v>
      </c>
      <c r="H2165" s="6">
        <v>20941</v>
      </c>
      <c r="I2165" s="6">
        <v>11538</v>
      </c>
      <c r="J2165" s="6">
        <v>16940</v>
      </c>
      <c r="K2165" s="6">
        <v>25325</v>
      </c>
    </row>
    <row r="2166" spans="1:11" x14ac:dyDescent="0.2">
      <c r="A2166" s="1">
        <v>0.50277777777777799</v>
      </c>
      <c r="B2166" s="2">
        <v>6.2</v>
      </c>
      <c r="C2166" s="2">
        <v>3.7600000000000002</v>
      </c>
      <c r="D2166" s="2">
        <v>5.03</v>
      </c>
      <c r="E2166" s="2">
        <v>5.33</v>
      </c>
      <c r="F2166" s="2">
        <v>3.0500000000000003</v>
      </c>
      <c r="G2166" s="6">
        <v>11166</v>
      </c>
      <c r="H2166" s="6">
        <v>15430</v>
      </c>
      <c r="I2166" s="6">
        <v>21359</v>
      </c>
      <c r="J2166" s="6">
        <v>23971</v>
      </c>
      <c r="K2166" s="6">
        <v>26355</v>
      </c>
    </row>
    <row r="2167" spans="1:11" x14ac:dyDescent="0.2">
      <c r="A2167" s="1">
        <v>0.50347222222222199</v>
      </c>
      <c r="B2167" s="2">
        <v>6.29</v>
      </c>
      <c r="C2167" s="2">
        <v>3.74</v>
      </c>
      <c r="D2167" s="2">
        <v>5.01</v>
      </c>
      <c r="E2167" s="2">
        <v>5.3500000000000005</v>
      </c>
      <c r="F2167" s="2">
        <v>2.98</v>
      </c>
      <c r="G2167" s="6">
        <v>18731</v>
      </c>
      <c r="H2167" s="6">
        <v>11666</v>
      </c>
      <c r="I2167" s="6">
        <v>19316</v>
      </c>
      <c r="J2167" s="6">
        <v>26550</v>
      </c>
      <c r="K2167" s="6">
        <v>22305</v>
      </c>
    </row>
    <row r="2168" spans="1:11" x14ac:dyDescent="0.2">
      <c r="A2168" s="1">
        <v>0.50416666666666698</v>
      </c>
      <c r="B2168" s="2">
        <v>6.17</v>
      </c>
      <c r="C2168" s="2">
        <v>3.85</v>
      </c>
      <c r="D2168" s="2">
        <v>5.01</v>
      </c>
      <c r="E2168" s="2">
        <v>5.08</v>
      </c>
      <c r="F2168" s="2">
        <v>3.2</v>
      </c>
      <c r="G2168" s="6">
        <v>23369</v>
      </c>
      <c r="H2168" s="6">
        <v>13893</v>
      </c>
      <c r="I2168" s="6">
        <v>18770</v>
      </c>
      <c r="J2168" s="6">
        <v>26084</v>
      </c>
      <c r="K2168" s="6">
        <v>20237</v>
      </c>
    </row>
    <row r="2169" spans="1:11" x14ac:dyDescent="0.2">
      <c r="A2169" s="1">
        <v>0.50486111111111098</v>
      </c>
      <c r="B2169" s="2">
        <v>6.26</v>
      </c>
      <c r="C2169" s="2">
        <v>3.7800000000000002</v>
      </c>
      <c r="D2169" s="2">
        <v>5.34</v>
      </c>
      <c r="E2169" s="2">
        <v>5.41</v>
      </c>
      <c r="F2169" s="2">
        <v>2.95</v>
      </c>
      <c r="G2169" s="6">
        <v>16809</v>
      </c>
      <c r="H2169" s="6">
        <v>20420</v>
      </c>
      <c r="I2169" s="6">
        <v>18079</v>
      </c>
      <c r="J2169" s="6">
        <v>27360</v>
      </c>
      <c r="K2169" s="6">
        <v>23841</v>
      </c>
    </row>
    <row r="2170" spans="1:11" x14ac:dyDescent="0.2">
      <c r="A2170" s="1">
        <v>0.50555555555555598</v>
      </c>
      <c r="B2170" s="2">
        <v>6.24</v>
      </c>
      <c r="C2170" s="2">
        <v>3.72</v>
      </c>
      <c r="D2170" s="2">
        <v>5.29</v>
      </c>
      <c r="E2170" s="2">
        <v>5</v>
      </c>
      <c r="F2170" s="2">
        <v>3.1</v>
      </c>
      <c r="G2170" s="6">
        <v>20746</v>
      </c>
      <c r="H2170" s="6">
        <v>16355</v>
      </c>
      <c r="I2170" s="6">
        <v>9042</v>
      </c>
      <c r="J2170" s="6">
        <v>19182</v>
      </c>
      <c r="K2170" s="6">
        <v>27874</v>
      </c>
    </row>
    <row r="2171" spans="1:11" x14ac:dyDescent="0.2">
      <c r="A2171" s="1">
        <v>0.50624999999999998</v>
      </c>
      <c r="B2171" s="2">
        <v>6.17</v>
      </c>
      <c r="C2171" s="2">
        <v>3.8200000000000003</v>
      </c>
      <c r="D2171" s="2">
        <v>5.18</v>
      </c>
      <c r="E2171" s="2">
        <v>5.16</v>
      </c>
      <c r="F2171" s="2">
        <v>3.16</v>
      </c>
      <c r="G2171" s="6">
        <v>22769</v>
      </c>
      <c r="H2171" s="6">
        <v>14105</v>
      </c>
      <c r="I2171" s="6">
        <v>21572</v>
      </c>
      <c r="J2171" s="6">
        <v>25635</v>
      </c>
      <c r="K2171" s="6">
        <v>14485</v>
      </c>
    </row>
    <row r="2172" spans="1:11" x14ac:dyDescent="0.2">
      <c r="A2172" s="1">
        <v>0.50694444444444398</v>
      </c>
      <c r="B2172" s="2">
        <v>6.31</v>
      </c>
      <c r="C2172" s="2">
        <v>3.81</v>
      </c>
      <c r="D2172" s="2">
        <v>5.33</v>
      </c>
      <c r="E2172" s="2">
        <v>5.24</v>
      </c>
      <c r="F2172" s="2">
        <v>3.38</v>
      </c>
      <c r="G2172" s="6">
        <v>17620</v>
      </c>
      <c r="H2172" s="6">
        <v>20570</v>
      </c>
      <c r="I2172" s="6">
        <v>18143</v>
      </c>
      <c r="J2172" s="6">
        <v>18073</v>
      </c>
      <c r="K2172" s="6">
        <v>25334</v>
      </c>
    </row>
    <row r="2173" spans="1:11" x14ac:dyDescent="0.2">
      <c r="A2173" s="1">
        <v>0.50763888888888897</v>
      </c>
      <c r="B2173" s="2">
        <v>6.32</v>
      </c>
      <c r="C2173" s="2">
        <v>3.67</v>
      </c>
      <c r="D2173" s="2">
        <v>5.13</v>
      </c>
      <c r="E2173" s="2">
        <v>5.6300000000000008</v>
      </c>
      <c r="F2173" s="2">
        <v>3.04</v>
      </c>
      <c r="G2173" s="6">
        <v>18576</v>
      </c>
      <c r="H2173" s="6">
        <v>14369</v>
      </c>
      <c r="I2173" s="6">
        <v>22824</v>
      </c>
      <c r="J2173" s="6">
        <v>27063</v>
      </c>
      <c r="K2173" s="6">
        <v>19396</v>
      </c>
    </row>
    <row r="2174" spans="1:11" x14ac:dyDescent="0.2">
      <c r="A2174" s="1">
        <v>0.50833333333333297</v>
      </c>
      <c r="B2174" s="2">
        <v>6.14</v>
      </c>
      <c r="C2174" s="2">
        <v>3.83</v>
      </c>
      <c r="D2174" s="2">
        <v>5.32</v>
      </c>
      <c r="E2174" s="2">
        <v>5.1400000000000006</v>
      </c>
      <c r="F2174" s="2">
        <v>3.22</v>
      </c>
      <c r="G2174" s="6">
        <v>22175</v>
      </c>
      <c r="H2174" s="6">
        <v>22189</v>
      </c>
      <c r="I2174" s="6">
        <v>24537</v>
      </c>
      <c r="J2174" s="6">
        <v>21375</v>
      </c>
      <c r="K2174" s="6">
        <v>28783</v>
      </c>
    </row>
    <row r="2175" spans="1:11" x14ac:dyDescent="0.2">
      <c r="A2175" s="1">
        <v>0.50902777777777797</v>
      </c>
      <c r="B2175" s="2">
        <v>6.34</v>
      </c>
      <c r="C2175" s="2">
        <v>3.83</v>
      </c>
      <c r="D2175" s="2">
        <v>4.96</v>
      </c>
      <c r="E2175" s="2">
        <v>5.24</v>
      </c>
      <c r="F2175" s="2">
        <v>3.35</v>
      </c>
      <c r="G2175" s="6">
        <v>16342</v>
      </c>
      <c r="H2175" s="6">
        <v>23674</v>
      </c>
      <c r="I2175" s="6">
        <v>9391</v>
      </c>
      <c r="J2175" s="6">
        <v>18927</v>
      </c>
      <c r="K2175" s="6">
        <v>20875</v>
      </c>
    </row>
    <row r="2176" spans="1:11" x14ac:dyDescent="0.2">
      <c r="A2176" s="1">
        <v>0.50972222222222197</v>
      </c>
      <c r="B2176" s="2">
        <v>6.35</v>
      </c>
      <c r="C2176" s="2">
        <v>3.68</v>
      </c>
      <c r="D2176" s="2">
        <v>4.95</v>
      </c>
      <c r="E2176" s="2">
        <v>5.08</v>
      </c>
      <c r="F2176" s="2">
        <v>2.87</v>
      </c>
      <c r="G2176" s="6">
        <v>18050</v>
      </c>
      <c r="H2176" s="6">
        <v>19283</v>
      </c>
      <c r="I2176" s="6">
        <v>24168</v>
      </c>
      <c r="J2176" s="6">
        <v>27266</v>
      </c>
      <c r="K2176" s="6">
        <v>15014</v>
      </c>
    </row>
    <row r="2177" spans="1:11" x14ac:dyDescent="0.2">
      <c r="A2177" s="1">
        <v>0.51041666666666696</v>
      </c>
      <c r="B2177" s="2">
        <v>6.35</v>
      </c>
      <c r="C2177" s="2">
        <v>3.83</v>
      </c>
      <c r="D2177" s="2">
        <v>4.96</v>
      </c>
      <c r="E2177" s="2">
        <v>5.44</v>
      </c>
      <c r="F2177" s="2">
        <v>2.9</v>
      </c>
      <c r="G2177" s="6">
        <v>19687</v>
      </c>
      <c r="H2177" s="6">
        <v>18274</v>
      </c>
      <c r="I2177" s="6">
        <v>15398</v>
      </c>
      <c r="J2177" s="6">
        <v>20964</v>
      </c>
      <c r="K2177" s="6">
        <v>27827</v>
      </c>
    </row>
    <row r="2178" spans="1:11" x14ac:dyDescent="0.2">
      <c r="A2178" s="1">
        <v>0.51111111111111096</v>
      </c>
      <c r="B2178" s="2">
        <v>6.27</v>
      </c>
      <c r="C2178" s="2">
        <v>3.61</v>
      </c>
      <c r="D2178" s="2">
        <v>5.37</v>
      </c>
      <c r="E2178" s="2">
        <v>5.19</v>
      </c>
      <c r="F2178" s="2">
        <v>2.91</v>
      </c>
      <c r="G2178" s="6">
        <v>15250</v>
      </c>
      <c r="H2178" s="6">
        <v>13642</v>
      </c>
      <c r="I2178" s="6">
        <v>19124</v>
      </c>
      <c r="J2178" s="6">
        <v>24291</v>
      </c>
      <c r="K2178" s="6">
        <v>26829</v>
      </c>
    </row>
    <row r="2179" spans="1:11" x14ac:dyDescent="0.2">
      <c r="A2179" s="1">
        <v>0.51180555555555596</v>
      </c>
      <c r="B2179" s="2">
        <v>6.21</v>
      </c>
      <c r="C2179" s="2">
        <v>3.84</v>
      </c>
      <c r="D2179" s="2">
        <v>5.3100000000000005</v>
      </c>
      <c r="E2179" s="2">
        <v>5.4200000000000008</v>
      </c>
      <c r="F2179" s="2">
        <v>3.3600000000000003</v>
      </c>
      <c r="G2179" s="6">
        <v>22624</v>
      </c>
      <c r="H2179" s="6">
        <v>16770</v>
      </c>
      <c r="I2179" s="6">
        <v>10764</v>
      </c>
      <c r="J2179" s="6">
        <v>14828</v>
      </c>
      <c r="K2179" s="6">
        <v>25108</v>
      </c>
    </row>
    <row r="2180" spans="1:11" x14ac:dyDescent="0.2">
      <c r="A2180" s="1">
        <v>0.51249999999999996</v>
      </c>
      <c r="B2180" s="2">
        <v>6.32</v>
      </c>
      <c r="C2180" s="2">
        <v>3.59</v>
      </c>
      <c r="D2180" s="2">
        <v>5.1000000000000005</v>
      </c>
      <c r="E2180" s="2">
        <v>5.1000000000000005</v>
      </c>
      <c r="F2180" s="2">
        <v>3.1</v>
      </c>
      <c r="G2180" s="6">
        <v>17411</v>
      </c>
      <c r="H2180" s="6">
        <v>22405</v>
      </c>
      <c r="I2180" s="6">
        <v>17809</v>
      </c>
      <c r="J2180" s="6">
        <v>14307</v>
      </c>
      <c r="K2180" s="6">
        <v>27320</v>
      </c>
    </row>
    <row r="2181" spans="1:11" x14ac:dyDescent="0.2">
      <c r="A2181" s="1">
        <v>0.51319444444444495</v>
      </c>
      <c r="B2181" s="2">
        <v>6.13</v>
      </c>
      <c r="C2181" s="2">
        <v>3.73</v>
      </c>
      <c r="D2181" s="2">
        <v>5.05</v>
      </c>
      <c r="E2181" s="2">
        <v>5.2100000000000009</v>
      </c>
      <c r="F2181" s="2">
        <v>3.21</v>
      </c>
      <c r="G2181" s="6">
        <v>13906</v>
      </c>
      <c r="H2181" s="6">
        <v>12292</v>
      </c>
      <c r="I2181" s="6">
        <v>11392</v>
      </c>
      <c r="J2181" s="6">
        <v>18650</v>
      </c>
      <c r="K2181" s="6">
        <v>16462</v>
      </c>
    </row>
    <row r="2182" spans="1:11" x14ac:dyDescent="0.2">
      <c r="A2182" s="1">
        <v>0.51388888888888895</v>
      </c>
      <c r="B2182" s="2">
        <v>6.26</v>
      </c>
      <c r="C2182" s="2">
        <v>3.85</v>
      </c>
      <c r="D2182" s="2">
        <v>5.0600000000000005</v>
      </c>
      <c r="E2182" s="2">
        <v>5.1400000000000006</v>
      </c>
      <c r="F2182" s="2">
        <v>3.39</v>
      </c>
      <c r="G2182" s="6">
        <v>15970</v>
      </c>
      <c r="H2182" s="6">
        <v>11557</v>
      </c>
      <c r="I2182" s="6">
        <v>19485</v>
      </c>
      <c r="J2182" s="6">
        <v>22745</v>
      </c>
      <c r="K2182" s="6">
        <v>20464</v>
      </c>
    </row>
    <row r="2183" spans="1:11" x14ac:dyDescent="0.2">
      <c r="A2183" s="1">
        <v>0.51458333333333295</v>
      </c>
      <c r="B2183" s="2">
        <v>6.3599999999999994</v>
      </c>
      <c r="C2183" s="2">
        <v>3.66</v>
      </c>
      <c r="D2183" s="2">
        <v>4.96</v>
      </c>
      <c r="E2183" s="2">
        <v>5.25</v>
      </c>
      <c r="F2183" s="2">
        <v>3.14</v>
      </c>
      <c r="G2183" s="6">
        <v>16181</v>
      </c>
      <c r="H2183" s="6">
        <v>20573</v>
      </c>
      <c r="I2183" s="6">
        <v>14842</v>
      </c>
      <c r="J2183" s="6">
        <v>18511</v>
      </c>
      <c r="K2183" s="6">
        <v>24783</v>
      </c>
    </row>
    <row r="2184" spans="1:11" x14ac:dyDescent="0.2">
      <c r="A2184" s="1">
        <v>0.51527777777777795</v>
      </c>
      <c r="B2184" s="2">
        <v>6.09</v>
      </c>
      <c r="C2184" s="2">
        <v>3.84</v>
      </c>
      <c r="D2184" s="2">
        <v>5.08</v>
      </c>
      <c r="E2184" s="2">
        <v>5.33</v>
      </c>
      <c r="F2184" s="2">
        <v>2.9</v>
      </c>
      <c r="G2184" s="6">
        <v>9881</v>
      </c>
      <c r="H2184" s="6">
        <v>21648</v>
      </c>
      <c r="I2184" s="6">
        <v>11384</v>
      </c>
      <c r="J2184" s="6">
        <v>24986</v>
      </c>
      <c r="K2184" s="6">
        <v>26207</v>
      </c>
    </row>
    <row r="2185" spans="1:11" x14ac:dyDescent="0.2">
      <c r="A2185" s="1">
        <v>0.51597222222222205</v>
      </c>
      <c r="B2185" s="2">
        <v>6.1899999999999995</v>
      </c>
      <c r="C2185" s="2">
        <v>3.66</v>
      </c>
      <c r="D2185" s="2">
        <v>4.9400000000000004</v>
      </c>
      <c r="E2185" s="2">
        <v>5.45</v>
      </c>
      <c r="F2185" s="2">
        <v>3.38</v>
      </c>
      <c r="G2185" s="6">
        <v>19606</v>
      </c>
      <c r="H2185" s="6">
        <v>12241</v>
      </c>
      <c r="I2185" s="6">
        <v>17499</v>
      </c>
      <c r="J2185" s="6">
        <v>15754</v>
      </c>
      <c r="K2185" s="6">
        <v>13992</v>
      </c>
    </row>
    <row r="2186" spans="1:11" x14ac:dyDescent="0.2">
      <c r="A2186" s="1">
        <v>0.51666666666666705</v>
      </c>
      <c r="B2186" s="2">
        <v>6.28</v>
      </c>
      <c r="C2186" s="2">
        <v>3.61</v>
      </c>
      <c r="D2186" s="2">
        <v>5.03</v>
      </c>
      <c r="E2186" s="2">
        <v>5.16</v>
      </c>
      <c r="F2186" s="2">
        <v>3.2600000000000002</v>
      </c>
      <c r="G2186" s="6">
        <v>9832</v>
      </c>
      <c r="H2186" s="6">
        <v>21975</v>
      </c>
      <c r="I2186" s="6">
        <v>10866</v>
      </c>
      <c r="J2186" s="6">
        <v>23242</v>
      </c>
      <c r="K2186" s="6">
        <v>17146</v>
      </c>
    </row>
    <row r="2187" spans="1:11" x14ac:dyDescent="0.2">
      <c r="A2187" s="1">
        <v>0.51736111111111105</v>
      </c>
      <c r="B2187" s="2">
        <v>6.33</v>
      </c>
      <c r="C2187" s="2">
        <v>3.7800000000000002</v>
      </c>
      <c r="D2187" s="2">
        <v>5.18</v>
      </c>
      <c r="E2187" s="2">
        <v>5.1400000000000006</v>
      </c>
      <c r="F2187" s="2">
        <v>3.0700000000000003</v>
      </c>
      <c r="G2187" s="6">
        <v>19762</v>
      </c>
      <c r="H2187" s="6">
        <v>14489</v>
      </c>
      <c r="I2187" s="6">
        <v>15851</v>
      </c>
      <c r="J2187" s="6">
        <v>15180</v>
      </c>
      <c r="K2187" s="6">
        <v>22673</v>
      </c>
    </row>
    <row r="2188" spans="1:11" x14ac:dyDescent="0.2">
      <c r="A2188" s="1">
        <v>0.51805555555555605</v>
      </c>
      <c r="B2188" s="2">
        <v>6.17</v>
      </c>
      <c r="C2188" s="2">
        <v>3.84</v>
      </c>
      <c r="D2188" s="2">
        <v>5.13</v>
      </c>
      <c r="E2188" s="2">
        <v>5.32</v>
      </c>
      <c r="F2188" s="2">
        <v>3</v>
      </c>
      <c r="G2188" s="6">
        <v>18362</v>
      </c>
      <c r="H2188" s="6">
        <v>20357</v>
      </c>
      <c r="I2188" s="6">
        <v>19023</v>
      </c>
      <c r="J2188" s="6">
        <v>14083</v>
      </c>
      <c r="K2188" s="6">
        <v>24482</v>
      </c>
    </row>
    <row r="2189" spans="1:11" x14ac:dyDescent="0.2">
      <c r="A2189" s="1">
        <v>0.51875000000000004</v>
      </c>
      <c r="B2189" s="2">
        <v>6.34</v>
      </c>
      <c r="C2189" s="2">
        <v>3.8200000000000003</v>
      </c>
      <c r="D2189" s="2">
        <v>5.3</v>
      </c>
      <c r="E2189" s="2">
        <v>5.3500000000000005</v>
      </c>
      <c r="F2189" s="2">
        <v>2.97</v>
      </c>
      <c r="G2189" s="6">
        <v>12302</v>
      </c>
      <c r="H2189" s="6">
        <v>12194</v>
      </c>
      <c r="I2189" s="6">
        <v>17938</v>
      </c>
      <c r="J2189" s="6">
        <v>24369</v>
      </c>
      <c r="K2189" s="6">
        <v>15180</v>
      </c>
    </row>
    <row r="2190" spans="1:11" x14ac:dyDescent="0.2">
      <c r="A2190" s="1">
        <v>0.51944444444444404</v>
      </c>
      <c r="B2190" s="2">
        <v>6.1499999999999995</v>
      </c>
      <c r="C2190" s="2">
        <v>3.58</v>
      </c>
      <c r="D2190" s="2">
        <v>5.1400000000000006</v>
      </c>
      <c r="E2190" s="2">
        <v>5.3900000000000006</v>
      </c>
      <c r="F2190" s="2">
        <v>3.3200000000000003</v>
      </c>
      <c r="G2190" s="6">
        <v>9818</v>
      </c>
      <c r="H2190" s="6">
        <v>23996</v>
      </c>
      <c r="I2190" s="6">
        <v>11866</v>
      </c>
      <c r="J2190" s="6">
        <v>13083</v>
      </c>
      <c r="K2190" s="6">
        <v>13474</v>
      </c>
    </row>
    <row r="2191" spans="1:11" x14ac:dyDescent="0.2">
      <c r="A2191" s="1">
        <v>0.52013888888888904</v>
      </c>
      <c r="B2191" s="2">
        <v>6.1099999999999994</v>
      </c>
      <c r="C2191" s="2">
        <v>3.73</v>
      </c>
      <c r="D2191" s="2">
        <v>5.0600000000000005</v>
      </c>
      <c r="E2191" s="2">
        <v>5.5500000000000007</v>
      </c>
      <c r="F2191" s="2">
        <v>3.3200000000000003</v>
      </c>
      <c r="G2191" s="6">
        <v>16986</v>
      </c>
      <c r="H2191" s="6">
        <v>19241</v>
      </c>
      <c r="I2191" s="6">
        <v>10161</v>
      </c>
      <c r="J2191" s="6">
        <v>17467</v>
      </c>
      <c r="K2191" s="6">
        <v>21939</v>
      </c>
    </row>
    <row r="2192" spans="1:11" x14ac:dyDescent="0.2">
      <c r="A2192" s="1">
        <v>0.52083333333333304</v>
      </c>
      <c r="B2192" s="2">
        <v>6.25</v>
      </c>
      <c r="C2192" s="2">
        <v>3.8600000000000003</v>
      </c>
      <c r="D2192" s="2">
        <v>5.0200000000000005</v>
      </c>
      <c r="E2192" s="2">
        <v>5.0600000000000005</v>
      </c>
      <c r="F2192" s="2">
        <v>3.22</v>
      </c>
      <c r="G2192" s="6">
        <v>9870</v>
      </c>
      <c r="H2192" s="6">
        <v>16441</v>
      </c>
      <c r="I2192" s="6">
        <v>14356</v>
      </c>
      <c r="J2192" s="6">
        <v>20107</v>
      </c>
      <c r="K2192" s="6">
        <v>17683</v>
      </c>
    </row>
    <row r="2193" spans="1:11" x14ac:dyDescent="0.2">
      <c r="A2193" s="1">
        <v>0.52152777777777803</v>
      </c>
      <c r="B2193" s="2">
        <v>6.21</v>
      </c>
      <c r="C2193" s="2">
        <v>3.66</v>
      </c>
      <c r="D2193" s="2">
        <v>5.2</v>
      </c>
      <c r="E2193" s="2">
        <v>5.45</v>
      </c>
      <c r="F2193" s="2">
        <v>3.25</v>
      </c>
      <c r="G2193" s="6">
        <v>19646</v>
      </c>
      <c r="H2193" s="6">
        <v>22542</v>
      </c>
      <c r="I2193" s="6">
        <v>16240</v>
      </c>
      <c r="J2193" s="6">
        <v>16692</v>
      </c>
      <c r="K2193" s="6">
        <v>18328</v>
      </c>
    </row>
    <row r="2194" spans="1:11" x14ac:dyDescent="0.2">
      <c r="A2194" s="1">
        <v>0.52222222222222203</v>
      </c>
      <c r="B2194" s="2">
        <v>6.2299999999999995</v>
      </c>
      <c r="C2194" s="2">
        <v>3.83</v>
      </c>
      <c r="D2194" s="2">
        <v>5.32</v>
      </c>
      <c r="E2194" s="2">
        <v>5.23</v>
      </c>
      <c r="F2194" s="2">
        <v>3.02</v>
      </c>
      <c r="G2194" s="6">
        <v>16910</v>
      </c>
      <c r="H2194" s="6">
        <v>13608</v>
      </c>
      <c r="I2194" s="6">
        <v>17212</v>
      </c>
      <c r="J2194" s="6">
        <v>23797</v>
      </c>
      <c r="K2194" s="6">
        <v>27622</v>
      </c>
    </row>
    <row r="2195" spans="1:11" x14ac:dyDescent="0.2">
      <c r="A2195" s="1">
        <v>0.52291666666666703</v>
      </c>
      <c r="B2195" s="2">
        <v>6.29</v>
      </c>
      <c r="C2195" s="2">
        <v>3.72</v>
      </c>
      <c r="D2195" s="2">
        <v>4.95</v>
      </c>
      <c r="E2195" s="2">
        <v>5.07</v>
      </c>
      <c r="F2195" s="2">
        <v>3.3000000000000003</v>
      </c>
      <c r="G2195" s="6">
        <v>13032</v>
      </c>
      <c r="H2195" s="6">
        <v>18069</v>
      </c>
      <c r="I2195" s="6">
        <v>14653</v>
      </c>
      <c r="J2195" s="6">
        <v>26051</v>
      </c>
      <c r="K2195" s="6">
        <v>25384</v>
      </c>
    </row>
    <row r="2196" spans="1:11" x14ac:dyDescent="0.2">
      <c r="A2196" s="1">
        <v>0.52361111111111103</v>
      </c>
      <c r="B2196" s="2">
        <v>6.1899999999999995</v>
      </c>
      <c r="C2196" s="2">
        <v>3.85</v>
      </c>
      <c r="D2196" s="2">
        <v>5.18</v>
      </c>
      <c r="E2196" s="2">
        <v>5.4</v>
      </c>
      <c r="F2196" s="2">
        <v>2.96</v>
      </c>
      <c r="G2196" s="6">
        <v>16700</v>
      </c>
      <c r="H2196" s="6">
        <v>14920</v>
      </c>
      <c r="I2196" s="6">
        <v>11681</v>
      </c>
      <c r="J2196" s="6">
        <v>26872</v>
      </c>
      <c r="K2196" s="6">
        <v>18523</v>
      </c>
    </row>
    <row r="2197" spans="1:11" x14ac:dyDescent="0.2">
      <c r="A2197" s="1">
        <v>0.52430555555555602</v>
      </c>
      <c r="B2197" s="2">
        <v>6.14</v>
      </c>
      <c r="C2197" s="2">
        <v>3.87</v>
      </c>
      <c r="D2197" s="2">
        <v>5.28</v>
      </c>
      <c r="E2197" s="2">
        <v>5.15</v>
      </c>
      <c r="F2197" s="2">
        <v>2.97</v>
      </c>
      <c r="G2197" s="6">
        <v>17860</v>
      </c>
      <c r="H2197" s="6">
        <v>19174</v>
      </c>
      <c r="I2197" s="6">
        <v>13160</v>
      </c>
      <c r="J2197" s="6">
        <v>23357</v>
      </c>
      <c r="K2197" s="6">
        <v>18482</v>
      </c>
    </row>
    <row r="2198" spans="1:11" x14ac:dyDescent="0.2">
      <c r="A2198" s="1">
        <v>0.52500000000000002</v>
      </c>
      <c r="B2198" s="2">
        <v>6.14</v>
      </c>
      <c r="C2198" s="2">
        <v>3.68</v>
      </c>
      <c r="D2198" s="2">
        <v>5.04</v>
      </c>
      <c r="E2198" s="2">
        <v>5.5400000000000009</v>
      </c>
      <c r="F2198" s="2">
        <v>2.9</v>
      </c>
      <c r="G2198" s="6">
        <v>13092</v>
      </c>
      <c r="H2198" s="6">
        <v>24459</v>
      </c>
      <c r="I2198" s="6">
        <v>12934</v>
      </c>
      <c r="J2198" s="6">
        <v>17246</v>
      </c>
      <c r="K2198" s="6">
        <v>23158</v>
      </c>
    </row>
    <row r="2199" spans="1:11" x14ac:dyDescent="0.2">
      <c r="A2199" s="1">
        <v>0.52569444444444402</v>
      </c>
      <c r="B2199" s="2">
        <v>6.34</v>
      </c>
      <c r="C2199" s="2">
        <v>3.75</v>
      </c>
      <c r="D2199" s="2">
        <v>5.08</v>
      </c>
      <c r="E2199" s="2">
        <v>5.48</v>
      </c>
      <c r="F2199" s="2">
        <v>2.89</v>
      </c>
      <c r="G2199" s="6">
        <v>12305</v>
      </c>
      <c r="H2199" s="6">
        <v>12896</v>
      </c>
      <c r="I2199" s="6">
        <v>21205</v>
      </c>
      <c r="J2199" s="6">
        <v>24234</v>
      </c>
      <c r="K2199" s="6">
        <v>22627</v>
      </c>
    </row>
    <row r="2200" spans="1:11" x14ac:dyDescent="0.2">
      <c r="A2200" s="1">
        <v>0.52638888888888902</v>
      </c>
      <c r="B2200" s="2">
        <v>6.1099999999999994</v>
      </c>
      <c r="C2200" s="2">
        <v>3.85</v>
      </c>
      <c r="D2200" s="2">
        <v>5.01</v>
      </c>
      <c r="E2200" s="2">
        <v>5.1800000000000006</v>
      </c>
      <c r="F2200" s="2">
        <v>2.91</v>
      </c>
      <c r="G2200" s="6">
        <v>15710</v>
      </c>
      <c r="H2200" s="6">
        <v>17431</v>
      </c>
      <c r="I2200" s="6">
        <v>15131</v>
      </c>
      <c r="J2200" s="6">
        <v>25046</v>
      </c>
      <c r="K2200" s="6">
        <v>14905</v>
      </c>
    </row>
    <row r="2201" spans="1:11" x14ac:dyDescent="0.2">
      <c r="A2201" s="1">
        <v>0.52708333333333302</v>
      </c>
      <c r="B2201" s="2">
        <v>6.2</v>
      </c>
      <c r="C2201" s="2">
        <v>3.65</v>
      </c>
      <c r="D2201" s="2">
        <v>5.23</v>
      </c>
      <c r="E2201" s="2">
        <v>5.0600000000000005</v>
      </c>
      <c r="F2201" s="2">
        <v>2.89</v>
      </c>
      <c r="G2201" s="6">
        <v>19505</v>
      </c>
      <c r="H2201" s="6">
        <v>14463</v>
      </c>
      <c r="I2201" s="6">
        <v>22908</v>
      </c>
      <c r="J2201" s="6">
        <v>24256</v>
      </c>
      <c r="K2201" s="6">
        <v>20761</v>
      </c>
    </row>
    <row r="2202" spans="1:11" x14ac:dyDescent="0.2">
      <c r="A2202" s="1">
        <v>0.52777777777777801</v>
      </c>
      <c r="B2202" s="2">
        <v>6.35</v>
      </c>
      <c r="C2202" s="2">
        <v>3.84</v>
      </c>
      <c r="D2202" s="2">
        <v>4.9400000000000004</v>
      </c>
      <c r="E2202" s="2">
        <v>5.49</v>
      </c>
      <c r="F2202" s="2">
        <v>2.92</v>
      </c>
      <c r="G2202" s="6">
        <v>15732</v>
      </c>
      <c r="H2202" s="6">
        <v>20259</v>
      </c>
      <c r="I2202" s="6">
        <v>12820</v>
      </c>
      <c r="J2202" s="6">
        <v>16972</v>
      </c>
      <c r="K2202" s="6">
        <v>13888</v>
      </c>
    </row>
    <row r="2203" spans="1:11" x14ac:dyDescent="0.2">
      <c r="A2203" s="1">
        <v>0.52847222222222201</v>
      </c>
      <c r="B2203" s="2">
        <v>6.34</v>
      </c>
      <c r="C2203" s="2">
        <v>3.63</v>
      </c>
      <c r="D2203" s="2">
        <v>5.2</v>
      </c>
      <c r="E2203" s="2">
        <v>5.3100000000000005</v>
      </c>
      <c r="F2203" s="2">
        <v>3.2</v>
      </c>
      <c r="G2203" s="6">
        <v>14147</v>
      </c>
      <c r="H2203" s="6">
        <v>17950</v>
      </c>
      <c r="I2203" s="6">
        <v>23579</v>
      </c>
      <c r="J2203" s="6">
        <v>21567</v>
      </c>
      <c r="K2203" s="6">
        <v>13482</v>
      </c>
    </row>
    <row r="2204" spans="1:11" x14ac:dyDescent="0.2">
      <c r="A2204" s="1">
        <v>0.52916666666666701</v>
      </c>
      <c r="B2204" s="2">
        <v>6.34</v>
      </c>
      <c r="C2204" s="2">
        <v>3.8600000000000003</v>
      </c>
      <c r="D2204" s="2">
        <v>5.29</v>
      </c>
      <c r="E2204" s="2">
        <v>5.3800000000000008</v>
      </c>
      <c r="F2204" s="2">
        <v>3.18</v>
      </c>
      <c r="G2204" s="6">
        <v>13390</v>
      </c>
      <c r="H2204" s="6">
        <v>15026</v>
      </c>
      <c r="I2204" s="6">
        <v>23202</v>
      </c>
      <c r="J2204" s="6">
        <v>17102</v>
      </c>
      <c r="K2204" s="6">
        <v>28498</v>
      </c>
    </row>
    <row r="2205" spans="1:11" x14ac:dyDescent="0.2">
      <c r="A2205" s="1">
        <v>0.52986111111111101</v>
      </c>
      <c r="B2205" s="2">
        <v>6.09</v>
      </c>
      <c r="C2205" s="2">
        <v>3.87</v>
      </c>
      <c r="D2205" s="2">
        <v>5.15</v>
      </c>
      <c r="E2205" s="2">
        <v>5.53</v>
      </c>
      <c r="F2205" s="2">
        <v>3.38</v>
      </c>
      <c r="G2205" s="6">
        <v>20462</v>
      </c>
      <c r="H2205" s="6">
        <v>13025</v>
      </c>
      <c r="I2205" s="6">
        <v>8478</v>
      </c>
      <c r="J2205" s="6">
        <v>24229</v>
      </c>
      <c r="K2205" s="6">
        <v>25525</v>
      </c>
    </row>
    <row r="2206" spans="1:11" x14ac:dyDescent="0.2">
      <c r="A2206" s="1">
        <v>0.530555555555556</v>
      </c>
      <c r="B2206" s="2">
        <v>6.14</v>
      </c>
      <c r="C2206" s="2">
        <v>3.71</v>
      </c>
      <c r="D2206" s="2">
        <v>5.04</v>
      </c>
      <c r="E2206" s="2">
        <v>5.16</v>
      </c>
      <c r="F2206" s="2">
        <v>2.98</v>
      </c>
      <c r="G2206" s="6">
        <v>20044</v>
      </c>
      <c r="H2206" s="6">
        <v>14315</v>
      </c>
      <c r="I2206" s="6">
        <v>13979</v>
      </c>
      <c r="J2206" s="6">
        <v>16936</v>
      </c>
      <c r="K2206" s="6">
        <v>27901</v>
      </c>
    </row>
    <row r="2207" spans="1:11" x14ac:dyDescent="0.2">
      <c r="A2207" s="1">
        <v>0.53125</v>
      </c>
      <c r="B2207" s="2">
        <v>6.1499999999999995</v>
      </c>
      <c r="C2207" s="2">
        <v>3.69</v>
      </c>
      <c r="D2207" s="2">
        <v>4.91</v>
      </c>
      <c r="E2207" s="2">
        <v>5.29</v>
      </c>
      <c r="F2207" s="2">
        <v>3.31</v>
      </c>
      <c r="G2207" s="6">
        <v>12159</v>
      </c>
      <c r="H2207" s="6">
        <v>17179</v>
      </c>
      <c r="I2207" s="6">
        <v>14483</v>
      </c>
      <c r="J2207" s="6">
        <v>25790</v>
      </c>
      <c r="K2207" s="6">
        <v>19280</v>
      </c>
    </row>
    <row r="2208" spans="1:11" x14ac:dyDescent="0.2">
      <c r="A2208" s="1">
        <v>0.531944444444444</v>
      </c>
      <c r="B2208" s="2">
        <v>6.32</v>
      </c>
      <c r="C2208" s="2">
        <v>3.79</v>
      </c>
      <c r="D2208" s="2">
        <v>5.2</v>
      </c>
      <c r="E2208" s="2">
        <v>5.25</v>
      </c>
      <c r="F2208" s="2">
        <v>3.12</v>
      </c>
      <c r="G2208" s="6">
        <v>19005</v>
      </c>
      <c r="H2208" s="6">
        <v>23773</v>
      </c>
      <c r="I2208" s="6">
        <v>20501</v>
      </c>
      <c r="J2208" s="6">
        <v>26044</v>
      </c>
      <c r="K2208" s="6">
        <v>16435</v>
      </c>
    </row>
    <row r="2209" spans="1:11" x14ac:dyDescent="0.2">
      <c r="A2209" s="1">
        <v>0.53263888888888899</v>
      </c>
      <c r="B2209" s="2">
        <v>6.26</v>
      </c>
      <c r="C2209" s="2">
        <v>3.85</v>
      </c>
      <c r="D2209" s="2">
        <v>4.88</v>
      </c>
      <c r="E2209" s="2">
        <v>5.25</v>
      </c>
      <c r="F2209" s="2">
        <v>3.37</v>
      </c>
      <c r="G2209" s="6">
        <v>22716</v>
      </c>
      <c r="H2209" s="6">
        <v>23451</v>
      </c>
      <c r="I2209" s="6">
        <v>8600</v>
      </c>
      <c r="J2209" s="6">
        <v>26898</v>
      </c>
      <c r="K2209" s="6">
        <v>17559</v>
      </c>
    </row>
    <row r="2210" spans="1:11" x14ac:dyDescent="0.2">
      <c r="A2210" s="1">
        <v>0.53333333333333299</v>
      </c>
      <c r="B2210" s="2">
        <v>6.21</v>
      </c>
      <c r="C2210" s="2">
        <v>3.69</v>
      </c>
      <c r="D2210" s="2">
        <v>5.09</v>
      </c>
      <c r="E2210" s="2">
        <v>5.4300000000000006</v>
      </c>
      <c r="F2210" s="2">
        <v>3.16</v>
      </c>
      <c r="G2210" s="6">
        <v>17362</v>
      </c>
      <c r="H2210" s="6">
        <v>21181</v>
      </c>
      <c r="I2210" s="6">
        <v>7746</v>
      </c>
      <c r="J2210" s="6">
        <v>14771</v>
      </c>
      <c r="K2210" s="6">
        <v>27367</v>
      </c>
    </row>
    <row r="2211" spans="1:11" x14ac:dyDescent="0.2">
      <c r="A2211" s="1">
        <v>0.53402777777777799</v>
      </c>
      <c r="B2211" s="2">
        <v>6.24</v>
      </c>
      <c r="C2211" s="2">
        <v>3.79</v>
      </c>
      <c r="D2211" s="2">
        <v>5.16</v>
      </c>
      <c r="E2211" s="2">
        <v>5</v>
      </c>
      <c r="F2211" s="2">
        <v>2.92</v>
      </c>
      <c r="G2211" s="6">
        <v>11578</v>
      </c>
      <c r="H2211" s="6">
        <v>17122</v>
      </c>
      <c r="I2211" s="6">
        <v>20980</v>
      </c>
      <c r="J2211" s="6">
        <v>18539</v>
      </c>
      <c r="K2211" s="6">
        <v>17742</v>
      </c>
    </row>
    <row r="2212" spans="1:11" x14ac:dyDescent="0.2">
      <c r="A2212" s="1">
        <v>0.53472222222222199</v>
      </c>
      <c r="B2212" s="2">
        <v>6.34</v>
      </c>
      <c r="C2212" s="2">
        <v>3.7600000000000002</v>
      </c>
      <c r="D2212" s="2">
        <v>5</v>
      </c>
      <c r="E2212" s="2">
        <v>5.45</v>
      </c>
      <c r="F2212" s="2">
        <v>2.9</v>
      </c>
      <c r="G2212" s="6">
        <v>21359</v>
      </c>
      <c r="H2212" s="6">
        <v>18289</v>
      </c>
      <c r="I2212" s="6">
        <v>7820</v>
      </c>
      <c r="J2212" s="6">
        <v>17353</v>
      </c>
      <c r="K2212" s="6">
        <v>18397</v>
      </c>
    </row>
    <row r="2213" spans="1:11" x14ac:dyDescent="0.2">
      <c r="A2213" s="1">
        <v>0.53541666666666698</v>
      </c>
      <c r="B2213" s="2">
        <v>6.28</v>
      </c>
      <c r="C2213" s="2">
        <v>3.73</v>
      </c>
      <c r="D2213" s="2">
        <v>5.04</v>
      </c>
      <c r="E2213" s="2">
        <v>5.5400000000000009</v>
      </c>
      <c r="F2213" s="2">
        <v>3.06</v>
      </c>
      <c r="G2213" s="6">
        <v>17436</v>
      </c>
      <c r="H2213" s="6">
        <v>20654</v>
      </c>
      <c r="I2213" s="6">
        <v>13449</v>
      </c>
      <c r="J2213" s="6">
        <v>27347</v>
      </c>
      <c r="K2213" s="6">
        <v>23653</v>
      </c>
    </row>
    <row r="2214" spans="1:11" x14ac:dyDescent="0.2">
      <c r="A2214" s="1">
        <v>0.53611111111111098</v>
      </c>
      <c r="B2214" s="2">
        <v>6.26</v>
      </c>
      <c r="C2214" s="2">
        <v>3.81</v>
      </c>
      <c r="D2214" s="2">
        <v>5.0200000000000005</v>
      </c>
      <c r="E2214" s="2">
        <v>5.45</v>
      </c>
      <c r="F2214" s="2">
        <v>2.93</v>
      </c>
      <c r="G2214" s="6">
        <v>17030</v>
      </c>
      <c r="H2214" s="6">
        <v>11599</v>
      </c>
      <c r="I2214" s="6">
        <v>11885</v>
      </c>
      <c r="J2214" s="6">
        <v>18616</v>
      </c>
      <c r="K2214" s="6">
        <v>25448</v>
      </c>
    </row>
    <row r="2215" spans="1:11" x14ac:dyDescent="0.2">
      <c r="A2215" s="1">
        <v>0.53680555555555598</v>
      </c>
      <c r="B2215" s="2">
        <v>6.1499999999999995</v>
      </c>
      <c r="C2215" s="2">
        <v>3.6</v>
      </c>
      <c r="D2215" s="2">
        <v>5.22</v>
      </c>
      <c r="E2215" s="2">
        <v>5.15</v>
      </c>
      <c r="F2215" s="2">
        <v>3</v>
      </c>
      <c r="G2215" s="6">
        <v>21377</v>
      </c>
      <c r="H2215" s="6">
        <v>24074</v>
      </c>
      <c r="I2215" s="6">
        <v>7867</v>
      </c>
      <c r="J2215" s="6">
        <v>25385</v>
      </c>
      <c r="K2215" s="6">
        <v>26709</v>
      </c>
    </row>
    <row r="2216" spans="1:11" x14ac:dyDescent="0.2">
      <c r="A2216" s="1">
        <v>0.53749999999999998</v>
      </c>
      <c r="B2216" s="2">
        <v>6.28</v>
      </c>
      <c r="C2216" s="2">
        <v>3.64</v>
      </c>
      <c r="D2216" s="2">
        <v>5.34</v>
      </c>
      <c r="E2216" s="2">
        <v>5.19</v>
      </c>
      <c r="F2216" s="2">
        <v>3.0700000000000003</v>
      </c>
      <c r="G2216" s="6">
        <v>12484</v>
      </c>
      <c r="H2216" s="6">
        <v>13433</v>
      </c>
      <c r="I2216" s="6">
        <v>19432</v>
      </c>
      <c r="J2216" s="6">
        <v>20899</v>
      </c>
      <c r="K2216" s="6">
        <v>18072</v>
      </c>
    </row>
    <row r="2217" spans="1:11" x14ac:dyDescent="0.2">
      <c r="A2217" s="1">
        <v>0.53819444444444398</v>
      </c>
      <c r="B2217" s="2">
        <v>6.09</v>
      </c>
      <c r="C2217" s="2">
        <v>3.58</v>
      </c>
      <c r="D2217" s="2">
        <v>5.1400000000000006</v>
      </c>
      <c r="E2217" s="2">
        <v>5.25</v>
      </c>
      <c r="F2217" s="2">
        <v>3.04</v>
      </c>
      <c r="G2217" s="6">
        <v>14984</v>
      </c>
      <c r="H2217" s="6">
        <v>16850</v>
      </c>
      <c r="I2217" s="6">
        <v>14944</v>
      </c>
      <c r="J2217" s="6">
        <v>23683</v>
      </c>
      <c r="K2217" s="6">
        <v>29378</v>
      </c>
    </row>
    <row r="2218" spans="1:11" x14ac:dyDescent="0.2">
      <c r="A2218" s="1">
        <v>0.53888888888888897</v>
      </c>
      <c r="B2218" s="2">
        <v>6.25</v>
      </c>
      <c r="C2218" s="2">
        <v>3.77</v>
      </c>
      <c r="D2218" s="2">
        <v>5.12</v>
      </c>
      <c r="E2218" s="2">
        <v>5.65</v>
      </c>
      <c r="F2218" s="2">
        <v>3.18</v>
      </c>
      <c r="G2218" s="6">
        <v>14134</v>
      </c>
      <c r="H2218" s="6">
        <v>15581</v>
      </c>
      <c r="I2218" s="6">
        <v>21890</v>
      </c>
      <c r="J2218" s="6">
        <v>12456</v>
      </c>
      <c r="K2218" s="6">
        <v>14138</v>
      </c>
    </row>
    <row r="2219" spans="1:11" x14ac:dyDescent="0.2">
      <c r="A2219" s="1">
        <v>0.53958333333333297</v>
      </c>
      <c r="B2219" s="2">
        <v>6.24</v>
      </c>
      <c r="C2219" s="2">
        <v>3.7800000000000002</v>
      </c>
      <c r="D2219" s="2">
        <v>4.97</v>
      </c>
      <c r="E2219" s="2">
        <v>5.36</v>
      </c>
      <c r="F2219" s="2">
        <v>2.89</v>
      </c>
      <c r="G2219" s="6">
        <v>21098</v>
      </c>
      <c r="H2219" s="6">
        <v>24541</v>
      </c>
      <c r="I2219" s="6">
        <v>23797</v>
      </c>
      <c r="J2219" s="6">
        <v>23634</v>
      </c>
      <c r="K2219" s="6">
        <v>14884</v>
      </c>
    </row>
    <row r="2220" spans="1:11" x14ac:dyDescent="0.2">
      <c r="A2220" s="1">
        <v>0.54027777777777797</v>
      </c>
      <c r="B2220" s="2">
        <v>6.13</v>
      </c>
      <c r="C2220" s="2">
        <v>3.8000000000000003</v>
      </c>
      <c r="D2220" s="2">
        <v>5.1100000000000003</v>
      </c>
      <c r="E2220" s="2">
        <v>5</v>
      </c>
      <c r="F2220" s="2">
        <v>3.2600000000000002</v>
      </c>
      <c r="G2220" s="6">
        <v>14945</v>
      </c>
      <c r="H2220" s="6">
        <v>17592</v>
      </c>
      <c r="I2220" s="6">
        <v>8390</v>
      </c>
      <c r="J2220" s="6">
        <v>15162</v>
      </c>
      <c r="K2220" s="6">
        <v>17834</v>
      </c>
    </row>
    <row r="2221" spans="1:11" x14ac:dyDescent="0.2">
      <c r="A2221" s="1">
        <v>0.54097222222222197</v>
      </c>
      <c r="B2221" s="2">
        <v>6.22</v>
      </c>
      <c r="C2221" s="2">
        <v>3.73</v>
      </c>
      <c r="D2221" s="2">
        <v>5.32</v>
      </c>
      <c r="E2221" s="2">
        <v>5.37</v>
      </c>
      <c r="F2221" s="2">
        <v>3.0700000000000003</v>
      </c>
      <c r="G2221" s="6">
        <v>20775</v>
      </c>
      <c r="H2221" s="6">
        <v>17326</v>
      </c>
      <c r="I2221" s="6">
        <v>10215</v>
      </c>
      <c r="J2221" s="6">
        <v>17270</v>
      </c>
      <c r="K2221" s="6">
        <v>28619</v>
      </c>
    </row>
    <row r="2222" spans="1:11" x14ac:dyDescent="0.2">
      <c r="A2222" s="3">
        <v>0.54166666666666696</v>
      </c>
      <c r="B2222" s="2">
        <v>6.21</v>
      </c>
      <c r="C2222" s="2">
        <v>3.74</v>
      </c>
      <c r="D2222" s="2">
        <v>5.1100000000000003</v>
      </c>
      <c r="E2222" s="2">
        <v>5.32</v>
      </c>
      <c r="F2222" s="2">
        <v>3.18</v>
      </c>
      <c r="G2222" s="6">
        <v>21760</v>
      </c>
      <c r="H2222" s="6">
        <v>23060</v>
      </c>
      <c r="I2222" s="6">
        <v>24150</v>
      </c>
      <c r="J2222" s="6">
        <v>25460</v>
      </c>
      <c r="K2222" s="6">
        <v>27150</v>
      </c>
    </row>
    <row r="2223" spans="1:11" x14ac:dyDescent="0.2">
      <c r="A2223" s="1">
        <v>0.54236111111111096</v>
      </c>
      <c r="B2223" s="2">
        <v>6.28</v>
      </c>
      <c r="C2223" s="2">
        <v>3.7</v>
      </c>
      <c r="D2223" s="2">
        <v>4.9400000000000004</v>
      </c>
      <c r="E2223" s="2">
        <v>5.5900000000000007</v>
      </c>
      <c r="F2223" s="2">
        <v>3.0100000000000002</v>
      </c>
      <c r="G2223" s="6">
        <v>18992</v>
      </c>
      <c r="H2223" s="6">
        <v>25877</v>
      </c>
      <c r="I2223" s="6">
        <v>23106</v>
      </c>
      <c r="J2223" s="6">
        <v>20037</v>
      </c>
      <c r="K2223" s="6">
        <v>26206</v>
      </c>
    </row>
    <row r="2224" spans="1:11" x14ac:dyDescent="0.2">
      <c r="A2224" s="1">
        <v>0.54305555555555596</v>
      </c>
      <c r="B2224" s="2">
        <v>6.13</v>
      </c>
      <c r="C2224" s="2">
        <v>3.72</v>
      </c>
      <c r="D2224" s="2">
        <v>5</v>
      </c>
      <c r="E2224" s="2">
        <v>5</v>
      </c>
      <c r="F2224" s="2">
        <v>3.06</v>
      </c>
      <c r="G2224" s="6">
        <v>27425</v>
      </c>
      <c r="H2224" s="6">
        <v>25335</v>
      </c>
      <c r="I2224" s="6">
        <v>27011</v>
      </c>
      <c r="J2224" s="6">
        <v>23574</v>
      </c>
      <c r="K2224" s="6">
        <v>24646</v>
      </c>
    </row>
    <row r="2225" spans="1:11" x14ac:dyDescent="0.2">
      <c r="A2225" s="1">
        <v>0.54374999999999996</v>
      </c>
      <c r="B2225" s="2">
        <v>6.1099999999999994</v>
      </c>
      <c r="C2225" s="2">
        <v>3.7600000000000002</v>
      </c>
      <c r="D2225" s="2">
        <v>4.88</v>
      </c>
      <c r="E2225" s="2">
        <v>5.1800000000000006</v>
      </c>
      <c r="F2225" s="2">
        <v>3.2600000000000002</v>
      </c>
      <c r="G2225" s="6">
        <v>20075</v>
      </c>
      <c r="H2225" s="6">
        <v>30796</v>
      </c>
      <c r="I2225" s="6">
        <v>24867</v>
      </c>
      <c r="J2225" s="6">
        <v>24987</v>
      </c>
      <c r="K2225" s="6">
        <v>23870</v>
      </c>
    </row>
    <row r="2226" spans="1:11" x14ac:dyDescent="0.2">
      <c r="A2226" s="1">
        <v>0.54444444444444495</v>
      </c>
      <c r="B2226" s="2">
        <v>6.17</v>
      </c>
      <c r="C2226" s="2">
        <v>3.7800000000000002</v>
      </c>
      <c r="D2226" s="2">
        <v>5.01</v>
      </c>
      <c r="E2226" s="2">
        <v>5.6400000000000006</v>
      </c>
      <c r="F2226" s="2">
        <v>3.18</v>
      </c>
      <c r="G2226" s="6">
        <v>23632</v>
      </c>
      <c r="H2226" s="6">
        <v>26542</v>
      </c>
      <c r="I2226" s="6">
        <v>26846</v>
      </c>
      <c r="J2226" s="6">
        <v>20132</v>
      </c>
      <c r="K2226" s="6">
        <v>21724</v>
      </c>
    </row>
    <row r="2227" spans="1:11" x14ac:dyDescent="0.2">
      <c r="A2227" s="1">
        <v>0.54513888888888895</v>
      </c>
      <c r="B2227" s="2">
        <v>6.1</v>
      </c>
      <c r="C2227" s="2">
        <v>3.75</v>
      </c>
      <c r="D2227" s="2">
        <v>4.92</v>
      </c>
      <c r="E2227" s="2">
        <v>5.0900000000000007</v>
      </c>
      <c r="F2227" s="2">
        <v>3.0300000000000002</v>
      </c>
      <c r="G2227" s="6">
        <v>28932</v>
      </c>
      <c r="H2227" s="6">
        <v>29599</v>
      </c>
      <c r="I2227" s="6">
        <v>24674</v>
      </c>
      <c r="J2227" s="6">
        <v>23316</v>
      </c>
      <c r="K2227" s="6">
        <v>22437</v>
      </c>
    </row>
    <row r="2228" spans="1:11" x14ac:dyDescent="0.2">
      <c r="A2228" s="1">
        <v>0.54583333333333295</v>
      </c>
      <c r="B2228" s="2">
        <v>6.1899999999999995</v>
      </c>
      <c r="C2228" s="2">
        <v>3.72</v>
      </c>
      <c r="D2228" s="2">
        <v>5.0200000000000005</v>
      </c>
      <c r="E2228" s="2">
        <v>5.57</v>
      </c>
      <c r="F2228" s="2">
        <v>3.31</v>
      </c>
      <c r="G2228" s="6">
        <v>28195</v>
      </c>
      <c r="H2228" s="6">
        <v>30479</v>
      </c>
      <c r="I2228" s="6">
        <v>21584</v>
      </c>
      <c r="J2228" s="6">
        <v>28326</v>
      </c>
      <c r="K2228" s="6">
        <v>26843</v>
      </c>
    </row>
    <row r="2229" spans="1:11" x14ac:dyDescent="0.2">
      <c r="A2229" s="1">
        <v>0.54652777777777795</v>
      </c>
      <c r="B2229" s="2">
        <v>6.28</v>
      </c>
      <c r="C2229" s="2">
        <v>3.68</v>
      </c>
      <c r="D2229" s="2">
        <v>5.1100000000000003</v>
      </c>
      <c r="E2229" s="2">
        <v>5.03</v>
      </c>
      <c r="F2229" s="2">
        <v>3.35</v>
      </c>
      <c r="G2229" s="6">
        <v>28589</v>
      </c>
      <c r="H2229" s="6">
        <v>30473</v>
      </c>
      <c r="I2229" s="6">
        <v>27511</v>
      </c>
      <c r="J2229" s="6">
        <v>28353</v>
      </c>
      <c r="K2229" s="6">
        <v>25894</v>
      </c>
    </row>
    <row r="2230" spans="1:11" x14ac:dyDescent="0.2">
      <c r="A2230" s="1">
        <v>0.54722222222222205</v>
      </c>
      <c r="B2230" s="2">
        <v>6.12</v>
      </c>
      <c r="C2230" s="2">
        <v>3.67</v>
      </c>
      <c r="D2230" s="2">
        <v>5.19</v>
      </c>
      <c r="E2230" s="2">
        <v>5.6300000000000008</v>
      </c>
      <c r="F2230" s="2">
        <v>3.19</v>
      </c>
      <c r="G2230" s="6">
        <v>23847</v>
      </c>
      <c r="H2230" s="6">
        <v>21831</v>
      </c>
      <c r="I2230" s="6">
        <v>25970</v>
      </c>
      <c r="J2230" s="6">
        <v>27019</v>
      </c>
      <c r="K2230" s="6">
        <v>25540</v>
      </c>
    </row>
    <row r="2231" spans="1:11" x14ac:dyDescent="0.2">
      <c r="A2231" s="1">
        <v>0.54791666666666705</v>
      </c>
      <c r="B2231" s="2">
        <v>6.34</v>
      </c>
      <c r="C2231" s="2">
        <v>3.7</v>
      </c>
      <c r="D2231" s="2">
        <v>4.96</v>
      </c>
      <c r="E2231" s="2">
        <v>5.3000000000000007</v>
      </c>
      <c r="F2231" s="2">
        <v>3.33</v>
      </c>
      <c r="G2231" s="6">
        <v>20330</v>
      </c>
      <c r="H2231" s="6">
        <v>27225</v>
      </c>
      <c r="I2231" s="6">
        <v>26451</v>
      </c>
      <c r="J2231" s="6">
        <v>21553</v>
      </c>
      <c r="K2231" s="6">
        <v>23872</v>
      </c>
    </row>
    <row r="2232" spans="1:11" x14ac:dyDescent="0.2">
      <c r="A2232" s="1">
        <v>0.54861111111111105</v>
      </c>
      <c r="B2232" s="2">
        <v>6.35</v>
      </c>
      <c r="C2232" s="2">
        <v>3.62</v>
      </c>
      <c r="D2232" s="2">
        <v>5.32</v>
      </c>
      <c r="E2232" s="2">
        <v>5.28</v>
      </c>
      <c r="F2232" s="2">
        <v>3.13</v>
      </c>
      <c r="G2232" s="6">
        <v>25192</v>
      </c>
      <c r="H2232" s="6">
        <v>29184</v>
      </c>
      <c r="I2232" s="6">
        <v>21071</v>
      </c>
      <c r="J2232" s="6">
        <v>21380</v>
      </c>
      <c r="K2232" s="6">
        <v>26426</v>
      </c>
    </row>
    <row r="2233" spans="1:11" x14ac:dyDescent="0.2">
      <c r="A2233" s="1">
        <v>0.54930555555555605</v>
      </c>
      <c r="B2233" s="2">
        <v>6.27</v>
      </c>
      <c r="C2233" s="2">
        <v>3.6</v>
      </c>
      <c r="D2233" s="2">
        <v>5.1100000000000003</v>
      </c>
      <c r="E2233" s="2">
        <v>5.1300000000000008</v>
      </c>
      <c r="F2233" s="2">
        <v>2.96</v>
      </c>
      <c r="G2233" s="6">
        <v>26974</v>
      </c>
      <c r="H2233" s="6">
        <v>26069</v>
      </c>
      <c r="I2233" s="6">
        <v>25887</v>
      </c>
      <c r="J2233" s="6">
        <v>20280</v>
      </c>
      <c r="K2233" s="6">
        <v>23981</v>
      </c>
    </row>
    <row r="2234" spans="1:11" x14ac:dyDescent="0.2">
      <c r="A2234" s="1">
        <v>0.55000000000000004</v>
      </c>
      <c r="B2234" s="2">
        <v>6.18</v>
      </c>
      <c r="C2234" s="2">
        <v>3.63</v>
      </c>
      <c r="D2234" s="2">
        <v>5.1400000000000006</v>
      </c>
      <c r="E2234" s="2">
        <v>5.12</v>
      </c>
      <c r="F2234" s="2">
        <v>3.12</v>
      </c>
      <c r="G2234" s="6">
        <v>18968</v>
      </c>
      <c r="H2234" s="6">
        <v>26360</v>
      </c>
      <c r="I2234" s="6">
        <v>24530</v>
      </c>
      <c r="J2234" s="6">
        <v>21558</v>
      </c>
      <c r="K2234" s="6">
        <v>22047</v>
      </c>
    </row>
    <row r="2235" spans="1:11" x14ac:dyDescent="0.2">
      <c r="A2235" s="1">
        <v>0.55069444444444404</v>
      </c>
      <c r="B2235" s="2">
        <v>6.14</v>
      </c>
      <c r="C2235" s="2">
        <v>3.8200000000000003</v>
      </c>
      <c r="D2235" s="2">
        <v>4.9000000000000004</v>
      </c>
      <c r="E2235" s="2">
        <v>5.61</v>
      </c>
      <c r="F2235" s="2">
        <v>3.2600000000000002</v>
      </c>
      <c r="G2235" s="6">
        <v>22545</v>
      </c>
      <c r="H2235" s="6">
        <v>30532</v>
      </c>
      <c r="I2235" s="6">
        <v>24874</v>
      </c>
      <c r="J2235" s="6">
        <v>27495</v>
      </c>
      <c r="K2235" s="6">
        <v>22908</v>
      </c>
    </row>
    <row r="2236" spans="1:11" x14ac:dyDescent="0.2">
      <c r="A2236" s="1">
        <v>0.55138888888888904</v>
      </c>
      <c r="B2236" s="2">
        <v>6.29</v>
      </c>
      <c r="C2236" s="2">
        <v>3.61</v>
      </c>
      <c r="D2236" s="2">
        <v>5.2700000000000005</v>
      </c>
      <c r="E2236" s="2">
        <v>5.4200000000000008</v>
      </c>
      <c r="F2236" s="2">
        <v>3.3000000000000003</v>
      </c>
      <c r="G2236" s="6">
        <v>25310</v>
      </c>
      <c r="H2236" s="6">
        <v>32619</v>
      </c>
      <c r="I2236" s="6">
        <v>27692</v>
      </c>
      <c r="J2236" s="6">
        <v>20060</v>
      </c>
      <c r="K2236" s="6">
        <v>24516</v>
      </c>
    </row>
    <row r="2237" spans="1:11" x14ac:dyDescent="0.2">
      <c r="A2237" s="1">
        <v>0.55208333333333304</v>
      </c>
      <c r="B2237" s="2">
        <v>6.32</v>
      </c>
      <c r="C2237" s="2">
        <v>3.8600000000000003</v>
      </c>
      <c r="D2237" s="2">
        <v>5.07</v>
      </c>
      <c r="E2237" s="2">
        <v>5.0100000000000007</v>
      </c>
      <c r="F2237" s="2">
        <v>3.2</v>
      </c>
      <c r="G2237" s="6">
        <v>20201</v>
      </c>
      <c r="H2237" s="6">
        <v>27536</v>
      </c>
      <c r="I2237" s="6">
        <v>20672</v>
      </c>
      <c r="J2237" s="6">
        <v>27639</v>
      </c>
      <c r="K2237" s="6">
        <v>25406</v>
      </c>
    </row>
    <row r="2238" spans="1:11" x14ac:dyDescent="0.2">
      <c r="A2238" s="1">
        <v>0.55277777777777803</v>
      </c>
      <c r="B2238" s="2">
        <v>6.2299999999999995</v>
      </c>
      <c r="C2238" s="2">
        <v>3.8000000000000003</v>
      </c>
      <c r="D2238" s="2">
        <v>4.9400000000000004</v>
      </c>
      <c r="E2238" s="2">
        <v>5.37</v>
      </c>
      <c r="F2238" s="2">
        <v>2.9</v>
      </c>
      <c r="G2238" s="6">
        <v>28047</v>
      </c>
      <c r="H2238" s="6">
        <v>26288</v>
      </c>
      <c r="I2238" s="6">
        <v>25581</v>
      </c>
      <c r="J2238" s="6">
        <v>25263</v>
      </c>
      <c r="K2238" s="6">
        <v>25582</v>
      </c>
    </row>
    <row r="2239" spans="1:11" x14ac:dyDescent="0.2">
      <c r="A2239" s="1">
        <v>0.55347222222222203</v>
      </c>
      <c r="B2239" s="2">
        <v>6.35</v>
      </c>
      <c r="C2239" s="2">
        <v>3.59</v>
      </c>
      <c r="D2239" s="2">
        <v>5.03</v>
      </c>
      <c r="E2239" s="2">
        <v>5.37</v>
      </c>
      <c r="F2239" s="2">
        <v>3.02</v>
      </c>
      <c r="G2239" s="6">
        <v>20711</v>
      </c>
      <c r="H2239" s="6">
        <v>20816</v>
      </c>
      <c r="I2239" s="6">
        <v>22632</v>
      </c>
      <c r="J2239" s="6">
        <v>25816</v>
      </c>
      <c r="K2239" s="6">
        <v>24600</v>
      </c>
    </row>
    <row r="2240" spans="1:11" x14ac:dyDescent="0.2">
      <c r="A2240" s="1">
        <v>0.55416666666666703</v>
      </c>
      <c r="B2240" s="2">
        <v>6.3599999999999994</v>
      </c>
      <c r="C2240" s="2">
        <v>3.84</v>
      </c>
      <c r="D2240" s="2">
        <v>4.93</v>
      </c>
      <c r="E2240" s="2">
        <v>5.4700000000000006</v>
      </c>
      <c r="F2240" s="2">
        <v>3.1500000000000004</v>
      </c>
      <c r="G2240" s="6">
        <v>23926</v>
      </c>
      <c r="H2240" s="6">
        <v>21421</v>
      </c>
      <c r="I2240" s="6">
        <v>24914</v>
      </c>
      <c r="J2240" s="6">
        <v>24304</v>
      </c>
      <c r="K2240" s="6">
        <v>25084</v>
      </c>
    </row>
    <row r="2241" spans="1:11" x14ac:dyDescent="0.2">
      <c r="A2241" s="1">
        <v>0.55486111111111103</v>
      </c>
      <c r="B2241" s="2">
        <v>6.28</v>
      </c>
      <c r="C2241" s="2">
        <v>3.68</v>
      </c>
      <c r="D2241" s="2">
        <v>5.07</v>
      </c>
      <c r="E2241" s="2">
        <v>5.6400000000000006</v>
      </c>
      <c r="F2241" s="2">
        <v>3.22</v>
      </c>
      <c r="G2241" s="6">
        <v>25601</v>
      </c>
      <c r="H2241" s="6">
        <v>26633</v>
      </c>
      <c r="I2241" s="6">
        <v>23655</v>
      </c>
      <c r="J2241" s="6">
        <v>27867</v>
      </c>
      <c r="K2241" s="6">
        <v>22083</v>
      </c>
    </row>
    <row r="2242" spans="1:11" x14ac:dyDescent="0.2">
      <c r="A2242" s="1">
        <v>0.55555555555555602</v>
      </c>
      <c r="B2242" s="2">
        <v>6.14</v>
      </c>
      <c r="C2242" s="2">
        <v>3.72</v>
      </c>
      <c r="D2242" s="2">
        <v>5.07</v>
      </c>
      <c r="E2242" s="2">
        <v>5.3900000000000006</v>
      </c>
      <c r="F2242" s="2">
        <v>3.2</v>
      </c>
      <c r="G2242" s="6">
        <v>21966</v>
      </c>
      <c r="H2242" s="6">
        <v>25749</v>
      </c>
      <c r="I2242" s="6">
        <v>25906</v>
      </c>
      <c r="J2242" s="6">
        <v>21686</v>
      </c>
      <c r="K2242" s="6">
        <v>21696</v>
      </c>
    </row>
    <row r="2243" spans="1:11" x14ac:dyDescent="0.2">
      <c r="A2243" s="1">
        <v>0.55625000000000002</v>
      </c>
      <c r="B2243" s="2">
        <v>6.1499999999999995</v>
      </c>
      <c r="C2243" s="2">
        <v>3.63</v>
      </c>
      <c r="D2243" s="2">
        <v>4.95</v>
      </c>
      <c r="E2243" s="2">
        <v>5.19</v>
      </c>
      <c r="F2243" s="2">
        <v>3.27</v>
      </c>
      <c r="G2243" s="6">
        <v>22459</v>
      </c>
      <c r="H2243" s="6">
        <v>23032</v>
      </c>
      <c r="I2243" s="6">
        <v>23166</v>
      </c>
      <c r="J2243" s="6">
        <v>21938</v>
      </c>
      <c r="K2243" s="6">
        <v>25080</v>
      </c>
    </row>
    <row r="2244" spans="1:11" x14ac:dyDescent="0.2">
      <c r="A2244" s="1">
        <v>0.55694444444444402</v>
      </c>
      <c r="B2244" s="2">
        <v>6.13</v>
      </c>
      <c r="C2244" s="2">
        <v>3.75</v>
      </c>
      <c r="D2244" s="2">
        <v>5.37</v>
      </c>
      <c r="E2244" s="2">
        <v>5.19</v>
      </c>
      <c r="F2244" s="2">
        <v>3.22</v>
      </c>
      <c r="G2244" s="6">
        <v>26568</v>
      </c>
      <c r="H2244" s="6">
        <v>28226</v>
      </c>
      <c r="I2244" s="6">
        <v>21042</v>
      </c>
      <c r="J2244" s="6">
        <v>22611</v>
      </c>
      <c r="K2244" s="6">
        <v>24850</v>
      </c>
    </row>
    <row r="2245" spans="1:11" x14ac:dyDescent="0.2">
      <c r="A2245" s="1">
        <v>0.55763888888888902</v>
      </c>
      <c r="B2245" s="2">
        <v>6.17</v>
      </c>
      <c r="C2245" s="2">
        <v>3.62</v>
      </c>
      <c r="D2245" s="2">
        <v>5.25</v>
      </c>
      <c r="E2245" s="2">
        <v>5.04</v>
      </c>
      <c r="F2245" s="2">
        <v>3.2800000000000002</v>
      </c>
      <c r="G2245" s="6">
        <v>18967</v>
      </c>
      <c r="H2245" s="6">
        <v>29903</v>
      </c>
      <c r="I2245" s="6">
        <v>26292</v>
      </c>
      <c r="J2245" s="6">
        <v>24239</v>
      </c>
      <c r="K2245" s="6">
        <v>27678</v>
      </c>
    </row>
    <row r="2246" spans="1:11" x14ac:dyDescent="0.2">
      <c r="A2246" s="1">
        <v>0.55833333333333302</v>
      </c>
      <c r="B2246" s="2">
        <v>6.1899999999999995</v>
      </c>
      <c r="C2246" s="2">
        <v>3.8000000000000003</v>
      </c>
      <c r="D2246" s="2">
        <v>5.19</v>
      </c>
      <c r="E2246" s="2">
        <v>5.5500000000000007</v>
      </c>
      <c r="F2246" s="2">
        <v>3.39</v>
      </c>
      <c r="G2246" s="6">
        <v>18585</v>
      </c>
      <c r="H2246" s="6">
        <v>21122</v>
      </c>
      <c r="I2246" s="6">
        <v>20114</v>
      </c>
      <c r="J2246" s="6">
        <v>26933</v>
      </c>
      <c r="K2246" s="6">
        <v>25963</v>
      </c>
    </row>
    <row r="2247" spans="1:11" x14ac:dyDescent="0.2">
      <c r="A2247" s="1">
        <v>0.55902777777777801</v>
      </c>
      <c r="B2247" s="2">
        <v>6.1099999999999994</v>
      </c>
      <c r="C2247" s="2">
        <v>3.83</v>
      </c>
      <c r="D2247" s="2">
        <v>5.19</v>
      </c>
      <c r="E2247" s="2">
        <v>5.0200000000000005</v>
      </c>
      <c r="F2247" s="2">
        <v>3.3600000000000003</v>
      </c>
      <c r="G2247" s="6">
        <v>27591</v>
      </c>
      <c r="H2247" s="6">
        <v>24407</v>
      </c>
      <c r="I2247" s="6">
        <v>27418</v>
      </c>
      <c r="J2247" s="6">
        <v>25225</v>
      </c>
      <c r="K2247" s="6">
        <v>25694</v>
      </c>
    </row>
    <row r="2248" spans="1:11" x14ac:dyDescent="0.2">
      <c r="A2248" s="1">
        <v>0.55972222222222201</v>
      </c>
      <c r="B2248" s="2">
        <v>6.3</v>
      </c>
      <c r="C2248" s="2">
        <v>3.7800000000000002</v>
      </c>
      <c r="D2248" s="2">
        <v>4.95</v>
      </c>
      <c r="E2248" s="2">
        <v>5.6000000000000005</v>
      </c>
      <c r="F2248" s="2">
        <v>3.2800000000000002</v>
      </c>
      <c r="G2248" s="6">
        <v>28982</v>
      </c>
      <c r="H2248" s="6">
        <v>28072</v>
      </c>
      <c r="I2248" s="6">
        <v>22834</v>
      </c>
      <c r="J2248" s="6">
        <v>25520</v>
      </c>
      <c r="K2248" s="6">
        <v>25301</v>
      </c>
    </row>
    <row r="2249" spans="1:11" x14ac:dyDescent="0.2">
      <c r="A2249" s="1">
        <v>0.56041666666666701</v>
      </c>
      <c r="B2249" s="2">
        <v>6.1899999999999995</v>
      </c>
      <c r="C2249" s="2">
        <v>3.83</v>
      </c>
      <c r="D2249" s="2">
        <v>5.23</v>
      </c>
      <c r="E2249" s="2">
        <v>5.65</v>
      </c>
      <c r="F2249" s="2">
        <v>3.3200000000000003</v>
      </c>
      <c r="G2249" s="6">
        <v>27615</v>
      </c>
      <c r="H2249" s="6">
        <v>21507</v>
      </c>
      <c r="I2249" s="6">
        <v>24664</v>
      </c>
      <c r="J2249" s="6">
        <v>21659</v>
      </c>
      <c r="K2249" s="6">
        <v>27950</v>
      </c>
    </row>
    <row r="2250" spans="1:11" x14ac:dyDescent="0.2">
      <c r="A2250" s="1">
        <v>0.56111111111111101</v>
      </c>
      <c r="B2250" s="2">
        <v>6.33</v>
      </c>
      <c r="C2250" s="2">
        <v>3.77</v>
      </c>
      <c r="D2250" s="2">
        <v>5.1400000000000006</v>
      </c>
      <c r="E2250" s="2">
        <v>5.2</v>
      </c>
      <c r="F2250" s="2">
        <v>3.27</v>
      </c>
      <c r="G2250" s="6">
        <v>25375</v>
      </c>
      <c r="H2250" s="6">
        <v>27145</v>
      </c>
      <c r="I2250" s="6">
        <v>25036</v>
      </c>
      <c r="J2250" s="6">
        <v>26822</v>
      </c>
      <c r="K2250" s="6">
        <v>21978</v>
      </c>
    </row>
    <row r="2251" spans="1:11" x14ac:dyDescent="0.2">
      <c r="A2251" s="1">
        <v>0.561805555555556</v>
      </c>
      <c r="B2251" s="2">
        <v>6.29</v>
      </c>
      <c r="C2251" s="2">
        <v>3.6</v>
      </c>
      <c r="D2251" s="2">
        <v>5.29</v>
      </c>
      <c r="E2251" s="2">
        <v>5.1700000000000008</v>
      </c>
      <c r="F2251" s="2">
        <v>3.3200000000000003</v>
      </c>
      <c r="G2251" s="6">
        <v>22703</v>
      </c>
      <c r="H2251" s="6">
        <v>30287</v>
      </c>
      <c r="I2251" s="6">
        <v>23822</v>
      </c>
      <c r="J2251" s="6">
        <v>25833</v>
      </c>
      <c r="K2251" s="6">
        <v>28437</v>
      </c>
    </row>
    <row r="2252" spans="1:11" x14ac:dyDescent="0.2">
      <c r="A2252" s="1">
        <v>0.5625</v>
      </c>
      <c r="B2252" s="2">
        <v>6.26</v>
      </c>
      <c r="C2252" s="2">
        <v>3.66</v>
      </c>
      <c r="D2252" s="2">
        <v>4.9400000000000004</v>
      </c>
      <c r="E2252" s="2">
        <v>5.3000000000000007</v>
      </c>
      <c r="F2252" s="2">
        <v>3.13</v>
      </c>
      <c r="G2252" s="6">
        <v>22162</v>
      </c>
      <c r="H2252" s="6">
        <v>27027</v>
      </c>
      <c r="I2252" s="6">
        <v>20416</v>
      </c>
      <c r="J2252" s="6">
        <v>24987</v>
      </c>
      <c r="K2252" s="6">
        <v>25987</v>
      </c>
    </row>
    <row r="2253" spans="1:11" x14ac:dyDescent="0.2">
      <c r="A2253" s="1">
        <v>0.563194444444444</v>
      </c>
      <c r="B2253" s="2">
        <v>6.28</v>
      </c>
      <c r="C2253" s="2">
        <v>3.69</v>
      </c>
      <c r="D2253" s="2">
        <v>5.05</v>
      </c>
      <c r="E2253" s="2">
        <v>5.5600000000000005</v>
      </c>
      <c r="F2253" s="2">
        <v>3.17</v>
      </c>
      <c r="G2253" s="6">
        <v>26581</v>
      </c>
      <c r="H2253" s="6">
        <v>26692</v>
      </c>
      <c r="I2253" s="6">
        <v>19622</v>
      </c>
      <c r="J2253" s="6">
        <v>21499</v>
      </c>
      <c r="K2253" s="6">
        <v>28072</v>
      </c>
    </row>
    <row r="2254" spans="1:11" x14ac:dyDescent="0.2">
      <c r="A2254" s="1">
        <v>0.56388888888888899</v>
      </c>
      <c r="B2254" s="2">
        <v>6.18</v>
      </c>
      <c r="C2254" s="2">
        <v>3.72</v>
      </c>
      <c r="D2254" s="2">
        <v>4.96</v>
      </c>
      <c r="E2254" s="2">
        <v>5.2200000000000006</v>
      </c>
      <c r="F2254" s="2">
        <v>2.97</v>
      </c>
      <c r="G2254" s="6">
        <v>29195</v>
      </c>
      <c r="H2254" s="6">
        <v>20682</v>
      </c>
      <c r="I2254" s="6">
        <v>25143</v>
      </c>
      <c r="J2254" s="6">
        <v>26229</v>
      </c>
      <c r="K2254" s="6">
        <v>23575</v>
      </c>
    </row>
    <row r="2255" spans="1:11" x14ac:dyDescent="0.2">
      <c r="A2255" s="1">
        <v>0.56458333333333299</v>
      </c>
      <c r="B2255" s="2">
        <v>6.13</v>
      </c>
      <c r="C2255" s="2">
        <v>3.7800000000000002</v>
      </c>
      <c r="D2255" s="2">
        <v>5.13</v>
      </c>
      <c r="E2255" s="2">
        <v>5.4200000000000008</v>
      </c>
      <c r="F2255" s="2">
        <v>3.38</v>
      </c>
      <c r="G2255" s="6">
        <v>22953</v>
      </c>
      <c r="H2255" s="6">
        <v>25447</v>
      </c>
      <c r="I2255" s="6">
        <v>25683</v>
      </c>
      <c r="J2255" s="6">
        <v>24479</v>
      </c>
      <c r="K2255" s="6">
        <v>26268</v>
      </c>
    </row>
    <row r="2256" spans="1:11" x14ac:dyDescent="0.2">
      <c r="A2256" s="1">
        <v>0.56527777777777799</v>
      </c>
      <c r="B2256" s="2">
        <v>6.17</v>
      </c>
      <c r="C2256" s="2">
        <v>3.69</v>
      </c>
      <c r="D2256" s="2">
        <v>5.08</v>
      </c>
      <c r="E2256" s="2">
        <v>5.2100000000000009</v>
      </c>
      <c r="F2256" s="2">
        <v>3</v>
      </c>
      <c r="G2256" s="6">
        <v>22323</v>
      </c>
      <c r="H2256" s="6">
        <v>31891</v>
      </c>
      <c r="I2256" s="6">
        <v>19578</v>
      </c>
      <c r="J2256" s="6">
        <v>23628</v>
      </c>
      <c r="K2256" s="6">
        <v>26336</v>
      </c>
    </row>
    <row r="2257" spans="1:11" x14ac:dyDescent="0.2">
      <c r="A2257" s="1">
        <v>0.56597222222222199</v>
      </c>
      <c r="B2257" s="2">
        <v>6.34</v>
      </c>
      <c r="C2257" s="2">
        <v>3.77</v>
      </c>
      <c r="D2257" s="2">
        <v>5.26</v>
      </c>
      <c r="E2257" s="2">
        <v>5.48</v>
      </c>
      <c r="F2257" s="2">
        <v>2.98</v>
      </c>
      <c r="G2257" s="6">
        <v>26133</v>
      </c>
      <c r="H2257" s="6">
        <v>31929</v>
      </c>
      <c r="I2257" s="6">
        <v>28211</v>
      </c>
      <c r="J2257" s="6">
        <v>27026</v>
      </c>
      <c r="K2257" s="6">
        <v>26790</v>
      </c>
    </row>
    <row r="2258" spans="1:11" x14ac:dyDescent="0.2">
      <c r="A2258" s="1">
        <v>0.56666666666666698</v>
      </c>
      <c r="B2258" s="2">
        <v>6.13</v>
      </c>
      <c r="C2258" s="2">
        <v>3.62</v>
      </c>
      <c r="D2258" s="2">
        <v>5.13</v>
      </c>
      <c r="E2258" s="2">
        <v>5.32</v>
      </c>
      <c r="F2258" s="2">
        <v>3.33</v>
      </c>
      <c r="G2258" s="6">
        <v>22115</v>
      </c>
      <c r="H2258" s="6">
        <v>21738</v>
      </c>
      <c r="I2258" s="6">
        <v>19510</v>
      </c>
      <c r="J2258" s="6">
        <v>24352</v>
      </c>
      <c r="K2258" s="6">
        <v>23029</v>
      </c>
    </row>
    <row r="2259" spans="1:11" x14ac:dyDescent="0.2">
      <c r="A2259" s="1">
        <v>0.56736111111111098</v>
      </c>
      <c r="B2259" s="2">
        <v>6.33</v>
      </c>
      <c r="C2259" s="2">
        <v>3.73</v>
      </c>
      <c r="D2259" s="2">
        <v>4.87</v>
      </c>
      <c r="E2259" s="2">
        <v>5.6300000000000008</v>
      </c>
      <c r="F2259" s="2">
        <v>3.12</v>
      </c>
      <c r="G2259" s="6">
        <v>27872</v>
      </c>
      <c r="H2259" s="6">
        <v>23833</v>
      </c>
      <c r="I2259" s="6">
        <v>20536</v>
      </c>
      <c r="J2259" s="6">
        <v>21985</v>
      </c>
      <c r="K2259" s="6">
        <v>22362</v>
      </c>
    </row>
    <row r="2260" spans="1:11" x14ac:dyDescent="0.2">
      <c r="A2260" s="1">
        <v>0.56805555555555598</v>
      </c>
      <c r="B2260" s="2">
        <v>6.34</v>
      </c>
      <c r="C2260" s="2">
        <v>3.77</v>
      </c>
      <c r="D2260" s="2">
        <v>5.34</v>
      </c>
      <c r="E2260" s="2">
        <v>5.2</v>
      </c>
      <c r="F2260" s="2">
        <v>3.04</v>
      </c>
      <c r="G2260" s="6">
        <v>26025</v>
      </c>
      <c r="H2260" s="6">
        <v>22928</v>
      </c>
      <c r="I2260" s="6">
        <v>22170</v>
      </c>
      <c r="J2260" s="6">
        <v>23735</v>
      </c>
      <c r="K2260" s="6">
        <v>22348</v>
      </c>
    </row>
    <row r="2261" spans="1:11" x14ac:dyDescent="0.2">
      <c r="A2261" s="1">
        <v>0.56874999999999998</v>
      </c>
      <c r="B2261" s="2">
        <v>6.1</v>
      </c>
      <c r="C2261" s="2">
        <v>3.83</v>
      </c>
      <c r="D2261" s="2">
        <v>5.19</v>
      </c>
      <c r="E2261" s="2">
        <v>5.1300000000000008</v>
      </c>
      <c r="F2261" s="2">
        <v>3.1</v>
      </c>
      <c r="G2261" s="6">
        <v>28968</v>
      </c>
      <c r="H2261" s="6">
        <v>30085</v>
      </c>
      <c r="I2261" s="6">
        <v>25137</v>
      </c>
      <c r="J2261" s="6">
        <v>25540</v>
      </c>
      <c r="K2261" s="6">
        <v>26312</v>
      </c>
    </row>
    <row r="2262" spans="1:11" x14ac:dyDescent="0.2">
      <c r="A2262" s="1">
        <v>0.56944444444444398</v>
      </c>
      <c r="B2262" s="2">
        <v>6.35</v>
      </c>
      <c r="C2262" s="2">
        <v>3.85</v>
      </c>
      <c r="D2262" s="2">
        <v>5.33</v>
      </c>
      <c r="E2262" s="2">
        <v>5.6000000000000005</v>
      </c>
      <c r="F2262" s="2">
        <v>2.88</v>
      </c>
      <c r="G2262" s="6">
        <v>18918</v>
      </c>
      <c r="H2262" s="6">
        <v>31121</v>
      </c>
      <c r="I2262" s="6">
        <v>25913</v>
      </c>
      <c r="J2262" s="6">
        <v>25951</v>
      </c>
      <c r="K2262" s="6">
        <v>22649</v>
      </c>
    </row>
    <row r="2263" spans="1:11" x14ac:dyDescent="0.2">
      <c r="A2263" s="1">
        <v>0.57013888888888897</v>
      </c>
      <c r="B2263" s="2">
        <v>6.34</v>
      </c>
      <c r="C2263" s="2">
        <v>3.68</v>
      </c>
      <c r="D2263" s="2">
        <v>4.92</v>
      </c>
      <c r="E2263" s="2">
        <v>5.2600000000000007</v>
      </c>
      <c r="F2263" s="2">
        <v>3.31</v>
      </c>
      <c r="G2263" s="6">
        <v>24305</v>
      </c>
      <c r="H2263" s="6">
        <v>23775</v>
      </c>
      <c r="I2263" s="6">
        <v>21066</v>
      </c>
      <c r="J2263" s="6">
        <v>27882</v>
      </c>
      <c r="K2263" s="6">
        <v>23838</v>
      </c>
    </row>
    <row r="2264" spans="1:11" x14ac:dyDescent="0.2">
      <c r="A2264" s="1">
        <v>0.57083333333333297</v>
      </c>
      <c r="B2264" s="2">
        <v>6.34</v>
      </c>
      <c r="C2264" s="2">
        <v>3.62</v>
      </c>
      <c r="D2264" s="2">
        <v>5.35</v>
      </c>
      <c r="E2264" s="2">
        <v>5.1000000000000005</v>
      </c>
      <c r="F2264" s="2">
        <v>2.94</v>
      </c>
      <c r="G2264" s="6">
        <v>23513</v>
      </c>
      <c r="H2264" s="6">
        <v>27261</v>
      </c>
      <c r="I2264" s="6">
        <v>26805</v>
      </c>
      <c r="J2264" s="6">
        <v>26883</v>
      </c>
      <c r="K2264" s="6">
        <v>25427</v>
      </c>
    </row>
    <row r="2265" spans="1:11" x14ac:dyDescent="0.2">
      <c r="A2265" s="1">
        <v>0.57152777777777797</v>
      </c>
      <c r="B2265" s="2">
        <v>6.12</v>
      </c>
      <c r="C2265" s="2">
        <v>3.79</v>
      </c>
      <c r="D2265" s="2">
        <v>5.2700000000000005</v>
      </c>
      <c r="E2265" s="2">
        <v>5.1100000000000003</v>
      </c>
      <c r="F2265" s="2">
        <v>3.21</v>
      </c>
      <c r="G2265" s="6">
        <v>23456</v>
      </c>
      <c r="H2265" s="6">
        <v>32052</v>
      </c>
      <c r="I2265" s="6">
        <v>21891</v>
      </c>
      <c r="J2265" s="6">
        <v>23433</v>
      </c>
      <c r="K2265" s="6">
        <v>23484</v>
      </c>
    </row>
    <row r="2266" spans="1:11" x14ac:dyDescent="0.2">
      <c r="A2266" s="1">
        <v>0.57222222222222197</v>
      </c>
      <c r="B2266" s="2">
        <v>6.09</v>
      </c>
      <c r="C2266" s="2">
        <v>3.71</v>
      </c>
      <c r="D2266" s="2">
        <v>4.9400000000000004</v>
      </c>
      <c r="E2266" s="2">
        <v>5.48</v>
      </c>
      <c r="F2266" s="2">
        <v>3.2800000000000002</v>
      </c>
      <c r="G2266" s="6">
        <v>21920</v>
      </c>
      <c r="H2266" s="6">
        <v>32168</v>
      </c>
      <c r="I2266" s="6">
        <v>23983</v>
      </c>
      <c r="J2266" s="6">
        <v>20845</v>
      </c>
      <c r="K2266" s="6">
        <v>27219</v>
      </c>
    </row>
    <row r="2267" spans="1:11" x14ac:dyDescent="0.2">
      <c r="A2267" s="1">
        <v>0.57291666666666696</v>
      </c>
      <c r="B2267" s="2">
        <v>6.1099999999999994</v>
      </c>
      <c r="C2267" s="2">
        <v>3.77</v>
      </c>
      <c r="D2267" s="2">
        <v>5.19</v>
      </c>
      <c r="E2267" s="2">
        <v>5.0100000000000007</v>
      </c>
      <c r="F2267" s="2">
        <v>3.21</v>
      </c>
      <c r="G2267" s="6">
        <v>25409</v>
      </c>
      <c r="H2267" s="6">
        <v>27238</v>
      </c>
      <c r="I2267" s="6">
        <v>28015</v>
      </c>
      <c r="J2267" s="6">
        <v>20321</v>
      </c>
      <c r="K2267" s="6">
        <v>23568</v>
      </c>
    </row>
    <row r="2268" spans="1:11" x14ac:dyDescent="0.2">
      <c r="A2268" s="1">
        <v>0.57361111111111096</v>
      </c>
      <c r="B2268" s="2">
        <v>6.18</v>
      </c>
      <c r="C2268" s="2">
        <v>3.7800000000000002</v>
      </c>
      <c r="D2268" s="2">
        <v>5.36</v>
      </c>
      <c r="E2268" s="2">
        <v>5.08</v>
      </c>
      <c r="F2268" s="2">
        <v>3.23</v>
      </c>
      <c r="G2268" s="6">
        <v>25924</v>
      </c>
      <c r="H2268" s="6">
        <v>24513</v>
      </c>
      <c r="I2268" s="6">
        <v>22799</v>
      </c>
      <c r="J2268" s="6">
        <v>27178</v>
      </c>
      <c r="K2268" s="6">
        <v>21645</v>
      </c>
    </row>
    <row r="2269" spans="1:11" x14ac:dyDescent="0.2">
      <c r="A2269" s="1">
        <v>0.57430555555555596</v>
      </c>
      <c r="B2269" s="2">
        <v>6.13</v>
      </c>
      <c r="C2269" s="2">
        <v>3.58</v>
      </c>
      <c r="D2269" s="2">
        <v>4.9800000000000004</v>
      </c>
      <c r="E2269" s="2">
        <v>5.58</v>
      </c>
      <c r="F2269" s="2">
        <v>3.0500000000000003</v>
      </c>
      <c r="G2269" s="6">
        <v>24012</v>
      </c>
      <c r="H2269" s="6">
        <v>32628</v>
      </c>
      <c r="I2269" s="6">
        <v>21757</v>
      </c>
      <c r="J2269" s="6">
        <v>24096</v>
      </c>
      <c r="K2269" s="6">
        <v>23080</v>
      </c>
    </row>
    <row r="2270" spans="1:11" x14ac:dyDescent="0.2">
      <c r="A2270" s="1">
        <v>0.57499999999999996</v>
      </c>
      <c r="B2270" s="2">
        <v>6.16</v>
      </c>
      <c r="C2270" s="2">
        <v>3.61</v>
      </c>
      <c r="D2270" s="2">
        <v>5.12</v>
      </c>
      <c r="E2270" s="2">
        <v>4.9800000000000004</v>
      </c>
      <c r="F2270" s="2">
        <v>3.35</v>
      </c>
      <c r="G2270" s="6">
        <v>21836</v>
      </c>
      <c r="H2270" s="6">
        <v>32098</v>
      </c>
      <c r="I2270" s="6">
        <v>26997</v>
      </c>
      <c r="J2270" s="6">
        <v>24795</v>
      </c>
      <c r="K2270" s="6">
        <v>24544</v>
      </c>
    </row>
    <row r="2271" spans="1:11" x14ac:dyDescent="0.2">
      <c r="A2271" s="1">
        <v>0.57569444444444495</v>
      </c>
      <c r="B2271" s="2">
        <v>6.24</v>
      </c>
      <c r="C2271" s="2">
        <v>3.87</v>
      </c>
      <c r="D2271" s="2">
        <v>5.2700000000000005</v>
      </c>
      <c r="E2271" s="2">
        <v>5.25</v>
      </c>
      <c r="F2271" s="2">
        <v>3.24</v>
      </c>
      <c r="G2271" s="6">
        <v>23682</v>
      </c>
      <c r="H2271" s="6">
        <v>25522</v>
      </c>
      <c r="I2271" s="6">
        <v>22421</v>
      </c>
      <c r="J2271" s="6">
        <v>26641</v>
      </c>
      <c r="K2271" s="6">
        <v>24536</v>
      </c>
    </row>
    <row r="2272" spans="1:11" x14ac:dyDescent="0.2">
      <c r="A2272" s="1">
        <v>0.57638888888888895</v>
      </c>
      <c r="B2272" s="2">
        <v>6.1899999999999995</v>
      </c>
      <c r="C2272" s="2">
        <v>3.8600000000000003</v>
      </c>
      <c r="D2272" s="2">
        <v>4.9000000000000004</v>
      </c>
      <c r="E2272" s="2">
        <v>5.62</v>
      </c>
      <c r="F2272" s="2">
        <v>3.0500000000000003</v>
      </c>
      <c r="G2272" s="6">
        <v>28724</v>
      </c>
      <c r="H2272" s="6">
        <v>26293</v>
      </c>
      <c r="I2272" s="6">
        <v>22463</v>
      </c>
      <c r="J2272" s="6">
        <v>23564</v>
      </c>
      <c r="K2272" s="6">
        <v>28001</v>
      </c>
    </row>
    <row r="2273" spans="1:11" x14ac:dyDescent="0.2">
      <c r="A2273" s="1">
        <v>0.57708333333333295</v>
      </c>
      <c r="B2273" s="2">
        <v>6.35</v>
      </c>
      <c r="C2273" s="2">
        <v>3.75</v>
      </c>
      <c r="D2273" s="2">
        <v>5.05</v>
      </c>
      <c r="E2273" s="2">
        <v>5.19</v>
      </c>
      <c r="F2273" s="2">
        <v>3.3600000000000003</v>
      </c>
      <c r="G2273" s="6">
        <v>25525</v>
      </c>
      <c r="H2273" s="6">
        <v>28244</v>
      </c>
      <c r="I2273" s="6">
        <v>22210</v>
      </c>
      <c r="J2273" s="6">
        <v>24876</v>
      </c>
      <c r="K2273" s="6">
        <v>25575</v>
      </c>
    </row>
    <row r="2274" spans="1:11" x14ac:dyDescent="0.2">
      <c r="A2274" s="1">
        <v>0.57777777777777795</v>
      </c>
      <c r="B2274" s="2">
        <v>6.16</v>
      </c>
      <c r="C2274" s="2">
        <v>3.71</v>
      </c>
      <c r="D2274" s="2">
        <v>4.93</v>
      </c>
      <c r="E2274" s="2">
        <v>5.36</v>
      </c>
      <c r="F2274" s="2">
        <v>3.21</v>
      </c>
      <c r="G2274" s="6">
        <v>23603</v>
      </c>
      <c r="H2274" s="6">
        <v>21035</v>
      </c>
      <c r="I2274" s="6">
        <v>20528</v>
      </c>
      <c r="J2274" s="6">
        <v>20887</v>
      </c>
      <c r="K2274" s="6">
        <v>22135</v>
      </c>
    </row>
    <row r="2275" spans="1:11" x14ac:dyDescent="0.2">
      <c r="A2275" s="1">
        <v>0.57847222222222205</v>
      </c>
      <c r="B2275" s="2">
        <v>6.2299999999999995</v>
      </c>
      <c r="C2275" s="2">
        <v>3.66</v>
      </c>
      <c r="D2275" s="2">
        <v>4.96</v>
      </c>
      <c r="E2275" s="2">
        <v>5.29</v>
      </c>
      <c r="F2275" s="2">
        <v>3.0700000000000003</v>
      </c>
      <c r="G2275" s="6">
        <v>24417</v>
      </c>
      <c r="H2275" s="6">
        <v>24617</v>
      </c>
      <c r="I2275" s="6">
        <v>23308</v>
      </c>
      <c r="J2275" s="6">
        <v>28253</v>
      </c>
      <c r="K2275" s="6">
        <v>25052</v>
      </c>
    </row>
    <row r="2276" spans="1:11" x14ac:dyDescent="0.2">
      <c r="A2276" s="1">
        <v>0.57916666666666705</v>
      </c>
      <c r="B2276" s="2">
        <v>6.35</v>
      </c>
      <c r="C2276" s="2">
        <v>3.71</v>
      </c>
      <c r="D2276" s="2">
        <v>5.05</v>
      </c>
      <c r="E2276" s="2">
        <v>5.53</v>
      </c>
      <c r="F2276" s="2">
        <v>3.38</v>
      </c>
      <c r="G2276" s="6">
        <v>22277</v>
      </c>
      <c r="H2276" s="6">
        <v>24543</v>
      </c>
      <c r="I2276" s="6">
        <v>23453</v>
      </c>
      <c r="J2276" s="6">
        <v>25777</v>
      </c>
      <c r="K2276" s="6">
        <v>27870</v>
      </c>
    </row>
    <row r="2277" spans="1:11" x14ac:dyDescent="0.2">
      <c r="A2277" s="1">
        <v>0.57986111111111105</v>
      </c>
      <c r="B2277" s="2">
        <v>6.1099999999999994</v>
      </c>
      <c r="C2277" s="2">
        <v>3.62</v>
      </c>
      <c r="D2277" s="2">
        <v>5.05</v>
      </c>
      <c r="E2277" s="2">
        <v>5.5</v>
      </c>
      <c r="F2277" s="2">
        <v>3.13</v>
      </c>
      <c r="G2277" s="6">
        <v>27097</v>
      </c>
      <c r="H2277" s="6">
        <v>25537</v>
      </c>
      <c r="I2277" s="6">
        <v>19569</v>
      </c>
      <c r="J2277" s="6">
        <v>24614</v>
      </c>
      <c r="K2277" s="6">
        <v>23418</v>
      </c>
    </row>
    <row r="2278" spans="1:11" x14ac:dyDescent="0.2">
      <c r="A2278" s="1">
        <v>0.58055555555555605</v>
      </c>
      <c r="B2278" s="2">
        <v>6.22</v>
      </c>
      <c r="C2278" s="2">
        <v>3.85</v>
      </c>
      <c r="D2278" s="2">
        <v>5.23</v>
      </c>
      <c r="E2278" s="2">
        <v>5.2200000000000006</v>
      </c>
      <c r="F2278" s="2">
        <v>3.33</v>
      </c>
      <c r="G2278" s="6">
        <v>19518</v>
      </c>
      <c r="H2278" s="6">
        <v>31671</v>
      </c>
      <c r="I2278" s="6">
        <v>20694</v>
      </c>
      <c r="J2278" s="6">
        <v>21591</v>
      </c>
      <c r="K2278" s="6">
        <v>24345</v>
      </c>
    </row>
    <row r="2279" spans="1:11" x14ac:dyDescent="0.2">
      <c r="A2279" s="1">
        <v>0.58125000000000004</v>
      </c>
      <c r="B2279" s="2">
        <v>6.16</v>
      </c>
      <c r="C2279" s="2">
        <v>3.7800000000000002</v>
      </c>
      <c r="D2279" s="2">
        <v>5.25</v>
      </c>
      <c r="E2279" s="2">
        <v>5.6300000000000008</v>
      </c>
      <c r="F2279" s="2">
        <v>2.91</v>
      </c>
      <c r="G2279" s="6">
        <v>26461</v>
      </c>
      <c r="H2279" s="6">
        <v>24807</v>
      </c>
      <c r="I2279" s="6">
        <v>21254</v>
      </c>
      <c r="J2279" s="6">
        <v>20033</v>
      </c>
      <c r="K2279" s="6">
        <v>26093</v>
      </c>
    </row>
    <row r="2280" spans="1:11" x14ac:dyDescent="0.2">
      <c r="A2280" s="1">
        <v>0.58194444444444404</v>
      </c>
      <c r="B2280" s="2">
        <v>6.29</v>
      </c>
      <c r="C2280" s="2">
        <v>3.61</v>
      </c>
      <c r="D2280" s="2">
        <v>5.2700000000000005</v>
      </c>
      <c r="E2280" s="2">
        <v>5.6400000000000006</v>
      </c>
      <c r="F2280" s="2">
        <v>2.87</v>
      </c>
      <c r="G2280" s="6">
        <v>27369</v>
      </c>
      <c r="H2280" s="6">
        <v>28325</v>
      </c>
      <c r="I2280" s="6">
        <v>27520</v>
      </c>
      <c r="J2280" s="6">
        <v>20077</v>
      </c>
      <c r="K2280" s="6">
        <v>23853</v>
      </c>
    </row>
    <row r="2281" spans="1:11" x14ac:dyDescent="0.2">
      <c r="A2281" s="1">
        <v>0.58263888888888904</v>
      </c>
      <c r="B2281" s="2">
        <v>6.33</v>
      </c>
      <c r="C2281" s="2">
        <v>3.8200000000000003</v>
      </c>
      <c r="D2281" s="2">
        <v>5.37</v>
      </c>
      <c r="E2281" s="2">
        <v>5.41</v>
      </c>
      <c r="F2281" s="2">
        <v>2.99</v>
      </c>
      <c r="G2281" s="6">
        <v>25284</v>
      </c>
      <c r="H2281" s="6">
        <v>28587</v>
      </c>
      <c r="I2281" s="6">
        <v>24940</v>
      </c>
      <c r="J2281" s="6">
        <v>24842</v>
      </c>
      <c r="K2281" s="6">
        <v>26244</v>
      </c>
    </row>
    <row r="2282" spans="1:11" x14ac:dyDescent="0.2">
      <c r="A2282" s="3">
        <v>0.58333333333333304</v>
      </c>
      <c r="B2282" s="2">
        <v>6.21</v>
      </c>
      <c r="C2282" s="2">
        <v>3.74</v>
      </c>
      <c r="D2282" s="2">
        <v>5.1100000000000003</v>
      </c>
      <c r="E2282" s="2">
        <v>5.32</v>
      </c>
      <c r="F2282" s="2">
        <v>3.18</v>
      </c>
      <c r="G2282" s="6">
        <v>26422</v>
      </c>
      <c r="H2282" s="6">
        <v>29313</v>
      </c>
      <c r="I2282" s="6">
        <v>25421</v>
      </c>
      <c r="J2282" s="6">
        <v>24344</v>
      </c>
      <c r="K2282" s="6">
        <v>27454</v>
      </c>
    </row>
    <row r="2283" spans="1:11" x14ac:dyDescent="0.2">
      <c r="A2283" s="1">
        <v>0.58402777777777803</v>
      </c>
      <c r="B2283" s="2">
        <v>6.09</v>
      </c>
      <c r="C2283" s="2">
        <v>3.79</v>
      </c>
      <c r="D2283" s="2">
        <v>5.28</v>
      </c>
      <c r="E2283" s="2">
        <v>5.36</v>
      </c>
      <c r="F2283" s="2">
        <v>3.33</v>
      </c>
      <c r="G2283" s="6">
        <v>12135</v>
      </c>
      <c r="H2283" s="6">
        <v>29734</v>
      </c>
      <c r="I2283" s="6">
        <v>24819</v>
      </c>
      <c r="J2283" s="6">
        <v>23778</v>
      </c>
      <c r="K2283" s="6">
        <v>22069</v>
      </c>
    </row>
    <row r="2284" spans="1:11" x14ac:dyDescent="0.2">
      <c r="A2284" s="1">
        <v>0.58472222222222203</v>
      </c>
      <c r="B2284" s="2">
        <v>6.16</v>
      </c>
      <c r="C2284" s="2">
        <v>3.75</v>
      </c>
      <c r="D2284" s="2">
        <v>4.96</v>
      </c>
      <c r="E2284" s="2">
        <v>5.65</v>
      </c>
      <c r="F2284" s="2">
        <v>2.89</v>
      </c>
      <c r="G2284" s="6">
        <v>22604</v>
      </c>
      <c r="H2284" s="6">
        <v>10967</v>
      </c>
      <c r="I2284" s="6">
        <v>9892</v>
      </c>
      <c r="J2284" s="6">
        <v>16143</v>
      </c>
      <c r="K2284" s="6">
        <v>18738</v>
      </c>
    </row>
    <row r="2285" spans="1:11" x14ac:dyDescent="0.2">
      <c r="A2285" s="1">
        <v>0.58541666666666703</v>
      </c>
      <c r="B2285" s="2">
        <v>6.31</v>
      </c>
      <c r="C2285" s="2">
        <v>3.8600000000000003</v>
      </c>
      <c r="D2285" s="2">
        <v>5.24</v>
      </c>
      <c r="E2285" s="2">
        <v>5.3100000000000005</v>
      </c>
      <c r="F2285" s="2">
        <v>3.04</v>
      </c>
      <c r="G2285" s="6">
        <v>20603</v>
      </c>
      <c r="H2285" s="6">
        <v>11206</v>
      </c>
      <c r="I2285" s="6">
        <v>25172</v>
      </c>
      <c r="J2285" s="6">
        <v>20120</v>
      </c>
      <c r="K2285" s="6">
        <v>19366</v>
      </c>
    </row>
    <row r="2286" spans="1:11" x14ac:dyDescent="0.2">
      <c r="A2286" s="1">
        <v>0.58611111111111103</v>
      </c>
      <c r="B2286" s="2">
        <v>6.32</v>
      </c>
      <c r="C2286" s="2">
        <v>3.59</v>
      </c>
      <c r="D2286" s="2">
        <v>4.99</v>
      </c>
      <c r="E2286" s="2">
        <v>5.5600000000000005</v>
      </c>
      <c r="F2286" s="2">
        <v>3.25</v>
      </c>
      <c r="G2286" s="6">
        <v>26604</v>
      </c>
      <c r="H2286" s="6">
        <v>17853</v>
      </c>
      <c r="I2286" s="6">
        <v>3704</v>
      </c>
      <c r="J2286" s="6">
        <v>20160</v>
      </c>
      <c r="K2286" s="6">
        <v>20620</v>
      </c>
    </row>
    <row r="2287" spans="1:11" x14ac:dyDescent="0.2">
      <c r="A2287" s="1">
        <v>0.58680555555555602</v>
      </c>
      <c r="B2287" s="2">
        <v>6.24</v>
      </c>
      <c r="C2287" s="2">
        <v>3.74</v>
      </c>
      <c r="D2287" s="2">
        <v>5.2</v>
      </c>
      <c r="E2287" s="2">
        <v>5.33</v>
      </c>
      <c r="F2287" s="2">
        <v>3.27</v>
      </c>
      <c r="G2287" s="6">
        <v>7109</v>
      </c>
      <c r="H2287" s="6">
        <v>17176</v>
      </c>
      <c r="I2287" s="6">
        <v>4969</v>
      </c>
      <c r="J2287" s="6">
        <v>9929</v>
      </c>
      <c r="K2287" s="6">
        <v>6259</v>
      </c>
    </row>
    <row r="2288" spans="1:11" x14ac:dyDescent="0.2">
      <c r="A2288" s="1">
        <v>0.58750000000000002</v>
      </c>
      <c r="B2288" s="2">
        <v>6.32</v>
      </c>
      <c r="C2288" s="2">
        <v>3.67</v>
      </c>
      <c r="D2288" s="2">
        <v>5.0600000000000005</v>
      </c>
      <c r="E2288" s="2">
        <v>5.6400000000000006</v>
      </c>
      <c r="F2288" s="2">
        <v>2.96</v>
      </c>
      <c r="G2288" s="6">
        <v>26707</v>
      </c>
      <c r="H2288" s="6">
        <v>8897</v>
      </c>
      <c r="I2288" s="6">
        <v>23842</v>
      </c>
      <c r="J2288" s="6">
        <v>15279</v>
      </c>
      <c r="K2288" s="6">
        <v>8644</v>
      </c>
    </row>
    <row r="2289" spans="1:11" x14ac:dyDescent="0.2">
      <c r="A2289" s="1">
        <v>0.58819444444444402</v>
      </c>
      <c r="B2289" s="2">
        <v>6.33</v>
      </c>
      <c r="C2289" s="2">
        <v>3.6</v>
      </c>
      <c r="D2289" s="2">
        <v>4.97</v>
      </c>
      <c r="E2289" s="2">
        <v>5.13</v>
      </c>
      <c r="F2289" s="2">
        <v>3.33</v>
      </c>
      <c r="G2289" s="6">
        <v>23273</v>
      </c>
      <c r="H2289" s="6">
        <v>20246</v>
      </c>
      <c r="I2289" s="6">
        <v>11810</v>
      </c>
      <c r="J2289" s="6">
        <v>25010</v>
      </c>
      <c r="K2289" s="6">
        <v>17806</v>
      </c>
    </row>
    <row r="2290" spans="1:11" x14ac:dyDescent="0.2">
      <c r="A2290" s="1">
        <v>0.58888888888888902</v>
      </c>
      <c r="B2290" s="2">
        <v>6.1899999999999995</v>
      </c>
      <c r="C2290" s="2">
        <v>3.75</v>
      </c>
      <c r="D2290" s="2">
        <v>5.3</v>
      </c>
      <c r="E2290" s="2">
        <v>5.51</v>
      </c>
      <c r="F2290" s="2">
        <v>3.21</v>
      </c>
      <c r="G2290" s="6">
        <v>27478</v>
      </c>
      <c r="H2290" s="6">
        <v>12875</v>
      </c>
      <c r="I2290" s="6">
        <v>9636</v>
      </c>
      <c r="J2290" s="6">
        <v>25761</v>
      </c>
      <c r="K2290" s="6">
        <v>11487</v>
      </c>
    </row>
    <row r="2291" spans="1:11" x14ac:dyDescent="0.2">
      <c r="A2291" s="1">
        <v>0.58958333333333302</v>
      </c>
      <c r="B2291" s="2">
        <v>6.28</v>
      </c>
      <c r="C2291" s="2">
        <v>3.62</v>
      </c>
      <c r="D2291" s="2">
        <v>4.9000000000000004</v>
      </c>
      <c r="E2291" s="2">
        <v>5.4</v>
      </c>
      <c r="F2291" s="2">
        <v>3.19</v>
      </c>
      <c r="G2291" s="6">
        <v>7742</v>
      </c>
      <c r="H2291" s="6">
        <v>20818</v>
      </c>
      <c r="I2291" s="6">
        <v>4124</v>
      </c>
      <c r="J2291" s="6">
        <v>24663</v>
      </c>
      <c r="K2291" s="6">
        <v>22796</v>
      </c>
    </row>
    <row r="2292" spans="1:11" x14ac:dyDescent="0.2">
      <c r="A2292" s="1">
        <v>0.59027777777777801</v>
      </c>
      <c r="B2292" s="2">
        <v>6.1899999999999995</v>
      </c>
      <c r="C2292" s="2">
        <v>3.58</v>
      </c>
      <c r="D2292" s="2">
        <v>5.22</v>
      </c>
      <c r="E2292" s="2">
        <v>5.21</v>
      </c>
      <c r="F2292" s="2">
        <v>2.91</v>
      </c>
      <c r="G2292" s="6">
        <v>21029</v>
      </c>
      <c r="H2292" s="6">
        <v>13460</v>
      </c>
      <c r="I2292" s="6">
        <v>4024</v>
      </c>
      <c r="J2292" s="6">
        <v>12269</v>
      </c>
      <c r="K2292" s="6">
        <v>15378</v>
      </c>
    </row>
    <row r="2293" spans="1:11" x14ac:dyDescent="0.2">
      <c r="A2293" s="1">
        <v>0.59097222222222201</v>
      </c>
      <c r="B2293" s="2">
        <v>6.26</v>
      </c>
      <c r="C2293" s="2">
        <v>3.83</v>
      </c>
      <c r="D2293" s="2">
        <v>5.3100000000000005</v>
      </c>
      <c r="E2293" s="2">
        <v>5.19</v>
      </c>
      <c r="F2293" s="2">
        <v>2.87</v>
      </c>
      <c r="G2293" s="6">
        <v>9780</v>
      </c>
      <c r="H2293" s="6">
        <v>15225</v>
      </c>
      <c r="I2293" s="6">
        <v>7202</v>
      </c>
      <c r="J2293" s="6">
        <v>24538</v>
      </c>
      <c r="K2293" s="6">
        <v>23476</v>
      </c>
    </row>
    <row r="2294" spans="1:11" x14ac:dyDescent="0.2">
      <c r="A2294" s="1">
        <v>0.59166666666666701</v>
      </c>
      <c r="B2294" s="2">
        <v>6.1899999999999995</v>
      </c>
      <c r="C2294" s="2">
        <v>3.62</v>
      </c>
      <c r="D2294" s="2">
        <v>5.05</v>
      </c>
      <c r="E2294" s="2">
        <v>5.07</v>
      </c>
      <c r="F2294" s="2">
        <v>3.33</v>
      </c>
      <c r="G2294" s="6">
        <v>21986</v>
      </c>
      <c r="H2294" s="6">
        <v>8055</v>
      </c>
      <c r="I2294" s="6">
        <v>16118</v>
      </c>
      <c r="J2294" s="6">
        <v>17655</v>
      </c>
      <c r="K2294" s="6">
        <v>16692</v>
      </c>
    </row>
    <row r="2295" spans="1:11" x14ac:dyDescent="0.2">
      <c r="A2295" s="1">
        <v>0.59236111111111101</v>
      </c>
      <c r="B2295" s="2">
        <v>6.21</v>
      </c>
      <c r="C2295" s="2">
        <v>3.62</v>
      </c>
      <c r="D2295" s="2">
        <v>5.03</v>
      </c>
      <c r="E2295" s="2">
        <v>5.6000000000000005</v>
      </c>
      <c r="F2295" s="2">
        <v>3.02</v>
      </c>
      <c r="G2295" s="6">
        <v>24572</v>
      </c>
      <c r="H2295" s="6">
        <v>27530</v>
      </c>
      <c r="I2295" s="6">
        <v>12410</v>
      </c>
      <c r="J2295" s="6">
        <v>17792</v>
      </c>
      <c r="K2295" s="6">
        <v>21357</v>
      </c>
    </row>
    <row r="2296" spans="1:11" x14ac:dyDescent="0.2">
      <c r="A2296" s="1">
        <v>0.593055555555556</v>
      </c>
      <c r="B2296" s="2">
        <v>6.14</v>
      </c>
      <c r="C2296" s="2">
        <v>3.66</v>
      </c>
      <c r="D2296" s="2">
        <v>5.33</v>
      </c>
      <c r="E2296" s="2">
        <v>5.36</v>
      </c>
      <c r="F2296" s="2">
        <v>3.0100000000000002</v>
      </c>
      <c r="G2296" s="6">
        <v>23296</v>
      </c>
      <c r="H2296" s="6">
        <v>22696</v>
      </c>
      <c r="I2296" s="6">
        <v>15693</v>
      </c>
      <c r="J2296" s="6">
        <v>23232</v>
      </c>
      <c r="K2296" s="6">
        <v>19959</v>
      </c>
    </row>
    <row r="2297" spans="1:11" x14ac:dyDescent="0.2">
      <c r="A2297" s="1">
        <v>0.59375</v>
      </c>
      <c r="B2297" s="2">
        <v>6.14</v>
      </c>
      <c r="C2297" s="2">
        <v>3.73</v>
      </c>
      <c r="D2297" s="2">
        <v>5.2</v>
      </c>
      <c r="E2297" s="2">
        <v>5.46</v>
      </c>
      <c r="F2297" s="2">
        <v>2.92</v>
      </c>
      <c r="G2297" s="6">
        <v>18147</v>
      </c>
      <c r="H2297" s="6">
        <v>28065</v>
      </c>
      <c r="I2297" s="6">
        <v>5136</v>
      </c>
      <c r="J2297" s="6">
        <v>26031</v>
      </c>
      <c r="K2297" s="6">
        <v>13694</v>
      </c>
    </row>
    <row r="2298" spans="1:11" x14ac:dyDescent="0.2">
      <c r="A2298" s="1">
        <v>0.594444444444444</v>
      </c>
      <c r="B2298" s="2">
        <v>6.09</v>
      </c>
      <c r="C2298" s="2">
        <v>3.8600000000000003</v>
      </c>
      <c r="D2298" s="2">
        <v>4.8899999999999997</v>
      </c>
      <c r="E2298" s="2">
        <v>5.08</v>
      </c>
      <c r="F2298" s="2">
        <v>3.33</v>
      </c>
      <c r="G2298" s="6">
        <v>5208</v>
      </c>
      <c r="H2298" s="6">
        <v>25568</v>
      </c>
      <c r="I2298" s="6">
        <v>20405</v>
      </c>
      <c r="J2298" s="6">
        <v>24109</v>
      </c>
      <c r="K2298" s="6">
        <v>19896</v>
      </c>
    </row>
    <row r="2299" spans="1:11" x14ac:dyDescent="0.2">
      <c r="A2299" s="1">
        <v>0.59513888888888899</v>
      </c>
      <c r="B2299" s="2">
        <v>6.29</v>
      </c>
      <c r="C2299" s="2">
        <v>3.7800000000000002</v>
      </c>
      <c r="D2299" s="2">
        <v>5.04</v>
      </c>
      <c r="E2299" s="2">
        <v>5.3900000000000006</v>
      </c>
      <c r="F2299" s="2">
        <v>3.25</v>
      </c>
      <c r="G2299" s="6">
        <v>8073</v>
      </c>
      <c r="H2299" s="6">
        <v>9078</v>
      </c>
      <c r="I2299" s="6">
        <v>10977</v>
      </c>
      <c r="J2299" s="6">
        <v>14522</v>
      </c>
      <c r="K2299" s="6">
        <v>18861</v>
      </c>
    </row>
    <row r="2300" spans="1:11" x14ac:dyDescent="0.2">
      <c r="A2300" s="1">
        <v>0.59583333333333299</v>
      </c>
      <c r="B2300" s="2">
        <v>6.32</v>
      </c>
      <c r="C2300" s="2">
        <v>3.65</v>
      </c>
      <c r="D2300" s="2">
        <v>5.25</v>
      </c>
      <c r="E2300" s="2">
        <v>5.33</v>
      </c>
      <c r="F2300" s="2">
        <v>3.38</v>
      </c>
      <c r="G2300" s="6">
        <v>16122</v>
      </c>
      <c r="H2300" s="6">
        <v>6427</v>
      </c>
      <c r="I2300" s="6">
        <v>14207</v>
      </c>
      <c r="J2300" s="6">
        <v>11935</v>
      </c>
      <c r="K2300" s="6">
        <v>10850</v>
      </c>
    </row>
    <row r="2301" spans="1:11" x14ac:dyDescent="0.2">
      <c r="A2301" s="1">
        <v>0.59652777777777799</v>
      </c>
      <c r="B2301" s="2">
        <v>6.33</v>
      </c>
      <c r="C2301" s="2">
        <v>3.62</v>
      </c>
      <c r="D2301" s="2">
        <v>5.19</v>
      </c>
      <c r="E2301" s="2">
        <v>5.66</v>
      </c>
      <c r="F2301" s="2">
        <v>3.0100000000000002</v>
      </c>
      <c r="G2301" s="6">
        <v>24277</v>
      </c>
      <c r="H2301" s="6">
        <v>28295</v>
      </c>
      <c r="I2301" s="6">
        <v>9845</v>
      </c>
      <c r="J2301" s="6">
        <v>20033</v>
      </c>
      <c r="K2301" s="6">
        <v>19501</v>
      </c>
    </row>
    <row r="2302" spans="1:11" x14ac:dyDescent="0.2">
      <c r="A2302" s="1">
        <v>0.59722222222222199</v>
      </c>
      <c r="B2302" s="2">
        <v>6.16</v>
      </c>
      <c r="C2302" s="2">
        <v>3.84</v>
      </c>
      <c r="D2302" s="2">
        <v>5.25</v>
      </c>
      <c r="E2302" s="2">
        <v>5</v>
      </c>
      <c r="F2302" s="2">
        <v>3.31</v>
      </c>
      <c r="G2302" s="6">
        <v>15044</v>
      </c>
      <c r="H2302" s="6">
        <v>29695</v>
      </c>
      <c r="I2302" s="6">
        <v>11226</v>
      </c>
      <c r="J2302" s="6">
        <v>15097</v>
      </c>
      <c r="K2302" s="6">
        <v>14737</v>
      </c>
    </row>
    <row r="2303" spans="1:11" x14ac:dyDescent="0.2">
      <c r="A2303" s="1">
        <v>0.59791666666666698</v>
      </c>
      <c r="B2303" s="2">
        <v>6.18</v>
      </c>
      <c r="C2303" s="2">
        <v>3.79</v>
      </c>
      <c r="D2303" s="2">
        <v>5.13</v>
      </c>
      <c r="E2303" s="2">
        <v>5.57</v>
      </c>
      <c r="F2303" s="2">
        <v>3.17</v>
      </c>
      <c r="G2303" s="6">
        <v>19478</v>
      </c>
      <c r="H2303" s="6">
        <v>12881</v>
      </c>
      <c r="I2303" s="6">
        <v>6564</v>
      </c>
      <c r="J2303" s="6">
        <v>19367</v>
      </c>
      <c r="K2303" s="6">
        <v>21325</v>
      </c>
    </row>
    <row r="2304" spans="1:11" x14ac:dyDescent="0.2">
      <c r="A2304" s="1">
        <v>0.59861111111111098</v>
      </c>
      <c r="B2304" s="2">
        <v>6.1899999999999995</v>
      </c>
      <c r="C2304" s="2">
        <v>3.7600000000000002</v>
      </c>
      <c r="D2304" s="2">
        <v>5.19</v>
      </c>
      <c r="E2304" s="2">
        <v>5.1400000000000006</v>
      </c>
      <c r="F2304" s="2">
        <v>2.99</v>
      </c>
      <c r="G2304" s="6">
        <v>8686</v>
      </c>
      <c r="H2304" s="6">
        <v>26114</v>
      </c>
      <c r="I2304" s="6">
        <v>14982</v>
      </c>
      <c r="J2304" s="6">
        <v>25945</v>
      </c>
      <c r="K2304" s="6">
        <v>9220</v>
      </c>
    </row>
    <row r="2305" spans="1:11" x14ac:dyDescent="0.2">
      <c r="A2305" s="1">
        <v>0.59930555555555598</v>
      </c>
      <c r="B2305" s="2">
        <v>6.27</v>
      </c>
      <c r="C2305" s="2">
        <v>3.83</v>
      </c>
      <c r="D2305" s="2">
        <v>5.36</v>
      </c>
      <c r="E2305" s="2">
        <v>5.24</v>
      </c>
      <c r="F2305" s="2">
        <v>2.95</v>
      </c>
      <c r="G2305" s="6">
        <v>20077</v>
      </c>
      <c r="H2305" s="6">
        <v>29121</v>
      </c>
      <c r="I2305" s="6">
        <v>5008</v>
      </c>
      <c r="J2305" s="6">
        <v>6443</v>
      </c>
      <c r="K2305" s="6">
        <v>11863</v>
      </c>
    </row>
    <row r="2306" spans="1:11" x14ac:dyDescent="0.2">
      <c r="A2306" s="1">
        <v>0.6</v>
      </c>
      <c r="B2306" s="2">
        <v>6.09</v>
      </c>
      <c r="C2306" s="2">
        <v>3.74</v>
      </c>
      <c r="D2306" s="2">
        <v>4.92</v>
      </c>
      <c r="E2306" s="2">
        <v>5.2</v>
      </c>
      <c r="F2306" s="2">
        <v>3.12</v>
      </c>
      <c r="G2306" s="6">
        <v>17463</v>
      </c>
      <c r="H2306" s="6">
        <v>25237</v>
      </c>
      <c r="I2306" s="6">
        <v>16168</v>
      </c>
      <c r="J2306" s="6">
        <v>19437</v>
      </c>
      <c r="K2306" s="6">
        <v>22947</v>
      </c>
    </row>
    <row r="2307" spans="1:11" x14ac:dyDescent="0.2">
      <c r="A2307" s="1">
        <v>0.60069444444444398</v>
      </c>
      <c r="B2307" s="2">
        <v>6.09</v>
      </c>
      <c r="C2307" s="2">
        <v>3.73</v>
      </c>
      <c r="D2307" s="2">
        <v>5.23</v>
      </c>
      <c r="E2307" s="2">
        <v>5.5600000000000005</v>
      </c>
      <c r="F2307" s="2">
        <v>2.95</v>
      </c>
      <c r="G2307" s="6">
        <v>24821</v>
      </c>
      <c r="H2307" s="6">
        <v>13816</v>
      </c>
      <c r="I2307" s="6">
        <v>26150</v>
      </c>
      <c r="J2307" s="6">
        <v>12420</v>
      </c>
      <c r="K2307" s="6">
        <v>7525</v>
      </c>
    </row>
    <row r="2308" spans="1:11" x14ac:dyDescent="0.2">
      <c r="A2308" s="1">
        <v>0.60138888888888897</v>
      </c>
      <c r="B2308" s="2">
        <v>6.27</v>
      </c>
      <c r="C2308" s="2">
        <v>3.62</v>
      </c>
      <c r="D2308" s="2">
        <v>5.1400000000000006</v>
      </c>
      <c r="E2308" s="2">
        <v>5.61</v>
      </c>
      <c r="F2308" s="2">
        <v>3.02</v>
      </c>
      <c r="G2308" s="6">
        <v>8690</v>
      </c>
      <c r="H2308" s="6">
        <v>17737</v>
      </c>
      <c r="I2308" s="6">
        <v>18316</v>
      </c>
      <c r="J2308" s="6">
        <v>12266</v>
      </c>
      <c r="K2308" s="6">
        <v>22881</v>
      </c>
    </row>
    <row r="2309" spans="1:11" x14ac:dyDescent="0.2">
      <c r="A2309" s="1">
        <v>0.60208333333333297</v>
      </c>
      <c r="B2309" s="2">
        <v>6.3599999999999994</v>
      </c>
      <c r="C2309" s="2">
        <v>3.77</v>
      </c>
      <c r="D2309" s="2">
        <v>5.36</v>
      </c>
      <c r="E2309" s="2">
        <v>5.4700000000000006</v>
      </c>
      <c r="F2309" s="2">
        <v>3.33</v>
      </c>
      <c r="G2309" s="6">
        <v>25793</v>
      </c>
      <c r="H2309" s="6">
        <v>28073</v>
      </c>
      <c r="I2309" s="6">
        <v>19664</v>
      </c>
      <c r="J2309" s="6">
        <v>26095</v>
      </c>
      <c r="K2309" s="6">
        <v>20819</v>
      </c>
    </row>
    <row r="2310" spans="1:11" x14ac:dyDescent="0.2">
      <c r="A2310" s="1">
        <v>0.60277777777777797</v>
      </c>
      <c r="B2310" s="2">
        <v>6.28</v>
      </c>
      <c r="C2310" s="2">
        <v>3.6</v>
      </c>
      <c r="D2310" s="2">
        <v>4.95</v>
      </c>
      <c r="E2310" s="2">
        <v>5.34</v>
      </c>
      <c r="F2310" s="2">
        <v>3.33</v>
      </c>
      <c r="G2310" s="6">
        <v>13032</v>
      </c>
      <c r="H2310" s="6">
        <v>15007</v>
      </c>
      <c r="I2310" s="6">
        <v>17945</v>
      </c>
      <c r="J2310" s="6">
        <v>8336</v>
      </c>
      <c r="K2310" s="6">
        <v>22156</v>
      </c>
    </row>
    <row r="2311" spans="1:11" x14ac:dyDescent="0.2">
      <c r="A2311" s="1">
        <v>0.60347222222222197</v>
      </c>
      <c r="B2311" s="2">
        <v>6.12</v>
      </c>
      <c r="C2311" s="2">
        <v>3.7</v>
      </c>
      <c r="D2311" s="2">
        <v>5.13</v>
      </c>
      <c r="E2311" s="2">
        <v>5.61</v>
      </c>
      <c r="F2311" s="2">
        <v>3.12</v>
      </c>
      <c r="G2311" s="6">
        <v>5950</v>
      </c>
      <c r="H2311" s="6">
        <v>17228</v>
      </c>
      <c r="I2311" s="6">
        <v>26100</v>
      </c>
      <c r="J2311" s="6">
        <v>16234</v>
      </c>
      <c r="K2311" s="6">
        <v>12485</v>
      </c>
    </row>
    <row r="2312" spans="1:11" x14ac:dyDescent="0.2">
      <c r="A2312" s="1">
        <v>0.60416666666666696</v>
      </c>
      <c r="B2312" s="2">
        <v>6.09</v>
      </c>
      <c r="C2312" s="2">
        <v>3.7</v>
      </c>
      <c r="D2312" s="2">
        <v>5.01</v>
      </c>
      <c r="E2312" s="2">
        <v>5.65</v>
      </c>
      <c r="F2312" s="2">
        <v>2.91</v>
      </c>
      <c r="G2312" s="6">
        <v>24239</v>
      </c>
      <c r="H2312" s="6">
        <v>21937</v>
      </c>
      <c r="I2312" s="6">
        <v>8315</v>
      </c>
      <c r="J2312" s="6">
        <v>7812</v>
      </c>
      <c r="K2312" s="6">
        <v>24012</v>
      </c>
    </row>
    <row r="2313" spans="1:11" x14ac:dyDescent="0.2">
      <c r="A2313" s="1">
        <v>0.60486111111111096</v>
      </c>
      <c r="B2313" s="2">
        <v>6.35</v>
      </c>
      <c r="C2313" s="2">
        <v>3.64</v>
      </c>
      <c r="D2313" s="2">
        <v>5.15</v>
      </c>
      <c r="E2313" s="2">
        <v>5.63</v>
      </c>
      <c r="F2313" s="2">
        <v>3.0900000000000003</v>
      </c>
      <c r="G2313" s="6">
        <v>12630</v>
      </c>
      <c r="H2313" s="6">
        <v>27302</v>
      </c>
      <c r="I2313" s="6">
        <v>17405</v>
      </c>
      <c r="J2313" s="6">
        <v>23931</v>
      </c>
      <c r="K2313" s="6">
        <v>12174</v>
      </c>
    </row>
    <row r="2314" spans="1:11" x14ac:dyDescent="0.2">
      <c r="A2314" s="1">
        <v>0.60555555555555596</v>
      </c>
      <c r="B2314" s="2">
        <v>6.3599999999999994</v>
      </c>
      <c r="C2314" s="2">
        <v>3.74</v>
      </c>
      <c r="D2314" s="2">
        <v>5.0200000000000005</v>
      </c>
      <c r="E2314" s="2">
        <v>5.5600000000000005</v>
      </c>
      <c r="F2314" s="2">
        <v>3.25</v>
      </c>
      <c r="G2314" s="6">
        <v>5894</v>
      </c>
      <c r="H2314" s="6">
        <v>12469</v>
      </c>
      <c r="I2314" s="6">
        <v>13192</v>
      </c>
      <c r="J2314" s="6">
        <v>23385</v>
      </c>
      <c r="K2314" s="6">
        <v>11551</v>
      </c>
    </row>
    <row r="2315" spans="1:11" x14ac:dyDescent="0.2">
      <c r="A2315" s="1">
        <v>0.60624999999999996</v>
      </c>
      <c r="B2315" s="2">
        <v>6.1499999999999995</v>
      </c>
      <c r="C2315" s="2">
        <v>3.8200000000000003</v>
      </c>
      <c r="D2315" s="2">
        <v>5.26</v>
      </c>
      <c r="E2315" s="2">
        <v>5.1100000000000003</v>
      </c>
      <c r="F2315" s="2">
        <v>3.2600000000000002</v>
      </c>
      <c r="G2315" s="6">
        <v>5759</v>
      </c>
      <c r="H2315" s="6">
        <v>21019</v>
      </c>
      <c r="I2315" s="6">
        <v>12241</v>
      </c>
      <c r="J2315" s="6">
        <v>16035</v>
      </c>
      <c r="K2315" s="6">
        <v>6550</v>
      </c>
    </row>
    <row r="2316" spans="1:11" x14ac:dyDescent="0.2">
      <c r="A2316" s="1">
        <v>0.60694444444444495</v>
      </c>
      <c r="B2316" s="2">
        <v>6.14</v>
      </c>
      <c r="C2316" s="2">
        <v>3.79</v>
      </c>
      <c r="D2316" s="2">
        <v>5.33</v>
      </c>
      <c r="E2316" s="2">
        <v>5.4300000000000006</v>
      </c>
      <c r="F2316" s="2">
        <v>2.93</v>
      </c>
      <c r="G2316" s="6">
        <v>23835</v>
      </c>
      <c r="H2316" s="6">
        <v>28161</v>
      </c>
      <c r="I2316" s="6">
        <v>25938</v>
      </c>
      <c r="J2316" s="6">
        <v>9368</v>
      </c>
      <c r="K2316" s="6">
        <v>7690</v>
      </c>
    </row>
    <row r="2317" spans="1:11" x14ac:dyDescent="0.2">
      <c r="A2317" s="1">
        <v>0.60763888888888895</v>
      </c>
      <c r="B2317" s="2">
        <v>6.2</v>
      </c>
      <c r="C2317" s="2">
        <v>3.8600000000000003</v>
      </c>
      <c r="D2317" s="2">
        <v>5.3</v>
      </c>
      <c r="E2317" s="2">
        <v>5.4700000000000006</v>
      </c>
      <c r="F2317" s="2">
        <v>2.89</v>
      </c>
      <c r="G2317" s="6">
        <v>22749</v>
      </c>
      <c r="H2317" s="6">
        <v>10983</v>
      </c>
      <c r="I2317" s="6">
        <v>19299</v>
      </c>
      <c r="J2317" s="6">
        <v>21814</v>
      </c>
      <c r="K2317" s="6">
        <v>16150</v>
      </c>
    </row>
    <row r="2318" spans="1:11" x14ac:dyDescent="0.2">
      <c r="A2318" s="1">
        <v>0.60833333333333295</v>
      </c>
      <c r="B2318" s="2">
        <v>6.32</v>
      </c>
      <c r="C2318" s="2">
        <v>3.79</v>
      </c>
      <c r="D2318" s="2">
        <v>4.9400000000000004</v>
      </c>
      <c r="E2318" s="2">
        <v>5.23</v>
      </c>
      <c r="F2318" s="2">
        <v>3.3000000000000003</v>
      </c>
      <c r="G2318" s="6">
        <v>26567</v>
      </c>
      <c r="H2318" s="6">
        <v>11486</v>
      </c>
      <c r="I2318" s="6">
        <v>8540</v>
      </c>
      <c r="J2318" s="6">
        <v>5786</v>
      </c>
      <c r="K2318" s="6">
        <v>6237</v>
      </c>
    </row>
    <row r="2319" spans="1:11" x14ac:dyDescent="0.2">
      <c r="A2319" s="1">
        <v>0.60902777777777795</v>
      </c>
      <c r="B2319" s="2">
        <v>6.3599999999999994</v>
      </c>
      <c r="C2319" s="2">
        <v>3.74</v>
      </c>
      <c r="D2319" s="2">
        <v>5.0200000000000005</v>
      </c>
      <c r="E2319" s="2">
        <v>5.1800000000000006</v>
      </c>
      <c r="F2319" s="2">
        <v>3.3400000000000003</v>
      </c>
      <c r="G2319" s="6">
        <v>11939</v>
      </c>
      <c r="H2319" s="6">
        <v>8372</v>
      </c>
      <c r="I2319" s="6">
        <v>6006</v>
      </c>
      <c r="J2319" s="6">
        <v>15746</v>
      </c>
      <c r="K2319" s="6">
        <v>7400</v>
      </c>
    </row>
    <row r="2320" spans="1:11" x14ac:dyDescent="0.2">
      <c r="A2320" s="1">
        <v>0.60972222222222205</v>
      </c>
      <c r="B2320" s="2">
        <v>6.18</v>
      </c>
      <c r="C2320" s="2">
        <v>3.65</v>
      </c>
      <c r="D2320" s="2">
        <v>5.09</v>
      </c>
      <c r="E2320" s="2">
        <v>5.4</v>
      </c>
      <c r="F2320" s="2">
        <v>3.18</v>
      </c>
      <c r="G2320" s="6">
        <v>21982</v>
      </c>
      <c r="H2320" s="6">
        <v>20997</v>
      </c>
      <c r="I2320" s="6">
        <v>19708</v>
      </c>
      <c r="J2320" s="6">
        <v>22825</v>
      </c>
      <c r="K2320" s="6">
        <v>17141</v>
      </c>
    </row>
    <row r="2321" spans="1:11" x14ac:dyDescent="0.2">
      <c r="A2321" s="1">
        <v>0.61041666666666705</v>
      </c>
      <c r="B2321" s="2">
        <v>6.34</v>
      </c>
      <c r="C2321" s="2">
        <v>3.73</v>
      </c>
      <c r="D2321" s="2">
        <v>4.93</v>
      </c>
      <c r="E2321" s="2">
        <v>5.21</v>
      </c>
      <c r="F2321" s="2">
        <v>2.9</v>
      </c>
      <c r="G2321" s="6">
        <v>8152</v>
      </c>
      <c r="H2321" s="6">
        <v>26880</v>
      </c>
      <c r="I2321" s="6">
        <v>4482</v>
      </c>
      <c r="J2321" s="6">
        <v>14296</v>
      </c>
      <c r="K2321" s="6">
        <v>13595</v>
      </c>
    </row>
    <row r="2322" spans="1:11" x14ac:dyDescent="0.2">
      <c r="A2322" s="1">
        <v>0.61111111111111105</v>
      </c>
      <c r="B2322" s="2">
        <v>6.29</v>
      </c>
      <c r="C2322" s="2">
        <v>3.75</v>
      </c>
      <c r="D2322" s="2">
        <v>5.37</v>
      </c>
      <c r="E2322" s="2">
        <v>5.19</v>
      </c>
      <c r="F2322" s="2">
        <v>3.24</v>
      </c>
      <c r="G2322" s="6">
        <v>17191</v>
      </c>
      <c r="H2322" s="6">
        <v>11209</v>
      </c>
      <c r="I2322" s="6">
        <v>22400</v>
      </c>
      <c r="J2322" s="6">
        <v>22128</v>
      </c>
      <c r="K2322" s="6">
        <v>17324</v>
      </c>
    </row>
    <row r="2323" spans="1:11" x14ac:dyDescent="0.2">
      <c r="A2323" s="1">
        <v>0.61180555555555605</v>
      </c>
      <c r="B2323" s="2">
        <v>6.22</v>
      </c>
      <c r="C2323" s="2">
        <v>3.64</v>
      </c>
      <c r="D2323" s="2">
        <v>5.37</v>
      </c>
      <c r="E2323" s="2">
        <v>5.24</v>
      </c>
      <c r="F2323" s="2">
        <v>3.19</v>
      </c>
      <c r="G2323" s="6">
        <v>14164</v>
      </c>
      <c r="H2323" s="6">
        <v>20122</v>
      </c>
      <c r="I2323" s="6">
        <v>16293</v>
      </c>
      <c r="J2323" s="6">
        <v>12518</v>
      </c>
      <c r="K2323" s="6">
        <v>6661</v>
      </c>
    </row>
    <row r="2324" spans="1:11" x14ac:dyDescent="0.2">
      <c r="A2324" s="1">
        <v>0.61250000000000004</v>
      </c>
      <c r="B2324" s="2">
        <v>6.25</v>
      </c>
      <c r="C2324" s="2">
        <v>3.7600000000000002</v>
      </c>
      <c r="D2324" s="2">
        <v>5.28</v>
      </c>
      <c r="E2324" s="2">
        <v>5.63</v>
      </c>
      <c r="F2324" s="2">
        <v>3.19</v>
      </c>
      <c r="G2324" s="6">
        <v>27226</v>
      </c>
      <c r="H2324" s="6">
        <v>8129</v>
      </c>
      <c r="I2324" s="6">
        <v>21363</v>
      </c>
      <c r="J2324" s="6">
        <v>9193</v>
      </c>
      <c r="K2324" s="6">
        <v>21629</v>
      </c>
    </row>
    <row r="2325" spans="1:11" x14ac:dyDescent="0.2">
      <c r="A2325" s="1">
        <v>0.61319444444444404</v>
      </c>
      <c r="B2325" s="2">
        <v>6.13</v>
      </c>
      <c r="C2325" s="2">
        <v>3.73</v>
      </c>
      <c r="D2325" s="2">
        <v>5.3100000000000005</v>
      </c>
      <c r="E2325" s="2">
        <v>5.5500000000000007</v>
      </c>
      <c r="F2325" s="2">
        <v>3.35</v>
      </c>
      <c r="G2325" s="6">
        <v>10484</v>
      </c>
      <c r="H2325" s="6">
        <v>28968</v>
      </c>
      <c r="I2325" s="6">
        <v>21678</v>
      </c>
      <c r="J2325" s="6">
        <v>21925</v>
      </c>
      <c r="K2325" s="6">
        <v>17091</v>
      </c>
    </row>
    <row r="2326" spans="1:11" x14ac:dyDescent="0.2">
      <c r="A2326" s="1">
        <v>0.61388888888888904</v>
      </c>
      <c r="B2326" s="2">
        <v>6.1499999999999995</v>
      </c>
      <c r="C2326" s="2">
        <v>3.7800000000000002</v>
      </c>
      <c r="D2326" s="2">
        <v>5.08</v>
      </c>
      <c r="E2326" s="2">
        <v>5.3900000000000006</v>
      </c>
      <c r="F2326" s="2">
        <v>3.23</v>
      </c>
      <c r="G2326" s="6">
        <v>9826</v>
      </c>
      <c r="H2326" s="6">
        <v>22589</v>
      </c>
      <c r="I2326" s="6">
        <v>24039</v>
      </c>
      <c r="J2326" s="6">
        <v>17559</v>
      </c>
      <c r="K2326" s="6">
        <v>17761</v>
      </c>
    </row>
    <row r="2327" spans="1:11" x14ac:dyDescent="0.2">
      <c r="A2327" s="1">
        <v>0.61458333333333304</v>
      </c>
      <c r="B2327" s="2">
        <v>6.26</v>
      </c>
      <c r="C2327" s="2">
        <v>3.62</v>
      </c>
      <c r="D2327" s="2">
        <v>4.88</v>
      </c>
      <c r="E2327" s="2">
        <v>5.25</v>
      </c>
      <c r="F2327" s="2">
        <v>3.0300000000000002</v>
      </c>
      <c r="G2327" s="6">
        <v>19422</v>
      </c>
      <c r="H2327" s="6">
        <v>12696</v>
      </c>
      <c r="I2327" s="6">
        <v>17017</v>
      </c>
      <c r="J2327" s="6">
        <v>20162</v>
      </c>
      <c r="K2327" s="6">
        <v>15365</v>
      </c>
    </row>
    <row r="2328" spans="1:11" x14ac:dyDescent="0.2">
      <c r="A2328" s="1">
        <v>0.61527777777777803</v>
      </c>
      <c r="B2328" s="2">
        <v>6.25</v>
      </c>
      <c r="C2328" s="2">
        <v>3.73</v>
      </c>
      <c r="D2328" s="2">
        <v>4.91</v>
      </c>
      <c r="E2328" s="2">
        <v>5.23</v>
      </c>
      <c r="F2328" s="2">
        <v>3.3200000000000003</v>
      </c>
      <c r="G2328" s="6">
        <v>20102</v>
      </c>
      <c r="H2328" s="6">
        <v>29910</v>
      </c>
      <c r="I2328" s="6">
        <v>7975</v>
      </c>
      <c r="J2328" s="6">
        <v>9884</v>
      </c>
      <c r="K2328" s="6">
        <v>8262</v>
      </c>
    </row>
    <row r="2329" spans="1:11" x14ac:dyDescent="0.2">
      <c r="A2329" s="1">
        <v>0.61597222222222203</v>
      </c>
      <c r="B2329" s="2">
        <v>6.16</v>
      </c>
      <c r="C2329" s="2">
        <v>3.61</v>
      </c>
      <c r="D2329" s="2">
        <v>4.9800000000000004</v>
      </c>
      <c r="E2329" s="2">
        <v>5.24</v>
      </c>
      <c r="F2329" s="2">
        <v>3.0700000000000003</v>
      </c>
      <c r="G2329" s="6">
        <v>11887</v>
      </c>
      <c r="H2329" s="6">
        <v>20258</v>
      </c>
      <c r="I2329" s="6">
        <v>9985</v>
      </c>
      <c r="J2329" s="6">
        <v>19604</v>
      </c>
      <c r="K2329" s="6">
        <v>23714</v>
      </c>
    </row>
    <row r="2330" spans="1:11" x14ac:dyDescent="0.2">
      <c r="A2330" s="1">
        <v>0.61666666666666703</v>
      </c>
      <c r="B2330" s="2">
        <v>6.28</v>
      </c>
      <c r="C2330" s="2">
        <v>3.66</v>
      </c>
      <c r="D2330" s="2">
        <v>4.88</v>
      </c>
      <c r="E2330" s="2">
        <v>5.5200000000000005</v>
      </c>
      <c r="F2330" s="2">
        <v>3.37</v>
      </c>
      <c r="G2330" s="6">
        <v>23659</v>
      </c>
      <c r="H2330" s="6">
        <v>7491</v>
      </c>
      <c r="I2330" s="6">
        <v>15166</v>
      </c>
      <c r="J2330" s="6">
        <v>8971</v>
      </c>
      <c r="K2330" s="6">
        <v>7999</v>
      </c>
    </row>
    <row r="2331" spans="1:11" x14ac:dyDescent="0.2">
      <c r="A2331" s="1">
        <v>0.61736111111111103</v>
      </c>
      <c r="B2331" s="2">
        <v>6.3</v>
      </c>
      <c r="C2331" s="2">
        <v>3.65</v>
      </c>
      <c r="D2331" s="2">
        <v>5.05</v>
      </c>
      <c r="E2331" s="2">
        <v>5.4</v>
      </c>
      <c r="F2331" s="2">
        <v>3.23</v>
      </c>
      <c r="G2331" s="6">
        <v>25471</v>
      </c>
      <c r="H2331" s="6">
        <v>16257</v>
      </c>
      <c r="I2331" s="6">
        <v>21572</v>
      </c>
      <c r="J2331" s="6">
        <v>11089</v>
      </c>
      <c r="K2331" s="6">
        <v>19083</v>
      </c>
    </row>
    <row r="2332" spans="1:11" x14ac:dyDescent="0.2">
      <c r="A2332" s="1">
        <v>0.61805555555555602</v>
      </c>
      <c r="B2332" s="2">
        <v>6.2</v>
      </c>
      <c r="C2332" s="2">
        <v>3.77</v>
      </c>
      <c r="D2332" s="2">
        <v>5.3100000000000005</v>
      </c>
      <c r="E2332" s="2">
        <v>5.4300000000000006</v>
      </c>
      <c r="F2332" s="2">
        <v>3.06</v>
      </c>
      <c r="G2332" s="6">
        <v>8830</v>
      </c>
      <c r="H2332" s="6">
        <v>28016</v>
      </c>
      <c r="I2332" s="6">
        <v>20591</v>
      </c>
      <c r="J2332" s="6">
        <v>16675</v>
      </c>
      <c r="K2332" s="6">
        <v>21513</v>
      </c>
    </row>
    <row r="2333" spans="1:11" x14ac:dyDescent="0.2">
      <c r="A2333" s="1">
        <v>0.61875000000000002</v>
      </c>
      <c r="B2333" s="2">
        <v>6.13</v>
      </c>
      <c r="C2333" s="2">
        <v>3.73</v>
      </c>
      <c r="D2333" s="2">
        <v>5.2</v>
      </c>
      <c r="E2333" s="2">
        <v>5.63</v>
      </c>
      <c r="F2333" s="2">
        <v>2.93</v>
      </c>
      <c r="G2333" s="6">
        <v>7140</v>
      </c>
      <c r="H2333" s="6">
        <v>5698</v>
      </c>
      <c r="I2333" s="6">
        <v>13005</v>
      </c>
      <c r="J2333" s="6">
        <v>22492</v>
      </c>
      <c r="K2333" s="6">
        <v>10577</v>
      </c>
    </row>
    <row r="2334" spans="1:11" x14ac:dyDescent="0.2">
      <c r="A2334" s="1">
        <v>0.61944444444444402</v>
      </c>
      <c r="B2334" s="2">
        <v>6.2</v>
      </c>
      <c r="C2334" s="2">
        <v>3.59</v>
      </c>
      <c r="D2334" s="2">
        <v>5.15</v>
      </c>
      <c r="E2334" s="2">
        <v>4.99</v>
      </c>
      <c r="F2334" s="2">
        <v>2.93</v>
      </c>
      <c r="G2334" s="6">
        <v>16038</v>
      </c>
      <c r="H2334" s="6">
        <v>19992</v>
      </c>
      <c r="I2334" s="6">
        <v>26019</v>
      </c>
      <c r="J2334" s="6">
        <v>22869</v>
      </c>
      <c r="K2334" s="6">
        <v>10348</v>
      </c>
    </row>
    <row r="2335" spans="1:11" x14ac:dyDescent="0.2">
      <c r="A2335" s="1">
        <v>0.62013888888888902</v>
      </c>
      <c r="B2335" s="2">
        <v>6.33</v>
      </c>
      <c r="C2335" s="2">
        <v>3.71</v>
      </c>
      <c r="D2335" s="2">
        <v>5.16</v>
      </c>
      <c r="E2335" s="2">
        <v>5.23</v>
      </c>
      <c r="F2335" s="2">
        <v>3</v>
      </c>
      <c r="G2335" s="6">
        <v>24206</v>
      </c>
      <c r="H2335" s="6">
        <v>29400</v>
      </c>
      <c r="I2335" s="6">
        <v>26186</v>
      </c>
      <c r="J2335" s="6">
        <v>15786</v>
      </c>
      <c r="K2335" s="6">
        <v>13880</v>
      </c>
    </row>
    <row r="2336" spans="1:11" x14ac:dyDescent="0.2">
      <c r="A2336" s="1">
        <v>0.62083333333333302</v>
      </c>
      <c r="B2336" s="2">
        <v>6.27</v>
      </c>
      <c r="C2336" s="2">
        <v>3.87</v>
      </c>
      <c r="D2336" s="2">
        <v>4.91</v>
      </c>
      <c r="E2336" s="2">
        <v>5.23</v>
      </c>
      <c r="F2336" s="2">
        <v>3.22</v>
      </c>
      <c r="G2336" s="6">
        <v>19219</v>
      </c>
      <c r="H2336" s="6">
        <v>14320</v>
      </c>
      <c r="I2336" s="6">
        <v>14948</v>
      </c>
      <c r="J2336" s="6">
        <v>20943</v>
      </c>
      <c r="K2336" s="6">
        <v>17329</v>
      </c>
    </row>
    <row r="2337" spans="1:11" x14ac:dyDescent="0.2">
      <c r="A2337" s="1">
        <v>0.62152777777777801</v>
      </c>
      <c r="B2337" s="2">
        <v>6.35</v>
      </c>
      <c r="C2337" s="2">
        <v>3.6</v>
      </c>
      <c r="D2337" s="2">
        <v>5.25</v>
      </c>
      <c r="E2337" s="2">
        <v>5.1100000000000003</v>
      </c>
      <c r="F2337" s="2">
        <v>3.1</v>
      </c>
      <c r="G2337" s="6">
        <v>10018</v>
      </c>
      <c r="H2337" s="6">
        <v>24725</v>
      </c>
      <c r="I2337" s="6">
        <v>11033</v>
      </c>
      <c r="J2337" s="6">
        <v>25226</v>
      </c>
      <c r="K2337" s="6">
        <v>11192</v>
      </c>
    </row>
    <row r="2338" spans="1:11" x14ac:dyDescent="0.2">
      <c r="A2338" s="1">
        <v>0.62222222222222201</v>
      </c>
      <c r="B2338" s="2">
        <v>6.27</v>
      </c>
      <c r="C2338" s="2">
        <v>3.81</v>
      </c>
      <c r="D2338" s="2">
        <v>4.99</v>
      </c>
      <c r="E2338" s="2">
        <v>5.26</v>
      </c>
      <c r="F2338" s="2">
        <v>3.33</v>
      </c>
      <c r="G2338" s="6">
        <v>6945</v>
      </c>
      <c r="H2338" s="6">
        <v>10710</v>
      </c>
      <c r="I2338" s="6">
        <v>25928</v>
      </c>
      <c r="J2338" s="6">
        <v>16942</v>
      </c>
      <c r="K2338" s="6">
        <v>11033</v>
      </c>
    </row>
    <row r="2339" spans="1:11" x14ac:dyDescent="0.2">
      <c r="A2339" s="1">
        <v>0.62291666666666701</v>
      </c>
      <c r="B2339" s="2">
        <v>6.2299999999999995</v>
      </c>
      <c r="C2339" s="2">
        <v>3.87</v>
      </c>
      <c r="D2339" s="2">
        <v>5.2700000000000005</v>
      </c>
      <c r="E2339" s="2">
        <v>5.0200000000000005</v>
      </c>
      <c r="F2339" s="2">
        <v>3.02</v>
      </c>
      <c r="G2339" s="6">
        <v>11003</v>
      </c>
      <c r="H2339" s="6">
        <v>18005</v>
      </c>
      <c r="I2339" s="6">
        <v>4573</v>
      </c>
      <c r="J2339" s="6">
        <v>10442</v>
      </c>
      <c r="K2339" s="6">
        <v>8987</v>
      </c>
    </row>
    <row r="2340" spans="1:11" x14ac:dyDescent="0.2">
      <c r="A2340" s="1">
        <v>0.62361111111111101</v>
      </c>
      <c r="B2340" s="2">
        <v>6.35</v>
      </c>
      <c r="C2340" s="2">
        <v>3.63</v>
      </c>
      <c r="D2340" s="2">
        <v>5.3</v>
      </c>
      <c r="E2340" s="2">
        <v>5.5200000000000005</v>
      </c>
      <c r="F2340" s="2">
        <v>2.89</v>
      </c>
      <c r="G2340" s="6">
        <v>18792</v>
      </c>
      <c r="H2340" s="6">
        <v>25321</v>
      </c>
      <c r="I2340" s="6">
        <v>14324</v>
      </c>
      <c r="J2340" s="6">
        <v>24864</v>
      </c>
      <c r="K2340" s="6">
        <v>7240</v>
      </c>
    </row>
    <row r="2341" spans="1:11" x14ac:dyDescent="0.2">
      <c r="A2341" s="1">
        <v>0.624305555555556</v>
      </c>
      <c r="B2341" s="2">
        <v>6.35</v>
      </c>
      <c r="C2341" s="2">
        <v>3.63</v>
      </c>
      <c r="D2341" s="2">
        <v>5.1000000000000005</v>
      </c>
      <c r="E2341" s="2">
        <v>5.36</v>
      </c>
      <c r="F2341" s="2">
        <v>3</v>
      </c>
      <c r="G2341" s="6">
        <v>17775</v>
      </c>
      <c r="H2341" s="6">
        <v>18389</v>
      </c>
      <c r="I2341" s="6">
        <v>9770</v>
      </c>
      <c r="J2341" s="6">
        <v>11771</v>
      </c>
      <c r="K2341" s="6">
        <v>6423</v>
      </c>
    </row>
    <row r="2342" spans="1:11" x14ac:dyDescent="0.2">
      <c r="A2342" s="3">
        <v>0.625</v>
      </c>
      <c r="B2342" s="2">
        <v>6.21</v>
      </c>
      <c r="C2342" s="2">
        <v>3.74</v>
      </c>
      <c r="D2342" s="2">
        <v>5.1100000000000003</v>
      </c>
      <c r="E2342" s="2">
        <v>5.33</v>
      </c>
      <c r="F2342" s="2">
        <v>3.18</v>
      </c>
      <c r="G2342" s="6">
        <v>5400</v>
      </c>
      <c r="H2342" s="6">
        <v>7758</v>
      </c>
      <c r="I2342" s="6">
        <v>4262</v>
      </c>
      <c r="J2342" s="6">
        <v>4761</v>
      </c>
      <c r="K2342" s="6">
        <v>6386</v>
      </c>
    </row>
    <row r="2343" spans="1:11" x14ac:dyDescent="0.2">
      <c r="A2343" s="1">
        <v>0.625694444444444</v>
      </c>
      <c r="B2343" s="2">
        <v>6.32</v>
      </c>
      <c r="C2343" s="2">
        <v>3.7800000000000002</v>
      </c>
      <c r="D2343" s="2">
        <v>5.01</v>
      </c>
      <c r="E2343" s="2">
        <v>5.3900000000000006</v>
      </c>
      <c r="F2343" s="2">
        <v>3.08</v>
      </c>
      <c r="G2343" s="6">
        <v>4745</v>
      </c>
      <c r="H2343" s="6">
        <v>6045</v>
      </c>
      <c r="I2343" s="6">
        <v>4946</v>
      </c>
      <c r="J2343" s="6">
        <v>4259</v>
      </c>
      <c r="K2343" s="6">
        <v>7015</v>
      </c>
    </row>
    <row r="2344" spans="1:11" x14ac:dyDescent="0.2">
      <c r="A2344" s="1">
        <v>0.62638888888888899</v>
      </c>
      <c r="B2344" s="2">
        <v>6.33</v>
      </c>
      <c r="C2344" s="2">
        <v>3.79</v>
      </c>
      <c r="D2344" s="2">
        <v>5.16</v>
      </c>
      <c r="E2344" s="2">
        <v>5.4700000000000006</v>
      </c>
      <c r="F2344" s="2">
        <v>3.1</v>
      </c>
      <c r="G2344" s="6">
        <v>6035</v>
      </c>
      <c r="H2344" s="6">
        <v>6954</v>
      </c>
      <c r="I2344" s="6">
        <v>5057</v>
      </c>
      <c r="J2344" s="6">
        <v>4030</v>
      </c>
      <c r="K2344" s="6">
        <v>6623</v>
      </c>
    </row>
    <row r="2345" spans="1:11" x14ac:dyDescent="0.2">
      <c r="A2345" s="1">
        <v>0.62708333333333299</v>
      </c>
      <c r="B2345" s="2">
        <v>6.24</v>
      </c>
      <c r="C2345" s="2">
        <v>3.61</v>
      </c>
      <c r="D2345" s="2">
        <v>5.17</v>
      </c>
      <c r="E2345" s="2">
        <v>5.2700000000000005</v>
      </c>
      <c r="F2345" s="2">
        <v>3.17</v>
      </c>
      <c r="G2345" s="6">
        <v>6035</v>
      </c>
      <c r="H2345" s="6">
        <v>7780</v>
      </c>
      <c r="I2345" s="6">
        <v>5323</v>
      </c>
      <c r="J2345" s="6">
        <v>3964</v>
      </c>
      <c r="K2345" s="6">
        <v>4796</v>
      </c>
    </row>
    <row r="2346" spans="1:11" x14ac:dyDescent="0.2">
      <c r="A2346" s="1">
        <v>0.62777777777777799</v>
      </c>
      <c r="B2346" s="2">
        <v>6.32</v>
      </c>
      <c r="C2346" s="2">
        <v>3.69</v>
      </c>
      <c r="D2346" s="2">
        <v>5.05</v>
      </c>
      <c r="E2346" s="2">
        <v>5.07</v>
      </c>
      <c r="F2346" s="2">
        <v>3.37</v>
      </c>
      <c r="G2346" s="6">
        <v>5406</v>
      </c>
      <c r="H2346" s="6">
        <v>7422</v>
      </c>
      <c r="I2346" s="6">
        <v>5257</v>
      </c>
      <c r="J2346" s="6">
        <v>4036</v>
      </c>
      <c r="K2346" s="6">
        <v>5390</v>
      </c>
    </row>
    <row r="2347" spans="1:11" x14ac:dyDescent="0.2">
      <c r="A2347" s="1">
        <v>0.62847222222222199</v>
      </c>
      <c r="B2347" s="2">
        <v>6.32</v>
      </c>
      <c r="C2347" s="2">
        <v>3.69</v>
      </c>
      <c r="D2347" s="2">
        <v>4.99</v>
      </c>
      <c r="E2347" s="2">
        <v>5.48</v>
      </c>
      <c r="F2347" s="2">
        <v>2.93</v>
      </c>
      <c r="G2347" s="6">
        <v>6532</v>
      </c>
      <c r="H2347" s="6">
        <v>6522</v>
      </c>
      <c r="I2347" s="6">
        <v>4890</v>
      </c>
      <c r="J2347" s="6">
        <v>4136</v>
      </c>
      <c r="K2347" s="6">
        <v>5343</v>
      </c>
    </row>
    <row r="2348" spans="1:11" x14ac:dyDescent="0.2">
      <c r="A2348" s="1">
        <v>0.62916666666666698</v>
      </c>
      <c r="B2348" s="2">
        <v>6.1899999999999995</v>
      </c>
      <c r="C2348" s="2">
        <v>3.65</v>
      </c>
      <c r="D2348" s="2">
        <v>5.35</v>
      </c>
      <c r="E2348" s="2">
        <v>5.0600000000000005</v>
      </c>
      <c r="F2348" s="2">
        <v>3.22</v>
      </c>
      <c r="G2348" s="6">
        <v>5313</v>
      </c>
      <c r="H2348" s="6">
        <v>5032</v>
      </c>
      <c r="I2348" s="6">
        <v>4842</v>
      </c>
      <c r="J2348" s="6">
        <v>4112</v>
      </c>
      <c r="K2348" s="6">
        <v>3941</v>
      </c>
    </row>
    <row r="2349" spans="1:11" x14ac:dyDescent="0.2">
      <c r="A2349" s="1">
        <v>0.62986111111111098</v>
      </c>
      <c r="B2349" s="2">
        <v>6.26</v>
      </c>
      <c r="C2349" s="2">
        <v>3.79</v>
      </c>
      <c r="D2349" s="2">
        <v>5.3</v>
      </c>
      <c r="E2349" s="2">
        <v>5.04</v>
      </c>
      <c r="F2349" s="2">
        <v>2.93</v>
      </c>
      <c r="G2349" s="6">
        <v>4891</v>
      </c>
      <c r="H2349" s="6">
        <v>6614</v>
      </c>
      <c r="I2349" s="6">
        <v>5205</v>
      </c>
      <c r="J2349" s="6">
        <v>3808</v>
      </c>
      <c r="K2349" s="6">
        <v>5702</v>
      </c>
    </row>
    <row r="2350" spans="1:11" x14ac:dyDescent="0.2">
      <c r="A2350" s="1">
        <v>0.63055555555555598</v>
      </c>
      <c r="B2350" s="2">
        <v>6.1</v>
      </c>
      <c r="C2350" s="2">
        <v>3.63</v>
      </c>
      <c r="D2350" s="2">
        <v>5.13</v>
      </c>
      <c r="E2350" s="2">
        <v>5.45</v>
      </c>
      <c r="F2350" s="2">
        <v>3.3200000000000003</v>
      </c>
      <c r="G2350" s="6">
        <v>5132</v>
      </c>
      <c r="H2350" s="6">
        <v>5001</v>
      </c>
      <c r="I2350" s="6">
        <v>4959</v>
      </c>
      <c r="J2350" s="6">
        <v>3460</v>
      </c>
      <c r="K2350" s="6">
        <v>5558</v>
      </c>
    </row>
    <row r="2351" spans="1:11" x14ac:dyDescent="0.2">
      <c r="A2351" s="1">
        <v>0.63124999999999998</v>
      </c>
      <c r="B2351" s="2">
        <v>6.1499999999999995</v>
      </c>
      <c r="C2351" s="2">
        <v>3.65</v>
      </c>
      <c r="D2351" s="2">
        <v>4.96</v>
      </c>
      <c r="E2351" s="2">
        <v>5.38</v>
      </c>
      <c r="F2351" s="2">
        <v>3.38</v>
      </c>
      <c r="G2351" s="6">
        <v>4837</v>
      </c>
      <c r="H2351" s="6">
        <v>7888</v>
      </c>
      <c r="I2351" s="6">
        <v>5308</v>
      </c>
      <c r="J2351" s="6">
        <v>4096</v>
      </c>
      <c r="K2351" s="6">
        <v>4961</v>
      </c>
    </row>
    <row r="2352" spans="1:11" x14ac:dyDescent="0.2">
      <c r="A2352" s="1">
        <v>0.63194444444444398</v>
      </c>
      <c r="B2352" s="2">
        <v>6.2</v>
      </c>
      <c r="C2352" s="2">
        <v>3.63</v>
      </c>
      <c r="D2352" s="2">
        <v>5</v>
      </c>
      <c r="E2352" s="2">
        <v>5.16</v>
      </c>
      <c r="F2352" s="2">
        <v>3.16</v>
      </c>
      <c r="G2352" s="6">
        <v>6331</v>
      </c>
      <c r="H2352" s="6">
        <v>7187</v>
      </c>
      <c r="I2352" s="6">
        <v>5136</v>
      </c>
      <c r="J2352" s="6">
        <v>3610</v>
      </c>
      <c r="K2352" s="6">
        <v>5693</v>
      </c>
    </row>
    <row r="2353" spans="1:11" x14ac:dyDescent="0.2">
      <c r="A2353" s="1">
        <v>0.63263888888888897</v>
      </c>
      <c r="B2353" s="2">
        <v>6.17</v>
      </c>
      <c r="C2353" s="2">
        <v>3.79</v>
      </c>
      <c r="D2353" s="2">
        <v>5.35</v>
      </c>
      <c r="E2353" s="2">
        <v>5.57</v>
      </c>
      <c r="F2353" s="2">
        <v>3</v>
      </c>
      <c r="G2353" s="6">
        <v>6458</v>
      </c>
      <c r="H2353" s="6">
        <v>6589</v>
      </c>
      <c r="I2353" s="6">
        <v>4911</v>
      </c>
      <c r="J2353" s="6">
        <v>4346</v>
      </c>
      <c r="K2353" s="6">
        <v>3503</v>
      </c>
    </row>
    <row r="2354" spans="1:11" x14ac:dyDescent="0.2">
      <c r="A2354" s="1">
        <v>0.63333333333333297</v>
      </c>
      <c r="B2354" s="2">
        <v>6.33</v>
      </c>
      <c r="C2354" s="2">
        <v>3.8600000000000003</v>
      </c>
      <c r="D2354" s="2">
        <v>5.15</v>
      </c>
      <c r="E2354" s="2">
        <v>5.1000000000000005</v>
      </c>
      <c r="F2354" s="2">
        <v>2.95</v>
      </c>
      <c r="G2354" s="6">
        <v>5254</v>
      </c>
      <c r="H2354" s="6">
        <v>4844</v>
      </c>
      <c r="I2354" s="6">
        <v>5223</v>
      </c>
      <c r="J2354" s="6">
        <v>3985</v>
      </c>
      <c r="K2354" s="6">
        <v>3958</v>
      </c>
    </row>
    <row r="2355" spans="1:11" x14ac:dyDescent="0.2">
      <c r="A2355" s="1">
        <v>0.63402777777777797</v>
      </c>
      <c r="B2355" s="2">
        <v>6.1499999999999995</v>
      </c>
      <c r="C2355" s="2">
        <v>3.58</v>
      </c>
      <c r="D2355" s="2">
        <v>5.05</v>
      </c>
      <c r="E2355" s="2">
        <v>5.03</v>
      </c>
      <c r="F2355" s="2">
        <v>2.99</v>
      </c>
      <c r="G2355" s="6">
        <v>4645</v>
      </c>
      <c r="H2355" s="6">
        <v>6764</v>
      </c>
      <c r="I2355" s="6">
        <v>4963</v>
      </c>
      <c r="J2355" s="6">
        <v>3592</v>
      </c>
      <c r="K2355" s="6">
        <v>4107</v>
      </c>
    </row>
    <row r="2356" spans="1:11" x14ac:dyDescent="0.2">
      <c r="A2356" s="1">
        <v>0.63472222222222197</v>
      </c>
      <c r="B2356" s="2">
        <v>6.1499999999999995</v>
      </c>
      <c r="C2356" s="2">
        <v>3.8600000000000003</v>
      </c>
      <c r="D2356" s="2">
        <v>5.33</v>
      </c>
      <c r="E2356" s="2">
        <v>5.1100000000000003</v>
      </c>
      <c r="F2356" s="2">
        <v>3.23</v>
      </c>
      <c r="G2356" s="6">
        <v>4869</v>
      </c>
      <c r="H2356" s="6">
        <v>6945</v>
      </c>
      <c r="I2356" s="6">
        <v>4961</v>
      </c>
      <c r="J2356" s="6">
        <v>4229</v>
      </c>
      <c r="K2356" s="6">
        <v>6681</v>
      </c>
    </row>
    <row r="2357" spans="1:11" x14ac:dyDescent="0.2">
      <c r="A2357" s="1">
        <v>0.63541666666666696</v>
      </c>
      <c r="B2357" s="2">
        <v>6.26</v>
      </c>
      <c r="C2357" s="2">
        <v>3.72</v>
      </c>
      <c r="D2357" s="2">
        <v>5.16</v>
      </c>
      <c r="E2357" s="2">
        <v>5.01</v>
      </c>
      <c r="F2357" s="2">
        <v>3.0700000000000003</v>
      </c>
      <c r="G2357" s="6">
        <v>5341</v>
      </c>
      <c r="H2357" s="6">
        <v>6704</v>
      </c>
      <c r="I2357" s="6">
        <v>5110</v>
      </c>
      <c r="J2357" s="6">
        <v>3360</v>
      </c>
      <c r="K2357" s="6">
        <v>6233</v>
      </c>
    </row>
    <row r="2358" spans="1:11" x14ac:dyDescent="0.2">
      <c r="A2358" s="1">
        <v>0.63611111111111096</v>
      </c>
      <c r="B2358" s="2">
        <v>6.35</v>
      </c>
      <c r="C2358" s="2">
        <v>3.79</v>
      </c>
      <c r="D2358" s="2">
        <v>4.9400000000000004</v>
      </c>
      <c r="E2358" s="2">
        <v>5.5600000000000005</v>
      </c>
      <c r="F2358" s="2">
        <v>3.1100000000000003</v>
      </c>
      <c r="G2358" s="6">
        <v>5420</v>
      </c>
      <c r="H2358" s="6">
        <v>7094</v>
      </c>
      <c r="I2358" s="6">
        <v>5223</v>
      </c>
      <c r="J2358" s="6">
        <v>3551</v>
      </c>
      <c r="K2358" s="6">
        <v>6978</v>
      </c>
    </row>
    <row r="2359" spans="1:11" x14ac:dyDescent="0.2">
      <c r="A2359" s="1">
        <v>0.63680555555555596</v>
      </c>
      <c r="B2359" s="2">
        <v>6.18</v>
      </c>
      <c r="C2359" s="2">
        <v>3.75</v>
      </c>
      <c r="D2359" s="2">
        <v>5.12</v>
      </c>
      <c r="E2359" s="2">
        <v>5.32</v>
      </c>
      <c r="F2359" s="2">
        <v>3.13</v>
      </c>
      <c r="G2359" s="6">
        <v>6129</v>
      </c>
      <c r="H2359" s="6">
        <v>5204</v>
      </c>
      <c r="I2359" s="6">
        <v>5339</v>
      </c>
      <c r="J2359" s="6">
        <v>3969</v>
      </c>
      <c r="K2359" s="6">
        <v>5321</v>
      </c>
    </row>
    <row r="2360" spans="1:11" x14ac:dyDescent="0.2">
      <c r="A2360" s="1">
        <v>0.63749999999999996</v>
      </c>
      <c r="B2360" s="2">
        <v>6.2299999999999995</v>
      </c>
      <c r="C2360" s="2">
        <v>3.77</v>
      </c>
      <c r="D2360" s="2">
        <v>4.95</v>
      </c>
      <c r="E2360" s="2">
        <v>5.6000000000000005</v>
      </c>
      <c r="F2360" s="2">
        <v>3.16</v>
      </c>
      <c r="G2360" s="6">
        <v>5082</v>
      </c>
      <c r="H2360" s="6">
        <v>5972</v>
      </c>
      <c r="I2360" s="6">
        <v>4876</v>
      </c>
      <c r="J2360" s="6">
        <v>4065</v>
      </c>
      <c r="K2360" s="6">
        <v>4410</v>
      </c>
    </row>
    <row r="2361" spans="1:11" x14ac:dyDescent="0.2">
      <c r="A2361" s="1">
        <v>0.63819444444444495</v>
      </c>
      <c r="B2361" s="2">
        <v>6.17</v>
      </c>
      <c r="C2361" s="2">
        <v>3.63</v>
      </c>
      <c r="D2361" s="2">
        <v>4.9000000000000004</v>
      </c>
      <c r="E2361" s="2">
        <v>5.17</v>
      </c>
      <c r="F2361" s="2">
        <v>2.89</v>
      </c>
      <c r="G2361" s="6">
        <v>5362</v>
      </c>
      <c r="H2361" s="6">
        <v>5972</v>
      </c>
      <c r="I2361" s="6">
        <v>4919</v>
      </c>
      <c r="J2361" s="6">
        <v>4309</v>
      </c>
      <c r="K2361" s="6">
        <v>6012</v>
      </c>
    </row>
    <row r="2362" spans="1:11" x14ac:dyDescent="0.2">
      <c r="A2362" s="1">
        <v>0.63888888888888895</v>
      </c>
      <c r="B2362" s="2">
        <v>6.26</v>
      </c>
      <c r="C2362" s="2">
        <v>3.71</v>
      </c>
      <c r="D2362" s="2">
        <v>4.91</v>
      </c>
      <c r="E2362" s="2">
        <v>5.15</v>
      </c>
      <c r="F2362" s="2">
        <v>3.3600000000000003</v>
      </c>
      <c r="G2362" s="6">
        <v>5903</v>
      </c>
      <c r="H2362" s="6">
        <v>5743</v>
      </c>
      <c r="I2362" s="6">
        <v>5215</v>
      </c>
      <c r="J2362" s="6">
        <v>3719</v>
      </c>
      <c r="K2362" s="6">
        <v>6302</v>
      </c>
    </row>
    <row r="2363" spans="1:11" x14ac:dyDescent="0.2">
      <c r="A2363" s="1">
        <v>0.63958333333333295</v>
      </c>
      <c r="B2363" s="2">
        <v>6.24</v>
      </c>
      <c r="C2363" s="2">
        <v>3.67</v>
      </c>
      <c r="D2363" s="2">
        <v>5.18</v>
      </c>
      <c r="E2363" s="2">
        <v>5.17</v>
      </c>
      <c r="F2363" s="2">
        <v>3.3600000000000003</v>
      </c>
      <c r="G2363" s="6">
        <v>5563</v>
      </c>
      <c r="H2363" s="6">
        <v>5396</v>
      </c>
      <c r="I2363" s="6">
        <v>5190</v>
      </c>
      <c r="J2363" s="6">
        <v>3963</v>
      </c>
      <c r="K2363" s="6">
        <v>4529</v>
      </c>
    </row>
    <row r="2364" spans="1:11" x14ac:dyDescent="0.2">
      <c r="A2364" s="1">
        <v>0.64027777777777795</v>
      </c>
      <c r="B2364" s="2">
        <v>6.1499999999999995</v>
      </c>
      <c r="C2364" s="2">
        <v>3.65</v>
      </c>
      <c r="D2364" s="2">
        <v>4.9800000000000004</v>
      </c>
      <c r="E2364" s="2">
        <v>5.5600000000000005</v>
      </c>
      <c r="F2364" s="2">
        <v>3.39</v>
      </c>
      <c r="G2364" s="6">
        <v>4632</v>
      </c>
      <c r="H2364" s="6">
        <v>5529</v>
      </c>
      <c r="I2364" s="6">
        <v>4947</v>
      </c>
      <c r="J2364" s="6">
        <v>3874</v>
      </c>
      <c r="K2364" s="6">
        <v>4512</v>
      </c>
    </row>
    <row r="2365" spans="1:11" x14ac:dyDescent="0.2">
      <c r="A2365" s="1">
        <v>0.64097222222222205</v>
      </c>
      <c r="B2365" s="2">
        <v>6.1499999999999995</v>
      </c>
      <c r="C2365" s="2">
        <v>3.75</v>
      </c>
      <c r="D2365" s="2">
        <v>5.34</v>
      </c>
      <c r="E2365" s="2">
        <v>5.5500000000000007</v>
      </c>
      <c r="F2365" s="2">
        <v>3.3000000000000003</v>
      </c>
      <c r="G2365" s="6">
        <v>5580</v>
      </c>
      <c r="H2365" s="6">
        <v>7666</v>
      </c>
      <c r="I2365" s="6">
        <v>4944</v>
      </c>
      <c r="J2365" s="6">
        <v>3697</v>
      </c>
      <c r="K2365" s="6">
        <v>5700</v>
      </c>
    </row>
    <row r="2366" spans="1:11" x14ac:dyDescent="0.2">
      <c r="A2366" s="1">
        <v>0.64166666666666705</v>
      </c>
      <c r="B2366" s="2">
        <v>6.27</v>
      </c>
      <c r="C2366" s="2">
        <v>3.58</v>
      </c>
      <c r="D2366" s="2">
        <v>5.23</v>
      </c>
      <c r="E2366" s="2">
        <v>5.54</v>
      </c>
      <c r="F2366" s="2">
        <v>3.23</v>
      </c>
      <c r="G2366" s="6">
        <v>5109</v>
      </c>
      <c r="H2366" s="6">
        <v>6426</v>
      </c>
      <c r="I2366" s="6">
        <v>5074</v>
      </c>
      <c r="J2366" s="6">
        <v>4204</v>
      </c>
      <c r="K2366" s="6">
        <v>4334</v>
      </c>
    </row>
    <row r="2367" spans="1:11" x14ac:dyDescent="0.2">
      <c r="A2367" s="1">
        <v>0.64236111111111105</v>
      </c>
      <c r="B2367" s="2">
        <v>6.12</v>
      </c>
      <c r="C2367" s="2">
        <v>3.7</v>
      </c>
      <c r="D2367" s="2">
        <v>5.03</v>
      </c>
      <c r="E2367" s="2">
        <v>5.1000000000000005</v>
      </c>
      <c r="F2367" s="2">
        <v>3.23</v>
      </c>
      <c r="G2367" s="6">
        <v>4828</v>
      </c>
      <c r="H2367" s="6">
        <v>5128</v>
      </c>
      <c r="I2367" s="6">
        <v>4924</v>
      </c>
      <c r="J2367" s="6">
        <v>3721</v>
      </c>
      <c r="K2367" s="6">
        <v>4522</v>
      </c>
    </row>
    <row r="2368" spans="1:11" x14ac:dyDescent="0.2">
      <c r="A2368" s="1">
        <v>0.64305555555555605</v>
      </c>
      <c r="B2368" s="2">
        <v>6.28</v>
      </c>
      <c r="C2368" s="2">
        <v>3.77</v>
      </c>
      <c r="D2368" s="2">
        <v>5.16</v>
      </c>
      <c r="E2368" s="2">
        <v>5.4</v>
      </c>
      <c r="F2368" s="2">
        <v>3.29</v>
      </c>
      <c r="G2368" s="6">
        <v>4569</v>
      </c>
      <c r="H2368" s="6">
        <v>7861</v>
      </c>
      <c r="I2368" s="6">
        <v>4875</v>
      </c>
      <c r="J2368" s="6">
        <v>4318</v>
      </c>
      <c r="K2368" s="6">
        <v>3737</v>
      </c>
    </row>
    <row r="2369" spans="1:11" x14ac:dyDescent="0.2">
      <c r="A2369" s="1">
        <v>0.64375000000000004</v>
      </c>
      <c r="B2369" s="2">
        <v>6.21</v>
      </c>
      <c r="C2369" s="2">
        <v>3.69</v>
      </c>
      <c r="D2369" s="2">
        <v>5.2</v>
      </c>
      <c r="E2369" s="2">
        <v>5.25</v>
      </c>
      <c r="F2369" s="2">
        <v>3.04</v>
      </c>
      <c r="G2369" s="6">
        <v>4993</v>
      </c>
      <c r="H2369" s="6">
        <v>6013</v>
      </c>
      <c r="I2369" s="6">
        <v>5339</v>
      </c>
      <c r="J2369" s="6">
        <v>3477</v>
      </c>
      <c r="K2369" s="6">
        <v>3583</v>
      </c>
    </row>
    <row r="2370" spans="1:11" x14ac:dyDescent="0.2">
      <c r="A2370" s="1">
        <v>0.64444444444444404</v>
      </c>
      <c r="B2370" s="2">
        <v>6.27</v>
      </c>
      <c r="C2370" s="2">
        <v>3.81</v>
      </c>
      <c r="D2370" s="2">
        <v>5.04</v>
      </c>
      <c r="E2370" s="2">
        <v>5.5200000000000005</v>
      </c>
      <c r="F2370" s="2">
        <v>3.2</v>
      </c>
      <c r="G2370" s="6">
        <v>5667</v>
      </c>
      <c r="H2370" s="6">
        <v>5287</v>
      </c>
      <c r="I2370" s="6">
        <v>5005</v>
      </c>
      <c r="J2370" s="6">
        <v>3860</v>
      </c>
      <c r="K2370" s="6">
        <v>5475</v>
      </c>
    </row>
    <row r="2371" spans="1:11" x14ac:dyDescent="0.2">
      <c r="A2371" s="1">
        <v>0.64513888888888904</v>
      </c>
      <c r="B2371" s="2">
        <v>6.22</v>
      </c>
      <c r="C2371" s="2">
        <v>3.58</v>
      </c>
      <c r="D2371" s="2">
        <v>4.9800000000000004</v>
      </c>
      <c r="E2371" s="2">
        <v>5.33</v>
      </c>
      <c r="F2371" s="2">
        <v>3.22</v>
      </c>
      <c r="G2371" s="6">
        <v>5256</v>
      </c>
      <c r="H2371" s="6">
        <v>6236</v>
      </c>
      <c r="I2371" s="6">
        <v>4980</v>
      </c>
      <c r="J2371" s="6">
        <v>3907</v>
      </c>
      <c r="K2371" s="6">
        <v>5991</v>
      </c>
    </row>
    <row r="2372" spans="1:11" x14ac:dyDescent="0.2">
      <c r="A2372" s="1">
        <v>0.64583333333333304</v>
      </c>
      <c r="B2372" s="2">
        <v>6.3</v>
      </c>
      <c r="C2372" s="2">
        <v>3.71</v>
      </c>
      <c r="D2372" s="2">
        <v>5.25</v>
      </c>
      <c r="E2372" s="2">
        <v>5.01</v>
      </c>
      <c r="F2372" s="2">
        <v>3.21</v>
      </c>
      <c r="G2372" s="6">
        <v>5573</v>
      </c>
      <c r="H2372" s="6">
        <v>6124</v>
      </c>
      <c r="I2372" s="6">
        <v>5291</v>
      </c>
      <c r="J2372" s="6">
        <v>3462</v>
      </c>
      <c r="K2372" s="6">
        <v>5133</v>
      </c>
    </row>
    <row r="2373" spans="1:11" x14ac:dyDescent="0.2">
      <c r="A2373" s="1">
        <v>0.64652777777777803</v>
      </c>
      <c r="B2373" s="2">
        <v>6.34</v>
      </c>
      <c r="C2373" s="2">
        <v>3.73</v>
      </c>
      <c r="D2373" s="2">
        <v>5.29</v>
      </c>
      <c r="E2373" s="2">
        <v>5.67</v>
      </c>
      <c r="F2373" s="2">
        <v>3.2</v>
      </c>
      <c r="G2373" s="6">
        <v>5724</v>
      </c>
      <c r="H2373" s="6">
        <v>7225</v>
      </c>
      <c r="I2373" s="6">
        <v>5019</v>
      </c>
      <c r="J2373" s="6">
        <v>4095</v>
      </c>
      <c r="K2373" s="6">
        <v>6369</v>
      </c>
    </row>
    <row r="2374" spans="1:11" x14ac:dyDescent="0.2">
      <c r="A2374" s="1">
        <v>0.64722222222222203</v>
      </c>
      <c r="B2374" s="2">
        <v>6.14</v>
      </c>
      <c r="C2374" s="2">
        <v>3.6</v>
      </c>
      <c r="D2374" s="2">
        <v>4.9000000000000004</v>
      </c>
      <c r="E2374" s="2">
        <v>5.24</v>
      </c>
      <c r="F2374" s="2">
        <v>3.1</v>
      </c>
      <c r="G2374" s="6">
        <v>4864</v>
      </c>
      <c r="H2374" s="6">
        <v>5247</v>
      </c>
      <c r="I2374" s="6">
        <v>4846</v>
      </c>
      <c r="J2374" s="6">
        <v>3983</v>
      </c>
      <c r="K2374" s="6">
        <v>4486</v>
      </c>
    </row>
    <row r="2375" spans="1:11" x14ac:dyDescent="0.2">
      <c r="A2375" s="1">
        <v>0.64791666666666703</v>
      </c>
      <c r="B2375" s="2">
        <v>6.1499999999999995</v>
      </c>
      <c r="C2375" s="2">
        <v>3.6</v>
      </c>
      <c r="D2375" s="2">
        <v>5.19</v>
      </c>
      <c r="E2375" s="2">
        <v>5.51</v>
      </c>
      <c r="F2375" s="2">
        <v>3.0900000000000003</v>
      </c>
      <c r="G2375" s="6">
        <v>6015</v>
      </c>
      <c r="H2375" s="6">
        <v>5489</v>
      </c>
      <c r="I2375" s="6">
        <v>4850</v>
      </c>
      <c r="J2375" s="6">
        <v>4050</v>
      </c>
      <c r="K2375" s="6">
        <v>3443</v>
      </c>
    </row>
    <row r="2376" spans="1:11" x14ac:dyDescent="0.2">
      <c r="A2376" s="1">
        <v>0.64861111111111103</v>
      </c>
      <c r="B2376" s="2">
        <v>6.28</v>
      </c>
      <c r="C2376" s="2">
        <v>3.71</v>
      </c>
      <c r="D2376" s="2">
        <v>4.91</v>
      </c>
      <c r="E2376" s="2">
        <v>5.32</v>
      </c>
      <c r="F2376" s="2">
        <v>2.98</v>
      </c>
      <c r="G2376" s="6">
        <v>4706</v>
      </c>
      <c r="H2376" s="6">
        <v>5622</v>
      </c>
      <c r="I2376" s="6">
        <v>5071</v>
      </c>
      <c r="J2376" s="6">
        <v>3823</v>
      </c>
      <c r="K2376" s="6">
        <v>6891</v>
      </c>
    </row>
    <row r="2377" spans="1:11" x14ac:dyDescent="0.2">
      <c r="A2377" s="1">
        <v>0.64930555555555602</v>
      </c>
      <c r="B2377" s="2">
        <v>6.35</v>
      </c>
      <c r="C2377" s="2">
        <v>3.59</v>
      </c>
      <c r="D2377" s="2">
        <v>5.08</v>
      </c>
      <c r="E2377" s="2">
        <v>5.16</v>
      </c>
      <c r="F2377" s="2">
        <v>3.2600000000000002</v>
      </c>
      <c r="G2377" s="6">
        <v>4598</v>
      </c>
      <c r="H2377" s="6">
        <v>5510</v>
      </c>
      <c r="I2377" s="6">
        <v>5082</v>
      </c>
      <c r="J2377" s="6">
        <v>4001</v>
      </c>
      <c r="K2377" s="6">
        <v>4121</v>
      </c>
    </row>
    <row r="2378" spans="1:11" x14ac:dyDescent="0.2">
      <c r="A2378" s="1">
        <v>0.65</v>
      </c>
      <c r="B2378" s="2">
        <v>6.35</v>
      </c>
      <c r="C2378" s="2">
        <v>3.64</v>
      </c>
      <c r="D2378" s="2">
        <v>5.24</v>
      </c>
      <c r="E2378" s="2">
        <v>5.03</v>
      </c>
      <c r="F2378" s="2">
        <v>3.3000000000000003</v>
      </c>
      <c r="G2378" s="6">
        <v>5792</v>
      </c>
      <c r="H2378" s="6">
        <v>5557</v>
      </c>
      <c r="I2378" s="6">
        <v>5040</v>
      </c>
      <c r="J2378" s="6">
        <v>3622</v>
      </c>
      <c r="K2378" s="6">
        <v>7026</v>
      </c>
    </row>
    <row r="2379" spans="1:11" x14ac:dyDescent="0.2">
      <c r="A2379" s="1">
        <v>0.65069444444444402</v>
      </c>
      <c r="B2379" s="2">
        <v>6.27</v>
      </c>
      <c r="C2379" s="2">
        <v>3.83</v>
      </c>
      <c r="D2379" s="2">
        <v>5.13</v>
      </c>
      <c r="E2379" s="2">
        <v>5.29</v>
      </c>
      <c r="F2379" s="2">
        <v>3.0500000000000003</v>
      </c>
      <c r="G2379" s="6">
        <v>5032</v>
      </c>
      <c r="H2379" s="6">
        <v>7615</v>
      </c>
      <c r="I2379" s="6">
        <v>5286</v>
      </c>
      <c r="J2379" s="6">
        <v>4228</v>
      </c>
      <c r="K2379" s="6">
        <v>5502</v>
      </c>
    </row>
    <row r="2380" spans="1:11" x14ac:dyDescent="0.2">
      <c r="A2380" s="1">
        <v>0.65138888888888902</v>
      </c>
      <c r="B2380" s="2">
        <v>6.28</v>
      </c>
      <c r="C2380" s="2">
        <v>3.83</v>
      </c>
      <c r="D2380" s="2">
        <v>5.35</v>
      </c>
      <c r="E2380" s="2">
        <v>5.16</v>
      </c>
      <c r="F2380" s="2">
        <v>3.18</v>
      </c>
      <c r="G2380" s="6">
        <v>4782</v>
      </c>
      <c r="H2380" s="6">
        <v>6101</v>
      </c>
      <c r="I2380" s="6">
        <v>4928</v>
      </c>
      <c r="J2380" s="6">
        <v>4195</v>
      </c>
      <c r="K2380" s="6">
        <v>3867</v>
      </c>
    </row>
    <row r="2381" spans="1:11" x14ac:dyDescent="0.2">
      <c r="A2381" s="1">
        <v>0.65208333333333302</v>
      </c>
      <c r="B2381" s="2">
        <v>6.27</v>
      </c>
      <c r="C2381" s="2">
        <v>3.85</v>
      </c>
      <c r="D2381" s="2">
        <v>5.08</v>
      </c>
      <c r="E2381" s="2">
        <v>5.51</v>
      </c>
      <c r="F2381" s="2">
        <v>3.1500000000000004</v>
      </c>
      <c r="G2381" s="6">
        <v>5415</v>
      </c>
      <c r="H2381" s="6">
        <v>5632</v>
      </c>
      <c r="I2381" s="6">
        <v>5212</v>
      </c>
      <c r="J2381" s="6">
        <v>3522</v>
      </c>
      <c r="K2381" s="6">
        <v>4713</v>
      </c>
    </row>
    <row r="2382" spans="1:11" x14ac:dyDescent="0.2">
      <c r="A2382" s="1">
        <v>0.65277777777777801</v>
      </c>
      <c r="B2382" s="2">
        <v>6.14</v>
      </c>
      <c r="C2382" s="2">
        <v>3.74</v>
      </c>
      <c r="D2382" s="2">
        <v>4.99</v>
      </c>
      <c r="E2382" s="2">
        <v>5.26</v>
      </c>
      <c r="F2382" s="2">
        <v>2.88</v>
      </c>
      <c r="G2382" s="6">
        <v>4748</v>
      </c>
      <c r="H2382" s="6">
        <v>7380</v>
      </c>
      <c r="I2382" s="6">
        <v>5167</v>
      </c>
      <c r="J2382" s="6">
        <v>3400</v>
      </c>
      <c r="K2382" s="6">
        <v>4357</v>
      </c>
    </row>
    <row r="2383" spans="1:11" x14ac:dyDescent="0.2">
      <c r="A2383" s="1">
        <v>0.65347222222222201</v>
      </c>
      <c r="B2383" s="2">
        <v>6.16</v>
      </c>
      <c r="C2383" s="2">
        <v>3.67</v>
      </c>
      <c r="D2383" s="2">
        <v>5.26</v>
      </c>
      <c r="E2383" s="2">
        <v>5.08</v>
      </c>
      <c r="F2383" s="2">
        <v>2.95</v>
      </c>
      <c r="G2383" s="6">
        <v>6467</v>
      </c>
      <c r="H2383" s="6">
        <v>5502</v>
      </c>
      <c r="I2383" s="6">
        <v>5020</v>
      </c>
      <c r="J2383" s="6">
        <v>3929</v>
      </c>
      <c r="K2383" s="6">
        <v>5463</v>
      </c>
    </row>
    <row r="2384" spans="1:11" x14ac:dyDescent="0.2">
      <c r="A2384" s="1">
        <v>0.65416666666666701</v>
      </c>
      <c r="B2384" s="2">
        <v>6.12</v>
      </c>
      <c r="C2384" s="2">
        <v>3.71</v>
      </c>
      <c r="D2384" s="2">
        <v>4.92</v>
      </c>
      <c r="E2384" s="2">
        <v>5.2700000000000005</v>
      </c>
      <c r="F2384" s="2">
        <v>3.3200000000000003</v>
      </c>
      <c r="G2384" s="6">
        <v>6071</v>
      </c>
      <c r="H2384" s="6">
        <v>6191</v>
      </c>
      <c r="I2384" s="6">
        <v>4991</v>
      </c>
      <c r="J2384" s="6">
        <v>4114</v>
      </c>
      <c r="K2384" s="6">
        <v>5690</v>
      </c>
    </row>
    <row r="2385" spans="1:11" x14ac:dyDescent="0.2">
      <c r="A2385" s="1">
        <v>0.65486111111111101</v>
      </c>
      <c r="B2385" s="2">
        <v>6.28</v>
      </c>
      <c r="C2385" s="2">
        <v>3.67</v>
      </c>
      <c r="D2385" s="2">
        <v>5.16</v>
      </c>
      <c r="E2385" s="2">
        <v>5.57</v>
      </c>
      <c r="F2385" s="2">
        <v>3.25</v>
      </c>
      <c r="G2385" s="6">
        <v>5476</v>
      </c>
      <c r="H2385" s="6">
        <v>6551</v>
      </c>
      <c r="I2385" s="6">
        <v>5308</v>
      </c>
      <c r="J2385" s="6">
        <v>3858</v>
      </c>
      <c r="K2385" s="6">
        <v>6813</v>
      </c>
    </row>
    <row r="2386" spans="1:11" x14ac:dyDescent="0.2">
      <c r="A2386" s="1">
        <v>0.655555555555556</v>
      </c>
      <c r="B2386" s="2">
        <v>6.2</v>
      </c>
      <c r="C2386" s="2">
        <v>3.83</v>
      </c>
      <c r="D2386" s="2">
        <v>4.91</v>
      </c>
      <c r="E2386" s="2">
        <v>5.4700000000000006</v>
      </c>
      <c r="F2386" s="2">
        <v>3.24</v>
      </c>
      <c r="G2386" s="6">
        <v>5411</v>
      </c>
      <c r="H2386" s="6">
        <v>4868</v>
      </c>
      <c r="I2386" s="6">
        <v>5172</v>
      </c>
      <c r="J2386" s="6">
        <v>3400</v>
      </c>
      <c r="K2386" s="6">
        <v>3640</v>
      </c>
    </row>
    <row r="2387" spans="1:11" x14ac:dyDescent="0.2">
      <c r="A2387" s="1">
        <v>0.65625</v>
      </c>
      <c r="B2387" s="2">
        <v>6.33</v>
      </c>
      <c r="C2387" s="2">
        <v>3.61</v>
      </c>
      <c r="D2387" s="2">
        <v>5.13</v>
      </c>
      <c r="E2387" s="2">
        <v>5.54</v>
      </c>
      <c r="F2387" s="2">
        <v>3.21</v>
      </c>
      <c r="G2387" s="6">
        <v>6482</v>
      </c>
      <c r="H2387" s="6">
        <v>6960</v>
      </c>
      <c r="I2387" s="6">
        <v>5278</v>
      </c>
      <c r="J2387" s="6">
        <v>4259</v>
      </c>
      <c r="K2387" s="6">
        <v>3543</v>
      </c>
    </row>
    <row r="2388" spans="1:11" x14ac:dyDescent="0.2">
      <c r="A2388" s="1">
        <v>0.656944444444444</v>
      </c>
      <c r="B2388" s="2">
        <v>6.31</v>
      </c>
      <c r="C2388" s="2">
        <v>3.64</v>
      </c>
      <c r="D2388" s="2">
        <v>5.05</v>
      </c>
      <c r="E2388" s="2">
        <v>5.5600000000000005</v>
      </c>
      <c r="F2388" s="2">
        <v>2.9</v>
      </c>
      <c r="G2388" s="6">
        <v>4557</v>
      </c>
      <c r="H2388" s="6">
        <v>5551</v>
      </c>
      <c r="I2388" s="6">
        <v>5068</v>
      </c>
      <c r="J2388" s="6">
        <v>3424</v>
      </c>
      <c r="K2388" s="6">
        <v>5120</v>
      </c>
    </row>
    <row r="2389" spans="1:11" x14ac:dyDescent="0.2">
      <c r="A2389" s="1">
        <v>0.65763888888888899</v>
      </c>
      <c r="B2389" s="2">
        <v>6.18</v>
      </c>
      <c r="C2389" s="2">
        <v>3.59</v>
      </c>
      <c r="D2389" s="2">
        <v>5.17</v>
      </c>
      <c r="E2389" s="2">
        <v>5.3100000000000005</v>
      </c>
      <c r="F2389" s="2">
        <v>3.0100000000000002</v>
      </c>
      <c r="G2389" s="6">
        <v>4830</v>
      </c>
      <c r="H2389" s="6">
        <v>7194</v>
      </c>
      <c r="I2389" s="6">
        <v>5214</v>
      </c>
      <c r="J2389" s="6">
        <v>4253</v>
      </c>
      <c r="K2389" s="6">
        <v>5070</v>
      </c>
    </row>
    <row r="2390" spans="1:11" x14ac:dyDescent="0.2">
      <c r="A2390" s="1">
        <v>0.65833333333333299</v>
      </c>
      <c r="B2390" s="2">
        <v>6.1899999999999995</v>
      </c>
      <c r="C2390" s="2">
        <v>3.6</v>
      </c>
      <c r="D2390" s="2">
        <v>4.87</v>
      </c>
      <c r="E2390" s="2">
        <v>5.23</v>
      </c>
      <c r="F2390" s="2">
        <v>3.2800000000000002</v>
      </c>
      <c r="G2390" s="6">
        <v>5236</v>
      </c>
      <c r="H2390" s="6">
        <v>7537</v>
      </c>
      <c r="I2390" s="6">
        <v>5174</v>
      </c>
      <c r="J2390" s="6">
        <v>3375</v>
      </c>
      <c r="K2390" s="6">
        <v>4589</v>
      </c>
    </row>
    <row r="2391" spans="1:11" x14ac:dyDescent="0.2">
      <c r="A2391" s="1">
        <v>0.65902777777777799</v>
      </c>
      <c r="B2391" s="2">
        <v>6.22</v>
      </c>
      <c r="C2391" s="2">
        <v>3.74</v>
      </c>
      <c r="D2391" s="2">
        <v>5.36</v>
      </c>
      <c r="E2391" s="2">
        <v>5.29</v>
      </c>
      <c r="F2391" s="2">
        <v>3.16</v>
      </c>
      <c r="G2391" s="6">
        <v>5770</v>
      </c>
      <c r="H2391" s="6">
        <v>7292</v>
      </c>
      <c r="I2391" s="6">
        <v>5215</v>
      </c>
      <c r="J2391" s="6">
        <v>4216</v>
      </c>
      <c r="K2391" s="6">
        <v>6703</v>
      </c>
    </row>
    <row r="2392" spans="1:11" x14ac:dyDescent="0.2">
      <c r="A2392" s="1">
        <v>0.65972222222222199</v>
      </c>
      <c r="B2392" s="2">
        <v>6.28</v>
      </c>
      <c r="C2392" s="2">
        <v>3.84</v>
      </c>
      <c r="D2392" s="2">
        <v>5.07</v>
      </c>
      <c r="E2392" s="2">
        <v>5.2700000000000005</v>
      </c>
      <c r="F2392" s="2">
        <v>3.0300000000000002</v>
      </c>
      <c r="G2392" s="6">
        <v>4853</v>
      </c>
      <c r="H2392" s="6">
        <v>7776</v>
      </c>
      <c r="I2392" s="6">
        <v>5036</v>
      </c>
      <c r="J2392" s="6">
        <v>4163</v>
      </c>
      <c r="K2392" s="6">
        <v>5911</v>
      </c>
    </row>
    <row r="2393" spans="1:11" x14ac:dyDescent="0.2">
      <c r="A2393" s="1">
        <v>0.66041666666666698</v>
      </c>
      <c r="B2393" s="2">
        <v>6.29</v>
      </c>
      <c r="C2393" s="2">
        <v>3.65</v>
      </c>
      <c r="D2393" s="2">
        <v>5.05</v>
      </c>
      <c r="E2393" s="2">
        <v>5.34</v>
      </c>
      <c r="F2393" s="2">
        <v>3.37</v>
      </c>
      <c r="G2393" s="6">
        <v>5928</v>
      </c>
      <c r="H2393" s="6">
        <v>6884</v>
      </c>
      <c r="I2393" s="6">
        <v>5072</v>
      </c>
      <c r="J2393" s="6">
        <v>3558</v>
      </c>
      <c r="K2393" s="6">
        <v>4076</v>
      </c>
    </row>
    <row r="2394" spans="1:11" x14ac:dyDescent="0.2">
      <c r="A2394" s="1">
        <v>0.66111111111111098</v>
      </c>
      <c r="B2394" s="2">
        <v>6.16</v>
      </c>
      <c r="C2394" s="2">
        <v>3.6</v>
      </c>
      <c r="D2394" s="2">
        <v>4.96</v>
      </c>
      <c r="E2394" s="2">
        <v>5.0600000000000005</v>
      </c>
      <c r="F2394" s="2">
        <v>3.2800000000000002</v>
      </c>
      <c r="G2394" s="6">
        <v>4574</v>
      </c>
      <c r="H2394" s="6">
        <v>5396</v>
      </c>
      <c r="I2394" s="6">
        <v>4907</v>
      </c>
      <c r="J2394" s="6">
        <v>4249</v>
      </c>
      <c r="K2394" s="6">
        <v>4405</v>
      </c>
    </row>
    <row r="2395" spans="1:11" x14ac:dyDescent="0.2">
      <c r="A2395" s="1">
        <v>0.66180555555555598</v>
      </c>
      <c r="B2395" s="2">
        <v>6.33</v>
      </c>
      <c r="C2395" s="2">
        <v>3.58</v>
      </c>
      <c r="D2395" s="2">
        <v>5.03</v>
      </c>
      <c r="E2395" s="2">
        <v>5.5500000000000007</v>
      </c>
      <c r="F2395" s="2">
        <v>3.2800000000000002</v>
      </c>
      <c r="G2395" s="6">
        <v>6430</v>
      </c>
      <c r="H2395" s="6">
        <v>5369</v>
      </c>
      <c r="I2395" s="6">
        <v>5156</v>
      </c>
      <c r="J2395" s="6">
        <v>3417</v>
      </c>
      <c r="K2395" s="6">
        <v>6022</v>
      </c>
    </row>
    <row r="2396" spans="1:11" x14ac:dyDescent="0.2">
      <c r="A2396" s="1">
        <v>0.66249999999999998</v>
      </c>
      <c r="B2396" s="2">
        <v>6.24</v>
      </c>
      <c r="C2396" s="2">
        <v>3.64</v>
      </c>
      <c r="D2396" s="2">
        <v>4.9000000000000004</v>
      </c>
      <c r="E2396" s="2">
        <v>5.42</v>
      </c>
      <c r="F2396" s="2">
        <v>2.96</v>
      </c>
      <c r="G2396" s="6">
        <v>5331</v>
      </c>
      <c r="H2396" s="6">
        <v>5758</v>
      </c>
      <c r="I2396" s="6">
        <v>4852</v>
      </c>
      <c r="J2396" s="6">
        <v>3418</v>
      </c>
      <c r="K2396" s="6">
        <v>4825</v>
      </c>
    </row>
    <row r="2397" spans="1:11" x14ac:dyDescent="0.2">
      <c r="A2397" s="1">
        <v>0.66319444444444398</v>
      </c>
      <c r="B2397" s="2">
        <v>6.18</v>
      </c>
      <c r="C2397" s="2">
        <v>3.67</v>
      </c>
      <c r="D2397" s="2">
        <v>5.16</v>
      </c>
      <c r="E2397" s="2">
        <v>5.07</v>
      </c>
      <c r="F2397" s="2">
        <v>2.92</v>
      </c>
      <c r="G2397" s="6">
        <v>5696</v>
      </c>
      <c r="H2397" s="6">
        <v>6534</v>
      </c>
      <c r="I2397" s="6">
        <v>5300</v>
      </c>
      <c r="J2397" s="6">
        <v>4126</v>
      </c>
      <c r="K2397" s="6">
        <v>5987</v>
      </c>
    </row>
    <row r="2398" spans="1:11" x14ac:dyDescent="0.2">
      <c r="A2398" s="1">
        <v>0.66388888888888897</v>
      </c>
      <c r="B2398" s="2">
        <v>6.13</v>
      </c>
      <c r="C2398" s="2">
        <v>3.85</v>
      </c>
      <c r="D2398" s="2">
        <v>5.03</v>
      </c>
      <c r="E2398" s="2">
        <v>5.5200000000000005</v>
      </c>
      <c r="F2398" s="2">
        <v>3.08</v>
      </c>
      <c r="G2398" s="6">
        <v>6202</v>
      </c>
      <c r="H2398" s="6">
        <v>5058</v>
      </c>
      <c r="I2398" s="6">
        <v>5320</v>
      </c>
      <c r="J2398" s="6">
        <v>3680</v>
      </c>
      <c r="K2398" s="6">
        <v>3691</v>
      </c>
    </row>
    <row r="2399" spans="1:11" x14ac:dyDescent="0.2">
      <c r="A2399" s="1">
        <v>0.66458333333333297</v>
      </c>
      <c r="B2399" s="2">
        <v>6.13</v>
      </c>
      <c r="C2399" s="2">
        <v>3.72</v>
      </c>
      <c r="D2399" s="2">
        <v>5.33</v>
      </c>
      <c r="E2399" s="2">
        <v>5.4</v>
      </c>
      <c r="F2399" s="2">
        <v>3.33</v>
      </c>
      <c r="G2399" s="6">
        <v>5310</v>
      </c>
      <c r="H2399" s="6">
        <v>5207</v>
      </c>
      <c r="I2399" s="6">
        <v>4842</v>
      </c>
      <c r="J2399" s="6">
        <v>4047</v>
      </c>
      <c r="K2399" s="6">
        <v>5786</v>
      </c>
    </row>
    <row r="2400" spans="1:11" x14ac:dyDescent="0.2">
      <c r="A2400" s="1">
        <v>0.66527777777777797</v>
      </c>
      <c r="B2400" s="2">
        <v>6.1099999999999994</v>
      </c>
      <c r="C2400" s="2">
        <v>3.59</v>
      </c>
      <c r="D2400" s="2">
        <v>5.15</v>
      </c>
      <c r="E2400" s="2">
        <v>5.16</v>
      </c>
      <c r="F2400" s="2">
        <v>3.02</v>
      </c>
      <c r="G2400" s="6">
        <v>5984</v>
      </c>
      <c r="H2400" s="6">
        <v>7486</v>
      </c>
      <c r="I2400" s="6">
        <v>5198</v>
      </c>
      <c r="J2400" s="6">
        <v>3987</v>
      </c>
      <c r="K2400" s="6">
        <v>5836</v>
      </c>
    </row>
    <row r="2401" spans="1:11" x14ac:dyDescent="0.2">
      <c r="A2401" s="1">
        <v>0.66597222222222197</v>
      </c>
      <c r="B2401" s="2">
        <v>6.32</v>
      </c>
      <c r="C2401" s="2">
        <v>3.64</v>
      </c>
      <c r="D2401" s="2">
        <v>5.1400000000000006</v>
      </c>
      <c r="E2401" s="2">
        <v>5.34</v>
      </c>
      <c r="F2401" s="2">
        <v>3.31</v>
      </c>
      <c r="G2401" s="6">
        <v>6305</v>
      </c>
      <c r="H2401" s="6">
        <v>7548</v>
      </c>
      <c r="I2401" s="6">
        <v>5164</v>
      </c>
      <c r="J2401" s="6">
        <v>3560</v>
      </c>
      <c r="K2401" s="6">
        <v>6927</v>
      </c>
    </row>
    <row r="2402" spans="1:11" x14ac:dyDescent="0.2">
      <c r="A2402" s="3">
        <v>0.66666666666666696</v>
      </c>
      <c r="B2402" s="2">
        <v>6.21</v>
      </c>
      <c r="C2402" s="2">
        <v>3.74</v>
      </c>
      <c r="D2402" s="2">
        <v>5.1100000000000003</v>
      </c>
      <c r="E2402" s="2">
        <v>5.34</v>
      </c>
      <c r="F2402" s="2">
        <v>3.19</v>
      </c>
      <c r="G2402" s="6">
        <v>4822</v>
      </c>
      <c r="H2402" s="6">
        <v>6662</v>
      </c>
      <c r="I2402" s="6">
        <v>4950</v>
      </c>
      <c r="J2402" s="6">
        <v>2521</v>
      </c>
      <c r="K2402" s="6">
        <v>3080</v>
      </c>
    </row>
    <row r="2403" spans="1:11" x14ac:dyDescent="0.2">
      <c r="A2403" s="1">
        <v>0.66736111111111096</v>
      </c>
      <c r="B2403" s="2">
        <v>6.1499999999999995</v>
      </c>
      <c r="C2403" s="2">
        <v>3.85</v>
      </c>
      <c r="D2403" s="2">
        <v>4.92</v>
      </c>
      <c r="E2403" s="2">
        <v>5.29</v>
      </c>
      <c r="F2403" s="2">
        <v>3.14</v>
      </c>
      <c r="G2403" s="6">
        <v>3965</v>
      </c>
      <c r="H2403" s="6">
        <v>3070</v>
      </c>
      <c r="I2403" s="6">
        <v>3516</v>
      </c>
      <c r="J2403" s="6">
        <v>2594</v>
      </c>
      <c r="K2403" s="6">
        <v>2109</v>
      </c>
    </row>
    <row r="2404" spans="1:11" x14ac:dyDescent="0.2">
      <c r="A2404" s="1">
        <v>0.66805555555555596</v>
      </c>
      <c r="B2404" s="2">
        <v>6.1099999999999994</v>
      </c>
      <c r="C2404" s="2">
        <v>3.77</v>
      </c>
      <c r="D2404" s="2">
        <v>4.8899999999999997</v>
      </c>
      <c r="E2404" s="2">
        <v>5.67</v>
      </c>
      <c r="F2404" s="2">
        <v>3.14</v>
      </c>
      <c r="G2404" s="6">
        <v>3354</v>
      </c>
      <c r="H2404" s="6">
        <v>3683</v>
      </c>
      <c r="I2404" s="6">
        <v>2521</v>
      </c>
      <c r="J2404" s="6">
        <v>2189</v>
      </c>
      <c r="K2404" s="6">
        <v>2807</v>
      </c>
    </row>
    <row r="2405" spans="1:11" x14ac:dyDescent="0.2">
      <c r="A2405" s="1">
        <v>0.66874999999999996</v>
      </c>
      <c r="B2405" s="2">
        <v>6.2</v>
      </c>
      <c r="C2405" s="2">
        <v>3.75</v>
      </c>
      <c r="D2405" s="2">
        <v>5.36</v>
      </c>
      <c r="E2405" s="2">
        <v>5.16</v>
      </c>
      <c r="F2405" s="2">
        <v>3.22</v>
      </c>
      <c r="G2405" s="6">
        <v>3486</v>
      </c>
      <c r="H2405" s="6">
        <v>4879</v>
      </c>
      <c r="I2405" s="6">
        <v>2419</v>
      </c>
      <c r="J2405" s="6">
        <v>1948</v>
      </c>
      <c r="K2405" s="6">
        <v>2778</v>
      </c>
    </row>
    <row r="2406" spans="1:11" x14ac:dyDescent="0.2">
      <c r="A2406" s="1">
        <v>0.66944444444444495</v>
      </c>
      <c r="B2406" s="2">
        <v>6.27</v>
      </c>
      <c r="C2406" s="2">
        <v>3.87</v>
      </c>
      <c r="D2406" s="2">
        <v>5.21</v>
      </c>
      <c r="E2406" s="2">
        <v>5.23</v>
      </c>
      <c r="F2406" s="2">
        <v>3.38</v>
      </c>
      <c r="G2406" s="6">
        <v>3823</v>
      </c>
      <c r="H2406" s="6">
        <v>6321</v>
      </c>
      <c r="I2406" s="6">
        <v>3010</v>
      </c>
      <c r="J2406" s="6">
        <v>2310</v>
      </c>
      <c r="K2406" s="6">
        <v>2060</v>
      </c>
    </row>
    <row r="2407" spans="1:11" x14ac:dyDescent="0.2">
      <c r="A2407" s="1">
        <v>0.67013888888888895</v>
      </c>
      <c r="B2407" s="2">
        <v>6.22</v>
      </c>
      <c r="C2407" s="2">
        <v>3.6</v>
      </c>
      <c r="D2407" s="2">
        <v>4.96</v>
      </c>
      <c r="E2407" s="2">
        <v>5.3</v>
      </c>
      <c r="F2407" s="2">
        <v>3.0300000000000002</v>
      </c>
      <c r="G2407" s="6">
        <v>4072</v>
      </c>
      <c r="H2407" s="6">
        <v>7056</v>
      </c>
      <c r="I2407" s="6">
        <v>4026</v>
      </c>
      <c r="J2407" s="6">
        <v>1889</v>
      </c>
      <c r="K2407" s="6">
        <v>2290</v>
      </c>
    </row>
    <row r="2408" spans="1:11" x14ac:dyDescent="0.2">
      <c r="A2408" s="1">
        <v>0.67083333333333295</v>
      </c>
      <c r="B2408" s="2">
        <v>6.32</v>
      </c>
      <c r="C2408" s="2">
        <v>3.59</v>
      </c>
      <c r="D2408" s="2">
        <v>4.87</v>
      </c>
      <c r="E2408" s="2">
        <v>5.0599999999999996</v>
      </c>
      <c r="F2408" s="2">
        <v>2.97</v>
      </c>
      <c r="G2408" s="6">
        <v>3617</v>
      </c>
      <c r="H2408" s="6">
        <v>6202</v>
      </c>
      <c r="I2408" s="6">
        <v>4991</v>
      </c>
      <c r="J2408" s="6">
        <v>2405</v>
      </c>
      <c r="K2408" s="6">
        <v>3459</v>
      </c>
    </row>
    <row r="2409" spans="1:11" x14ac:dyDescent="0.2">
      <c r="A2409" s="1">
        <v>0.67152777777777795</v>
      </c>
      <c r="B2409" s="2">
        <v>6.1099999999999994</v>
      </c>
      <c r="C2409" s="2">
        <v>3.83</v>
      </c>
      <c r="D2409" s="2">
        <v>5.29</v>
      </c>
      <c r="E2409" s="2">
        <v>5.45</v>
      </c>
      <c r="F2409" s="2">
        <v>3.24</v>
      </c>
      <c r="G2409" s="6">
        <v>3956</v>
      </c>
      <c r="H2409" s="6">
        <v>3207</v>
      </c>
      <c r="I2409" s="6">
        <v>3402</v>
      </c>
      <c r="J2409" s="6">
        <v>2018</v>
      </c>
      <c r="K2409" s="6">
        <v>2729</v>
      </c>
    </row>
    <row r="2410" spans="1:11" x14ac:dyDescent="0.2">
      <c r="A2410" s="1">
        <v>0.67222222222222205</v>
      </c>
      <c r="B2410" s="2">
        <v>6.2</v>
      </c>
      <c r="C2410" s="2">
        <v>3.8200000000000003</v>
      </c>
      <c r="D2410" s="2">
        <v>4.92</v>
      </c>
      <c r="E2410" s="2">
        <v>5.0199999999999996</v>
      </c>
      <c r="F2410" s="2">
        <v>3.29</v>
      </c>
      <c r="G2410" s="6">
        <v>4056</v>
      </c>
      <c r="H2410" s="6">
        <v>4510</v>
      </c>
      <c r="I2410" s="6">
        <v>3036</v>
      </c>
      <c r="J2410" s="6">
        <v>1605</v>
      </c>
      <c r="K2410" s="6">
        <v>1980</v>
      </c>
    </row>
    <row r="2411" spans="1:11" x14ac:dyDescent="0.2">
      <c r="A2411" s="1">
        <v>0.67291666666666705</v>
      </c>
      <c r="B2411" s="2">
        <v>6.25</v>
      </c>
      <c r="C2411" s="2">
        <v>3.8200000000000003</v>
      </c>
      <c r="D2411" s="2">
        <v>4.87</v>
      </c>
      <c r="E2411" s="2">
        <v>5.41</v>
      </c>
      <c r="F2411" s="2">
        <v>2.89</v>
      </c>
      <c r="G2411" s="6">
        <v>3865</v>
      </c>
      <c r="H2411" s="6">
        <v>5301</v>
      </c>
      <c r="I2411" s="6">
        <v>3763</v>
      </c>
      <c r="J2411" s="6">
        <v>1841</v>
      </c>
      <c r="K2411" s="6">
        <v>1945</v>
      </c>
    </row>
    <row r="2412" spans="1:11" x14ac:dyDescent="0.2">
      <c r="A2412" s="1">
        <v>0.67361111111111105</v>
      </c>
      <c r="B2412" s="2">
        <v>6.3599999999999994</v>
      </c>
      <c r="C2412" s="2">
        <v>3.7</v>
      </c>
      <c r="D2412" s="2">
        <v>5.0200000000000005</v>
      </c>
      <c r="E2412" s="2">
        <v>5.05</v>
      </c>
      <c r="F2412" s="2">
        <v>3.0900000000000003</v>
      </c>
      <c r="G2412" s="6">
        <v>3361</v>
      </c>
      <c r="H2412" s="6">
        <v>5367</v>
      </c>
      <c r="I2412" s="6">
        <v>3423</v>
      </c>
      <c r="J2412" s="6">
        <v>2728</v>
      </c>
      <c r="K2412" s="6">
        <v>3294</v>
      </c>
    </row>
    <row r="2413" spans="1:11" x14ac:dyDescent="0.2">
      <c r="A2413" s="1">
        <v>0.67430555555555605</v>
      </c>
      <c r="B2413" s="2">
        <v>6.24</v>
      </c>
      <c r="C2413" s="2">
        <v>3.67</v>
      </c>
      <c r="D2413" s="2">
        <v>5.3100000000000005</v>
      </c>
      <c r="E2413" s="2">
        <v>5.41</v>
      </c>
      <c r="F2413" s="2">
        <v>3.3600000000000003</v>
      </c>
      <c r="G2413" s="6">
        <v>3131</v>
      </c>
      <c r="H2413" s="6">
        <v>5976</v>
      </c>
      <c r="I2413" s="6">
        <v>4501</v>
      </c>
      <c r="J2413" s="6">
        <v>2167</v>
      </c>
      <c r="K2413" s="6">
        <v>2180</v>
      </c>
    </row>
    <row r="2414" spans="1:11" x14ac:dyDescent="0.2">
      <c r="A2414" s="1">
        <v>0.67500000000000004</v>
      </c>
      <c r="B2414" s="2">
        <v>6.18</v>
      </c>
      <c r="C2414" s="2">
        <v>3.65</v>
      </c>
      <c r="D2414" s="2">
        <v>5.15</v>
      </c>
      <c r="E2414" s="2">
        <v>5.64</v>
      </c>
      <c r="F2414" s="2">
        <v>3.22</v>
      </c>
      <c r="G2414" s="6">
        <v>4683</v>
      </c>
      <c r="H2414" s="6">
        <v>6235</v>
      </c>
      <c r="I2414" s="6">
        <v>3759</v>
      </c>
      <c r="J2414" s="6">
        <v>2119</v>
      </c>
      <c r="K2414" s="6">
        <v>2112</v>
      </c>
    </row>
    <row r="2415" spans="1:11" x14ac:dyDescent="0.2">
      <c r="A2415" s="1">
        <v>0.67569444444444404</v>
      </c>
      <c r="B2415" s="2">
        <v>6.3</v>
      </c>
      <c r="C2415" s="2">
        <v>3.73</v>
      </c>
      <c r="D2415" s="2">
        <v>5.01</v>
      </c>
      <c r="E2415" s="2">
        <v>5.01</v>
      </c>
      <c r="F2415" s="2">
        <v>2.89</v>
      </c>
      <c r="G2415" s="6">
        <v>3314</v>
      </c>
      <c r="H2415" s="6">
        <v>4911</v>
      </c>
      <c r="I2415" s="6">
        <v>2151</v>
      </c>
      <c r="J2415" s="6">
        <v>1731</v>
      </c>
      <c r="K2415" s="6">
        <v>3136</v>
      </c>
    </row>
    <row r="2416" spans="1:11" x14ac:dyDescent="0.2">
      <c r="A2416" s="1">
        <v>0.67638888888888904</v>
      </c>
      <c r="B2416" s="2">
        <v>6.26</v>
      </c>
      <c r="C2416" s="2">
        <v>3.75</v>
      </c>
      <c r="D2416" s="2">
        <v>5.36</v>
      </c>
      <c r="E2416" s="2">
        <v>5.46</v>
      </c>
      <c r="F2416" s="2">
        <v>3.3000000000000003</v>
      </c>
      <c r="G2416" s="6">
        <v>4037</v>
      </c>
      <c r="H2416" s="6">
        <v>3009</v>
      </c>
      <c r="I2416" s="6">
        <v>3671</v>
      </c>
      <c r="J2416" s="6">
        <v>1751</v>
      </c>
      <c r="K2416" s="6">
        <v>2145</v>
      </c>
    </row>
    <row r="2417" spans="1:11" x14ac:dyDescent="0.2">
      <c r="A2417" s="1">
        <v>0.67708333333333304</v>
      </c>
      <c r="B2417" s="2">
        <v>6.16</v>
      </c>
      <c r="C2417" s="2">
        <v>3.59</v>
      </c>
      <c r="D2417" s="2">
        <v>5.23</v>
      </c>
      <c r="E2417" s="2">
        <v>5.36</v>
      </c>
      <c r="F2417" s="2">
        <v>3.29</v>
      </c>
      <c r="G2417" s="6">
        <v>4641</v>
      </c>
      <c r="H2417" s="6">
        <v>5590</v>
      </c>
      <c r="I2417" s="6">
        <v>2958</v>
      </c>
      <c r="J2417" s="6">
        <v>2716</v>
      </c>
      <c r="K2417" s="6">
        <v>2158</v>
      </c>
    </row>
    <row r="2418" spans="1:11" x14ac:dyDescent="0.2">
      <c r="A2418" s="1">
        <v>0.67777777777777803</v>
      </c>
      <c r="B2418" s="2">
        <v>6.3</v>
      </c>
      <c r="C2418" s="2">
        <v>3.68</v>
      </c>
      <c r="D2418" s="2">
        <v>5.2</v>
      </c>
      <c r="E2418" s="2">
        <v>5.0999999999999996</v>
      </c>
      <c r="F2418" s="2">
        <v>3</v>
      </c>
      <c r="G2418" s="6">
        <v>4600</v>
      </c>
      <c r="H2418" s="6">
        <v>6919</v>
      </c>
      <c r="I2418" s="6">
        <v>3990</v>
      </c>
      <c r="J2418" s="6">
        <v>2643</v>
      </c>
      <c r="K2418" s="6">
        <v>2863</v>
      </c>
    </row>
    <row r="2419" spans="1:11" x14ac:dyDescent="0.2">
      <c r="A2419" s="1">
        <v>0.67847222222222203</v>
      </c>
      <c r="B2419" s="2">
        <v>6.17</v>
      </c>
      <c r="C2419" s="2">
        <v>3.63</v>
      </c>
      <c r="D2419" s="2">
        <v>5.03</v>
      </c>
      <c r="E2419" s="2">
        <v>5.51</v>
      </c>
      <c r="F2419" s="2">
        <v>2.91</v>
      </c>
      <c r="G2419" s="6">
        <v>2869</v>
      </c>
      <c r="H2419" s="6">
        <v>5482</v>
      </c>
      <c r="I2419" s="6">
        <v>3972</v>
      </c>
      <c r="J2419" s="6">
        <v>1949</v>
      </c>
      <c r="K2419" s="6">
        <v>2638</v>
      </c>
    </row>
    <row r="2420" spans="1:11" x14ac:dyDescent="0.2">
      <c r="A2420" s="1">
        <v>0.67916666666666703</v>
      </c>
      <c r="B2420" s="2">
        <v>6.31</v>
      </c>
      <c r="C2420" s="2">
        <v>3.79</v>
      </c>
      <c r="D2420" s="2">
        <v>4.88</v>
      </c>
      <c r="E2420" s="2">
        <v>5.5</v>
      </c>
      <c r="F2420" s="2">
        <v>3.2</v>
      </c>
      <c r="G2420" s="6">
        <v>3237</v>
      </c>
      <c r="H2420" s="6">
        <v>4252</v>
      </c>
      <c r="I2420" s="6">
        <v>3281</v>
      </c>
      <c r="J2420" s="6">
        <v>2700</v>
      </c>
      <c r="K2420" s="6">
        <v>2185</v>
      </c>
    </row>
    <row r="2421" spans="1:11" x14ac:dyDescent="0.2">
      <c r="A2421" s="1">
        <v>0.67986111111111103</v>
      </c>
      <c r="B2421" s="2">
        <v>6.22</v>
      </c>
      <c r="C2421" s="2">
        <v>3.73</v>
      </c>
      <c r="D2421" s="2">
        <v>4.99</v>
      </c>
      <c r="E2421" s="2">
        <v>5.57</v>
      </c>
      <c r="F2421" s="2">
        <v>3.29</v>
      </c>
      <c r="G2421" s="6">
        <v>4411</v>
      </c>
      <c r="H2421" s="6">
        <v>3818</v>
      </c>
      <c r="I2421" s="6">
        <v>5407</v>
      </c>
      <c r="J2421" s="6">
        <v>2035</v>
      </c>
      <c r="K2421" s="6">
        <v>3434</v>
      </c>
    </row>
    <row r="2422" spans="1:11" x14ac:dyDescent="0.2">
      <c r="A2422" s="1">
        <v>0.68055555555555602</v>
      </c>
      <c r="B2422" s="2">
        <v>6.34</v>
      </c>
      <c r="C2422" s="2">
        <v>3.75</v>
      </c>
      <c r="D2422" s="2">
        <v>5.05</v>
      </c>
      <c r="E2422" s="2">
        <v>5</v>
      </c>
      <c r="F2422" s="2">
        <v>2.91</v>
      </c>
      <c r="G2422" s="6">
        <v>4137</v>
      </c>
      <c r="H2422" s="6">
        <v>2761</v>
      </c>
      <c r="I2422" s="6">
        <v>1542</v>
      </c>
      <c r="J2422" s="6">
        <v>2503</v>
      </c>
      <c r="K2422" s="6">
        <v>2023</v>
      </c>
    </row>
    <row r="2423" spans="1:11" x14ac:dyDescent="0.2">
      <c r="A2423" s="1">
        <v>0.68125000000000002</v>
      </c>
      <c r="B2423" s="2">
        <v>6.24</v>
      </c>
      <c r="C2423" s="2">
        <v>3.87</v>
      </c>
      <c r="D2423" s="2">
        <v>5.18</v>
      </c>
      <c r="E2423" s="2">
        <v>5.0199999999999996</v>
      </c>
      <c r="F2423" s="2">
        <v>3.0700000000000003</v>
      </c>
      <c r="G2423" s="6">
        <v>3500</v>
      </c>
      <c r="H2423" s="6">
        <v>4284</v>
      </c>
      <c r="I2423" s="6">
        <v>5352</v>
      </c>
      <c r="J2423" s="6">
        <v>2606</v>
      </c>
      <c r="K2423" s="6">
        <v>3376</v>
      </c>
    </row>
    <row r="2424" spans="1:11" x14ac:dyDescent="0.2">
      <c r="A2424" s="1">
        <v>0.68194444444444402</v>
      </c>
      <c r="B2424" s="2">
        <v>6.1899999999999995</v>
      </c>
      <c r="C2424" s="2">
        <v>3.66</v>
      </c>
      <c r="D2424" s="2">
        <v>4.95</v>
      </c>
      <c r="E2424" s="2">
        <v>5.44</v>
      </c>
      <c r="F2424" s="2">
        <v>3.27</v>
      </c>
      <c r="G2424" s="6">
        <v>4225</v>
      </c>
      <c r="H2424" s="6">
        <v>6763</v>
      </c>
      <c r="I2424" s="6">
        <v>2472</v>
      </c>
      <c r="J2424" s="6">
        <v>1670</v>
      </c>
      <c r="K2424" s="6">
        <v>2355</v>
      </c>
    </row>
    <row r="2425" spans="1:11" x14ac:dyDescent="0.2">
      <c r="A2425" s="1">
        <v>0.68263888888888902</v>
      </c>
      <c r="B2425" s="2">
        <v>6.18</v>
      </c>
      <c r="C2425" s="2">
        <v>3.61</v>
      </c>
      <c r="D2425" s="2">
        <v>4.8899999999999997</v>
      </c>
      <c r="E2425" s="2">
        <v>5.08</v>
      </c>
      <c r="F2425" s="2">
        <v>3.21</v>
      </c>
      <c r="G2425" s="6">
        <v>3047</v>
      </c>
      <c r="H2425" s="6">
        <v>5551</v>
      </c>
      <c r="I2425" s="6">
        <v>2697</v>
      </c>
      <c r="J2425" s="6">
        <v>2626</v>
      </c>
      <c r="K2425" s="6">
        <v>2957</v>
      </c>
    </row>
    <row r="2426" spans="1:11" x14ac:dyDescent="0.2">
      <c r="A2426" s="1">
        <v>0.68333333333333302</v>
      </c>
      <c r="B2426" s="2">
        <v>6.34</v>
      </c>
      <c r="C2426" s="2">
        <v>3.63</v>
      </c>
      <c r="D2426" s="2">
        <v>5.07</v>
      </c>
      <c r="E2426" s="2">
        <v>5.25</v>
      </c>
      <c r="F2426" s="2">
        <v>2.91</v>
      </c>
      <c r="G2426" s="6">
        <v>4038</v>
      </c>
      <c r="H2426" s="6">
        <v>4644</v>
      </c>
      <c r="I2426" s="6">
        <v>2757</v>
      </c>
      <c r="J2426" s="6">
        <v>1915</v>
      </c>
      <c r="K2426" s="6">
        <v>2089</v>
      </c>
    </row>
    <row r="2427" spans="1:11" x14ac:dyDescent="0.2">
      <c r="A2427" s="1">
        <v>0.68402777777777801</v>
      </c>
      <c r="B2427" s="2">
        <v>6.13</v>
      </c>
      <c r="C2427" s="2">
        <v>3.65</v>
      </c>
      <c r="D2427" s="2">
        <v>5.0200000000000005</v>
      </c>
      <c r="E2427" s="2">
        <v>5.39</v>
      </c>
      <c r="F2427" s="2">
        <v>3.3400000000000003</v>
      </c>
      <c r="G2427" s="6">
        <v>2519</v>
      </c>
      <c r="H2427" s="6">
        <v>2649</v>
      </c>
      <c r="I2427" s="6">
        <v>4011</v>
      </c>
      <c r="J2427" s="6">
        <v>2479</v>
      </c>
      <c r="K2427" s="6">
        <v>2618</v>
      </c>
    </row>
    <row r="2428" spans="1:11" x14ac:dyDescent="0.2">
      <c r="A2428" s="1">
        <v>0.68472222222222201</v>
      </c>
      <c r="B2428" s="2">
        <v>6.35</v>
      </c>
      <c r="C2428" s="2">
        <v>3.7</v>
      </c>
      <c r="D2428" s="2">
        <v>5.36</v>
      </c>
      <c r="E2428" s="2">
        <v>5.18</v>
      </c>
      <c r="F2428" s="2">
        <v>3.3200000000000003</v>
      </c>
      <c r="G2428" s="6">
        <v>4372</v>
      </c>
      <c r="H2428" s="6">
        <v>5640</v>
      </c>
      <c r="I2428" s="6">
        <v>4440</v>
      </c>
      <c r="J2428" s="6">
        <v>2753</v>
      </c>
      <c r="K2428" s="6">
        <v>3350</v>
      </c>
    </row>
    <row r="2429" spans="1:11" x14ac:dyDescent="0.2">
      <c r="A2429" s="1">
        <v>0.68541666666666701</v>
      </c>
      <c r="B2429" s="2">
        <v>6.24</v>
      </c>
      <c r="C2429" s="2">
        <v>3.65</v>
      </c>
      <c r="D2429" s="2">
        <v>5.01</v>
      </c>
      <c r="E2429" s="2">
        <v>5.42</v>
      </c>
      <c r="F2429" s="2">
        <v>3.21</v>
      </c>
      <c r="G2429" s="6">
        <v>4364</v>
      </c>
      <c r="H2429" s="6">
        <v>4147</v>
      </c>
      <c r="I2429" s="6">
        <v>3927</v>
      </c>
      <c r="J2429" s="6">
        <v>1596</v>
      </c>
      <c r="K2429" s="6">
        <v>2546</v>
      </c>
    </row>
    <row r="2430" spans="1:11" x14ac:dyDescent="0.2">
      <c r="A2430" s="1">
        <v>0.68611111111111101</v>
      </c>
      <c r="B2430" s="2">
        <v>6.32</v>
      </c>
      <c r="C2430" s="2">
        <v>3.71</v>
      </c>
      <c r="D2430" s="2">
        <v>5.35</v>
      </c>
      <c r="E2430" s="2">
        <v>5.03</v>
      </c>
      <c r="F2430" s="2">
        <v>3.12</v>
      </c>
      <c r="G2430" s="6">
        <v>2642</v>
      </c>
      <c r="H2430" s="6">
        <v>5130</v>
      </c>
      <c r="I2430" s="6">
        <v>1936</v>
      </c>
      <c r="J2430" s="6">
        <v>2665</v>
      </c>
      <c r="K2430" s="6">
        <v>2786</v>
      </c>
    </row>
    <row r="2431" spans="1:11" x14ac:dyDescent="0.2">
      <c r="A2431" s="1">
        <v>0.686805555555556</v>
      </c>
      <c r="B2431" s="2">
        <v>6.34</v>
      </c>
      <c r="C2431" s="2">
        <v>3.74</v>
      </c>
      <c r="D2431" s="2">
        <v>4.95</v>
      </c>
      <c r="E2431" s="2">
        <v>5.21</v>
      </c>
      <c r="F2431" s="2">
        <v>3.3200000000000003</v>
      </c>
      <c r="G2431" s="6">
        <v>4460</v>
      </c>
      <c r="H2431" s="6">
        <v>3946</v>
      </c>
      <c r="I2431" s="6">
        <v>2726</v>
      </c>
      <c r="J2431" s="6">
        <v>2261</v>
      </c>
      <c r="K2431" s="6">
        <v>2564</v>
      </c>
    </row>
    <row r="2432" spans="1:11" x14ac:dyDescent="0.2">
      <c r="A2432" s="1">
        <v>0.6875</v>
      </c>
      <c r="B2432" s="2">
        <v>6.13</v>
      </c>
      <c r="C2432" s="2">
        <v>3.71</v>
      </c>
      <c r="D2432" s="2">
        <v>4.95</v>
      </c>
      <c r="E2432" s="2">
        <v>5.66</v>
      </c>
      <c r="F2432" s="2">
        <v>3.33</v>
      </c>
      <c r="G2432" s="6">
        <v>3481</v>
      </c>
      <c r="H2432" s="6">
        <v>4310</v>
      </c>
      <c r="I2432" s="6">
        <v>4983</v>
      </c>
      <c r="J2432" s="6">
        <v>1620</v>
      </c>
      <c r="K2432" s="6">
        <v>2899</v>
      </c>
    </row>
    <row r="2433" spans="1:11" x14ac:dyDescent="0.2">
      <c r="A2433" s="1">
        <v>0.688194444444444</v>
      </c>
      <c r="B2433" s="2">
        <v>6.28</v>
      </c>
      <c r="C2433" s="2">
        <v>3.7800000000000002</v>
      </c>
      <c r="D2433" s="2">
        <v>5.17</v>
      </c>
      <c r="E2433" s="2">
        <v>5.01</v>
      </c>
      <c r="F2433" s="2">
        <v>3.02</v>
      </c>
      <c r="G2433" s="6">
        <v>2479</v>
      </c>
      <c r="H2433" s="6">
        <v>6464</v>
      </c>
      <c r="I2433" s="6">
        <v>1560</v>
      </c>
      <c r="J2433" s="6">
        <v>2716</v>
      </c>
      <c r="K2433" s="6">
        <v>2784</v>
      </c>
    </row>
    <row r="2434" spans="1:11" x14ac:dyDescent="0.2">
      <c r="A2434" s="1">
        <v>0.68888888888888899</v>
      </c>
      <c r="B2434" s="2">
        <v>6.16</v>
      </c>
      <c r="C2434" s="2">
        <v>3.8000000000000003</v>
      </c>
      <c r="D2434" s="2">
        <v>5.16</v>
      </c>
      <c r="E2434" s="2">
        <v>5.34</v>
      </c>
      <c r="F2434" s="2">
        <v>3.2800000000000002</v>
      </c>
      <c r="G2434" s="6">
        <v>3297</v>
      </c>
      <c r="H2434" s="6">
        <v>4398</v>
      </c>
      <c r="I2434" s="6">
        <v>4457</v>
      </c>
      <c r="J2434" s="6">
        <v>2492</v>
      </c>
      <c r="K2434" s="6">
        <v>2465</v>
      </c>
    </row>
    <row r="2435" spans="1:11" x14ac:dyDescent="0.2">
      <c r="A2435" s="1">
        <v>0.68958333333333299</v>
      </c>
      <c r="B2435" s="2">
        <v>6.18</v>
      </c>
      <c r="C2435" s="2">
        <v>3.6</v>
      </c>
      <c r="D2435" s="2">
        <v>5.24</v>
      </c>
      <c r="E2435" s="2">
        <v>5.12</v>
      </c>
      <c r="F2435" s="2">
        <v>3.1100000000000003</v>
      </c>
      <c r="G2435" s="6">
        <v>3646</v>
      </c>
      <c r="H2435" s="6">
        <v>3128</v>
      </c>
      <c r="I2435" s="6">
        <v>2107</v>
      </c>
      <c r="J2435" s="6">
        <v>1520</v>
      </c>
      <c r="K2435" s="6">
        <v>2769</v>
      </c>
    </row>
    <row r="2436" spans="1:11" x14ac:dyDescent="0.2">
      <c r="A2436" s="1">
        <v>0.69027777777777799</v>
      </c>
      <c r="B2436" s="2">
        <v>6.1499999999999995</v>
      </c>
      <c r="C2436" s="2">
        <v>3.8200000000000003</v>
      </c>
      <c r="D2436" s="2">
        <v>4.96</v>
      </c>
      <c r="E2436" s="2">
        <v>5.66</v>
      </c>
      <c r="F2436" s="2">
        <v>3.23</v>
      </c>
      <c r="G2436" s="6">
        <v>3072</v>
      </c>
      <c r="H2436" s="6">
        <v>2580</v>
      </c>
      <c r="I2436" s="6">
        <v>2511</v>
      </c>
      <c r="J2436" s="6">
        <v>2644</v>
      </c>
      <c r="K2436" s="6">
        <v>3285</v>
      </c>
    </row>
    <row r="2437" spans="1:11" x14ac:dyDescent="0.2">
      <c r="A2437" s="1">
        <v>0.69097222222222199</v>
      </c>
      <c r="B2437" s="2">
        <v>6.29</v>
      </c>
      <c r="C2437" s="2">
        <v>3.8600000000000003</v>
      </c>
      <c r="D2437" s="2">
        <v>5.1000000000000005</v>
      </c>
      <c r="E2437" s="2">
        <v>5.35</v>
      </c>
      <c r="F2437" s="2">
        <v>2.98</v>
      </c>
      <c r="G2437" s="6">
        <v>3226</v>
      </c>
      <c r="H2437" s="6">
        <v>6168</v>
      </c>
      <c r="I2437" s="6">
        <v>3520</v>
      </c>
      <c r="J2437" s="6">
        <v>2245</v>
      </c>
      <c r="K2437" s="6">
        <v>2415</v>
      </c>
    </row>
    <row r="2438" spans="1:11" x14ac:dyDescent="0.2">
      <c r="A2438" s="1">
        <v>0.69166666666666698</v>
      </c>
      <c r="B2438" s="2">
        <v>6.27</v>
      </c>
      <c r="C2438" s="2">
        <v>3.58</v>
      </c>
      <c r="D2438" s="2">
        <v>5.13</v>
      </c>
      <c r="E2438" s="2">
        <v>5.53</v>
      </c>
      <c r="F2438" s="2">
        <v>2.97</v>
      </c>
      <c r="G2438" s="6">
        <v>3104</v>
      </c>
      <c r="H2438" s="6">
        <v>3702</v>
      </c>
      <c r="I2438" s="6">
        <v>4266</v>
      </c>
      <c r="J2438" s="6">
        <v>1744</v>
      </c>
      <c r="K2438" s="6">
        <v>3310</v>
      </c>
    </row>
    <row r="2439" spans="1:11" x14ac:dyDescent="0.2">
      <c r="A2439" s="1">
        <v>0.69236111111111098</v>
      </c>
      <c r="B2439" s="2">
        <v>6.32</v>
      </c>
      <c r="C2439" s="2">
        <v>3.67</v>
      </c>
      <c r="D2439" s="2">
        <v>5.24</v>
      </c>
      <c r="E2439" s="2">
        <v>5.21</v>
      </c>
      <c r="F2439" s="2">
        <v>3.38</v>
      </c>
      <c r="G2439" s="6">
        <v>3505</v>
      </c>
      <c r="H2439" s="6">
        <v>6353</v>
      </c>
      <c r="I2439" s="6">
        <v>2116</v>
      </c>
      <c r="J2439" s="6">
        <v>2613</v>
      </c>
      <c r="K2439" s="6">
        <v>3129</v>
      </c>
    </row>
    <row r="2440" spans="1:11" x14ac:dyDescent="0.2">
      <c r="A2440" s="1">
        <v>0.69305555555555598</v>
      </c>
      <c r="B2440" s="2">
        <v>6.29</v>
      </c>
      <c r="C2440" s="2">
        <v>3.61</v>
      </c>
      <c r="D2440" s="2">
        <v>4.9000000000000004</v>
      </c>
      <c r="E2440" s="2">
        <v>5.62</v>
      </c>
      <c r="F2440" s="2">
        <v>2.93</v>
      </c>
      <c r="G2440" s="6">
        <v>3854</v>
      </c>
      <c r="H2440" s="6">
        <v>5126</v>
      </c>
      <c r="I2440" s="6">
        <v>5146</v>
      </c>
      <c r="J2440" s="6">
        <v>1822</v>
      </c>
      <c r="K2440" s="6">
        <v>2399</v>
      </c>
    </row>
    <row r="2441" spans="1:11" x14ac:dyDescent="0.2">
      <c r="A2441" s="1">
        <v>0.69374999999999998</v>
      </c>
      <c r="B2441" s="2">
        <v>6.25</v>
      </c>
      <c r="C2441" s="2">
        <v>3.63</v>
      </c>
      <c r="D2441" s="2">
        <v>5.17</v>
      </c>
      <c r="E2441" s="2">
        <v>5.67</v>
      </c>
      <c r="F2441" s="2">
        <v>3.0100000000000002</v>
      </c>
      <c r="G2441" s="6">
        <v>2815</v>
      </c>
      <c r="H2441" s="6">
        <v>6368</v>
      </c>
      <c r="I2441" s="6">
        <v>4129</v>
      </c>
      <c r="J2441" s="6">
        <v>1652</v>
      </c>
      <c r="K2441" s="6">
        <v>3230</v>
      </c>
    </row>
    <row r="2442" spans="1:11" x14ac:dyDescent="0.2">
      <c r="A2442" s="1">
        <v>0.69444444444444398</v>
      </c>
      <c r="B2442" s="2">
        <v>6.24</v>
      </c>
      <c r="C2442" s="2">
        <v>3.72</v>
      </c>
      <c r="D2442" s="2">
        <v>4.8899999999999997</v>
      </c>
      <c r="E2442" s="2">
        <v>5.51</v>
      </c>
      <c r="F2442" s="2">
        <v>2.94</v>
      </c>
      <c r="G2442" s="6">
        <v>3946</v>
      </c>
      <c r="H2442" s="6">
        <v>4847</v>
      </c>
      <c r="I2442" s="6">
        <v>5049</v>
      </c>
      <c r="J2442" s="6">
        <v>2405</v>
      </c>
      <c r="K2442" s="6">
        <v>3439</v>
      </c>
    </row>
    <row r="2443" spans="1:11" x14ac:dyDescent="0.2">
      <c r="A2443" s="1">
        <v>0.69513888888888897</v>
      </c>
      <c r="B2443" s="2">
        <v>6.1099999999999994</v>
      </c>
      <c r="C2443" s="2">
        <v>3.58</v>
      </c>
      <c r="D2443" s="2">
        <v>5.16</v>
      </c>
      <c r="E2443" s="2">
        <v>5.29</v>
      </c>
      <c r="F2443" s="2">
        <v>3.3600000000000003</v>
      </c>
      <c r="G2443" s="6">
        <v>2750</v>
      </c>
      <c r="H2443" s="6">
        <v>3698</v>
      </c>
      <c r="I2443" s="6">
        <v>4555</v>
      </c>
      <c r="J2443" s="6">
        <v>1665</v>
      </c>
      <c r="K2443" s="6">
        <v>2209</v>
      </c>
    </row>
    <row r="2444" spans="1:11" x14ac:dyDescent="0.2">
      <c r="A2444" s="1">
        <v>0.69583333333333297</v>
      </c>
      <c r="B2444" s="2">
        <v>6.22</v>
      </c>
      <c r="C2444" s="2">
        <v>3.67</v>
      </c>
      <c r="D2444" s="2">
        <v>5.1000000000000005</v>
      </c>
      <c r="E2444" s="2">
        <v>5.46</v>
      </c>
      <c r="F2444" s="2">
        <v>2.92</v>
      </c>
      <c r="G2444" s="6">
        <v>3813</v>
      </c>
      <c r="H2444" s="6">
        <v>7140</v>
      </c>
      <c r="I2444" s="6">
        <v>3843</v>
      </c>
      <c r="J2444" s="6">
        <v>1902</v>
      </c>
      <c r="K2444" s="6">
        <v>2106</v>
      </c>
    </row>
    <row r="2445" spans="1:11" x14ac:dyDescent="0.2">
      <c r="A2445" s="1">
        <v>0.69652777777777797</v>
      </c>
      <c r="B2445" s="2">
        <v>6.13</v>
      </c>
      <c r="C2445" s="2">
        <v>3.59</v>
      </c>
      <c r="D2445" s="2">
        <v>5.3</v>
      </c>
      <c r="E2445" s="2">
        <v>5.4</v>
      </c>
      <c r="F2445" s="2">
        <v>2.88</v>
      </c>
      <c r="G2445" s="6">
        <v>3228</v>
      </c>
      <c r="H2445" s="6">
        <v>4950</v>
      </c>
      <c r="I2445" s="6">
        <v>2611</v>
      </c>
      <c r="J2445" s="6">
        <v>2075</v>
      </c>
      <c r="K2445" s="6">
        <v>3539</v>
      </c>
    </row>
    <row r="2446" spans="1:11" x14ac:dyDescent="0.2">
      <c r="A2446" s="1">
        <v>0.69722222222222197</v>
      </c>
      <c r="B2446" s="2">
        <v>6.22</v>
      </c>
      <c r="C2446" s="2">
        <v>3.73</v>
      </c>
      <c r="D2446" s="2">
        <v>4.9800000000000004</v>
      </c>
      <c r="E2446" s="2">
        <v>5.37</v>
      </c>
      <c r="F2446" s="2">
        <v>2.92</v>
      </c>
      <c r="G2446" s="6">
        <v>2440</v>
      </c>
      <c r="H2446" s="6">
        <v>6054</v>
      </c>
      <c r="I2446" s="6">
        <v>3552</v>
      </c>
      <c r="J2446" s="6">
        <v>2137</v>
      </c>
      <c r="K2446" s="6">
        <v>2952</v>
      </c>
    </row>
    <row r="2447" spans="1:11" x14ac:dyDescent="0.2">
      <c r="A2447" s="1">
        <v>0.69791666666666696</v>
      </c>
      <c r="B2447" s="2">
        <v>6.22</v>
      </c>
      <c r="C2447" s="2">
        <v>3.6</v>
      </c>
      <c r="D2447" s="2">
        <v>5.09</v>
      </c>
      <c r="E2447" s="2">
        <v>5.33</v>
      </c>
      <c r="F2447" s="2">
        <v>3.23</v>
      </c>
      <c r="G2447" s="6">
        <v>3854</v>
      </c>
      <c r="H2447" s="6">
        <v>5615</v>
      </c>
      <c r="I2447" s="6">
        <v>4874</v>
      </c>
      <c r="J2447" s="6">
        <v>2446</v>
      </c>
      <c r="K2447" s="6">
        <v>2775</v>
      </c>
    </row>
    <row r="2448" spans="1:11" x14ac:dyDescent="0.2">
      <c r="A2448" s="1">
        <v>0.69861111111111096</v>
      </c>
      <c r="B2448" s="2">
        <v>6.3599999999999994</v>
      </c>
      <c r="C2448" s="2">
        <v>3.75</v>
      </c>
      <c r="D2448" s="2">
        <v>5.37</v>
      </c>
      <c r="E2448" s="2">
        <v>5.32</v>
      </c>
      <c r="F2448" s="2">
        <v>2.93</v>
      </c>
      <c r="G2448" s="6">
        <v>4117</v>
      </c>
      <c r="H2448" s="6">
        <v>5228</v>
      </c>
      <c r="I2448" s="6">
        <v>4730</v>
      </c>
      <c r="J2448" s="6">
        <v>2606</v>
      </c>
      <c r="K2448" s="6">
        <v>3522</v>
      </c>
    </row>
    <row r="2449" spans="1:11" x14ac:dyDescent="0.2">
      <c r="A2449" s="1">
        <v>0.69930555555555596</v>
      </c>
      <c r="B2449" s="2">
        <v>6.25</v>
      </c>
      <c r="C2449" s="2">
        <v>3.61</v>
      </c>
      <c r="D2449" s="2">
        <v>4.95</v>
      </c>
      <c r="E2449" s="2">
        <v>5.34</v>
      </c>
      <c r="F2449" s="2">
        <v>3</v>
      </c>
      <c r="G2449" s="6">
        <v>4123</v>
      </c>
      <c r="H2449" s="6">
        <v>5181</v>
      </c>
      <c r="I2449" s="6">
        <v>3155</v>
      </c>
      <c r="J2449" s="6">
        <v>1771</v>
      </c>
      <c r="K2449" s="6">
        <v>2216</v>
      </c>
    </row>
    <row r="2450" spans="1:11" x14ac:dyDescent="0.2">
      <c r="A2450" s="1">
        <v>0.7</v>
      </c>
      <c r="B2450" s="2">
        <v>6.2</v>
      </c>
      <c r="C2450" s="2">
        <v>3.6</v>
      </c>
      <c r="D2450" s="2">
        <v>5.28</v>
      </c>
      <c r="E2450" s="2">
        <v>5.15</v>
      </c>
      <c r="F2450" s="2">
        <v>3.24</v>
      </c>
      <c r="G2450" s="6">
        <v>4579</v>
      </c>
      <c r="H2450" s="6">
        <v>3835</v>
      </c>
      <c r="I2450" s="6">
        <v>4923</v>
      </c>
      <c r="J2450" s="6">
        <v>1943</v>
      </c>
      <c r="K2450" s="6">
        <v>1951</v>
      </c>
    </row>
    <row r="2451" spans="1:11" x14ac:dyDescent="0.2">
      <c r="A2451" s="1">
        <v>0.70069444444444495</v>
      </c>
      <c r="B2451" s="2">
        <v>6.13</v>
      </c>
      <c r="C2451" s="2">
        <v>3.66</v>
      </c>
      <c r="D2451" s="2">
        <v>5</v>
      </c>
      <c r="E2451" s="2">
        <v>5.38</v>
      </c>
      <c r="F2451" s="2">
        <v>2.96</v>
      </c>
      <c r="G2451" s="6">
        <v>2843</v>
      </c>
      <c r="H2451" s="6">
        <v>3619</v>
      </c>
      <c r="I2451" s="6">
        <v>4366</v>
      </c>
      <c r="J2451" s="6">
        <v>2703</v>
      </c>
      <c r="K2451" s="6">
        <v>2510</v>
      </c>
    </row>
    <row r="2452" spans="1:11" x14ac:dyDescent="0.2">
      <c r="A2452" s="1">
        <v>0.70138888888888895</v>
      </c>
      <c r="B2452" s="2">
        <v>6.33</v>
      </c>
      <c r="C2452" s="2">
        <v>3.81</v>
      </c>
      <c r="D2452" s="2">
        <v>5.29</v>
      </c>
      <c r="E2452" s="2">
        <v>5.12</v>
      </c>
      <c r="F2452" s="2">
        <v>3.38</v>
      </c>
      <c r="G2452" s="6">
        <v>3582</v>
      </c>
      <c r="H2452" s="6">
        <v>4702</v>
      </c>
      <c r="I2452" s="6">
        <v>4170</v>
      </c>
      <c r="J2452" s="6">
        <v>1819</v>
      </c>
      <c r="K2452" s="6">
        <v>2704</v>
      </c>
    </row>
    <row r="2453" spans="1:11" x14ac:dyDescent="0.2">
      <c r="A2453" s="1">
        <v>0.70208333333333295</v>
      </c>
      <c r="B2453" s="2">
        <v>6.26</v>
      </c>
      <c r="C2453" s="2">
        <v>3.69</v>
      </c>
      <c r="D2453" s="2">
        <v>5.28</v>
      </c>
      <c r="E2453" s="2">
        <v>5.59</v>
      </c>
      <c r="F2453" s="2">
        <v>3.38</v>
      </c>
      <c r="G2453" s="6">
        <v>2574</v>
      </c>
      <c r="H2453" s="6">
        <v>3454</v>
      </c>
      <c r="I2453" s="6">
        <v>4296</v>
      </c>
      <c r="J2453" s="6">
        <v>1858</v>
      </c>
      <c r="K2453" s="6">
        <v>3163</v>
      </c>
    </row>
    <row r="2454" spans="1:11" x14ac:dyDescent="0.2">
      <c r="A2454" s="1">
        <v>0.70277777777777795</v>
      </c>
      <c r="B2454" s="2">
        <v>6.22</v>
      </c>
      <c r="C2454" s="2">
        <v>3.83</v>
      </c>
      <c r="D2454" s="2">
        <v>5.15</v>
      </c>
      <c r="E2454" s="2">
        <v>5.54</v>
      </c>
      <c r="F2454" s="2">
        <v>2.9</v>
      </c>
      <c r="G2454" s="6">
        <v>4836</v>
      </c>
      <c r="H2454" s="6">
        <v>5703</v>
      </c>
      <c r="I2454" s="6">
        <v>4096</v>
      </c>
      <c r="J2454" s="6">
        <v>2195</v>
      </c>
      <c r="K2454" s="6">
        <v>2362</v>
      </c>
    </row>
    <row r="2455" spans="1:11" x14ac:dyDescent="0.2">
      <c r="A2455" s="1">
        <v>0.70347222222222205</v>
      </c>
      <c r="B2455" s="2">
        <v>6.31</v>
      </c>
      <c r="C2455" s="2">
        <v>3.7600000000000002</v>
      </c>
      <c r="D2455" s="2">
        <v>4.99</v>
      </c>
      <c r="E2455" s="2">
        <v>5.64</v>
      </c>
      <c r="F2455" s="2">
        <v>3.3600000000000003</v>
      </c>
      <c r="G2455" s="6">
        <v>3795</v>
      </c>
      <c r="H2455" s="6">
        <v>4337</v>
      </c>
      <c r="I2455" s="6">
        <v>3919</v>
      </c>
      <c r="J2455" s="6">
        <v>2060</v>
      </c>
      <c r="K2455" s="6">
        <v>2083</v>
      </c>
    </row>
    <row r="2456" spans="1:11" x14ac:dyDescent="0.2">
      <c r="A2456" s="1">
        <v>0.70416666666666705</v>
      </c>
      <c r="B2456" s="2">
        <v>6.26</v>
      </c>
      <c r="C2456" s="2">
        <v>3.85</v>
      </c>
      <c r="D2456" s="2">
        <v>5.15</v>
      </c>
      <c r="E2456" s="2">
        <v>5.62</v>
      </c>
      <c r="F2456" s="2">
        <v>3.2</v>
      </c>
      <c r="G2456" s="6">
        <v>3381</v>
      </c>
      <c r="H2456" s="6">
        <v>4018</v>
      </c>
      <c r="I2456" s="6">
        <v>3624</v>
      </c>
      <c r="J2456" s="6">
        <v>2410</v>
      </c>
      <c r="K2456" s="6">
        <v>1985</v>
      </c>
    </row>
    <row r="2457" spans="1:11" x14ac:dyDescent="0.2">
      <c r="A2457" s="1">
        <v>0.70486111111111105</v>
      </c>
      <c r="B2457" s="2">
        <v>6.18</v>
      </c>
      <c r="C2457" s="2">
        <v>3.83</v>
      </c>
      <c r="D2457" s="2">
        <v>5.35</v>
      </c>
      <c r="E2457" s="2">
        <v>5.14</v>
      </c>
      <c r="F2457" s="2">
        <v>3.12</v>
      </c>
      <c r="G2457" s="6">
        <v>3044</v>
      </c>
      <c r="H2457" s="6">
        <v>7105</v>
      </c>
      <c r="I2457" s="6">
        <v>4799</v>
      </c>
      <c r="J2457" s="6">
        <v>1779</v>
      </c>
      <c r="K2457" s="6">
        <v>3290</v>
      </c>
    </row>
    <row r="2458" spans="1:11" x14ac:dyDescent="0.2">
      <c r="A2458" s="1">
        <v>0.70555555555555605</v>
      </c>
      <c r="B2458" s="2">
        <v>6.29</v>
      </c>
      <c r="C2458" s="2">
        <v>3.65</v>
      </c>
      <c r="D2458" s="2">
        <v>5.1400000000000006</v>
      </c>
      <c r="E2458" s="2">
        <v>5.26</v>
      </c>
      <c r="F2458" s="2">
        <v>3.02</v>
      </c>
      <c r="G2458" s="6">
        <v>4429</v>
      </c>
      <c r="H2458" s="6">
        <v>5590</v>
      </c>
      <c r="I2458" s="6">
        <v>3072</v>
      </c>
      <c r="J2458" s="6">
        <v>1668</v>
      </c>
      <c r="K2458" s="6">
        <v>3421</v>
      </c>
    </row>
    <row r="2459" spans="1:11" x14ac:dyDescent="0.2">
      <c r="A2459" s="1">
        <v>0.70625000000000004</v>
      </c>
      <c r="B2459" s="2">
        <v>6.17</v>
      </c>
      <c r="C2459" s="2">
        <v>3.7</v>
      </c>
      <c r="D2459" s="2">
        <v>5.07</v>
      </c>
      <c r="E2459" s="2">
        <v>5.42</v>
      </c>
      <c r="F2459" s="2">
        <v>3.0300000000000002</v>
      </c>
      <c r="G2459" s="6">
        <v>2610</v>
      </c>
      <c r="H2459" s="6">
        <v>7037</v>
      </c>
      <c r="I2459" s="6">
        <v>2619</v>
      </c>
      <c r="J2459" s="6">
        <v>2289</v>
      </c>
      <c r="K2459" s="6">
        <v>3475</v>
      </c>
    </row>
    <row r="2460" spans="1:11" x14ac:dyDescent="0.2">
      <c r="A2460" s="1">
        <v>0.70694444444444404</v>
      </c>
      <c r="B2460" s="2">
        <v>6.27</v>
      </c>
      <c r="C2460" s="2">
        <v>3.61</v>
      </c>
      <c r="D2460" s="2">
        <v>4.9400000000000004</v>
      </c>
      <c r="E2460" s="2">
        <v>5.58</v>
      </c>
      <c r="F2460" s="2">
        <v>3.16</v>
      </c>
      <c r="G2460" s="6">
        <v>2712</v>
      </c>
      <c r="H2460" s="6">
        <v>4475</v>
      </c>
      <c r="I2460" s="6">
        <v>2195</v>
      </c>
      <c r="J2460" s="6">
        <v>2131</v>
      </c>
      <c r="K2460" s="6">
        <v>3134</v>
      </c>
    </row>
    <row r="2461" spans="1:11" x14ac:dyDescent="0.2">
      <c r="A2461" s="1">
        <v>0.70763888888888904</v>
      </c>
      <c r="B2461" s="2">
        <v>6.1</v>
      </c>
      <c r="C2461" s="2">
        <v>3.81</v>
      </c>
      <c r="D2461" s="2">
        <v>5.05</v>
      </c>
      <c r="E2461" s="2">
        <v>5.55</v>
      </c>
      <c r="F2461" s="2">
        <v>3.2800000000000002</v>
      </c>
      <c r="G2461" s="6">
        <v>3872</v>
      </c>
      <c r="H2461" s="6">
        <v>5320</v>
      </c>
      <c r="I2461" s="6">
        <v>2752</v>
      </c>
      <c r="J2461" s="6">
        <v>1721</v>
      </c>
      <c r="K2461" s="6">
        <v>2894</v>
      </c>
    </row>
    <row r="2462" spans="1:11" x14ac:dyDescent="0.2">
      <c r="A2462" s="3">
        <v>0.70833333333333304</v>
      </c>
      <c r="B2462" s="2">
        <v>6.21</v>
      </c>
      <c r="C2462" s="2">
        <v>3.74</v>
      </c>
      <c r="D2462" s="2">
        <v>5.1100000000000003</v>
      </c>
      <c r="E2462" s="2">
        <v>5.34</v>
      </c>
      <c r="F2462" s="2">
        <v>3.19</v>
      </c>
      <c r="G2462" s="6">
        <v>2722</v>
      </c>
      <c r="H2462" s="6">
        <v>2955</v>
      </c>
      <c r="I2462" s="6">
        <v>1563</v>
      </c>
      <c r="J2462" s="6">
        <v>1721</v>
      </c>
      <c r="K2462" s="6">
        <v>2107</v>
      </c>
    </row>
    <row r="2463" spans="1:11" x14ac:dyDescent="0.2">
      <c r="A2463" s="1">
        <v>0.70902777777777803</v>
      </c>
      <c r="B2463" s="2">
        <v>6.1</v>
      </c>
      <c r="C2463" s="2">
        <v>3.69</v>
      </c>
      <c r="D2463" s="2">
        <v>5.18</v>
      </c>
      <c r="E2463" s="2">
        <v>5.55</v>
      </c>
      <c r="F2463" s="2">
        <v>2.98</v>
      </c>
      <c r="G2463" s="6">
        <v>1289</v>
      </c>
      <c r="H2463" s="6">
        <v>2446</v>
      </c>
      <c r="I2463" s="6">
        <v>1086</v>
      </c>
      <c r="J2463" s="6">
        <v>1558</v>
      </c>
      <c r="K2463" s="6">
        <v>2144</v>
      </c>
    </row>
    <row r="2464" spans="1:11" x14ac:dyDescent="0.2">
      <c r="A2464" s="1">
        <v>0.70972222222222203</v>
      </c>
      <c r="B2464" s="2">
        <v>6.13</v>
      </c>
      <c r="C2464" s="2">
        <v>3.69</v>
      </c>
      <c r="D2464" s="2">
        <v>5.2700000000000005</v>
      </c>
      <c r="E2464" s="2">
        <v>5.04</v>
      </c>
      <c r="F2464" s="2">
        <v>3.0900000000000003</v>
      </c>
      <c r="G2464" s="6">
        <v>2053</v>
      </c>
      <c r="H2464" s="6">
        <v>1971</v>
      </c>
      <c r="I2464" s="6">
        <v>1433</v>
      </c>
      <c r="J2464" s="6">
        <v>1594</v>
      </c>
      <c r="K2464" s="6">
        <v>1897</v>
      </c>
    </row>
    <row r="2465" spans="1:11" x14ac:dyDescent="0.2">
      <c r="A2465" s="1">
        <v>0.71041666666666703</v>
      </c>
      <c r="B2465" s="2">
        <v>6.34</v>
      </c>
      <c r="C2465" s="2">
        <v>3.61</v>
      </c>
      <c r="D2465" s="2">
        <v>5.32</v>
      </c>
      <c r="E2465" s="2">
        <v>5.28</v>
      </c>
      <c r="F2465" s="2">
        <v>3.27</v>
      </c>
      <c r="G2465" s="6">
        <v>2078</v>
      </c>
      <c r="H2465" s="6">
        <v>1269</v>
      </c>
      <c r="I2465" s="6">
        <v>1333</v>
      </c>
      <c r="J2465" s="6">
        <v>1228</v>
      </c>
      <c r="K2465" s="6">
        <v>2210</v>
      </c>
    </row>
    <row r="2466" spans="1:11" x14ac:dyDescent="0.2">
      <c r="A2466" s="1">
        <v>0.71111111111111103</v>
      </c>
      <c r="B2466" s="2">
        <v>6.3</v>
      </c>
      <c r="C2466" s="2">
        <v>3.8600000000000003</v>
      </c>
      <c r="D2466" s="2">
        <v>5.19</v>
      </c>
      <c r="E2466" s="2">
        <v>5.39</v>
      </c>
      <c r="F2466" s="2">
        <v>3.25</v>
      </c>
      <c r="G2466" s="6">
        <v>2266</v>
      </c>
      <c r="H2466" s="6">
        <v>1785</v>
      </c>
      <c r="I2466" s="6">
        <v>1449</v>
      </c>
      <c r="J2466" s="6">
        <v>1311</v>
      </c>
      <c r="K2466" s="6">
        <v>1375</v>
      </c>
    </row>
    <row r="2467" spans="1:11" x14ac:dyDescent="0.2">
      <c r="A2467" s="1">
        <v>0.71180555555555602</v>
      </c>
      <c r="B2467" s="2">
        <v>6.17</v>
      </c>
      <c r="C2467" s="2">
        <v>3.61</v>
      </c>
      <c r="D2467" s="2">
        <v>5.09</v>
      </c>
      <c r="E2467" s="2">
        <v>5.65</v>
      </c>
      <c r="F2467" s="2">
        <v>2.93</v>
      </c>
      <c r="G2467" s="6">
        <v>1256</v>
      </c>
      <c r="H2467" s="6">
        <v>1738</v>
      </c>
      <c r="I2467" s="6">
        <v>1468</v>
      </c>
      <c r="J2467" s="6">
        <v>1367</v>
      </c>
      <c r="K2467" s="6">
        <v>1557</v>
      </c>
    </row>
    <row r="2468" spans="1:11" x14ac:dyDescent="0.2">
      <c r="A2468" s="1">
        <v>0.71250000000000002</v>
      </c>
      <c r="B2468" s="2">
        <v>6.1099999999999994</v>
      </c>
      <c r="C2468" s="2">
        <v>3.7600000000000002</v>
      </c>
      <c r="D2468" s="2">
        <v>5.08</v>
      </c>
      <c r="E2468" s="2">
        <v>5.07</v>
      </c>
      <c r="F2468" s="2">
        <v>3.1500000000000004</v>
      </c>
      <c r="G2468" s="6">
        <v>2762</v>
      </c>
      <c r="H2468" s="6">
        <v>2993</v>
      </c>
      <c r="I2468" s="6">
        <v>1462</v>
      </c>
      <c r="J2468" s="6">
        <v>1465</v>
      </c>
      <c r="K2468" s="6">
        <v>1791</v>
      </c>
    </row>
    <row r="2469" spans="1:11" x14ac:dyDescent="0.2">
      <c r="A2469" s="1">
        <v>0.71319444444444402</v>
      </c>
      <c r="B2469" s="2">
        <v>6.22</v>
      </c>
      <c r="C2469" s="2">
        <v>3.66</v>
      </c>
      <c r="D2469" s="2">
        <v>5.37</v>
      </c>
      <c r="E2469" s="2">
        <v>5.01</v>
      </c>
      <c r="F2469" s="2">
        <v>2.99</v>
      </c>
      <c r="G2469" s="6">
        <v>2244</v>
      </c>
      <c r="H2469" s="6">
        <v>2032</v>
      </c>
      <c r="I2469" s="6">
        <v>1439</v>
      </c>
      <c r="J2469" s="6">
        <v>1153</v>
      </c>
      <c r="K2469" s="6">
        <v>1734</v>
      </c>
    </row>
    <row r="2470" spans="1:11" x14ac:dyDescent="0.2">
      <c r="A2470" s="1">
        <v>0.71388888888888902</v>
      </c>
      <c r="B2470" s="2">
        <v>6.17</v>
      </c>
      <c r="C2470" s="2">
        <v>3.62</v>
      </c>
      <c r="D2470" s="2">
        <v>5.19</v>
      </c>
      <c r="E2470" s="2">
        <v>5.57</v>
      </c>
      <c r="F2470" s="2">
        <v>2.96</v>
      </c>
      <c r="G2470" s="6">
        <v>2684</v>
      </c>
      <c r="H2470" s="6">
        <v>3167</v>
      </c>
      <c r="I2470" s="6">
        <v>1298</v>
      </c>
      <c r="J2470" s="6">
        <v>1434</v>
      </c>
      <c r="K2470" s="6">
        <v>2128</v>
      </c>
    </row>
    <row r="2471" spans="1:11" x14ac:dyDescent="0.2">
      <c r="A2471" s="1">
        <v>0.71458333333333302</v>
      </c>
      <c r="B2471" s="2">
        <v>6.1899999999999995</v>
      </c>
      <c r="C2471" s="2">
        <v>3.8200000000000003</v>
      </c>
      <c r="D2471" s="2">
        <v>5.29</v>
      </c>
      <c r="E2471" s="2">
        <v>5.23</v>
      </c>
      <c r="F2471" s="2">
        <v>3.0300000000000002</v>
      </c>
      <c r="G2471" s="6">
        <v>1383</v>
      </c>
      <c r="H2471" s="6">
        <v>1737</v>
      </c>
      <c r="I2471" s="6">
        <v>970</v>
      </c>
      <c r="J2471" s="6">
        <v>1437</v>
      </c>
      <c r="K2471" s="6">
        <v>1599</v>
      </c>
    </row>
    <row r="2472" spans="1:11" x14ac:dyDescent="0.2">
      <c r="A2472" s="1">
        <v>0.71527777777777801</v>
      </c>
      <c r="B2472" s="2">
        <v>6.12</v>
      </c>
      <c r="C2472" s="2">
        <v>3.62</v>
      </c>
      <c r="D2472" s="2">
        <v>5.0200000000000005</v>
      </c>
      <c r="E2472" s="2">
        <v>5.5</v>
      </c>
      <c r="F2472" s="2">
        <v>3.12</v>
      </c>
      <c r="G2472" s="6">
        <v>2370</v>
      </c>
      <c r="H2472" s="6">
        <v>1542</v>
      </c>
      <c r="I2472" s="6">
        <v>1198</v>
      </c>
      <c r="J2472" s="6">
        <v>1155</v>
      </c>
      <c r="K2472" s="6">
        <v>1714</v>
      </c>
    </row>
    <row r="2473" spans="1:11" x14ac:dyDescent="0.2">
      <c r="A2473" s="1">
        <v>0.71597222222222201</v>
      </c>
      <c r="B2473" s="2">
        <v>6.31</v>
      </c>
      <c r="C2473" s="2">
        <v>3.63</v>
      </c>
      <c r="D2473" s="2">
        <v>5.08</v>
      </c>
      <c r="E2473" s="2">
        <v>5.03</v>
      </c>
      <c r="F2473" s="2">
        <v>2.87</v>
      </c>
      <c r="G2473" s="6">
        <v>2080</v>
      </c>
      <c r="H2473" s="6">
        <v>2903</v>
      </c>
      <c r="I2473" s="6">
        <v>1115</v>
      </c>
      <c r="J2473" s="6">
        <v>1437</v>
      </c>
      <c r="K2473" s="6">
        <v>2095</v>
      </c>
    </row>
    <row r="2474" spans="1:11" x14ac:dyDescent="0.2">
      <c r="A2474" s="1">
        <v>0.71666666666666701</v>
      </c>
      <c r="B2474" s="2">
        <v>6.16</v>
      </c>
      <c r="C2474" s="2">
        <v>3.67</v>
      </c>
      <c r="D2474" s="2">
        <v>5.07</v>
      </c>
      <c r="E2474" s="2">
        <v>5.07</v>
      </c>
      <c r="F2474" s="2">
        <v>3.0100000000000002</v>
      </c>
      <c r="G2474" s="6">
        <v>2151</v>
      </c>
      <c r="H2474" s="6">
        <v>3157</v>
      </c>
      <c r="I2474" s="6">
        <v>1013</v>
      </c>
      <c r="J2474" s="6">
        <v>1575</v>
      </c>
      <c r="K2474" s="6">
        <v>2044</v>
      </c>
    </row>
    <row r="2475" spans="1:11" x14ac:dyDescent="0.2">
      <c r="A2475" s="1">
        <v>0.71736111111111101</v>
      </c>
      <c r="B2475" s="2">
        <v>6.28</v>
      </c>
      <c r="C2475" s="2">
        <v>3.87</v>
      </c>
      <c r="D2475" s="2">
        <v>5.22</v>
      </c>
      <c r="E2475" s="2">
        <v>5.61</v>
      </c>
      <c r="F2475" s="2">
        <v>2.92</v>
      </c>
      <c r="G2475" s="6">
        <v>2849</v>
      </c>
      <c r="H2475" s="6">
        <v>2846</v>
      </c>
      <c r="I2475" s="6">
        <v>1001</v>
      </c>
      <c r="J2475" s="6">
        <v>1423</v>
      </c>
      <c r="K2475" s="6">
        <v>1359</v>
      </c>
    </row>
    <row r="2476" spans="1:11" x14ac:dyDescent="0.2">
      <c r="A2476" s="1">
        <v>0.718055555555556</v>
      </c>
      <c r="B2476" s="2">
        <v>6.28</v>
      </c>
      <c r="C2476" s="2">
        <v>3.79</v>
      </c>
      <c r="D2476" s="2">
        <v>5.1400000000000006</v>
      </c>
      <c r="E2476" s="2">
        <v>5.22</v>
      </c>
      <c r="F2476" s="2">
        <v>2.96</v>
      </c>
      <c r="G2476" s="6">
        <v>2491</v>
      </c>
      <c r="H2476" s="6">
        <v>1767</v>
      </c>
      <c r="I2476" s="6">
        <v>1355</v>
      </c>
      <c r="J2476" s="6">
        <v>1190</v>
      </c>
      <c r="K2476" s="6">
        <v>1969</v>
      </c>
    </row>
    <row r="2477" spans="1:11" x14ac:dyDescent="0.2">
      <c r="A2477" s="1">
        <v>0.71875</v>
      </c>
      <c r="B2477" s="2">
        <v>6.32</v>
      </c>
      <c r="C2477" s="2">
        <v>3.7800000000000002</v>
      </c>
      <c r="D2477" s="2">
        <v>5.09</v>
      </c>
      <c r="E2477" s="2">
        <v>5.38</v>
      </c>
      <c r="F2477" s="2">
        <v>3.37</v>
      </c>
      <c r="G2477" s="6">
        <v>1447</v>
      </c>
      <c r="H2477" s="6">
        <v>2545</v>
      </c>
      <c r="I2477" s="6">
        <v>1231</v>
      </c>
      <c r="J2477" s="6">
        <v>1481</v>
      </c>
      <c r="K2477" s="6">
        <v>1901</v>
      </c>
    </row>
    <row r="2478" spans="1:11" x14ac:dyDescent="0.2">
      <c r="A2478" s="1">
        <v>0.719444444444444</v>
      </c>
      <c r="B2478" s="2">
        <v>6.09</v>
      </c>
      <c r="C2478" s="2">
        <v>3.75</v>
      </c>
      <c r="D2478" s="2">
        <v>5.1000000000000005</v>
      </c>
      <c r="E2478" s="2">
        <v>5.58</v>
      </c>
      <c r="F2478" s="2">
        <v>3.23</v>
      </c>
      <c r="G2478" s="6">
        <v>1658</v>
      </c>
      <c r="H2478" s="6">
        <v>1711</v>
      </c>
      <c r="I2478" s="6">
        <v>1429</v>
      </c>
      <c r="J2478" s="6">
        <v>1666</v>
      </c>
      <c r="K2478" s="6">
        <v>1194</v>
      </c>
    </row>
    <row r="2479" spans="1:11" x14ac:dyDescent="0.2">
      <c r="A2479" s="1">
        <v>0.72013888888888899</v>
      </c>
      <c r="B2479" s="2">
        <v>6.1099999999999994</v>
      </c>
      <c r="C2479" s="2">
        <v>3.87</v>
      </c>
      <c r="D2479" s="2">
        <v>5.1000000000000005</v>
      </c>
      <c r="E2479" s="2">
        <v>5.4</v>
      </c>
      <c r="F2479" s="2">
        <v>3.13</v>
      </c>
      <c r="G2479" s="6">
        <v>2801</v>
      </c>
      <c r="H2479" s="6">
        <v>2719</v>
      </c>
      <c r="I2479" s="6">
        <v>1166</v>
      </c>
      <c r="J2479" s="6">
        <v>1154</v>
      </c>
      <c r="K2479" s="6">
        <v>1802</v>
      </c>
    </row>
    <row r="2480" spans="1:11" x14ac:dyDescent="0.2">
      <c r="A2480" s="1">
        <v>0.72083333333333299</v>
      </c>
      <c r="B2480" s="2">
        <v>6.3</v>
      </c>
      <c r="C2480" s="2">
        <v>3.7</v>
      </c>
      <c r="D2480" s="2">
        <v>5.24</v>
      </c>
      <c r="E2480" s="2">
        <v>5.34</v>
      </c>
      <c r="F2480" s="2">
        <v>3.1</v>
      </c>
      <c r="G2480" s="6">
        <v>2181</v>
      </c>
      <c r="H2480" s="6">
        <v>1430</v>
      </c>
      <c r="I2480" s="6">
        <v>1522</v>
      </c>
      <c r="J2480" s="6">
        <v>1582</v>
      </c>
      <c r="K2480" s="6">
        <v>1671</v>
      </c>
    </row>
    <row r="2481" spans="1:11" x14ac:dyDescent="0.2">
      <c r="A2481" s="1">
        <v>0.72152777777777799</v>
      </c>
      <c r="B2481" s="2">
        <v>6.1099999999999994</v>
      </c>
      <c r="C2481" s="2">
        <v>3.7</v>
      </c>
      <c r="D2481" s="2">
        <v>5.2700000000000005</v>
      </c>
      <c r="E2481" s="2">
        <v>5.45</v>
      </c>
      <c r="F2481" s="2">
        <v>2.93</v>
      </c>
      <c r="G2481" s="6">
        <v>2370</v>
      </c>
      <c r="H2481" s="6">
        <v>2052</v>
      </c>
      <c r="I2481" s="6">
        <v>1269</v>
      </c>
      <c r="J2481" s="6">
        <v>1152</v>
      </c>
      <c r="K2481" s="6">
        <v>2205</v>
      </c>
    </row>
    <row r="2482" spans="1:11" x14ac:dyDescent="0.2">
      <c r="A2482" s="1">
        <v>0.72222222222222199</v>
      </c>
      <c r="B2482" s="2">
        <v>6.09</v>
      </c>
      <c r="C2482" s="2">
        <v>3.87</v>
      </c>
      <c r="D2482" s="2">
        <v>5.3</v>
      </c>
      <c r="E2482" s="2">
        <v>5.59</v>
      </c>
      <c r="F2482" s="2">
        <v>3.13</v>
      </c>
      <c r="G2482" s="6">
        <v>1201</v>
      </c>
      <c r="H2482" s="6">
        <v>1954</v>
      </c>
      <c r="I2482" s="6">
        <v>1026</v>
      </c>
      <c r="J2482" s="6">
        <v>1333</v>
      </c>
      <c r="K2482" s="6">
        <v>1221</v>
      </c>
    </row>
    <row r="2483" spans="1:11" x14ac:dyDescent="0.2">
      <c r="A2483" s="1">
        <v>0.72291666666666698</v>
      </c>
      <c r="B2483" s="2">
        <v>6.3599999999999994</v>
      </c>
      <c r="C2483" s="2">
        <v>3.67</v>
      </c>
      <c r="D2483" s="2">
        <v>4.9000000000000004</v>
      </c>
      <c r="E2483" s="2">
        <v>5.55</v>
      </c>
      <c r="F2483" s="2">
        <v>2.99</v>
      </c>
      <c r="G2483" s="6">
        <v>1362</v>
      </c>
      <c r="H2483" s="6">
        <v>2041</v>
      </c>
      <c r="I2483" s="6">
        <v>1017</v>
      </c>
      <c r="J2483" s="6">
        <v>1379</v>
      </c>
      <c r="K2483" s="6">
        <v>1411</v>
      </c>
    </row>
    <row r="2484" spans="1:11" x14ac:dyDescent="0.2">
      <c r="A2484" s="1">
        <v>0.72361111111111098</v>
      </c>
      <c r="B2484" s="2">
        <v>6.28</v>
      </c>
      <c r="C2484" s="2">
        <v>3.66</v>
      </c>
      <c r="D2484" s="2">
        <v>5.24</v>
      </c>
      <c r="E2484" s="2">
        <v>5.14</v>
      </c>
      <c r="F2484" s="2">
        <v>3.29</v>
      </c>
      <c r="G2484" s="6">
        <v>1110</v>
      </c>
      <c r="H2484" s="6">
        <v>1408</v>
      </c>
      <c r="I2484" s="6">
        <v>960</v>
      </c>
      <c r="J2484" s="6">
        <v>1268</v>
      </c>
      <c r="K2484" s="6">
        <v>521</v>
      </c>
    </row>
    <row r="2485" spans="1:11" x14ac:dyDescent="0.2">
      <c r="A2485" s="1">
        <v>0.72430555555555598</v>
      </c>
      <c r="B2485" s="2">
        <v>6.33</v>
      </c>
      <c r="C2485" s="2">
        <v>3.72</v>
      </c>
      <c r="D2485" s="2">
        <v>5.1100000000000003</v>
      </c>
      <c r="E2485" s="2">
        <v>5.44</v>
      </c>
      <c r="F2485" s="2">
        <v>3.13</v>
      </c>
      <c r="G2485" s="6">
        <v>1010</v>
      </c>
      <c r="H2485" s="6">
        <v>1632</v>
      </c>
      <c r="I2485" s="6">
        <v>723</v>
      </c>
      <c r="J2485" s="6">
        <v>1010</v>
      </c>
      <c r="K2485" s="6">
        <v>946</v>
      </c>
    </row>
    <row r="2486" spans="1:11" x14ac:dyDescent="0.2">
      <c r="A2486" s="1">
        <v>0.72499999999999998</v>
      </c>
      <c r="B2486" s="2">
        <v>6.22</v>
      </c>
      <c r="C2486" s="2">
        <v>3.58</v>
      </c>
      <c r="D2486" s="2">
        <v>5.36</v>
      </c>
      <c r="E2486" s="2">
        <v>5</v>
      </c>
      <c r="F2486" s="2">
        <v>2.95</v>
      </c>
      <c r="G2486" s="6">
        <v>1000</v>
      </c>
      <c r="H2486" s="6">
        <v>1371</v>
      </c>
      <c r="I2486" s="6">
        <v>879</v>
      </c>
      <c r="J2486" s="6">
        <v>922</v>
      </c>
      <c r="K2486" s="6">
        <v>486</v>
      </c>
    </row>
    <row r="2487" spans="1:11" x14ac:dyDescent="0.2">
      <c r="A2487" s="1">
        <v>0.72569444444444398</v>
      </c>
      <c r="B2487" s="2">
        <v>6.24</v>
      </c>
      <c r="C2487" s="2">
        <v>3.84</v>
      </c>
      <c r="D2487" s="2">
        <v>5.09</v>
      </c>
      <c r="E2487" s="2">
        <v>5.42</v>
      </c>
      <c r="F2487" s="2">
        <v>2.96</v>
      </c>
      <c r="G2487" s="6">
        <v>916</v>
      </c>
      <c r="H2487" s="6">
        <v>1669</v>
      </c>
      <c r="I2487" s="6">
        <v>754</v>
      </c>
      <c r="J2487" s="6">
        <v>423</v>
      </c>
      <c r="K2487" s="6">
        <v>682</v>
      </c>
    </row>
    <row r="2488" spans="1:11" x14ac:dyDescent="0.2">
      <c r="A2488" s="1">
        <v>0.72638888888888897</v>
      </c>
      <c r="B2488" s="2">
        <v>6.1899999999999995</v>
      </c>
      <c r="C2488" s="2">
        <v>3.81</v>
      </c>
      <c r="D2488" s="2">
        <v>5.22</v>
      </c>
      <c r="E2488" s="2">
        <v>5.48</v>
      </c>
      <c r="F2488" s="2">
        <v>3.1500000000000004</v>
      </c>
      <c r="G2488" s="6">
        <v>931</v>
      </c>
      <c r="H2488" s="6">
        <v>1064</v>
      </c>
      <c r="I2488" s="6">
        <v>772</v>
      </c>
      <c r="J2488" s="6">
        <v>1109</v>
      </c>
      <c r="K2488" s="6">
        <v>934</v>
      </c>
    </row>
    <row r="2489" spans="1:11" x14ac:dyDescent="0.2">
      <c r="A2489" s="1">
        <v>0.72708333333333297</v>
      </c>
      <c r="B2489" s="2">
        <v>6.25</v>
      </c>
      <c r="C2489" s="2">
        <v>3.73</v>
      </c>
      <c r="D2489" s="2">
        <v>5.19</v>
      </c>
      <c r="E2489" s="2">
        <v>5.46</v>
      </c>
      <c r="F2489" s="2">
        <v>3.35</v>
      </c>
      <c r="G2489" s="6">
        <v>1110</v>
      </c>
      <c r="H2489" s="6">
        <v>1125</v>
      </c>
      <c r="I2489" s="6">
        <v>702</v>
      </c>
      <c r="J2489" s="6">
        <v>659</v>
      </c>
      <c r="K2489" s="6">
        <v>501</v>
      </c>
    </row>
    <row r="2490" spans="1:11" x14ac:dyDescent="0.2">
      <c r="A2490" s="1">
        <v>0.72777777777777797</v>
      </c>
      <c r="B2490" s="2">
        <v>6.12</v>
      </c>
      <c r="C2490" s="2">
        <v>3.72</v>
      </c>
      <c r="D2490" s="2">
        <v>5.22</v>
      </c>
      <c r="E2490" s="2">
        <v>5.31</v>
      </c>
      <c r="F2490" s="2">
        <v>3.12</v>
      </c>
      <c r="G2490" s="6">
        <v>994</v>
      </c>
      <c r="H2490" s="6">
        <v>1225</v>
      </c>
      <c r="I2490" s="6">
        <v>936</v>
      </c>
      <c r="J2490" s="6">
        <v>665</v>
      </c>
      <c r="K2490" s="6">
        <v>759</v>
      </c>
    </row>
    <row r="2491" spans="1:11" x14ac:dyDescent="0.2">
      <c r="A2491" s="1">
        <v>0.72847222222222197</v>
      </c>
      <c r="B2491" s="2">
        <v>6.1899999999999995</v>
      </c>
      <c r="C2491" s="2">
        <v>3.84</v>
      </c>
      <c r="D2491" s="2">
        <v>5.35</v>
      </c>
      <c r="E2491" s="2">
        <v>5.49</v>
      </c>
      <c r="F2491" s="2">
        <v>3.3200000000000003</v>
      </c>
      <c r="G2491" s="6">
        <v>892</v>
      </c>
      <c r="H2491" s="6">
        <v>1920</v>
      </c>
      <c r="I2491" s="6">
        <v>717</v>
      </c>
      <c r="J2491" s="6">
        <v>1332</v>
      </c>
      <c r="K2491" s="6">
        <v>1187</v>
      </c>
    </row>
    <row r="2492" spans="1:11" x14ac:dyDescent="0.2">
      <c r="A2492" s="1">
        <v>0.72916666666666696</v>
      </c>
      <c r="B2492" s="2">
        <v>6.33</v>
      </c>
      <c r="C2492" s="2">
        <v>3.8000000000000003</v>
      </c>
      <c r="D2492" s="2">
        <v>5.01</v>
      </c>
      <c r="E2492" s="2">
        <v>5.07</v>
      </c>
      <c r="F2492" s="2">
        <v>3.31</v>
      </c>
      <c r="G2492" s="6">
        <v>852</v>
      </c>
      <c r="H2492" s="6">
        <v>1149</v>
      </c>
      <c r="I2492" s="6">
        <v>1065</v>
      </c>
      <c r="J2492" s="6">
        <v>1252</v>
      </c>
      <c r="K2492" s="6">
        <v>1001</v>
      </c>
    </row>
    <row r="2493" spans="1:11" x14ac:dyDescent="0.2">
      <c r="A2493" s="1">
        <v>0.72986111111111096</v>
      </c>
      <c r="B2493" s="2">
        <v>6.22</v>
      </c>
      <c r="C2493" s="2">
        <v>3.61</v>
      </c>
      <c r="D2493" s="2">
        <v>5.25</v>
      </c>
      <c r="E2493" s="2">
        <v>5.44</v>
      </c>
      <c r="F2493" s="2">
        <v>2.98</v>
      </c>
      <c r="G2493" s="6">
        <v>776</v>
      </c>
      <c r="H2493" s="6">
        <v>1915</v>
      </c>
      <c r="I2493" s="6">
        <v>802</v>
      </c>
      <c r="J2493" s="6">
        <v>971</v>
      </c>
      <c r="K2493" s="6">
        <v>1116</v>
      </c>
    </row>
    <row r="2494" spans="1:11" x14ac:dyDescent="0.2">
      <c r="A2494" s="1">
        <v>0.73055555555555596</v>
      </c>
      <c r="B2494" s="2">
        <v>6.2</v>
      </c>
      <c r="C2494" s="2">
        <v>3.73</v>
      </c>
      <c r="D2494" s="2">
        <v>5.3</v>
      </c>
      <c r="E2494" s="2">
        <v>5.33</v>
      </c>
      <c r="F2494" s="2">
        <v>2.94</v>
      </c>
      <c r="G2494" s="6">
        <v>827</v>
      </c>
      <c r="H2494" s="6">
        <v>1459</v>
      </c>
      <c r="I2494" s="6">
        <v>1099</v>
      </c>
      <c r="J2494" s="6">
        <v>792</v>
      </c>
      <c r="K2494" s="6">
        <v>972</v>
      </c>
    </row>
    <row r="2495" spans="1:11" x14ac:dyDescent="0.2">
      <c r="A2495" s="1">
        <v>0.73124999999999996</v>
      </c>
      <c r="B2495" s="2">
        <v>6.3599999999999994</v>
      </c>
      <c r="C2495" s="2">
        <v>3.7600000000000002</v>
      </c>
      <c r="D2495" s="2">
        <v>5</v>
      </c>
      <c r="E2495" s="2">
        <v>5.08</v>
      </c>
      <c r="F2495" s="2">
        <v>3.0300000000000002</v>
      </c>
      <c r="G2495" s="6">
        <v>904</v>
      </c>
      <c r="H2495" s="6">
        <v>1326</v>
      </c>
      <c r="I2495" s="6">
        <v>827</v>
      </c>
      <c r="J2495" s="6">
        <v>1045</v>
      </c>
      <c r="K2495" s="6">
        <v>1001</v>
      </c>
    </row>
    <row r="2496" spans="1:11" x14ac:dyDescent="0.2">
      <c r="A2496" s="1">
        <v>0.73194444444444495</v>
      </c>
      <c r="B2496" s="2">
        <v>6.09</v>
      </c>
      <c r="C2496" s="2">
        <v>3.73</v>
      </c>
      <c r="D2496" s="2">
        <v>5.01</v>
      </c>
      <c r="E2496" s="2">
        <v>5.55</v>
      </c>
      <c r="F2496" s="2">
        <v>3.1</v>
      </c>
      <c r="G2496" s="6">
        <v>888</v>
      </c>
      <c r="H2496" s="6">
        <v>1789</v>
      </c>
      <c r="I2496" s="6">
        <v>935</v>
      </c>
      <c r="J2496" s="6">
        <v>1071</v>
      </c>
      <c r="K2496" s="6">
        <v>1521</v>
      </c>
    </row>
    <row r="2497" spans="1:11" x14ac:dyDescent="0.2">
      <c r="A2497" s="1">
        <v>0.73263888888888895</v>
      </c>
      <c r="B2497" s="2">
        <v>6.21</v>
      </c>
      <c r="C2497" s="2">
        <v>3.68</v>
      </c>
      <c r="D2497" s="2">
        <v>4.95</v>
      </c>
      <c r="E2497" s="2">
        <v>5.13</v>
      </c>
      <c r="F2497" s="2">
        <v>3.3000000000000003</v>
      </c>
      <c r="G2497" s="6">
        <v>918</v>
      </c>
      <c r="H2497" s="6">
        <v>1502</v>
      </c>
      <c r="I2497" s="6">
        <v>713</v>
      </c>
      <c r="J2497" s="6">
        <v>850</v>
      </c>
      <c r="K2497" s="6">
        <v>987</v>
      </c>
    </row>
    <row r="2498" spans="1:11" x14ac:dyDescent="0.2">
      <c r="A2498" s="1">
        <v>0.73333333333333295</v>
      </c>
      <c r="B2498" s="2">
        <v>6.27</v>
      </c>
      <c r="C2498" s="2">
        <v>3.7800000000000002</v>
      </c>
      <c r="D2498" s="2">
        <v>5.24</v>
      </c>
      <c r="E2498" s="2">
        <v>5.01</v>
      </c>
      <c r="F2498" s="2">
        <v>3.02</v>
      </c>
      <c r="G2498" s="6">
        <v>858</v>
      </c>
      <c r="H2498" s="6">
        <v>1722</v>
      </c>
      <c r="I2498" s="6">
        <v>1043</v>
      </c>
      <c r="J2498" s="6">
        <v>356</v>
      </c>
      <c r="K2498" s="6">
        <v>505</v>
      </c>
    </row>
    <row r="2499" spans="1:11" x14ac:dyDescent="0.2">
      <c r="A2499" s="1">
        <v>0.73402777777777795</v>
      </c>
      <c r="B2499" s="2">
        <v>6.1</v>
      </c>
      <c r="C2499" s="2">
        <v>3.81</v>
      </c>
      <c r="D2499" s="2">
        <v>5.12</v>
      </c>
      <c r="E2499" s="2">
        <v>5.39</v>
      </c>
      <c r="F2499" s="2">
        <v>2.93</v>
      </c>
      <c r="G2499" s="6">
        <v>1015</v>
      </c>
      <c r="H2499" s="6">
        <v>1551</v>
      </c>
      <c r="I2499" s="6">
        <v>680</v>
      </c>
      <c r="J2499" s="6">
        <v>952</v>
      </c>
      <c r="K2499" s="6">
        <v>991</v>
      </c>
    </row>
    <row r="2500" spans="1:11" x14ac:dyDescent="0.2">
      <c r="A2500" s="1">
        <v>0.73472222222222205</v>
      </c>
      <c r="B2500" s="2">
        <v>6.18</v>
      </c>
      <c r="C2500" s="2">
        <v>3.65</v>
      </c>
      <c r="D2500" s="2">
        <v>4.9800000000000004</v>
      </c>
      <c r="E2500" s="2">
        <v>5.46</v>
      </c>
      <c r="F2500" s="2">
        <v>3.04</v>
      </c>
      <c r="G2500" s="6">
        <v>778</v>
      </c>
      <c r="H2500" s="6">
        <v>1617</v>
      </c>
      <c r="I2500" s="6">
        <v>1033</v>
      </c>
      <c r="J2500" s="6">
        <v>753</v>
      </c>
      <c r="K2500" s="6">
        <v>758</v>
      </c>
    </row>
    <row r="2501" spans="1:11" x14ac:dyDescent="0.2">
      <c r="A2501" s="1">
        <v>0.73541666666666705</v>
      </c>
      <c r="B2501" s="2">
        <v>6.13</v>
      </c>
      <c r="C2501" s="2">
        <v>3.75</v>
      </c>
      <c r="D2501" s="2">
        <v>5.24</v>
      </c>
      <c r="E2501" s="2">
        <v>5.01</v>
      </c>
      <c r="F2501" s="2">
        <v>3.04</v>
      </c>
      <c r="G2501" s="6">
        <v>1040</v>
      </c>
      <c r="H2501" s="6">
        <v>1874</v>
      </c>
      <c r="I2501" s="6">
        <v>1094</v>
      </c>
      <c r="J2501" s="6">
        <v>815</v>
      </c>
      <c r="K2501" s="6">
        <v>624</v>
      </c>
    </row>
    <row r="2502" spans="1:11" x14ac:dyDescent="0.2">
      <c r="A2502" s="1">
        <v>0.73611111111111105</v>
      </c>
      <c r="B2502" s="2">
        <v>6.33</v>
      </c>
      <c r="C2502" s="2">
        <v>3.7800000000000002</v>
      </c>
      <c r="D2502" s="2">
        <v>4.92</v>
      </c>
      <c r="E2502" s="2">
        <v>5.4</v>
      </c>
      <c r="F2502" s="2">
        <v>3.12</v>
      </c>
      <c r="G2502" s="6">
        <v>837</v>
      </c>
      <c r="H2502" s="6">
        <v>1305</v>
      </c>
      <c r="I2502" s="6">
        <v>810</v>
      </c>
      <c r="J2502" s="6">
        <v>648</v>
      </c>
      <c r="K2502" s="6">
        <v>1341</v>
      </c>
    </row>
    <row r="2503" spans="1:11" x14ac:dyDescent="0.2">
      <c r="A2503" s="1">
        <v>0.73680555555555605</v>
      </c>
      <c r="B2503" s="2">
        <v>6.26</v>
      </c>
      <c r="C2503" s="2">
        <v>3.84</v>
      </c>
      <c r="D2503" s="2">
        <v>5.08</v>
      </c>
      <c r="E2503" s="2">
        <v>5.57</v>
      </c>
      <c r="F2503" s="2">
        <v>3.31</v>
      </c>
      <c r="G2503" s="6">
        <v>883</v>
      </c>
      <c r="H2503" s="6">
        <v>972</v>
      </c>
      <c r="I2503" s="6">
        <v>1115</v>
      </c>
      <c r="J2503" s="6">
        <v>779</v>
      </c>
      <c r="K2503" s="6">
        <v>567</v>
      </c>
    </row>
    <row r="2504" spans="1:11" x14ac:dyDescent="0.2">
      <c r="A2504" s="1">
        <v>0.73750000000000004</v>
      </c>
      <c r="B2504" s="2">
        <v>6.16</v>
      </c>
      <c r="C2504" s="2">
        <v>3.8200000000000003</v>
      </c>
      <c r="D2504" s="2">
        <v>5.1400000000000006</v>
      </c>
      <c r="E2504" s="2">
        <v>5.59</v>
      </c>
      <c r="F2504" s="2">
        <v>3.2800000000000002</v>
      </c>
      <c r="G2504" s="6">
        <v>1110</v>
      </c>
      <c r="H2504" s="6">
        <v>1472</v>
      </c>
      <c r="I2504" s="6">
        <v>1106</v>
      </c>
      <c r="J2504" s="6">
        <v>425</v>
      </c>
      <c r="K2504" s="6">
        <v>1342</v>
      </c>
    </row>
    <row r="2505" spans="1:11" x14ac:dyDescent="0.2">
      <c r="A2505" s="1">
        <v>0.73819444444444404</v>
      </c>
      <c r="B2505" s="2">
        <v>6.24</v>
      </c>
      <c r="C2505" s="2">
        <v>3.75</v>
      </c>
      <c r="D2505" s="2">
        <v>5.26</v>
      </c>
      <c r="E2505" s="2">
        <v>5.35</v>
      </c>
      <c r="F2505" s="2">
        <v>3.12</v>
      </c>
      <c r="G2505" s="6">
        <v>1076</v>
      </c>
      <c r="H2505" s="6">
        <v>1678</v>
      </c>
      <c r="I2505" s="6">
        <v>1091</v>
      </c>
      <c r="J2505" s="6">
        <v>546</v>
      </c>
      <c r="K2505" s="6">
        <v>1206</v>
      </c>
    </row>
    <row r="2506" spans="1:11" x14ac:dyDescent="0.2">
      <c r="A2506" s="1">
        <v>0.73888888888888904</v>
      </c>
      <c r="B2506" s="2">
        <v>6.17</v>
      </c>
      <c r="C2506" s="2">
        <v>3.58</v>
      </c>
      <c r="D2506" s="2">
        <v>5.0200000000000005</v>
      </c>
      <c r="E2506" s="2">
        <v>5.59</v>
      </c>
      <c r="F2506" s="2">
        <v>3.22</v>
      </c>
      <c r="G2506" s="6">
        <v>1074</v>
      </c>
      <c r="H2506" s="6">
        <v>1883</v>
      </c>
      <c r="I2506" s="6">
        <v>763</v>
      </c>
      <c r="J2506" s="6">
        <v>414</v>
      </c>
      <c r="K2506" s="6">
        <v>1332</v>
      </c>
    </row>
    <row r="2507" spans="1:11" x14ac:dyDescent="0.2">
      <c r="A2507" s="1">
        <v>0.73958333333333304</v>
      </c>
      <c r="B2507" s="2">
        <v>6.26</v>
      </c>
      <c r="C2507" s="2">
        <v>3.87</v>
      </c>
      <c r="D2507" s="2">
        <v>4.9400000000000004</v>
      </c>
      <c r="E2507" s="2">
        <v>5.46</v>
      </c>
      <c r="F2507" s="2">
        <v>3.0900000000000003</v>
      </c>
      <c r="G2507" s="6">
        <v>1089</v>
      </c>
      <c r="H2507" s="6">
        <v>1732</v>
      </c>
      <c r="I2507" s="6">
        <v>1076</v>
      </c>
      <c r="J2507" s="6">
        <v>815</v>
      </c>
      <c r="K2507" s="6">
        <v>943</v>
      </c>
    </row>
    <row r="2508" spans="1:11" x14ac:dyDescent="0.2">
      <c r="A2508" s="1">
        <v>0.74027777777777803</v>
      </c>
      <c r="B2508" s="2">
        <v>6.27</v>
      </c>
      <c r="C2508" s="2">
        <v>3.67</v>
      </c>
      <c r="D2508" s="2">
        <v>5.23</v>
      </c>
      <c r="E2508" s="2">
        <v>5.33</v>
      </c>
      <c r="F2508" s="2">
        <v>3.19</v>
      </c>
      <c r="G2508" s="6">
        <v>813</v>
      </c>
      <c r="H2508" s="6">
        <v>1820</v>
      </c>
      <c r="I2508" s="6">
        <v>942</v>
      </c>
      <c r="J2508" s="6">
        <v>551</v>
      </c>
      <c r="K2508" s="6">
        <v>488</v>
      </c>
    </row>
    <row r="2509" spans="1:11" x14ac:dyDescent="0.2">
      <c r="A2509" s="1">
        <v>0.74097222222222203</v>
      </c>
      <c r="B2509" s="2">
        <v>6.21</v>
      </c>
      <c r="C2509" s="2">
        <v>3.83</v>
      </c>
      <c r="D2509" s="2">
        <v>5.0200000000000005</v>
      </c>
      <c r="E2509" s="2">
        <v>5.43</v>
      </c>
      <c r="F2509" s="2">
        <v>3.0900000000000003</v>
      </c>
      <c r="G2509" s="6">
        <v>1100</v>
      </c>
      <c r="H2509" s="6">
        <v>1761</v>
      </c>
      <c r="I2509" s="6">
        <v>660</v>
      </c>
      <c r="J2509" s="6">
        <v>736</v>
      </c>
      <c r="K2509" s="6">
        <v>1092</v>
      </c>
    </row>
    <row r="2510" spans="1:11" x14ac:dyDescent="0.2">
      <c r="A2510" s="1">
        <v>0.74166666666666703</v>
      </c>
      <c r="B2510" s="2">
        <v>6.29</v>
      </c>
      <c r="C2510" s="2">
        <v>3.59</v>
      </c>
      <c r="D2510" s="2">
        <v>5.16</v>
      </c>
      <c r="E2510" s="2">
        <v>5.65</v>
      </c>
      <c r="F2510" s="2">
        <v>3.31</v>
      </c>
      <c r="G2510" s="6">
        <v>1096</v>
      </c>
      <c r="H2510" s="6">
        <v>1799</v>
      </c>
      <c r="I2510" s="6">
        <v>707</v>
      </c>
      <c r="J2510" s="6">
        <v>418</v>
      </c>
      <c r="K2510" s="6">
        <v>1496</v>
      </c>
    </row>
    <row r="2511" spans="1:11" x14ac:dyDescent="0.2">
      <c r="A2511" s="1">
        <v>0.74236111111111103</v>
      </c>
      <c r="B2511" s="2">
        <v>6.25</v>
      </c>
      <c r="C2511" s="2">
        <v>3.75</v>
      </c>
      <c r="D2511" s="2">
        <v>5.32</v>
      </c>
      <c r="E2511" s="2">
        <v>5.23</v>
      </c>
      <c r="F2511" s="2">
        <v>2.99</v>
      </c>
      <c r="G2511" s="6">
        <v>843</v>
      </c>
      <c r="H2511" s="6">
        <v>1766</v>
      </c>
      <c r="I2511" s="6">
        <v>705</v>
      </c>
      <c r="J2511" s="6">
        <v>344</v>
      </c>
      <c r="K2511" s="6">
        <v>1251</v>
      </c>
    </row>
    <row r="2512" spans="1:11" x14ac:dyDescent="0.2">
      <c r="A2512" s="1">
        <v>0.74305555555555602</v>
      </c>
      <c r="B2512" s="2">
        <v>6.22</v>
      </c>
      <c r="C2512" s="2">
        <v>3.74</v>
      </c>
      <c r="D2512" s="2">
        <v>5.35</v>
      </c>
      <c r="E2512" s="2">
        <v>5.03</v>
      </c>
      <c r="F2512" s="2">
        <v>3.22</v>
      </c>
      <c r="G2512" s="6">
        <v>1071</v>
      </c>
      <c r="H2512" s="6">
        <v>1550</v>
      </c>
      <c r="I2512" s="6">
        <v>969</v>
      </c>
      <c r="J2512" s="6">
        <v>557</v>
      </c>
      <c r="K2512" s="6">
        <v>605</v>
      </c>
    </row>
    <row r="2513" spans="1:11" x14ac:dyDescent="0.2">
      <c r="A2513" s="1">
        <v>0.74375000000000002</v>
      </c>
      <c r="B2513" s="2">
        <v>6.16</v>
      </c>
      <c r="C2513" s="2">
        <v>3.63</v>
      </c>
      <c r="D2513" s="2">
        <v>5.1100000000000003</v>
      </c>
      <c r="E2513" s="2">
        <v>5.5600000000000005</v>
      </c>
      <c r="F2513" s="2">
        <v>2.93</v>
      </c>
      <c r="G2513" s="6">
        <v>1116</v>
      </c>
      <c r="H2513" s="6">
        <v>1162</v>
      </c>
      <c r="I2513" s="6">
        <v>666</v>
      </c>
      <c r="J2513" s="6">
        <v>1147</v>
      </c>
      <c r="K2513" s="6">
        <v>1065</v>
      </c>
    </row>
    <row r="2514" spans="1:11" x14ac:dyDescent="0.2">
      <c r="A2514" s="1">
        <v>0.74444444444444402</v>
      </c>
      <c r="B2514" s="2">
        <v>6.27</v>
      </c>
      <c r="C2514" s="2">
        <v>3.65</v>
      </c>
      <c r="D2514" s="2">
        <v>5.29</v>
      </c>
      <c r="E2514" s="2">
        <v>5.16</v>
      </c>
      <c r="F2514" s="2">
        <v>3.0700000000000003</v>
      </c>
      <c r="G2514" s="6">
        <v>1001</v>
      </c>
      <c r="H2514" s="6">
        <v>1545</v>
      </c>
      <c r="I2514" s="6">
        <v>1016</v>
      </c>
      <c r="J2514" s="6">
        <v>1186</v>
      </c>
      <c r="K2514" s="6">
        <v>871</v>
      </c>
    </row>
    <row r="2515" spans="1:11" x14ac:dyDescent="0.2">
      <c r="A2515" s="1">
        <v>0.74513888888888902</v>
      </c>
      <c r="B2515" s="2">
        <v>6.28</v>
      </c>
      <c r="C2515" s="2">
        <v>3.85</v>
      </c>
      <c r="D2515" s="2">
        <v>4.92</v>
      </c>
      <c r="E2515" s="2">
        <v>5.19</v>
      </c>
      <c r="F2515" s="2">
        <v>3.3600000000000003</v>
      </c>
      <c r="G2515" s="6">
        <v>988</v>
      </c>
      <c r="H2515" s="6">
        <v>1308</v>
      </c>
      <c r="I2515" s="6">
        <v>790</v>
      </c>
      <c r="J2515" s="6">
        <v>383</v>
      </c>
      <c r="K2515" s="6">
        <v>1267</v>
      </c>
    </row>
    <row r="2516" spans="1:11" x14ac:dyDescent="0.2">
      <c r="A2516" s="1">
        <v>0.74583333333333302</v>
      </c>
      <c r="B2516" s="2">
        <v>6.28</v>
      </c>
      <c r="C2516" s="2">
        <v>3.65</v>
      </c>
      <c r="D2516" s="2">
        <v>5.23</v>
      </c>
      <c r="E2516" s="2">
        <v>5.26</v>
      </c>
      <c r="F2516" s="2">
        <v>3.22</v>
      </c>
      <c r="G2516" s="6">
        <v>771</v>
      </c>
      <c r="H2516" s="6">
        <v>1396</v>
      </c>
      <c r="I2516" s="6">
        <v>1083</v>
      </c>
      <c r="J2516" s="6">
        <v>744</v>
      </c>
      <c r="K2516" s="6">
        <v>1102</v>
      </c>
    </row>
    <row r="2517" spans="1:11" x14ac:dyDescent="0.2">
      <c r="A2517" s="1">
        <v>0.74652777777777801</v>
      </c>
      <c r="B2517" s="2">
        <v>6.21</v>
      </c>
      <c r="C2517" s="2">
        <v>3.71</v>
      </c>
      <c r="D2517" s="2">
        <v>5</v>
      </c>
      <c r="E2517" s="2">
        <v>5.35</v>
      </c>
      <c r="F2517" s="2">
        <v>2.88</v>
      </c>
      <c r="G2517" s="6">
        <v>953</v>
      </c>
      <c r="H2517" s="6">
        <v>1021</v>
      </c>
      <c r="I2517" s="6">
        <v>745</v>
      </c>
      <c r="J2517" s="6">
        <v>941</v>
      </c>
      <c r="K2517" s="6">
        <v>1375</v>
      </c>
    </row>
    <row r="2518" spans="1:11" x14ac:dyDescent="0.2">
      <c r="A2518" s="1">
        <v>0.74722222222222201</v>
      </c>
      <c r="B2518" s="2">
        <v>6.09</v>
      </c>
      <c r="C2518" s="2">
        <v>3.77</v>
      </c>
      <c r="D2518" s="2">
        <v>5.08</v>
      </c>
      <c r="E2518" s="2">
        <v>5.19</v>
      </c>
      <c r="F2518" s="2">
        <v>2.99</v>
      </c>
      <c r="G2518" s="6">
        <v>1047</v>
      </c>
      <c r="H2518" s="6">
        <v>1865</v>
      </c>
      <c r="I2518" s="6">
        <v>1053</v>
      </c>
      <c r="J2518" s="6">
        <v>996</v>
      </c>
      <c r="K2518" s="6">
        <v>1162</v>
      </c>
    </row>
    <row r="2519" spans="1:11" x14ac:dyDescent="0.2">
      <c r="A2519" s="1">
        <v>0.74791666666666701</v>
      </c>
      <c r="B2519" s="2">
        <v>6.1</v>
      </c>
      <c r="C2519" s="2">
        <v>3.65</v>
      </c>
      <c r="D2519" s="2">
        <v>5.23</v>
      </c>
      <c r="E2519" s="2">
        <v>5.1100000000000003</v>
      </c>
      <c r="F2519" s="2">
        <v>3.39</v>
      </c>
      <c r="G2519" s="6">
        <v>778</v>
      </c>
      <c r="H2519" s="6">
        <v>925</v>
      </c>
      <c r="I2519" s="6">
        <v>924</v>
      </c>
      <c r="J2519" s="6">
        <v>598</v>
      </c>
      <c r="K2519" s="6">
        <v>1235</v>
      </c>
    </row>
    <row r="2520" spans="1:11" x14ac:dyDescent="0.2">
      <c r="A2520" s="1">
        <v>0.74861111111111101</v>
      </c>
      <c r="B2520" s="2">
        <v>6.22</v>
      </c>
      <c r="C2520" s="2">
        <v>3.7800000000000002</v>
      </c>
      <c r="D2520" s="2">
        <v>5.36</v>
      </c>
      <c r="E2520" s="2">
        <v>5.63</v>
      </c>
      <c r="F2520" s="2">
        <v>2.94</v>
      </c>
      <c r="G2520" s="6">
        <v>973</v>
      </c>
      <c r="H2520" s="6">
        <v>1091</v>
      </c>
      <c r="I2520" s="6">
        <v>1009</v>
      </c>
      <c r="J2520" s="6">
        <v>405</v>
      </c>
      <c r="K2520" s="6">
        <v>1055</v>
      </c>
    </row>
    <row r="2521" spans="1:11" x14ac:dyDescent="0.2">
      <c r="A2521" s="1">
        <v>0.749305555555556</v>
      </c>
      <c r="B2521" s="2">
        <v>6.27</v>
      </c>
      <c r="C2521" s="2">
        <v>3.81</v>
      </c>
      <c r="D2521" s="2">
        <v>5.09</v>
      </c>
      <c r="E2521" s="2">
        <v>5.36</v>
      </c>
      <c r="F2521" s="2">
        <v>2.93</v>
      </c>
      <c r="G2521" s="6">
        <v>992</v>
      </c>
      <c r="H2521" s="6">
        <v>1115</v>
      </c>
      <c r="I2521" s="6">
        <v>1040</v>
      </c>
      <c r="J2521" s="6">
        <v>1288</v>
      </c>
      <c r="K2521" s="6">
        <v>1151</v>
      </c>
    </row>
    <row r="2522" spans="1:11" x14ac:dyDescent="0.2">
      <c r="A2522" s="3">
        <v>0.75</v>
      </c>
      <c r="B2522" s="2">
        <v>6.21</v>
      </c>
      <c r="C2522" s="2">
        <v>3.74</v>
      </c>
      <c r="D2522" s="2">
        <v>5.1100000000000003</v>
      </c>
      <c r="E2522" s="2">
        <v>5.34</v>
      </c>
      <c r="F2522" s="2">
        <v>3.19</v>
      </c>
      <c r="G2522" s="6">
        <v>844</v>
      </c>
      <c r="H2522" s="6">
        <v>876</v>
      </c>
      <c r="I2522" s="6">
        <v>633</v>
      </c>
      <c r="J2522" s="6">
        <v>364</v>
      </c>
      <c r="K2522" s="6">
        <v>464</v>
      </c>
    </row>
    <row r="2523" spans="1:11" x14ac:dyDescent="0.2">
      <c r="A2523" s="1">
        <v>0.750694444444444</v>
      </c>
      <c r="B2523" s="2">
        <v>6.27</v>
      </c>
      <c r="C2523" s="2">
        <v>3.7399999999999998</v>
      </c>
      <c r="D2523" s="2">
        <v>5.36</v>
      </c>
      <c r="E2523" s="2">
        <v>5.18</v>
      </c>
      <c r="F2523" s="2">
        <v>3.3600000000000003</v>
      </c>
      <c r="G2523" s="6">
        <v>544</v>
      </c>
      <c r="H2523" s="6">
        <v>767</v>
      </c>
      <c r="I2523" s="6">
        <v>390</v>
      </c>
      <c r="J2523" s="6">
        <v>316</v>
      </c>
      <c r="K2523" s="6">
        <v>301</v>
      </c>
    </row>
    <row r="2524" spans="1:11" x14ac:dyDescent="0.2">
      <c r="A2524" s="1">
        <v>0.75138888888888899</v>
      </c>
      <c r="B2524" s="2">
        <v>6.34</v>
      </c>
      <c r="C2524" s="2">
        <v>3.67</v>
      </c>
      <c r="D2524" s="2">
        <v>5.19</v>
      </c>
      <c r="E2524" s="2">
        <v>5.13</v>
      </c>
      <c r="F2524" s="2">
        <v>3.0500000000000003</v>
      </c>
      <c r="G2524" s="6">
        <v>766</v>
      </c>
      <c r="H2524" s="6">
        <v>442</v>
      </c>
      <c r="I2524" s="6">
        <v>615</v>
      </c>
      <c r="J2524" s="6">
        <v>267</v>
      </c>
      <c r="K2524" s="6">
        <v>330</v>
      </c>
    </row>
    <row r="2525" spans="1:11" x14ac:dyDescent="0.2">
      <c r="A2525" s="1">
        <v>0.75208333333333299</v>
      </c>
      <c r="B2525" s="2">
        <v>6.25</v>
      </c>
      <c r="C2525" s="2">
        <v>3.6199999999999997</v>
      </c>
      <c r="D2525" s="2">
        <v>5.35</v>
      </c>
      <c r="E2525" s="2">
        <v>5.17</v>
      </c>
      <c r="F2525" s="2">
        <v>3.3000000000000003</v>
      </c>
      <c r="G2525" s="6">
        <v>552</v>
      </c>
      <c r="H2525" s="6">
        <v>845</v>
      </c>
      <c r="I2525" s="6">
        <v>373</v>
      </c>
      <c r="J2525" s="6">
        <v>344</v>
      </c>
      <c r="K2525" s="6">
        <v>321</v>
      </c>
    </row>
    <row r="2526" spans="1:11" x14ac:dyDescent="0.2">
      <c r="A2526" s="1">
        <v>0.75277777777777799</v>
      </c>
      <c r="B2526" s="2">
        <v>6.2299999999999995</v>
      </c>
      <c r="C2526" s="2">
        <v>3.6999999999999997</v>
      </c>
      <c r="D2526" s="2">
        <v>5.01</v>
      </c>
      <c r="E2526" s="2">
        <v>5.46</v>
      </c>
      <c r="F2526" s="2">
        <v>2.87</v>
      </c>
      <c r="G2526" s="6">
        <v>863</v>
      </c>
      <c r="H2526" s="6">
        <v>498</v>
      </c>
      <c r="I2526" s="6">
        <v>598</v>
      </c>
      <c r="J2526" s="6">
        <v>313</v>
      </c>
      <c r="K2526" s="6">
        <v>346</v>
      </c>
    </row>
    <row r="2527" spans="1:11" x14ac:dyDescent="0.2">
      <c r="A2527" s="1">
        <v>0.75347222222222199</v>
      </c>
      <c r="B2527" s="2">
        <v>6.2</v>
      </c>
      <c r="C2527" s="2">
        <v>3.75</v>
      </c>
      <c r="D2527" s="2">
        <v>5.32</v>
      </c>
      <c r="E2527" s="2">
        <v>5.03</v>
      </c>
      <c r="F2527" s="2">
        <v>3.14</v>
      </c>
      <c r="G2527" s="6">
        <v>490</v>
      </c>
      <c r="H2527" s="6">
        <v>431</v>
      </c>
      <c r="I2527" s="6">
        <v>681</v>
      </c>
      <c r="J2527" s="6">
        <v>269</v>
      </c>
      <c r="K2527" s="6">
        <v>387</v>
      </c>
    </row>
    <row r="2528" spans="1:11" x14ac:dyDescent="0.2">
      <c r="A2528" s="1">
        <v>0.75416666666666698</v>
      </c>
      <c r="B2528" s="2">
        <v>6.3</v>
      </c>
      <c r="C2528" s="2">
        <v>3.84</v>
      </c>
      <c r="D2528" s="2">
        <v>5.3100000000000005</v>
      </c>
      <c r="E2528" s="2">
        <v>5.5</v>
      </c>
      <c r="F2528" s="2">
        <v>3.35</v>
      </c>
      <c r="G2528" s="6">
        <v>692</v>
      </c>
      <c r="H2528" s="6">
        <v>625</v>
      </c>
      <c r="I2528" s="6">
        <v>377</v>
      </c>
      <c r="J2528" s="6">
        <v>269</v>
      </c>
      <c r="K2528" s="6">
        <v>386</v>
      </c>
    </row>
    <row r="2529" spans="1:11" x14ac:dyDescent="0.2">
      <c r="A2529" s="1">
        <v>0.75486111111111098</v>
      </c>
      <c r="B2529" s="2">
        <v>6.35</v>
      </c>
      <c r="C2529" s="2">
        <v>3.77</v>
      </c>
      <c r="D2529" s="2">
        <v>5.09</v>
      </c>
      <c r="E2529" s="2">
        <v>5.17</v>
      </c>
      <c r="F2529" s="2">
        <v>3.04</v>
      </c>
      <c r="G2529" s="6">
        <v>553</v>
      </c>
      <c r="H2529" s="6">
        <v>717</v>
      </c>
      <c r="I2529" s="6">
        <v>512</v>
      </c>
      <c r="J2529" s="6">
        <v>383</v>
      </c>
      <c r="K2529" s="6">
        <v>378</v>
      </c>
    </row>
    <row r="2530" spans="1:11" x14ac:dyDescent="0.2">
      <c r="A2530" s="1">
        <v>0.75555555555555598</v>
      </c>
      <c r="B2530" s="2">
        <v>6.34</v>
      </c>
      <c r="C2530" s="2">
        <v>3.7399999999999998</v>
      </c>
      <c r="D2530" s="2">
        <v>5.05</v>
      </c>
      <c r="E2530" s="2">
        <v>5.0599999999999996</v>
      </c>
      <c r="F2530" s="2">
        <v>2.9</v>
      </c>
      <c r="G2530" s="6">
        <v>596</v>
      </c>
      <c r="H2530" s="6">
        <v>859</v>
      </c>
      <c r="I2530" s="6">
        <v>371</v>
      </c>
      <c r="J2530" s="6">
        <v>324</v>
      </c>
      <c r="K2530" s="6">
        <v>340</v>
      </c>
    </row>
    <row r="2531" spans="1:11" x14ac:dyDescent="0.2">
      <c r="A2531" s="1">
        <v>0.75624999999999998</v>
      </c>
      <c r="B2531" s="2">
        <v>6.13</v>
      </c>
      <c r="C2531" s="2">
        <v>3.77</v>
      </c>
      <c r="D2531" s="2">
        <v>4.96</v>
      </c>
      <c r="E2531" s="2">
        <v>5.63</v>
      </c>
      <c r="F2531" s="2">
        <v>3.31</v>
      </c>
      <c r="G2531" s="6">
        <v>623</v>
      </c>
      <c r="H2531" s="6">
        <v>653</v>
      </c>
      <c r="I2531" s="6">
        <v>481</v>
      </c>
      <c r="J2531" s="6">
        <v>328</v>
      </c>
      <c r="K2531" s="6">
        <v>430</v>
      </c>
    </row>
    <row r="2532" spans="1:11" x14ac:dyDescent="0.2">
      <c r="A2532" s="1">
        <v>0.75694444444444398</v>
      </c>
      <c r="B2532" s="2">
        <v>6.35</v>
      </c>
      <c r="C2532" s="2">
        <v>3.8</v>
      </c>
      <c r="D2532" s="2">
        <v>5.18</v>
      </c>
      <c r="E2532" s="2">
        <v>5.63</v>
      </c>
      <c r="F2532" s="2">
        <v>3.24</v>
      </c>
      <c r="G2532" s="6">
        <v>837</v>
      </c>
      <c r="H2532" s="6">
        <v>577</v>
      </c>
      <c r="I2532" s="6">
        <v>450</v>
      </c>
      <c r="J2532" s="6">
        <v>293</v>
      </c>
      <c r="K2532" s="6">
        <v>389</v>
      </c>
    </row>
    <row r="2533" spans="1:11" x14ac:dyDescent="0.2">
      <c r="A2533" s="1">
        <v>0.75763888888888897</v>
      </c>
      <c r="B2533" s="2">
        <v>6.1499999999999995</v>
      </c>
      <c r="C2533" s="2">
        <v>3.59</v>
      </c>
      <c r="D2533" s="2">
        <v>5.1100000000000003</v>
      </c>
      <c r="E2533" s="2">
        <v>5.14</v>
      </c>
      <c r="F2533" s="2">
        <v>2.91</v>
      </c>
      <c r="G2533" s="6">
        <v>736</v>
      </c>
      <c r="H2533" s="6">
        <v>792</v>
      </c>
      <c r="I2533" s="6">
        <v>746</v>
      </c>
      <c r="J2533" s="6">
        <v>401</v>
      </c>
      <c r="K2533" s="6">
        <v>331</v>
      </c>
    </row>
    <row r="2534" spans="1:11" x14ac:dyDescent="0.2">
      <c r="A2534" s="1">
        <v>0.75833333333333297</v>
      </c>
      <c r="B2534" s="2">
        <v>6.3599999999999994</v>
      </c>
      <c r="C2534" s="2">
        <v>3.73</v>
      </c>
      <c r="D2534" s="2">
        <v>5.17</v>
      </c>
      <c r="E2534" s="2">
        <v>5.52</v>
      </c>
      <c r="F2534" s="2">
        <v>3.19</v>
      </c>
      <c r="G2534" s="6">
        <v>448</v>
      </c>
      <c r="H2534" s="6">
        <v>424</v>
      </c>
      <c r="I2534" s="6">
        <v>450</v>
      </c>
      <c r="J2534" s="6">
        <v>265</v>
      </c>
      <c r="K2534" s="6">
        <v>315</v>
      </c>
    </row>
    <row r="2535" spans="1:11" x14ac:dyDescent="0.2">
      <c r="A2535" s="1">
        <v>0.75902777777777797</v>
      </c>
      <c r="B2535" s="2">
        <v>6.27</v>
      </c>
      <c r="C2535" s="2">
        <v>3.7199999999999998</v>
      </c>
      <c r="D2535" s="2">
        <v>5.16</v>
      </c>
      <c r="E2535" s="2">
        <v>5.33</v>
      </c>
      <c r="F2535" s="2">
        <v>3.35</v>
      </c>
      <c r="G2535" s="6">
        <v>524</v>
      </c>
      <c r="H2535" s="6">
        <v>528</v>
      </c>
      <c r="I2535" s="6">
        <v>459</v>
      </c>
      <c r="J2535" s="6">
        <v>356</v>
      </c>
      <c r="K2535" s="6">
        <v>410</v>
      </c>
    </row>
    <row r="2536" spans="1:11" x14ac:dyDescent="0.2">
      <c r="A2536" s="1">
        <v>0.75972222222222197</v>
      </c>
      <c r="B2536" s="2">
        <v>6.25</v>
      </c>
      <c r="C2536" s="2">
        <v>3.6799999999999997</v>
      </c>
      <c r="D2536" s="2">
        <v>5.03</v>
      </c>
      <c r="E2536" s="2">
        <v>5.51</v>
      </c>
      <c r="F2536" s="2">
        <v>3.19</v>
      </c>
      <c r="G2536" s="6">
        <v>770</v>
      </c>
      <c r="H2536" s="6">
        <v>439</v>
      </c>
      <c r="I2536" s="6">
        <v>387</v>
      </c>
      <c r="J2536" s="6">
        <v>282</v>
      </c>
      <c r="K2536" s="6">
        <v>292</v>
      </c>
    </row>
    <row r="2537" spans="1:11" x14ac:dyDescent="0.2">
      <c r="A2537" s="1">
        <v>0.76041666666666696</v>
      </c>
      <c r="B2537" s="2">
        <v>6.09</v>
      </c>
      <c r="C2537" s="2">
        <v>3.7199999999999998</v>
      </c>
      <c r="D2537" s="2">
        <v>4.91</v>
      </c>
      <c r="E2537" s="2">
        <v>5.39</v>
      </c>
      <c r="F2537" s="2">
        <v>2.99</v>
      </c>
      <c r="G2537" s="6">
        <v>371</v>
      </c>
      <c r="H2537" s="6">
        <v>151</v>
      </c>
      <c r="I2537" s="6">
        <v>304</v>
      </c>
      <c r="J2537" s="6">
        <v>224</v>
      </c>
      <c r="K2537" s="6">
        <v>234</v>
      </c>
    </row>
    <row r="2538" spans="1:11" x14ac:dyDescent="0.2">
      <c r="A2538" s="1">
        <v>0.76111111111111096</v>
      </c>
      <c r="B2538" s="2">
        <v>6.25</v>
      </c>
      <c r="C2538" s="2">
        <v>3.5999999999999996</v>
      </c>
      <c r="D2538" s="2">
        <v>4.8899999999999997</v>
      </c>
      <c r="E2538" s="2">
        <v>5.3</v>
      </c>
      <c r="F2538" s="2">
        <v>3.31</v>
      </c>
      <c r="G2538" s="6">
        <v>351</v>
      </c>
      <c r="H2538" s="6">
        <v>404</v>
      </c>
      <c r="I2538" s="6">
        <v>251</v>
      </c>
      <c r="J2538" s="6">
        <v>164</v>
      </c>
      <c r="K2538" s="6">
        <v>216</v>
      </c>
    </row>
    <row r="2539" spans="1:11" x14ac:dyDescent="0.2">
      <c r="A2539" s="1">
        <v>0.76180555555555596</v>
      </c>
      <c r="B2539" s="2">
        <v>6.32</v>
      </c>
      <c r="C2539" s="2">
        <v>3.79</v>
      </c>
      <c r="D2539" s="2">
        <v>5.26</v>
      </c>
      <c r="E2539" s="2">
        <v>5.23</v>
      </c>
      <c r="F2539" s="2">
        <v>3.1</v>
      </c>
      <c r="G2539" s="6">
        <v>431</v>
      </c>
      <c r="H2539" s="6">
        <v>389</v>
      </c>
      <c r="I2539" s="6">
        <v>294</v>
      </c>
      <c r="J2539" s="6">
        <v>245</v>
      </c>
      <c r="K2539" s="6">
        <v>267</v>
      </c>
    </row>
    <row r="2540" spans="1:11" x14ac:dyDescent="0.2">
      <c r="A2540" s="1">
        <v>0.76249999999999996</v>
      </c>
      <c r="B2540" s="2">
        <v>6.18</v>
      </c>
      <c r="C2540" s="2">
        <v>3.63</v>
      </c>
      <c r="D2540" s="2">
        <v>5.04</v>
      </c>
      <c r="E2540" s="2">
        <v>5.55</v>
      </c>
      <c r="F2540" s="2">
        <v>3.2</v>
      </c>
      <c r="G2540" s="6">
        <v>198</v>
      </c>
      <c r="H2540" s="6">
        <v>288</v>
      </c>
      <c r="I2540" s="6">
        <v>345</v>
      </c>
      <c r="J2540" s="6">
        <v>164</v>
      </c>
      <c r="K2540" s="6">
        <v>182</v>
      </c>
    </row>
    <row r="2541" spans="1:11" x14ac:dyDescent="0.2">
      <c r="A2541" s="1">
        <v>0.76319444444444495</v>
      </c>
      <c r="B2541" s="2">
        <v>6.2299999999999995</v>
      </c>
      <c r="C2541" s="2">
        <v>3.7399999999999998</v>
      </c>
      <c r="D2541" s="2">
        <v>5.05</v>
      </c>
      <c r="E2541" s="2">
        <v>5.51</v>
      </c>
      <c r="F2541" s="2">
        <v>3.16</v>
      </c>
      <c r="G2541" s="6">
        <v>353</v>
      </c>
      <c r="H2541" s="6">
        <v>285</v>
      </c>
      <c r="I2541" s="6">
        <v>139</v>
      </c>
      <c r="J2541" s="6">
        <v>102</v>
      </c>
      <c r="K2541" s="6">
        <v>164</v>
      </c>
    </row>
    <row r="2542" spans="1:11" x14ac:dyDescent="0.2">
      <c r="A2542" s="1">
        <v>0.76388888888888895</v>
      </c>
      <c r="B2542" s="2">
        <v>6.1499999999999995</v>
      </c>
      <c r="C2542" s="2">
        <v>3.65</v>
      </c>
      <c r="D2542" s="2">
        <v>5.0600000000000005</v>
      </c>
      <c r="E2542" s="2">
        <v>5.65</v>
      </c>
      <c r="F2542" s="2">
        <v>3.37</v>
      </c>
      <c r="G2542" s="6">
        <v>396</v>
      </c>
      <c r="H2542" s="6">
        <v>250</v>
      </c>
      <c r="I2542" s="6">
        <v>315</v>
      </c>
      <c r="J2542" s="6">
        <v>345</v>
      </c>
      <c r="K2542" s="6">
        <v>394</v>
      </c>
    </row>
    <row r="2543" spans="1:11" x14ac:dyDescent="0.2">
      <c r="A2543" s="1">
        <v>0.76458333333333295</v>
      </c>
      <c r="B2543" s="2">
        <v>6.33</v>
      </c>
      <c r="C2543" s="2">
        <v>3.88</v>
      </c>
      <c r="D2543" s="2">
        <v>5.1400000000000006</v>
      </c>
      <c r="E2543" s="2">
        <v>5.51</v>
      </c>
      <c r="F2543" s="2">
        <v>2.94</v>
      </c>
      <c r="G2543" s="6">
        <v>412</v>
      </c>
      <c r="H2543" s="6">
        <v>180</v>
      </c>
      <c r="I2543" s="6">
        <v>296</v>
      </c>
      <c r="J2543" s="6">
        <v>334</v>
      </c>
      <c r="K2543" s="6">
        <v>324</v>
      </c>
    </row>
    <row r="2544" spans="1:11" x14ac:dyDescent="0.2">
      <c r="A2544" s="1">
        <v>0.76527777777777795</v>
      </c>
      <c r="B2544" s="2">
        <v>6.28</v>
      </c>
      <c r="C2544" s="2">
        <v>3.8499999999999996</v>
      </c>
      <c r="D2544" s="2">
        <v>4.88</v>
      </c>
      <c r="E2544" s="2">
        <v>5.61</v>
      </c>
      <c r="F2544" s="2">
        <v>3.25</v>
      </c>
      <c r="G2544" s="6">
        <v>329</v>
      </c>
      <c r="H2544" s="6">
        <v>382</v>
      </c>
      <c r="I2544" s="6">
        <v>118</v>
      </c>
      <c r="J2544" s="6">
        <v>85</v>
      </c>
      <c r="K2544" s="6">
        <v>64</v>
      </c>
    </row>
    <row r="2545" spans="1:11" x14ac:dyDescent="0.2">
      <c r="A2545" s="1">
        <v>0.76597222222222205</v>
      </c>
      <c r="B2545" s="2">
        <v>6.12</v>
      </c>
      <c r="C2545" s="2">
        <v>3.78</v>
      </c>
      <c r="D2545" s="2">
        <v>5.22</v>
      </c>
      <c r="E2545" s="2">
        <v>5.52</v>
      </c>
      <c r="F2545" s="2">
        <v>2.88</v>
      </c>
      <c r="G2545" s="6">
        <v>158</v>
      </c>
      <c r="H2545" s="6">
        <v>223</v>
      </c>
      <c r="I2545" s="6">
        <v>100</v>
      </c>
      <c r="J2545" s="6">
        <v>95</v>
      </c>
      <c r="K2545" s="6">
        <v>97</v>
      </c>
    </row>
    <row r="2546" spans="1:11" x14ac:dyDescent="0.2">
      <c r="A2546" s="1">
        <v>0.76666666666666705</v>
      </c>
      <c r="B2546" s="2">
        <v>6.18</v>
      </c>
      <c r="C2546" s="2">
        <v>3.5999999999999996</v>
      </c>
      <c r="D2546" s="2">
        <v>5.1400000000000006</v>
      </c>
      <c r="E2546" s="2">
        <v>5.26</v>
      </c>
      <c r="F2546" s="2">
        <v>3.18</v>
      </c>
      <c r="G2546" s="6">
        <v>130</v>
      </c>
      <c r="H2546" s="6">
        <v>434</v>
      </c>
      <c r="I2546" s="6">
        <v>331</v>
      </c>
      <c r="J2546" s="6">
        <v>224</v>
      </c>
      <c r="K2546" s="6">
        <v>387</v>
      </c>
    </row>
    <row r="2547" spans="1:11" x14ac:dyDescent="0.2">
      <c r="A2547" s="1">
        <v>0.76736111111111105</v>
      </c>
      <c r="B2547" s="2">
        <v>6.33</v>
      </c>
      <c r="C2547" s="2">
        <v>3.6399999999999997</v>
      </c>
      <c r="D2547" s="2">
        <v>5.33</v>
      </c>
      <c r="E2547" s="2">
        <v>5.26</v>
      </c>
      <c r="F2547" s="2">
        <v>3.0500000000000003</v>
      </c>
      <c r="G2547" s="6">
        <v>121</v>
      </c>
      <c r="H2547" s="6">
        <v>286</v>
      </c>
      <c r="I2547" s="6">
        <v>332</v>
      </c>
      <c r="J2547" s="6">
        <v>178</v>
      </c>
      <c r="K2547" s="6">
        <v>264</v>
      </c>
    </row>
    <row r="2548" spans="1:11" x14ac:dyDescent="0.2">
      <c r="A2548" s="1">
        <v>0.76805555555555605</v>
      </c>
      <c r="B2548" s="2">
        <v>6.31</v>
      </c>
      <c r="C2548" s="2">
        <v>3.73</v>
      </c>
      <c r="D2548" s="2">
        <v>5.26</v>
      </c>
      <c r="E2548" s="2">
        <v>5.42</v>
      </c>
      <c r="F2548" s="2">
        <v>3.31</v>
      </c>
      <c r="G2548" s="6">
        <v>149</v>
      </c>
      <c r="H2548" s="6">
        <v>200</v>
      </c>
      <c r="I2548" s="6">
        <v>126</v>
      </c>
      <c r="J2548" s="6">
        <v>254</v>
      </c>
      <c r="K2548" s="6">
        <v>345</v>
      </c>
    </row>
    <row r="2549" spans="1:11" x14ac:dyDescent="0.2">
      <c r="A2549" s="1">
        <v>0.76875000000000004</v>
      </c>
      <c r="B2549" s="2">
        <v>6.28</v>
      </c>
      <c r="C2549" s="2">
        <v>3.67</v>
      </c>
      <c r="D2549" s="2">
        <v>4.92</v>
      </c>
      <c r="E2549" s="2">
        <v>5.07</v>
      </c>
      <c r="F2549" s="2">
        <v>3.16</v>
      </c>
      <c r="G2549" s="6">
        <v>209</v>
      </c>
      <c r="H2549" s="6">
        <v>433</v>
      </c>
      <c r="I2549" s="6">
        <v>324</v>
      </c>
      <c r="J2549" s="6">
        <v>177</v>
      </c>
      <c r="K2549" s="6">
        <v>156</v>
      </c>
    </row>
    <row r="2550" spans="1:11" x14ac:dyDescent="0.2">
      <c r="A2550" s="1">
        <v>0.76944444444444404</v>
      </c>
      <c r="B2550" s="2">
        <v>6.17</v>
      </c>
      <c r="C2550" s="2">
        <v>3.6399999999999997</v>
      </c>
      <c r="D2550" s="2">
        <v>5.1100000000000003</v>
      </c>
      <c r="E2550" s="2">
        <v>5.19</v>
      </c>
      <c r="F2550" s="2">
        <v>3.17</v>
      </c>
      <c r="G2550" s="6">
        <v>170</v>
      </c>
      <c r="H2550" s="6">
        <v>298</v>
      </c>
      <c r="I2550" s="6">
        <v>105</v>
      </c>
      <c r="J2550" s="6">
        <v>95</v>
      </c>
      <c r="K2550" s="6">
        <v>99</v>
      </c>
    </row>
    <row r="2551" spans="1:11" x14ac:dyDescent="0.2">
      <c r="A2551" s="1">
        <v>0.77013888888888904</v>
      </c>
      <c r="B2551" s="2">
        <v>6.21</v>
      </c>
      <c r="C2551" s="2">
        <v>3.88</v>
      </c>
      <c r="D2551" s="2">
        <v>5.24</v>
      </c>
      <c r="E2551" s="2">
        <v>5.19</v>
      </c>
      <c r="F2551" s="2">
        <v>2.87</v>
      </c>
      <c r="G2551" s="6">
        <v>184</v>
      </c>
      <c r="H2551" s="6">
        <v>153</v>
      </c>
      <c r="I2551" s="6">
        <v>95</v>
      </c>
      <c r="J2551" s="6">
        <v>77</v>
      </c>
      <c r="K2551" s="6">
        <v>95</v>
      </c>
    </row>
    <row r="2552" spans="1:11" x14ac:dyDescent="0.2">
      <c r="A2552" s="1">
        <v>0.77083333333333304</v>
      </c>
      <c r="B2552" s="2">
        <v>6.13</v>
      </c>
      <c r="C2552" s="2">
        <v>3.78</v>
      </c>
      <c r="D2552" s="2">
        <v>5.18</v>
      </c>
      <c r="E2552" s="2">
        <v>5.24</v>
      </c>
      <c r="F2552" s="2">
        <v>3.0300000000000002</v>
      </c>
      <c r="G2552" s="6">
        <v>155</v>
      </c>
      <c r="H2552" s="6">
        <v>143</v>
      </c>
      <c r="I2552" s="6">
        <v>97</v>
      </c>
      <c r="J2552" s="6">
        <v>66</v>
      </c>
      <c r="K2552" s="6">
        <v>98</v>
      </c>
    </row>
    <row r="2553" spans="1:11" x14ac:dyDescent="0.2">
      <c r="A2553" s="1">
        <v>0.77152777777777803</v>
      </c>
      <c r="B2553" s="2">
        <v>6.3</v>
      </c>
      <c r="C2553" s="2">
        <v>3.7399999999999998</v>
      </c>
      <c r="D2553" s="2">
        <v>5.34</v>
      </c>
      <c r="E2553" s="2">
        <v>5.58</v>
      </c>
      <c r="F2553" s="2">
        <v>2.88</v>
      </c>
      <c r="G2553" s="6">
        <v>155</v>
      </c>
      <c r="H2553" s="6">
        <v>134</v>
      </c>
      <c r="I2553" s="6">
        <v>97</v>
      </c>
      <c r="J2553" s="6">
        <v>62</v>
      </c>
      <c r="K2553" s="6">
        <v>95</v>
      </c>
    </row>
    <row r="2554" spans="1:11" x14ac:dyDescent="0.2">
      <c r="A2554" s="1">
        <v>0.77222222222222203</v>
      </c>
      <c r="B2554" s="2">
        <v>6.14</v>
      </c>
      <c r="C2554" s="2">
        <v>3.67</v>
      </c>
      <c r="D2554" s="2">
        <v>5.04</v>
      </c>
      <c r="E2554" s="2">
        <v>5.25</v>
      </c>
      <c r="F2554" s="2">
        <v>3.2800000000000002</v>
      </c>
      <c r="G2554" s="6">
        <v>125</v>
      </c>
      <c r="H2554" s="6">
        <v>129</v>
      </c>
      <c r="I2554" s="6">
        <v>87</v>
      </c>
      <c r="J2554" s="6">
        <v>50</v>
      </c>
      <c r="K2554" s="6">
        <v>92</v>
      </c>
    </row>
    <row r="2555" spans="1:11" x14ac:dyDescent="0.2">
      <c r="A2555" s="1">
        <v>0.77291666666666703</v>
      </c>
      <c r="B2555" s="2">
        <v>6.27</v>
      </c>
      <c r="C2555" s="2">
        <v>3.71</v>
      </c>
      <c r="D2555" s="2">
        <v>5.1000000000000005</v>
      </c>
      <c r="E2555" s="2">
        <v>5.12</v>
      </c>
      <c r="F2555" s="2">
        <v>3.2600000000000002</v>
      </c>
      <c r="G2555" s="6">
        <v>88</v>
      </c>
      <c r="H2555" s="6">
        <v>106</v>
      </c>
      <c r="I2555" s="6">
        <v>80</v>
      </c>
      <c r="J2555" s="6">
        <v>50</v>
      </c>
      <c r="K2555" s="6">
        <v>86</v>
      </c>
    </row>
    <row r="2556" spans="1:11" x14ac:dyDescent="0.2">
      <c r="A2556" s="1">
        <v>0.77361111111111103</v>
      </c>
      <c r="B2556" s="2">
        <v>6.3</v>
      </c>
      <c r="C2556" s="2">
        <v>3.76</v>
      </c>
      <c r="D2556" s="2">
        <v>5.2700000000000005</v>
      </c>
      <c r="E2556" s="2">
        <v>5.33</v>
      </c>
      <c r="F2556" s="2">
        <v>3.0500000000000003</v>
      </c>
      <c r="G2556" s="6">
        <v>85</v>
      </c>
      <c r="H2556" s="6">
        <v>79</v>
      </c>
      <c r="I2556" s="6">
        <v>72</v>
      </c>
      <c r="J2556" s="6">
        <v>34</v>
      </c>
      <c r="K2556" s="6">
        <v>65</v>
      </c>
    </row>
    <row r="2557" spans="1:11" x14ac:dyDescent="0.2">
      <c r="A2557" s="1">
        <v>0.77430555555555602</v>
      </c>
      <c r="B2557" s="2">
        <v>6.13</v>
      </c>
      <c r="C2557" s="2">
        <v>3.65</v>
      </c>
      <c r="D2557" s="2">
        <v>5.19</v>
      </c>
      <c r="E2557" s="2">
        <v>5.14</v>
      </c>
      <c r="F2557" s="2">
        <v>3.17</v>
      </c>
      <c r="G2557" s="6">
        <v>72</v>
      </c>
      <c r="H2557" s="6">
        <v>70</v>
      </c>
      <c r="I2557" s="6">
        <v>71</v>
      </c>
      <c r="J2557" s="6">
        <v>30</v>
      </c>
      <c r="K2557" s="6">
        <v>49</v>
      </c>
    </row>
    <row r="2558" spans="1:11" x14ac:dyDescent="0.2">
      <c r="A2558" s="1">
        <v>0.77500000000000002</v>
      </c>
      <c r="B2558" s="2">
        <v>6.1899999999999995</v>
      </c>
      <c r="C2558" s="2">
        <v>3.88</v>
      </c>
      <c r="D2558" s="2">
        <v>5.23</v>
      </c>
      <c r="E2558" s="2">
        <v>5.18</v>
      </c>
      <c r="F2558" s="2">
        <v>3.1</v>
      </c>
      <c r="G2558" s="6">
        <v>54</v>
      </c>
      <c r="H2558" s="6">
        <v>60</v>
      </c>
      <c r="I2558" s="6">
        <v>67</v>
      </c>
      <c r="J2558" s="6">
        <v>29</v>
      </c>
      <c r="K2558" s="6">
        <v>40</v>
      </c>
    </row>
    <row r="2559" spans="1:11" x14ac:dyDescent="0.2">
      <c r="A2559" s="1">
        <v>0.77569444444444402</v>
      </c>
      <c r="B2559" s="2">
        <v>6.17</v>
      </c>
      <c r="C2559" s="2">
        <v>3.6399999999999997</v>
      </c>
      <c r="D2559" s="2">
        <v>4.9000000000000004</v>
      </c>
      <c r="E2559" s="2">
        <v>5.65</v>
      </c>
      <c r="F2559" s="2">
        <v>2.97</v>
      </c>
      <c r="G2559" s="6">
        <v>46</v>
      </c>
      <c r="H2559" s="6">
        <v>55</v>
      </c>
      <c r="I2559" s="6">
        <v>37</v>
      </c>
      <c r="J2559" s="6">
        <v>27</v>
      </c>
      <c r="K2559" s="6">
        <v>36</v>
      </c>
    </row>
    <row r="2560" spans="1:11" x14ac:dyDescent="0.2">
      <c r="A2560" s="1">
        <v>0.77638888888888902</v>
      </c>
      <c r="B2560" s="2">
        <v>6.29</v>
      </c>
      <c r="C2560" s="2">
        <v>3.84</v>
      </c>
      <c r="D2560" s="2">
        <v>5.29</v>
      </c>
      <c r="E2560" s="2">
        <v>5.6</v>
      </c>
      <c r="F2560" s="2">
        <v>3.37</v>
      </c>
      <c r="G2560" s="6">
        <v>30</v>
      </c>
      <c r="H2560" s="6">
        <v>47</v>
      </c>
      <c r="I2560" s="6">
        <v>24</v>
      </c>
      <c r="J2560" s="6">
        <v>27</v>
      </c>
      <c r="K2560" s="6">
        <v>27</v>
      </c>
    </row>
    <row r="2561" spans="1:11" x14ac:dyDescent="0.2">
      <c r="A2561" s="1">
        <v>0.77708333333333302</v>
      </c>
      <c r="B2561" s="2">
        <v>6.33</v>
      </c>
      <c r="C2561" s="2">
        <v>3.8499999999999996</v>
      </c>
      <c r="D2561" s="2">
        <v>4.88</v>
      </c>
      <c r="E2561" s="2">
        <v>5.62</v>
      </c>
      <c r="F2561" s="2">
        <v>2.89</v>
      </c>
      <c r="G2561" s="6">
        <v>30</v>
      </c>
      <c r="H2561" s="6">
        <v>42</v>
      </c>
      <c r="I2561" s="6">
        <v>23</v>
      </c>
      <c r="J2561" s="6">
        <v>17</v>
      </c>
      <c r="K2561" s="6">
        <v>23</v>
      </c>
    </row>
    <row r="2562" spans="1:11" x14ac:dyDescent="0.2">
      <c r="A2562" s="1">
        <v>0.77777777777777801</v>
      </c>
      <c r="B2562" s="2">
        <v>6.27</v>
      </c>
      <c r="C2562" s="2">
        <v>3.82</v>
      </c>
      <c r="D2562" s="2">
        <v>5</v>
      </c>
      <c r="E2562" s="2">
        <v>5.42</v>
      </c>
      <c r="F2562" s="2">
        <v>3.13</v>
      </c>
      <c r="G2562" s="6">
        <v>13</v>
      </c>
      <c r="H2562" s="6">
        <v>22</v>
      </c>
      <c r="I2562" s="6">
        <v>16</v>
      </c>
      <c r="J2562" s="6">
        <v>10</v>
      </c>
      <c r="K2562" s="6">
        <v>14</v>
      </c>
    </row>
    <row r="2563" spans="1:11" x14ac:dyDescent="0.2">
      <c r="A2563" s="1">
        <v>0.77847222222222201</v>
      </c>
      <c r="B2563" s="2">
        <v>6.16</v>
      </c>
      <c r="C2563" s="2">
        <v>3.8</v>
      </c>
      <c r="D2563" s="2">
        <v>5.1100000000000003</v>
      </c>
      <c r="E2563" s="2">
        <v>5.36</v>
      </c>
      <c r="F2563" s="2">
        <v>3.31</v>
      </c>
      <c r="G2563" s="6">
        <v>16</v>
      </c>
      <c r="H2563" s="6">
        <v>20</v>
      </c>
      <c r="I2563" s="6">
        <v>12</v>
      </c>
      <c r="J2563" s="6">
        <v>6</v>
      </c>
      <c r="K2563" s="6">
        <v>6</v>
      </c>
    </row>
    <row r="2564" spans="1:11" x14ac:dyDescent="0.2">
      <c r="A2564" s="1">
        <v>0.77916666666666701</v>
      </c>
      <c r="B2564" s="2">
        <v>6.26</v>
      </c>
      <c r="C2564" s="2">
        <v>3.79</v>
      </c>
      <c r="D2564" s="2">
        <v>5.2</v>
      </c>
      <c r="E2564" s="2">
        <v>5.35</v>
      </c>
      <c r="F2564" s="2">
        <v>3.3400000000000003</v>
      </c>
      <c r="G2564" s="6">
        <v>8</v>
      </c>
      <c r="H2564" s="6">
        <v>15</v>
      </c>
      <c r="I2564" s="6">
        <v>6</v>
      </c>
      <c r="J2564" s="6">
        <v>4</v>
      </c>
      <c r="K2564" s="6">
        <v>0</v>
      </c>
    </row>
    <row r="2565" spans="1:11" x14ac:dyDescent="0.2">
      <c r="A2565" s="1">
        <v>0.77986111111111101</v>
      </c>
      <c r="B2565" s="2">
        <v>6.12</v>
      </c>
      <c r="C2565" s="2">
        <v>3.6399999999999997</v>
      </c>
      <c r="D2565" s="2">
        <v>5.18</v>
      </c>
      <c r="E2565" s="2">
        <v>5.26</v>
      </c>
      <c r="F2565" s="2">
        <v>3.31</v>
      </c>
      <c r="G2565" s="6">
        <v>5</v>
      </c>
      <c r="H2565" s="6">
        <v>6</v>
      </c>
      <c r="I2565" s="6">
        <v>0</v>
      </c>
      <c r="J2565" s="6">
        <v>1</v>
      </c>
      <c r="K2565" s="6">
        <v>0</v>
      </c>
    </row>
    <row r="2566" spans="1:11" x14ac:dyDescent="0.2">
      <c r="A2566" s="1">
        <v>0.780555555555556</v>
      </c>
      <c r="B2566" s="2">
        <v>6.1899999999999995</v>
      </c>
      <c r="C2566" s="2">
        <v>3.78</v>
      </c>
      <c r="D2566" s="2">
        <v>5.12</v>
      </c>
      <c r="E2566" s="2">
        <v>5.31</v>
      </c>
      <c r="F2566" s="2">
        <v>3.0700000000000003</v>
      </c>
      <c r="G2566" s="6">
        <v>4</v>
      </c>
      <c r="H2566" s="6">
        <v>2</v>
      </c>
      <c r="I2566" s="6">
        <v>0</v>
      </c>
      <c r="J2566" s="6">
        <v>0</v>
      </c>
      <c r="K2566" s="6">
        <v>0</v>
      </c>
    </row>
    <row r="2567" spans="1:11" x14ac:dyDescent="0.2">
      <c r="A2567" s="1">
        <v>0.78125</v>
      </c>
      <c r="B2567" s="2">
        <v>6.16</v>
      </c>
      <c r="C2567" s="2">
        <v>3.83</v>
      </c>
      <c r="D2567" s="2">
        <v>5.34</v>
      </c>
      <c r="E2567" s="2">
        <v>5.45</v>
      </c>
      <c r="F2567" s="2">
        <v>3.22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</row>
    <row r="2568" spans="1:11" x14ac:dyDescent="0.2">
      <c r="A2568" s="1">
        <v>0.781944444444444</v>
      </c>
      <c r="B2568" s="2">
        <v>6.26</v>
      </c>
      <c r="C2568" s="2">
        <v>3.6999999999999997</v>
      </c>
      <c r="D2568" s="2">
        <v>4.91</v>
      </c>
      <c r="E2568" s="2">
        <v>5.32</v>
      </c>
      <c r="F2568" s="2">
        <v>2.97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</row>
    <row r="2569" spans="1:11" x14ac:dyDescent="0.2">
      <c r="A2569" s="1">
        <v>0.78263888888888899</v>
      </c>
      <c r="B2569" s="2">
        <v>6.24</v>
      </c>
      <c r="C2569" s="2">
        <v>3.77</v>
      </c>
      <c r="D2569" s="2">
        <v>5.01</v>
      </c>
      <c r="E2569" s="2">
        <v>5.43</v>
      </c>
      <c r="F2569" s="2">
        <v>3.31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</row>
    <row r="2570" spans="1:11" x14ac:dyDescent="0.2">
      <c r="A2570" s="1">
        <v>0.78333333333333299</v>
      </c>
      <c r="B2570" s="2">
        <v>6.13</v>
      </c>
      <c r="C2570" s="2">
        <v>3.6799999999999997</v>
      </c>
      <c r="D2570" s="2">
        <v>5.33</v>
      </c>
      <c r="E2570" s="2">
        <v>5.44</v>
      </c>
      <c r="F2570" s="2">
        <v>3.3600000000000003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</row>
    <row r="2571" spans="1:11" x14ac:dyDescent="0.2">
      <c r="A2571" s="1">
        <v>0.78402777777777799</v>
      </c>
      <c r="B2571" s="2">
        <v>6.31</v>
      </c>
      <c r="C2571" s="2">
        <v>3.67</v>
      </c>
      <c r="D2571" s="2">
        <v>5.2700000000000005</v>
      </c>
      <c r="E2571" s="2">
        <v>5.31</v>
      </c>
      <c r="F2571" s="2">
        <v>3.12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</row>
    <row r="2572" spans="1:11" x14ac:dyDescent="0.2">
      <c r="A2572" s="1">
        <v>0.78472222222222199</v>
      </c>
      <c r="B2572" s="2">
        <v>6.2</v>
      </c>
      <c r="C2572" s="2">
        <v>3.86</v>
      </c>
      <c r="D2572" s="2">
        <v>5.13</v>
      </c>
      <c r="E2572" s="2">
        <v>5.09</v>
      </c>
      <c r="F2572" s="2">
        <v>3.14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</row>
    <row r="2573" spans="1:11" x14ac:dyDescent="0.2">
      <c r="A2573" s="1">
        <v>0.78541666666666698</v>
      </c>
      <c r="B2573" s="2">
        <v>6.09</v>
      </c>
      <c r="C2573" s="2">
        <v>3.6799999999999997</v>
      </c>
      <c r="D2573" s="2">
        <v>4.92</v>
      </c>
      <c r="E2573" s="2">
        <v>5.54</v>
      </c>
      <c r="F2573" s="2">
        <v>3.27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</row>
    <row r="2574" spans="1:11" x14ac:dyDescent="0.2">
      <c r="A2574" s="1">
        <v>0.78611111111111098</v>
      </c>
      <c r="B2574" s="2">
        <v>6.1899999999999995</v>
      </c>
      <c r="C2574" s="2">
        <v>3.69</v>
      </c>
      <c r="D2574" s="2">
        <v>4.9800000000000004</v>
      </c>
      <c r="E2574" s="2">
        <v>5.62</v>
      </c>
      <c r="F2574" s="2">
        <v>3.2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</row>
    <row r="2575" spans="1:11" x14ac:dyDescent="0.2">
      <c r="A2575" s="1">
        <v>0.78680555555555598</v>
      </c>
      <c r="B2575" s="2">
        <v>6.21</v>
      </c>
      <c r="C2575" s="2">
        <v>3.5999999999999996</v>
      </c>
      <c r="D2575" s="2">
        <v>5.18</v>
      </c>
      <c r="E2575" s="2">
        <v>5.47</v>
      </c>
      <c r="F2575" s="2">
        <v>2.98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</row>
    <row r="2576" spans="1:11" x14ac:dyDescent="0.2">
      <c r="A2576" s="1">
        <v>0.78749999999999998</v>
      </c>
      <c r="B2576" s="2">
        <v>6.31</v>
      </c>
      <c r="C2576" s="2">
        <v>3.6399999999999997</v>
      </c>
      <c r="D2576" s="2">
        <v>5.33</v>
      </c>
      <c r="E2576" s="2">
        <v>5.45</v>
      </c>
      <c r="F2576" s="2">
        <v>2.95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</row>
    <row r="2577" spans="1:11" x14ac:dyDescent="0.2">
      <c r="A2577" s="1">
        <v>0.78819444444444398</v>
      </c>
      <c r="B2577" s="2">
        <v>6.17</v>
      </c>
      <c r="C2577" s="2">
        <v>3.65</v>
      </c>
      <c r="D2577" s="2">
        <v>5.17</v>
      </c>
      <c r="E2577" s="2">
        <v>5.49</v>
      </c>
      <c r="F2577" s="2">
        <v>3.2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</row>
    <row r="2578" spans="1:11" x14ac:dyDescent="0.2">
      <c r="A2578" s="1">
        <v>0.78888888888888897</v>
      </c>
      <c r="B2578" s="2">
        <v>6.25</v>
      </c>
      <c r="C2578" s="2">
        <v>3.88</v>
      </c>
      <c r="D2578" s="2">
        <v>4.91</v>
      </c>
      <c r="E2578" s="2">
        <v>5.49</v>
      </c>
      <c r="F2578" s="2">
        <v>3.39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</row>
    <row r="2579" spans="1:11" x14ac:dyDescent="0.2">
      <c r="A2579" s="1">
        <v>0.78958333333333297</v>
      </c>
      <c r="B2579" s="2">
        <v>6.12</v>
      </c>
      <c r="C2579" s="2">
        <v>3.71</v>
      </c>
      <c r="D2579" s="2">
        <v>5.05</v>
      </c>
      <c r="E2579" s="2">
        <v>5.46</v>
      </c>
      <c r="F2579" s="2">
        <v>3.17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</row>
    <row r="2580" spans="1:11" x14ac:dyDescent="0.2">
      <c r="A2580" s="1">
        <v>0.79027777777777797</v>
      </c>
      <c r="B2580" s="2">
        <v>6.14</v>
      </c>
      <c r="C2580" s="2">
        <v>3.83</v>
      </c>
      <c r="D2580" s="2">
        <v>5.34</v>
      </c>
      <c r="E2580" s="2">
        <v>5.47</v>
      </c>
      <c r="F2580" s="2">
        <v>2.87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</row>
    <row r="2581" spans="1:11" x14ac:dyDescent="0.2">
      <c r="A2581" s="1">
        <v>0.79097222222222197</v>
      </c>
      <c r="B2581" s="2">
        <v>6.12</v>
      </c>
      <c r="C2581" s="2">
        <v>3.75</v>
      </c>
      <c r="D2581" s="2">
        <v>5.37</v>
      </c>
      <c r="E2581" s="2">
        <v>5.61</v>
      </c>
      <c r="F2581" s="2">
        <v>3.13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</row>
    <row r="2582" spans="1:11" x14ac:dyDescent="0.2">
      <c r="A2582" s="3">
        <v>0.79166666666666696</v>
      </c>
      <c r="B2582" s="2">
        <v>6.21</v>
      </c>
      <c r="C2582" s="2">
        <v>3.75</v>
      </c>
      <c r="D2582" s="2">
        <v>5.1100000000000003</v>
      </c>
      <c r="E2582" s="2">
        <v>5.34</v>
      </c>
      <c r="F2582" s="2">
        <v>3.19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</row>
    <row r="2583" spans="1:11" x14ac:dyDescent="0.2">
      <c r="A2583" s="1">
        <v>0.79236111111111096</v>
      </c>
      <c r="B2583" s="2">
        <v>6.3599999999999994</v>
      </c>
      <c r="C2583" s="2">
        <v>3.6799999999999997</v>
      </c>
      <c r="D2583" s="2">
        <v>5.22</v>
      </c>
      <c r="E2583" s="2">
        <v>5.12</v>
      </c>
      <c r="F2583" s="2">
        <v>2.95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</row>
    <row r="2584" spans="1:11" x14ac:dyDescent="0.2">
      <c r="A2584" s="1">
        <v>0.79305555555555596</v>
      </c>
      <c r="B2584" s="2">
        <v>6.17</v>
      </c>
      <c r="C2584" s="2">
        <v>3.76</v>
      </c>
      <c r="D2584" s="2">
        <v>5.1000000000000005</v>
      </c>
      <c r="E2584" s="2">
        <v>5.59</v>
      </c>
      <c r="F2584" s="2">
        <v>3.14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</row>
    <row r="2585" spans="1:11" x14ac:dyDescent="0.2">
      <c r="A2585" s="1">
        <v>0.79374999999999996</v>
      </c>
      <c r="B2585" s="2">
        <v>6.33</v>
      </c>
      <c r="C2585" s="2">
        <v>3.5999999999999996</v>
      </c>
      <c r="D2585" s="2">
        <v>5.29</v>
      </c>
      <c r="E2585" s="2">
        <v>5.14</v>
      </c>
      <c r="F2585" s="2">
        <v>2.93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</row>
    <row r="2586" spans="1:11" x14ac:dyDescent="0.2">
      <c r="A2586" s="1">
        <v>0.79444444444444495</v>
      </c>
      <c r="B2586" s="2">
        <v>6.1499999999999995</v>
      </c>
      <c r="C2586" s="2">
        <v>3.82</v>
      </c>
      <c r="D2586" s="2">
        <v>4.9800000000000004</v>
      </c>
      <c r="E2586" s="2">
        <v>5.69</v>
      </c>
      <c r="F2586" s="2">
        <v>3.2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</row>
    <row r="2587" spans="1:11" x14ac:dyDescent="0.2">
      <c r="A2587" s="1">
        <v>0.79513888888888895</v>
      </c>
      <c r="B2587" s="2">
        <v>6.31</v>
      </c>
      <c r="C2587" s="2">
        <v>3.6999999999999997</v>
      </c>
      <c r="D2587" s="2">
        <v>4.92</v>
      </c>
      <c r="E2587" s="2">
        <v>5.1100000000000003</v>
      </c>
      <c r="F2587" s="2">
        <v>3.2800000000000002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</row>
    <row r="2588" spans="1:11" x14ac:dyDescent="0.2">
      <c r="A2588" s="1">
        <v>0.79583333333333295</v>
      </c>
      <c r="B2588" s="2">
        <v>6.18</v>
      </c>
      <c r="C2588" s="2">
        <v>3.7399999999999998</v>
      </c>
      <c r="D2588" s="2">
        <v>4.97</v>
      </c>
      <c r="E2588" s="2">
        <v>5.38</v>
      </c>
      <c r="F2588" s="2">
        <v>3.02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</row>
    <row r="2589" spans="1:11" x14ac:dyDescent="0.2">
      <c r="A2589" s="1">
        <v>0.79652777777777795</v>
      </c>
      <c r="B2589" s="2">
        <v>6.2299999999999995</v>
      </c>
      <c r="C2589" s="2">
        <v>3.84</v>
      </c>
      <c r="D2589" s="2">
        <v>5.3100000000000005</v>
      </c>
      <c r="E2589" s="2">
        <v>5.2</v>
      </c>
      <c r="F2589" s="2">
        <v>2.95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</row>
    <row r="2590" spans="1:11" x14ac:dyDescent="0.2">
      <c r="A2590" s="1">
        <v>0.79722222222222205</v>
      </c>
      <c r="B2590" s="2">
        <v>6.1499999999999995</v>
      </c>
      <c r="C2590" s="2">
        <v>3.76</v>
      </c>
      <c r="D2590" s="2">
        <v>5.09</v>
      </c>
      <c r="E2590" s="2">
        <v>5.21</v>
      </c>
      <c r="F2590" s="2">
        <v>3.24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</row>
    <row r="2591" spans="1:11" x14ac:dyDescent="0.2">
      <c r="A2591" s="1">
        <v>0.79791666666666705</v>
      </c>
      <c r="B2591" s="2">
        <v>6.22</v>
      </c>
      <c r="C2591" s="2">
        <v>3.69</v>
      </c>
      <c r="D2591" s="2">
        <v>5.25</v>
      </c>
      <c r="E2591" s="2">
        <v>5.54</v>
      </c>
      <c r="F2591" s="2">
        <v>3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</row>
    <row r="2592" spans="1:11" x14ac:dyDescent="0.2">
      <c r="A2592" s="1">
        <v>0.79861111111111105</v>
      </c>
      <c r="B2592" s="2">
        <v>6.27</v>
      </c>
      <c r="C2592" s="2">
        <v>3.75</v>
      </c>
      <c r="D2592" s="2">
        <v>5.18</v>
      </c>
      <c r="E2592" s="2">
        <v>5.15</v>
      </c>
      <c r="F2592" s="2">
        <v>2.89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</row>
    <row r="2593" spans="1:11" x14ac:dyDescent="0.2">
      <c r="A2593" s="1">
        <v>0.79930555555555605</v>
      </c>
      <c r="B2593" s="2">
        <v>6.25</v>
      </c>
      <c r="C2593" s="2">
        <v>3.67</v>
      </c>
      <c r="D2593" s="2">
        <v>5.29</v>
      </c>
      <c r="E2593" s="2">
        <v>5.67</v>
      </c>
      <c r="F2593" s="2">
        <v>3.1500000000000004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</row>
    <row r="2594" spans="1:11" x14ac:dyDescent="0.2">
      <c r="A2594" s="1">
        <v>0.8</v>
      </c>
      <c r="B2594" s="2">
        <v>6.16</v>
      </c>
      <c r="C2594" s="2">
        <v>3.61</v>
      </c>
      <c r="D2594" s="2">
        <v>5</v>
      </c>
      <c r="E2594" s="2">
        <v>5.35</v>
      </c>
      <c r="F2594" s="2">
        <v>3.3200000000000003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</row>
    <row r="2595" spans="1:11" x14ac:dyDescent="0.2">
      <c r="A2595" s="1">
        <v>0.80069444444444404</v>
      </c>
      <c r="B2595" s="2">
        <v>6.09</v>
      </c>
      <c r="C2595" s="2">
        <v>3.84</v>
      </c>
      <c r="D2595" s="2">
        <v>5.04</v>
      </c>
      <c r="E2595" s="2">
        <v>5.61</v>
      </c>
      <c r="F2595" s="2">
        <v>2.97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</row>
    <row r="2596" spans="1:11" x14ac:dyDescent="0.2">
      <c r="A2596" s="1">
        <v>0.80138888888888904</v>
      </c>
      <c r="B2596" s="2">
        <v>6.22</v>
      </c>
      <c r="C2596" s="2">
        <v>3.7399999999999998</v>
      </c>
      <c r="D2596" s="2">
        <v>5.32</v>
      </c>
      <c r="E2596" s="2">
        <v>5.09</v>
      </c>
      <c r="F2596" s="2">
        <v>3.0300000000000002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</row>
    <row r="2597" spans="1:11" x14ac:dyDescent="0.2">
      <c r="A2597" s="1">
        <v>0.80208333333333304</v>
      </c>
      <c r="B2597" s="2">
        <v>6.13</v>
      </c>
      <c r="C2597" s="2">
        <v>3.6799999999999997</v>
      </c>
      <c r="D2597" s="2">
        <v>4.91</v>
      </c>
      <c r="E2597" s="2">
        <v>5.66</v>
      </c>
      <c r="F2597" s="2">
        <v>3.27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</row>
    <row r="2598" spans="1:11" x14ac:dyDescent="0.2">
      <c r="A2598" s="1">
        <v>0.80277777777777803</v>
      </c>
      <c r="B2598" s="2">
        <v>6.25</v>
      </c>
      <c r="C2598" s="2">
        <v>3.77</v>
      </c>
      <c r="D2598" s="2">
        <v>5.09</v>
      </c>
      <c r="E2598" s="2">
        <v>5.46</v>
      </c>
      <c r="F2598" s="2">
        <v>3.0700000000000003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</row>
    <row r="2599" spans="1:11" x14ac:dyDescent="0.2">
      <c r="A2599" s="1">
        <v>0.80347222222222203</v>
      </c>
      <c r="B2599" s="2">
        <v>6.3599999999999994</v>
      </c>
      <c r="C2599" s="2">
        <v>3.8</v>
      </c>
      <c r="D2599" s="2">
        <v>4.99</v>
      </c>
      <c r="E2599" s="2">
        <v>5.17</v>
      </c>
      <c r="F2599" s="2">
        <v>3.0100000000000002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</row>
    <row r="2600" spans="1:11" x14ac:dyDescent="0.2">
      <c r="A2600" s="1">
        <v>0.80416666666666703</v>
      </c>
      <c r="B2600" s="2">
        <v>6.12</v>
      </c>
      <c r="C2600" s="2">
        <v>3.79</v>
      </c>
      <c r="D2600" s="2">
        <v>5.01</v>
      </c>
      <c r="E2600" s="2">
        <v>5.44</v>
      </c>
      <c r="F2600" s="2">
        <v>3.0500000000000003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</row>
    <row r="2601" spans="1:11" x14ac:dyDescent="0.2">
      <c r="A2601" s="1">
        <v>0.80486111111111103</v>
      </c>
      <c r="B2601" s="2">
        <v>6.14</v>
      </c>
      <c r="C2601" s="2">
        <v>3.76</v>
      </c>
      <c r="D2601" s="2">
        <v>5.37</v>
      </c>
      <c r="E2601" s="2">
        <v>5.51</v>
      </c>
      <c r="F2601" s="2">
        <v>2.93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</row>
    <row r="2602" spans="1:11" x14ac:dyDescent="0.2">
      <c r="A2602" s="1">
        <v>0.80555555555555602</v>
      </c>
      <c r="B2602" s="2">
        <v>6.09</v>
      </c>
      <c r="C2602" s="2">
        <v>3.7399999999999998</v>
      </c>
      <c r="D2602" s="2">
        <v>5.24</v>
      </c>
      <c r="E2602" s="2">
        <v>5.48</v>
      </c>
      <c r="F2602" s="2">
        <v>2.99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</row>
    <row r="2603" spans="1:11" x14ac:dyDescent="0.2">
      <c r="A2603" s="1">
        <v>0.80625000000000002</v>
      </c>
      <c r="B2603" s="2">
        <v>6.14</v>
      </c>
      <c r="C2603" s="2">
        <v>3.61</v>
      </c>
      <c r="D2603" s="2">
        <v>5.19</v>
      </c>
      <c r="E2603" s="2">
        <v>5.2</v>
      </c>
      <c r="F2603" s="2">
        <v>2.98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</row>
    <row r="2604" spans="1:11" x14ac:dyDescent="0.2">
      <c r="A2604" s="1">
        <v>0.80694444444444402</v>
      </c>
      <c r="B2604" s="2">
        <v>6.3599999999999994</v>
      </c>
      <c r="C2604" s="2">
        <v>3.77</v>
      </c>
      <c r="D2604" s="2">
        <v>5.09</v>
      </c>
      <c r="E2604" s="2">
        <v>5.31</v>
      </c>
      <c r="F2604" s="2">
        <v>3.0100000000000002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</row>
    <row r="2605" spans="1:11" x14ac:dyDescent="0.2">
      <c r="A2605" s="1">
        <v>0.80763888888888902</v>
      </c>
      <c r="B2605" s="2">
        <v>6.14</v>
      </c>
      <c r="C2605" s="2">
        <v>3.63</v>
      </c>
      <c r="D2605" s="2">
        <v>5.21</v>
      </c>
      <c r="E2605" s="2">
        <v>5.5</v>
      </c>
      <c r="F2605" s="2">
        <v>3.0100000000000002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</row>
    <row r="2606" spans="1:11" x14ac:dyDescent="0.2">
      <c r="A2606" s="1">
        <v>0.80833333333333302</v>
      </c>
      <c r="B2606" s="2">
        <v>6.27</v>
      </c>
      <c r="C2606" s="2">
        <v>3.87</v>
      </c>
      <c r="D2606" s="2">
        <v>5.12</v>
      </c>
      <c r="E2606" s="2">
        <v>5.47</v>
      </c>
      <c r="F2606" s="2">
        <v>3.0100000000000002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</row>
    <row r="2607" spans="1:11" x14ac:dyDescent="0.2">
      <c r="A2607" s="1">
        <v>0.80902777777777801</v>
      </c>
      <c r="B2607" s="2">
        <v>6.3</v>
      </c>
      <c r="C2607" s="2">
        <v>3.76</v>
      </c>
      <c r="D2607" s="2">
        <v>4.93</v>
      </c>
      <c r="E2607" s="2">
        <v>5.51</v>
      </c>
      <c r="F2607" s="2">
        <v>2.87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</row>
    <row r="2608" spans="1:11" x14ac:dyDescent="0.2">
      <c r="A2608" s="1">
        <v>0.80972222222222201</v>
      </c>
      <c r="B2608" s="2">
        <v>6.3599999999999994</v>
      </c>
      <c r="C2608" s="2">
        <v>3.88</v>
      </c>
      <c r="D2608" s="2">
        <v>4.87</v>
      </c>
      <c r="E2608" s="2">
        <v>5.12</v>
      </c>
      <c r="F2608" s="2">
        <v>3.14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</row>
    <row r="2609" spans="1:11" x14ac:dyDescent="0.2">
      <c r="A2609" s="1">
        <v>0.81041666666666701</v>
      </c>
      <c r="B2609" s="2">
        <v>6.14</v>
      </c>
      <c r="C2609" s="2">
        <v>3.7199999999999998</v>
      </c>
      <c r="D2609" s="2">
        <v>4.9800000000000004</v>
      </c>
      <c r="E2609" s="2">
        <v>5.48</v>
      </c>
      <c r="F2609" s="2">
        <v>2.88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</row>
    <row r="2610" spans="1:11" x14ac:dyDescent="0.2">
      <c r="A2610" s="1">
        <v>0.81111111111111101</v>
      </c>
      <c r="B2610" s="2">
        <v>6.31</v>
      </c>
      <c r="C2610" s="2">
        <v>3.86</v>
      </c>
      <c r="D2610" s="2">
        <v>5.0600000000000005</v>
      </c>
      <c r="E2610" s="2">
        <v>5.41</v>
      </c>
      <c r="F2610" s="2">
        <v>3.2800000000000002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</row>
    <row r="2611" spans="1:11" x14ac:dyDescent="0.2">
      <c r="A2611" s="1">
        <v>0.811805555555556</v>
      </c>
      <c r="B2611" s="2">
        <v>6.1</v>
      </c>
      <c r="C2611" s="2">
        <v>3.63</v>
      </c>
      <c r="D2611" s="2">
        <v>4.99</v>
      </c>
      <c r="E2611" s="2">
        <v>5.53</v>
      </c>
      <c r="F2611" s="2">
        <v>3.02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</row>
    <row r="2612" spans="1:11" x14ac:dyDescent="0.2">
      <c r="A2612" s="1">
        <v>0.8125</v>
      </c>
      <c r="B2612" s="2">
        <v>6.1099999999999994</v>
      </c>
      <c r="C2612" s="2">
        <v>3.59</v>
      </c>
      <c r="D2612" s="2">
        <v>5.17</v>
      </c>
      <c r="E2612" s="2">
        <v>5.0199999999999996</v>
      </c>
      <c r="F2612" s="2">
        <v>3.0700000000000003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</row>
    <row r="2613" spans="1:11" x14ac:dyDescent="0.2">
      <c r="A2613" s="1">
        <v>0.813194444444444</v>
      </c>
      <c r="B2613" s="2">
        <v>6.13</v>
      </c>
      <c r="C2613" s="2">
        <v>3.73</v>
      </c>
      <c r="D2613" s="2">
        <v>5.3100000000000005</v>
      </c>
      <c r="E2613" s="2">
        <v>5.36</v>
      </c>
      <c r="F2613" s="2">
        <v>3.14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</row>
    <row r="2614" spans="1:11" x14ac:dyDescent="0.2">
      <c r="A2614" s="1">
        <v>0.81388888888888899</v>
      </c>
      <c r="B2614" s="2">
        <v>6.1499999999999995</v>
      </c>
      <c r="C2614" s="2">
        <v>3.8499999999999996</v>
      </c>
      <c r="D2614" s="2">
        <v>5.07</v>
      </c>
      <c r="E2614" s="2">
        <v>5.08</v>
      </c>
      <c r="F2614" s="2">
        <v>3.02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</row>
    <row r="2615" spans="1:11" x14ac:dyDescent="0.2">
      <c r="A2615" s="1">
        <v>0.81458333333333299</v>
      </c>
      <c r="B2615" s="2">
        <v>6.12</v>
      </c>
      <c r="C2615" s="2">
        <v>3.78</v>
      </c>
      <c r="D2615" s="2">
        <v>5.1400000000000006</v>
      </c>
      <c r="E2615" s="2">
        <v>5.25</v>
      </c>
      <c r="F2615" s="2">
        <v>2.93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</row>
    <row r="2616" spans="1:11" x14ac:dyDescent="0.2">
      <c r="A2616" s="1">
        <v>0.81527777777777799</v>
      </c>
      <c r="B2616" s="2">
        <v>6.13</v>
      </c>
      <c r="C2616" s="2">
        <v>3.8499999999999996</v>
      </c>
      <c r="D2616" s="2">
        <v>5.32</v>
      </c>
      <c r="E2616" s="2">
        <v>5.64</v>
      </c>
      <c r="F2616" s="2">
        <v>2.87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</row>
    <row r="2617" spans="1:11" x14ac:dyDescent="0.2">
      <c r="A2617" s="1">
        <v>0.81597222222222199</v>
      </c>
      <c r="B2617" s="2">
        <v>6.1899999999999995</v>
      </c>
      <c r="C2617" s="2">
        <v>3.6399999999999997</v>
      </c>
      <c r="D2617" s="2">
        <v>5.22</v>
      </c>
      <c r="E2617" s="2">
        <v>5.07</v>
      </c>
      <c r="F2617" s="2">
        <v>3.0900000000000003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</row>
    <row r="2618" spans="1:11" x14ac:dyDescent="0.2">
      <c r="A2618" s="1">
        <v>0.81666666666666698</v>
      </c>
      <c r="B2618" s="2">
        <v>6.24</v>
      </c>
      <c r="C2618" s="2">
        <v>3.63</v>
      </c>
      <c r="D2618" s="2">
        <v>4.9400000000000004</v>
      </c>
      <c r="E2618" s="2">
        <v>5.59</v>
      </c>
      <c r="F2618" s="2">
        <v>3.13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</row>
    <row r="2619" spans="1:11" x14ac:dyDescent="0.2">
      <c r="A2619" s="1">
        <v>0.81736111111111098</v>
      </c>
      <c r="B2619" s="2">
        <v>6.2</v>
      </c>
      <c r="C2619" s="2">
        <v>3.88</v>
      </c>
      <c r="D2619" s="2">
        <v>5.26</v>
      </c>
      <c r="E2619" s="2">
        <v>5.6</v>
      </c>
      <c r="F2619" s="2">
        <v>3.37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</row>
    <row r="2620" spans="1:11" x14ac:dyDescent="0.2">
      <c r="A2620" s="1">
        <v>0.81805555555555598</v>
      </c>
      <c r="B2620" s="2">
        <v>6.35</v>
      </c>
      <c r="C2620" s="2">
        <v>3.75</v>
      </c>
      <c r="D2620" s="2">
        <v>5.36</v>
      </c>
      <c r="E2620" s="2">
        <v>5.43</v>
      </c>
      <c r="F2620" s="2">
        <v>3.1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</row>
    <row r="2621" spans="1:11" x14ac:dyDescent="0.2">
      <c r="A2621" s="1">
        <v>0.81874999999999998</v>
      </c>
      <c r="B2621" s="2">
        <v>6.18</v>
      </c>
      <c r="C2621" s="2">
        <v>3.6599999999999997</v>
      </c>
      <c r="D2621" s="2">
        <v>5.07</v>
      </c>
      <c r="E2621" s="2">
        <v>5.44</v>
      </c>
      <c r="F2621" s="2">
        <v>3.2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</row>
    <row r="2622" spans="1:11" x14ac:dyDescent="0.2">
      <c r="A2622" s="1">
        <v>0.81944444444444497</v>
      </c>
      <c r="B2622" s="2">
        <v>6.35</v>
      </c>
      <c r="C2622" s="2">
        <v>3.88</v>
      </c>
      <c r="D2622" s="2">
        <v>5.0600000000000005</v>
      </c>
      <c r="E2622" s="2">
        <v>5.43</v>
      </c>
      <c r="F2622" s="2">
        <v>3.19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</row>
    <row r="2623" spans="1:11" x14ac:dyDescent="0.2">
      <c r="A2623" s="1">
        <v>0.82013888888888897</v>
      </c>
      <c r="B2623" s="2">
        <v>6.25</v>
      </c>
      <c r="C2623" s="2">
        <v>3.76</v>
      </c>
      <c r="D2623" s="2">
        <v>5</v>
      </c>
      <c r="E2623" s="2">
        <v>5.55</v>
      </c>
      <c r="F2623" s="2">
        <v>3.25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</row>
    <row r="2624" spans="1:11" x14ac:dyDescent="0.2">
      <c r="A2624" s="1">
        <v>0.82083333333333297</v>
      </c>
      <c r="B2624" s="2">
        <v>6.2299999999999995</v>
      </c>
      <c r="C2624" s="2">
        <v>3.81</v>
      </c>
      <c r="D2624" s="2">
        <v>4.91</v>
      </c>
      <c r="E2624" s="2">
        <v>5.26</v>
      </c>
      <c r="F2624" s="2">
        <v>2.91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</row>
    <row r="2625" spans="1:11" x14ac:dyDescent="0.2">
      <c r="A2625" s="1">
        <v>0.82152777777777797</v>
      </c>
      <c r="B2625" s="2">
        <v>6.26</v>
      </c>
      <c r="C2625" s="2">
        <v>3.5999999999999996</v>
      </c>
      <c r="D2625" s="2">
        <v>5.0600000000000005</v>
      </c>
      <c r="E2625" s="2">
        <v>5.66</v>
      </c>
      <c r="F2625" s="2">
        <v>2.87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</row>
    <row r="2626" spans="1:11" x14ac:dyDescent="0.2">
      <c r="A2626" s="1">
        <v>0.82222222222222197</v>
      </c>
      <c r="B2626" s="2">
        <v>6.1499999999999995</v>
      </c>
      <c r="C2626" s="2">
        <v>3.77</v>
      </c>
      <c r="D2626" s="2">
        <v>5.23</v>
      </c>
      <c r="E2626" s="2">
        <v>5.12</v>
      </c>
      <c r="F2626" s="2">
        <v>3.29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</row>
    <row r="2627" spans="1:11" x14ac:dyDescent="0.2">
      <c r="A2627" s="1">
        <v>0.82291666666666696</v>
      </c>
      <c r="B2627" s="2">
        <v>6.27</v>
      </c>
      <c r="C2627" s="2">
        <v>3.8</v>
      </c>
      <c r="D2627" s="2">
        <v>5.25</v>
      </c>
      <c r="E2627" s="2">
        <v>5.66</v>
      </c>
      <c r="F2627" s="2">
        <v>3.1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</row>
    <row r="2628" spans="1:11" x14ac:dyDescent="0.2">
      <c r="A2628" s="1">
        <v>0.82361111111111096</v>
      </c>
      <c r="B2628" s="2">
        <v>6.32</v>
      </c>
      <c r="C2628" s="2">
        <v>3.67</v>
      </c>
      <c r="D2628" s="2">
        <v>5.09</v>
      </c>
      <c r="E2628" s="2">
        <v>5.45</v>
      </c>
      <c r="F2628" s="2">
        <v>3.0300000000000002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</row>
    <row r="2629" spans="1:11" x14ac:dyDescent="0.2">
      <c r="A2629" s="1">
        <v>0.82430555555555596</v>
      </c>
      <c r="B2629" s="2">
        <v>6.16</v>
      </c>
      <c r="C2629" s="2">
        <v>3.83</v>
      </c>
      <c r="D2629" s="2">
        <v>4.9000000000000004</v>
      </c>
      <c r="E2629" s="2">
        <v>5.18</v>
      </c>
      <c r="F2629" s="2">
        <v>3.13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</row>
    <row r="2630" spans="1:11" x14ac:dyDescent="0.2">
      <c r="A2630" s="1">
        <v>0.82499999999999996</v>
      </c>
      <c r="B2630" s="2">
        <v>6.33</v>
      </c>
      <c r="C2630" s="2">
        <v>3.8</v>
      </c>
      <c r="D2630" s="2">
        <v>5.2</v>
      </c>
      <c r="E2630" s="2">
        <v>5.0599999999999996</v>
      </c>
      <c r="F2630" s="2">
        <v>2.89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</row>
    <row r="2631" spans="1:11" x14ac:dyDescent="0.2">
      <c r="A2631" s="1">
        <v>0.82569444444444495</v>
      </c>
      <c r="B2631" s="2">
        <v>6.22</v>
      </c>
      <c r="C2631" s="2">
        <v>3.77</v>
      </c>
      <c r="D2631" s="2">
        <v>4.9800000000000004</v>
      </c>
      <c r="E2631" s="2">
        <v>5.49</v>
      </c>
      <c r="F2631" s="2">
        <v>3.2800000000000002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</row>
    <row r="2632" spans="1:11" x14ac:dyDescent="0.2">
      <c r="A2632" s="1">
        <v>0.82638888888888895</v>
      </c>
      <c r="B2632" s="2">
        <v>6.2299999999999995</v>
      </c>
      <c r="C2632" s="2">
        <v>3.71</v>
      </c>
      <c r="D2632" s="2">
        <v>5.0600000000000005</v>
      </c>
      <c r="E2632" s="2">
        <v>5.03</v>
      </c>
      <c r="F2632" s="2">
        <v>3.0500000000000003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</row>
    <row r="2633" spans="1:11" x14ac:dyDescent="0.2">
      <c r="A2633" s="1">
        <v>0.82708333333333295</v>
      </c>
      <c r="B2633" s="2">
        <v>6.14</v>
      </c>
      <c r="C2633" s="2">
        <v>3.61</v>
      </c>
      <c r="D2633" s="2">
        <v>5.1100000000000003</v>
      </c>
      <c r="E2633" s="2">
        <v>5.15</v>
      </c>
      <c r="F2633" s="2">
        <v>3.1100000000000003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</row>
    <row r="2634" spans="1:11" x14ac:dyDescent="0.2">
      <c r="A2634" s="1">
        <v>0.82777777777777795</v>
      </c>
      <c r="B2634" s="2">
        <v>6.24</v>
      </c>
      <c r="C2634" s="2">
        <v>3.86</v>
      </c>
      <c r="D2634" s="2">
        <v>5.33</v>
      </c>
      <c r="E2634" s="2">
        <v>5.62</v>
      </c>
      <c r="F2634" s="2">
        <v>2.9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</row>
    <row r="2635" spans="1:11" x14ac:dyDescent="0.2">
      <c r="A2635" s="1">
        <v>0.82847222222222205</v>
      </c>
      <c r="B2635" s="2">
        <v>6.16</v>
      </c>
      <c r="C2635" s="2">
        <v>3.67</v>
      </c>
      <c r="D2635" s="2">
        <v>4.9400000000000004</v>
      </c>
      <c r="E2635" s="2">
        <v>5.43</v>
      </c>
      <c r="F2635" s="2">
        <v>2.92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</row>
    <row r="2636" spans="1:11" x14ac:dyDescent="0.2">
      <c r="A2636" s="1">
        <v>0.82916666666666705</v>
      </c>
      <c r="B2636" s="2">
        <v>6.34</v>
      </c>
      <c r="C2636" s="2">
        <v>3.86</v>
      </c>
      <c r="D2636" s="2">
        <v>5.26</v>
      </c>
      <c r="E2636" s="2">
        <v>5.53</v>
      </c>
      <c r="F2636" s="2">
        <v>3.1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</row>
    <row r="2637" spans="1:11" x14ac:dyDescent="0.2">
      <c r="A2637" s="1">
        <v>0.82986111111111105</v>
      </c>
      <c r="B2637" s="2">
        <v>6.1</v>
      </c>
      <c r="C2637" s="2">
        <v>3.71</v>
      </c>
      <c r="D2637" s="2">
        <v>4.93</v>
      </c>
      <c r="E2637" s="2">
        <v>5.69</v>
      </c>
      <c r="F2637" s="2">
        <v>3.0100000000000002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</row>
    <row r="2638" spans="1:11" x14ac:dyDescent="0.2">
      <c r="A2638" s="1">
        <v>0.83055555555555605</v>
      </c>
      <c r="B2638" s="2">
        <v>6.33</v>
      </c>
      <c r="C2638" s="2">
        <v>3.83</v>
      </c>
      <c r="D2638" s="2">
        <v>5.3100000000000005</v>
      </c>
      <c r="E2638" s="2">
        <v>5.24</v>
      </c>
      <c r="F2638" s="2">
        <v>3.21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</row>
    <row r="2639" spans="1:11" x14ac:dyDescent="0.2">
      <c r="A2639" s="1">
        <v>0.83125000000000004</v>
      </c>
      <c r="B2639" s="2">
        <v>6.2299999999999995</v>
      </c>
      <c r="C2639" s="2">
        <v>3.59</v>
      </c>
      <c r="D2639" s="2">
        <v>5.35</v>
      </c>
      <c r="E2639" s="2">
        <v>5.18</v>
      </c>
      <c r="F2639" s="2">
        <v>3.2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</row>
    <row r="2640" spans="1:11" x14ac:dyDescent="0.2">
      <c r="A2640" s="1">
        <v>0.83194444444444404</v>
      </c>
      <c r="B2640" s="2">
        <v>6.2299999999999995</v>
      </c>
      <c r="C2640" s="2">
        <v>3.79</v>
      </c>
      <c r="D2640" s="2">
        <v>5.18</v>
      </c>
      <c r="E2640" s="2">
        <v>5.61</v>
      </c>
      <c r="F2640" s="2">
        <v>2.99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</row>
    <row r="2641" spans="1:11" x14ac:dyDescent="0.2">
      <c r="A2641" s="1">
        <v>0.83263888888888904</v>
      </c>
      <c r="B2641" s="2">
        <v>6.16</v>
      </c>
      <c r="C2641" s="2">
        <v>3.6999999999999997</v>
      </c>
      <c r="D2641" s="2">
        <v>5.36</v>
      </c>
      <c r="E2641" s="2">
        <v>5.49</v>
      </c>
      <c r="F2641" s="2">
        <v>2.89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</row>
    <row r="2642" spans="1:11" x14ac:dyDescent="0.2">
      <c r="A2642" s="3">
        <v>0.83333333333333304</v>
      </c>
      <c r="B2642" s="2">
        <v>6.22</v>
      </c>
      <c r="C2642" s="2">
        <v>3.75</v>
      </c>
      <c r="D2642" s="2">
        <v>5.1100000000000003</v>
      </c>
      <c r="E2642" s="2">
        <v>5.35</v>
      </c>
      <c r="F2642" s="2">
        <v>3.19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</row>
    <row r="2643" spans="1:11" x14ac:dyDescent="0.2">
      <c r="A2643" s="1">
        <v>0.83402777777777803</v>
      </c>
      <c r="B2643" s="2">
        <v>6.35</v>
      </c>
      <c r="C2643" s="2">
        <v>3.7199999999999998</v>
      </c>
      <c r="D2643" s="2">
        <v>5.32</v>
      </c>
      <c r="E2643" s="2">
        <v>5.0599999999999996</v>
      </c>
      <c r="F2643" s="2">
        <v>3.13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</row>
    <row r="2644" spans="1:11" x14ac:dyDescent="0.2">
      <c r="A2644" s="1">
        <v>0.83472222222222203</v>
      </c>
      <c r="B2644" s="2">
        <v>6.16</v>
      </c>
      <c r="C2644" s="2">
        <v>3.87</v>
      </c>
      <c r="D2644" s="2">
        <v>5.22</v>
      </c>
      <c r="E2644" s="2">
        <v>5.39</v>
      </c>
      <c r="F2644" s="2">
        <v>3.02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</row>
    <row r="2645" spans="1:11" x14ac:dyDescent="0.2">
      <c r="A2645" s="1">
        <v>0.83541666666666703</v>
      </c>
      <c r="B2645" s="2">
        <v>6.18</v>
      </c>
      <c r="C2645" s="2">
        <v>3.73</v>
      </c>
      <c r="D2645" s="2">
        <v>5.0200000000000005</v>
      </c>
      <c r="E2645" s="2">
        <v>5.4</v>
      </c>
      <c r="F2645" s="2">
        <v>3.35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</row>
    <row r="2646" spans="1:11" x14ac:dyDescent="0.2">
      <c r="A2646" s="1">
        <v>0.83611111111111103</v>
      </c>
      <c r="B2646" s="2">
        <v>6.32</v>
      </c>
      <c r="C2646" s="2">
        <v>3.75</v>
      </c>
      <c r="D2646" s="2">
        <v>4.9400000000000004</v>
      </c>
      <c r="E2646" s="2">
        <v>5.69</v>
      </c>
      <c r="F2646" s="2">
        <v>2.97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</row>
    <row r="2647" spans="1:11" x14ac:dyDescent="0.2">
      <c r="A2647" s="1">
        <v>0.83680555555555602</v>
      </c>
      <c r="B2647" s="2">
        <v>6.1899999999999995</v>
      </c>
      <c r="C2647" s="2">
        <v>3.73</v>
      </c>
      <c r="D2647" s="2">
        <v>5.1400000000000006</v>
      </c>
      <c r="E2647" s="2">
        <v>5.25</v>
      </c>
      <c r="F2647" s="2">
        <v>3.0700000000000003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</row>
    <row r="2648" spans="1:11" x14ac:dyDescent="0.2">
      <c r="A2648" s="1">
        <v>0.83750000000000002</v>
      </c>
      <c r="B2648" s="2">
        <v>6.14</v>
      </c>
      <c r="C2648" s="2">
        <v>3.67</v>
      </c>
      <c r="D2648" s="2">
        <v>5.33</v>
      </c>
      <c r="E2648" s="2">
        <v>5.43</v>
      </c>
      <c r="F2648" s="2">
        <v>3.0900000000000003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</row>
    <row r="2649" spans="1:11" x14ac:dyDescent="0.2">
      <c r="A2649" s="1">
        <v>0.83819444444444402</v>
      </c>
      <c r="B2649" s="2">
        <v>6.14</v>
      </c>
      <c r="C2649" s="2">
        <v>3.6799999999999997</v>
      </c>
      <c r="D2649" s="2">
        <v>5.16</v>
      </c>
      <c r="E2649" s="2">
        <v>5.08</v>
      </c>
      <c r="F2649" s="2">
        <v>3.13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</row>
    <row r="2650" spans="1:11" x14ac:dyDescent="0.2">
      <c r="A2650" s="1">
        <v>0.83888888888888902</v>
      </c>
      <c r="B2650" s="2">
        <v>6.26</v>
      </c>
      <c r="C2650" s="2">
        <v>3.78</v>
      </c>
      <c r="D2650" s="2">
        <v>5.29</v>
      </c>
      <c r="E2650" s="2">
        <v>5.35</v>
      </c>
      <c r="F2650" s="2">
        <v>3.33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</row>
    <row r="2651" spans="1:11" x14ac:dyDescent="0.2">
      <c r="A2651" s="1">
        <v>0.83958333333333302</v>
      </c>
      <c r="B2651" s="2">
        <v>6.2</v>
      </c>
      <c r="C2651" s="2">
        <v>3.6599999999999997</v>
      </c>
      <c r="D2651" s="2">
        <v>4.9800000000000004</v>
      </c>
      <c r="E2651" s="2">
        <v>5.44</v>
      </c>
      <c r="F2651" s="2">
        <v>3.0300000000000002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</row>
    <row r="2652" spans="1:11" x14ac:dyDescent="0.2">
      <c r="A2652" s="1">
        <v>0.84027777777777801</v>
      </c>
      <c r="B2652" s="2">
        <v>6.17</v>
      </c>
      <c r="C2652" s="2">
        <v>3.84</v>
      </c>
      <c r="D2652" s="2">
        <v>5.3100000000000005</v>
      </c>
      <c r="E2652" s="2">
        <v>5.45</v>
      </c>
      <c r="F2652" s="2">
        <v>3.37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</row>
    <row r="2653" spans="1:11" x14ac:dyDescent="0.2">
      <c r="A2653" s="1">
        <v>0.84097222222222201</v>
      </c>
      <c r="B2653" s="2">
        <v>6.21</v>
      </c>
      <c r="C2653" s="2">
        <v>3.6999999999999997</v>
      </c>
      <c r="D2653" s="2">
        <v>5.3</v>
      </c>
      <c r="E2653" s="2">
        <v>5.54</v>
      </c>
      <c r="F2653" s="2">
        <v>2.9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</row>
    <row r="2654" spans="1:11" x14ac:dyDescent="0.2">
      <c r="A2654" s="1">
        <v>0.84166666666666701</v>
      </c>
      <c r="B2654" s="2">
        <v>6.21</v>
      </c>
      <c r="C2654" s="2">
        <v>3.71</v>
      </c>
      <c r="D2654" s="2">
        <v>5.3100000000000005</v>
      </c>
      <c r="E2654" s="2">
        <v>5.41</v>
      </c>
      <c r="F2654" s="2">
        <v>3.31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</row>
    <row r="2655" spans="1:11" x14ac:dyDescent="0.2">
      <c r="A2655" s="1">
        <v>0.84236111111111101</v>
      </c>
      <c r="B2655" s="2">
        <v>6.17</v>
      </c>
      <c r="C2655" s="2">
        <v>3.6799999999999997</v>
      </c>
      <c r="D2655" s="2">
        <v>5.29</v>
      </c>
      <c r="E2655" s="2">
        <v>5.33</v>
      </c>
      <c r="F2655" s="2">
        <v>3.22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</row>
    <row r="2656" spans="1:11" x14ac:dyDescent="0.2">
      <c r="A2656" s="1">
        <v>0.843055555555556</v>
      </c>
      <c r="B2656" s="2">
        <v>6.28</v>
      </c>
      <c r="C2656" s="2">
        <v>3.87</v>
      </c>
      <c r="D2656" s="2">
        <v>4.91</v>
      </c>
      <c r="E2656" s="2">
        <v>5.7</v>
      </c>
      <c r="F2656" s="2">
        <v>3.08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</row>
    <row r="2657" spans="1:11" x14ac:dyDescent="0.2">
      <c r="A2657" s="1">
        <v>0.84375</v>
      </c>
      <c r="B2657" s="2">
        <v>6.1499999999999995</v>
      </c>
      <c r="C2657" s="2">
        <v>3.76</v>
      </c>
      <c r="D2657" s="2">
        <v>5.05</v>
      </c>
      <c r="E2657" s="2">
        <v>5.21</v>
      </c>
      <c r="F2657" s="2">
        <v>3.12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</row>
    <row r="2658" spans="1:11" x14ac:dyDescent="0.2">
      <c r="A2658" s="1">
        <v>0.844444444444444</v>
      </c>
      <c r="B2658" s="2">
        <v>6.18</v>
      </c>
      <c r="C2658" s="2">
        <v>3.79</v>
      </c>
      <c r="D2658" s="2">
        <v>4.8899999999999997</v>
      </c>
      <c r="E2658" s="2">
        <v>5.34</v>
      </c>
      <c r="F2658" s="2">
        <v>3.1500000000000004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</row>
    <row r="2659" spans="1:11" x14ac:dyDescent="0.2">
      <c r="A2659" s="1">
        <v>0.84513888888888899</v>
      </c>
      <c r="B2659" s="2">
        <v>6.13</v>
      </c>
      <c r="C2659" s="2">
        <v>3.6999999999999997</v>
      </c>
      <c r="D2659" s="2">
        <v>5.03</v>
      </c>
      <c r="E2659" s="2">
        <v>5.36</v>
      </c>
      <c r="F2659" s="2">
        <v>3.35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</row>
    <row r="2660" spans="1:11" x14ac:dyDescent="0.2">
      <c r="A2660" s="1">
        <v>0.84583333333333299</v>
      </c>
      <c r="B2660" s="2">
        <v>6.34</v>
      </c>
      <c r="C2660" s="2">
        <v>3.7399999999999998</v>
      </c>
      <c r="D2660" s="2">
        <v>5.19</v>
      </c>
      <c r="E2660" s="2">
        <v>5.64</v>
      </c>
      <c r="F2660" s="2">
        <v>3.33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</row>
    <row r="2661" spans="1:11" x14ac:dyDescent="0.2">
      <c r="A2661" s="1">
        <v>0.84652777777777799</v>
      </c>
      <c r="B2661" s="2">
        <v>6.28</v>
      </c>
      <c r="C2661" s="2">
        <v>3.87</v>
      </c>
      <c r="D2661" s="2">
        <v>5.22</v>
      </c>
      <c r="E2661" s="2">
        <v>5.58</v>
      </c>
      <c r="F2661" s="2">
        <v>3.2600000000000002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</row>
    <row r="2662" spans="1:11" x14ac:dyDescent="0.2">
      <c r="A2662" s="1">
        <v>0.84722222222222199</v>
      </c>
      <c r="B2662" s="2">
        <v>6.13</v>
      </c>
      <c r="C2662" s="2">
        <v>3.82</v>
      </c>
      <c r="D2662" s="2">
        <v>4.9800000000000004</v>
      </c>
      <c r="E2662" s="2">
        <v>5.33</v>
      </c>
      <c r="F2662" s="2">
        <v>2.93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</row>
    <row r="2663" spans="1:11" x14ac:dyDescent="0.2">
      <c r="A2663" s="1">
        <v>0.84791666666666698</v>
      </c>
      <c r="B2663" s="2">
        <v>6.17</v>
      </c>
      <c r="C2663" s="2">
        <v>3.79</v>
      </c>
      <c r="D2663" s="2">
        <v>5.13</v>
      </c>
      <c r="E2663" s="2">
        <v>5.18</v>
      </c>
      <c r="F2663" s="2">
        <v>3.0900000000000003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</row>
    <row r="2664" spans="1:11" x14ac:dyDescent="0.2">
      <c r="A2664" s="1">
        <v>0.84861111111111098</v>
      </c>
      <c r="B2664" s="2">
        <v>6.28</v>
      </c>
      <c r="C2664" s="2">
        <v>3.84</v>
      </c>
      <c r="D2664" s="2">
        <v>5</v>
      </c>
      <c r="E2664" s="2">
        <v>5.58</v>
      </c>
      <c r="F2664" s="2">
        <v>3.29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</row>
    <row r="2665" spans="1:11" x14ac:dyDescent="0.2">
      <c r="A2665" s="1">
        <v>0.84930555555555598</v>
      </c>
      <c r="B2665" s="2">
        <v>6.34</v>
      </c>
      <c r="C2665" s="2">
        <v>3.6599999999999997</v>
      </c>
      <c r="D2665" s="2">
        <v>5.13</v>
      </c>
      <c r="E2665" s="2">
        <v>5.53</v>
      </c>
      <c r="F2665" s="2">
        <v>3.2800000000000002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</row>
    <row r="2666" spans="1:11" x14ac:dyDescent="0.2">
      <c r="A2666" s="1">
        <v>0.85</v>
      </c>
      <c r="B2666" s="2">
        <v>6.35</v>
      </c>
      <c r="C2666" s="2">
        <v>3.61</v>
      </c>
      <c r="D2666" s="2">
        <v>5.37</v>
      </c>
      <c r="E2666" s="2">
        <v>5.54</v>
      </c>
      <c r="F2666" s="2">
        <v>3.27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</row>
    <row r="2667" spans="1:11" x14ac:dyDescent="0.2">
      <c r="A2667" s="1">
        <v>0.85069444444444497</v>
      </c>
      <c r="B2667" s="2">
        <v>6.33</v>
      </c>
      <c r="C2667" s="2">
        <v>3.78</v>
      </c>
      <c r="D2667" s="2">
        <v>5.3</v>
      </c>
      <c r="E2667" s="2">
        <v>5.23</v>
      </c>
      <c r="F2667" s="2">
        <v>3.12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</row>
    <row r="2668" spans="1:11" x14ac:dyDescent="0.2">
      <c r="A2668" s="1">
        <v>0.85138888888888897</v>
      </c>
      <c r="B2668" s="2">
        <v>6.2299999999999995</v>
      </c>
      <c r="C2668" s="2">
        <v>3.8499999999999996</v>
      </c>
      <c r="D2668" s="2">
        <v>5.19</v>
      </c>
      <c r="E2668" s="2">
        <v>5.01</v>
      </c>
      <c r="F2668" s="2">
        <v>3.3600000000000003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</row>
    <row r="2669" spans="1:11" x14ac:dyDescent="0.2">
      <c r="A2669" s="1">
        <v>0.85208333333333297</v>
      </c>
      <c r="B2669" s="2">
        <v>6.14</v>
      </c>
      <c r="C2669" s="2">
        <v>3.78</v>
      </c>
      <c r="D2669" s="2">
        <v>5.1400000000000006</v>
      </c>
      <c r="E2669" s="2">
        <v>5.1100000000000003</v>
      </c>
      <c r="F2669" s="2">
        <v>3.23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</row>
    <row r="2670" spans="1:11" x14ac:dyDescent="0.2">
      <c r="A2670" s="1">
        <v>0.85277777777777797</v>
      </c>
      <c r="B2670" s="2">
        <v>6.12</v>
      </c>
      <c r="C2670" s="2">
        <v>3.7199999999999998</v>
      </c>
      <c r="D2670" s="2">
        <v>5.22</v>
      </c>
      <c r="E2670" s="2">
        <v>5.55</v>
      </c>
      <c r="F2670" s="2">
        <v>3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</row>
    <row r="2671" spans="1:11" x14ac:dyDescent="0.2">
      <c r="A2671" s="1">
        <v>0.85347222222222197</v>
      </c>
      <c r="B2671" s="2">
        <v>6.25</v>
      </c>
      <c r="C2671" s="2">
        <v>3.79</v>
      </c>
      <c r="D2671" s="2">
        <v>5.17</v>
      </c>
      <c r="E2671" s="2">
        <v>5.55</v>
      </c>
      <c r="F2671" s="2">
        <v>3.14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</row>
    <row r="2672" spans="1:11" x14ac:dyDescent="0.2">
      <c r="A2672" s="1">
        <v>0.85416666666666696</v>
      </c>
      <c r="B2672" s="2">
        <v>6.34</v>
      </c>
      <c r="C2672" s="2">
        <v>3.6799999999999997</v>
      </c>
      <c r="D2672" s="2">
        <v>4.87</v>
      </c>
      <c r="E2672" s="2">
        <v>5.26</v>
      </c>
      <c r="F2672" s="2">
        <v>3.14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</row>
    <row r="2673" spans="1:11" x14ac:dyDescent="0.2">
      <c r="A2673" s="1">
        <v>0.85486111111111096</v>
      </c>
      <c r="B2673" s="2">
        <v>6.22</v>
      </c>
      <c r="C2673" s="2">
        <v>3.8499999999999996</v>
      </c>
      <c r="D2673" s="2">
        <v>5.3100000000000005</v>
      </c>
      <c r="E2673" s="2">
        <v>5.15</v>
      </c>
      <c r="F2673" s="2">
        <v>2.92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</row>
    <row r="2674" spans="1:11" x14ac:dyDescent="0.2">
      <c r="A2674" s="1">
        <v>0.85555555555555596</v>
      </c>
      <c r="B2674" s="2">
        <v>6.14</v>
      </c>
      <c r="C2674" s="2">
        <v>3.7399999999999998</v>
      </c>
      <c r="D2674" s="2">
        <v>5.19</v>
      </c>
      <c r="E2674" s="2">
        <v>5.41</v>
      </c>
      <c r="F2674" s="2">
        <v>3.31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</row>
    <row r="2675" spans="1:11" x14ac:dyDescent="0.2">
      <c r="A2675" s="1">
        <v>0.85624999999999996</v>
      </c>
      <c r="B2675" s="2">
        <v>6.35</v>
      </c>
      <c r="C2675" s="2">
        <v>3.73</v>
      </c>
      <c r="D2675" s="2">
        <v>4.99</v>
      </c>
      <c r="E2675" s="2">
        <v>5.55</v>
      </c>
      <c r="F2675" s="2">
        <v>3.22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</row>
    <row r="2676" spans="1:11" x14ac:dyDescent="0.2">
      <c r="A2676" s="1">
        <v>0.85694444444444495</v>
      </c>
      <c r="B2676" s="2">
        <v>6.17</v>
      </c>
      <c r="C2676" s="2">
        <v>3.6599999999999997</v>
      </c>
      <c r="D2676" s="2">
        <v>5.37</v>
      </c>
      <c r="E2676" s="2">
        <v>5.32</v>
      </c>
      <c r="F2676" s="2">
        <v>3.25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</row>
    <row r="2677" spans="1:11" x14ac:dyDescent="0.2">
      <c r="A2677" s="1">
        <v>0.85763888888888895</v>
      </c>
      <c r="B2677" s="2">
        <v>6.3599999999999994</v>
      </c>
      <c r="C2677" s="2">
        <v>3.6799999999999997</v>
      </c>
      <c r="D2677" s="2">
        <v>5.1100000000000003</v>
      </c>
      <c r="E2677" s="2">
        <v>5.68</v>
      </c>
      <c r="F2677" s="2">
        <v>3.27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</row>
    <row r="2678" spans="1:11" x14ac:dyDescent="0.2">
      <c r="A2678" s="1">
        <v>0.85833333333333295</v>
      </c>
      <c r="B2678" s="2">
        <v>6.28</v>
      </c>
      <c r="C2678" s="2">
        <v>3.77</v>
      </c>
      <c r="D2678" s="2">
        <v>5.1000000000000005</v>
      </c>
      <c r="E2678" s="2">
        <v>5.38</v>
      </c>
      <c r="F2678" s="2">
        <v>2.98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</row>
    <row r="2679" spans="1:11" x14ac:dyDescent="0.2">
      <c r="A2679" s="1">
        <v>0.85902777777777795</v>
      </c>
      <c r="B2679" s="2">
        <v>6.21</v>
      </c>
      <c r="C2679" s="2">
        <v>3.6599999999999997</v>
      </c>
      <c r="D2679" s="2">
        <v>4.92</v>
      </c>
      <c r="E2679" s="2">
        <v>5.33</v>
      </c>
      <c r="F2679" s="2">
        <v>3.14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</row>
    <row r="2680" spans="1:11" x14ac:dyDescent="0.2">
      <c r="A2680" s="1">
        <v>0.85972222222222205</v>
      </c>
      <c r="B2680" s="2">
        <v>6.1</v>
      </c>
      <c r="C2680" s="2">
        <v>3.6199999999999997</v>
      </c>
      <c r="D2680" s="2">
        <v>5.19</v>
      </c>
      <c r="E2680" s="2">
        <v>5.63</v>
      </c>
      <c r="F2680" s="2">
        <v>3.0700000000000003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</row>
    <row r="2681" spans="1:11" x14ac:dyDescent="0.2">
      <c r="A2681" s="1">
        <v>0.86041666666666705</v>
      </c>
      <c r="B2681" s="2">
        <v>6.18</v>
      </c>
      <c r="C2681" s="2">
        <v>3.77</v>
      </c>
      <c r="D2681" s="2">
        <v>5.36</v>
      </c>
      <c r="E2681" s="2">
        <v>5.27</v>
      </c>
      <c r="F2681" s="2">
        <v>3.1500000000000004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</row>
    <row r="2682" spans="1:11" x14ac:dyDescent="0.2">
      <c r="A2682" s="1">
        <v>0.86111111111111105</v>
      </c>
      <c r="B2682" s="2">
        <v>6.16</v>
      </c>
      <c r="C2682" s="2">
        <v>3.6999999999999997</v>
      </c>
      <c r="D2682" s="2">
        <v>5.32</v>
      </c>
      <c r="E2682" s="2">
        <v>5.24</v>
      </c>
      <c r="F2682" s="2">
        <v>2.88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</row>
    <row r="2683" spans="1:11" x14ac:dyDescent="0.2">
      <c r="A2683" s="1">
        <v>0.86180555555555605</v>
      </c>
      <c r="B2683" s="2">
        <v>6.14</v>
      </c>
      <c r="C2683" s="2">
        <v>3.71</v>
      </c>
      <c r="D2683" s="2">
        <v>5.01</v>
      </c>
      <c r="E2683" s="2">
        <v>5.09</v>
      </c>
      <c r="F2683" s="2">
        <v>2.91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</row>
    <row r="2684" spans="1:11" x14ac:dyDescent="0.2">
      <c r="A2684" s="1">
        <v>0.86250000000000004</v>
      </c>
      <c r="B2684" s="2">
        <v>6.26</v>
      </c>
      <c r="C2684" s="2">
        <v>3.77</v>
      </c>
      <c r="D2684" s="2">
        <v>5.28</v>
      </c>
      <c r="E2684" s="2">
        <v>5.65</v>
      </c>
      <c r="F2684" s="2">
        <v>3.35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</row>
    <row r="2685" spans="1:11" x14ac:dyDescent="0.2">
      <c r="A2685" s="1">
        <v>0.86319444444444404</v>
      </c>
      <c r="B2685" s="2">
        <v>6.2299999999999995</v>
      </c>
      <c r="C2685" s="2">
        <v>3.71</v>
      </c>
      <c r="D2685" s="2">
        <v>5.17</v>
      </c>
      <c r="E2685" s="2">
        <v>5.42</v>
      </c>
      <c r="F2685" s="2">
        <v>3.0700000000000003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</row>
    <row r="2686" spans="1:11" x14ac:dyDescent="0.2">
      <c r="A2686" s="1">
        <v>0.86388888888888904</v>
      </c>
      <c r="B2686" s="2">
        <v>6.12</v>
      </c>
      <c r="C2686" s="2">
        <v>3.69</v>
      </c>
      <c r="D2686" s="2">
        <v>5.26</v>
      </c>
      <c r="E2686" s="2">
        <v>5.12</v>
      </c>
      <c r="F2686" s="2">
        <v>3.0100000000000002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</row>
    <row r="2687" spans="1:11" x14ac:dyDescent="0.2">
      <c r="A2687" s="1">
        <v>0.86458333333333304</v>
      </c>
      <c r="B2687" s="2">
        <v>6.28</v>
      </c>
      <c r="C2687" s="2">
        <v>3.75</v>
      </c>
      <c r="D2687" s="2">
        <v>5.22</v>
      </c>
      <c r="E2687" s="2">
        <v>5.39</v>
      </c>
      <c r="F2687" s="2">
        <v>2.96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</row>
    <row r="2688" spans="1:11" x14ac:dyDescent="0.2">
      <c r="A2688" s="1">
        <v>0.86527777777777803</v>
      </c>
      <c r="B2688" s="2">
        <v>6.16</v>
      </c>
      <c r="C2688" s="2">
        <v>3.63</v>
      </c>
      <c r="D2688" s="2">
        <v>5.24</v>
      </c>
      <c r="E2688" s="2">
        <v>5.13</v>
      </c>
      <c r="F2688" s="2">
        <v>3.17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</row>
    <row r="2689" spans="1:11" x14ac:dyDescent="0.2">
      <c r="A2689" s="1">
        <v>0.86597222222222203</v>
      </c>
      <c r="B2689" s="2">
        <v>6.24</v>
      </c>
      <c r="C2689" s="2">
        <v>3.71</v>
      </c>
      <c r="D2689" s="2">
        <v>5.1400000000000006</v>
      </c>
      <c r="E2689" s="2">
        <v>5.28</v>
      </c>
      <c r="F2689" s="2">
        <v>3.37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</row>
    <row r="2690" spans="1:11" x14ac:dyDescent="0.2">
      <c r="A2690" s="1">
        <v>0.86666666666666703</v>
      </c>
      <c r="B2690" s="2">
        <v>6.25</v>
      </c>
      <c r="C2690" s="2">
        <v>3.61</v>
      </c>
      <c r="D2690" s="2">
        <v>4.91</v>
      </c>
      <c r="E2690" s="2">
        <v>5.09</v>
      </c>
      <c r="F2690" s="2">
        <v>2.97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</row>
    <row r="2691" spans="1:11" x14ac:dyDescent="0.2">
      <c r="A2691" s="1">
        <v>0.86736111111111103</v>
      </c>
      <c r="B2691" s="2">
        <v>6.09</v>
      </c>
      <c r="C2691" s="2">
        <v>3.7199999999999998</v>
      </c>
      <c r="D2691" s="2">
        <v>5.17</v>
      </c>
      <c r="E2691" s="2">
        <v>5.5</v>
      </c>
      <c r="F2691" s="2">
        <v>3.2800000000000002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</row>
    <row r="2692" spans="1:11" x14ac:dyDescent="0.2">
      <c r="A2692" s="1">
        <v>0.86805555555555602</v>
      </c>
      <c r="B2692" s="2">
        <v>6.24</v>
      </c>
      <c r="C2692" s="2">
        <v>3.6599999999999997</v>
      </c>
      <c r="D2692" s="2">
        <v>5.28</v>
      </c>
      <c r="E2692" s="2">
        <v>5.62</v>
      </c>
      <c r="F2692" s="2">
        <v>3.3200000000000003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</row>
    <row r="2693" spans="1:11" x14ac:dyDescent="0.2">
      <c r="A2693" s="1">
        <v>0.86875000000000002</v>
      </c>
      <c r="B2693" s="2">
        <v>6.1</v>
      </c>
      <c r="C2693" s="2">
        <v>3.76</v>
      </c>
      <c r="D2693" s="2">
        <v>5.07</v>
      </c>
      <c r="E2693" s="2">
        <v>5.0599999999999996</v>
      </c>
      <c r="F2693" s="2">
        <v>2.89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</row>
    <row r="2694" spans="1:11" x14ac:dyDescent="0.2">
      <c r="A2694" s="1">
        <v>0.86944444444444402</v>
      </c>
      <c r="B2694" s="2">
        <v>6.09</v>
      </c>
      <c r="C2694" s="2">
        <v>3.6399999999999997</v>
      </c>
      <c r="D2694" s="2">
        <v>5.16</v>
      </c>
      <c r="E2694" s="2">
        <v>5.7</v>
      </c>
      <c r="F2694" s="2">
        <v>3.0700000000000003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</row>
    <row r="2695" spans="1:11" x14ac:dyDescent="0.2">
      <c r="A2695" s="1">
        <v>0.87013888888888902</v>
      </c>
      <c r="B2695" s="2">
        <v>6.1</v>
      </c>
      <c r="C2695" s="2">
        <v>3.78</v>
      </c>
      <c r="D2695" s="2">
        <v>4.91</v>
      </c>
      <c r="E2695" s="2">
        <v>5.43</v>
      </c>
      <c r="F2695" s="2">
        <v>3.37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</row>
    <row r="2696" spans="1:11" x14ac:dyDescent="0.2">
      <c r="A2696" s="1">
        <v>0.87083333333333302</v>
      </c>
      <c r="B2696" s="2">
        <v>6.27</v>
      </c>
      <c r="C2696" s="2">
        <v>3.79</v>
      </c>
      <c r="D2696" s="2">
        <v>5.21</v>
      </c>
      <c r="E2696" s="2">
        <v>5.0199999999999996</v>
      </c>
      <c r="F2696" s="2">
        <v>2.97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</row>
    <row r="2697" spans="1:11" x14ac:dyDescent="0.2">
      <c r="A2697" s="1">
        <v>0.87152777777777801</v>
      </c>
      <c r="B2697" s="2">
        <v>6.17</v>
      </c>
      <c r="C2697" s="2">
        <v>3.8</v>
      </c>
      <c r="D2697" s="2">
        <v>4.87</v>
      </c>
      <c r="E2697" s="2">
        <v>5.27</v>
      </c>
      <c r="F2697" s="2">
        <v>3.19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</row>
    <row r="2698" spans="1:11" x14ac:dyDescent="0.2">
      <c r="A2698" s="1">
        <v>0.87222222222222201</v>
      </c>
      <c r="B2698" s="2">
        <v>6.3599999999999994</v>
      </c>
      <c r="C2698" s="2">
        <v>3.83</v>
      </c>
      <c r="D2698" s="2">
        <v>5.05</v>
      </c>
      <c r="E2698" s="2">
        <v>5.08</v>
      </c>
      <c r="F2698" s="2">
        <v>2.93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</row>
    <row r="2699" spans="1:11" x14ac:dyDescent="0.2">
      <c r="A2699" s="1">
        <v>0.87291666666666701</v>
      </c>
      <c r="B2699" s="2">
        <v>6.13</v>
      </c>
      <c r="C2699" s="2">
        <v>3.83</v>
      </c>
      <c r="D2699" s="2">
        <v>4.92</v>
      </c>
      <c r="E2699" s="2">
        <v>5.31</v>
      </c>
      <c r="F2699" s="2">
        <v>3.27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</row>
    <row r="2700" spans="1:11" x14ac:dyDescent="0.2">
      <c r="A2700" s="1">
        <v>0.87361111111111101</v>
      </c>
      <c r="B2700" s="2">
        <v>6.1899999999999995</v>
      </c>
      <c r="C2700" s="2">
        <v>3.65</v>
      </c>
      <c r="D2700" s="2">
        <v>5.18</v>
      </c>
      <c r="E2700" s="2">
        <v>5.0599999999999996</v>
      </c>
      <c r="F2700" s="2">
        <v>2.87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</row>
    <row r="2701" spans="1:11" x14ac:dyDescent="0.2">
      <c r="A2701" s="1">
        <v>0.874305555555556</v>
      </c>
      <c r="B2701" s="2">
        <v>6.18</v>
      </c>
      <c r="C2701" s="2">
        <v>3.65</v>
      </c>
      <c r="D2701" s="2">
        <v>5.0600000000000005</v>
      </c>
      <c r="E2701" s="2">
        <v>5.53</v>
      </c>
      <c r="F2701" s="2">
        <v>3.3000000000000003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</row>
    <row r="2702" spans="1:11" x14ac:dyDescent="0.2">
      <c r="A2702" s="3">
        <v>0.875</v>
      </c>
      <c r="B2702" s="2">
        <v>6.22</v>
      </c>
      <c r="C2702" s="2">
        <v>3.76</v>
      </c>
      <c r="D2702" s="2">
        <v>5.1100000000000003</v>
      </c>
      <c r="E2702" s="2">
        <v>5.35</v>
      </c>
      <c r="F2702" s="2">
        <v>3.19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</row>
    <row r="2703" spans="1:11" x14ac:dyDescent="0.2">
      <c r="A2703" s="1">
        <v>0.875694444444444</v>
      </c>
      <c r="B2703" s="2">
        <v>6.1899999999999995</v>
      </c>
      <c r="C2703" s="2">
        <v>3.83</v>
      </c>
      <c r="D2703" s="2">
        <v>5.35</v>
      </c>
      <c r="E2703" s="2">
        <v>5.2</v>
      </c>
      <c r="F2703" s="2">
        <v>3.18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</row>
    <row r="2704" spans="1:11" x14ac:dyDescent="0.2">
      <c r="A2704" s="1">
        <v>0.87638888888888899</v>
      </c>
      <c r="B2704" s="2">
        <v>6.28</v>
      </c>
      <c r="C2704" s="2">
        <v>3.71</v>
      </c>
      <c r="D2704" s="2">
        <v>4.91</v>
      </c>
      <c r="E2704" s="2">
        <v>5.2299999999999995</v>
      </c>
      <c r="F2704" s="2">
        <v>2.97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</row>
    <row r="2705" spans="1:11" x14ac:dyDescent="0.2">
      <c r="A2705" s="1">
        <v>0.87708333333333299</v>
      </c>
      <c r="B2705" s="2">
        <v>6.16</v>
      </c>
      <c r="C2705" s="2">
        <v>3.61</v>
      </c>
      <c r="D2705" s="2">
        <v>5.05</v>
      </c>
      <c r="E2705" s="2">
        <v>5.35</v>
      </c>
      <c r="F2705" s="2">
        <v>3.08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</row>
    <row r="2706" spans="1:11" x14ac:dyDescent="0.2">
      <c r="A2706" s="1">
        <v>0.87777777777777799</v>
      </c>
      <c r="B2706" s="2">
        <v>6.09</v>
      </c>
      <c r="C2706" s="2">
        <v>3.87</v>
      </c>
      <c r="D2706" s="2">
        <v>5.12</v>
      </c>
      <c r="E2706" s="2">
        <v>5.31</v>
      </c>
      <c r="F2706" s="2">
        <v>3.25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</row>
    <row r="2707" spans="1:11" x14ac:dyDescent="0.2">
      <c r="A2707" s="1">
        <v>0.87847222222222199</v>
      </c>
      <c r="B2707" s="2">
        <v>6.33</v>
      </c>
      <c r="C2707" s="2">
        <v>3.78</v>
      </c>
      <c r="D2707" s="2">
        <v>5.07</v>
      </c>
      <c r="E2707" s="2">
        <v>5.6099999999999994</v>
      </c>
      <c r="F2707" s="2">
        <v>2.93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</row>
    <row r="2708" spans="1:11" x14ac:dyDescent="0.2">
      <c r="A2708" s="1">
        <v>0.87916666666666698</v>
      </c>
      <c r="B2708" s="2">
        <v>6.25</v>
      </c>
      <c r="C2708" s="2">
        <v>3.78</v>
      </c>
      <c r="D2708" s="2">
        <v>4.9000000000000004</v>
      </c>
      <c r="E2708" s="2">
        <v>5.4399999999999995</v>
      </c>
      <c r="F2708" s="2">
        <v>3.0100000000000002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</row>
    <row r="2709" spans="1:11" x14ac:dyDescent="0.2">
      <c r="A2709" s="1">
        <v>0.87986111111111098</v>
      </c>
      <c r="B2709" s="2">
        <v>6.2</v>
      </c>
      <c r="C2709" s="2">
        <v>3.6999999999999997</v>
      </c>
      <c r="D2709" s="2">
        <v>5.21</v>
      </c>
      <c r="E2709" s="2">
        <v>5.22</v>
      </c>
      <c r="F2709" s="2">
        <v>3.14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</row>
    <row r="2710" spans="1:11" x14ac:dyDescent="0.2">
      <c r="A2710" s="1">
        <v>0.88055555555555598</v>
      </c>
      <c r="B2710" s="2">
        <v>6.1899999999999995</v>
      </c>
      <c r="C2710" s="2">
        <v>3.6799999999999997</v>
      </c>
      <c r="D2710" s="2">
        <v>5.35</v>
      </c>
      <c r="E2710" s="2">
        <v>5.05</v>
      </c>
      <c r="F2710" s="2">
        <v>3.25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</row>
    <row r="2711" spans="1:11" x14ac:dyDescent="0.2">
      <c r="A2711" s="1">
        <v>0.88124999999999998</v>
      </c>
      <c r="B2711" s="2">
        <v>6.24</v>
      </c>
      <c r="C2711" s="2">
        <v>3.81</v>
      </c>
      <c r="D2711" s="2">
        <v>4.87</v>
      </c>
      <c r="E2711" s="2">
        <v>5.14</v>
      </c>
      <c r="F2711" s="2">
        <v>3.1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</row>
    <row r="2712" spans="1:11" x14ac:dyDescent="0.2">
      <c r="A2712" s="1">
        <v>0.88194444444444497</v>
      </c>
      <c r="B2712" s="2">
        <v>6.2299999999999995</v>
      </c>
      <c r="C2712" s="2">
        <v>3.79</v>
      </c>
      <c r="D2712" s="2">
        <v>5.17</v>
      </c>
      <c r="E2712" s="2">
        <v>5.42</v>
      </c>
      <c r="F2712" s="2">
        <v>3.18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</row>
    <row r="2713" spans="1:11" x14ac:dyDescent="0.2">
      <c r="A2713" s="1">
        <v>0.88263888888888897</v>
      </c>
      <c r="B2713" s="2">
        <v>6.09</v>
      </c>
      <c r="C2713" s="2">
        <v>3.78</v>
      </c>
      <c r="D2713" s="2">
        <v>5.01</v>
      </c>
      <c r="E2713" s="2">
        <v>5.7</v>
      </c>
      <c r="F2713" s="2">
        <v>3.31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</row>
    <row r="2714" spans="1:11" x14ac:dyDescent="0.2">
      <c r="A2714" s="1">
        <v>0.88333333333333297</v>
      </c>
      <c r="B2714" s="2">
        <v>6.22</v>
      </c>
      <c r="C2714" s="2">
        <v>3.8899999999999997</v>
      </c>
      <c r="D2714" s="2">
        <v>5.3100000000000005</v>
      </c>
      <c r="E2714" s="2">
        <v>5.12</v>
      </c>
      <c r="F2714" s="2">
        <v>3.38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</row>
    <row r="2715" spans="1:11" x14ac:dyDescent="0.2">
      <c r="A2715" s="1">
        <v>0.88402777777777797</v>
      </c>
      <c r="B2715" s="2">
        <v>6.28</v>
      </c>
      <c r="C2715" s="2">
        <v>3.81</v>
      </c>
      <c r="D2715" s="2">
        <v>5.0200000000000005</v>
      </c>
      <c r="E2715" s="2">
        <v>5.24</v>
      </c>
      <c r="F2715" s="2">
        <v>2.96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</row>
    <row r="2716" spans="1:11" x14ac:dyDescent="0.2">
      <c r="A2716" s="1">
        <v>0.88472222222222197</v>
      </c>
      <c r="B2716" s="2">
        <v>6.1099999999999994</v>
      </c>
      <c r="C2716" s="2">
        <v>3.86</v>
      </c>
      <c r="D2716" s="2">
        <v>5.35</v>
      </c>
      <c r="E2716" s="2">
        <v>5.7</v>
      </c>
      <c r="F2716" s="2">
        <v>2.98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</row>
    <row r="2717" spans="1:11" x14ac:dyDescent="0.2">
      <c r="A2717" s="1">
        <v>0.88541666666666696</v>
      </c>
      <c r="B2717" s="2">
        <v>6.29</v>
      </c>
      <c r="C2717" s="2">
        <v>3.77</v>
      </c>
      <c r="D2717" s="2">
        <v>5.29</v>
      </c>
      <c r="E2717" s="2">
        <v>5.32</v>
      </c>
      <c r="F2717" s="2">
        <v>3.3400000000000003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</row>
    <row r="2718" spans="1:11" x14ac:dyDescent="0.2">
      <c r="A2718" s="1">
        <v>0.88611111111111096</v>
      </c>
      <c r="B2718" s="2">
        <v>6.21</v>
      </c>
      <c r="C2718" s="2">
        <v>3.71</v>
      </c>
      <c r="D2718" s="2">
        <v>5.19</v>
      </c>
      <c r="E2718" s="2">
        <v>5.13</v>
      </c>
      <c r="F2718" s="2">
        <v>3.0300000000000002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</row>
    <row r="2719" spans="1:11" x14ac:dyDescent="0.2">
      <c r="A2719" s="1">
        <v>0.88680555555555596</v>
      </c>
      <c r="B2719" s="2">
        <v>6.29</v>
      </c>
      <c r="C2719" s="2">
        <v>3.84</v>
      </c>
      <c r="D2719" s="2">
        <v>4.9400000000000004</v>
      </c>
      <c r="E2719" s="2">
        <v>5.45</v>
      </c>
      <c r="F2719" s="2">
        <v>3.3600000000000003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</row>
    <row r="2720" spans="1:11" x14ac:dyDescent="0.2">
      <c r="A2720" s="1">
        <v>0.88749999999999996</v>
      </c>
      <c r="B2720" s="2">
        <v>6.2299999999999995</v>
      </c>
      <c r="C2720" s="2">
        <v>3.8899999999999997</v>
      </c>
      <c r="D2720" s="2">
        <v>5.01</v>
      </c>
      <c r="E2720" s="2">
        <v>5.18</v>
      </c>
      <c r="F2720" s="2">
        <v>3.39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</row>
    <row r="2721" spans="1:11" x14ac:dyDescent="0.2">
      <c r="A2721" s="1">
        <v>0.88819444444444495</v>
      </c>
      <c r="B2721" s="2">
        <v>6.1</v>
      </c>
      <c r="C2721" s="2">
        <v>3.6999999999999997</v>
      </c>
      <c r="D2721" s="2">
        <v>5.1000000000000005</v>
      </c>
      <c r="E2721" s="2">
        <v>5.32</v>
      </c>
      <c r="F2721" s="2">
        <v>3.2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</row>
    <row r="2722" spans="1:11" x14ac:dyDescent="0.2">
      <c r="A2722" s="1">
        <v>0.88888888888888895</v>
      </c>
      <c r="B2722" s="2">
        <v>6.34</v>
      </c>
      <c r="C2722" s="2">
        <v>3.6199999999999997</v>
      </c>
      <c r="D2722" s="2">
        <v>4.8899999999999997</v>
      </c>
      <c r="E2722" s="2">
        <v>5.2299999999999995</v>
      </c>
      <c r="F2722" s="2">
        <v>2.97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</row>
    <row r="2723" spans="1:11" x14ac:dyDescent="0.2">
      <c r="A2723" s="1">
        <v>0.88958333333333295</v>
      </c>
      <c r="B2723" s="2">
        <v>6.21</v>
      </c>
      <c r="C2723" s="2">
        <v>3.83</v>
      </c>
      <c r="D2723" s="2">
        <v>4.95</v>
      </c>
      <c r="E2723" s="2">
        <v>5.6899999999999995</v>
      </c>
      <c r="F2723" s="2">
        <v>3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</row>
    <row r="2724" spans="1:11" x14ac:dyDescent="0.2">
      <c r="A2724" s="1">
        <v>0.89027777777777795</v>
      </c>
      <c r="B2724" s="2">
        <v>6.1099999999999994</v>
      </c>
      <c r="C2724" s="2">
        <v>3.8899999999999997</v>
      </c>
      <c r="D2724" s="2">
        <v>5.16</v>
      </c>
      <c r="E2724" s="2">
        <v>5.68</v>
      </c>
      <c r="F2724" s="2">
        <v>2.96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</row>
    <row r="2725" spans="1:11" x14ac:dyDescent="0.2">
      <c r="A2725" s="1">
        <v>0.89097222222222205</v>
      </c>
      <c r="B2725" s="2">
        <v>6.24</v>
      </c>
      <c r="C2725" s="2">
        <v>3.86</v>
      </c>
      <c r="D2725" s="2">
        <v>5.28</v>
      </c>
      <c r="E2725" s="2">
        <v>5.7</v>
      </c>
      <c r="F2725" s="2">
        <v>3.31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</row>
    <row r="2726" spans="1:11" x14ac:dyDescent="0.2">
      <c r="A2726" s="1">
        <v>0.89166666666666705</v>
      </c>
      <c r="B2726" s="2">
        <v>6.09</v>
      </c>
      <c r="C2726" s="2">
        <v>3.6399999999999997</v>
      </c>
      <c r="D2726" s="2">
        <v>5.1400000000000006</v>
      </c>
      <c r="E2726" s="2">
        <v>5.29</v>
      </c>
      <c r="F2726" s="2">
        <v>3.16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</row>
    <row r="2727" spans="1:11" x14ac:dyDescent="0.2">
      <c r="A2727" s="1">
        <v>0.89236111111111105</v>
      </c>
      <c r="B2727" s="2">
        <v>6.22</v>
      </c>
      <c r="C2727" s="2">
        <v>3.6199999999999997</v>
      </c>
      <c r="D2727" s="2">
        <v>5</v>
      </c>
      <c r="E2727" s="2">
        <v>5.38</v>
      </c>
      <c r="F2727" s="2">
        <v>3.19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</row>
    <row r="2728" spans="1:11" x14ac:dyDescent="0.2">
      <c r="A2728" s="1">
        <v>0.89305555555555605</v>
      </c>
      <c r="B2728" s="2">
        <v>6.18</v>
      </c>
      <c r="C2728" s="2">
        <v>3.81</v>
      </c>
      <c r="D2728" s="2">
        <v>5.32</v>
      </c>
      <c r="E2728" s="2">
        <v>5.0999999999999996</v>
      </c>
      <c r="F2728" s="2">
        <v>2.95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</row>
    <row r="2729" spans="1:11" x14ac:dyDescent="0.2">
      <c r="A2729" s="1">
        <v>0.89375000000000004</v>
      </c>
      <c r="B2729" s="2">
        <v>6.32</v>
      </c>
      <c r="C2729" s="2">
        <v>3.81</v>
      </c>
      <c r="D2729" s="2">
        <v>4.99</v>
      </c>
      <c r="E2729" s="2">
        <v>5.4399999999999995</v>
      </c>
      <c r="F2729" s="2">
        <v>3.35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</row>
    <row r="2730" spans="1:11" x14ac:dyDescent="0.2">
      <c r="A2730" s="1">
        <v>0.89444444444444404</v>
      </c>
      <c r="B2730" s="2">
        <v>6.14</v>
      </c>
      <c r="C2730" s="2">
        <v>3.75</v>
      </c>
      <c r="D2730" s="2">
        <v>5.07</v>
      </c>
      <c r="E2730" s="2">
        <v>5.58</v>
      </c>
      <c r="F2730" s="2">
        <v>3.1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</row>
    <row r="2731" spans="1:11" x14ac:dyDescent="0.2">
      <c r="A2731" s="1">
        <v>0.89513888888888904</v>
      </c>
      <c r="B2731" s="2">
        <v>6.12</v>
      </c>
      <c r="C2731" s="2">
        <v>3.7399999999999998</v>
      </c>
      <c r="D2731" s="2">
        <v>5.1100000000000003</v>
      </c>
      <c r="E2731" s="2">
        <v>5.46</v>
      </c>
      <c r="F2731" s="2">
        <v>3.2800000000000002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</row>
    <row r="2732" spans="1:11" x14ac:dyDescent="0.2">
      <c r="A2732" s="1">
        <v>0.89583333333333304</v>
      </c>
      <c r="B2732" s="2">
        <v>6.09</v>
      </c>
      <c r="C2732" s="2">
        <v>3.7199999999999998</v>
      </c>
      <c r="D2732" s="2">
        <v>5.35</v>
      </c>
      <c r="E2732" s="2">
        <v>5.56</v>
      </c>
      <c r="F2732" s="2">
        <v>3.12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</row>
    <row r="2733" spans="1:11" x14ac:dyDescent="0.2">
      <c r="A2733" s="1">
        <v>0.89652777777777803</v>
      </c>
      <c r="B2733" s="2">
        <v>6.12</v>
      </c>
      <c r="C2733" s="2">
        <v>3.6799999999999997</v>
      </c>
      <c r="D2733" s="2">
        <v>4.96</v>
      </c>
      <c r="E2733" s="2">
        <v>5.56</v>
      </c>
      <c r="F2733" s="2">
        <v>3.3000000000000003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</row>
    <row r="2734" spans="1:11" x14ac:dyDescent="0.2">
      <c r="A2734" s="1">
        <v>0.89722222222222203</v>
      </c>
      <c r="B2734" s="2">
        <v>6.29</v>
      </c>
      <c r="C2734" s="2">
        <v>3.8499999999999996</v>
      </c>
      <c r="D2734" s="2">
        <v>5.18</v>
      </c>
      <c r="E2734" s="2">
        <v>5.6</v>
      </c>
      <c r="F2734" s="2">
        <v>3.0500000000000003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</row>
    <row r="2735" spans="1:11" x14ac:dyDescent="0.2">
      <c r="A2735" s="1">
        <v>0.89791666666666703</v>
      </c>
      <c r="B2735" s="2">
        <v>6.1899999999999995</v>
      </c>
      <c r="C2735" s="2">
        <v>3.7399999999999998</v>
      </c>
      <c r="D2735" s="2">
        <v>4.91</v>
      </c>
      <c r="E2735" s="2">
        <v>5.1099999999999994</v>
      </c>
      <c r="F2735" s="2">
        <v>3.0500000000000003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</row>
    <row r="2736" spans="1:11" x14ac:dyDescent="0.2">
      <c r="A2736" s="1">
        <v>0.89861111111111103</v>
      </c>
      <c r="B2736" s="2">
        <v>6.3</v>
      </c>
      <c r="C2736" s="2">
        <v>3.79</v>
      </c>
      <c r="D2736" s="2">
        <v>5.28</v>
      </c>
      <c r="E2736" s="2">
        <v>5.64</v>
      </c>
      <c r="F2736" s="2">
        <v>2.92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</row>
    <row r="2737" spans="1:11" x14ac:dyDescent="0.2">
      <c r="A2737" s="1">
        <v>0.89930555555555602</v>
      </c>
      <c r="B2737" s="2">
        <v>6.25</v>
      </c>
      <c r="C2737" s="2">
        <v>3.6199999999999997</v>
      </c>
      <c r="D2737" s="2">
        <v>5.34</v>
      </c>
      <c r="E2737" s="2">
        <v>5.6499999999999995</v>
      </c>
      <c r="F2737" s="2">
        <v>3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</row>
    <row r="2738" spans="1:11" x14ac:dyDescent="0.2">
      <c r="A2738" s="1">
        <v>0.9</v>
      </c>
      <c r="B2738" s="2">
        <v>6.18</v>
      </c>
      <c r="C2738" s="2">
        <v>3.7399999999999998</v>
      </c>
      <c r="D2738" s="2">
        <v>5.16</v>
      </c>
      <c r="E2738" s="2">
        <v>5.09</v>
      </c>
      <c r="F2738" s="2">
        <v>3.1500000000000004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</row>
    <row r="2739" spans="1:11" x14ac:dyDescent="0.2">
      <c r="A2739" s="1">
        <v>0.90069444444444402</v>
      </c>
      <c r="B2739" s="2">
        <v>6.1</v>
      </c>
      <c r="C2739" s="2">
        <v>3.78</v>
      </c>
      <c r="D2739" s="2">
        <v>5.28</v>
      </c>
      <c r="E2739" s="2">
        <v>5.4799999999999995</v>
      </c>
      <c r="F2739" s="2">
        <v>3.21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</row>
    <row r="2740" spans="1:11" x14ac:dyDescent="0.2">
      <c r="A2740" s="1">
        <v>0.90138888888888902</v>
      </c>
      <c r="B2740" s="2">
        <v>6.27</v>
      </c>
      <c r="C2740" s="2">
        <v>3.6799999999999997</v>
      </c>
      <c r="D2740" s="2">
        <v>5.37</v>
      </c>
      <c r="E2740" s="2">
        <v>5.52</v>
      </c>
      <c r="F2740" s="2">
        <v>3.3400000000000003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</row>
    <row r="2741" spans="1:11" x14ac:dyDescent="0.2">
      <c r="A2741" s="1">
        <v>0.90208333333333302</v>
      </c>
      <c r="B2741" s="2">
        <v>6.25</v>
      </c>
      <c r="C2741" s="2">
        <v>3.6799999999999997</v>
      </c>
      <c r="D2741" s="2">
        <v>5.15</v>
      </c>
      <c r="E2741" s="2">
        <v>5.29</v>
      </c>
      <c r="F2741" s="2">
        <v>2.9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</row>
    <row r="2742" spans="1:11" x14ac:dyDescent="0.2">
      <c r="A2742" s="1">
        <v>0.90277777777777801</v>
      </c>
      <c r="B2742" s="2">
        <v>6.31</v>
      </c>
      <c r="C2742" s="2">
        <v>3.84</v>
      </c>
      <c r="D2742" s="2">
        <v>5.0600000000000005</v>
      </c>
      <c r="E2742" s="2">
        <v>5.24</v>
      </c>
      <c r="F2742" s="2">
        <v>3.22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</row>
    <row r="2743" spans="1:11" x14ac:dyDescent="0.2">
      <c r="A2743" s="1">
        <v>0.90347222222222201</v>
      </c>
      <c r="B2743" s="2">
        <v>6.22</v>
      </c>
      <c r="C2743" s="2">
        <v>3.6999999999999997</v>
      </c>
      <c r="D2743" s="2">
        <v>5.15</v>
      </c>
      <c r="E2743" s="2">
        <v>5.3999999999999995</v>
      </c>
      <c r="F2743" s="2">
        <v>3.25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</row>
    <row r="2744" spans="1:11" x14ac:dyDescent="0.2">
      <c r="A2744" s="1">
        <v>0.90416666666666701</v>
      </c>
      <c r="B2744" s="2">
        <v>6.16</v>
      </c>
      <c r="C2744" s="2">
        <v>3.65</v>
      </c>
      <c r="D2744" s="2">
        <v>5.19</v>
      </c>
      <c r="E2744" s="2">
        <v>5.5</v>
      </c>
      <c r="F2744" s="2">
        <v>3.12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</row>
    <row r="2745" spans="1:11" x14ac:dyDescent="0.2">
      <c r="A2745" s="1">
        <v>0.90486111111111101</v>
      </c>
      <c r="B2745" s="2">
        <v>6.22</v>
      </c>
      <c r="C2745" s="2">
        <v>3.7399999999999998</v>
      </c>
      <c r="D2745" s="2">
        <v>4.95</v>
      </c>
      <c r="E2745" s="2">
        <v>5.55</v>
      </c>
      <c r="F2745" s="2">
        <v>2.9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</row>
    <row r="2746" spans="1:11" x14ac:dyDescent="0.2">
      <c r="A2746" s="1">
        <v>0.905555555555556</v>
      </c>
      <c r="B2746" s="2">
        <v>6.1499999999999995</v>
      </c>
      <c r="C2746" s="2">
        <v>3.8</v>
      </c>
      <c r="D2746" s="2">
        <v>4.9000000000000004</v>
      </c>
      <c r="E2746" s="2">
        <v>5.31</v>
      </c>
      <c r="F2746" s="2">
        <v>3.23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</row>
    <row r="2747" spans="1:11" x14ac:dyDescent="0.2">
      <c r="A2747" s="1">
        <v>0.90625</v>
      </c>
      <c r="B2747" s="2">
        <v>6.12</v>
      </c>
      <c r="C2747" s="2">
        <v>3.81</v>
      </c>
      <c r="D2747" s="2">
        <v>4.9400000000000004</v>
      </c>
      <c r="E2747" s="2">
        <v>5.4399999999999995</v>
      </c>
      <c r="F2747" s="2">
        <v>3.2800000000000002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</row>
    <row r="2748" spans="1:11" x14ac:dyDescent="0.2">
      <c r="A2748" s="1">
        <v>0.906944444444444</v>
      </c>
      <c r="B2748" s="2">
        <v>6.28</v>
      </c>
      <c r="C2748" s="2">
        <v>3.79</v>
      </c>
      <c r="D2748" s="2">
        <v>4.93</v>
      </c>
      <c r="E2748" s="2">
        <v>5.5</v>
      </c>
      <c r="F2748" s="2">
        <v>2.94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</row>
    <row r="2749" spans="1:11" x14ac:dyDescent="0.2">
      <c r="A2749" s="1">
        <v>0.90763888888888899</v>
      </c>
      <c r="B2749" s="2">
        <v>6.1899999999999995</v>
      </c>
      <c r="C2749" s="2">
        <v>3.88</v>
      </c>
      <c r="D2749" s="2">
        <v>5.01</v>
      </c>
      <c r="E2749" s="2">
        <v>5.4399999999999995</v>
      </c>
      <c r="F2749" s="2">
        <v>3.3400000000000003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</row>
    <row r="2750" spans="1:11" x14ac:dyDescent="0.2">
      <c r="A2750" s="1">
        <v>0.90833333333333299</v>
      </c>
      <c r="B2750" s="2">
        <v>6.18</v>
      </c>
      <c r="C2750" s="2">
        <v>3.65</v>
      </c>
      <c r="D2750" s="2">
        <v>5.07</v>
      </c>
      <c r="E2750" s="2">
        <v>5.5299999999999994</v>
      </c>
      <c r="F2750" s="2">
        <v>2.89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</row>
    <row r="2751" spans="1:11" x14ac:dyDescent="0.2">
      <c r="A2751" s="1">
        <v>0.90902777777777799</v>
      </c>
      <c r="B2751" s="2">
        <v>6.28</v>
      </c>
      <c r="C2751" s="2">
        <v>3.86</v>
      </c>
      <c r="D2751" s="2">
        <v>5.07</v>
      </c>
      <c r="E2751" s="2">
        <v>5.29</v>
      </c>
      <c r="F2751" s="2">
        <v>3.2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</row>
    <row r="2752" spans="1:11" x14ac:dyDescent="0.2">
      <c r="A2752" s="1">
        <v>0.90972222222222199</v>
      </c>
      <c r="B2752" s="2">
        <v>6.18</v>
      </c>
      <c r="C2752" s="2">
        <v>3.6799999999999997</v>
      </c>
      <c r="D2752" s="2">
        <v>5.23</v>
      </c>
      <c r="E2752" s="2">
        <v>5.25</v>
      </c>
      <c r="F2752" s="2">
        <v>2.97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</row>
    <row r="2753" spans="1:11" x14ac:dyDescent="0.2">
      <c r="A2753" s="1">
        <v>0.91041666666666698</v>
      </c>
      <c r="B2753" s="2">
        <v>6.17</v>
      </c>
      <c r="C2753" s="2">
        <v>3.83</v>
      </c>
      <c r="D2753" s="2">
        <v>5.15</v>
      </c>
      <c r="E2753" s="2">
        <v>5.0699999999999994</v>
      </c>
      <c r="F2753" s="2">
        <v>2.98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</row>
    <row r="2754" spans="1:11" x14ac:dyDescent="0.2">
      <c r="A2754" s="1">
        <v>0.91111111111111098</v>
      </c>
      <c r="B2754" s="2">
        <v>6.09</v>
      </c>
      <c r="C2754" s="2">
        <v>3.81</v>
      </c>
      <c r="D2754" s="2">
        <v>5.21</v>
      </c>
      <c r="E2754" s="2">
        <v>5.41</v>
      </c>
      <c r="F2754" s="2">
        <v>3.3600000000000003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</row>
    <row r="2755" spans="1:11" x14ac:dyDescent="0.2">
      <c r="A2755" s="1">
        <v>0.91180555555555598</v>
      </c>
      <c r="B2755" s="2">
        <v>6.21</v>
      </c>
      <c r="C2755" s="2">
        <v>3.6799999999999997</v>
      </c>
      <c r="D2755" s="2">
        <v>5.1400000000000006</v>
      </c>
      <c r="E2755" s="2">
        <v>5.46</v>
      </c>
      <c r="F2755" s="2">
        <v>3.19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</row>
    <row r="2756" spans="1:11" x14ac:dyDescent="0.2">
      <c r="A2756" s="1">
        <v>0.91249999999999998</v>
      </c>
      <c r="B2756" s="2">
        <v>6.14</v>
      </c>
      <c r="C2756" s="2">
        <v>3.6599999999999997</v>
      </c>
      <c r="D2756" s="2">
        <v>5.21</v>
      </c>
      <c r="E2756" s="2">
        <v>5.46</v>
      </c>
      <c r="F2756" s="2">
        <v>3.08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</row>
    <row r="2757" spans="1:11" x14ac:dyDescent="0.2">
      <c r="A2757" s="1">
        <v>0.91319444444444497</v>
      </c>
      <c r="B2757" s="2">
        <v>6.29</v>
      </c>
      <c r="C2757" s="2">
        <v>3.79</v>
      </c>
      <c r="D2757" s="2">
        <v>5.26</v>
      </c>
      <c r="E2757" s="2">
        <v>5.09</v>
      </c>
      <c r="F2757" s="2">
        <v>2.99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</row>
    <row r="2758" spans="1:11" x14ac:dyDescent="0.2">
      <c r="A2758" s="1">
        <v>0.91388888888888897</v>
      </c>
      <c r="B2758" s="2">
        <v>6.1099999999999994</v>
      </c>
      <c r="C2758" s="2">
        <v>3.6599999999999997</v>
      </c>
      <c r="D2758" s="2">
        <v>5.3100000000000005</v>
      </c>
      <c r="E2758" s="2">
        <v>5.59</v>
      </c>
      <c r="F2758" s="2">
        <v>2.92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</row>
    <row r="2759" spans="1:11" x14ac:dyDescent="0.2">
      <c r="A2759" s="1">
        <v>0.91458333333333297</v>
      </c>
      <c r="B2759" s="2">
        <v>6.24</v>
      </c>
      <c r="C2759" s="2">
        <v>3.8</v>
      </c>
      <c r="D2759" s="2">
        <v>5.19</v>
      </c>
      <c r="E2759" s="2">
        <v>5.0599999999999996</v>
      </c>
      <c r="F2759" s="2">
        <v>3.22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</row>
    <row r="2760" spans="1:11" x14ac:dyDescent="0.2">
      <c r="A2760" s="1">
        <v>0.91527777777777797</v>
      </c>
      <c r="B2760" s="2">
        <v>6.1499999999999995</v>
      </c>
      <c r="C2760" s="2">
        <v>3.76</v>
      </c>
      <c r="D2760" s="2">
        <v>5.1400000000000006</v>
      </c>
      <c r="E2760" s="2">
        <v>5.6899999999999995</v>
      </c>
      <c r="F2760" s="2">
        <v>3.31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</row>
    <row r="2761" spans="1:11" x14ac:dyDescent="0.2">
      <c r="A2761" s="1">
        <v>0.91597222222222197</v>
      </c>
      <c r="B2761" s="2">
        <v>6.3599999999999994</v>
      </c>
      <c r="C2761" s="2">
        <v>3.73</v>
      </c>
      <c r="D2761" s="2">
        <v>4.87</v>
      </c>
      <c r="E2761" s="2">
        <v>5.51</v>
      </c>
      <c r="F2761" s="2">
        <v>3.06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</row>
    <row r="2762" spans="1:11" x14ac:dyDescent="0.2">
      <c r="A2762" s="3">
        <v>0.91666666666666696</v>
      </c>
      <c r="B2762" s="2">
        <v>6.22</v>
      </c>
      <c r="C2762" s="2">
        <v>3.77</v>
      </c>
      <c r="D2762" s="2">
        <v>5.1100000000000003</v>
      </c>
      <c r="E2762" s="2">
        <v>5.36</v>
      </c>
      <c r="F2762" s="2">
        <v>3.19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</row>
    <row r="2763" spans="1:11" x14ac:dyDescent="0.2">
      <c r="A2763" s="1">
        <v>0.91736111111111096</v>
      </c>
      <c r="B2763" s="2">
        <v>6.35</v>
      </c>
      <c r="C2763" s="2">
        <v>3.61</v>
      </c>
      <c r="D2763" s="2">
        <v>5.36</v>
      </c>
      <c r="E2763" s="2">
        <v>5.71</v>
      </c>
      <c r="F2763" s="2">
        <v>3.0100000000000002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</row>
    <row r="2764" spans="1:11" x14ac:dyDescent="0.2">
      <c r="A2764" s="1">
        <v>0.91805555555555596</v>
      </c>
      <c r="B2764" s="2">
        <v>6.3599999999999994</v>
      </c>
      <c r="C2764" s="2">
        <v>3.71</v>
      </c>
      <c r="D2764" s="2">
        <v>5.35</v>
      </c>
      <c r="E2764" s="2">
        <v>5.33</v>
      </c>
      <c r="F2764" s="2">
        <v>3.1100000000000003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</row>
    <row r="2765" spans="1:11" x14ac:dyDescent="0.2">
      <c r="A2765" s="1">
        <v>0.91874999999999996</v>
      </c>
      <c r="B2765" s="2">
        <v>6.34</v>
      </c>
      <c r="C2765" s="2">
        <v>3.8899999999999997</v>
      </c>
      <c r="D2765" s="2">
        <v>5.0200000000000005</v>
      </c>
      <c r="E2765" s="2">
        <v>5.14</v>
      </c>
      <c r="F2765" s="2">
        <v>3.31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</row>
    <row r="2766" spans="1:11" x14ac:dyDescent="0.2">
      <c r="A2766" s="1">
        <v>0.91944444444444495</v>
      </c>
      <c r="B2766" s="2">
        <v>6.1999999999999993</v>
      </c>
      <c r="C2766" s="2">
        <v>3.86</v>
      </c>
      <c r="D2766" s="2">
        <v>5.1400000000000006</v>
      </c>
      <c r="E2766" s="2">
        <v>5.16</v>
      </c>
      <c r="F2766" s="2">
        <v>3.1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</row>
    <row r="2767" spans="1:11" x14ac:dyDescent="0.2">
      <c r="A2767" s="1">
        <v>0.92013888888888895</v>
      </c>
      <c r="B2767" s="2">
        <v>6.25</v>
      </c>
      <c r="C2767" s="2">
        <v>3.73</v>
      </c>
      <c r="D2767" s="2">
        <v>5.0600000000000005</v>
      </c>
      <c r="E2767" s="2">
        <v>5.05</v>
      </c>
      <c r="F2767" s="2">
        <v>3.06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</row>
    <row r="2768" spans="1:11" x14ac:dyDescent="0.2">
      <c r="A2768" s="1">
        <v>0.92083333333333295</v>
      </c>
      <c r="B2768" s="2">
        <v>6.3199999999999994</v>
      </c>
      <c r="C2768" s="2">
        <v>3.79</v>
      </c>
      <c r="D2768" s="2">
        <v>5.29</v>
      </c>
      <c r="E2768" s="2">
        <v>5.28</v>
      </c>
      <c r="F2768" s="2">
        <v>3.21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</row>
    <row r="2769" spans="1:11" x14ac:dyDescent="0.2">
      <c r="A2769" s="1">
        <v>0.92152777777777795</v>
      </c>
      <c r="B2769" s="2">
        <v>6.35</v>
      </c>
      <c r="C2769" s="2">
        <v>3.6599999999999997</v>
      </c>
      <c r="D2769" s="2">
        <v>5.17</v>
      </c>
      <c r="E2769" s="2">
        <v>5.55</v>
      </c>
      <c r="F2769" s="2">
        <v>2.95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</row>
    <row r="2770" spans="1:11" x14ac:dyDescent="0.2">
      <c r="A2770" s="1">
        <v>0.92222222222222205</v>
      </c>
      <c r="B2770" s="2">
        <v>6.2799999999999994</v>
      </c>
      <c r="C2770" s="2">
        <v>3.6599999999999997</v>
      </c>
      <c r="D2770" s="2">
        <v>4.9000000000000004</v>
      </c>
      <c r="E2770" s="2">
        <v>5.3999999999999995</v>
      </c>
      <c r="F2770" s="2">
        <v>2.96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</row>
    <row r="2771" spans="1:11" x14ac:dyDescent="0.2">
      <c r="A2771" s="1">
        <v>0.92291666666666705</v>
      </c>
      <c r="B2771" s="2">
        <v>6.33</v>
      </c>
      <c r="C2771" s="2">
        <v>3.7399999999999998</v>
      </c>
      <c r="D2771" s="2">
        <v>5.22</v>
      </c>
      <c r="E2771" s="2">
        <v>5.49</v>
      </c>
      <c r="F2771" s="2">
        <v>3.1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</row>
    <row r="2772" spans="1:11" x14ac:dyDescent="0.2">
      <c r="A2772" s="1">
        <v>0.92361111111111105</v>
      </c>
      <c r="B2772" s="2">
        <v>6.3199999999999994</v>
      </c>
      <c r="C2772" s="2">
        <v>3.75</v>
      </c>
      <c r="D2772" s="2">
        <v>5.07</v>
      </c>
      <c r="E2772" s="2">
        <v>5.43</v>
      </c>
      <c r="F2772" s="2">
        <v>3.3600000000000003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</row>
    <row r="2773" spans="1:11" x14ac:dyDescent="0.2">
      <c r="A2773" s="1">
        <v>0.92430555555555605</v>
      </c>
      <c r="B2773" s="2">
        <v>6.2799999999999994</v>
      </c>
      <c r="C2773" s="2">
        <v>3.88</v>
      </c>
      <c r="D2773" s="2">
        <v>5.08</v>
      </c>
      <c r="E2773" s="2">
        <v>5.57</v>
      </c>
      <c r="F2773" s="2">
        <v>2.88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</row>
    <row r="2774" spans="1:11" x14ac:dyDescent="0.2">
      <c r="A2774" s="1">
        <v>0.92500000000000004</v>
      </c>
      <c r="B2774" s="2">
        <v>6.1499999999999995</v>
      </c>
      <c r="C2774" s="2">
        <v>3.6999999999999997</v>
      </c>
      <c r="D2774" s="2">
        <v>4.96</v>
      </c>
      <c r="E2774" s="2">
        <v>5.37</v>
      </c>
      <c r="F2774" s="2">
        <v>3.23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</row>
    <row r="2775" spans="1:11" x14ac:dyDescent="0.2">
      <c r="A2775" s="1">
        <v>0.92569444444444404</v>
      </c>
      <c r="B2775" s="2">
        <v>6.3699999999999992</v>
      </c>
      <c r="C2775" s="2">
        <v>3.73</v>
      </c>
      <c r="D2775" s="2">
        <v>5.34</v>
      </c>
      <c r="E2775" s="2">
        <v>5.62</v>
      </c>
      <c r="F2775" s="2">
        <v>3.27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</row>
    <row r="2776" spans="1:11" x14ac:dyDescent="0.2">
      <c r="A2776" s="1">
        <v>0.92638888888888904</v>
      </c>
      <c r="B2776" s="2">
        <v>6.22</v>
      </c>
      <c r="C2776" s="2">
        <v>3.82</v>
      </c>
      <c r="D2776" s="2">
        <v>5.01</v>
      </c>
      <c r="E2776" s="2">
        <v>5.66</v>
      </c>
      <c r="F2776" s="2">
        <v>3.17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</row>
    <row r="2777" spans="1:11" x14ac:dyDescent="0.2">
      <c r="A2777" s="1">
        <v>0.92708333333333304</v>
      </c>
      <c r="B2777" s="2">
        <v>6.3</v>
      </c>
      <c r="C2777" s="2">
        <v>3.6399999999999997</v>
      </c>
      <c r="D2777" s="2">
        <v>5.0200000000000005</v>
      </c>
      <c r="E2777" s="2">
        <v>5.16</v>
      </c>
      <c r="F2777" s="2">
        <v>3.1100000000000003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</row>
    <row r="2778" spans="1:11" x14ac:dyDescent="0.2">
      <c r="A2778" s="1">
        <v>0.92777777777777803</v>
      </c>
      <c r="B2778" s="2">
        <v>6.14</v>
      </c>
      <c r="C2778" s="2">
        <v>3.67</v>
      </c>
      <c r="D2778" s="2">
        <v>5.01</v>
      </c>
      <c r="E2778" s="2">
        <v>5.2299999999999995</v>
      </c>
      <c r="F2778" s="2">
        <v>3.1500000000000004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</row>
    <row r="2779" spans="1:11" x14ac:dyDescent="0.2">
      <c r="A2779" s="1">
        <v>0.92847222222222203</v>
      </c>
      <c r="B2779" s="2">
        <v>6.35</v>
      </c>
      <c r="C2779" s="2">
        <v>3.67</v>
      </c>
      <c r="D2779" s="2">
        <v>5.2</v>
      </c>
      <c r="E2779" s="2">
        <v>5.59</v>
      </c>
      <c r="F2779" s="2">
        <v>2.88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</row>
    <row r="2780" spans="1:11" x14ac:dyDescent="0.2">
      <c r="A2780" s="1">
        <v>0.92916666666666703</v>
      </c>
      <c r="B2780" s="2">
        <v>6.1599999999999993</v>
      </c>
      <c r="C2780" s="2">
        <v>3.65</v>
      </c>
      <c r="D2780" s="2">
        <v>5</v>
      </c>
      <c r="E2780" s="2">
        <v>5.26</v>
      </c>
      <c r="F2780" s="2">
        <v>3.17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</row>
    <row r="2781" spans="1:11" x14ac:dyDescent="0.2">
      <c r="A2781" s="1">
        <v>0.92986111111111103</v>
      </c>
      <c r="B2781" s="2">
        <v>6.29</v>
      </c>
      <c r="C2781" s="2">
        <v>3.76</v>
      </c>
      <c r="D2781" s="2">
        <v>4.92</v>
      </c>
      <c r="E2781" s="2">
        <v>5.31</v>
      </c>
      <c r="F2781" s="2">
        <v>3.0300000000000002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</row>
    <row r="2782" spans="1:11" x14ac:dyDescent="0.2">
      <c r="A2782" s="1">
        <v>0.93055555555555602</v>
      </c>
      <c r="B2782" s="2">
        <v>6.21</v>
      </c>
      <c r="C2782" s="2">
        <v>3.6199999999999997</v>
      </c>
      <c r="D2782" s="2">
        <v>5.29</v>
      </c>
      <c r="E2782" s="2">
        <v>5.43</v>
      </c>
      <c r="F2782" s="2">
        <v>3.2600000000000002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</row>
    <row r="2783" spans="1:11" x14ac:dyDescent="0.2">
      <c r="A2783" s="1">
        <v>0.93125000000000002</v>
      </c>
      <c r="B2783" s="2">
        <v>6.31</v>
      </c>
      <c r="C2783" s="2">
        <v>3.63</v>
      </c>
      <c r="D2783" s="2">
        <v>5.03</v>
      </c>
      <c r="E2783" s="2">
        <v>5.2299999999999995</v>
      </c>
      <c r="F2783" s="2">
        <v>3.13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</row>
    <row r="2784" spans="1:11" x14ac:dyDescent="0.2">
      <c r="A2784" s="1">
        <v>0.93194444444444402</v>
      </c>
      <c r="B2784" s="2">
        <v>6.1499999999999995</v>
      </c>
      <c r="C2784" s="2">
        <v>3.79</v>
      </c>
      <c r="D2784" s="2">
        <v>5.17</v>
      </c>
      <c r="E2784" s="2">
        <v>5.12</v>
      </c>
      <c r="F2784" s="2">
        <v>2.98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</row>
    <row r="2785" spans="1:11" x14ac:dyDescent="0.2">
      <c r="A2785" s="1">
        <v>0.93263888888888902</v>
      </c>
      <c r="B2785" s="2">
        <v>6.2399999999999993</v>
      </c>
      <c r="C2785" s="2">
        <v>3.6399999999999997</v>
      </c>
      <c r="D2785" s="2">
        <v>5.08</v>
      </c>
      <c r="E2785" s="2">
        <v>5.58</v>
      </c>
      <c r="F2785" s="2">
        <v>3.14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</row>
    <row r="2786" spans="1:11" x14ac:dyDescent="0.2">
      <c r="A2786" s="1">
        <v>0.93333333333333302</v>
      </c>
      <c r="B2786" s="2">
        <v>6.13</v>
      </c>
      <c r="C2786" s="2">
        <v>3.77</v>
      </c>
      <c r="D2786" s="2">
        <v>4.95</v>
      </c>
      <c r="E2786" s="2">
        <v>5.31</v>
      </c>
      <c r="F2786" s="2">
        <v>3.39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</row>
    <row r="2787" spans="1:11" x14ac:dyDescent="0.2">
      <c r="A2787" s="1">
        <v>0.93402777777777801</v>
      </c>
      <c r="B2787" s="2">
        <v>6.21</v>
      </c>
      <c r="C2787" s="2">
        <v>3.84</v>
      </c>
      <c r="D2787" s="2">
        <v>5.23</v>
      </c>
      <c r="E2787" s="2">
        <v>5.08</v>
      </c>
      <c r="F2787" s="2">
        <v>3.0700000000000003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</row>
    <row r="2788" spans="1:11" x14ac:dyDescent="0.2">
      <c r="A2788" s="1">
        <v>0.93472222222222201</v>
      </c>
      <c r="B2788" s="2">
        <v>6.3599999999999994</v>
      </c>
      <c r="C2788" s="2">
        <v>3.77</v>
      </c>
      <c r="D2788" s="2">
        <v>5.08</v>
      </c>
      <c r="E2788" s="2">
        <v>5.32</v>
      </c>
      <c r="F2788" s="2">
        <v>3.35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</row>
    <row r="2789" spans="1:11" x14ac:dyDescent="0.2">
      <c r="A2789" s="1">
        <v>0.93541666666666701</v>
      </c>
      <c r="B2789" s="2">
        <v>6.2399999999999993</v>
      </c>
      <c r="C2789" s="2">
        <v>3.84</v>
      </c>
      <c r="D2789" s="2">
        <v>4.95</v>
      </c>
      <c r="E2789" s="2">
        <v>5.22</v>
      </c>
      <c r="F2789" s="2">
        <v>3.22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</row>
    <row r="2790" spans="1:11" x14ac:dyDescent="0.2">
      <c r="A2790" s="1">
        <v>0.93611111111111101</v>
      </c>
      <c r="B2790" s="2">
        <v>6.3699999999999992</v>
      </c>
      <c r="C2790" s="2">
        <v>3.75</v>
      </c>
      <c r="D2790" s="2">
        <v>5.16</v>
      </c>
      <c r="E2790" s="2">
        <v>5.12</v>
      </c>
      <c r="F2790" s="2">
        <v>2.93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</row>
    <row r="2791" spans="1:11" x14ac:dyDescent="0.2">
      <c r="A2791" s="1">
        <v>0.936805555555556</v>
      </c>
      <c r="B2791" s="2">
        <v>6.27</v>
      </c>
      <c r="C2791" s="2">
        <v>3.77</v>
      </c>
      <c r="D2791" s="2">
        <v>5.28</v>
      </c>
      <c r="E2791" s="2">
        <v>5.56</v>
      </c>
      <c r="F2791" s="2">
        <v>3.13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</row>
    <row r="2792" spans="1:11" x14ac:dyDescent="0.2">
      <c r="A2792" s="1">
        <v>0.9375</v>
      </c>
      <c r="B2792" s="2">
        <v>6.25</v>
      </c>
      <c r="C2792" s="2">
        <v>3.76</v>
      </c>
      <c r="D2792" s="2">
        <v>5.09</v>
      </c>
      <c r="E2792" s="2">
        <v>5.64</v>
      </c>
      <c r="F2792" s="2">
        <v>3.0100000000000002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</row>
    <row r="2793" spans="1:11" x14ac:dyDescent="0.2">
      <c r="A2793" s="1">
        <v>0.938194444444444</v>
      </c>
      <c r="B2793" s="2">
        <v>6.1599999999999993</v>
      </c>
      <c r="C2793" s="2">
        <v>3.6599999999999997</v>
      </c>
      <c r="D2793" s="2">
        <v>5.12</v>
      </c>
      <c r="E2793" s="2">
        <v>5.13</v>
      </c>
      <c r="F2793" s="2">
        <v>3.24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</row>
    <row r="2794" spans="1:11" x14ac:dyDescent="0.2">
      <c r="A2794" s="1">
        <v>0.93888888888888899</v>
      </c>
      <c r="B2794" s="2">
        <v>6.14</v>
      </c>
      <c r="C2794" s="2">
        <v>3.81</v>
      </c>
      <c r="D2794" s="2">
        <v>5.19</v>
      </c>
      <c r="E2794" s="2">
        <v>5.6099999999999994</v>
      </c>
      <c r="F2794" s="2">
        <v>3.29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</row>
    <row r="2795" spans="1:11" x14ac:dyDescent="0.2">
      <c r="A2795" s="1">
        <v>0.93958333333333299</v>
      </c>
      <c r="B2795" s="2">
        <v>6.1</v>
      </c>
      <c r="C2795" s="2">
        <v>3.5999999999999996</v>
      </c>
      <c r="D2795" s="2">
        <v>5.22</v>
      </c>
      <c r="E2795" s="2">
        <v>5.6499999999999995</v>
      </c>
      <c r="F2795" s="2">
        <v>2.95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</row>
    <row r="2796" spans="1:11" x14ac:dyDescent="0.2">
      <c r="A2796" s="1">
        <v>0.94027777777777799</v>
      </c>
      <c r="B2796" s="2">
        <v>6.18</v>
      </c>
      <c r="C2796" s="2">
        <v>3.73</v>
      </c>
      <c r="D2796" s="2">
        <v>5.33</v>
      </c>
      <c r="E2796" s="2">
        <v>5.52</v>
      </c>
      <c r="F2796" s="2">
        <v>3.1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</row>
    <row r="2797" spans="1:11" x14ac:dyDescent="0.2">
      <c r="A2797" s="1">
        <v>0.94097222222222199</v>
      </c>
      <c r="B2797" s="2">
        <v>6.13</v>
      </c>
      <c r="C2797" s="2">
        <v>3.8499999999999996</v>
      </c>
      <c r="D2797" s="2">
        <v>5.37</v>
      </c>
      <c r="E2797" s="2">
        <v>5.21</v>
      </c>
      <c r="F2797" s="2">
        <v>2.89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</row>
    <row r="2798" spans="1:11" x14ac:dyDescent="0.2">
      <c r="A2798" s="1">
        <v>0.94166666666666698</v>
      </c>
      <c r="B2798" s="2">
        <v>6.17</v>
      </c>
      <c r="C2798" s="2">
        <v>3.87</v>
      </c>
      <c r="D2798" s="2">
        <v>5.25</v>
      </c>
      <c r="E2798" s="2">
        <v>5.05</v>
      </c>
      <c r="F2798" s="2">
        <v>3.13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</row>
    <row r="2799" spans="1:11" x14ac:dyDescent="0.2">
      <c r="A2799" s="1">
        <v>0.94236111111111098</v>
      </c>
      <c r="B2799" s="2">
        <v>6.33</v>
      </c>
      <c r="C2799" s="2">
        <v>3.79</v>
      </c>
      <c r="D2799" s="2">
        <v>5.32</v>
      </c>
      <c r="E2799" s="2">
        <v>5.08</v>
      </c>
      <c r="F2799" s="2">
        <v>3.0100000000000002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</row>
    <row r="2800" spans="1:11" x14ac:dyDescent="0.2">
      <c r="A2800" s="1">
        <v>0.94305555555555598</v>
      </c>
      <c r="B2800" s="2">
        <v>6.1099999999999994</v>
      </c>
      <c r="C2800" s="2">
        <v>3.7399999999999998</v>
      </c>
      <c r="D2800" s="2">
        <v>5.29</v>
      </c>
      <c r="E2800" s="2">
        <v>5.5</v>
      </c>
      <c r="F2800" s="2">
        <v>3.23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</row>
    <row r="2801" spans="1:11" x14ac:dyDescent="0.2">
      <c r="A2801" s="1">
        <v>0.94374999999999998</v>
      </c>
      <c r="B2801" s="2">
        <v>6.2799999999999994</v>
      </c>
      <c r="C2801" s="2">
        <v>3.79</v>
      </c>
      <c r="D2801" s="2">
        <v>5.33</v>
      </c>
      <c r="E2801" s="2">
        <v>5.37</v>
      </c>
      <c r="F2801" s="2">
        <v>3.23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</row>
    <row r="2802" spans="1:11" x14ac:dyDescent="0.2">
      <c r="A2802" s="1">
        <v>0.94444444444444497</v>
      </c>
      <c r="B2802" s="2">
        <v>6.27</v>
      </c>
      <c r="C2802" s="2">
        <v>3.65</v>
      </c>
      <c r="D2802" s="2">
        <v>4.91</v>
      </c>
      <c r="E2802" s="2">
        <v>5.14</v>
      </c>
      <c r="F2802" s="2">
        <v>3.22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</row>
    <row r="2803" spans="1:11" x14ac:dyDescent="0.2">
      <c r="A2803" s="1">
        <v>0.94513888888888897</v>
      </c>
      <c r="B2803" s="2">
        <v>6.18</v>
      </c>
      <c r="C2803" s="2">
        <v>3.84</v>
      </c>
      <c r="D2803" s="2">
        <v>5.3</v>
      </c>
      <c r="E2803" s="2">
        <v>5.3</v>
      </c>
      <c r="F2803" s="2">
        <v>3.3000000000000003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</row>
    <row r="2804" spans="1:11" x14ac:dyDescent="0.2">
      <c r="A2804" s="1">
        <v>0.94583333333333297</v>
      </c>
      <c r="B2804" s="2">
        <v>6.1599999999999993</v>
      </c>
      <c r="C2804" s="2">
        <v>3.84</v>
      </c>
      <c r="D2804" s="2">
        <v>5.08</v>
      </c>
      <c r="E2804" s="2">
        <v>5.55</v>
      </c>
      <c r="F2804" s="2">
        <v>2.98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</row>
    <row r="2805" spans="1:11" x14ac:dyDescent="0.2">
      <c r="A2805" s="1">
        <v>0.94652777777777797</v>
      </c>
      <c r="B2805" s="2">
        <v>6.26</v>
      </c>
      <c r="C2805" s="2">
        <v>3.6799999999999997</v>
      </c>
      <c r="D2805" s="2">
        <v>4.88</v>
      </c>
      <c r="E2805" s="2">
        <v>5.2299999999999995</v>
      </c>
      <c r="F2805" s="2">
        <v>3.3200000000000003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</row>
    <row r="2806" spans="1:11" x14ac:dyDescent="0.2">
      <c r="A2806" s="1">
        <v>0.94722222222222197</v>
      </c>
      <c r="B2806" s="2">
        <v>6.2799999999999994</v>
      </c>
      <c r="C2806" s="2">
        <v>3.8</v>
      </c>
      <c r="D2806" s="2">
        <v>5.1100000000000003</v>
      </c>
      <c r="E2806" s="2">
        <v>5.7</v>
      </c>
      <c r="F2806" s="2">
        <v>2.96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</row>
    <row r="2807" spans="1:11" x14ac:dyDescent="0.2">
      <c r="A2807" s="1">
        <v>0.94791666666666696</v>
      </c>
      <c r="B2807" s="2">
        <v>6.34</v>
      </c>
      <c r="C2807" s="2">
        <v>3.6799999999999997</v>
      </c>
      <c r="D2807" s="2">
        <v>5.24</v>
      </c>
      <c r="E2807" s="2">
        <v>5.38</v>
      </c>
      <c r="F2807" s="2">
        <v>3.08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</row>
    <row r="2808" spans="1:11" x14ac:dyDescent="0.2">
      <c r="A2808" s="1">
        <v>0.94861111111111096</v>
      </c>
      <c r="B2808" s="2">
        <v>6.3599999999999994</v>
      </c>
      <c r="C2808" s="2">
        <v>3.88</v>
      </c>
      <c r="D2808" s="2">
        <v>5.24</v>
      </c>
      <c r="E2808" s="2">
        <v>5.5299999999999994</v>
      </c>
      <c r="F2808" s="2">
        <v>2.98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</row>
    <row r="2809" spans="1:11" x14ac:dyDescent="0.2">
      <c r="A2809" s="1">
        <v>0.94930555555555596</v>
      </c>
      <c r="B2809" s="2">
        <v>6.29</v>
      </c>
      <c r="C2809" s="2">
        <v>3.77</v>
      </c>
      <c r="D2809" s="2">
        <v>5.04</v>
      </c>
      <c r="E2809" s="2">
        <v>5.41</v>
      </c>
      <c r="F2809" s="2">
        <v>3.25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</row>
    <row r="2810" spans="1:11" x14ac:dyDescent="0.2">
      <c r="A2810" s="1">
        <v>0.95</v>
      </c>
      <c r="B2810" s="2">
        <v>6.3699999999999992</v>
      </c>
      <c r="C2810" s="2">
        <v>3.63</v>
      </c>
      <c r="D2810" s="2">
        <v>5.34</v>
      </c>
      <c r="E2810" s="2">
        <v>5.57</v>
      </c>
      <c r="F2810" s="2">
        <v>2.93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</row>
    <row r="2811" spans="1:11" x14ac:dyDescent="0.2">
      <c r="A2811" s="1">
        <v>0.95069444444444495</v>
      </c>
      <c r="B2811" s="2">
        <v>6.1499999999999995</v>
      </c>
      <c r="C2811" s="2">
        <v>3.73</v>
      </c>
      <c r="D2811" s="2">
        <v>5.08</v>
      </c>
      <c r="E2811" s="2">
        <v>5.32</v>
      </c>
      <c r="F2811" s="2">
        <v>2.98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</row>
    <row r="2812" spans="1:11" x14ac:dyDescent="0.2">
      <c r="A2812" s="1">
        <v>0.95138888888888895</v>
      </c>
      <c r="B2812" s="2">
        <v>6.1899999999999995</v>
      </c>
      <c r="C2812" s="2">
        <v>3.6399999999999997</v>
      </c>
      <c r="D2812" s="2">
        <v>5.25</v>
      </c>
      <c r="E2812" s="2">
        <v>5.18</v>
      </c>
      <c r="F2812" s="2">
        <v>3.0100000000000002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</row>
    <row r="2813" spans="1:11" x14ac:dyDescent="0.2">
      <c r="A2813" s="1">
        <v>0.95208333333333295</v>
      </c>
      <c r="B2813" s="2">
        <v>6.22</v>
      </c>
      <c r="C2813" s="2">
        <v>3.88</v>
      </c>
      <c r="D2813" s="2">
        <v>5.03</v>
      </c>
      <c r="E2813" s="2">
        <v>5.62</v>
      </c>
      <c r="F2813" s="2">
        <v>3.1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</row>
    <row r="2814" spans="1:11" x14ac:dyDescent="0.2">
      <c r="A2814" s="1">
        <v>0.95277777777777795</v>
      </c>
      <c r="B2814" s="2">
        <v>6.3599999999999994</v>
      </c>
      <c r="C2814" s="2">
        <v>3.6399999999999997</v>
      </c>
      <c r="D2814" s="2">
        <v>4.92</v>
      </c>
      <c r="E2814" s="2">
        <v>5.7</v>
      </c>
      <c r="F2814" s="2">
        <v>3.19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</row>
    <row r="2815" spans="1:11" x14ac:dyDescent="0.2">
      <c r="A2815" s="1">
        <v>0.95347222222222205</v>
      </c>
      <c r="B2815" s="2">
        <v>6.3199999999999994</v>
      </c>
      <c r="C2815" s="2">
        <v>3.67</v>
      </c>
      <c r="D2815" s="2">
        <v>5.25</v>
      </c>
      <c r="E2815" s="2">
        <v>5.55</v>
      </c>
      <c r="F2815" s="2">
        <v>2.91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</row>
    <row r="2816" spans="1:11" x14ac:dyDescent="0.2">
      <c r="A2816" s="1">
        <v>0.95416666666666705</v>
      </c>
      <c r="B2816" s="2">
        <v>6.1999999999999993</v>
      </c>
      <c r="C2816" s="2">
        <v>3.6599999999999997</v>
      </c>
      <c r="D2816" s="2">
        <v>5.1100000000000003</v>
      </c>
      <c r="E2816" s="2">
        <v>5.5299999999999994</v>
      </c>
      <c r="F2816" s="2">
        <v>3.3200000000000003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</row>
    <row r="2817" spans="1:11" x14ac:dyDescent="0.2">
      <c r="A2817" s="1">
        <v>0.95486111111111105</v>
      </c>
      <c r="B2817" s="2">
        <v>6.14</v>
      </c>
      <c r="C2817" s="2">
        <v>3.7399999999999998</v>
      </c>
      <c r="D2817" s="2">
        <v>5.01</v>
      </c>
      <c r="E2817" s="2">
        <v>5.58</v>
      </c>
      <c r="F2817" s="2">
        <v>3.06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</row>
    <row r="2818" spans="1:11" x14ac:dyDescent="0.2">
      <c r="A2818" s="1">
        <v>0.95555555555555605</v>
      </c>
      <c r="B2818" s="2">
        <v>6.21</v>
      </c>
      <c r="C2818" s="2">
        <v>3.76</v>
      </c>
      <c r="D2818" s="2">
        <v>4.9400000000000004</v>
      </c>
      <c r="E2818" s="2">
        <v>5.6099999999999994</v>
      </c>
      <c r="F2818" s="2">
        <v>2.93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</row>
    <row r="2819" spans="1:11" x14ac:dyDescent="0.2">
      <c r="A2819" s="1">
        <v>0.95625000000000004</v>
      </c>
      <c r="B2819" s="2">
        <v>6.25</v>
      </c>
      <c r="C2819" s="2">
        <v>3.65</v>
      </c>
      <c r="D2819" s="2">
        <v>4.91</v>
      </c>
      <c r="E2819" s="2">
        <v>5.31</v>
      </c>
      <c r="F2819" s="2">
        <v>3.38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</row>
    <row r="2820" spans="1:11" x14ac:dyDescent="0.2">
      <c r="A2820" s="1">
        <v>0.95694444444444404</v>
      </c>
      <c r="B2820" s="2">
        <v>6.27</v>
      </c>
      <c r="C2820" s="2">
        <v>3.6799999999999997</v>
      </c>
      <c r="D2820" s="2">
        <v>5.07</v>
      </c>
      <c r="E2820" s="2">
        <v>5.28</v>
      </c>
      <c r="F2820" s="2">
        <v>2.97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</row>
    <row r="2821" spans="1:11" x14ac:dyDescent="0.2">
      <c r="A2821" s="1">
        <v>0.95763888888888904</v>
      </c>
      <c r="B2821" s="2">
        <v>6.1899999999999995</v>
      </c>
      <c r="C2821" s="2">
        <v>3.61</v>
      </c>
      <c r="D2821" s="2">
        <v>4.87</v>
      </c>
      <c r="E2821" s="2">
        <v>5.4399999999999995</v>
      </c>
      <c r="F2821" s="2">
        <v>3.19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</row>
    <row r="2822" spans="1:11" x14ac:dyDescent="0.2">
      <c r="A2822" s="3">
        <v>0.95833333333333304</v>
      </c>
      <c r="B2822" s="2">
        <v>6.22</v>
      </c>
      <c r="C2822" s="2">
        <v>3.77</v>
      </c>
      <c r="D2822" s="2">
        <v>5.1100000000000003</v>
      </c>
      <c r="E2822" s="2">
        <v>5.36</v>
      </c>
      <c r="F2822" s="2">
        <v>3.19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</row>
    <row r="2823" spans="1:11" x14ac:dyDescent="0.2">
      <c r="A2823" s="1">
        <v>0.95902777777777803</v>
      </c>
      <c r="B2823" s="2">
        <v>6.1199999999999992</v>
      </c>
      <c r="C2823" s="2">
        <v>3.67</v>
      </c>
      <c r="D2823" s="2">
        <v>5.13</v>
      </c>
      <c r="E2823" s="2">
        <v>5.3000000000000007</v>
      </c>
      <c r="F2823" s="2">
        <v>2.94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</row>
    <row r="2824" spans="1:11" x14ac:dyDescent="0.2">
      <c r="A2824" s="1">
        <v>0.95972222222222203</v>
      </c>
      <c r="B2824" s="2">
        <v>6.1099999999999994</v>
      </c>
      <c r="C2824" s="2">
        <v>3.6799999999999997</v>
      </c>
      <c r="D2824" s="2">
        <v>5.29</v>
      </c>
      <c r="E2824" s="2">
        <v>5.04</v>
      </c>
      <c r="F2824" s="2">
        <v>3.27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</row>
    <row r="2825" spans="1:11" x14ac:dyDescent="0.2">
      <c r="A2825" s="1">
        <v>0.96041666666666703</v>
      </c>
      <c r="B2825" s="2">
        <v>6.3</v>
      </c>
      <c r="C2825" s="2">
        <v>3.77</v>
      </c>
      <c r="D2825" s="2">
        <v>5.07</v>
      </c>
      <c r="E2825" s="2">
        <v>5.53</v>
      </c>
      <c r="F2825" s="2">
        <v>3.16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</row>
    <row r="2826" spans="1:11" x14ac:dyDescent="0.2">
      <c r="A2826" s="1">
        <v>0.96111111111111103</v>
      </c>
      <c r="B2826" s="2">
        <v>6.3</v>
      </c>
      <c r="C2826" s="2">
        <v>3.7399999999999998</v>
      </c>
      <c r="D2826" s="2">
        <v>5.18</v>
      </c>
      <c r="E2826" s="2">
        <v>5.61</v>
      </c>
      <c r="F2826" s="2">
        <v>3.19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</row>
    <row r="2827" spans="1:11" x14ac:dyDescent="0.2">
      <c r="A2827" s="1">
        <v>0.96180555555555602</v>
      </c>
      <c r="B2827" s="2">
        <v>6.33</v>
      </c>
      <c r="C2827" s="2">
        <v>3.83</v>
      </c>
      <c r="D2827" s="2">
        <v>5.32</v>
      </c>
      <c r="E2827" s="2">
        <v>5.0600000000000005</v>
      </c>
      <c r="F2827" s="2">
        <v>3.3200000000000003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</row>
    <row r="2828" spans="1:11" x14ac:dyDescent="0.2">
      <c r="A2828" s="1">
        <v>0.96250000000000002</v>
      </c>
      <c r="B2828" s="2">
        <v>6.1999999999999993</v>
      </c>
      <c r="C2828" s="2">
        <v>3.69</v>
      </c>
      <c r="D2828" s="2">
        <v>4.97</v>
      </c>
      <c r="E2828" s="2">
        <v>5.17</v>
      </c>
      <c r="F2828" s="2">
        <v>3.31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</row>
    <row r="2829" spans="1:11" x14ac:dyDescent="0.2">
      <c r="A2829" s="1">
        <v>0.96319444444444402</v>
      </c>
      <c r="B2829" s="2">
        <v>6.27</v>
      </c>
      <c r="C2829" s="2">
        <v>3.65</v>
      </c>
      <c r="D2829" s="2">
        <v>4.8899999999999997</v>
      </c>
      <c r="E2829" s="2">
        <v>5.0600000000000005</v>
      </c>
      <c r="F2829" s="2">
        <v>3.33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</row>
    <row r="2830" spans="1:11" x14ac:dyDescent="0.2">
      <c r="A2830" s="1">
        <v>0.96388888888888902</v>
      </c>
      <c r="B2830" s="2">
        <v>6.3599999999999994</v>
      </c>
      <c r="C2830" s="2">
        <v>3.84</v>
      </c>
      <c r="D2830" s="2">
        <v>5.21</v>
      </c>
      <c r="E2830" s="2">
        <v>5.36</v>
      </c>
      <c r="F2830" s="2">
        <v>3.0100000000000002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</row>
    <row r="2831" spans="1:11" x14ac:dyDescent="0.2">
      <c r="A2831" s="1">
        <v>0.96458333333333302</v>
      </c>
      <c r="B2831" s="2">
        <v>6.29</v>
      </c>
      <c r="C2831" s="2">
        <v>3.75</v>
      </c>
      <c r="D2831" s="2">
        <v>5.37</v>
      </c>
      <c r="E2831" s="2">
        <v>5.4300000000000006</v>
      </c>
      <c r="F2831" s="2">
        <v>2.97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</row>
    <row r="2832" spans="1:11" x14ac:dyDescent="0.2">
      <c r="A2832" s="1">
        <v>0.96527777777777801</v>
      </c>
      <c r="B2832" s="2">
        <v>6.25</v>
      </c>
      <c r="C2832" s="2">
        <v>3.6599999999999997</v>
      </c>
      <c r="D2832" s="2">
        <v>5.0600000000000005</v>
      </c>
      <c r="E2832" s="2">
        <v>5.38</v>
      </c>
      <c r="F2832" s="2">
        <v>2.91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</row>
    <row r="2833" spans="1:11" x14ac:dyDescent="0.2">
      <c r="A2833" s="1">
        <v>0.96597222222222201</v>
      </c>
      <c r="B2833" s="2">
        <v>6.1199999999999992</v>
      </c>
      <c r="C2833" s="2">
        <v>3.65</v>
      </c>
      <c r="D2833" s="2">
        <v>5.09</v>
      </c>
      <c r="E2833" s="2">
        <v>5.48</v>
      </c>
      <c r="F2833" s="2">
        <v>3.21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</row>
    <row r="2834" spans="1:11" x14ac:dyDescent="0.2">
      <c r="A2834" s="1">
        <v>0.96666666666666701</v>
      </c>
      <c r="B2834" s="2">
        <v>6.25</v>
      </c>
      <c r="C2834" s="2">
        <v>3.8899999999999997</v>
      </c>
      <c r="D2834" s="2">
        <v>5.36</v>
      </c>
      <c r="E2834" s="2">
        <v>5.25</v>
      </c>
      <c r="F2834" s="2">
        <v>3.21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</row>
    <row r="2835" spans="1:11" x14ac:dyDescent="0.2">
      <c r="A2835" s="1">
        <v>0.96736111111111101</v>
      </c>
      <c r="B2835" s="2">
        <v>6.35</v>
      </c>
      <c r="C2835" s="2">
        <v>3.8499999999999996</v>
      </c>
      <c r="D2835" s="2">
        <v>5.35</v>
      </c>
      <c r="E2835" s="2">
        <v>5.23</v>
      </c>
      <c r="F2835" s="2">
        <v>3.0100000000000002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</row>
    <row r="2836" spans="1:11" x14ac:dyDescent="0.2">
      <c r="A2836" s="1">
        <v>0.968055555555556</v>
      </c>
      <c r="B2836" s="2">
        <v>6.3599999999999994</v>
      </c>
      <c r="C2836" s="2">
        <v>3.87</v>
      </c>
      <c r="D2836" s="2">
        <v>4.95</v>
      </c>
      <c r="E2836" s="2">
        <v>5.63</v>
      </c>
      <c r="F2836" s="2">
        <v>3.0700000000000003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</row>
    <row r="2837" spans="1:11" x14ac:dyDescent="0.2">
      <c r="A2837" s="1">
        <v>0.96875</v>
      </c>
      <c r="B2837" s="2">
        <v>6.14</v>
      </c>
      <c r="C2837" s="2">
        <v>3.7399999999999998</v>
      </c>
      <c r="D2837" s="2">
        <v>5</v>
      </c>
      <c r="E2837" s="2">
        <v>5.25</v>
      </c>
      <c r="F2837" s="2">
        <v>3.0300000000000002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</row>
    <row r="2838" spans="1:11" x14ac:dyDescent="0.2">
      <c r="A2838" s="1">
        <v>0.969444444444444</v>
      </c>
      <c r="B2838" s="2">
        <v>6.13</v>
      </c>
      <c r="C2838" s="2">
        <v>3.7199999999999998</v>
      </c>
      <c r="D2838" s="2">
        <v>4.99</v>
      </c>
      <c r="E2838" s="2">
        <v>5.2700000000000005</v>
      </c>
      <c r="F2838" s="2">
        <v>2.97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</row>
    <row r="2839" spans="1:11" x14ac:dyDescent="0.2">
      <c r="A2839" s="1">
        <v>0.97013888888888899</v>
      </c>
      <c r="B2839" s="2">
        <v>6.1199999999999992</v>
      </c>
      <c r="C2839" s="2">
        <v>3.78</v>
      </c>
      <c r="D2839" s="2">
        <v>4.95</v>
      </c>
      <c r="E2839" s="2">
        <v>5.25</v>
      </c>
      <c r="F2839" s="2">
        <v>3.04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</row>
    <row r="2840" spans="1:11" x14ac:dyDescent="0.2">
      <c r="A2840" s="1">
        <v>0.97083333333333299</v>
      </c>
      <c r="B2840" s="2">
        <v>6.29</v>
      </c>
      <c r="C2840" s="2">
        <v>3.75</v>
      </c>
      <c r="D2840" s="2">
        <v>5.2700000000000005</v>
      </c>
      <c r="E2840" s="2">
        <v>5.5200000000000005</v>
      </c>
      <c r="F2840" s="2">
        <v>3.08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</row>
    <row r="2841" spans="1:11" x14ac:dyDescent="0.2">
      <c r="A2841" s="1">
        <v>0.97152777777777799</v>
      </c>
      <c r="B2841" s="2">
        <v>6.3599999999999994</v>
      </c>
      <c r="C2841" s="2">
        <v>3.5999999999999996</v>
      </c>
      <c r="D2841" s="2">
        <v>5.3</v>
      </c>
      <c r="E2841" s="2">
        <v>5.23</v>
      </c>
      <c r="F2841" s="2">
        <v>3.37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</row>
    <row r="2842" spans="1:11" x14ac:dyDescent="0.2">
      <c r="A2842" s="1">
        <v>0.97222222222222199</v>
      </c>
      <c r="B2842" s="2">
        <v>6.33</v>
      </c>
      <c r="C2842" s="2">
        <v>3.82</v>
      </c>
      <c r="D2842" s="2">
        <v>5.03</v>
      </c>
      <c r="E2842" s="2">
        <v>5.1400000000000006</v>
      </c>
      <c r="F2842" s="2">
        <v>3.0900000000000003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</row>
    <row r="2843" spans="1:11" x14ac:dyDescent="0.2">
      <c r="A2843" s="1">
        <v>0.97291666666666698</v>
      </c>
      <c r="B2843" s="2">
        <v>6.14</v>
      </c>
      <c r="C2843" s="2">
        <v>3.61</v>
      </c>
      <c r="D2843" s="2">
        <v>5.18</v>
      </c>
      <c r="E2843" s="2">
        <v>5.67</v>
      </c>
      <c r="F2843" s="2">
        <v>3.0500000000000003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</row>
    <row r="2844" spans="1:11" x14ac:dyDescent="0.2">
      <c r="A2844" s="1">
        <v>0.97361111111111098</v>
      </c>
      <c r="B2844" s="2">
        <v>6.1999999999999993</v>
      </c>
      <c r="C2844" s="2">
        <v>3.6599999999999997</v>
      </c>
      <c r="D2844" s="2">
        <v>5.18</v>
      </c>
      <c r="E2844" s="2">
        <v>5.04</v>
      </c>
      <c r="F2844" s="2">
        <v>3.1100000000000003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</row>
    <row r="2845" spans="1:11" x14ac:dyDescent="0.2">
      <c r="A2845" s="1">
        <v>0.97430555555555598</v>
      </c>
      <c r="B2845" s="2">
        <v>6.3</v>
      </c>
      <c r="C2845" s="2">
        <v>3.6199999999999997</v>
      </c>
      <c r="D2845" s="2">
        <v>4.9800000000000004</v>
      </c>
      <c r="E2845" s="2">
        <v>5.19</v>
      </c>
      <c r="F2845" s="2">
        <v>3.22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</row>
    <row r="2846" spans="1:11" x14ac:dyDescent="0.2">
      <c r="A2846" s="1">
        <v>0.97499999999999998</v>
      </c>
      <c r="B2846" s="2">
        <v>6.1899999999999995</v>
      </c>
      <c r="C2846" s="2">
        <v>3.71</v>
      </c>
      <c r="D2846" s="2">
        <v>5.37</v>
      </c>
      <c r="E2846" s="2">
        <v>5.09</v>
      </c>
      <c r="F2846" s="2">
        <v>3.37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</row>
    <row r="2847" spans="1:11" x14ac:dyDescent="0.2">
      <c r="A2847" s="1">
        <v>0.97569444444444497</v>
      </c>
      <c r="B2847" s="2">
        <v>6.17</v>
      </c>
      <c r="C2847" s="2">
        <v>3.86</v>
      </c>
      <c r="D2847" s="2">
        <v>5.17</v>
      </c>
      <c r="E2847" s="2">
        <v>5.13</v>
      </c>
      <c r="F2847" s="2">
        <v>2.9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</row>
    <row r="2848" spans="1:11" x14ac:dyDescent="0.2">
      <c r="A2848" s="1">
        <v>0.97638888888888897</v>
      </c>
      <c r="B2848" s="2">
        <v>6.18</v>
      </c>
      <c r="C2848" s="2">
        <v>3.81</v>
      </c>
      <c r="D2848" s="2">
        <v>5.36</v>
      </c>
      <c r="E2848" s="2">
        <v>5.4</v>
      </c>
      <c r="F2848" s="2">
        <v>3.24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</row>
    <row r="2849" spans="1:11" x14ac:dyDescent="0.2">
      <c r="A2849" s="1">
        <v>0.97708333333333297</v>
      </c>
      <c r="B2849" s="2">
        <v>6.1599999999999993</v>
      </c>
      <c r="C2849" s="2">
        <v>3.5999999999999996</v>
      </c>
      <c r="D2849" s="2">
        <v>5.08</v>
      </c>
      <c r="E2849" s="2">
        <v>5.3000000000000007</v>
      </c>
      <c r="F2849" s="2">
        <v>2.89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</row>
    <row r="2850" spans="1:11" x14ac:dyDescent="0.2">
      <c r="A2850" s="1">
        <v>0.97777777777777797</v>
      </c>
      <c r="B2850" s="2">
        <v>6.1199999999999992</v>
      </c>
      <c r="C2850" s="2">
        <v>3.77</v>
      </c>
      <c r="D2850" s="2">
        <v>5.3100000000000005</v>
      </c>
      <c r="E2850" s="2">
        <v>5.48</v>
      </c>
      <c r="F2850" s="2">
        <v>3.2600000000000002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</row>
    <row r="2851" spans="1:11" x14ac:dyDescent="0.2">
      <c r="A2851" s="1">
        <v>0.97847222222222197</v>
      </c>
      <c r="B2851" s="2">
        <v>6.2299999999999995</v>
      </c>
      <c r="C2851" s="2">
        <v>3.76</v>
      </c>
      <c r="D2851" s="2">
        <v>5.26</v>
      </c>
      <c r="E2851" s="2">
        <v>5.41</v>
      </c>
      <c r="F2851" s="2">
        <v>2.93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</row>
    <row r="2852" spans="1:11" x14ac:dyDescent="0.2">
      <c r="A2852" s="1">
        <v>0.97916666666666696</v>
      </c>
      <c r="B2852" s="2">
        <v>6.26</v>
      </c>
      <c r="C2852" s="2">
        <v>3.6999999999999997</v>
      </c>
      <c r="D2852" s="2">
        <v>5.0200000000000005</v>
      </c>
      <c r="E2852" s="2">
        <v>5.2700000000000005</v>
      </c>
      <c r="F2852" s="2">
        <v>3.12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</row>
    <row r="2853" spans="1:11" x14ac:dyDescent="0.2">
      <c r="A2853" s="1">
        <v>0.97986111111111096</v>
      </c>
      <c r="B2853" s="2">
        <v>6.1199999999999992</v>
      </c>
      <c r="C2853" s="2">
        <v>3.6799999999999997</v>
      </c>
      <c r="D2853" s="2">
        <v>4.93</v>
      </c>
      <c r="E2853" s="2">
        <v>5.13</v>
      </c>
      <c r="F2853" s="2">
        <v>2.91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</row>
    <row r="2854" spans="1:11" x14ac:dyDescent="0.2">
      <c r="A2854" s="1">
        <v>0.98055555555555596</v>
      </c>
      <c r="B2854" s="2">
        <v>6.31</v>
      </c>
      <c r="C2854" s="2">
        <v>3.6999999999999997</v>
      </c>
      <c r="D2854" s="2">
        <v>5.2700000000000005</v>
      </c>
      <c r="E2854" s="2">
        <v>5.1000000000000005</v>
      </c>
      <c r="F2854" s="2">
        <v>3.21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</row>
    <row r="2855" spans="1:11" x14ac:dyDescent="0.2">
      <c r="A2855" s="1">
        <v>0.98124999999999996</v>
      </c>
      <c r="B2855" s="2">
        <v>6.14</v>
      </c>
      <c r="C2855" s="2">
        <v>3.87</v>
      </c>
      <c r="D2855" s="2">
        <v>4.97</v>
      </c>
      <c r="E2855" s="2">
        <v>5.2700000000000005</v>
      </c>
      <c r="F2855" s="2">
        <v>3.16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</row>
    <row r="2856" spans="1:11" x14ac:dyDescent="0.2">
      <c r="A2856" s="1">
        <v>0.98194444444444495</v>
      </c>
      <c r="B2856" s="2">
        <v>6.38</v>
      </c>
      <c r="C2856" s="2">
        <v>3.75</v>
      </c>
      <c r="D2856" s="2">
        <v>5.19</v>
      </c>
      <c r="E2856" s="2">
        <v>5.45</v>
      </c>
      <c r="F2856" s="2">
        <v>2.88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</row>
    <row r="2857" spans="1:11" x14ac:dyDescent="0.2">
      <c r="A2857" s="1">
        <v>0.98263888888888895</v>
      </c>
      <c r="B2857" s="2">
        <v>6.2799999999999994</v>
      </c>
      <c r="C2857" s="2">
        <v>3.7399999999999998</v>
      </c>
      <c r="D2857" s="2">
        <v>5.08</v>
      </c>
      <c r="E2857" s="2">
        <v>5.4300000000000006</v>
      </c>
      <c r="F2857" s="2">
        <v>2.99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</row>
    <row r="2858" spans="1:11" x14ac:dyDescent="0.2">
      <c r="A2858" s="1">
        <v>0.98333333333333295</v>
      </c>
      <c r="B2858" s="2">
        <v>6.3199999999999994</v>
      </c>
      <c r="C2858" s="2">
        <v>3.61</v>
      </c>
      <c r="D2858" s="2">
        <v>4.99</v>
      </c>
      <c r="E2858" s="2">
        <v>5.33</v>
      </c>
      <c r="F2858" s="2">
        <v>2.94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</row>
    <row r="2859" spans="1:11" x14ac:dyDescent="0.2">
      <c r="A2859" s="1">
        <v>0.98402777777777795</v>
      </c>
      <c r="B2859" s="2">
        <v>6.1</v>
      </c>
      <c r="C2859" s="2">
        <v>3.8899999999999997</v>
      </c>
      <c r="D2859" s="2">
        <v>5.36</v>
      </c>
      <c r="E2859" s="2">
        <v>5.5500000000000007</v>
      </c>
      <c r="F2859" s="2">
        <v>3.12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</row>
    <row r="2860" spans="1:11" x14ac:dyDescent="0.2">
      <c r="A2860" s="1">
        <v>0.98472222222222205</v>
      </c>
      <c r="B2860" s="2">
        <v>6.2399999999999993</v>
      </c>
      <c r="C2860" s="2">
        <v>3.86</v>
      </c>
      <c r="D2860" s="2">
        <v>4.92</v>
      </c>
      <c r="E2860" s="2">
        <v>5.4</v>
      </c>
      <c r="F2860" s="2">
        <v>3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</row>
    <row r="2861" spans="1:11" x14ac:dyDescent="0.2">
      <c r="A2861" s="1">
        <v>0.98541666666666705</v>
      </c>
      <c r="B2861" s="2">
        <v>6.3699999999999992</v>
      </c>
      <c r="C2861" s="2">
        <v>3.59</v>
      </c>
      <c r="D2861" s="2">
        <v>5.35</v>
      </c>
      <c r="E2861" s="2">
        <v>5.41</v>
      </c>
      <c r="F2861" s="2">
        <v>3.25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</row>
    <row r="2862" spans="1:11" x14ac:dyDescent="0.2">
      <c r="A2862" s="1">
        <v>0.98611111111111105</v>
      </c>
      <c r="B2862" s="2">
        <v>6.2799999999999994</v>
      </c>
      <c r="C2862" s="2">
        <v>3.59</v>
      </c>
      <c r="D2862" s="2">
        <v>4.97</v>
      </c>
      <c r="E2862" s="2">
        <v>5.29</v>
      </c>
      <c r="F2862" s="2">
        <v>3.06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</row>
    <row r="2863" spans="1:11" x14ac:dyDescent="0.2">
      <c r="A2863" s="1">
        <v>0.98680555555555605</v>
      </c>
      <c r="B2863" s="2">
        <v>6.17</v>
      </c>
      <c r="C2863" s="2">
        <v>3.5999999999999996</v>
      </c>
      <c r="D2863" s="2">
        <v>5.2700000000000005</v>
      </c>
      <c r="E2863" s="2">
        <v>5.38</v>
      </c>
      <c r="F2863" s="2">
        <v>2.9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</row>
    <row r="2864" spans="1:11" x14ac:dyDescent="0.2">
      <c r="A2864" s="1">
        <v>0.98750000000000004</v>
      </c>
      <c r="B2864" s="2">
        <v>6.2799999999999994</v>
      </c>
      <c r="C2864" s="2">
        <v>3.71</v>
      </c>
      <c r="D2864" s="2">
        <v>5.32</v>
      </c>
      <c r="E2864" s="2">
        <v>5.5500000000000007</v>
      </c>
      <c r="F2864" s="2">
        <v>2.88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</row>
    <row r="2865" spans="1:11" x14ac:dyDescent="0.2">
      <c r="A2865" s="1">
        <v>0.98819444444444404</v>
      </c>
      <c r="B2865" s="2">
        <v>6.1199999999999992</v>
      </c>
      <c r="C2865" s="2">
        <v>3.77</v>
      </c>
      <c r="D2865" s="2">
        <v>4.9400000000000004</v>
      </c>
      <c r="E2865" s="2">
        <v>5.61</v>
      </c>
      <c r="F2865" s="2">
        <v>2.93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</row>
    <row r="2866" spans="1:11" x14ac:dyDescent="0.2">
      <c r="A2866" s="1">
        <v>0.98888888888888904</v>
      </c>
      <c r="B2866" s="2">
        <v>6.3</v>
      </c>
      <c r="C2866" s="2">
        <v>3.65</v>
      </c>
      <c r="D2866" s="2">
        <v>4.9000000000000004</v>
      </c>
      <c r="E2866" s="2">
        <v>5.69</v>
      </c>
      <c r="F2866" s="2">
        <v>3.0500000000000003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</row>
    <row r="2867" spans="1:11" x14ac:dyDescent="0.2">
      <c r="A2867" s="1">
        <v>0.98958333333333304</v>
      </c>
      <c r="B2867" s="2">
        <v>6.34</v>
      </c>
      <c r="C2867" s="2">
        <v>3.59</v>
      </c>
      <c r="D2867" s="2">
        <v>5.35</v>
      </c>
      <c r="E2867" s="2">
        <v>5.51</v>
      </c>
      <c r="F2867" s="2">
        <v>3.25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</row>
    <row r="2868" spans="1:11" x14ac:dyDescent="0.2">
      <c r="A2868" s="1">
        <v>0.99027777777777803</v>
      </c>
      <c r="B2868" s="2">
        <v>6.25</v>
      </c>
      <c r="C2868" s="2">
        <v>3.65</v>
      </c>
      <c r="D2868" s="2">
        <v>5.07</v>
      </c>
      <c r="E2868" s="2">
        <v>5.5200000000000005</v>
      </c>
      <c r="F2868" s="2">
        <v>3.08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</row>
    <row r="2869" spans="1:11" x14ac:dyDescent="0.2">
      <c r="A2869" s="1">
        <v>0.99097222222222203</v>
      </c>
      <c r="B2869" s="2">
        <v>6.26</v>
      </c>
      <c r="C2869" s="2">
        <v>3.69</v>
      </c>
      <c r="D2869" s="2">
        <v>5.34</v>
      </c>
      <c r="E2869" s="2">
        <v>5.45</v>
      </c>
      <c r="F2869" s="2">
        <v>2.98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</row>
    <row r="2870" spans="1:11" x14ac:dyDescent="0.2">
      <c r="A2870" s="1">
        <v>0.99166666666666703</v>
      </c>
      <c r="B2870" s="2">
        <v>6.38</v>
      </c>
      <c r="C2870" s="2">
        <v>3.79</v>
      </c>
      <c r="D2870" s="2">
        <v>4.87</v>
      </c>
      <c r="E2870" s="2">
        <v>5.7</v>
      </c>
      <c r="F2870" s="2">
        <v>3.19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</row>
    <row r="2871" spans="1:11" x14ac:dyDescent="0.2">
      <c r="A2871" s="1">
        <v>0.99236111111111103</v>
      </c>
      <c r="B2871" s="2">
        <v>6.17</v>
      </c>
      <c r="C2871" s="2">
        <v>3.87</v>
      </c>
      <c r="D2871" s="2">
        <v>5.15</v>
      </c>
      <c r="E2871" s="2">
        <v>5.66</v>
      </c>
      <c r="F2871" s="2">
        <v>3.1500000000000004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</row>
    <row r="2872" spans="1:11" x14ac:dyDescent="0.2">
      <c r="A2872" s="1">
        <v>0.99305555555555602</v>
      </c>
      <c r="B2872" s="2">
        <v>6.35</v>
      </c>
      <c r="C2872" s="2">
        <v>3.8899999999999997</v>
      </c>
      <c r="D2872" s="2">
        <v>5.18</v>
      </c>
      <c r="E2872" s="2">
        <v>5.3900000000000006</v>
      </c>
      <c r="F2872" s="2">
        <v>3.08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</row>
    <row r="2873" spans="1:11" x14ac:dyDescent="0.2">
      <c r="A2873" s="1">
        <v>0.99375000000000002</v>
      </c>
      <c r="B2873" s="2">
        <v>6.14</v>
      </c>
      <c r="C2873" s="2">
        <v>3.86</v>
      </c>
      <c r="D2873" s="2">
        <v>5.09</v>
      </c>
      <c r="E2873" s="2">
        <v>5.1100000000000003</v>
      </c>
      <c r="F2873" s="2">
        <v>2.9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</row>
    <row r="2874" spans="1:11" x14ac:dyDescent="0.2">
      <c r="A2874" s="1">
        <v>0.99444444444444402</v>
      </c>
      <c r="B2874" s="2">
        <v>6.27</v>
      </c>
      <c r="C2874" s="2">
        <v>3.8</v>
      </c>
      <c r="D2874" s="2">
        <v>5.0600000000000005</v>
      </c>
      <c r="E2874" s="2">
        <v>5.03</v>
      </c>
      <c r="F2874" s="2">
        <v>3.3000000000000003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</row>
    <row r="2875" spans="1:11" x14ac:dyDescent="0.2">
      <c r="A2875" s="1">
        <v>0.99513888888888902</v>
      </c>
      <c r="B2875" s="2">
        <v>6.18</v>
      </c>
      <c r="C2875" s="2">
        <v>3.84</v>
      </c>
      <c r="D2875" s="2">
        <v>5.37</v>
      </c>
      <c r="E2875" s="2">
        <v>5.37</v>
      </c>
      <c r="F2875" s="2">
        <v>2.88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</row>
    <row r="2876" spans="1:11" x14ac:dyDescent="0.2">
      <c r="A2876" s="1">
        <v>0.99583333333333302</v>
      </c>
      <c r="B2876" s="2">
        <v>6.1599999999999993</v>
      </c>
      <c r="C2876" s="2">
        <v>3.6799999999999997</v>
      </c>
      <c r="D2876" s="2">
        <v>5.23</v>
      </c>
      <c r="E2876" s="2">
        <v>5.67</v>
      </c>
      <c r="F2876" s="2">
        <v>3.31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</row>
    <row r="2877" spans="1:11" x14ac:dyDescent="0.2">
      <c r="A2877" s="1">
        <v>0.99652777777777801</v>
      </c>
      <c r="B2877" s="2">
        <v>6.38</v>
      </c>
      <c r="C2877" s="2">
        <v>3.88</v>
      </c>
      <c r="D2877" s="2">
        <v>4.92</v>
      </c>
      <c r="E2877" s="2">
        <v>5.45</v>
      </c>
      <c r="F2877" s="2">
        <v>3.0100000000000002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</row>
    <row r="2878" spans="1:11" x14ac:dyDescent="0.2">
      <c r="A2878" s="1">
        <v>0.99722222222222201</v>
      </c>
      <c r="B2878" s="2">
        <v>6.3599999999999994</v>
      </c>
      <c r="C2878" s="2">
        <v>3.79</v>
      </c>
      <c r="D2878" s="2">
        <v>5.2</v>
      </c>
      <c r="E2878" s="2">
        <v>5.38</v>
      </c>
      <c r="F2878" s="2">
        <v>3.33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</row>
    <row r="2879" spans="1:11" x14ac:dyDescent="0.2">
      <c r="A2879" s="1">
        <v>0.99791666666666701</v>
      </c>
      <c r="B2879" s="2">
        <v>6.1899999999999995</v>
      </c>
      <c r="C2879" s="2">
        <v>3.86</v>
      </c>
      <c r="D2879" s="2">
        <v>5.17</v>
      </c>
      <c r="E2879" s="2">
        <v>5.1400000000000006</v>
      </c>
      <c r="F2879" s="2">
        <v>2.89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</row>
    <row r="2880" spans="1:11" x14ac:dyDescent="0.2">
      <c r="A2880" s="1">
        <v>0.99861111111111101</v>
      </c>
      <c r="B2880" s="2">
        <v>6.27</v>
      </c>
      <c r="C2880" s="2">
        <v>3.77</v>
      </c>
      <c r="D2880" s="2">
        <v>4.88</v>
      </c>
      <c r="E2880" s="2">
        <v>5.46</v>
      </c>
      <c r="F2880" s="2">
        <v>3.1100000000000003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</row>
    <row r="2881" spans="1:11" x14ac:dyDescent="0.2">
      <c r="A2881" s="1">
        <v>0.999305555555556</v>
      </c>
      <c r="B2881" s="2">
        <v>6.2799999999999994</v>
      </c>
      <c r="C2881" s="2">
        <v>3.86</v>
      </c>
      <c r="D2881" s="2">
        <v>4.91</v>
      </c>
      <c r="E2881" s="2">
        <v>5.49</v>
      </c>
      <c r="F2881" s="2">
        <v>3.21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</row>
    <row r="2882" spans="1:11" x14ac:dyDescent="0.2">
      <c r="A2882" s="3">
        <v>0</v>
      </c>
      <c r="B2882" s="2">
        <v>6.22</v>
      </c>
      <c r="C2882" s="2">
        <v>3.77</v>
      </c>
      <c r="D2882" s="2">
        <v>5.1100000000000003</v>
      </c>
      <c r="E2882" s="2">
        <v>5.36</v>
      </c>
      <c r="F2882" s="2">
        <v>3.19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</row>
    <row r="2883" spans="1:11" x14ac:dyDescent="0.2">
      <c r="A2883" s="1">
        <v>6.9444444444444447E-4</v>
      </c>
      <c r="B2883" s="2">
        <v>6.1499999999999995</v>
      </c>
      <c r="C2883" s="2">
        <v>3.8</v>
      </c>
      <c r="D2883" s="2">
        <v>5.28</v>
      </c>
      <c r="E2883" s="2">
        <v>5.2700000000000005</v>
      </c>
      <c r="F2883" s="2">
        <v>3.1100000000000003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</row>
    <row r="2884" spans="1:11" x14ac:dyDescent="0.2">
      <c r="A2884" s="1">
        <v>1.38888888888889E-3</v>
      </c>
      <c r="B2884" s="2">
        <v>6.14</v>
      </c>
      <c r="C2884" s="2">
        <v>3.6399999999999997</v>
      </c>
      <c r="D2884" s="2">
        <v>5.1400000000000006</v>
      </c>
      <c r="E2884" s="2">
        <v>5.08</v>
      </c>
      <c r="F2884" s="2">
        <v>3.22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</row>
    <row r="2885" spans="1:11" x14ac:dyDescent="0.2">
      <c r="A2885" s="1">
        <v>2.0833333333333298E-3</v>
      </c>
      <c r="B2885" s="2">
        <v>6.13</v>
      </c>
      <c r="C2885" s="2">
        <v>3.88</v>
      </c>
      <c r="D2885" s="2">
        <v>4.95</v>
      </c>
      <c r="E2885" s="2">
        <v>5.74</v>
      </c>
      <c r="F2885" s="2">
        <v>3.2800000000000002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</row>
    <row r="2886" spans="1:11" x14ac:dyDescent="0.2">
      <c r="A2886" s="1">
        <v>2.7777777777777801E-3</v>
      </c>
      <c r="B2886" s="2">
        <v>6.29</v>
      </c>
      <c r="C2886" s="2">
        <v>3.83</v>
      </c>
      <c r="D2886" s="2">
        <v>5.17</v>
      </c>
      <c r="E2886" s="2">
        <v>5.37</v>
      </c>
      <c r="F2886" s="2">
        <v>3.0700000000000003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</row>
    <row r="2887" spans="1:11" x14ac:dyDescent="0.2">
      <c r="A2887" s="1">
        <v>3.4722222222222199E-3</v>
      </c>
      <c r="B2887" s="2">
        <v>6.3699999999999992</v>
      </c>
      <c r="C2887" s="2">
        <v>3.88</v>
      </c>
      <c r="D2887" s="2">
        <v>5.05</v>
      </c>
      <c r="E2887" s="2">
        <v>5.72</v>
      </c>
      <c r="F2887" s="2">
        <v>2.94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</row>
    <row r="2888" spans="1:11" x14ac:dyDescent="0.2">
      <c r="A2888" s="1">
        <v>4.1666666666666701E-3</v>
      </c>
      <c r="B2888" s="2">
        <v>6.27</v>
      </c>
      <c r="C2888" s="2">
        <v>3.77</v>
      </c>
      <c r="D2888" s="2">
        <v>4.87</v>
      </c>
      <c r="E2888" s="2">
        <v>5.7</v>
      </c>
      <c r="F2888" s="2">
        <v>3.37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</row>
    <row r="2889" spans="1:11" x14ac:dyDescent="0.2">
      <c r="A2889" s="1">
        <v>4.8611111111111103E-3</v>
      </c>
      <c r="B2889" s="2">
        <v>6.3199999999999994</v>
      </c>
      <c r="C2889" s="2">
        <v>3.81</v>
      </c>
      <c r="D2889" s="2">
        <v>5.21</v>
      </c>
      <c r="E2889" s="2">
        <v>5.74</v>
      </c>
      <c r="F2889" s="2">
        <v>3.0300000000000002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</row>
    <row r="2890" spans="1:11" x14ac:dyDescent="0.2">
      <c r="A2890" s="1">
        <v>5.5555555555555601E-3</v>
      </c>
      <c r="B2890" s="2">
        <v>6.3599999999999994</v>
      </c>
      <c r="C2890" s="2">
        <v>3.82</v>
      </c>
      <c r="D2890" s="2">
        <v>5.18</v>
      </c>
      <c r="E2890" s="2">
        <v>5.45</v>
      </c>
      <c r="F2890" s="2">
        <v>2.87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</row>
    <row r="2891" spans="1:11" x14ac:dyDescent="0.2">
      <c r="A2891" s="1">
        <v>6.2500000000000003E-3</v>
      </c>
      <c r="B2891" s="2">
        <v>6.3</v>
      </c>
      <c r="C2891" s="2">
        <v>3.71</v>
      </c>
      <c r="D2891" s="2">
        <v>5.36</v>
      </c>
      <c r="E2891" s="2">
        <v>5.42</v>
      </c>
      <c r="F2891" s="2">
        <v>3.38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</row>
    <row r="2892" spans="1:11" x14ac:dyDescent="0.2">
      <c r="A2892" s="1">
        <v>6.9444444444444397E-3</v>
      </c>
      <c r="B2892" s="2">
        <v>6.14</v>
      </c>
      <c r="C2892" s="2">
        <v>3.69</v>
      </c>
      <c r="D2892" s="2">
        <v>5.15</v>
      </c>
      <c r="E2892" s="2">
        <v>5.58</v>
      </c>
      <c r="F2892" s="2">
        <v>3.12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</row>
    <row r="2893" spans="1:11" x14ac:dyDescent="0.2">
      <c r="A2893" s="1">
        <v>7.6388888888888904E-3</v>
      </c>
      <c r="B2893" s="2">
        <v>6.33</v>
      </c>
      <c r="C2893" s="2">
        <v>3.6799999999999997</v>
      </c>
      <c r="D2893" s="2">
        <v>4.9800000000000004</v>
      </c>
      <c r="E2893" s="2">
        <v>5.2</v>
      </c>
      <c r="F2893" s="2">
        <v>3.27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</row>
    <row r="2894" spans="1:11" x14ac:dyDescent="0.2">
      <c r="A2894" s="1">
        <v>8.3333333333333297E-3</v>
      </c>
      <c r="B2894" s="2">
        <v>6.38</v>
      </c>
      <c r="C2894" s="2">
        <v>3.81</v>
      </c>
      <c r="D2894" s="2">
        <v>5.2</v>
      </c>
      <c r="E2894" s="2">
        <v>5.15</v>
      </c>
      <c r="F2894" s="2">
        <v>3.2600000000000002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</row>
    <row r="2895" spans="1:11" x14ac:dyDescent="0.2">
      <c r="A2895" s="1">
        <v>9.0277777777777804E-3</v>
      </c>
      <c r="B2895" s="2">
        <v>6.17</v>
      </c>
      <c r="C2895" s="2">
        <v>3.7399999999999998</v>
      </c>
      <c r="D2895" s="2">
        <v>4.8899999999999997</v>
      </c>
      <c r="E2895" s="2">
        <v>5.41</v>
      </c>
      <c r="F2895" s="2">
        <v>3.25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</row>
    <row r="2896" spans="1:11" x14ac:dyDescent="0.2">
      <c r="A2896" s="1">
        <v>9.7222222222222206E-3</v>
      </c>
      <c r="B2896" s="2">
        <v>6.1899999999999995</v>
      </c>
      <c r="C2896" s="2">
        <v>3.65</v>
      </c>
      <c r="D2896" s="2">
        <v>5.37</v>
      </c>
      <c r="E2896" s="2">
        <v>5.0999999999999996</v>
      </c>
      <c r="F2896" s="2">
        <v>3.19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</row>
    <row r="2897" spans="1:11" x14ac:dyDescent="0.2">
      <c r="A2897" s="1">
        <v>1.0416666666666701E-2</v>
      </c>
      <c r="B2897" s="2">
        <v>6.1599999999999993</v>
      </c>
      <c r="C2897" s="2">
        <v>3.6199999999999997</v>
      </c>
      <c r="D2897" s="2">
        <v>4.97</v>
      </c>
      <c r="E2897" s="2">
        <v>5.58</v>
      </c>
      <c r="F2897" s="2">
        <v>3.0700000000000003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</row>
    <row r="2898" spans="1:11" x14ac:dyDescent="0.2">
      <c r="A2898" s="1">
        <v>1.1111111111111099E-2</v>
      </c>
      <c r="B2898" s="2">
        <v>6.1099999999999994</v>
      </c>
      <c r="C2898" s="2">
        <v>3.8899999999999997</v>
      </c>
      <c r="D2898" s="2">
        <v>4.9000000000000004</v>
      </c>
      <c r="E2898" s="2">
        <v>5.26</v>
      </c>
      <c r="F2898" s="2">
        <v>3.3600000000000003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</row>
    <row r="2899" spans="1:11" x14ac:dyDescent="0.2">
      <c r="A2899" s="1">
        <v>1.18055555555556E-2</v>
      </c>
      <c r="B2899" s="2">
        <v>6.1899999999999995</v>
      </c>
      <c r="C2899" s="2">
        <v>3.78</v>
      </c>
      <c r="D2899" s="2">
        <v>5.3</v>
      </c>
      <c r="E2899" s="2">
        <v>5.57</v>
      </c>
      <c r="F2899" s="2">
        <v>2.96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</row>
    <row r="2900" spans="1:11" x14ac:dyDescent="0.2">
      <c r="A2900" s="1">
        <v>1.2500000000000001E-2</v>
      </c>
      <c r="B2900" s="2">
        <v>6.25</v>
      </c>
      <c r="C2900" s="2">
        <v>3.67</v>
      </c>
      <c r="D2900" s="2">
        <v>5.15</v>
      </c>
      <c r="E2900" s="2">
        <v>5.34</v>
      </c>
      <c r="F2900" s="2">
        <v>3.18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</row>
    <row r="2901" spans="1:11" x14ac:dyDescent="0.2">
      <c r="A2901" s="1">
        <v>1.3194444444444399E-2</v>
      </c>
      <c r="B2901" s="2">
        <v>6.22</v>
      </c>
      <c r="C2901" s="2">
        <v>3.8899999999999997</v>
      </c>
      <c r="D2901" s="2">
        <v>5.21</v>
      </c>
      <c r="E2901" s="2">
        <v>5.61</v>
      </c>
      <c r="F2901" s="2">
        <v>3.31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</row>
    <row r="2902" spans="1:11" x14ac:dyDescent="0.2">
      <c r="A2902" s="1">
        <v>1.38888888888889E-2</v>
      </c>
      <c r="B2902" s="2">
        <v>6.17</v>
      </c>
      <c r="C2902" s="2">
        <v>3.8499999999999996</v>
      </c>
      <c r="D2902" s="2">
        <v>5.0200000000000005</v>
      </c>
      <c r="E2902" s="2">
        <v>5.22</v>
      </c>
      <c r="F2902" s="2">
        <v>3.25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</row>
    <row r="2903" spans="1:11" x14ac:dyDescent="0.2">
      <c r="A2903" s="1">
        <v>1.4583333333333301E-2</v>
      </c>
      <c r="B2903" s="2">
        <v>6.22</v>
      </c>
      <c r="C2903" s="2">
        <v>3.6399999999999997</v>
      </c>
      <c r="D2903" s="2">
        <v>5.08</v>
      </c>
      <c r="E2903" s="2">
        <v>5.09</v>
      </c>
      <c r="F2903" s="2">
        <v>3.2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</row>
    <row r="2904" spans="1:11" x14ac:dyDescent="0.2">
      <c r="A2904" s="1">
        <v>1.52777777777778E-2</v>
      </c>
      <c r="B2904" s="2">
        <v>6.1899999999999995</v>
      </c>
      <c r="C2904" s="2">
        <v>3.67</v>
      </c>
      <c r="D2904" s="2">
        <v>5.03</v>
      </c>
      <c r="E2904" s="2">
        <v>5.35</v>
      </c>
      <c r="F2904" s="2">
        <v>3.37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</row>
    <row r="2905" spans="1:11" x14ac:dyDescent="0.2">
      <c r="A2905" s="1">
        <v>1.59722222222222E-2</v>
      </c>
      <c r="B2905" s="2">
        <v>6.17</v>
      </c>
      <c r="C2905" s="2">
        <v>3.6199999999999997</v>
      </c>
      <c r="D2905" s="2">
        <v>5.04</v>
      </c>
      <c r="E2905" s="2">
        <v>5.2</v>
      </c>
      <c r="F2905" s="2">
        <v>3.2800000000000002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</row>
    <row r="2906" spans="1:11" x14ac:dyDescent="0.2">
      <c r="A2906" s="1">
        <v>1.6666666666666701E-2</v>
      </c>
      <c r="B2906" s="2">
        <v>6.21</v>
      </c>
      <c r="C2906" s="2">
        <v>3.8499999999999996</v>
      </c>
      <c r="D2906" s="2">
        <v>5.29</v>
      </c>
      <c r="E2906" s="2">
        <v>5.62</v>
      </c>
      <c r="F2906" s="2">
        <v>2.95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</row>
    <row r="2907" spans="1:11" x14ac:dyDescent="0.2">
      <c r="A2907" s="1">
        <v>1.7361111111111101E-2</v>
      </c>
      <c r="B2907" s="2">
        <v>6.1899999999999995</v>
      </c>
      <c r="C2907" s="2">
        <v>3.59</v>
      </c>
      <c r="D2907" s="2">
        <v>5.18</v>
      </c>
      <c r="E2907" s="2">
        <v>5.12</v>
      </c>
      <c r="F2907" s="2">
        <v>3.2800000000000002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</row>
    <row r="2908" spans="1:11" x14ac:dyDescent="0.2">
      <c r="A2908" s="1">
        <v>1.8055555555555599E-2</v>
      </c>
      <c r="B2908" s="2">
        <v>6.3699999999999992</v>
      </c>
      <c r="C2908" s="2">
        <v>3.82</v>
      </c>
      <c r="D2908" s="2">
        <v>5.2</v>
      </c>
      <c r="E2908" s="2">
        <v>5.18</v>
      </c>
      <c r="F2908" s="2">
        <v>3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</row>
    <row r="2909" spans="1:11" x14ac:dyDescent="0.2">
      <c r="A2909" s="1">
        <v>1.8749999999999999E-2</v>
      </c>
      <c r="B2909" s="2">
        <v>6.25</v>
      </c>
      <c r="C2909" s="2">
        <v>3.6199999999999997</v>
      </c>
      <c r="D2909" s="2">
        <v>5.2700000000000005</v>
      </c>
      <c r="E2909" s="2">
        <v>5.51</v>
      </c>
      <c r="F2909" s="2">
        <v>3.29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</row>
    <row r="2910" spans="1:11" x14ac:dyDescent="0.2">
      <c r="A2910" s="1">
        <v>1.94444444444444E-2</v>
      </c>
      <c r="B2910" s="2">
        <v>6.1899999999999995</v>
      </c>
      <c r="C2910" s="2">
        <v>3.9</v>
      </c>
      <c r="D2910" s="2">
        <v>5.05</v>
      </c>
      <c r="E2910" s="2">
        <v>5.47</v>
      </c>
      <c r="F2910" s="2">
        <v>3.1500000000000004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</row>
    <row r="2911" spans="1:11" x14ac:dyDescent="0.2">
      <c r="A2911" s="1">
        <v>2.0138888888888901E-2</v>
      </c>
      <c r="B2911" s="2">
        <v>6.2299999999999995</v>
      </c>
      <c r="C2911" s="2">
        <v>3.6199999999999997</v>
      </c>
      <c r="D2911" s="2">
        <v>5.18</v>
      </c>
      <c r="E2911" s="2">
        <v>5.42</v>
      </c>
      <c r="F2911" s="2">
        <v>3.2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</row>
    <row r="2912" spans="1:11" x14ac:dyDescent="0.2">
      <c r="A2912" s="1">
        <v>2.0833333333333301E-2</v>
      </c>
      <c r="B2912" s="2">
        <v>6.13</v>
      </c>
      <c r="C2912" s="2">
        <v>3.82</v>
      </c>
      <c r="D2912" s="2">
        <v>4.9400000000000004</v>
      </c>
      <c r="E2912" s="2">
        <v>5.53</v>
      </c>
      <c r="F2912" s="2">
        <v>2.9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</row>
    <row r="2913" spans="1:11" x14ac:dyDescent="0.2">
      <c r="A2913" s="1">
        <v>2.1527777777777798E-2</v>
      </c>
      <c r="B2913" s="2">
        <v>6.31</v>
      </c>
      <c r="C2913" s="2">
        <v>3.69</v>
      </c>
      <c r="D2913" s="2">
        <v>4.91</v>
      </c>
      <c r="E2913" s="2">
        <v>5.66</v>
      </c>
      <c r="F2913" s="2">
        <v>3.16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</row>
    <row r="2914" spans="1:11" x14ac:dyDescent="0.2">
      <c r="A2914" s="1">
        <v>2.2222222222222199E-2</v>
      </c>
      <c r="B2914" s="2">
        <v>6.1</v>
      </c>
      <c r="C2914" s="2">
        <v>3.8499999999999996</v>
      </c>
      <c r="D2914" s="2">
        <v>5.03</v>
      </c>
      <c r="E2914" s="2">
        <v>5.75</v>
      </c>
      <c r="F2914" s="2">
        <v>3.35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</row>
    <row r="2915" spans="1:11" x14ac:dyDescent="0.2">
      <c r="A2915" s="1">
        <v>2.29166666666667E-2</v>
      </c>
      <c r="B2915" s="2">
        <v>6.38</v>
      </c>
      <c r="C2915" s="2">
        <v>3.73</v>
      </c>
      <c r="D2915" s="2">
        <v>5.1100000000000003</v>
      </c>
      <c r="E2915" s="2">
        <v>5.37</v>
      </c>
      <c r="F2915" s="2">
        <v>3.2800000000000002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</row>
    <row r="2916" spans="1:11" x14ac:dyDescent="0.2">
      <c r="A2916" s="1">
        <v>2.36111111111111E-2</v>
      </c>
      <c r="B2916" s="2">
        <v>6.38</v>
      </c>
      <c r="C2916" s="2">
        <v>3.75</v>
      </c>
      <c r="D2916" s="2">
        <v>5.21</v>
      </c>
      <c r="E2916" s="2">
        <v>5.61</v>
      </c>
      <c r="F2916" s="2">
        <v>2.92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</row>
    <row r="2917" spans="1:11" x14ac:dyDescent="0.2">
      <c r="A2917" s="1">
        <v>2.4305555555555601E-2</v>
      </c>
      <c r="B2917" s="2">
        <v>6.35</v>
      </c>
      <c r="C2917" s="2">
        <v>3.59</v>
      </c>
      <c r="D2917" s="2">
        <v>5.1100000000000003</v>
      </c>
      <c r="E2917" s="2">
        <v>5.15</v>
      </c>
      <c r="F2917" s="2">
        <v>2.97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</row>
    <row r="2918" spans="1:11" x14ac:dyDescent="0.2">
      <c r="A2918" s="1">
        <v>2.5000000000000001E-2</v>
      </c>
      <c r="B2918" s="2">
        <v>6.27</v>
      </c>
      <c r="C2918" s="2">
        <v>3.5999999999999996</v>
      </c>
      <c r="D2918" s="2">
        <v>5.12</v>
      </c>
      <c r="E2918" s="2">
        <v>5.57</v>
      </c>
      <c r="F2918" s="2">
        <v>3.37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</row>
    <row r="2919" spans="1:11" x14ac:dyDescent="0.2">
      <c r="A2919" s="1">
        <v>2.5694444444444402E-2</v>
      </c>
      <c r="B2919" s="2">
        <v>6.27</v>
      </c>
      <c r="C2919" s="2">
        <v>3.6199999999999997</v>
      </c>
      <c r="D2919" s="2">
        <v>4.9000000000000004</v>
      </c>
      <c r="E2919" s="2">
        <v>5.73</v>
      </c>
      <c r="F2919" s="2">
        <v>3.38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</row>
    <row r="2920" spans="1:11" x14ac:dyDescent="0.2">
      <c r="A2920" s="1">
        <v>2.6388888888888899E-2</v>
      </c>
      <c r="B2920" s="2">
        <v>6.2299999999999995</v>
      </c>
      <c r="C2920" s="2">
        <v>3.84</v>
      </c>
      <c r="D2920" s="2">
        <v>5.21</v>
      </c>
      <c r="E2920" s="2">
        <v>5.23</v>
      </c>
      <c r="F2920" s="2">
        <v>3.2600000000000002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</row>
    <row r="2921" spans="1:11" x14ac:dyDescent="0.2">
      <c r="A2921" s="1">
        <v>2.70833333333333E-2</v>
      </c>
      <c r="B2921" s="2">
        <v>6.33</v>
      </c>
      <c r="C2921" s="2">
        <v>3.79</v>
      </c>
      <c r="D2921" s="2">
        <v>5.09</v>
      </c>
      <c r="E2921" s="2">
        <v>5.76</v>
      </c>
      <c r="F2921" s="2">
        <v>3.3600000000000003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</row>
    <row r="2922" spans="1:11" x14ac:dyDescent="0.2">
      <c r="A2922" s="1">
        <v>2.7777777777777801E-2</v>
      </c>
      <c r="B2922" s="2">
        <v>6.3199999999999994</v>
      </c>
      <c r="C2922" s="2">
        <v>3.88</v>
      </c>
      <c r="D2922" s="2">
        <v>4.91</v>
      </c>
      <c r="E2922" s="2">
        <v>5.47</v>
      </c>
      <c r="F2922" s="2">
        <v>2.92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</row>
    <row r="2923" spans="1:11" x14ac:dyDescent="0.2">
      <c r="A2923" s="1">
        <v>2.8472222222222201E-2</v>
      </c>
      <c r="B2923" s="2">
        <v>6.14</v>
      </c>
      <c r="C2923" s="2">
        <v>3.8</v>
      </c>
      <c r="D2923" s="2">
        <v>4.97</v>
      </c>
      <c r="E2923" s="2">
        <v>5.14</v>
      </c>
      <c r="F2923" s="2">
        <v>3.3000000000000003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</row>
    <row r="2924" spans="1:11" x14ac:dyDescent="0.2">
      <c r="A2924" s="1">
        <v>2.9166666666666698E-2</v>
      </c>
      <c r="B2924" s="2">
        <v>6.3</v>
      </c>
      <c r="C2924" s="2">
        <v>3.86</v>
      </c>
      <c r="D2924" s="2">
        <v>5.25</v>
      </c>
      <c r="E2924" s="2">
        <v>5.74</v>
      </c>
      <c r="F2924" s="2">
        <v>3.22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</row>
    <row r="2925" spans="1:11" x14ac:dyDescent="0.2">
      <c r="A2925" s="1">
        <v>2.9861111111111099E-2</v>
      </c>
      <c r="B2925" s="2">
        <v>6.3</v>
      </c>
      <c r="C2925" s="2">
        <v>3.6799999999999997</v>
      </c>
      <c r="D2925" s="2">
        <v>5.32</v>
      </c>
      <c r="E2925" s="2">
        <v>5.39</v>
      </c>
      <c r="F2925" s="2">
        <v>3.38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</row>
    <row r="2926" spans="1:11" x14ac:dyDescent="0.2">
      <c r="A2926" s="1">
        <v>3.05555555555556E-2</v>
      </c>
      <c r="B2926" s="2">
        <v>6.25</v>
      </c>
      <c r="C2926" s="2">
        <v>3.77</v>
      </c>
      <c r="D2926" s="2">
        <v>5.28</v>
      </c>
      <c r="E2926" s="2">
        <v>5.26</v>
      </c>
      <c r="F2926" s="2">
        <v>3.2600000000000002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</row>
    <row r="2927" spans="1:11" x14ac:dyDescent="0.2">
      <c r="A2927" s="1">
        <v>3.125E-2</v>
      </c>
      <c r="B2927" s="2">
        <v>6.34</v>
      </c>
      <c r="C2927" s="2">
        <v>3.8899999999999997</v>
      </c>
      <c r="D2927" s="2">
        <v>4.8899999999999997</v>
      </c>
      <c r="E2927" s="2">
        <v>5.74</v>
      </c>
      <c r="F2927" s="2">
        <v>3.3200000000000003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</row>
    <row r="2928" spans="1:11" x14ac:dyDescent="0.2">
      <c r="A2928" s="1">
        <v>3.19444444444444E-2</v>
      </c>
      <c r="B2928" s="2">
        <v>6.35</v>
      </c>
      <c r="C2928" s="2">
        <v>3.73</v>
      </c>
      <c r="D2928" s="2">
        <v>5.15</v>
      </c>
      <c r="E2928" s="2">
        <v>5.61</v>
      </c>
      <c r="F2928" s="2">
        <v>3.3400000000000003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</row>
    <row r="2929" spans="1:11" x14ac:dyDescent="0.2">
      <c r="A2929" s="1">
        <v>3.2638888888888898E-2</v>
      </c>
      <c r="B2929" s="2">
        <v>6.27</v>
      </c>
      <c r="C2929" s="2">
        <v>3.78</v>
      </c>
      <c r="D2929" s="2">
        <v>5.2700000000000005</v>
      </c>
      <c r="E2929" s="2">
        <v>5.12</v>
      </c>
      <c r="F2929" s="2">
        <v>3.21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</row>
    <row r="2930" spans="1:11" x14ac:dyDescent="0.2">
      <c r="A2930" s="1">
        <v>3.3333333333333298E-2</v>
      </c>
      <c r="B2930" s="2">
        <v>6.3599999999999994</v>
      </c>
      <c r="C2930" s="2">
        <v>3.87</v>
      </c>
      <c r="D2930" s="2">
        <v>5.0600000000000005</v>
      </c>
      <c r="E2930" s="2">
        <v>5.57</v>
      </c>
      <c r="F2930" s="2">
        <v>3.37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</row>
    <row r="2931" spans="1:11" x14ac:dyDescent="0.2">
      <c r="A2931" s="1">
        <v>3.4027777777777803E-2</v>
      </c>
      <c r="B2931" s="2">
        <v>6.27</v>
      </c>
      <c r="C2931" s="2">
        <v>3.82</v>
      </c>
      <c r="D2931" s="2">
        <v>5.22</v>
      </c>
      <c r="E2931" s="2">
        <v>5.16</v>
      </c>
      <c r="F2931" s="2">
        <v>3.27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</row>
    <row r="2932" spans="1:11" x14ac:dyDescent="0.2">
      <c r="A2932" s="1">
        <v>3.4722222222222203E-2</v>
      </c>
      <c r="B2932" s="2">
        <v>6.13</v>
      </c>
      <c r="C2932" s="2">
        <v>3.63</v>
      </c>
      <c r="D2932" s="2">
        <v>5.26</v>
      </c>
      <c r="E2932" s="2">
        <v>5.08</v>
      </c>
      <c r="F2932" s="2">
        <v>3.33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</row>
    <row r="2933" spans="1:11" x14ac:dyDescent="0.2">
      <c r="A2933" s="1">
        <v>3.54166666666667E-2</v>
      </c>
      <c r="B2933" s="2">
        <v>6.25</v>
      </c>
      <c r="C2933" s="2">
        <v>3.76</v>
      </c>
      <c r="D2933" s="2">
        <v>5.3100000000000005</v>
      </c>
      <c r="E2933" s="2">
        <v>5.39</v>
      </c>
      <c r="F2933" s="2">
        <v>3.31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</row>
    <row r="2934" spans="1:11" x14ac:dyDescent="0.2">
      <c r="A2934" s="1">
        <v>3.6111111111111101E-2</v>
      </c>
      <c r="B2934" s="2">
        <v>6.17</v>
      </c>
      <c r="C2934" s="2">
        <v>3.67</v>
      </c>
      <c r="D2934" s="2">
        <v>4.99</v>
      </c>
      <c r="E2934" s="2">
        <v>5.4</v>
      </c>
      <c r="F2934" s="2">
        <v>2.97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</row>
    <row r="2935" spans="1:11" x14ac:dyDescent="0.2">
      <c r="A2935" s="1">
        <v>3.6805555555555598E-2</v>
      </c>
      <c r="B2935" s="2">
        <v>6.2399999999999993</v>
      </c>
      <c r="C2935" s="2">
        <v>3.61</v>
      </c>
      <c r="D2935" s="2">
        <v>4.9400000000000004</v>
      </c>
      <c r="E2935" s="2">
        <v>5.23</v>
      </c>
      <c r="F2935" s="2">
        <v>3.35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</row>
    <row r="2936" spans="1:11" x14ac:dyDescent="0.2">
      <c r="A2936" s="1">
        <v>3.7499999999999999E-2</v>
      </c>
      <c r="B2936" s="2">
        <v>6.38</v>
      </c>
      <c r="C2936" s="2">
        <v>3.88</v>
      </c>
      <c r="D2936" s="2">
        <v>5.1400000000000006</v>
      </c>
      <c r="E2936" s="2">
        <v>5.6</v>
      </c>
      <c r="F2936" s="2">
        <v>2.9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</row>
    <row r="2937" spans="1:11" x14ac:dyDescent="0.2">
      <c r="A2937" s="1">
        <v>3.8194444444444399E-2</v>
      </c>
      <c r="B2937" s="2">
        <v>6.27</v>
      </c>
      <c r="C2937" s="2">
        <v>3.8899999999999997</v>
      </c>
      <c r="D2937" s="2">
        <v>5.16</v>
      </c>
      <c r="E2937" s="2">
        <v>5.22</v>
      </c>
      <c r="F2937" s="2">
        <v>3.16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</row>
    <row r="2938" spans="1:11" x14ac:dyDescent="0.2">
      <c r="A2938" s="1">
        <v>3.8888888888888903E-2</v>
      </c>
      <c r="B2938" s="2">
        <v>6.2399999999999993</v>
      </c>
      <c r="C2938" s="2">
        <v>3.8899999999999997</v>
      </c>
      <c r="D2938" s="2">
        <v>5.13</v>
      </c>
      <c r="E2938" s="2">
        <v>5.37</v>
      </c>
      <c r="F2938" s="2">
        <v>3.1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</row>
    <row r="2939" spans="1:11" x14ac:dyDescent="0.2">
      <c r="A2939" s="1">
        <v>3.9583333333333297E-2</v>
      </c>
      <c r="B2939" s="2">
        <v>6.31</v>
      </c>
      <c r="C2939" s="2">
        <v>3.77</v>
      </c>
      <c r="D2939" s="2">
        <v>5.0600000000000005</v>
      </c>
      <c r="E2939" s="2">
        <v>5.72</v>
      </c>
      <c r="F2939" s="2">
        <v>2.94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</row>
    <row r="2940" spans="1:11" x14ac:dyDescent="0.2">
      <c r="A2940" s="1">
        <v>4.0277777777777801E-2</v>
      </c>
      <c r="B2940" s="2">
        <v>6.3</v>
      </c>
      <c r="C2940" s="2">
        <v>3.61</v>
      </c>
      <c r="D2940" s="2">
        <v>5.32</v>
      </c>
      <c r="E2940" s="2">
        <v>5.17</v>
      </c>
      <c r="F2940" s="2">
        <v>3.1500000000000004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</row>
    <row r="2941" spans="1:11" x14ac:dyDescent="0.2">
      <c r="A2941" s="1">
        <v>4.0972222222222202E-2</v>
      </c>
      <c r="B2941" s="2">
        <v>6.2399999999999993</v>
      </c>
      <c r="C2941" s="2">
        <v>3.8499999999999996</v>
      </c>
      <c r="D2941" s="2">
        <v>5.1000000000000005</v>
      </c>
      <c r="E2941" s="2">
        <v>5.62</v>
      </c>
      <c r="F2941" s="2">
        <v>3.33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</row>
    <row r="2942" spans="1:11" x14ac:dyDescent="0.2">
      <c r="A2942" s="3">
        <v>4.1666666666666699E-2</v>
      </c>
      <c r="B2942" s="2">
        <v>6.23</v>
      </c>
      <c r="C2942" s="2">
        <v>3.78</v>
      </c>
      <c r="D2942" s="2">
        <v>5.12</v>
      </c>
      <c r="E2942" s="2">
        <v>5.36</v>
      </c>
      <c r="F2942" s="2">
        <v>3.19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</row>
    <row r="2943" spans="1:11" x14ac:dyDescent="0.2">
      <c r="A2943" s="1">
        <v>4.2361111111111099E-2</v>
      </c>
      <c r="B2943" s="2">
        <v>6.1499999999999995</v>
      </c>
      <c r="C2943" s="2">
        <v>3.83</v>
      </c>
      <c r="D2943" s="2">
        <v>5.16</v>
      </c>
      <c r="E2943" s="2">
        <v>5.39</v>
      </c>
      <c r="F2943" s="2">
        <v>3.06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</row>
    <row r="2944" spans="1:11" x14ac:dyDescent="0.2">
      <c r="A2944" s="1">
        <v>4.3055555555555597E-2</v>
      </c>
      <c r="B2944" s="2">
        <v>6.14</v>
      </c>
      <c r="C2944" s="2">
        <v>3.6399999999999997</v>
      </c>
      <c r="D2944" s="2">
        <v>5.3599999999999994</v>
      </c>
      <c r="E2944" s="2">
        <v>5.42</v>
      </c>
      <c r="F2944" s="2">
        <v>2.99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</row>
    <row r="2945" spans="1:11" x14ac:dyDescent="0.2">
      <c r="A2945" s="1">
        <v>4.3749999999999997E-2</v>
      </c>
      <c r="B2945" s="2">
        <v>6.21</v>
      </c>
      <c r="C2945" s="2">
        <v>3.75</v>
      </c>
      <c r="D2945" s="2">
        <v>5.05</v>
      </c>
      <c r="E2945" s="2">
        <v>5.6</v>
      </c>
      <c r="F2945" s="2">
        <v>3.39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</row>
    <row r="2946" spans="1:11" x14ac:dyDescent="0.2">
      <c r="A2946" s="1">
        <v>4.4444444444444398E-2</v>
      </c>
      <c r="B2946" s="2">
        <v>6.18</v>
      </c>
      <c r="C2946" s="2">
        <v>3.6999999999999997</v>
      </c>
      <c r="D2946" s="2">
        <v>5.0999999999999996</v>
      </c>
      <c r="E2946" s="2">
        <v>5.26</v>
      </c>
      <c r="F2946" s="2">
        <v>3.17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</row>
    <row r="2947" spans="1:11" x14ac:dyDescent="0.2">
      <c r="A2947" s="1">
        <v>4.5138888888888902E-2</v>
      </c>
      <c r="B2947" s="2">
        <v>6.1499999999999995</v>
      </c>
      <c r="C2947" s="2">
        <v>3.8499999999999996</v>
      </c>
      <c r="D2947" s="2">
        <v>5.16</v>
      </c>
      <c r="E2947" s="2">
        <v>5.49</v>
      </c>
      <c r="F2947" s="2">
        <v>3.13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</row>
    <row r="2948" spans="1:11" x14ac:dyDescent="0.2">
      <c r="A2948" s="1">
        <v>4.5833333333333302E-2</v>
      </c>
      <c r="B2948" s="2">
        <v>6.25</v>
      </c>
      <c r="C2948" s="2">
        <v>3.69</v>
      </c>
      <c r="D2948" s="2">
        <v>5.04</v>
      </c>
      <c r="E2948" s="2">
        <v>5.74</v>
      </c>
      <c r="F2948" s="2">
        <v>2.94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</row>
    <row r="2949" spans="1:11" x14ac:dyDescent="0.2">
      <c r="A2949" s="1">
        <v>4.65277777777778E-2</v>
      </c>
      <c r="B2949" s="2">
        <v>6.1899999999999995</v>
      </c>
      <c r="C2949" s="2">
        <v>3.63</v>
      </c>
      <c r="D2949" s="2">
        <v>5.0599999999999996</v>
      </c>
      <c r="E2949" s="2">
        <v>5.7</v>
      </c>
      <c r="F2949" s="2">
        <v>3.24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</row>
    <row r="2950" spans="1:11" x14ac:dyDescent="0.2">
      <c r="A2950" s="1">
        <v>4.72222222222222E-2</v>
      </c>
      <c r="B2950" s="2">
        <v>6.2399999999999993</v>
      </c>
      <c r="C2950" s="2">
        <v>3.6399999999999997</v>
      </c>
      <c r="D2950" s="2">
        <v>4.9899999999999993</v>
      </c>
      <c r="E2950" s="2">
        <v>5.39</v>
      </c>
      <c r="F2950" s="2">
        <v>3.12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</row>
    <row r="2951" spans="1:11" x14ac:dyDescent="0.2">
      <c r="A2951" s="1">
        <v>4.7916666666666698E-2</v>
      </c>
      <c r="B2951" s="2">
        <v>6.3199999999999994</v>
      </c>
      <c r="C2951" s="2">
        <v>3.67</v>
      </c>
      <c r="D2951" s="2">
        <v>5.27</v>
      </c>
      <c r="E2951" s="2">
        <v>5.37</v>
      </c>
      <c r="F2951" s="2">
        <v>3.35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</row>
    <row r="2952" spans="1:11" x14ac:dyDescent="0.2">
      <c r="A2952" s="1">
        <v>4.8611111111111098E-2</v>
      </c>
      <c r="B2952" s="2">
        <v>6.2299999999999995</v>
      </c>
      <c r="C2952" s="2">
        <v>3.6999999999999997</v>
      </c>
      <c r="D2952" s="2">
        <v>4.9499999999999993</v>
      </c>
      <c r="E2952" s="2">
        <v>5.44</v>
      </c>
      <c r="F2952" s="2">
        <v>3.27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</row>
    <row r="2953" spans="1:11" x14ac:dyDescent="0.2">
      <c r="A2953" s="1">
        <v>4.9305555555555602E-2</v>
      </c>
      <c r="B2953" s="2">
        <v>6.35</v>
      </c>
      <c r="C2953" s="2">
        <v>3.65</v>
      </c>
      <c r="D2953" s="2">
        <v>5.2399999999999993</v>
      </c>
      <c r="E2953" s="2">
        <v>5.34</v>
      </c>
      <c r="F2953" s="2">
        <v>3.1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</row>
    <row r="2954" spans="1:11" x14ac:dyDescent="0.2">
      <c r="A2954" s="1">
        <v>0.05</v>
      </c>
      <c r="B2954" s="2">
        <v>6.1999999999999993</v>
      </c>
      <c r="C2954" s="2">
        <v>3.84</v>
      </c>
      <c r="D2954" s="2">
        <v>5.35</v>
      </c>
      <c r="E2954" s="2">
        <v>5.6</v>
      </c>
      <c r="F2954" s="2">
        <v>3.22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</row>
    <row r="2955" spans="1:11" x14ac:dyDescent="0.2">
      <c r="A2955" s="1">
        <v>5.0694444444444403E-2</v>
      </c>
      <c r="B2955" s="2">
        <v>6.13</v>
      </c>
      <c r="C2955" s="2">
        <v>3.6799999999999997</v>
      </c>
      <c r="D2955" s="2">
        <v>5.1999999999999993</v>
      </c>
      <c r="E2955" s="2">
        <v>5.39</v>
      </c>
      <c r="F2955" s="2">
        <v>3.0500000000000003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</row>
    <row r="2956" spans="1:11" x14ac:dyDescent="0.2">
      <c r="A2956" s="1">
        <v>5.1388888888888901E-2</v>
      </c>
      <c r="B2956" s="2">
        <v>6.35</v>
      </c>
      <c r="C2956" s="2">
        <v>3.59</v>
      </c>
      <c r="D2956" s="2">
        <v>5.3599999999999994</v>
      </c>
      <c r="E2956" s="2">
        <v>5.72</v>
      </c>
      <c r="F2956" s="2">
        <v>3.27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</row>
    <row r="2957" spans="1:11" x14ac:dyDescent="0.2">
      <c r="A2957" s="1">
        <v>5.2083333333333301E-2</v>
      </c>
      <c r="B2957" s="2">
        <v>6.21</v>
      </c>
      <c r="C2957" s="2">
        <v>3.7199999999999998</v>
      </c>
      <c r="D2957" s="2">
        <v>5.0699999999999994</v>
      </c>
      <c r="E2957" s="2">
        <v>5.08</v>
      </c>
      <c r="F2957" s="2">
        <v>3.29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</row>
    <row r="2958" spans="1:11" x14ac:dyDescent="0.2">
      <c r="A2958" s="1">
        <v>5.2777777777777798E-2</v>
      </c>
      <c r="B2958" s="2">
        <v>6.31</v>
      </c>
      <c r="C2958" s="2">
        <v>3.84</v>
      </c>
      <c r="D2958" s="2">
        <v>5.34</v>
      </c>
      <c r="E2958" s="2">
        <v>5.5200000000000005</v>
      </c>
      <c r="F2958" s="2">
        <v>3.24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</row>
    <row r="2959" spans="1:11" x14ac:dyDescent="0.2">
      <c r="A2959" s="1">
        <v>5.3472222222222199E-2</v>
      </c>
      <c r="B2959" s="2">
        <v>6.1999999999999993</v>
      </c>
      <c r="C2959" s="2">
        <v>3.78</v>
      </c>
      <c r="D2959" s="2">
        <v>4.92</v>
      </c>
      <c r="E2959" s="2">
        <v>5.62</v>
      </c>
      <c r="F2959" s="2">
        <v>2.95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</row>
    <row r="2960" spans="1:11" x14ac:dyDescent="0.2">
      <c r="A2960" s="1">
        <v>5.4166666666666703E-2</v>
      </c>
      <c r="B2960" s="2">
        <v>6.1</v>
      </c>
      <c r="C2960" s="2">
        <v>3.71</v>
      </c>
      <c r="D2960" s="2">
        <v>5.22</v>
      </c>
      <c r="E2960" s="2">
        <v>5.17</v>
      </c>
      <c r="F2960" s="2">
        <v>3.31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</row>
    <row r="2961" spans="1:11" x14ac:dyDescent="0.2">
      <c r="A2961" s="1">
        <v>5.4861111111111097E-2</v>
      </c>
      <c r="B2961" s="2">
        <v>6.25</v>
      </c>
      <c r="C2961" s="2">
        <v>3.8</v>
      </c>
      <c r="D2961" s="2">
        <v>4.9399999999999995</v>
      </c>
      <c r="E2961" s="2">
        <v>5.74</v>
      </c>
      <c r="F2961" s="2">
        <v>3.0100000000000002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</row>
    <row r="2962" spans="1:11" x14ac:dyDescent="0.2">
      <c r="A2962" s="1">
        <v>5.5555555555555601E-2</v>
      </c>
      <c r="B2962" s="2">
        <v>6.3199999999999994</v>
      </c>
      <c r="C2962" s="2">
        <v>3.6999999999999997</v>
      </c>
      <c r="D2962" s="2">
        <v>4.9499999999999993</v>
      </c>
      <c r="E2962" s="2">
        <v>5.3100000000000005</v>
      </c>
      <c r="F2962" s="2">
        <v>3.08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</row>
    <row r="2963" spans="1:11" x14ac:dyDescent="0.2">
      <c r="A2963" s="1">
        <v>5.6250000000000001E-2</v>
      </c>
      <c r="B2963" s="2">
        <v>6.1099999999999994</v>
      </c>
      <c r="C2963" s="2">
        <v>3.67</v>
      </c>
      <c r="D2963" s="2">
        <v>4.9899999999999993</v>
      </c>
      <c r="E2963" s="2">
        <v>5.33</v>
      </c>
      <c r="F2963" s="2">
        <v>3.37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</row>
    <row r="2964" spans="1:11" x14ac:dyDescent="0.2">
      <c r="A2964" s="1">
        <v>5.6944444444444402E-2</v>
      </c>
      <c r="B2964" s="2">
        <v>6.33</v>
      </c>
      <c r="C2964" s="2">
        <v>3.8</v>
      </c>
      <c r="D2964" s="2">
        <v>5.35</v>
      </c>
      <c r="E2964" s="2">
        <v>5.55</v>
      </c>
      <c r="F2964" s="2">
        <v>3.38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</row>
    <row r="2965" spans="1:11" x14ac:dyDescent="0.2">
      <c r="A2965" s="1">
        <v>5.7638888888888899E-2</v>
      </c>
      <c r="B2965" s="2">
        <v>6.35</v>
      </c>
      <c r="C2965" s="2">
        <v>3.6799999999999997</v>
      </c>
      <c r="D2965" s="2">
        <v>5.2299999999999995</v>
      </c>
      <c r="E2965" s="2">
        <v>5.55</v>
      </c>
      <c r="F2965" s="2">
        <v>3.12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</row>
    <row r="2966" spans="1:11" x14ac:dyDescent="0.2">
      <c r="A2966" s="1">
        <v>5.83333333333333E-2</v>
      </c>
      <c r="B2966" s="2">
        <v>6.33</v>
      </c>
      <c r="C2966" s="2">
        <v>3.6599999999999997</v>
      </c>
      <c r="D2966" s="2">
        <v>5.22</v>
      </c>
      <c r="E2966" s="2">
        <v>5.2700000000000005</v>
      </c>
      <c r="F2966" s="2">
        <v>2.98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 x14ac:dyDescent="0.2">
      <c r="A2967" s="1">
        <v>5.9027777777777797E-2</v>
      </c>
      <c r="B2967" s="2">
        <v>6.3599999999999994</v>
      </c>
      <c r="C2967" s="2">
        <v>3.75</v>
      </c>
      <c r="D2967" s="2">
        <v>4.8999999999999995</v>
      </c>
      <c r="E2967" s="2">
        <v>5.33</v>
      </c>
      <c r="F2967" s="2">
        <v>3.0900000000000003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</row>
    <row r="2968" spans="1:11" x14ac:dyDescent="0.2">
      <c r="A2968" s="1">
        <v>5.9722222222222197E-2</v>
      </c>
      <c r="B2968" s="2">
        <v>6.25</v>
      </c>
      <c r="C2968" s="2">
        <v>3.73</v>
      </c>
      <c r="D2968" s="2">
        <v>5.12</v>
      </c>
      <c r="E2968" s="2">
        <v>5.3100000000000005</v>
      </c>
      <c r="F2968" s="2">
        <v>3.37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</row>
    <row r="2969" spans="1:11" x14ac:dyDescent="0.2">
      <c r="A2969" s="1">
        <v>6.0416666666666702E-2</v>
      </c>
      <c r="B2969" s="2">
        <v>6.33</v>
      </c>
      <c r="C2969" s="2">
        <v>3.81</v>
      </c>
      <c r="D2969" s="2">
        <v>5.04</v>
      </c>
      <c r="E2969" s="2">
        <v>5.74</v>
      </c>
      <c r="F2969" s="2">
        <v>3.18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</row>
    <row r="2970" spans="1:11" x14ac:dyDescent="0.2">
      <c r="A2970" s="1">
        <v>6.1111111111111102E-2</v>
      </c>
      <c r="B2970" s="2">
        <v>6.3199999999999994</v>
      </c>
      <c r="C2970" s="2">
        <v>3.6199999999999997</v>
      </c>
      <c r="D2970" s="2">
        <v>4.97</v>
      </c>
      <c r="E2970" s="2">
        <v>5.75</v>
      </c>
      <c r="F2970" s="2">
        <v>3.3600000000000003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</row>
    <row r="2971" spans="1:11" x14ac:dyDescent="0.2">
      <c r="A2971" s="1">
        <v>6.18055555555556E-2</v>
      </c>
      <c r="B2971" s="2">
        <v>6.3699999999999992</v>
      </c>
      <c r="C2971" s="2">
        <v>3.59</v>
      </c>
      <c r="D2971" s="2">
        <v>5.16</v>
      </c>
      <c r="E2971" s="2">
        <v>5.73</v>
      </c>
      <c r="F2971" s="2">
        <v>3.0700000000000003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</row>
    <row r="2972" spans="1:11" x14ac:dyDescent="0.2">
      <c r="A2972" s="1">
        <v>6.25E-2</v>
      </c>
      <c r="B2972" s="2">
        <v>6.3599999999999994</v>
      </c>
      <c r="C2972" s="2">
        <v>3.8899999999999997</v>
      </c>
      <c r="D2972" s="2">
        <v>4.9099999999999993</v>
      </c>
      <c r="E2972" s="2">
        <v>5.74</v>
      </c>
      <c r="F2972" s="2">
        <v>2.95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</row>
    <row r="2973" spans="1:11" x14ac:dyDescent="0.2">
      <c r="A2973" s="1">
        <v>6.31944444444444E-2</v>
      </c>
      <c r="B2973" s="2">
        <v>6.2799999999999994</v>
      </c>
      <c r="C2973" s="2">
        <v>3.6399999999999997</v>
      </c>
      <c r="D2973" s="2">
        <v>5.0699999999999994</v>
      </c>
      <c r="E2973" s="2">
        <v>5.25</v>
      </c>
      <c r="F2973" s="2">
        <v>2.92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</row>
    <row r="2974" spans="1:11" x14ac:dyDescent="0.2">
      <c r="A2974" s="1">
        <v>6.3888888888888898E-2</v>
      </c>
      <c r="B2974" s="2">
        <v>6.33</v>
      </c>
      <c r="C2974" s="2">
        <v>3.87</v>
      </c>
      <c r="D2974" s="2">
        <v>5.33</v>
      </c>
      <c r="E2974" s="2">
        <v>5.69</v>
      </c>
      <c r="F2974" s="2">
        <v>3.1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</row>
    <row r="2975" spans="1:11" x14ac:dyDescent="0.2">
      <c r="A2975" s="1">
        <v>6.4583333333333298E-2</v>
      </c>
      <c r="B2975" s="2">
        <v>6.26</v>
      </c>
      <c r="C2975" s="2">
        <v>3.6999999999999997</v>
      </c>
      <c r="D2975" s="2">
        <v>4.96</v>
      </c>
      <c r="E2975" s="2">
        <v>5.19</v>
      </c>
      <c r="F2975" s="2">
        <v>2.92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</row>
    <row r="2976" spans="1:11" x14ac:dyDescent="0.2">
      <c r="A2976" s="1">
        <v>6.5277777777777796E-2</v>
      </c>
      <c r="B2976" s="2">
        <v>6.13</v>
      </c>
      <c r="C2976" s="2">
        <v>3.86</v>
      </c>
      <c r="D2976" s="2">
        <v>5.0699999999999994</v>
      </c>
      <c r="E2976" s="2">
        <v>5.5600000000000005</v>
      </c>
      <c r="F2976" s="2">
        <v>3.14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</row>
    <row r="2977" spans="1:11" x14ac:dyDescent="0.2">
      <c r="A2977" s="1">
        <v>6.5972222222222196E-2</v>
      </c>
      <c r="B2977" s="2">
        <v>6.1</v>
      </c>
      <c r="C2977" s="2">
        <v>3.87</v>
      </c>
      <c r="D2977" s="2">
        <v>5.0299999999999994</v>
      </c>
      <c r="E2977" s="2">
        <v>5.21</v>
      </c>
      <c r="F2977" s="2">
        <v>3.22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</row>
    <row r="2978" spans="1:11" x14ac:dyDescent="0.2">
      <c r="A2978" s="1">
        <v>6.6666666666666693E-2</v>
      </c>
      <c r="B2978" s="2">
        <v>6.1099999999999994</v>
      </c>
      <c r="C2978" s="2">
        <v>3.84</v>
      </c>
      <c r="D2978" s="2">
        <v>5.2399999999999993</v>
      </c>
      <c r="E2978" s="2">
        <v>5.65</v>
      </c>
      <c r="F2978" s="2">
        <v>3.39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</row>
    <row r="2979" spans="1:11" x14ac:dyDescent="0.2">
      <c r="A2979" s="1">
        <v>6.7361111111111094E-2</v>
      </c>
      <c r="B2979" s="2">
        <v>6.17</v>
      </c>
      <c r="C2979" s="2">
        <v>3.82</v>
      </c>
      <c r="D2979" s="2">
        <v>4.9399999999999995</v>
      </c>
      <c r="E2979" s="2">
        <v>5.21</v>
      </c>
      <c r="F2979" s="2">
        <v>3.3600000000000003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</row>
    <row r="2980" spans="1:11" x14ac:dyDescent="0.2">
      <c r="A2980" s="1">
        <v>6.8055555555555605E-2</v>
      </c>
      <c r="B2980" s="2">
        <v>6.21</v>
      </c>
      <c r="C2980" s="2">
        <v>3.8899999999999997</v>
      </c>
      <c r="D2980" s="2">
        <v>5.0599999999999996</v>
      </c>
      <c r="E2980" s="2">
        <v>5.29</v>
      </c>
      <c r="F2980" s="2">
        <v>3.33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</row>
    <row r="2981" spans="1:11" x14ac:dyDescent="0.2">
      <c r="A2981" s="1">
        <v>6.8750000000000006E-2</v>
      </c>
      <c r="B2981" s="2">
        <v>6.25</v>
      </c>
      <c r="C2981" s="2">
        <v>3.71</v>
      </c>
      <c r="D2981" s="2">
        <v>5.3199999999999994</v>
      </c>
      <c r="E2981" s="2">
        <v>5.46</v>
      </c>
      <c r="F2981" s="2">
        <v>3.0900000000000003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</row>
    <row r="2982" spans="1:11" x14ac:dyDescent="0.2">
      <c r="A2982" s="1">
        <v>6.9444444444444406E-2</v>
      </c>
      <c r="B2982" s="2">
        <v>6.2799999999999994</v>
      </c>
      <c r="C2982" s="2">
        <v>3.61</v>
      </c>
      <c r="D2982" s="2">
        <v>5.22</v>
      </c>
      <c r="E2982" s="2">
        <v>5.36</v>
      </c>
      <c r="F2982" s="2">
        <v>3.1500000000000004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</row>
    <row r="2983" spans="1:11" x14ac:dyDescent="0.2">
      <c r="A2983" s="1">
        <v>7.0138888888888903E-2</v>
      </c>
      <c r="B2983" s="2">
        <v>6.1499999999999995</v>
      </c>
      <c r="C2983" s="2">
        <v>3.83</v>
      </c>
      <c r="D2983" s="2">
        <v>5.14</v>
      </c>
      <c r="E2983" s="2">
        <v>5.61</v>
      </c>
      <c r="F2983" s="2">
        <v>2.9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</row>
    <row r="2984" spans="1:11" x14ac:dyDescent="0.2">
      <c r="A2984" s="1">
        <v>7.0833333333333304E-2</v>
      </c>
      <c r="B2984" s="2">
        <v>6.29</v>
      </c>
      <c r="C2984" s="2">
        <v>3.75</v>
      </c>
      <c r="D2984" s="2">
        <v>5.2299999999999995</v>
      </c>
      <c r="E2984" s="2">
        <v>5.68</v>
      </c>
      <c r="F2984" s="2">
        <v>3.0700000000000003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</row>
    <row r="2985" spans="1:11" x14ac:dyDescent="0.2">
      <c r="A2985" s="1">
        <v>7.1527777777777801E-2</v>
      </c>
      <c r="B2985" s="2">
        <v>6.3</v>
      </c>
      <c r="C2985" s="2">
        <v>3.5999999999999996</v>
      </c>
      <c r="D2985" s="2">
        <v>5.1899999999999995</v>
      </c>
      <c r="E2985" s="2">
        <v>5.21</v>
      </c>
      <c r="F2985" s="2">
        <v>3.0700000000000003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</row>
    <row r="2986" spans="1:11" x14ac:dyDescent="0.2">
      <c r="A2986" s="1">
        <v>7.2222222222222202E-2</v>
      </c>
      <c r="B2986" s="2">
        <v>6.1599999999999993</v>
      </c>
      <c r="C2986" s="2">
        <v>3.73</v>
      </c>
      <c r="D2986" s="2">
        <v>5.12</v>
      </c>
      <c r="E2986" s="2">
        <v>5.62</v>
      </c>
      <c r="F2986" s="2">
        <v>3.0700000000000003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</row>
    <row r="2987" spans="1:11" x14ac:dyDescent="0.2">
      <c r="A2987" s="1">
        <v>7.2916666666666699E-2</v>
      </c>
      <c r="B2987" s="2">
        <v>6.1899999999999995</v>
      </c>
      <c r="C2987" s="2">
        <v>3.88</v>
      </c>
      <c r="D2987" s="2">
        <v>4.9799999999999995</v>
      </c>
      <c r="E2987" s="2">
        <v>5.73</v>
      </c>
      <c r="F2987" s="2">
        <v>3.21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</row>
    <row r="2988" spans="1:11" x14ac:dyDescent="0.2">
      <c r="A2988" s="1">
        <v>7.3611111111111099E-2</v>
      </c>
      <c r="B2988" s="2">
        <v>6.27</v>
      </c>
      <c r="C2988" s="2">
        <v>3.75</v>
      </c>
      <c r="D2988" s="2">
        <v>5.16</v>
      </c>
      <c r="E2988" s="2">
        <v>5.5</v>
      </c>
      <c r="F2988" s="2">
        <v>3.08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</row>
    <row r="2989" spans="1:11" x14ac:dyDescent="0.2">
      <c r="A2989" s="1">
        <v>7.4305555555555597E-2</v>
      </c>
      <c r="B2989" s="2">
        <v>6.1</v>
      </c>
      <c r="C2989" s="2">
        <v>3.88</v>
      </c>
      <c r="D2989" s="2">
        <v>5.1499999999999995</v>
      </c>
      <c r="E2989" s="2">
        <v>5.4</v>
      </c>
      <c r="F2989" s="2">
        <v>2.93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</row>
    <row r="2990" spans="1:11" x14ac:dyDescent="0.2">
      <c r="A2990" s="1">
        <v>7.4999999999999997E-2</v>
      </c>
      <c r="B2990" s="2">
        <v>6.22</v>
      </c>
      <c r="C2990" s="2">
        <v>3.76</v>
      </c>
      <c r="D2990" s="2">
        <v>5.12</v>
      </c>
      <c r="E2990" s="2">
        <v>5.6</v>
      </c>
      <c r="F2990" s="2">
        <v>2.9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</row>
    <row r="2991" spans="1:11" x14ac:dyDescent="0.2">
      <c r="A2991" s="1">
        <v>7.5694444444444495E-2</v>
      </c>
      <c r="B2991" s="2">
        <v>6.3199999999999994</v>
      </c>
      <c r="C2991" s="2">
        <v>3.8499999999999996</v>
      </c>
      <c r="D2991" s="2">
        <v>4.9899999999999993</v>
      </c>
      <c r="E2991" s="2">
        <v>5.73</v>
      </c>
      <c r="F2991" s="2">
        <v>2.96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</row>
    <row r="2992" spans="1:11" x14ac:dyDescent="0.2">
      <c r="A2992" s="1">
        <v>7.6388888888888895E-2</v>
      </c>
      <c r="B2992" s="2">
        <v>6.2799999999999994</v>
      </c>
      <c r="C2992" s="2">
        <v>3.6999999999999997</v>
      </c>
      <c r="D2992" s="2">
        <v>5.22</v>
      </c>
      <c r="E2992" s="2">
        <v>5.14</v>
      </c>
      <c r="F2992" s="2">
        <v>3.08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</row>
    <row r="2993" spans="1:11" x14ac:dyDescent="0.2">
      <c r="A2993" s="1">
        <v>7.7083333333333295E-2</v>
      </c>
      <c r="B2993" s="2">
        <v>6.1899999999999995</v>
      </c>
      <c r="C2993" s="2">
        <v>3.84</v>
      </c>
      <c r="D2993" s="2">
        <v>5.39</v>
      </c>
      <c r="E2993" s="2">
        <v>5.6</v>
      </c>
      <c r="F2993" s="2">
        <v>3.27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</row>
    <row r="2994" spans="1:11" x14ac:dyDescent="0.2">
      <c r="A2994" s="1">
        <v>7.7777777777777807E-2</v>
      </c>
      <c r="B2994" s="2">
        <v>6.27</v>
      </c>
      <c r="C2994" s="2">
        <v>3.82</v>
      </c>
      <c r="D2994" s="2">
        <v>5.2799999999999994</v>
      </c>
      <c r="E2994" s="2">
        <v>5.72</v>
      </c>
      <c r="F2994" s="2">
        <v>3.13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</row>
    <row r="2995" spans="1:11" x14ac:dyDescent="0.2">
      <c r="A2995" s="1">
        <v>7.8472222222222193E-2</v>
      </c>
      <c r="B2995" s="2">
        <v>6.1099999999999994</v>
      </c>
      <c r="C2995" s="2">
        <v>3.59</v>
      </c>
      <c r="D2995" s="2">
        <v>5.0299999999999994</v>
      </c>
      <c r="E2995" s="2">
        <v>5.41</v>
      </c>
      <c r="F2995" s="2">
        <v>3.35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</row>
    <row r="2996" spans="1:11" x14ac:dyDescent="0.2">
      <c r="A2996" s="1">
        <v>7.9166666666666705E-2</v>
      </c>
      <c r="B2996" s="2">
        <v>6.25</v>
      </c>
      <c r="C2996" s="2">
        <v>3.84</v>
      </c>
      <c r="D2996" s="2">
        <v>5.17</v>
      </c>
      <c r="E2996" s="2">
        <v>5.47</v>
      </c>
      <c r="F2996" s="2">
        <v>3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</row>
    <row r="2997" spans="1:11" x14ac:dyDescent="0.2">
      <c r="A2997" s="1">
        <v>7.9861111111111105E-2</v>
      </c>
      <c r="B2997" s="2">
        <v>6.26</v>
      </c>
      <c r="C2997" s="2">
        <v>3.78</v>
      </c>
      <c r="D2997" s="2">
        <v>4.9099999999999993</v>
      </c>
      <c r="E2997" s="2">
        <v>5.32</v>
      </c>
      <c r="F2997" s="2">
        <v>2.98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</row>
    <row r="2998" spans="1:11" x14ac:dyDescent="0.2">
      <c r="A2998" s="1">
        <v>8.0555555555555602E-2</v>
      </c>
      <c r="B2998" s="2">
        <v>6.1199999999999992</v>
      </c>
      <c r="C2998" s="2">
        <v>3.5999999999999996</v>
      </c>
      <c r="D2998" s="2">
        <v>5.21</v>
      </c>
      <c r="E2998" s="2">
        <v>5.3</v>
      </c>
      <c r="F2998" s="2">
        <v>3.0700000000000003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</row>
    <row r="2999" spans="1:11" x14ac:dyDescent="0.2">
      <c r="A2999" s="1">
        <v>8.1250000000000003E-2</v>
      </c>
      <c r="B2999" s="2">
        <v>6.1199999999999992</v>
      </c>
      <c r="C2999" s="2">
        <v>3.87</v>
      </c>
      <c r="D2999" s="2">
        <v>5.3</v>
      </c>
      <c r="E2999" s="2">
        <v>5.15</v>
      </c>
      <c r="F2999" s="2">
        <v>3.33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</row>
    <row r="3000" spans="1:11" x14ac:dyDescent="0.2">
      <c r="A3000" s="1">
        <v>8.1944444444444403E-2</v>
      </c>
      <c r="B3000" s="2">
        <v>6.14</v>
      </c>
      <c r="C3000" s="2">
        <v>3.9</v>
      </c>
      <c r="D3000" s="2">
        <v>4.8999999999999995</v>
      </c>
      <c r="E3000" s="2">
        <v>5.53</v>
      </c>
      <c r="F3000" s="2">
        <v>3.29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</row>
    <row r="3001" spans="1:11" x14ac:dyDescent="0.2">
      <c r="A3001" s="1">
        <v>8.2638888888888901E-2</v>
      </c>
      <c r="B3001" s="2">
        <v>6.27</v>
      </c>
      <c r="C3001" s="2">
        <v>3.9</v>
      </c>
      <c r="D3001" s="2">
        <v>5.3</v>
      </c>
      <c r="E3001" s="2">
        <v>5.4</v>
      </c>
      <c r="F3001" s="2">
        <v>3.14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</row>
    <row r="3002" spans="1:11" x14ac:dyDescent="0.2">
      <c r="A3002" s="3">
        <v>8.3333333333333301E-2</v>
      </c>
      <c r="B3002" s="2">
        <v>6.23</v>
      </c>
      <c r="C3002" s="2">
        <v>3.78</v>
      </c>
      <c r="D3002" s="2">
        <v>5.12</v>
      </c>
      <c r="E3002" s="2">
        <v>5.36</v>
      </c>
      <c r="F3002" s="2">
        <v>3.19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</row>
    <row r="3003" spans="1:11" x14ac:dyDescent="0.2">
      <c r="A3003" s="1">
        <v>8.4027777777777798E-2</v>
      </c>
      <c r="B3003" s="2">
        <v>6.38</v>
      </c>
      <c r="C3003" s="2">
        <v>3.78</v>
      </c>
      <c r="D3003" s="2">
        <v>5.09</v>
      </c>
      <c r="E3003" s="2">
        <v>5.41</v>
      </c>
      <c r="F3003" s="2">
        <v>3.12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</row>
    <row r="3004" spans="1:11" x14ac:dyDescent="0.2">
      <c r="A3004" s="1">
        <v>8.4722222222222199E-2</v>
      </c>
      <c r="B3004" s="2">
        <v>6.26</v>
      </c>
      <c r="C3004" s="2">
        <v>3.88</v>
      </c>
      <c r="D3004" s="2">
        <v>5.25</v>
      </c>
      <c r="E3004" s="2">
        <v>5.15</v>
      </c>
      <c r="F3004" s="2">
        <v>3.33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</row>
    <row r="3005" spans="1:11" x14ac:dyDescent="0.2">
      <c r="A3005" s="1">
        <v>8.5416666666666696E-2</v>
      </c>
      <c r="B3005" s="2">
        <v>6.14</v>
      </c>
      <c r="C3005" s="2">
        <v>3.83</v>
      </c>
      <c r="D3005" s="2">
        <v>4.8999999999999995</v>
      </c>
      <c r="E3005" s="2">
        <v>5.38</v>
      </c>
      <c r="F3005" s="2">
        <v>3.0300000000000002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</row>
    <row r="3006" spans="1:11" x14ac:dyDescent="0.2">
      <c r="A3006" s="1">
        <v>8.6111111111111097E-2</v>
      </c>
      <c r="B3006" s="2">
        <v>6.33</v>
      </c>
      <c r="C3006" s="2">
        <v>3.59</v>
      </c>
      <c r="D3006" s="2">
        <v>5.1999999999999993</v>
      </c>
      <c r="E3006" s="2">
        <v>5.0999999999999996</v>
      </c>
      <c r="F3006" s="2">
        <v>3.2800000000000002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</row>
    <row r="3007" spans="1:11" x14ac:dyDescent="0.2">
      <c r="A3007" s="1">
        <v>8.6805555555555594E-2</v>
      </c>
      <c r="B3007" s="2">
        <v>6.1499999999999995</v>
      </c>
      <c r="C3007" s="2">
        <v>3.9</v>
      </c>
      <c r="D3007" s="2">
        <v>5.2299999999999995</v>
      </c>
      <c r="E3007" s="2">
        <v>5.71</v>
      </c>
      <c r="F3007" s="2">
        <v>3.3600000000000003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</row>
    <row r="3008" spans="1:11" x14ac:dyDescent="0.2">
      <c r="A3008" s="1">
        <v>8.7499999999999994E-2</v>
      </c>
      <c r="B3008" s="2">
        <v>6.3599999999999994</v>
      </c>
      <c r="C3008" s="2">
        <v>3.67</v>
      </c>
      <c r="D3008" s="2">
        <v>5.22</v>
      </c>
      <c r="E3008" s="2">
        <v>5.71</v>
      </c>
      <c r="F3008" s="2">
        <v>3.33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</row>
    <row r="3009" spans="1:11" x14ac:dyDescent="0.2">
      <c r="A3009" s="1">
        <v>8.8194444444444506E-2</v>
      </c>
      <c r="B3009" s="2">
        <v>6.2299999999999995</v>
      </c>
      <c r="C3009" s="2">
        <v>3.82</v>
      </c>
      <c r="D3009" s="2">
        <v>4.96</v>
      </c>
      <c r="E3009" s="2">
        <v>5.69</v>
      </c>
      <c r="F3009" s="2">
        <v>3.06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</row>
    <row r="3010" spans="1:11" x14ac:dyDescent="0.2">
      <c r="A3010" s="1">
        <v>8.8888888888888906E-2</v>
      </c>
      <c r="B3010" s="2">
        <v>6.1</v>
      </c>
      <c r="C3010" s="2">
        <v>3.65</v>
      </c>
      <c r="D3010" s="2">
        <v>5.21</v>
      </c>
      <c r="E3010" s="2">
        <v>5.22</v>
      </c>
      <c r="F3010" s="2">
        <v>3.23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</row>
    <row r="3011" spans="1:11" x14ac:dyDescent="0.2">
      <c r="A3011" s="1">
        <v>8.9583333333333307E-2</v>
      </c>
      <c r="B3011" s="2">
        <v>6.26</v>
      </c>
      <c r="C3011" s="2">
        <v>3.6399999999999997</v>
      </c>
      <c r="D3011" s="2">
        <v>5.2399999999999993</v>
      </c>
      <c r="E3011" s="2">
        <v>5.74</v>
      </c>
      <c r="F3011" s="2">
        <v>3.0100000000000002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</row>
    <row r="3012" spans="1:11" x14ac:dyDescent="0.2">
      <c r="A3012" s="1">
        <v>9.0277777777777804E-2</v>
      </c>
      <c r="B3012" s="2">
        <v>6.1499999999999995</v>
      </c>
      <c r="C3012" s="2">
        <v>3.79</v>
      </c>
      <c r="D3012" s="2">
        <v>5.1999999999999993</v>
      </c>
      <c r="E3012" s="2">
        <v>5.28</v>
      </c>
      <c r="F3012" s="2">
        <v>2.88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</row>
    <row r="3013" spans="1:11" x14ac:dyDescent="0.2">
      <c r="A3013" s="1">
        <v>9.0972222222222204E-2</v>
      </c>
      <c r="B3013" s="2">
        <v>6.26</v>
      </c>
      <c r="C3013" s="2">
        <v>3.84</v>
      </c>
      <c r="D3013" s="2">
        <v>5.09</v>
      </c>
      <c r="E3013" s="2">
        <v>5.41</v>
      </c>
      <c r="F3013" s="2">
        <v>3.2600000000000002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</row>
    <row r="3014" spans="1:11" x14ac:dyDescent="0.2">
      <c r="A3014" s="1">
        <v>9.1666666666666702E-2</v>
      </c>
      <c r="B3014" s="2">
        <v>6.1899999999999995</v>
      </c>
      <c r="C3014" s="2">
        <v>3.79</v>
      </c>
      <c r="D3014" s="2">
        <v>5.25</v>
      </c>
      <c r="E3014" s="2">
        <v>5.47</v>
      </c>
      <c r="F3014" s="2">
        <v>2.99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</row>
    <row r="3015" spans="1:11" x14ac:dyDescent="0.2">
      <c r="A3015" s="1">
        <v>9.2361111111111102E-2</v>
      </c>
      <c r="B3015" s="2">
        <v>6.3699999999999992</v>
      </c>
      <c r="C3015" s="2">
        <v>3.7399999999999998</v>
      </c>
      <c r="D3015" s="2">
        <v>5.0199999999999996</v>
      </c>
      <c r="E3015" s="2">
        <v>5.6400000000000006</v>
      </c>
      <c r="F3015" s="2">
        <v>3.27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</row>
    <row r="3016" spans="1:11" x14ac:dyDescent="0.2">
      <c r="A3016" s="1">
        <v>9.30555555555556E-2</v>
      </c>
      <c r="B3016" s="2">
        <v>6.1899999999999995</v>
      </c>
      <c r="C3016" s="2">
        <v>3.6399999999999997</v>
      </c>
      <c r="D3016" s="2">
        <v>5.29</v>
      </c>
      <c r="E3016" s="2">
        <v>5.2</v>
      </c>
      <c r="F3016" s="2">
        <v>3.12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</row>
    <row r="3017" spans="1:11" x14ac:dyDescent="0.2">
      <c r="A3017" s="1">
        <v>9.375E-2</v>
      </c>
      <c r="B3017" s="2">
        <v>6.2399999999999993</v>
      </c>
      <c r="C3017" s="2">
        <v>3.6599999999999997</v>
      </c>
      <c r="D3017" s="2">
        <v>5.14</v>
      </c>
      <c r="E3017" s="2">
        <v>5.53</v>
      </c>
      <c r="F3017" s="2">
        <v>3.31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</row>
    <row r="3018" spans="1:11" x14ac:dyDescent="0.2">
      <c r="A3018" s="1">
        <v>9.44444444444444E-2</v>
      </c>
      <c r="B3018" s="2">
        <v>6.26</v>
      </c>
      <c r="C3018" s="2">
        <v>3.76</v>
      </c>
      <c r="D3018" s="2">
        <v>5.25</v>
      </c>
      <c r="E3018" s="2">
        <v>5.58</v>
      </c>
      <c r="F3018" s="2">
        <v>3.35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</row>
    <row r="3019" spans="1:11" x14ac:dyDescent="0.2">
      <c r="A3019" s="1">
        <v>9.5138888888888898E-2</v>
      </c>
      <c r="B3019" s="2">
        <v>6.2399999999999993</v>
      </c>
      <c r="C3019" s="2">
        <v>3.67</v>
      </c>
      <c r="D3019" s="2">
        <v>5.18</v>
      </c>
      <c r="E3019" s="2">
        <v>5.36</v>
      </c>
      <c r="F3019" s="2">
        <v>2.97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 x14ac:dyDescent="0.2">
      <c r="A3020" s="1">
        <v>9.5833333333333298E-2</v>
      </c>
      <c r="B3020" s="2">
        <v>6.13</v>
      </c>
      <c r="C3020" s="2">
        <v>3.7199999999999998</v>
      </c>
      <c r="D3020" s="2">
        <v>4.9499999999999993</v>
      </c>
      <c r="E3020" s="2">
        <v>5.37</v>
      </c>
      <c r="F3020" s="2">
        <v>3.38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</row>
    <row r="3021" spans="1:11" x14ac:dyDescent="0.2">
      <c r="A3021" s="1">
        <v>9.6527777777777796E-2</v>
      </c>
      <c r="B3021" s="2">
        <v>6.1599999999999993</v>
      </c>
      <c r="C3021" s="2">
        <v>3.86</v>
      </c>
      <c r="D3021" s="2">
        <v>5.3699999999999992</v>
      </c>
      <c r="E3021" s="2">
        <v>5.23</v>
      </c>
      <c r="F3021" s="2">
        <v>2.98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</row>
    <row r="3022" spans="1:11" x14ac:dyDescent="0.2">
      <c r="A3022" s="1">
        <v>9.7222222222222196E-2</v>
      </c>
      <c r="B3022" s="2">
        <v>6.2299999999999995</v>
      </c>
      <c r="C3022" s="2">
        <v>3.88</v>
      </c>
      <c r="D3022" s="2">
        <v>4.9899999999999993</v>
      </c>
      <c r="E3022" s="2">
        <v>5.38</v>
      </c>
      <c r="F3022" s="2">
        <v>3.1100000000000003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</row>
    <row r="3023" spans="1:11" x14ac:dyDescent="0.2">
      <c r="A3023" s="1">
        <v>9.7916666666666693E-2</v>
      </c>
      <c r="B3023" s="2">
        <v>6.27</v>
      </c>
      <c r="C3023" s="2">
        <v>3.81</v>
      </c>
      <c r="D3023" s="2">
        <v>5.2799999999999994</v>
      </c>
      <c r="E3023" s="2">
        <v>5.3100000000000005</v>
      </c>
      <c r="F3023" s="2">
        <v>3.24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</row>
    <row r="3024" spans="1:11" x14ac:dyDescent="0.2">
      <c r="A3024" s="1">
        <v>9.8611111111111094E-2</v>
      </c>
      <c r="B3024" s="2">
        <v>6.3</v>
      </c>
      <c r="C3024" s="2">
        <v>3.82</v>
      </c>
      <c r="D3024" s="2">
        <v>5.27</v>
      </c>
      <c r="E3024" s="2">
        <v>5.57</v>
      </c>
      <c r="F3024" s="2">
        <v>2.94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</row>
    <row r="3025" spans="1:11" x14ac:dyDescent="0.2">
      <c r="A3025" s="1">
        <v>9.9305555555555605E-2</v>
      </c>
      <c r="B3025" s="2">
        <v>6.1499999999999995</v>
      </c>
      <c r="C3025" s="2">
        <v>3.5999999999999996</v>
      </c>
      <c r="D3025" s="2">
        <v>5.2299999999999995</v>
      </c>
      <c r="E3025" s="2">
        <v>5.34</v>
      </c>
      <c r="F3025" s="2">
        <v>3.2800000000000002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</row>
    <row r="3026" spans="1:11" x14ac:dyDescent="0.2">
      <c r="A3026" s="1">
        <v>0.1</v>
      </c>
      <c r="B3026" s="2">
        <v>6.31</v>
      </c>
      <c r="C3026" s="2">
        <v>3.86</v>
      </c>
      <c r="D3026" s="2">
        <v>5.14</v>
      </c>
      <c r="E3026" s="2">
        <v>5.15</v>
      </c>
      <c r="F3026" s="2">
        <v>3.2800000000000002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</row>
    <row r="3027" spans="1:11" x14ac:dyDescent="0.2">
      <c r="A3027" s="1">
        <v>0.100694444444444</v>
      </c>
      <c r="B3027" s="2">
        <v>6.29</v>
      </c>
      <c r="C3027" s="2">
        <v>3.75</v>
      </c>
      <c r="D3027" s="2">
        <v>5.25</v>
      </c>
      <c r="E3027" s="2">
        <v>5.22</v>
      </c>
      <c r="F3027" s="2">
        <v>3.38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</row>
    <row r="3028" spans="1:11" x14ac:dyDescent="0.2">
      <c r="A3028" s="1">
        <v>0.101388888888889</v>
      </c>
      <c r="B3028" s="2">
        <v>6.1</v>
      </c>
      <c r="C3028" s="2">
        <v>3.87</v>
      </c>
      <c r="D3028" s="2">
        <v>5.2399999999999993</v>
      </c>
      <c r="E3028" s="2">
        <v>5.6400000000000006</v>
      </c>
      <c r="F3028" s="2">
        <v>2.92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</row>
    <row r="3029" spans="1:11" x14ac:dyDescent="0.2">
      <c r="A3029" s="1">
        <v>0.102083333333333</v>
      </c>
      <c r="B3029" s="2">
        <v>6.2799999999999994</v>
      </c>
      <c r="C3029" s="2">
        <v>3.69</v>
      </c>
      <c r="D3029" s="2">
        <v>5.33</v>
      </c>
      <c r="E3029" s="2">
        <v>5.21</v>
      </c>
      <c r="F3029" s="2">
        <v>3.39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</row>
    <row r="3030" spans="1:11" x14ac:dyDescent="0.2">
      <c r="A3030" s="1">
        <v>0.102777777777778</v>
      </c>
      <c r="B3030" s="2">
        <v>6.18</v>
      </c>
      <c r="C3030" s="2">
        <v>3.6599999999999997</v>
      </c>
      <c r="D3030" s="2">
        <v>4.8999999999999995</v>
      </c>
      <c r="E3030" s="2">
        <v>5.5</v>
      </c>
      <c r="F3030" s="2">
        <v>2.92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</row>
    <row r="3031" spans="1:11" x14ac:dyDescent="0.2">
      <c r="A3031" s="1">
        <v>0.10347222222222199</v>
      </c>
      <c r="B3031" s="2">
        <v>6.25</v>
      </c>
      <c r="C3031" s="2">
        <v>3.9</v>
      </c>
      <c r="D3031" s="2">
        <v>5.3599999999999994</v>
      </c>
      <c r="E3031" s="2">
        <v>5.16</v>
      </c>
      <c r="F3031" s="2">
        <v>3.12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</row>
    <row r="3032" spans="1:11" x14ac:dyDescent="0.2">
      <c r="A3032" s="1">
        <v>0.104166666666667</v>
      </c>
      <c r="B3032" s="2">
        <v>6.13</v>
      </c>
      <c r="C3032" s="2">
        <v>3.78</v>
      </c>
      <c r="D3032" s="2">
        <v>5.3199999999999994</v>
      </c>
      <c r="E3032" s="2">
        <v>5.75</v>
      </c>
      <c r="F3032" s="2">
        <v>3.04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</row>
    <row r="3033" spans="1:11" x14ac:dyDescent="0.2">
      <c r="A3033" s="1">
        <v>0.104861111111111</v>
      </c>
      <c r="B3033" s="2">
        <v>6.2799999999999994</v>
      </c>
      <c r="C3033" s="2">
        <v>3.87</v>
      </c>
      <c r="D3033" s="2">
        <v>5</v>
      </c>
      <c r="E3033" s="2">
        <v>5.2</v>
      </c>
      <c r="F3033" s="2">
        <v>3.02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</row>
    <row r="3034" spans="1:11" x14ac:dyDescent="0.2">
      <c r="A3034" s="1">
        <v>0.105555555555556</v>
      </c>
      <c r="B3034" s="2">
        <v>6.33</v>
      </c>
      <c r="C3034" s="2">
        <v>3.81</v>
      </c>
      <c r="D3034" s="2">
        <v>5.33</v>
      </c>
      <c r="E3034" s="2">
        <v>5.39</v>
      </c>
      <c r="F3034" s="2">
        <v>3.14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</row>
    <row r="3035" spans="1:11" x14ac:dyDescent="0.2">
      <c r="A3035" s="1">
        <v>0.10625</v>
      </c>
      <c r="B3035" s="2">
        <v>6.3</v>
      </c>
      <c r="C3035" s="2">
        <v>3.7399999999999998</v>
      </c>
      <c r="D3035" s="2">
        <v>5.39</v>
      </c>
      <c r="E3035" s="2">
        <v>5.39</v>
      </c>
      <c r="F3035" s="2">
        <v>3.0500000000000003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</row>
    <row r="3036" spans="1:11" x14ac:dyDescent="0.2">
      <c r="A3036" s="1">
        <v>0.106944444444444</v>
      </c>
      <c r="B3036" s="2">
        <v>6.29</v>
      </c>
      <c r="C3036" s="2">
        <v>3.83</v>
      </c>
      <c r="D3036" s="2">
        <v>4.96</v>
      </c>
      <c r="E3036" s="2">
        <v>5.55</v>
      </c>
      <c r="F3036" s="2">
        <v>3.19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</row>
    <row r="3037" spans="1:11" x14ac:dyDescent="0.2">
      <c r="A3037" s="1">
        <v>0.10763888888888901</v>
      </c>
      <c r="B3037" s="2">
        <v>6.1099999999999994</v>
      </c>
      <c r="C3037" s="2">
        <v>3.81</v>
      </c>
      <c r="D3037" s="2">
        <v>4.9899999999999993</v>
      </c>
      <c r="E3037" s="2">
        <v>5.24</v>
      </c>
      <c r="F3037" s="2">
        <v>2.9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</row>
    <row r="3038" spans="1:11" x14ac:dyDescent="0.2">
      <c r="A3038" s="1">
        <v>0.108333333333333</v>
      </c>
      <c r="B3038" s="2">
        <v>6.2399999999999993</v>
      </c>
      <c r="C3038" s="2">
        <v>3.78</v>
      </c>
      <c r="D3038" s="2">
        <v>5.21</v>
      </c>
      <c r="E3038" s="2">
        <v>5.09</v>
      </c>
      <c r="F3038" s="2">
        <v>3.2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</row>
    <row r="3039" spans="1:11" x14ac:dyDescent="0.2">
      <c r="A3039" s="1">
        <v>0.109027777777778</v>
      </c>
      <c r="B3039" s="2">
        <v>6.14</v>
      </c>
      <c r="C3039" s="2">
        <v>3.86</v>
      </c>
      <c r="D3039" s="2">
        <v>5.35</v>
      </c>
      <c r="E3039" s="2">
        <v>5.65</v>
      </c>
      <c r="F3039" s="2">
        <v>2.9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</row>
    <row r="3040" spans="1:11" x14ac:dyDescent="0.2">
      <c r="A3040" s="1">
        <v>0.109722222222222</v>
      </c>
      <c r="B3040" s="2">
        <v>6.1099999999999994</v>
      </c>
      <c r="C3040" s="2">
        <v>3.77</v>
      </c>
      <c r="D3040" s="2">
        <v>4.8999999999999995</v>
      </c>
      <c r="E3040" s="2">
        <v>5.47</v>
      </c>
      <c r="F3040" s="2">
        <v>3.14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</row>
    <row r="3041" spans="1:11" x14ac:dyDescent="0.2">
      <c r="A3041" s="1">
        <v>0.110416666666667</v>
      </c>
      <c r="B3041" s="2">
        <v>6.3599999999999994</v>
      </c>
      <c r="C3041" s="2">
        <v>3.81</v>
      </c>
      <c r="D3041" s="2">
        <v>5.2799999999999994</v>
      </c>
      <c r="E3041" s="2">
        <v>5.59</v>
      </c>
      <c r="F3041" s="2">
        <v>3.0900000000000003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</row>
    <row r="3042" spans="1:11" x14ac:dyDescent="0.2">
      <c r="A3042" s="1">
        <v>0.11111111111111099</v>
      </c>
      <c r="B3042" s="2">
        <v>6.1099999999999994</v>
      </c>
      <c r="C3042" s="2">
        <v>3.77</v>
      </c>
      <c r="D3042" s="2">
        <v>5.13</v>
      </c>
      <c r="E3042" s="2">
        <v>5.2</v>
      </c>
      <c r="F3042" s="2">
        <v>3.1500000000000004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</row>
    <row r="3043" spans="1:11" x14ac:dyDescent="0.2">
      <c r="A3043" s="1">
        <v>0.111805555555556</v>
      </c>
      <c r="B3043" s="2">
        <v>6.18</v>
      </c>
      <c r="C3043" s="2">
        <v>3.6999999999999997</v>
      </c>
      <c r="D3043" s="2">
        <v>4.8899999999999997</v>
      </c>
      <c r="E3043" s="2">
        <v>5.38</v>
      </c>
      <c r="F3043" s="2">
        <v>3.23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</row>
    <row r="3044" spans="1:11" x14ac:dyDescent="0.2">
      <c r="A3044" s="1">
        <v>0.1125</v>
      </c>
      <c r="B3044" s="2">
        <v>6.21</v>
      </c>
      <c r="C3044" s="2">
        <v>3.63</v>
      </c>
      <c r="D3044" s="2">
        <v>4.97</v>
      </c>
      <c r="E3044" s="2">
        <v>5.5200000000000005</v>
      </c>
      <c r="F3044" s="2">
        <v>3.3400000000000003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</row>
    <row r="3045" spans="1:11" x14ac:dyDescent="0.2">
      <c r="A3045" s="1">
        <v>0.113194444444444</v>
      </c>
      <c r="B3045" s="2">
        <v>6.38</v>
      </c>
      <c r="C3045" s="2">
        <v>3.63</v>
      </c>
      <c r="D3045" s="2">
        <v>5.0199999999999996</v>
      </c>
      <c r="E3045" s="2">
        <v>5.09</v>
      </c>
      <c r="F3045" s="2">
        <v>3.21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</row>
    <row r="3046" spans="1:11" x14ac:dyDescent="0.2">
      <c r="A3046" s="1">
        <v>0.113888888888889</v>
      </c>
      <c r="B3046" s="2">
        <v>6.1</v>
      </c>
      <c r="C3046" s="2">
        <v>3.61</v>
      </c>
      <c r="D3046" s="2">
        <v>5.12</v>
      </c>
      <c r="E3046" s="2">
        <v>5.17</v>
      </c>
      <c r="F3046" s="2">
        <v>3.38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</row>
    <row r="3047" spans="1:11" x14ac:dyDescent="0.2">
      <c r="A3047" s="1">
        <v>0.114583333333333</v>
      </c>
      <c r="B3047" s="2">
        <v>6.14</v>
      </c>
      <c r="C3047" s="2">
        <v>3.8</v>
      </c>
      <c r="D3047" s="2">
        <v>5.33</v>
      </c>
      <c r="E3047" s="2">
        <v>5.45</v>
      </c>
      <c r="F3047" s="2">
        <v>3.0100000000000002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</row>
    <row r="3048" spans="1:11" x14ac:dyDescent="0.2">
      <c r="A3048" s="1">
        <v>0.11527777777777801</v>
      </c>
      <c r="B3048" s="2">
        <v>6.35</v>
      </c>
      <c r="C3048" s="2">
        <v>3.6399999999999997</v>
      </c>
      <c r="D3048" s="2">
        <v>5.09</v>
      </c>
      <c r="E3048" s="2">
        <v>5.59</v>
      </c>
      <c r="F3048" s="2">
        <v>3.25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</row>
    <row r="3049" spans="1:11" x14ac:dyDescent="0.2">
      <c r="A3049" s="1">
        <v>0.115972222222222</v>
      </c>
      <c r="B3049" s="2">
        <v>6.26</v>
      </c>
      <c r="C3049" s="2">
        <v>3.7199999999999998</v>
      </c>
      <c r="D3049" s="2">
        <v>5.1499999999999995</v>
      </c>
      <c r="E3049" s="2">
        <v>5.68</v>
      </c>
      <c r="F3049" s="2">
        <v>3.2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</row>
    <row r="3050" spans="1:11" x14ac:dyDescent="0.2">
      <c r="A3050" s="1">
        <v>0.116666666666667</v>
      </c>
      <c r="B3050" s="2">
        <v>6.1499999999999995</v>
      </c>
      <c r="C3050" s="2">
        <v>3.67</v>
      </c>
      <c r="D3050" s="2">
        <v>4.97</v>
      </c>
      <c r="E3050" s="2">
        <v>5.4</v>
      </c>
      <c r="F3050" s="2">
        <v>3.31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</row>
    <row r="3051" spans="1:11" x14ac:dyDescent="0.2">
      <c r="A3051" s="1">
        <v>0.117361111111111</v>
      </c>
      <c r="B3051" s="2">
        <v>6.33</v>
      </c>
      <c r="C3051" s="2">
        <v>3.6599999999999997</v>
      </c>
      <c r="D3051" s="2">
        <v>5.18</v>
      </c>
      <c r="E3051" s="2">
        <v>5.2</v>
      </c>
      <c r="F3051" s="2">
        <v>3.1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</row>
    <row r="3052" spans="1:11" x14ac:dyDescent="0.2">
      <c r="A3052" s="1">
        <v>0.118055555555556</v>
      </c>
      <c r="B3052" s="2">
        <v>6.26</v>
      </c>
      <c r="C3052" s="2">
        <v>3.6199999999999997</v>
      </c>
      <c r="D3052" s="2">
        <v>5.35</v>
      </c>
      <c r="E3052" s="2">
        <v>5.22</v>
      </c>
      <c r="F3052" s="2">
        <v>2.96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</row>
    <row r="3053" spans="1:11" x14ac:dyDescent="0.2">
      <c r="A3053" s="1">
        <v>0.11874999999999999</v>
      </c>
      <c r="B3053" s="2">
        <v>6.3</v>
      </c>
      <c r="C3053" s="2">
        <v>3.88</v>
      </c>
      <c r="D3053" s="2">
        <v>5.01</v>
      </c>
      <c r="E3053" s="2">
        <v>5.46</v>
      </c>
      <c r="F3053" s="2">
        <v>3.22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</row>
    <row r="3054" spans="1:11" x14ac:dyDescent="0.2">
      <c r="A3054" s="1">
        <v>0.11944444444444401</v>
      </c>
      <c r="B3054" s="2">
        <v>6.2399999999999993</v>
      </c>
      <c r="C3054" s="2">
        <v>3.67</v>
      </c>
      <c r="D3054" s="2">
        <v>5.13</v>
      </c>
      <c r="E3054" s="2">
        <v>5.39</v>
      </c>
      <c r="F3054" s="2">
        <v>3.3200000000000003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</row>
    <row r="3055" spans="1:11" x14ac:dyDescent="0.2">
      <c r="A3055" s="1">
        <v>0.120138888888889</v>
      </c>
      <c r="B3055" s="2">
        <v>6.14</v>
      </c>
      <c r="C3055" s="2">
        <v>3.8899999999999997</v>
      </c>
      <c r="D3055" s="2">
        <v>5.0699999999999994</v>
      </c>
      <c r="E3055" s="2">
        <v>5.28</v>
      </c>
      <c r="F3055" s="2">
        <v>3.0300000000000002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</row>
    <row r="3056" spans="1:11" x14ac:dyDescent="0.2">
      <c r="A3056" s="1">
        <v>0.120833333333333</v>
      </c>
      <c r="B3056" s="2">
        <v>6.14</v>
      </c>
      <c r="C3056" s="2">
        <v>3.6399999999999997</v>
      </c>
      <c r="D3056" s="2">
        <v>5.2399999999999993</v>
      </c>
      <c r="E3056" s="2">
        <v>5.67</v>
      </c>
      <c r="F3056" s="2">
        <v>3.38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</row>
    <row r="3057" spans="1:11" x14ac:dyDescent="0.2">
      <c r="A3057" s="1">
        <v>0.121527777777778</v>
      </c>
      <c r="B3057" s="2">
        <v>6.18</v>
      </c>
      <c r="C3057" s="2">
        <v>3.69</v>
      </c>
      <c r="D3057" s="2">
        <v>5.26</v>
      </c>
      <c r="E3057" s="2">
        <v>5.7</v>
      </c>
      <c r="F3057" s="2">
        <v>3.08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</row>
    <row r="3058" spans="1:11" x14ac:dyDescent="0.2">
      <c r="A3058" s="1">
        <v>0.122222222222222</v>
      </c>
      <c r="B3058" s="2">
        <v>6.35</v>
      </c>
      <c r="C3058" s="2">
        <v>3.71</v>
      </c>
      <c r="D3058" s="2">
        <v>5.22</v>
      </c>
      <c r="E3058" s="2">
        <v>5.58</v>
      </c>
      <c r="F3058" s="2">
        <v>3.17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</row>
    <row r="3059" spans="1:11" x14ac:dyDescent="0.2">
      <c r="A3059" s="1">
        <v>0.12291666666666699</v>
      </c>
      <c r="B3059" s="2">
        <v>6.3199999999999994</v>
      </c>
      <c r="C3059" s="2">
        <v>3.8499999999999996</v>
      </c>
      <c r="D3059" s="2">
        <v>4.9899999999999993</v>
      </c>
      <c r="E3059" s="2">
        <v>5.68</v>
      </c>
      <c r="F3059" s="2">
        <v>3.19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</row>
    <row r="3060" spans="1:11" x14ac:dyDescent="0.2">
      <c r="A3060" s="1">
        <v>0.12361111111111101</v>
      </c>
      <c r="B3060" s="2">
        <v>6.1499999999999995</v>
      </c>
      <c r="C3060" s="2">
        <v>3.63</v>
      </c>
      <c r="D3060" s="2">
        <v>5.05</v>
      </c>
      <c r="E3060" s="2">
        <v>5.23</v>
      </c>
      <c r="F3060" s="2">
        <v>3.35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</row>
    <row r="3061" spans="1:11" x14ac:dyDescent="0.2">
      <c r="A3061" s="1">
        <v>0.124305555555556</v>
      </c>
      <c r="B3061" s="2">
        <v>6.34</v>
      </c>
      <c r="C3061" s="2">
        <v>3.9</v>
      </c>
      <c r="D3061" s="2">
        <v>5.22</v>
      </c>
      <c r="E3061" s="2">
        <v>5.54</v>
      </c>
      <c r="F3061" s="2">
        <v>2.97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</row>
    <row r="3062" spans="1:11" x14ac:dyDescent="0.2">
      <c r="A3062" s="3">
        <v>0.125</v>
      </c>
      <c r="B3062" s="2">
        <v>6.23</v>
      </c>
      <c r="C3062" s="2">
        <v>3.78</v>
      </c>
      <c r="D3062" s="2">
        <v>5.12</v>
      </c>
      <c r="E3062" s="2">
        <v>5.36</v>
      </c>
      <c r="F3062" s="2">
        <v>3.19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</row>
    <row r="3063" spans="1:11" x14ac:dyDescent="0.2">
      <c r="A3063" s="1">
        <v>0.125694444444444</v>
      </c>
      <c r="B3063" s="2">
        <v>6.31</v>
      </c>
      <c r="C3063" s="2">
        <v>3.86</v>
      </c>
      <c r="D3063" s="2">
        <v>4.93</v>
      </c>
      <c r="E3063" s="2">
        <v>5.23</v>
      </c>
      <c r="F3063" s="2">
        <v>3.24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</row>
    <row r="3064" spans="1:11" x14ac:dyDescent="0.2">
      <c r="A3064" s="1">
        <v>0.12638888888888899</v>
      </c>
      <c r="B3064" s="2">
        <v>6.1999999999999993</v>
      </c>
      <c r="C3064" s="2">
        <v>3.81</v>
      </c>
      <c r="D3064" s="2">
        <v>5.31</v>
      </c>
      <c r="E3064" s="2">
        <v>5.5600000000000005</v>
      </c>
      <c r="F3064" s="2">
        <v>2.89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</row>
    <row r="3065" spans="1:11" x14ac:dyDescent="0.2">
      <c r="A3065" s="1">
        <v>0.12708333333333299</v>
      </c>
      <c r="B3065" s="2">
        <v>6.1499999999999995</v>
      </c>
      <c r="C3065" s="2">
        <v>3.87</v>
      </c>
      <c r="D3065" s="2">
        <v>5.1999999999999993</v>
      </c>
      <c r="E3065" s="2">
        <v>5.0999999999999996</v>
      </c>
      <c r="F3065" s="2">
        <v>3.1100000000000003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</row>
    <row r="3066" spans="1:11" x14ac:dyDescent="0.2">
      <c r="A3066" s="1">
        <v>0.12777777777777799</v>
      </c>
      <c r="B3066" s="2">
        <v>6.25</v>
      </c>
      <c r="C3066" s="2">
        <v>3.8899999999999997</v>
      </c>
      <c r="D3066" s="2">
        <v>5.17</v>
      </c>
      <c r="E3066" s="2">
        <v>5.49</v>
      </c>
      <c r="F3066" s="2">
        <v>3.04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</row>
    <row r="3067" spans="1:11" x14ac:dyDescent="0.2">
      <c r="A3067" s="1">
        <v>0.12847222222222199</v>
      </c>
      <c r="B3067" s="2">
        <v>6.34</v>
      </c>
      <c r="C3067" s="2">
        <v>3.79</v>
      </c>
      <c r="D3067" s="2">
        <v>5.18</v>
      </c>
      <c r="E3067" s="2">
        <v>5.33</v>
      </c>
      <c r="F3067" s="2">
        <v>2.9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</row>
    <row r="3068" spans="1:11" x14ac:dyDescent="0.2">
      <c r="A3068" s="1">
        <v>0.12916666666666701</v>
      </c>
      <c r="B3068" s="2">
        <v>6.3599999999999994</v>
      </c>
      <c r="C3068" s="2">
        <v>3.6399999999999997</v>
      </c>
      <c r="D3068" s="2">
        <v>5.3699999999999992</v>
      </c>
      <c r="E3068" s="2">
        <v>5.18</v>
      </c>
      <c r="F3068" s="2">
        <v>3.3400000000000003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</row>
    <row r="3069" spans="1:11" x14ac:dyDescent="0.2">
      <c r="A3069" s="1">
        <v>0.12986111111111101</v>
      </c>
      <c r="B3069" s="2">
        <v>6.1999999999999993</v>
      </c>
      <c r="C3069" s="2">
        <v>3.71</v>
      </c>
      <c r="D3069" s="2">
        <v>5.3</v>
      </c>
      <c r="E3069" s="2">
        <v>5.2700000000000005</v>
      </c>
      <c r="F3069" s="2">
        <v>3.1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</row>
    <row r="3070" spans="1:11" x14ac:dyDescent="0.2">
      <c r="A3070" s="1">
        <v>0.13055555555555601</v>
      </c>
      <c r="B3070" s="2">
        <v>6.3199999999999994</v>
      </c>
      <c r="C3070" s="2">
        <v>3.8899999999999997</v>
      </c>
      <c r="D3070" s="2">
        <v>5.25</v>
      </c>
      <c r="E3070" s="2">
        <v>5.3100000000000005</v>
      </c>
      <c r="F3070" s="2">
        <v>2.9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</row>
    <row r="3071" spans="1:11" x14ac:dyDescent="0.2">
      <c r="A3071" s="1">
        <v>0.13125000000000001</v>
      </c>
      <c r="B3071" s="2">
        <v>6.14</v>
      </c>
      <c r="C3071" s="2">
        <v>3.78</v>
      </c>
      <c r="D3071" s="2">
        <v>4.97</v>
      </c>
      <c r="E3071" s="2">
        <v>5.0999999999999996</v>
      </c>
      <c r="F3071" s="2">
        <v>2.93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</row>
    <row r="3072" spans="1:11" x14ac:dyDescent="0.2">
      <c r="A3072" s="1">
        <v>0.131944444444444</v>
      </c>
      <c r="B3072" s="2">
        <v>6.1899999999999995</v>
      </c>
      <c r="C3072" s="2">
        <v>3.82</v>
      </c>
      <c r="D3072" s="2">
        <v>5</v>
      </c>
      <c r="E3072" s="2">
        <v>5.58</v>
      </c>
      <c r="F3072" s="2">
        <v>2.89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</row>
    <row r="3073" spans="1:11" x14ac:dyDescent="0.2">
      <c r="A3073" s="1">
        <v>0.132638888888889</v>
      </c>
      <c r="B3073" s="2">
        <v>6.1599999999999993</v>
      </c>
      <c r="C3073" s="2">
        <v>3.7199999999999998</v>
      </c>
      <c r="D3073" s="2">
        <v>5.38</v>
      </c>
      <c r="E3073" s="2">
        <v>5.74</v>
      </c>
      <c r="F3073" s="2">
        <v>2.99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</row>
    <row r="3074" spans="1:11" x14ac:dyDescent="0.2">
      <c r="A3074" s="1">
        <v>0.133333333333333</v>
      </c>
      <c r="B3074" s="2">
        <v>6.34</v>
      </c>
      <c r="C3074" s="2">
        <v>3.87</v>
      </c>
      <c r="D3074" s="2">
        <v>5.13</v>
      </c>
      <c r="E3074" s="2">
        <v>5.25</v>
      </c>
      <c r="F3074" s="2">
        <v>3.04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</row>
    <row r="3075" spans="1:11" x14ac:dyDescent="0.2">
      <c r="A3075" s="1">
        <v>0.134027777777778</v>
      </c>
      <c r="B3075" s="2">
        <v>6.38</v>
      </c>
      <c r="C3075" s="2">
        <v>3.81</v>
      </c>
      <c r="D3075" s="2">
        <v>5.04</v>
      </c>
      <c r="E3075" s="2">
        <v>5.55</v>
      </c>
      <c r="F3075" s="2">
        <v>3.2600000000000002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</row>
    <row r="3076" spans="1:11" x14ac:dyDescent="0.2">
      <c r="A3076" s="1">
        <v>0.13472222222222199</v>
      </c>
      <c r="B3076" s="2">
        <v>6.34</v>
      </c>
      <c r="C3076" s="2">
        <v>3.82</v>
      </c>
      <c r="D3076" s="2">
        <v>5.25</v>
      </c>
      <c r="E3076" s="2">
        <v>5.71</v>
      </c>
      <c r="F3076" s="2">
        <v>3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</row>
    <row r="3077" spans="1:11" x14ac:dyDescent="0.2">
      <c r="A3077" s="1">
        <v>0.13541666666666699</v>
      </c>
      <c r="B3077" s="2">
        <v>6.1</v>
      </c>
      <c r="C3077" s="2">
        <v>3.81</v>
      </c>
      <c r="D3077" s="2">
        <v>4.8999999999999995</v>
      </c>
      <c r="E3077" s="2">
        <v>5.24</v>
      </c>
      <c r="F3077" s="2">
        <v>3.14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</row>
    <row r="3078" spans="1:11" x14ac:dyDescent="0.2">
      <c r="A3078" s="1">
        <v>0.13611111111111099</v>
      </c>
      <c r="B3078" s="2">
        <v>6.31</v>
      </c>
      <c r="C3078" s="2">
        <v>3.69</v>
      </c>
      <c r="D3078" s="2">
        <v>5.3699999999999992</v>
      </c>
      <c r="E3078" s="2">
        <v>5.23</v>
      </c>
      <c r="F3078" s="2">
        <v>3.3400000000000003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</row>
    <row r="3079" spans="1:11" x14ac:dyDescent="0.2">
      <c r="A3079" s="1">
        <v>0.13680555555555601</v>
      </c>
      <c r="B3079" s="2">
        <v>6.35</v>
      </c>
      <c r="C3079" s="2">
        <v>3.84</v>
      </c>
      <c r="D3079" s="2">
        <v>5.0599999999999996</v>
      </c>
      <c r="E3079" s="2">
        <v>5.5600000000000005</v>
      </c>
      <c r="F3079" s="2">
        <v>2.91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</row>
    <row r="3080" spans="1:11" x14ac:dyDescent="0.2">
      <c r="A3080" s="1">
        <v>0.13750000000000001</v>
      </c>
      <c r="B3080" s="2">
        <v>6.31</v>
      </c>
      <c r="C3080" s="2">
        <v>3.79</v>
      </c>
      <c r="D3080" s="2">
        <v>5.21</v>
      </c>
      <c r="E3080" s="2">
        <v>5.33</v>
      </c>
      <c r="F3080" s="2">
        <v>3.1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</row>
    <row r="3081" spans="1:11" x14ac:dyDescent="0.2">
      <c r="A3081" s="1">
        <v>0.13819444444444401</v>
      </c>
      <c r="B3081" s="2">
        <v>6.2799999999999994</v>
      </c>
      <c r="C3081" s="2">
        <v>3.81</v>
      </c>
      <c r="D3081" s="2">
        <v>5.09</v>
      </c>
      <c r="E3081" s="2">
        <v>5.54</v>
      </c>
      <c r="F3081" s="2">
        <v>3.24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</row>
    <row r="3082" spans="1:11" x14ac:dyDescent="0.2">
      <c r="A3082" s="1">
        <v>0.13888888888888901</v>
      </c>
      <c r="B3082" s="2">
        <v>6.14</v>
      </c>
      <c r="C3082" s="2">
        <v>3.71</v>
      </c>
      <c r="D3082" s="2">
        <v>5.1899999999999995</v>
      </c>
      <c r="E3082" s="2">
        <v>5.63</v>
      </c>
      <c r="F3082" s="2">
        <v>3.04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</row>
    <row r="3083" spans="1:11" x14ac:dyDescent="0.2">
      <c r="A3083" s="1">
        <v>0.139583333333333</v>
      </c>
      <c r="B3083" s="2">
        <v>6.3699999999999992</v>
      </c>
      <c r="C3083" s="2">
        <v>3.78</v>
      </c>
      <c r="D3083" s="2">
        <v>5.04</v>
      </c>
      <c r="E3083" s="2">
        <v>5.41</v>
      </c>
      <c r="F3083" s="2">
        <v>2.87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</row>
    <row r="3084" spans="1:11" x14ac:dyDescent="0.2">
      <c r="A3084" s="1">
        <v>0.140277777777778</v>
      </c>
      <c r="B3084" s="2">
        <v>6.38</v>
      </c>
      <c r="C3084" s="2">
        <v>3.69</v>
      </c>
      <c r="D3084" s="2">
        <v>5.0199999999999996</v>
      </c>
      <c r="E3084" s="2">
        <v>5.55</v>
      </c>
      <c r="F3084" s="2">
        <v>2.97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</row>
    <row r="3085" spans="1:11" x14ac:dyDescent="0.2">
      <c r="A3085" s="1">
        <v>0.140972222222222</v>
      </c>
      <c r="B3085" s="2">
        <v>6.1099999999999994</v>
      </c>
      <c r="C3085" s="2">
        <v>3.79</v>
      </c>
      <c r="D3085" s="2">
        <v>5.0699999999999994</v>
      </c>
      <c r="E3085" s="2">
        <v>5.09</v>
      </c>
      <c r="F3085" s="2">
        <v>2.89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</row>
    <row r="3086" spans="1:11" x14ac:dyDescent="0.2">
      <c r="A3086" s="1">
        <v>0.141666666666667</v>
      </c>
      <c r="B3086" s="2">
        <v>6.3599999999999994</v>
      </c>
      <c r="C3086" s="2">
        <v>3.9</v>
      </c>
      <c r="D3086" s="2">
        <v>5.1099999999999994</v>
      </c>
      <c r="E3086" s="2">
        <v>5.15</v>
      </c>
      <c r="F3086" s="2">
        <v>3.23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</row>
    <row r="3087" spans="1:11" x14ac:dyDescent="0.2">
      <c r="A3087" s="1">
        <v>0.14236111111111099</v>
      </c>
      <c r="B3087" s="2">
        <v>6.38</v>
      </c>
      <c r="C3087" s="2">
        <v>3.87</v>
      </c>
      <c r="D3087" s="2">
        <v>5.2799999999999994</v>
      </c>
      <c r="E3087" s="2">
        <v>5.61</v>
      </c>
      <c r="F3087" s="2">
        <v>3.35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</row>
    <row r="3088" spans="1:11" x14ac:dyDescent="0.2">
      <c r="A3088" s="1">
        <v>0.14305555555555599</v>
      </c>
      <c r="B3088" s="2">
        <v>6.1</v>
      </c>
      <c r="C3088" s="2">
        <v>3.78</v>
      </c>
      <c r="D3088" s="2">
        <v>4.8999999999999995</v>
      </c>
      <c r="E3088" s="2">
        <v>5.39</v>
      </c>
      <c r="F3088" s="2">
        <v>3.2600000000000002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</row>
    <row r="3089" spans="1:11" x14ac:dyDescent="0.2">
      <c r="A3089" s="1">
        <v>0.14374999999999999</v>
      </c>
      <c r="B3089" s="2">
        <v>6.2799999999999994</v>
      </c>
      <c r="C3089" s="2">
        <v>3.84</v>
      </c>
      <c r="D3089" s="2">
        <v>5.21</v>
      </c>
      <c r="E3089" s="2">
        <v>5.15</v>
      </c>
      <c r="F3089" s="2">
        <v>3.38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</row>
    <row r="3090" spans="1:11" x14ac:dyDescent="0.2">
      <c r="A3090" s="1">
        <v>0.14444444444444399</v>
      </c>
      <c r="B3090" s="2">
        <v>6.1999999999999993</v>
      </c>
      <c r="C3090" s="2">
        <v>3.8499999999999996</v>
      </c>
      <c r="D3090" s="2">
        <v>4.9799999999999995</v>
      </c>
      <c r="E3090" s="2">
        <v>5.72</v>
      </c>
      <c r="F3090" s="2">
        <v>3.18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</row>
    <row r="3091" spans="1:11" x14ac:dyDescent="0.2">
      <c r="A3091" s="1">
        <v>0.14513888888888901</v>
      </c>
      <c r="B3091" s="2">
        <v>6.1999999999999993</v>
      </c>
      <c r="C3091" s="2">
        <v>3.82</v>
      </c>
      <c r="D3091" s="2">
        <v>5</v>
      </c>
      <c r="E3091" s="2">
        <v>5.24</v>
      </c>
      <c r="F3091" s="2">
        <v>3.16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</row>
    <row r="3092" spans="1:11" x14ac:dyDescent="0.2">
      <c r="A3092" s="1">
        <v>0.14583333333333301</v>
      </c>
      <c r="B3092" s="2">
        <v>6.3599999999999994</v>
      </c>
      <c r="C3092" s="2">
        <v>3.63</v>
      </c>
      <c r="D3092" s="2">
        <v>5.39</v>
      </c>
      <c r="E3092" s="2">
        <v>5.4</v>
      </c>
      <c r="F3092" s="2">
        <v>2.89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</row>
    <row r="3093" spans="1:11" x14ac:dyDescent="0.2">
      <c r="A3093" s="1">
        <v>0.14652777777777801</v>
      </c>
      <c r="B3093" s="2">
        <v>6.1099999999999994</v>
      </c>
      <c r="C3093" s="2">
        <v>3.59</v>
      </c>
      <c r="D3093" s="2">
        <v>4.96</v>
      </c>
      <c r="E3093" s="2">
        <v>5.14</v>
      </c>
      <c r="F3093" s="2">
        <v>3.17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</row>
    <row r="3094" spans="1:11" x14ac:dyDescent="0.2">
      <c r="A3094" s="1">
        <v>0.147222222222222</v>
      </c>
      <c r="B3094" s="2">
        <v>6.1</v>
      </c>
      <c r="C3094" s="2">
        <v>3.8899999999999997</v>
      </c>
      <c r="D3094" s="2">
        <v>5.2799999999999994</v>
      </c>
      <c r="E3094" s="2">
        <v>5.19</v>
      </c>
      <c r="F3094" s="2">
        <v>3.08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</row>
    <row r="3095" spans="1:11" x14ac:dyDescent="0.2">
      <c r="A3095" s="1">
        <v>0.147916666666667</v>
      </c>
      <c r="B3095" s="2">
        <v>6.33</v>
      </c>
      <c r="C3095" s="2">
        <v>3.71</v>
      </c>
      <c r="D3095" s="2">
        <v>5.05</v>
      </c>
      <c r="E3095" s="2">
        <v>5.28</v>
      </c>
      <c r="F3095" s="2">
        <v>3.0500000000000003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</row>
    <row r="3096" spans="1:11" x14ac:dyDescent="0.2">
      <c r="A3096" s="1">
        <v>0.148611111111111</v>
      </c>
      <c r="B3096" s="2">
        <v>6.27</v>
      </c>
      <c r="C3096" s="2">
        <v>3.7399999999999998</v>
      </c>
      <c r="D3096" s="2">
        <v>5.08</v>
      </c>
      <c r="E3096" s="2">
        <v>5.28</v>
      </c>
      <c r="F3096" s="2">
        <v>2.99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</row>
    <row r="3097" spans="1:11" x14ac:dyDescent="0.2">
      <c r="A3097" s="1">
        <v>0.149305555555556</v>
      </c>
      <c r="B3097" s="2">
        <v>6.18</v>
      </c>
      <c r="C3097" s="2">
        <v>3.73</v>
      </c>
      <c r="D3097" s="2">
        <v>4.9799999999999995</v>
      </c>
      <c r="E3097" s="2">
        <v>5.67</v>
      </c>
      <c r="F3097" s="2">
        <v>3.19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</row>
    <row r="3098" spans="1:11" x14ac:dyDescent="0.2">
      <c r="A3098" s="1">
        <v>0.15</v>
      </c>
      <c r="B3098" s="2">
        <v>6.27</v>
      </c>
      <c r="C3098" s="2">
        <v>3.73</v>
      </c>
      <c r="D3098" s="2">
        <v>4.9799999999999995</v>
      </c>
      <c r="E3098" s="2">
        <v>5.35</v>
      </c>
      <c r="F3098" s="2">
        <v>3.3000000000000003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</row>
    <row r="3099" spans="1:11" x14ac:dyDescent="0.2">
      <c r="A3099" s="1">
        <v>0.15069444444444399</v>
      </c>
      <c r="B3099" s="2">
        <v>6.2299999999999995</v>
      </c>
      <c r="C3099" s="2">
        <v>3.87</v>
      </c>
      <c r="D3099" s="2">
        <v>5.2399999999999993</v>
      </c>
      <c r="E3099" s="2">
        <v>5.21</v>
      </c>
      <c r="F3099" s="2">
        <v>3.27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</row>
    <row r="3100" spans="1:11" x14ac:dyDescent="0.2">
      <c r="A3100" s="1">
        <v>0.15138888888888899</v>
      </c>
      <c r="B3100" s="2">
        <v>6.25</v>
      </c>
      <c r="C3100" s="2">
        <v>3.7199999999999998</v>
      </c>
      <c r="D3100" s="2">
        <v>5.1899999999999995</v>
      </c>
      <c r="E3100" s="2">
        <v>5.75</v>
      </c>
      <c r="F3100" s="2">
        <v>2.97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</row>
    <row r="3101" spans="1:11" x14ac:dyDescent="0.2">
      <c r="A3101" s="1">
        <v>0.15208333333333299</v>
      </c>
      <c r="B3101" s="2">
        <v>6.33</v>
      </c>
      <c r="C3101" s="2">
        <v>3.77</v>
      </c>
      <c r="D3101" s="2">
        <v>5.2399999999999993</v>
      </c>
      <c r="E3101" s="2">
        <v>5.62</v>
      </c>
      <c r="F3101" s="2">
        <v>3.08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</row>
    <row r="3102" spans="1:11" x14ac:dyDescent="0.2">
      <c r="A3102" s="1">
        <v>0.15277777777777801</v>
      </c>
      <c r="B3102" s="2">
        <v>6.1499999999999995</v>
      </c>
      <c r="C3102" s="2">
        <v>3.69</v>
      </c>
      <c r="D3102" s="2">
        <v>5.0999999999999996</v>
      </c>
      <c r="E3102" s="2">
        <v>5.67</v>
      </c>
      <c r="F3102" s="2">
        <v>3.21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</row>
    <row r="3103" spans="1:11" x14ac:dyDescent="0.2">
      <c r="A3103" s="1">
        <v>0.15347222222222201</v>
      </c>
      <c r="B3103" s="2">
        <v>6.2399999999999993</v>
      </c>
      <c r="C3103" s="2">
        <v>3.71</v>
      </c>
      <c r="D3103" s="2">
        <v>5.3599999999999994</v>
      </c>
      <c r="E3103" s="2">
        <v>5.32</v>
      </c>
      <c r="F3103" s="2">
        <v>2.88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</row>
    <row r="3104" spans="1:11" x14ac:dyDescent="0.2">
      <c r="A3104" s="1">
        <v>0.15416666666666701</v>
      </c>
      <c r="B3104" s="2">
        <v>6.2399999999999993</v>
      </c>
      <c r="C3104" s="2">
        <v>3.75</v>
      </c>
      <c r="D3104" s="2">
        <v>5.0299999999999994</v>
      </c>
      <c r="E3104" s="2">
        <v>5.17</v>
      </c>
      <c r="F3104" s="2">
        <v>3.1500000000000004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</row>
    <row r="3105" spans="1:11" x14ac:dyDescent="0.2">
      <c r="A3105" s="1">
        <v>0.15486111111111101</v>
      </c>
      <c r="B3105" s="2">
        <v>6.1499999999999995</v>
      </c>
      <c r="C3105" s="2">
        <v>3.77</v>
      </c>
      <c r="D3105" s="2">
        <v>5.31</v>
      </c>
      <c r="E3105" s="2">
        <v>5.5200000000000005</v>
      </c>
      <c r="F3105" s="2">
        <v>3.0100000000000002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</row>
    <row r="3106" spans="1:11" x14ac:dyDescent="0.2">
      <c r="A3106" s="1">
        <v>0.155555555555556</v>
      </c>
      <c r="B3106" s="2">
        <v>6.2799999999999994</v>
      </c>
      <c r="C3106" s="2">
        <v>3.86</v>
      </c>
      <c r="D3106" s="2">
        <v>5.29</v>
      </c>
      <c r="E3106" s="2">
        <v>5.43</v>
      </c>
      <c r="F3106" s="2">
        <v>3.24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</row>
    <row r="3107" spans="1:11" x14ac:dyDescent="0.2">
      <c r="A3107" s="1">
        <v>0.15625</v>
      </c>
      <c r="B3107" s="2">
        <v>6.2399999999999993</v>
      </c>
      <c r="C3107" s="2">
        <v>3.77</v>
      </c>
      <c r="D3107" s="2">
        <v>5.2399999999999993</v>
      </c>
      <c r="E3107" s="2">
        <v>5.71</v>
      </c>
      <c r="F3107" s="2">
        <v>2.93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</row>
    <row r="3108" spans="1:11" x14ac:dyDescent="0.2">
      <c r="A3108" s="1">
        <v>0.156944444444444</v>
      </c>
      <c r="B3108" s="2">
        <v>6.26</v>
      </c>
      <c r="C3108" s="2">
        <v>3.8899999999999997</v>
      </c>
      <c r="D3108" s="2">
        <v>5.2299999999999995</v>
      </c>
      <c r="E3108" s="2">
        <v>5.18</v>
      </c>
      <c r="F3108" s="2">
        <v>3.2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</row>
    <row r="3109" spans="1:11" x14ac:dyDescent="0.2">
      <c r="A3109" s="1">
        <v>0.15763888888888899</v>
      </c>
      <c r="B3109" s="2">
        <v>6.34</v>
      </c>
      <c r="C3109" s="2">
        <v>3.79</v>
      </c>
      <c r="D3109" s="2">
        <v>5.3199999999999994</v>
      </c>
      <c r="E3109" s="2">
        <v>5.66</v>
      </c>
      <c r="F3109" s="2">
        <v>2.9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</row>
    <row r="3110" spans="1:11" x14ac:dyDescent="0.2">
      <c r="A3110" s="1">
        <v>0.15833333333333299</v>
      </c>
      <c r="B3110" s="2">
        <v>6.21</v>
      </c>
      <c r="C3110" s="2">
        <v>3.87</v>
      </c>
      <c r="D3110" s="2">
        <v>5.08</v>
      </c>
      <c r="E3110" s="2">
        <v>5.42</v>
      </c>
      <c r="F3110" s="2">
        <v>2.99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</row>
    <row r="3111" spans="1:11" x14ac:dyDescent="0.2">
      <c r="A3111" s="1">
        <v>0.15902777777777799</v>
      </c>
      <c r="B3111" s="2">
        <v>6.26</v>
      </c>
      <c r="C3111" s="2">
        <v>3.63</v>
      </c>
      <c r="D3111" s="2">
        <v>5.01</v>
      </c>
      <c r="E3111" s="2">
        <v>5.47</v>
      </c>
      <c r="F3111" s="2">
        <v>3.3600000000000003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</row>
    <row r="3112" spans="1:11" x14ac:dyDescent="0.2">
      <c r="A3112" s="1">
        <v>0.15972222222222199</v>
      </c>
      <c r="B3112" s="2">
        <v>6.2799999999999994</v>
      </c>
      <c r="C3112" s="2">
        <v>3.78</v>
      </c>
      <c r="D3112" s="2">
        <v>5.0599999999999996</v>
      </c>
      <c r="E3112" s="2">
        <v>5.57</v>
      </c>
      <c r="F3112" s="2">
        <v>2.92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</row>
    <row r="3113" spans="1:11" x14ac:dyDescent="0.2">
      <c r="A3113" s="1">
        <v>0.16041666666666701</v>
      </c>
      <c r="B3113" s="2">
        <v>6.3699999999999992</v>
      </c>
      <c r="C3113" s="2">
        <v>3.87</v>
      </c>
      <c r="D3113" s="2">
        <v>4.9499999999999993</v>
      </c>
      <c r="E3113" s="2">
        <v>5.66</v>
      </c>
      <c r="F3113" s="2">
        <v>2.89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</row>
    <row r="3114" spans="1:11" x14ac:dyDescent="0.2">
      <c r="A3114" s="1">
        <v>0.16111111111111101</v>
      </c>
      <c r="B3114" s="2">
        <v>6.1899999999999995</v>
      </c>
      <c r="C3114" s="2">
        <v>3.78</v>
      </c>
      <c r="D3114" s="2">
        <v>5.33</v>
      </c>
      <c r="E3114" s="2">
        <v>5.55</v>
      </c>
      <c r="F3114" s="2">
        <v>3.0500000000000003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</row>
    <row r="3115" spans="1:11" x14ac:dyDescent="0.2">
      <c r="A3115" s="1">
        <v>0.16180555555555601</v>
      </c>
      <c r="B3115" s="2">
        <v>6.1999999999999993</v>
      </c>
      <c r="C3115" s="2">
        <v>3.83</v>
      </c>
      <c r="D3115" s="2">
        <v>4.93</v>
      </c>
      <c r="E3115" s="2">
        <v>5.53</v>
      </c>
      <c r="F3115" s="2">
        <v>3.2800000000000002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</row>
    <row r="3116" spans="1:11" x14ac:dyDescent="0.2">
      <c r="A3116" s="1">
        <v>0.16250000000000001</v>
      </c>
      <c r="B3116" s="2">
        <v>6.35</v>
      </c>
      <c r="C3116" s="2">
        <v>3.73</v>
      </c>
      <c r="D3116" s="2">
        <v>4.9099999999999993</v>
      </c>
      <c r="E3116" s="2">
        <v>5.49</v>
      </c>
      <c r="F3116" s="2">
        <v>3.08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</row>
    <row r="3117" spans="1:11" x14ac:dyDescent="0.2">
      <c r="A3117" s="1">
        <v>0.163194444444444</v>
      </c>
      <c r="B3117" s="2">
        <v>6.33</v>
      </c>
      <c r="C3117" s="2">
        <v>3.6999999999999997</v>
      </c>
      <c r="D3117" s="2">
        <v>5.14</v>
      </c>
      <c r="E3117" s="2">
        <v>5.68</v>
      </c>
      <c r="F3117" s="2">
        <v>3.3400000000000003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</row>
    <row r="3118" spans="1:11" x14ac:dyDescent="0.2">
      <c r="A3118" s="1">
        <v>0.163888888888889</v>
      </c>
      <c r="B3118" s="2">
        <v>6.1</v>
      </c>
      <c r="C3118" s="2">
        <v>3.76</v>
      </c>
      <c r="D3118" s="2">
        <v>5.16</v>
      </c>
      <c r="E3118" s="2">
        <v>5.55</v>
      </c>
      <c r="F3118" s="2">
        <v>3.2600000000000002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</row>
    <row r="3119" spans="1:11" x14ac:dyDescent="0.2">
      <c r="A3119" s="1">
        <v>0.164583333333333</v>
      </c>
      <c r="B3119" s="2">
        <v>6.21</v>
      </c>
      <c r="C3119" s="2">
        <v>3.69</v>
      </c>
      <c r="D3119" s="2">
        <v>5.39</v>
      </c>
      <c r="E3119" s="2">
        <v>5.44</v>
      </c>
      <c r="F3119" s="2">
        <v>2.87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</row>
    <row r="3120" spans="1:11" x14ac:dyDescent="0.2">
      <c r="A3120" s="1">
        <v>0.165277777777778</v>
      </c>
      <c r="B3120" s="2">
        <v>6.27</v>
      </c>
      <c r="C3120" s="2">
        <v>3.59</v>
      </c>
      <c r="D3120" s="2">
        <v>5.3199999999999994</v>
      </c>
      <c r="E3120" s="2">
        <v>5.55</v>
      </c>
      <c r="F3120" s="2">
        <v>3.2600000000000002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</row>
    <row r="3121" spans="1:11" x14ac:dyDescent="0.2">
      <c r="A3121" s="1">
        <v>0.16597222222222199</v>
      </c>
      <c r="B3121" s="2">
        <v>6.2299999999999995</v>
      </c>
      <c r="C3121" s="2">
        <v>3.65</v>
      </c>
      <c r="D3121" s="2">
        <v>5.33</v>
      </c>
      <c r="E3121" s="2">
        <v>5.72</v>
      </c>
      <c r="F3121" s="2">
        <v>2.92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</row>
    <row r="3122" spans="1:11" x14ac:dyDescent="0.2">
      <c r="A3122" s="3">
        <v>0.16666666666666699</v>
      </c>
      <c r="B3122" s="2">
        <v>6.24</v>
      </c>
      <c r="C3122" s="2">
        <v>3.79</v>
      </c>
      <c r="D3122" s="2">
        <v>5.12</v>
      </c>
      <c r="E3122" s="2">
        <v>5.37</v>
      </c>
      <c r="F3122" s="2">
        <v>3.19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</row>
    <row r="3123" spans="1:11" x14ac:dyDescent="0.2">
      <c r="A3123" s="1">
        <v>0.16736111111111099</v>
      </c>
      <c r="B3123" s="2">
        <v>6.2</v>
      </c>
      <c r="C3123" s="2">
        <v>3.82</v>
      </c>
      <c r="D3123" s="2">
        <v>4.8999999999999995</v>
      </c>
      <c r="E3123" s="2">
        <v>5.14</v>
      </c>
      <c r="F3123" s="2">
        <v>3.2600000000000002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</row>
    <row r="3124" spans="1:11" x14ac:dyDescent="0.2">
      <c r="A3124" s="1">
        <v>0.16805555555555601</v>
      </c>
      <c r="B3124" s="2">
        <v>6.32</v>
      </c>
      <c r="C3124" s="2">
        <v>3.59</v>
      </c>
      <c r="D3124" s="2">
        <v>5.1999999999999993</v>
      </c>
      <c r="E3124" s="2">
        <v>5.3</v>
      </c>
      <c r="F3124" s="2">
        <v>3.18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</row>
    <row r="3125" spans="1:11" x14ac:dyDescent="0.2">
      <c r="A3125" s="1">
        <v>0.16875000000000001</v>
      </c>
      <c r="B3125" s="2">
        <v>6.2700000000000005</v>
      </c>
      <c r="C3125" s="2">
        <v>3.69</v>
      </c>
      <c r="D3125" s="2">
        <v>4.92</v>
      </c>
      <c r="E3125" s="2">
        <v>5.54</v>
      </c>
      <c r="F3125" s="2">
        <v>3.1100000000000003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</row>
    <row r="3126" spans="1:11" x14ac:dyDescent="0.2">
      <c r="A3126" s="1">
        <v>0.16944444444444401</v>
      </c>
      <c r="B3126" s="2">
        <v>6.28</v>
      </c>
      <c r="C3126" s="2">
        <v>3.69</v>
      </c>
      <c r="D3126" s="2">
        <v>5.27</v>
      </c>
      <c r="E3126" s="2">
        <v>5.18</v>
      </c>
      <c r="F3126" s="2">
        <v>3.24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</row>
    <row r="3127" spans="1:11" x14ac:dyDescent="0.2">
      <c r="A3127" s="1">
        <v>0.17013888888888901</v>
      </c>
      <c r="B3127" s="2">
        <v>6.22</v>
      </c>
      <c r="C3127" s="2">
        <v>3.6199999999999997</v>
      </c>
      <c r="D3127" s="2">
        <v>5.14</v>
      </c>
      <c r="E3127" s="2">
        <v>5.13</v>
      </c>
      <c r="F3127" s="2">
        <v>3.33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</row>
    <row r="3128" spans="1:11" x14ac:dyDescent="0.2">
      <c r="A3128" s="1">
        <v>0.170833333333333</v>
      </c>
      <c r="B3128" s="2">
        <v>6.37</v>
      </c>
      <c r="C3128" s="2">
        <v>3.73</v>
      </c>
      <c r="D3128" s="2">
        <v>4.97</v>
      </c>
      <c r="E3128" s="2">
        <v>5.4399999999999995</v>
      </c>
      <c r="F3128" s="2">
        <v>3.0500000000000003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</row>
    <row r="3129" spans="1:11" x14ac:dyDescent="0.2">
      <c r="A3129" s="1">
        <v>0.171527777777778</v>
      </c>
      <c r="B3129" s="2">
        <v>6.17</v>
      </c>
      <c r="C3129" s="2">
        <v>3.82</v>
      </c>
      <c r="D3129" s="2">
        <v>5.33</v>
      </c>
      <c r="E3129" s="2">
        <v>5.64</v>
      </c>
      <c r="F3129" s="2">
        <v>2.9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</row>
    <row r="3130" spans="1:11" x14ac:dyDescent="0.2">
      <c r="A3130" s="1">
        <v>0.172222222222222</v>
      </c>
      <c r="B3130" s="2">
        <v>6.24</v>
      </c>
      <c r="C3130" s="2">
        <v>3.73</v>
      </c>
      <c r="D3130" s="2">
        <v>5.0199999999999996</v>
      </c>
      <c r="E3130" s="2">
        <v>5.49</v>
      </c>
      <c r="F3130" s="2">
        <v>3.19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</row>
    <row r="3131" spans="1:11" x14ac:dyDescent="0.2">
      <c r="A3131" s="1">
        <v>0.172916666666667</v>
      </c>
      <c r="B3131" s="2">
        <v>6.3</v>
      </c>
      <c r="C3131" s="2">
        <v>3.6599999999999997</v>
      </c>
      <c r="D3131" s="2">
        <v>5.1499999999999995</v>
      </c>
      <c r="E3131" s="2">
        <v>5.25</v>
      </c>
      <c r="F3131" s="2">
        <v>2.99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</row>
    <row r="3132" spans="1:11" x14ac:dyDescent="0.2">
      <c r="A3132" s="1">
        <v>0.17361111111111099</v>
      </c>
      <c r="B3132" s="2">
        <v>6.2700000000000005</v>
      </c>
      <c r="C3132" s="2">
        <v>3.5999999999999996</v>
      </c>
      <c r="D3132" s="2">
        <v>5.17</v>
      </c>
      <c r="E3132" s="2">
        <v>5.43</v>
      </c>
      <c r="F3132" s="2">
        <v>3.04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</row>
    <row r="3133" spans="1:11" x14ac:dyDescent="0.2">
      <c r="A3133" s="1">
        <v>0.17430555555555599</v>
      </c>
      <c r="B3133" s="2">
        <v>6.12</v>
      </c>
      <c r="C3133" s="2">
        <v>3.6599999999999997</v>
      </c>
      <c r="D3133" s="2">
        <v>5.16</v>
      </c>
      <c r="E3133" s="2">
        <v>5.49</v>
      </c>
      <c r="F3133" s="2">
        <v>2.92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</row>
    <row r="3134" spans="1:11" x14ac:dyDescent="0.2">
      <c r="A3134" s="1">
        <v>0.17499999999999999</v>
      </c>
      <c r="B3134" s="2">
        <v>6.18</v>
      </c>
      <c r="C3134" s="2">
        <v>3.6399999999999997</v>
      </c>
      <c r="D3134" s="2">
        <v>4.9399999999999995</v>
      </c>
      <c r="E3134" s="2">
        <v>5.38</v>
      </c>
      <c r="F3134" s="2">
        <v>3.33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</row>
    <row r="3135" spans="1:11" x14ac:dyDescent="0.2">
      <c r="A3135" s="1">
        <v>0.17569444444444399</v>
      </c>
      <c r="B3135" s="2">
        <v>6.37</v>
      </c>
      <c r="C3135" s="2">
        <v>3.78</v>
      </c>
      <c r="D3135" s="2">
        <v>5.25</v>
      </c>
      <c r="E3135" s="2">
        <v>5.43</v>
      </c>
      <c r="F3135" s="2">
        <v>3.22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</row>
    <row r="3136" spans="1:11" x14ac:dyDescent="0.2">
      <c r="A3136" s="1">
        <v>0.17638888888888901</v>
      </c>
      <c r="B3136" s="2">
        <v>6.19</v>
      </c>
      <c r="C3136" s="2">
        <v>3.8</v>
      </c>
      <c r="D3136" s="2">
        <v>4.9399999999999995</v>
      </c>
      <c r="E3136" s="2">
        <v>5.53</v>
      </c>
      <c r="F3136" s="2">
        <v>3.22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 x14ac:dyDescent="0.2">
      <c r="A3137" s="1">
        <v>0.17708333333333301</v>
      </c>
      <c r="B3137" s="2">
        <v>6.2700000000000005</v>
      </c>
      <c r="C3137" s="2">
        <v>3.73</v>
      </c>
      <c r="D3137" s="2">
        <v>5.31</v>
      </c>
      <c r="E3137" s="2">
        <v>5.47</v>
      </c>
      <c r="F3137" s="2">
        <v>3.12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 x14ac:dyDescent="0.2">
      <c r="A3138" s="1">
        <v>0.17777777777777801</v>
      </c>
      <c r="B3138" s="2">
        <v>6.2700000000000005</v>
      </c>
      <c r="C3138" s="2">
        <v>3.77</v>
      </c>
      <c r="D3138" s="2">
        <v>5.1899999999999995</v>
      </c>
      <c r="E3138" s="2">
        <v>5.42</v>
      </c>
      <c r="F3138" s="2">
        <v>3.27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 x14ac:dyDescent="0.2">
      <c r="A3139" s="1">
        <v>0.178472222222222</v>
      </c>
      <c r="B3139" s="2">
        <v>6.19</v>
      </c>
      <c r="C3139" s="2">
        <v>3.75</v>
      </c>
      <c r="D3139" s="2">
        <v>5.09</v>
      </c>
      <c r="E3139" s="2">
        <v>5.51</v>
      </c>
      <c r="F3139" s="2">
        <v>2.95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</row>
    <row r="3140" spans="1:11" x14ac:dyDescent="0.2">
      <c r="A3140" s="1">
        <v>0.179166666666667</v>
      </c>
      <c r="B3140" s="2">
        <v>6.26</v>
      </c>
      <c r="C3140" s="2">
        <v>3.82</v>
      </c>
      <c r="D3140" s="2">
        <v>5.29</v>
      </c>
      <c r="E3140" s="2">
        <v>5.59</v>
      </c>
      <c r="F3140" s="2">
        <v>3.3200000000000003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</row>
    <row r="3141" spans="1:11" x14ac:dyDescent="0.2">
      <c r="A3141" s="1">
        <v>0.179861111111111</v>
      </c>
      <c r="B3141" s="2">
        <v>6.18</v>
      </c>
      <c r="C3141" s="2">
        <v>3.6399999999999997</v>
      </c>
      <c r="D3141" s="2">
        <v>5.25</v>
      </c>
      <c r="E3141" s="2">
        <v>5.25</v>
      </c>
      <c r="F3141" s="2">
        <v>2.91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</row>
    <row r="3142" spans="1:11" x14ac:dyDescent="0.2">
      <c r="A3142" s="1">
        <v>0.180555555555556</v>
      </c>
      <c r="B3142" s="2">
        <v>6.3</v>
      </c>
      <c r="C3142" s="2">
        <v>3.59</v>
      </c>
      <c r="D3142" s="2">
        <v>5.09</v>
      </c>
      <c r="E3142" s="2">
        <v>5.67</v>
      </c>
      <c r="F3142" s="2">
        <v>3.25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</row>
    <row r="3143" spans="1:11" x14ac:dyDescent="0.2">
      <c r="A3143" s="1">
        <v>0.18124999999999999</v>
      </c>
      <c r="B3143" s="2">
        <v>6.14</v>
      </c>
      <c r="C3143" s="2">
        <v>3.76</v>
      </c>
      <c r="D3143" s="2">
        <v>5.3599999999999994</v>
      </c>
      <c r="E3143" s="2">
        <v>5.5</v>
      </c>
      <c r="F3143" s="2">
        <v>3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 x14ac:dyDescent="0.2">
      <c r="A3144" s="1">
        <v>0.18194444444444399</v>
      </c>
      <c r="B3144" s="2">
        <v>6.37</v>
      </c>
      <c r="C3144" s="2">
        <v>3.8499999999999996</v>
      </c>
      <c r="D3144" s="2">
        <v>5.25</v>
      </c>
      <c r="E3144" s="2">
        <v>5.59</v>
      </c>
      <c r="F3144" s="2">
        <v>3.35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</row>
    <row r="3145" spans="1:11" x14ac:dyDescent="0.2">
      <c r="A3145" s="1">
        <v>0.18263888888888899</v>
      </c>
      <c r="B3145" s="2">
        <v>6.2700000000000005</v>
      </c>
      <c r="C3145" s="2">
        <v>3.77</v>
      </c>
      <c r="D3145" s="2">
        <v>5.21</v>
      </c>
      <c r="E3145" s="2">
        <v>5.45</v>
      </c>
      <c r="F3145" s="2">
        <v>2.92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</row>
    <row r="3146" spans="1:11" x14ac:dyDescent="0.2">
      <c r="A3146" s="1">
        <v>0.18333333333333299</v>
      </c>
      <c r="B3146" s="2">
        <v>6.38</v>
      </c>
      <c r="C3146" s="2">
        <v>3.86</v>
      </c>
      <c r="D3146" s="2">
        <v>5.25</v>
      </c>
      <c r="E3146" s="2">
        <v>5.3</v>
      </c>
      <c r="F3146" s="2">
        <v>2.96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</row>
    <row r="3147" spans="1:11" x14ac:dyDescent="0.2">
      <c r="A3147" s="1">
        <v>0.18402777777777801</v>
      </c>
      <c r="B3147" s="2">
        <v>6.15</v>
      </c>
      <c r="C3147" s="2">
        <v>3.6399999999999997</v>
      </c>
      <c r="D3147" s="2">
        <v>5.3599999999999994</v>
      </c>
      <c r="E3147" s="2">
        <v>5.38</v>
      </c>
      <c r="F3147" s="2">
        <v>3.1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</row>
    <row r="3148" spans="1:11" x14ac:dyDescent="0.2">
      <c r="A3148" s="1">
        <v>0.18472222222222201</v>
      </c>
      <c r="B3148" s="2">
        <v>6.17</v>
      </c>
      <c r="C3148" s="2">
        <v>3.83</v>
      </c>
      <c r="D3148" s="2">
        <v>4.8999999999999995</v>
      </c>
      <c r="E3148" s="2">
        <v>5.6899999999999995</v>
      </c>
      <c r="F3148" s="2">
        <v>3.35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</row>
    <row r="3149" spans="1:11" x14ac:dyDescent="0.2">
      <c r="A3149" s="1">
        <v>0.18541666666666701</v>
      </c>
      <c r="B3149" s="2">
        <v>6.18</v>
      </c>
      <c r="C3149" s="2">
        <v>3.7399999999999998</v>
      </c>
      <c r="D3149" s="2">
        <v>4.8999999999999995</v>
      </c>
      <c r="E3149" s="2">
        <v>5.47</v>
      </c>
      <c r="F3149" s="2">
        <v>3.27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</row>
    <row r="3150" spans="1:11" x14ac:dyDescent="0.2">
      <c r="A3150" s="1">
        <v>0.18611111111111101</v>
      </c>
      <c r="B3150" s="2">
        <v>6.14</v>
      </c>
      <c r="C3150" s="2">
        <v>3.7199999999999998</v>
      </c>
      <c r="D3150" s="2">
        <v>5.3</v>
      </c>
      <c r="E3150" s="2">
        <v>5.14</v>
      </c>
      <c r="F3150" s="2">
        <v>3.22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</row>
    <row r="3151" spans="1:11" x14ac:dyDescent="0.2">
      <c r="A3151" s="1">
        <v>0.186805555555556</v>
      </c>
      <c r="B3151" s="2">
        <v>6.3100000000000005</v>
      </c>
      <c r="C3151" s="2">
        <v>3.87</v>
      </c>
      <c r="D3151" s="2">
        <v>4.8999999999999995</v>
      </c>
      <c r="E3151" s="2">
        <v>5.65</v>
      </c>
      <c r="F3151" s="2">
        <v>3.39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</row>
    <row r="3152" spans="1:11" x14ac:dyDescent="0.2">
      <c r="A3152" s="1">
        <v>0.1875</v>
      </c>
      <c r="B3152" s="2">
        <v>6.37</v>
      </c>
      <c r="C3152" s="2">
        <v>3.7399999999999998</v>
      </c>
      <c r="D3152" s="2">
        <v>5.35</v>
      </c>
      <c r="E3152" s="2">
        <v>5.76</v>
      </c>
      <c r="F3152" s="2">
        <v>3.17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</row>
    <row r="3153" spans="1:11" x14ac:dyDescent="0.2">
      <c r="A3153" s="1">
        <v>0.188194444444444</v>
      </c>
      <c r="B3153" s="2">
        <v>6.3100000000000005</v>
      </c>
      <c r="C3153" s="2">
        <v>3.88</v>
      </c>
      <c r="D3153" s="2">
        <v>4.9499999999999993</v>
      </c>
      <c r="E3153" s="2">
        <v>5.56</v>
      </c>
      <c r="F3153" s="2">
        <v>2.9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</row>
    <row r="3154" spans="1:11" x14ac:dyDescent="0.2">
      <c r="A3154" s="1">
        <v>0.18888888888888899</v>
      </c>
      <c r="B3154" s="2">
        <v>6.33</v>
      </c>
      <c r="C3154" s="2">
        <v>3.73</v>
      </c>
      <c r="D3154" s="2">
        <v>5.1899999999999995</v>
      </c>
      <c r="E3154" s="2">
        <v>5.54</v>
      </c>
      <c r="F3154" s="2">
        <v>2.9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</row>
    <row r="3155" spans="1:11" x14ac:dyDescent="0.2">
      <c r="A3155" s="1">
        <v>0.18958333333333299</v>
      </c>
      <c r="B3155" s="2">
        <v>6.24</v>
      </c>
      <c r="C3155" s="2">
        <v>3.65</v>
      </c>
      <c r="D3155" s="2">
        <v>5.25</v>
      </c>
      <c r="E3155" s="2">
        <v>5.41</v>
      </c>
      <c r="F3155" s="2">
        <v>3.37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</row>
    <row r="3156" spans="1:11" x14ac:dyDescent="0.2">
      <c r="A3156" s="1">
        <v>0.19027777777777799</v>
      </c>
      <c r="B3156" s="2">
        <v>6.17</v>
      </c>
      <c r="C3156" s="2">
        <v>3.81</v>
      </c>
      <c r="D3156" s="2">
        <v>5.38</v>
      </c>
      <c r="E3156" s="2">
        <v>5.12</v>
      </c>
      <c r="F3156" s="2">
        <v>3.04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</row>
    <row r="3157" spans="1:11" x14ac:dyDescent="0.2">
      <c r="A3157" s="1">
        <v>0.19097222222222199</v>
      </c>
      <c r="B3157" s="2">
        <v>6.28</v>
      </c>
      <c r="C3157" s="2">
        <v>3.9</v>
      </c>
      <c r="D3157" s="2">
        <v>5.34</v>
      </c>
      <c r="E3157" s="2">
        <v>5.57</v>
      </c>
      <c r="F3157" s="2">
        <v>2.92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</row>
    <row r="3158" spans="1:11" x14ac:dyDescent="0.2">
      <c r="A3158" s="1">
        <v>0.19166666666666701</v>
      </c>
      <c r="B3158" s="2">
        <v>6.2700000000000005</v>
      </c>
      <c r="C3158" s="2">
        <v>3.6999999999999997</v>
      </c>
      <c r="D3158" s="2">
        <v>5.2399999999999993</v>
      </c>
      <c r="E3158" s="2">
        <v>5.21</v>
      </c>
      <c r="F3158" s="2">
        <v>3.04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</row>
    <row r="3159" spans="1:11" x14ac:dyDescent="0.2">
      <c r="A3159" s="1">
        <v>0.19236111111111101</v>
      </c>
      <c r="B3159" s="2">
        <v>6.14</v>
      </c>
      <c r="C3159" s="2">
        <v>3.6799999999999997</v>
      </c>
      <c r="D3159" s="2">
        <v>5.12</v>
      </c>
      <c r="E3159" s="2">
        <v>5.3599999999999994</v>
      </c>
      <c r="F3159" s="2">
        <v>3.0900000000000003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</row>
    <row r="3160" spans="1:11" x14ac:dyDescent="0.2">
      <c r="A3160" s="1">
        <v>0.19305555555555601</v>
      </c>
      <c r="B3160" s="2">
        <v>6.3100000000000005</v>
      </c>
      <c r="C3160" s="2">
        <v>3.69</v>
      </c>
      <c r="D3160" s="2">
        <v>5.3</v>
      </c>
      <c r="E3160" s="2">
        <v>5.14</v>
      </c>
      <c r="F3160" s="2">
        <v>3.1100000000000003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</row>
    <row r="3161" spans="1:11" x14ac:dyDescent="0.2">
      <c r="A3161" s="1">
        <v>0.19375000000000001</v>
      </c>
      <c r="B3161" s="2">
        <v>6.14</v>
      </c>
      <c r="C3161" s="2">
        <v>3.8899999999999997</v>
      </c>
      <c r="D3161" s="2">
        <v>5.0699999999999994</v>
      </c>
      <c r="E3161" s="2">
        <v>5.3999999999999995</v>
      </c>
      <c r="F3161" s="2">
        <v>3.02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 x14ac:dyDescent="0.2">
      <c r="A3162" s="1">
        <v>0.194444444444444</v>
      </c>
      <c r="B3162" s="2">
        <v>6.16</v>
      </c>
      <c r="C3162" s="2">
        <v>3.6599999999999997</v>
      </c>
      <c r="D3162" s="2">
        <v>5.1899999999999995</v>
      </c>
      <c r="E3162" s="2">
        <v>5.58</v>
      </c>
      <c r="F3162" s="2">
        <v>2.95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</row>
    <row r="3163" spans="1:11" x14ac:dyDescent="0.2">
      <c r="A3163" s="1">
        <v>0.195138888888889</v>
      </c>
      <c r="B3163" s="2">
        <v>6.22</v>
      </c>
      <c r="C3163" s="2">
        <v>3.7399999999999998</v>
      </c>
      <c r="D3163" s="2">
        <v>4.97</v>
      </c>
      <c r="E3163" s="2">
        <v>5.5</v>
      </c>
      <c r="F3163" s="2">
        <v>2.89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</row>
    <row r="3164" spans="1:11" x14ac:dyDescent="0.2">
      <c r="A3164" s="1">
        <v>0.195833333333333</v>
      </c>
      <c r="B3164" s="2">
        <v>6.3500000000000005</v>
      </c>
      <c r="C3164" s="2">
        <v>3.73</v>
      </c>
      <c r="D3164" s="2">
        <v>5.31</v>
      </c>
      <c r="E3164" s="2">
        <v>5.18</v>
      </c>
      <c r="F3164" s="2">
        <v>3.19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</row>
    <row r="3165" spans="1:11" x14ac:dyDescent="0.2">
      <c r="A3165" s="1">
        <v>0.196527777777778</v>
      </c>
      <c r="B3165" s="2">
        <v>6.29</v>
      </c>
      <c r="C3165" s="2">
        <v>3.76</v>
      </c>
      <c r="D3165" s="2">
        <v>4.9499999999999993</v>
      </c>
      <c r="E3165" s="2">
        <v>5.4399999999999995</v>
      </c>
      <c r="F3165" s="2">
        <v>2.93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</row>
    <row r="3166" spans="1:11" x14ac:dyDescent="0.2">
      <c r="A3166" s="1">
        <v>0.19722222222222199</v>
      </c>
      <c r="B3166" s="2">
        <v>6.25</v>
      </c>
      <c r="C3166" s="2">
        <v>3.81</v>
      </c>
      <c r="D3166" s="2">
        <v>4.92</v>
      </c>
      <c r="E3166" s="2">
        <v>5.18</v>
      </c>
      <c r="F3166" s="2">
        <v>2.94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</row>
    <row r="3167" spans="1:11" x14ac:dyDescent="0.2">
      <c r="A3167" s="1">
        <v>0.19791666666666699</v>
      </c>
      <c r="B3167" s="2">
        <v>6.29</v>
      </c>
      <c r="C3167" s="2">
        <v>3.73</v>
      </c>
      <c r="D3167" s="2">
        <v>5.26</v>
      </c>
      <c r="E3167" s="2">
        <v>5.7299999999999995</v>
      </c>
      <c r="F3167" s="2">
        <v>3.29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</row>
    <row r="3168" spans="1:11" x14ac:dyDescent="0.2">
      <c r="A3168" s="1">
        <v>0.19861111111111099</v>
      </c>
      <c r="B3168" s="2">
        <v>6.3</v>
      </c>
      <c r="C3168" s="2">
        <v>3.75</v>
      </c>
      <c r="D3168" s="2">
        <v>5.0599999999999996</v>
      </c>
      <c r="E3168" s="2">
        <v>5.57</v>
      </c>
      <c r="F3168" s="2">
        <v>3.06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</row>
    <row r="3169" spans="1:11" x14ac:dyDescent="0.2">
      <c r="A3169" s="1">
        <v>0.19930555555555601</v>
      </c>
      <c r="B3169" s="2">
        <v>6.38</v>
      </c>
      <c r="C3169" s="2">
        <v>3.76</v>
      </c>
      <c r="D3169" s="2">
        <v>4.93</v>
      </c>
      <c r="E3169" s="2">
        <v>5.25</v>
      </c>
      <c r="F3169" s="2">
        <v>2.87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</row>
    <row r="3170" spans="1:11" x14ac:dyDescent="0.2">
      <c r="A3170" s="1">
        <v>0.2</v>
      </c>
      <c r="B3170" s="2">
        <v>6.34</v>
      </c>
      <c r="C3170" s="2">
        <v>3.6799999999999997</v>
      </c>
      <c r="D3170" s="2">
        <v>5.3699999999999992</v>
      </c>
      <c r="E3170" s="2">
        <v>5.68</v>
      </c>
      <c r="F3170" s="2">
        <v>2.95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</row>
    <row r="3171" spans="1:11" x14ac:dyDescent="0.2">
      <c r="A3171" s="1">
        <v>0.20069444444444401</v>
      </c>
      <c r="B3171" s="2">
        <v>6.16</v>
      </c>
      <c r="C3171" s="2">
        <v>3.67</v>
      </c>
      <c r="D3171" s="2">
        <v>4.9099999999999993</v>
      </c>
      <c r="E3171" s="2">
        <v>5.28</v>
      </c>
      <c r="F3171" s="2">
        <v>3.39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</row>
    <row r="3172" spans="1:11" x14ac:dyDescent="0.2">
      <c r="A3172" s="1">
        <v>0.20138888888888901</v>
      </c>
      <c r="B3172" s="2">
        <v>6.3500000000000005</v>
      </c>
      <c r="C3172" s="2">
        <v>3.81</v>
      </c>
      <c r="D3172" s="2">
        <v>5.3199999999999994</v>
      </c>
      <c r="E3172" s="2">
        <v>5.28</v>
      </c>
      <c r="F3172" s="2">
        <v>3.0700000000000003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</row>
    <row r="3173" spans="1:11" x14ac:dyDescent="0.2">
      <c r="A3173" s="1">
        <v>0.202083333333333</v>
      </c>
      <c r="B3173" s="2">
        <v>6.16</v>
      </c>
      <c r="C3173" s="2">
        <v>3.77</v>
      </c>
      <c r="D3173" s="2">
        <v>5.14</v>
      </c>
      <c r="E3173" s="2">
        <v>5.1099999999999994</v>
      </c>
      <c r="F3173" s="2">
        <v>3.1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</row>
    <row r="3174" spans="1:11" x14ac:dyDescent="0.2">
      <c r="A3174" s="1">
        <v>0.202777777777778</v>
      </c>
      <c r="B3174" s="2">
        <v>6.13</v>
      </c>
      <c r="C3174" s="2">
        <v>3.86</v>
      </c>
      <c r="D3174" s="2">
        <v>4.8999999999999995</v>
      </c>
      <c r="E3174" s="2">
        <v>5.29</v>
      </c>
      <c r="F3174" s="2">
        <v>3.29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</row>
    <row r="3175" spans="1:11" x14ac:dyDescent="0.2">
      <c r="A3175" s="1">
        <v>0.203472222222222</v>
      </c>
      <c r="B3175" s="2">
        <v>6.17</v>
      </c>
      <c r="C3175" s="2">
        <v>3.8499999999999996</v>
      </c>
      <c r="D3175" s="2">
        <v>5.39</v>
      </c>
      <c r="E3175" s="2">
        <v>5.6899999999999995</v>
      </c>
      <c r="F3175" s="2">
        <v>3.16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</row>
    <row r="3176" spans="1:11" x14ac:dyDescent="0.2">
      <c r="A3176" s="1">
        <v>0.204166666666667</v>
      </c>
      <c r="B3176" s="2">
        <v>6.3</v>
      </c>
      <c r="C3176" s="2">
        <v>3.7199999999999998</v>
      </c>
      <c r="D3176" s="2">
        <v>5.2399999999999993</v>
      </c>
      <c r="E3176" s="2">
        <v>5.16</v>
      </c>
      <c r="F3176" s="2">
        <v>3.0900000000000003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</row>
    <row r="3177" spans="1:11" x14ac:dyDescent="0.2">
      <c r="A3177" s="1">
        <v>0.20486111111111099</v>
      </c>
      <c r="B3177" s="2">
        <v>6.18</v>
      </c>
      <c r="C3177" s="2">
        <v>3.67</v>
      </c>
      <c r="D3177" s="2">
        <v>5.01</v>
      </c>
      <c r="E3177" s="2">
        <v>5.67</v>
      </c>
      <c r="F3177" s="2">
        <v>3.04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</row>
    <row r="3178" spans="1:11" x14ac:dyDescent="0.2">
      <c r="A3178" s="1">
        <v>0.20555555555555599</v>
      </c>
      <c r="B3178" s="2">
        <v>6.26</v>
      </c>
      <c r="C3178" s="2">
        <v>3.7199999999999998</v>
      </c>
      <c r="D3178" s="2">
        <v>5.04</v>
      </c>
      <c r="E3178" s="2">
        <v>5.14</v>
      </c>
      <c r="F3178" s="2">
        <v>3.04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</row>
    <row r="3179" spans="1:11" x14ac:dyDescent="0.2">
      <c r="A3179" s="1">
        <v>0.20624999999999999</v>
      </c>
      <c r="B3179" s="2">
        <v>6.36</v>
      </c>
      <c r="C3179" s="2">
        <v>3.81</v>
      </c>
      <c r="D3179" s="2">
        <v>5.3699999999999992</v>
      </c>
      <c r="E3179" s="2">
        <v>5.12</v>
      </c>
      <c r="F3179" s="2">
        <v>3.16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</row>
    <row r="3180" spans="1:11" x14ac:dyDescent="0.2">
      <c r="A3180" s="1">
        <v>0.20694444444444399</v>
      </c>
      <c r="B3180" s="2">
        <v>6.23</v>
      </c>
      <c r="C3180" s="2">
        <v>3.7399999999999998</v>
      </c>
      <c r="D3180" s="2">
        <v>5.29</v>
      </c>
      <c r="E3180" s="2">
        <v>5.3599999999999994</v>
      </c>
      <c r="F3180" s="2">
        <v>3.35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</row>
    <row r="3181" spans="1:11" x14ac:dyDescent="0.2">
      <c r="A3181" s="1">
        <v>0.20763888888888901</v>
      </c>
      <c r="B3181" s="2">
        <v>6.33</v>
      </c>
      <c r="C3181" s="2">
        <v>3.73</v>
      </c>
      <c r="D3181" s="2">
        <v>5.0299999999999994</v>
      </c>
      <c r="E3181" s="2">
        <v>5.76</v>
      </c>
      <c r="F3181" s="2">
        <v>3.25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</row>
    <row r="3182" spans="1:11" x14ac:dyDescent="0.2">
      <c r="A3182" s="3">
        <v>0.20833333333333301</v>
      </c>
      <c r="B3182" s="2">
        <v>6.24</v>
      </c>
      <c r="C3182" s="2">
        <v>3.79</v>
      </c>
      <c r="D3182" s="2">
        <v>5.12</v>
      </c>
      <c r="E3182" s="2">
        <v>5.37</v>
      </c>
      <c r="F3182" s="2">
        <v>3.19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</row>
    <row r="3183" spans="1:11" x14ac:dyDescent="0.2">
      <c r="A3183" s="1">
        <v>0.20902777777777801</v>
      </c>
      <c r="B3183" s="2">
        <v>6.16</v>
      </c>
      <c r="C3183" s="2">
        <v>3.61</v>
      </c>
      <c r="D3183" s="2">
        <v>5.0699999999999994</v>
      </c>
      <c r="E3183" s="2">
        <v>5.4799999999999995</v>
      </c>
      <c r="F3183" s="2">
        <v>3.12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</row>
    <row r="3184" spans="1:11" x14ac:dyDescent="0.2">
      <c r="A3184" s="1">
        <v>0.209722222222222</v>
      </c>
      <c r="B3184" s="2">
        <v>6.3</v>
      </c>
      <c r="C3184" s="2">
        <v>3.72</v>
      </c>
      <c r="D3184" s="2">
        <v>5.09</v>
      </c>
      <c r="E3184" s="2">
        <v>5.66</v>
      </c>
      <c r="F3184" s="2">
        <v>2.97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</row>
    <row r="3185" spans="1:11" x14ac:dyDescent="0.2">
      <c r="A3185" s="1">
        <v>0.210416666666667</v>
      </c>
      <c r="B3185" s="2">
        <v>6.34</v>
      </c>
      <c r="C3185" s="2">
        <v>3.8000000000000003</v>
      </c>
      <c r="D3185" s="2">
        <v>5.09</v>
      </c>
      <c r="E3185" s="2">
        <v>5.3</v>
      </c>
      <c r="F3185" s="2">
        <v>3.38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</row>
    <row r="3186" spans="1:11" x14ac:dyDescent="0.2">
      <c r="A3186" s="1">
        <v>0.211111111111111</v>
      </c>
      <c r="B3186" s="2">
        <v>6.22</v>
      </c>
      <c r="C3186" s="2">
        <v>3.6</v>
      </c>
      <c r="D3186" s="2">
        <v>5.35</v>
      </c>
      <c r="E3186" s="2">
        <v>5.5</v>
      </c>
      <c r="F3186" s="2">
        <v>3.31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</row>
    <row r="3187" spans="1:11" x14ac:dyDescent="0.2">
      <c r="A3187" s="1">
        <v>0.211805555555556</v>
      </c>
      <c r="B3187" s="2">
        <v>6.12</v>
      </c>
      <c r="C3187" s="2">
        <v>3.61</v>
      </c>
      <c r="D3187" s="2">
        <v>5.3699999999999992</v>
      </c>
      <c r="E3187" s="2">
        <v>5.3</v>
      </c>
      <c r="F3187" s="2">
        <v>3.2800000000000002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</row>
    <row r="3188" spans="1:11" x14ac:dyDescent="0.2">
      <c r="A3188" s="1">
        <v>0.21249999999999999</v>
      </c>
      <c r="B3188" s="2">
        <v>6.37</v>
      </c>
      <c r="C3188" s="2">
        <v>3.74</v>
      </c>
      <c r="D3188" s="2">
        <v>5.1999999999999993</v>
      </c>
      <c r="E3188" s="2">
        <v>5.33</v>
      </c>
      <c r="F3188" s="2">
        <v>3.29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</row>
    <row r="3189" spans="1:11" x14ac:dyDescent="0.2">
      <c r="A3189" s="1">
        <v>0.21319444444444399</v>
      </c>
      <c r="B3189" s="2">
        <v>6.29</v>
      </c>
      <c r="C3189" s="2">
        <v>3.81</v>
      </c>
      <c r="D3189" s="2">
        <v>4.8999999999999995</v>
      </c>
      <c r="E3189" s="2">
        <v>5.71</v>
      </c>
      <c r="F3189" s="2">
        <v>3.39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</row>
    <row r="3190" spans="1:11" x14ac:dyDescent="0.2">
      <c r="A3190" s="1">
        <v>0.21388888888888899</v>
      </c>
      <c r="B3190" s="2">
        <v>6.16</v>
      </c>
      <c r="C3190" s="2">
        <v>3.7600000000000002</v>
      </c>
      <c r="D3190" s="2">
        <v>5.12</v>
      </c>
      <c r="E3190" s="2">
        <v>5.43</v>
      </c>
      <c r="F3190" s="2">
        <v>3.22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</row>
    <row r="3191" spans="1:11" x14ac:dyDescent="0.2">
      <c r="A3191" s="1">
        <v>0.21458333333333299</v>
      </c>
      <c r="B3191" s="2">
        <v>6.15</v>
      </c>
      <c r="C3191" s="2">
        <v>3.8600000000000003</v>
      </c>
      <c r="D3191" s="2">
        <v>5.0699999999999994</v>
      </c>
      <c r="E3191" s="2">
        <v>5.4799999999999995</v>
      </c>
      <c r="F3191" s="2">
        <v>2.9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</row>
    <row r="3192" spans="1:11" x14ac:dyDescent="0.2">
      <c r="A3192" s="1">
        <v>0.21527777777777801</v>
      </c>
      <c r="B3192" s="2">
        <v>6.26</v>
      </c>
      <c r="C3192" s="2">
        <v>3.88</v>
      </c>
      <c r="D3192" s="2">
        <v>5.16</v>
      </c>
      <c r="E3192" s="2">
        <v>5.62</v>
      </c>
      <c r="F3192" s="2">
        <v>3.3600000000000003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</row>
    <row r="3193" spans="1:11" x14ac:dyDescent="0.2">
      <c r="A3193" s="1">
        <v>0.21597222222222201</v>
      </c>
      <c r="B3193" s="2">
        <v>6.2</v>
      </c>
      <c r="C3193" s="2">
        <v>3.8000000000000003</v>
      </c>
      <c r="D3193" s="2">
        <v>4.9099999999999993</v>
      </c>
      <c r="E3193" s="2">
        <v>5.16</v>
      </c>
      <c r="F3193" s="2">
        <v>3.27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</row>
    <row r="3194" spans="1:11" x14ac:dyDescent="0.2">
      <c r="A3194" s="1">
        <v>0.21666666666666701</v>
      </c>
      <c r="B3194" s="2">
        <v>6.18</v>
      </c>
      <c r="C3194" s="2">
        <v>3.85</v>
      </c>
      <c r="D3194" s="2">
        <v>5.01</v>
      </c>
      <c r="E3194" s="2">
        <v>5.64</v>
      </c>
      <c r="F3194" s="2">
        <v>3.37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</row>
    <row r="3195" spans="1:11" x14ac:dyDescent="0.2">
      <c r="A3195" s="1">
        <v>0.21736111111111101</v>
      </c>
      <c r="B3195" s="2">
        <v>6.14</v>
      </c>
      <c r="C3195" s="2">
        <v>3.77</v>
      </c>
      <c r="D3195" s="2">
        <v>5.2399999999999993</v>
      </c>
      <c r="E3195" s="2">
        <v>5.3599999999999994</v>
      </c>
      <c r="F3195" s="2">
        <v>3.1100000000000003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</row>
    <row r="3196" spans="1:11" x14ac:dyDescent="0.2">
      <c r="A3196" s="1">
        <v>0.218055555555556</v>
      </c>
      <c r="B3196" s="2">
        <v>6.19</v>
      </c>
      <c r="C3196" s="2">
        <v>3.67</v>
      </c>
      <c r="D3196" s="2">
        <v>5.21</v>
      </c>
      <c r="E3196" s="2">
        <v>5.41</v>
      </c>
      <c r="F3196" s="2">
        <v>2.92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</row>
    <row r="3197" spans="1:11" x14ac:dyDescent="0.2">
      <c r="A3197" s="1">
        <v>0.21875</v>
      </c>
      <c r="B3197" s="2">
        <v>6.26</v>
      </c>
      <c r="C3197" s="2">
        <v>3.75</v>
      </c>
      <c r="D3197" s="2">
        <v>5.2299999999999995</v>
      </c>
      <c r="E3197" s="2">
        <v>5.6899999999999995</v>
      </c>
      <c r="F3197" s="2">
        <v>3.0700000000000003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</row>
    <row r="3198" spans="1:11" x14ac:dyDescent="0.2">
      <c r="A3198" s="1">
        <v>0.219444444444444</v>
      </c>
      <c r="B3198" s="2">
        <v>6.23</v>
      </c>
      <c r="C3198" s="2">
        <v>3.67</v>
      </c>
      <c r="D3198" s="2">
        <v>5.3699999999999992</v>
      </c>
      <c r="E3198" s="2">
        <v>5.25</v>
      </c>
      <c r="F3198" s="2">
        <v>3.3400000000000003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</row>
    <row r="3199" spans="1:11" x14ac:dyDescent="0.2">
      <c r="A3199" s="1">
        <v>0.22013888888888899</v>
      </c>
      <c r="B3199" s="2">
        <v>6.23</v>
      </c>
      <c r="C3199" s="2">
        <v>3.88</v>
      </c>
      <c r="D3199" s="2">
        <v>4.8999999999999995</v>
      </c>
      <c r="E3199" s="2">
        <v>5.1499999999999995</v>
      </c>
      <c r="F3199" s="2">
        <v>3.17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</row>
    <row r="3200" spans="1:11" x14ac:dyDescent="0.2">
      <c r="A3200" s="1">
        <v>0.22083333333333299</v>
      </c>
      <c r="B3200" s="2">
        <v>6.13</v>
      </c>
      <c r="C3200" s="2">
        <v>3.8200000000000003</v>
      </c>
      <c r="D3200" s="2">
        <v>5.17</v>
      </c>
      <c r="E3200" s="2">
        <v>5.6</v>
      </c>
      <c r="F3200" s="2">
        <v>3.02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</row>
    <row r="3201" spans="1:11" x14ac:dyDescent="0.2">
      <c r="A3201" s="1">
        <v>0.22152777777777799</v>
      </c>
      <c r="B3201" s="2">
        <v>6.13</v>
      </c>
      <c r="C3201" s="2">
        <v>3.7600000000000002</v>
      </c>
      <c r="D3201" s="2">
        <v>5.1099999999999994</v>
      </c>
      <c r="E3201" s="2">
        <v>5.3</v>
      </c>
      <c r="F3201" s="2">
        <v>3.1500000000000004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</row>
    <row r="3202" spans="1:11" x14ac:dyDescent="0.2">
      <c r="A3202" s="1">
        <v>0.22222222222222199</v>
      </c>
      <c r="B3202" s="2">
        <v>6.24</v>
      </c>
      <c r="C3202" s="2">
        <v>3.83</v>
      </c>
      <c r="D3202" s="2">
        <v>5.0599999999999996</v>
      </c>
      <c r="E3202" s="2">
        <v>5.39</v>
      </c>
      <c r="F3202" s="2">
        <v>3.21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</row>
    <row r="3203" spans="1:11" x14ac:dyDescent="0.2">
      <c r="A3203" s="1">
        <v>0.22291666666666701</v>
      </c>
      <c r="B3203" s="2">
        <v>6.25</v>
      </c>
      <c r="C3203" s="2">
        <v>3.8000000000000003</v>
      </c>
      <c r="D3203" s="2">
        <v>4.9499999999999993</v>
      </c>
      <c r="E3203" s="2">
        <v>5.26</v>
      </c>
      <c r="F3203" s="2">
        <v>3.3400000000000003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</row>
    <row r="3204" spans="1:11" x14ac:dyDescent="0.2">
      <c r="A3204" s="1">
        <v>0.22361111111111101</v>
      </c>
      <c r="B3204" s="2">
        <v>6.23</v>
      </c>
      <c r="C3204" s="2">
        <v>3.84</v>
      </c>
      <c r="D3204" s="2">
        <v>5.26</v>
      </c>
      <c r="E3204" s="2">
        <v>5.14</v>
      </c>
      <c r="F3204" s="2">
        <v>3.33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</row>
    <row r="3205" spans="1:11" x14ac:dyDescent="0.2">
      <c r="A3205" s="1">
        <v>0.22430555555555601</v>
      </c>
      <c r="B3205" s="2">
        <v>6.26</v>
      </c>
      <c r="C3205" s="2">
        <v>3.88</v>
      </c>
      <c r="D3205" s="2">
        <v>5.1999999999999993</v>
      </c>
      <c r="E3205" s="2">
        <v>5.1099999999999994</v>
      </c>
      <c r="F3205" s="2">
        <v>3.1500000000000004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</row>
    <row r="3206" spans="1:11" x14ac:dyDescent="0.2">
      <c r="A3206" s="1">
        <v>0.22500000000000001</v>
      </c>
      <c r="B3206" s="2">
        <v>6.29</v>
      </c>
      <c r="C3206" s="2">
        <v>3.6</v>
      </c>
      <c r="D3206" s="2">
        <v>5.33</v>
      </c>
      <c r="E3206" s="2">
        <v>5.27</v>
      </c>
      <c r="F3206" s="2">
        <v>3.2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</row>
    <row r="3207" spans="1:11" x14ac:dyDescent="0.2">
      <c r="A3207" s="1">
        <v>0.225694444444444</v>
      </c>
      <c r="B3207" s="2">
        <v>6.22</v>
      </c>
      <c r="C3207" s="2">
        <v>3.89</v>
      </c>
      <c r="D3207" s="2">
        <v>5.21</v>
      </c>
      <c r="E3207" s="2">
        <v>5.09</v>
      </c>
      <c r="F3207" s="2">
        <v>3.0100000000000002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</row>
    <row r="3208" spans="1:11" x14ac:dyDescent="0.2">
      <c r="A3208" s="1">
        <v>0.226388888888889</v>
      </c>
      <c r="B3208" s="2">
        <v>6.28</v>
      </c>
      <c r="C3208" s="2">
        <v>3.7</v>
      </c>
      <c r="D3208" s="2">
        <v>4.9499999999999993</v>
      </c>
      <c r="E3208" s="2">
        <v>5.3999999999999995</v>
      </c>
      <c r="F3208" s="2">
        <v>2.88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</row>
    <row r="3209" spans="1:11" x14ac:dyDescent="0.2">
      <c r="A3209" s="1">
        <v>0.227083333333333</v>
      </c>
      <c r="B3209" s="2">
        <v>6.26</v>
      </c>
      <c r="C3209" s="2">
        <v>3.71</v>
      </c>
      <c r="D3209" s="2">
        <v>5.3599999999999994</v>
      </c>
      <c r="E3209" s="2">
        <v>5.22</v>
      </c>
      <c r="F3209" s="2">
        <v>3.12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</row>
    <row r="3210" spans="1:11" x14ac:dyDescent="0.2">
      <c r="A3210" s="1">
        <v>0.227777777777778</v>
      </c>
      <c r="B3210" s="2">
        <v>6.16</v>
      </c>
      <c r="C3210" s="2">
        <v>3.6</v>
      </c>
      <c r="D3210" s="2">
        <v>5.22</v>
      </c>
      <c r="E3210" s="2">
        <v>5.21</v>
      </c>
      <c r="F3210" s="2">
        <v>3.3000000000000003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</row>
    <row r="3211" spans="1:11" x14ac:dyDescent="0.2">
      <c r="A3211" s="1">
        <v>0.22847222222222199</v>
      </c>
      <c r="B3211" s="2">
        <v>6.19</v>
      </c>
      <c r="C3211" s="2">
        <v>3.7</v>
      </c>
      <c r="D3211" s="2">
        <v>5.05</v>
      </c>
      <c r="E3211" s="2">
        <v>5.37</v>
      </c>
      <c r="F3211" s="2">
        <v>3.3200000000000003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</row>
    <row r="3212" spans="1:11" x14ac:dyDescent="0.2">
      <c r="A3212" s="1">
        <v>0.22916666666666699</v>
      </c>
      <c r="B3212" s="2">
        <v>6.3</v>
      </c>
      <c r="C3212" s="2">
        <v>3.72</v>
      </c>
      <c r="D3212" s="2">
        <v>4.9899999999999993</v>
      </c>
      <c r="E3212" s="2">
        <v>5.12</v>
      </c>
      <c r="F3212" s="2">
        <v>2.93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</row>
    <row r="3213" spans="1:11" x14ac:dyDescent="0.2">
      <c r="A3213" s="1">
        <v>0.22986111111111099</v>
      </c>
      <c r="B3213" s="2">
        <v>6.15</v>
      </c>
      <c r="C3213" s="2">
        <v>3.85</v>
      </c>
      <c r="D3213" s="2">
        <v>5.17</v>
      </c>
      <c r="E3213" s="2">
        <v>5.34</v>
      </c>
      <c r="F3213" s="2">
        <v>3.27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</row>
    <row r="3214" spans="1:11" x14ac:dyDescent="0.2">
      <c r="A3214" s="1">
        <v>0.23055555555555601</v>
      </c>
      <c r="B3214" s="2">
        <v>6.14</v>
      </c>
      <c r="C3214" s="2">
        <v>3.83</v>
      </c>
      <c r="D3214" s="2">
        <v>5.16</v>
      </c>
      <c r="E3214" s="2">
        <v>5.1899999999999995</v>
      </c>
      <c r="F3214" s="2">
        <v>3.0700000000000003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</row>
    <row r="3215" spans="1:11" x14ac:dyDescent="0.2">
      <c r="A3215" s="1">
        <v>0.23125000000000001</v>
      </c>
      <c r="B3215" s="2">
        <v>6.36</v>
      </c>
      <c r="C3215" s="2">
        <v>3.7600000000000002</v>
      </c>
      <c r="D3215" s="2">
        <v>5.25</v>
      </c>
      <c r="E3215" s="2">
        <v>5.2</v>
      </c>
      <c r="F3215" s="2">
        <v>2.93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</row>
    <row r="3216" spans="1:11" x14ac:dyDescent="0.2">
      <c r="A3216" s="1">
        <v>0.23194444444444401</v>
      </c>
      <c r="B3216" s="2">
        <v>6.15</v>
      </c>
      <c r="C3216" s="2">
        <v>3.68</v>
      </c>
      <c r="D3216" s="2">
        <v>5</v>
      </c>
      <c r="E3216" s="2">
        <v>5.09</v>
      </c>
      <c r="F3216" s="2">
        <v>3.19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</row>
    <row r="3217" spans="1:27" x14ac:dyDescent="0.2">
      <c r="A3217" s="1">
        <v>0.23263888888888901</v>
      </c>
      <c r="B3217" s="2">
        <v>6.2</v>
      </c>
      <c r="C3217" s="2">
        <v>3.87</v>
      </c>
      <c r="D3217" s="2">
        <v>5.01</v>
      </c>
      <c r="E3217" s="2">
        <v>5.12</v>
      </c>
      <c r="F3217" s="2">
        <v>3.25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</row>
    <row r="3218" spans="1:27" x14ac:dyDescent="0.2">
      <c r="A3218" s="1">
        <v>0.233333333333333</v>
      </c>
      <c r="B3218" s="2">
        <v>6.2</v>
      </c>
      <c r="C3218" s="2">
        <v>3.8600000000000003</v>
      </c>
      <c r="D3218" s="2">
        <v>5.14</v>
      </c>
      <c r="E3218" s="2">
        <v>5.5</v>
      </c>
      <c r="F3218" s="2">
        <v>3.22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</row>
    <row r="3219" spans="1:27" x14ac:dyDescent="0.2">
      <c r="A3219" s="1">
        <v>0.234027777777778</v>
      </c>
      <c r="B3219" s="2">
        <v>6.18</v>
      </c>
      <c r="C3219" s="2">
        <v>3.87</v>
      </c>
      <c r="D3219" s="2">
        <v>5.34</v>
      </c>
      <c r="E3219" s="2">
        <v>5.4799999999999995</v>
      </c>
      <c r="F3219" s="2">
        <v>2.97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</row>
    <row r="3220" spans="1:27" x14ac:dyDescent="0.2">
      <c r="A3220" s="1">
        <v>0.234722222222222</v>
      </c>
      <c r="B3220" s="2">
        <v>6.21</v>
      </c>
      <c r="C3220" s="2">
        <v>3.7800000000000002</v>
      </c>
      <c r="D3220" s="2">
        <v>5.26</v>
      </c>
      <c r="E3220" s="2">
        <v>5.6</v>
      </c>
      <c r="F3220" s="2">
        <v>3.3400000000000003</v>
      </c>
      <c r="G3220" s="6">
        <v>14</v>
      </c>
      <c r="H3220" s="6">
        <v>12</v>
      </c>
      <c r="I3220" s="6">
        <v>10</v>
      </c>
      <c r="J3220" s="6">
        <v>16</v>
      </c>
      <c r="K3220" s="6">
        <v>16</v>
      </c>
    </row>
    <row r="3221" spans="1:27" x14ac:dyDescent="0.2">
      <c r="A3221" s="1">
        <v>0.235416666666667</v>
      </c>
      <c r="B3221" s="2">
        <v>6.13</v>
      </c>
      <c r="C3221" s="2">
        <v>3.87</v>
      </c>
      <c r="D3221" s="2">
        <v>5.3199999999999994</v>
      </c>
      <c r="E3221" s="2">
        <v>5.17</v>
      </c>
      <c r="F3221" s="2">
        <v>3.17</v>
      </c>
      <c r="G3221" s="6">
        <v>35</v>
      </c>
      <c r="H3221" s="6">
        <v>34</v>
      </c>
      <c r="I3221" s="6">
        <v>20</v>
      </c>
      <c r="J3221" s="6">
        <v>35</v>
      </c>
      <c r="K3221" s="6">
        <v>36</v>
      </c>
    </row>
    <row r="3222" spans="1:27" x14ac:dyDescent="0.2">
      <c r="A3222" s="1">
        <v>0.23611111111111099</v>
      </c>
      <c r="B3222" s="2">
        <v>6.38</v>
      </c>
      <c r="C3222" s="2">
        <v>3.61</v>
      </c>
      <c r="D3222" s="2">
        <v>5.0599999999999996</v>
      </c>
      <c r="E3222" s="2">
        <v>5.55</v>
      </c>
      <c r="F3222" s="2">
        <v>2.98</v>
      </c>
      <c r="G3222" s="6">
        <v>44</v>
      </c>
      <c r="H3222" s="6">
        <v>51</v>
      </c>
      <c r="I3222" s="6">
        <v>31</v>
      </c>
      <c r="J3222" s="6">
        <v>41</v>
      </c>
      <c r="K3222" s="6">
        <v>41</v>
      </c>
      <c r="W3222" s="2"/>
      <c r="X3222" s="2"/>
      <c r="Y3222" s="2"/>
      <c r="Z3222" s="2"/>
      <c r="AA3222" s="2"/>
    </row>
    <row r="3223" spans="1:27" x14ac:dyDescent="0.2">
      <c r="A3223" s="1">
        <v>0.23680555555555599</v>
      </c>
      <c r="B3223" s="2">
        <v>6.3100000000000005</v>
      </c>
      <c r="C3223" s="2">
        <v>3.84</v>
      </c>
      <c r="D3223" s="2">
        <v>5.16</v>
      </c>
      <c r="E3223" s="2">
        <v>5.6</v>
      </c>
      <c r="F3223" s="2">
        <v>3.1</v>
      </c>
      <c r="G3223" s="6">
        <v>50.426327787991212</v>
      </c>
      <c r="H3223" s="6">
        <v>59.892651187032968</v>
      </c>
      <c r="I3223" s="6">
        <v>73.247242458550843</v>
      </c>
      <c r="J3223" s="6">
        <v>66.33033120134607</v>
      </c>
      <c r="K3223" s="6">
        <v>72.796415233135491</v>
      </c>
      <c r="W3223" s="2"/>
      <c r="X3223" s="2"/>
      <c r="Y3223" s="2"/>
      <c r="Z3223" s="2"/>
      <c r="AA3223" s="2"/>
    </row>
    <row r="3224" spans="1:27" x14ac:dyDescent="0.2">
      <c r="A3224" s="1">
        <v>0.23749999999999999</v>
      </c>
      <c r="B3224" s="2">
        <v>6.33</v>
      </c>
      <c r="C3224" s="2">
        <v>3.84</v>
      </c>
      <c r="D3224" s="2">
        <v>5.0999999999999996</v>
      </c>
      <c r="E3224" s="2">
        <v>5.27</v>
      </c>
      <c r="F3224" s="2">
        <v>3.25</v>
      </c>
      <c r="G3224" s="6">
        <v>64.712657763513732</v>
      </c>
      <c r="H3224" s="6">
        <v>71.242995874474801</v>
      </c>
      <c r="I3224" s="6">
        <v>87.342465491835725</v>
      </c>
      <c r="J3224" s="6">
        <v>79.448813730182877</v>
      </c>
      <c r="K3224" s="6">
        <v>85.345935785864427</v>
      </c>
      <c r="W3224" s="2"/>
      <c r="X3224" s="2"/>
      <c r="Y3224" s="2"/>
      <c r="Z3224" s="2"/>
      <c r="AA3224" s="2"/>
    </row>
    <row r="3225" spans="1:27" x14ac:dyDescent="0.2">
      <c r="A3225" s="1">
        <v>0.23819444444444399</v>
      </c>
      <c r="B3225" s="2">
        <v>6.23</v>
      </c>
      <c r="C3225" s="2">
        <v>3.8600000000000003</v>
      </c>
      <c r="D3225" s="2">
        <v>4.8899999999999997</v>
      </c>
      <c r="E3225" s="2">
        <v>5.58</v>
      </c>
      <c r="F3225" s="2">
        <v>3.24</v>
      </c>
      <c r="G3225" s="6">
        <v>65.391607270096785</v>
      </c>
      <c r="H3225" s="6">
        <v>70.912874489298275</v>
      </c>
      <c r="I3225" s="6">
        <v>85.146885533745177</v>
      </c>
      <c r="J3225" s="6">
        <v>76.989958267487566</v>
      </c>
      <c r="K3225" s="6">
        <v>86.432205667253612</v>
      </c>
      <c r="U3225" s="2"/>
      <c r="V3225" s="2"/>
      <c r="W3225" s="2"/>
      <c r="X3225" s="2"/>
      <c r="Y3225" s="2"/>
      <c r="Z3225" s="2"/>
      <c r="AA3225" s="2"/>
    </row>
    <row r="3226" spans="1:27" x14ac:dyDescent="0.2">
      <c r="A3226" s="1">
        <v>0.23888888888888901</v>
      </c>
      <c r="B3226" s="2">
        <v>6.12</v>
      </c>
      <c r="C3226" s="2">
        <v>3.77</v>
      </c>
      <c r="D3226" s="2">
        <v>5.1499999999999995</v>
      </c>
      <c r="E3226" s="2">
        <v>5.62</v>
      </c>
      <c r="F3226" s="2">
        <v>3</v>
      </c>
      <c r="G3226" s="6">
        <v>50.414610204593387</v>
      </c>
      <c r="H3226" s="6">
        <v>58.502623516360906</v>
      </c>
      <c r="I3226" s="6">
        <v>74.483532894010736</v>
      </c>
      <c r="J3226" s="6">
        <v>67.024425683771199</v>
      </c>
      <c r="K3226" s="6">
        <v>74.275389253150749</v>
      </c>
      <c r="U3226" s="2"/>
      <c r="V3226" s="2"/>
      <c r="W3226" s="2"/>
      <c r="X3226" s="2"/>
      <c r="Y3226" s="2"/>
      <c r="Z3226" s="2"/>
      <c r="AA3226" s="2"/>
    </row>
    <row r="3227" spans="1:27" x14ac:dyDescent="0.2">
      <c r="A3227" s="1">
        <v>0.23958333333333301</v>
      </c>
      <c r="B3227" s="2">
        <v>6.19</v>
      </c>
      <c r="C3227" s="2">
        <v>3.72</v>
      </c>
      <c r="D3227" s="2">
        <v>5.09</v>
      </c>
      <c r="E3227" s="2">
        <v>5.13</v>
      </c>
      <c r="F3227" s="2">
        <v>3.0100000000000002</v>
      </c>
      <c r="G3227" s="6">
        <v>64.728948524503764</v>
      </c>
      <c r="H3227" s="6">
        <v>74.068401289638302</v>
      </c>
      <c r="I3227" s="6">
        <v>88.9462213616263</v>
      </c>
      <c r="J3227" s="6">
        <v>81.955516681710066</v>
      </c>
      <c r="K3227" s="6">
        <v>87.928249215309506</v>
      </c>
      <c r="U3227" s="2"/>
      <c r="V3227" s="2"/>
      <c r="W3227" s="2"/>
      <c r="X3227" s="2"/>
      <c r="Y3227" s="2"/>
      <c r="Z3227" s="2"/>
      <c r="AA3227" s="2"/>
    </row>
    <row r="3228" spans="1:27" x14ac:dyDescent="0.2">
      <c r="A3228" s="1">
        <v>0.24027777777777801</v>
      </c>
      <c r="B3228" s="2">
        <v>6.13</v>
      </c>
      <c r="C3228" s="2">
        <v>3.87</v>
      </c>
      <c r="D3228" s="2">
        <v>4.8899999999999997</v>
      </c>
      <c r="E3228" s="2">
        <v>5.59</v>
      </c>
      <c r="F3228" s="2">
        <v>3.2</v>
      </c>
      <c r="G3228" s="6">
        <v>87.026203494424195</v>
      </c>
      <c r="H3228" s="6">
        <v>95.922211927407602</v>
      </c>
      <c r="I3228" s="6">
        <v>111.43140053840796</v>
      </c>
      <c r="J3228" s="6">
        <v>101.55214264257549</v>
      </c>
      <c r="K3228" s="6">
        <v>109.03319843060234</v>
      </c>
      <c r="U3228" s="2"/>
      <c r="V3228" s="2"/>
      <c r="W3228" s="2"/>
      <c r="X3228" s="2"/>
      <c r="Y3228" s="2"/>
      <c r="Z3228" s="2"/>
      <c r="AA3228" s="2"/>
    </row>
    <row r="3229" spans="1:27" x14ac:dyDescent="0.2">
      <c r="A3229" s="1">
        <v>0.240972222222222</v>
      </c>
      <c r="B3229" s="2">
        <v>6.36</v>
      </c>
      <c r="C3229" s="2">
        <v>3.64</v>
      </c>
      <c r="D3229" s="2">
        <v>4.9099999999999993</v>
      </c>
      <c r="E3229" s="2">
        <v>5.3</v>
      </c>
      <c r="F3229" s="2">
        <v>2.89</v>
      </c>
      <c r="G3229" s="6">
        <v>91.497761277936576</v>
      </c>
      <c r="H3229" s="6">
        <v>99.964065910307411</v>
      </c>
      <c r="I3229" s="6">
        <v>114.50951762065132</v>
      </c>
      <c r="J3229" s="6">
        <v>105.26212869428886</v>
      </c>
      <c r="K3229" s="6">
        <v>112.95324763224828</v>
      </c>
      <c r="U3229" s="2"/>
      <c r="V3229" s="2"/>
      <c r="W3229" s="2"/>
      <c r="X3229" s="2"/>
      <c r="Y3229" s="2"/>
      <c r="Z3229" s="2"/>
      <c r="AA3229" s="2"/>
    </row>
    <row r="3230" spans="1:27" x14ac:dyDescent="0.2">
      <c r="A3230" s="1">
        <v>0.241666666666667</v>
      </c>
      <c r="B3230" s="2">
        <v>6.13</v>
      </c>
      <c r="C3230" s="2">
        <v>3.69</v>
      </c>
      <c r="D3230" s="2">
        <v>5.0299999999999994</v>
      </c>
      <c r="E3230" s="2">
        <v>5.3</v>
      </c>
      <c r="F3230" s="2">
        <v>3.0100000000000002</v>
      </c>
      <c r="G3230" s="6">
        <v>106.15662990223673</v>
      </c>
      <c r="H3230" s="6">
        <v>113.39538250336398</v>
      </c>
      <c r="I3230" s="6">
        <v>130.64989642060047</v>
      </c>
      <c r="J3230" s="6">
        <v>123.30700439750554</v>
      </c>
      <c r="K3230" s="6">
        <v>131.76004118662061</v>
      </c>
      <c r="U3230" s="2"/>
      <c r="V3230" s="2"/>
      <c r="W3230" s="2"/>
      <c r="Y3230" s="2"/>
    </row>
    <row r="3231" spans="1:27" x14ac:dyDescent="0.2">
      <c r="A3231" s="1">
        <v>0.242361111111111</v>
      </c>
      <c r="B3231" s="2">
        <v>6.14</v>
      </c>
      <c r="C3231" s="2">
        <v>3.8200000000000003</v>
      </c>
      <c r="D3231" s="2">
        <v>5.2399999999999993</v>
      </c>
      <c r="E3231" s="2">
        <v>5.67</v>
      </c>
      <c r="F3231" s="2">
        <v>3</v>
      </c>
      <c r="G3231" s="6">
        <v>71.678083170430526</v>
      </c>
      <c r="H3231" s="6">
        <v>77.912469780610806</v>
      </c>
      <c r="I3231" s="6">
        <v>93.933561354163274</v>
      </c>
      <c r="J3231" s="6">
        <v>83.937190533773389</v>
      </c>
      <c r="K3231" s="6">
        <v>89.824280742452544</v>
      </c>
      <c r="T3231" s="2"/>
      <c r="U3231" s="2"/>
      <c r="V3231" s="2"/>
      <c r="W3231" s="2"/>
      <c r="Y3231" s="2"/>
    </row>
    <row r="3232" spans="1:27" x14ac:dyDescent="0.2">
      <c r="A3232" s="1">
        <v>0.243055555555556</v>
      </c>
      <c r="B3232" s="2">
        <v>6.22</v>
      </c>
      <c r="C3232" s="2">
        <v>3.7</v>
      </c>
      <c r="D3232" s="2">
        <v>5.1899999999999995</v>
      </c>
      <c r="E3232" s="2">
        <v>5.41</v>
      </c>
      <c r="F3232" s="2">
        <v>3.25</v>
      </c>
      <c r="G3232" s="6">
        <v>89.281234970450271</v>
      </c>
      <c r="H3232" s="6">
        <v>96.465109292156924</v>
      </c>
      <c r="I3232" s="6">
        <v>115.10481680390113</v>
      </c>
      <c r="J3232" s="6">
        <v>105.8402766930238</v>
      </c>
      <c r="K3232" s="6">
        <v>115.76767051539767</v>
      </c>
      <c r="T3232" s="2"/>
      <c r="U3232" s="2"/>
      <c r="V3232" s="2"/>
      <c r="Y3232" s="2"/>
    </row>
    <row r="3233" spans="1:25" x14ac:dyDescent="0.2">
      <c r="A3233" s="1">
        <v>0.24374999999999999</v>
      </c>
      <c r="B3233" s="2">
        <v>6.14</v>
      </c>
      <c r="C3233" s="2">
        <v>3.8000000000000003</v>
      </c>
      <c r="D3233" s="2">
        <v>5.01</v>
      </c>
      <c r="E3233" s="2">
        <v>5.09</v>
      </c>
      <c r="F3233" s="2">
        <v>3.3000000000000003</v>
      </c>
      <c r="G3233" s="6">
        <v>75.597020147614728</v>
      </c>
      <c r="H3233" s="6">
        <v>83.786923720898159</v>
      </c>
      <c r="I3233" s="6">
        <v>94.272662837015432</v>
      </c>
      <c r="J3233" s="6">
        <v>88.918595445759664</v>
      </c>
      <c r="K3233" s="6">
        <v>96.41709494426901</v>
      </c>
      <c r="T3233" s="2"/>
      <c r="U3233" s="2"/>
      <c r="V3233" s="2"/>
      <c r="W3233" s="2"/>
      <c r="Y3233" s="2"/>
    </row>
    <row r="3234" spans="1:25" x14ac:dyDescent="0.2">
      <c r="A3234" s="1">
        <v>0.24444444444444399</v>
      </c>
      <c r="B3234" s="2">
        <v>6.19</v>
      </c>
      <c r="C3234" s="2">
        <v>3.75</v>
      </c>
      <c r="D3234" s="2">
        <v>4.96</v>
      </c>
      <c r="E3234" s="2">
        <v>5.57</v>
      </c>
      <c r="F3234" s="2">
        <v>3.38</v>
      </c>
      <c r="G3234" s="6">
        <v>62.156366467456635</v>
      </c>
      <c r="H3234" s="6">
        <v>68.077562592995889</v>
      </c>
      <c r="I3234" s="6">
        <v>82.338584410448505</v>
      </c>
      <c r="J3234" s="6">
        <v>74.817385225443232</v>
      </c>
      <c r="K3234" s="6">
        <v>80.502614452605997</v>
      </c>
      <c r="Y3234" s="2"/>
    </row>
    <row r="3235" spans="1:25" x14ac:dyDescent="0.2">
      <c r="A3235" s="1">
        <v>0.24513888888888899</v>
      </c>
      <c r="B3235" s="2">
        <v>6.14</v>
      </c>
      <c r="C3235" s="2">
        <v>3.6</v>
      </c>
      <c r="D3235" s="2">
        <v>4.8999999999999995</v>
      </c>
      <c r="E3235" s="2">
        <v>5.34</v>
      </c>
      <c r="F3235" s="2">
        <v>3.0900000000000003</v>
      </c>
      <c r="G3235" s="6">
        <v>71.504618712041861</v>
      </c>
      <c r="H3235" s="6">
        <v>77.111159660937062</v>
      </c>
      <c r="I3235" s="6">
        <v>91.645778547738047</v>
      </c>
      <c r="J3235" s="6">
        <v>83.395417674099164</v>
      </c>
      <c r="K3235" s="6">
        <v>92.544329913459194</v>
      </c>
      <c r="Y3235" s="2"/>
    </row>
    <row r="3236" spans="1:25" x14ac:dyDescent="0.2">
      <c r="A3236" s="1">
        <v>0.24583333333333299</v>
      </c>
      <c r="B3236" s="2">
        <v>6.2</v>
      </c>
      <c r="C3236" s="2">
        <v>3.67</v>
      </c>
      <c r="D3236" s="2">
        <v>4.9499999999999993</v>
      </c>
      <c r="E3236" s="2">
        <v>5.12</v>
      </c>
      <c r="F3236" s="2">
        <v>3.2600000000000002</v>
      </c>
      <c r="G3236" s="6">
        <v>97.360800087032018</v>
      </c>
      <c r="H3236" s="6">
        <v>102.68844165591577</v>
      </c>
      <c r="I3236" s="6">
        <v>121.24757119486402</v>
      </c>
      <c r="J3236" s="6">
        <v>112.59664658620977</v>
      </c>
      <c r="K3236" s="6">
        <v>120.67807196160744</v>
      </c>
      <c r="Y3236" s="2"/>
    </row>
    <row r="3237" spans="1:25" x14ac:dyDescent="0.2">
      <c r="A3237" s="1">
        <v>0.24652777777777801</v>
      </c>
      <c r="B3237" s="2">
        <v>6.28</v>
      </c>
      <c r="C3237" s="2">
        <v>3.71</v>
      </c>
      <c r="D3237" s="2">
        <v>5.0199999999999996</v>
      </c>
      <c r="E3237" s="2">
        <v>5.22</v>
      </c>
      <c r="F3237" s="2">
        <v>3.1100000000000003</v>
      </c>
      <c r="G3237" s="6">
        <v>100.99105509001667</v>
      </c>
      <c r="H3237" s="6">
        <v>241.93988103150929</v>
      </c>
      <c r="I3237" s="6">
        <v>252.94456568756465</v>
      </c>
      <c r="J3237" s="6">
        <v>247.28998016885896</v>
      </c>
      <c r="K3237" s="6">
        <v>254.6565866549482</v>
      </c>
      <c r="Y3237" s="2"/>
    </row>
    <row r="3238" spans="1:25" x14ac:dyDescent="0.2">
      <c r="A3238" s="1">
        <v>0.24722222222222201</v>
      </c>
      <c r="B3238" s="2">
        <v>6.14</v>
      </c>
      <c r="C3238" s="2">
        <v>3.7600000000000002</v>
      </c>
      <c r="D3238" s="2">
        <v>5.0999999999999996</v>
      </c>
      <c r="E3238" s="2">
        <v>5.57</v>
      </c>
      <c r="F3238" s="2">
        <v>3.0300000000000002</v>
      </c>
      <c r="G3238" s="6">
        <v>79.070285381790143</v>
      </c>
      <c r="H3238" s="6">
        <v>227.27361768342303</v>
      </c>
      <c r="I3238" s="6">
        <v>128.46795929122035</v>
      </c>
      <c r="J3238" s="6">
        <v>236.51849044423977</v>
      </c>
      <c r="K3238" s="6">
        <v>242.5232478094465</v>
      </c>
      <c r="Y3238" s="2"/>
    </row>
    <row r="3239" spans="1:25" x14ac:dyDescent="0.2">
      <c r="A3239" s="1">
        <v>0.24791666666666701</v>
      </c>
      <c r="B3239" s="2">
        <v>6.17</v>
      </c>
      <c r="C3239" s="2">
        <v>3.8600000000000003</v>
      </c>
      <c r="D3239" s="2">
        <v>5.12</v>
      </c>
      <c r="E3239" s="2">
        <v>5.75</v>
      </c>
      <c r="F3239" s="2">
        <v>3.33</v>
      </c>
      <c r="G3239" s="6">
        <v>261.29254398011051</v>
      </c>
      <c r="H3239" s="6">
        <v>207.44352554008876</v>
      </c>
      <c r="I3239" s="6">
        <v>117.13785159071332</v>
      </c>
      <c r="J3239" s="6">
        <v>213.48468435501533</v>
      </c>
      <c r="K3239" s="6">
        <v>220.8991014078963</v>
      </c>
      <c r="Y3239" s="2"/>
    </row>
    <row r="3240" spans="1:25" x14ac:dyDescent="0.2">
      <c r="A3240" s="1">
        <v>0.24861111111111101</v>
      </c>
      <c r="B3240" s="2">
        <v>6.32</v>
      </c>
      <c r="C3240" s="2">
        <v>3.8600000000000003</v>
      </c>
      <c r="D3240" s="2">
        <v>5.01</v>
      </c>
      <c r="E3240" s="2">
        <v>5.54</v>
      </c>
      <c r="F3240" s="2">
        <v>2.98</v>
      </c>
      <c r="G3240" s="6">
        <v>96.692329212527824</v>
      </c>
      <c r="H3240" s="6">
        <v>353.7172989941667</v>
      </c>
      <c r="I3240" s="6">
        <v>169.85733190088052</v>
      </c>
      <c r="J3240" s="6">
        <v>361.38162952479132</v>
      </c>
      <c r="K3240" s="6">
        <v>368.73641863651721</v>
      </c>
      <c r="Y3240" s="2"/>
    </row>
    <row r="3241" spans="1:25" x14ac:dyDescent="0.2">
      <c r="A3241" s="1">
        <v>0.249305555555556</v>
      </c>
      <c r="B3241" s="2">
        <v>6.14</v>
      </c>
      <c r="C3241" s="2">
        <v>3.81</v>
      </c>
      <c r="D3241" s="2">
        <v>5.3199999999999994</v>
      </c>
      <c r="E3241" s="2">
        <v>5.28</v>
      </c>
      <c r="F3241" s="2">
        <v>3.31</v>
      </c>
      <c r="G3241" s="6">
        <v>112.65006262141381</v>
      </c>
      <c r="H3241" s="6">
        <v>205.48844139162296</v>
      </c>
      <c r="I3241" s="6">
        <v>128.17225290010998</v>
      </c>
      <c r="J3241" s="6">
        <v>213.42880918116219</v>
      </c>
      <c r="K3241" s="6">
        <v>220.53049384150745</v>
      </c>
      <c r="Y3241" s="2"/>
    </row>
    <row r="3242" spans="1:25" x14ac:dyDescent="0.2">
      <c r="A3242" s="3">
        <v>0.25</v>
      </c>
      <c r="B3242" s="2">
        <v>6.24</v>
      </c>
      <c r="C3242" s="2">
        <v>3.79</v>
      </c>
      <c r="D3242" s="2">
        <v>5.12</v>
      </c>
      <c r="E3242" s="2">
        <v>5.37</v>
      </c>
      <c r="F3242" s="2">
        <v>3.19</v>
      </c>
      <c r="G3242" s="6">
        <v>134</v>
      </c>
      <c r="H3242" s="6">
        <v>164</v>
      </c>
      <c r="I3242" s="6">
        <v>134</v>
      </c>
      <c r="J3242" s="6">
        <v>313</v>
      </c>
      <c r="K3242" s="6">
        <v>331</v>
      </c>
    </row>
    <row r="3243" spans="1:25" x14ac:dyDescent="0.2">
      <c r="A3243" s="1">
        <v>0.250694444444444</v>
      </c>
      <c r="B3243" s="2">
        <v>6.16</v>
      </c>
      <c r="C3243" s="2">
        <v>3.65</v>
      </c>
      <c r="D3243" s="2">
        <v>5.17</v>
      </c>
      <c r="E3243" s="2">
        <v>5.4399999999999995</v>
      </c>
      <c r="F3243" s="2">
        <v>3.37</v>
      </c>
      <c r="G3243" s="8">
        <v>236.04601441379168</v>
      </c>
      <c r="H3243" s="8">
        <v>259.34378305248481</v>
      </c>
      <c r="I3243" s="8">
        <v>325.71464506825356</v>
      </c>
      <c r="J3243" s="8">
        <v>560.07356464728207</v>
      </c>
      <c r="K3243" s="8">
        <v>437.14689160019759</v>
      </c>
    </row>
    <row r="3244" spans="1:25" x14ac:dyDescent="0.2">
      <c r="A3244" s="1">
        <v>0.25138888888888899</v>
      </c>
      <c r="B3244" s="2">
        <v>6.3500000000000005</v>
      </c>
      <c r="C3244" s="2">
        <v>3.8600000000000003</v>
      </c>
      <c r="D3244" s="2">
        <v>4.96</v>
      </c>
      <c r="E3244" s="2">
        <v>5.13</v>
      </c>
      <c r="F3244" s="2">
        <v>3.21</v>
      </c>
      <c r="G3244" s="6">
        <v>683.17192021433618</v>
      </c>
      <c r="H3244" s="6">
        <v>617.191115560051</v>
      </c>
      <c r="I3244" s="6">
        <v>833.30306434540444</v>
      </c>
      <c r="J3244" s="6">
        <v>873.81893965633378</v>
      </c>
      <c r="K3244" s="6">
        <v>797.45530316126315</v>
      </c>
    </row>
    <row r="3245" spans="1:25" x14ac:dyDescent="0.2">
      <c r="A3245" s="1">
        <v>0.25208333333333299</v>
      </c>
      <c r="B3245" s="2">
        <v>6.37</v>
      </c>
      <c r="C3245" s="2">
        <v>3.64</v>
      </c>
      <c r="D3245" s="2">
        <v>5.08</v>
      </c>
      <c r="E3245" s="2">
        <v>5.1499999999999995</v>
      </c>
      <c r="F3245" s="2">
        <v>2.91</v>
      </c>
      <c r="G3245" s="6">
        <v>883.76781674716926</v>
      </c>
      <c r="H3245" s="6">
        <v>1001.2474325363527</v>
      </c>
      <c r="I3245" s="6">
        <v>780.66326010402622</v>
      </c>
      <c r="J3245" s="6">
        <v>829.0408762452679</v>
      </c>
      <c r="K3245" s="6">
        <v>1086.3828374419975</v>
      </c>
    </row>
    <row r="3246" spans="1:25" x14ac:dyDescent="0.2">
      <c r="A3246" s="1">
        <v>0.25277777777777799</v>
      </c>
      <c r="B3246" s="2">
        <v>6.25</v>
      </c>
      <c r="C3246" s="2">
        <v>3.65</v>
      </c>
      <c r="D3246" s="2">
        <v>5.33</v>
      </c>
      <c r="E3246" s="2">
        <v>5.17</v>
      </c>
      <c r="F3246" s="2">
        <v>3.35</v>
      </c>
      <c r="G3246" s="6">
        <v>814.88546807788441</v>
      </c>
      <c r="H3246" s="6">
        <v>1253.7125775917602</v>
      </c>
      <c r="I3246" s="6">
        <v>863.52472845050431</v>
      </c>
      <c r="J3246" s="6">
        <v>678.75195492442958</v>
      </c>
      <c r="K3246" s="6">
        <v>1192.1480846803206</v>
      </c>
    </row>
    <row r="3247" spans="1:25" x14ac:dyDescent="0.2">
      <c r="A3247" s="1">
        <v>0.25347222222222199</v>
      </c>
      <c r="B3247" s="2">
        <v>6.21</v>
      </c>
      <c r="C3247" s="2">
        <v>3.69</v>
      </c>
      <c r="D3247" s="2">
        <v>5</v>
      </c>
      <c r="E3247" s="2">
        <v>5.17</v>
      </c>
      <c r="F3247" s="2">
        <v>3.39</v>
      </c>
      <c r="G3247" s="6">
        <v>987.62792543903845</v>
      </c>
      <c r="H3247" s="6">
        <v>881.74692562565531</v>
      </c>
      <c r="I3247" s="6">
        <v>608.60063069336718</v>
      </c>
      <c r="J3247" s="6">
        <v>1090.5746988856124</v>
      </c>
      <c r="K3247" s="6">
        <v>1380.8779971113486</v>
      </c>
    </row>
    <row r="3248" spans="1:25" x14ac:dyDescent="0.2">
      <c r="A3248" s="1">
        <v>0.25416666666666698</v>
      </c>
      <c r="B3248" s="2">
        <v>6.16</v>
      </c>
      <c r="C3248" s="2">
        <v>3.83</v>
      </c>
      <c r="D3248" s="2">
        <v>5.08</v>
      </c>
      <c r="E3248" s="2">
        <v>5.4799999999999995</v>
      </c>
      <c r="F3248" s="2">
        <v>2.97</v>
      </c>
      <c r="G3248" s="6">
        <v>729.2225918843842</v>
      </c>
      <c r="H3248" s="6">
        <v>512.03825766799628</v>
      </c>
      <c r="I3248" s="6">
        <v>712.26685324937262</v>
      </c>
      <c r="J3248" s="6">
        <v>907.21415751739585</v>
      </c>
      <c r="K3248" s="6">
        <v>1305.7359809025306</v>
      </c>
    </row>
    <row r="3249" spans="1:17" x14ac:dyDescent="0.2">
      <c r="A3249" s="1">
        <v>0.25486111111111098</v>
      </c>
      <c r="B3249" s="2">
        <v>6.32</v>
      </c>
      <c r="C3249" s="2">
        <v>3.79</v>
      </c>
      <c r="D3249" s="2">
        <v>4.9899999999999993</v>
      </c>
      <c r="E3249" s="2">
        <v>5.65</v>
      </c>
      <c r="F3249" s="2">
        <v>3.2600000000000002</v>
      </c>
      <c r="G3249" s="6">
        <v>897.82841504026385</v>
      </c>
      <c r="H3249" s="6">
        <v>1162.0282536281402</v>
      </c>
      <c r="I3249" s="6">
        <v>652.66212571401263</v>
      </c>
      <c r="J3249" s="6">
        <v>721.89285756319669</v>
      </c>
      <c r="K3249" s="6">
        <v>1433.6354059728715</v>
      </c>
    </row>
    <row r="3250" spans="1:17" x14ac:dyDescent="0.2">
      <c r="A3250" s="1">
        <v>0.25555555555555598</v>
      </c>
      <c r="B3250" s="2">
        <v>6.17</v>
      </c>
      <c r="C3250" s="2">
        <v>3.74</v>
      </c>
      <c r="D3250" s="2">
        <v>4.8999999999999995</v>
      </c>
      <c r="E3250" s="2">
        <v>5.38</v>
      </c>
      <c r="F3250" s="2">
        <v>2.98</v>
      </c>
      <c r="G3250" s="6">
        <v>1032.7824819354571</v>
      </c>
      <c r="H3250" s="6">
        <v>750.68038882316034</v>
      </c>
      <c r="I3250" s="6">
        <v>1001.7680661595873</v>
      </c>
      <c r="J3250" s="6">
        <v>666.78636454700495</v>
      </c>
      <c r="K3250" s="6">
        <v>1411.4775363064005</v>
      </c>
    </row>
    <row r="3251" spans="1:17" x14ac:dyDescent="0.2">
      <c r="A3251" s="1">
        <v>0.25624999999999998</v>
      </c>
      <c r="B3251" s="2">
        <v>6.13</v>
      </c>
      <c r="C3251" s="2">
        <v>3.77</v>
      </c>
      <c r="D3251" s="2">
        <v>4.9099999999999993</v>
      </c>
      <c r="E3251" s="2">
        <v>5.75</v>
      </c>
      <c r="F3251" s="2">
        <v>3.13</v>
      </c>
      <c r="G3251" s="6">
        <v>1218.363463256457</v>
      </c>
      <c r="H3251" s="6">
        <v>1128.5256280343117</v>
      </c>
      <c r="I3251" s="6">
        <v>985.40495500488396</v>
      </c>
      <c r="J3251" s="6">
        <v>1033.0197200539933</v>
      </c>
      <c r="K3251" s="6">
        <v>1371.1507047122363</v>
      </c>
      <c r="Q3251" s="2"/>
    </row>
    <row r="3252" spans="1:17" x14ac:dyDescent="0.2">
      <c r="A3252" s="1">
        <v>0.25694444444444398</v>
      </c>
      <c r="B3252" s="2">
        <v>6.37</v>
      </c>
      <c r="C3252" s="2">
        <v>3.89</v>
      </c>
      <c r="D3252" s="2">
        <v>4.9899999999999993</v>
      </c>
      <c r="E3252" s="2">
        <v>5.74</v>
      </c>
      <c r="F3252" s="2">
        <v>3.25</v>
      </c>
      <c r="G3252" s="6">
        <v>1007.6822489227043</v>
      </c>
      <c r="H3252" s="6">
        <v>702.90476643482327</v>
      </c>
      <c r="I3252" s="6">
        <v>1019.421962382278</v>
      </c>
      <c r="J3252" s="6">
        <v>906.77467442932016</v>
      </c>
      <c r="K3252" s="6">
        <v>1249.7813975207116</v>
      </c>
    </row>
    <row r="3253" spans="1:17" x14ac:dyDescent="0.2">
      <c r="A3253" s="1">
        <v>0.25763888888888897</v>
      </c>
      <c r="B3253" s="2">
        <v>6.36</v>
      </c>
      <c r="C3253" s="2">
        <v>3.8000000000000003</v>
      </c>
      <c r="D3253" s="2">
        <v>5.38</v>
      </c>
      <c r="E3253" s="2">
        <v>5.22</v>
      </c>
      <c r="F3253" s="2">
        <v>2.98</v>
      </c>
      <c r="G3253" s="6">
        <v>824.62772059248107</v>
      </c>
      <c r="H3253" s="6">
        <v>613.11626175320282</v>
      </c>
      <c r="I3253" s="6">
        <v>1137.0852239033802</v>
      </c>
      <c r="J3253" s="6">
        <v>857.77433407270314</v>
      </c>
      <c r="K3253" s="6">
        <v>1253.2119191264403</v>
      </c>
    </row>
    <row r="3254" spans="1:17" x14ac:dyDescent="0.2">
      <c r="A3254" s="1">
        <v>0.25833333333333303</v>
      </c>
      <c r="B3254" s="2">
        <v>6.25</v>
      </c>
      <c r="C3254" s="2">
        <v>3.91</v>
      </c>
      <c r="D3254" s="2">
        <v>4.93</v>
      </c>
      <c r="E3254" s="2">
        <v>5.13</v>
      </c>
      <c r="F3254" s="2">
        <v>3.35</v>
      </c>
      <c r="G3254" s="6">
        <v>627.52105898844457</v>
      </c>
      <c r="H3254" s="6">
        <v>893.56048486112809</v>
      </c>
      <c r="I3254" s="6">
        <v>971.97917064807439</v>
      </c>
      <c r="J3254" s="6">
        <v>1143.1792632023776</v>
      </c>
      <c r="K3254" s="6">
        <v>667.49269588854781</v>
      </c>
    </row>
    <row r="3255" spans="1:17" x14ac:dyDescent="0.2">
      <c r="A3255" s="1">
        <v>0.25902777777777802</v>
      </c>
      <c r="B3255" s="2">
        <v>6.15</v>
      </c>
      <c r="C3255" s="2">
        <v>3.81</v>
      </c>
      <c r="D3255" s="2">
        <v>5.3699999999999992</v>
      </c>
      <c r="E3255" s="2">
        <v>5.21</v>
      </c>
      <c r="F3255" s="2">
        <v>3.02</v>
      </c>
      <c r="G3255" s="6">
        <v>1169.1894499844432</v>
      </c>
      <c r="H3255" s="6">
        <v>1199.8914166782245</v>
      </c>
      <c r="I3255" s="6">
        <v>678.11545820600304</v>
      </c>
      <c r="J3255" s="6">
        <v>647.88932660040359</v>
      </c>
      <c r="K3255" s="6">
        <v>955.18240354106354</v>
      </c>
    </row>
    <row r="3256" spans="1:17" x14ac:dyDescent="0.2">
      <c r="A3256" s="1">
        <v>0.25972222222222202</v>
      </c>
      <c r="B3256" s="2">
        <v>6.12</v>
      </c>
      <c r="C3256" s="2">
        <v>3.83</v>
      </c>
      <c r="D3256" s="2">
        <v>5.12</v>
      </c>
      <c r="E3256" s="2">
        <v>5.35</v>
      </c>
      <c r="F3256" s="2">
        <v>3.3400000000000003</v>
      </c>
      <c r="G3256" s="6">
        <v>1041.8437895842094</v>
      </c>
      <c r="H3256" s="6">
        <v>767.33255927763241</v>
      </c>
      <c r="I3256" s="6">
        <v>829.85981189479583</v>
      </c>
      <c r="J3256" s="6">
        <v>890.08919323268901</v>
      </c>
      <c r="K3256" s="6">
        <v>786.31010691517827</v>
      </c>
    </row>
    <row r="3257" spans="1:17" x14ac:dyDescent="0.2">
      <c r="A3257" s="1">
        <v>0.26041666666666702</v>
      </c>
      <c r="B3257" s="2">
        <v>6.14</v>
      </c>
      <c r="C3257" s="2">
        <v>3.8200000000000003</v>
      </c>
      <c r="D3257" s="2">
        <v>5.17</v>
      </c>
      <c r="E3257" s="2">
        <v>5.75</v>
      </c>
      <c r="F3257" s="2">
        <v>3</v>
      </c>
      <c r="G3257" s="6">
        <v>1070.8023321814628</v>
      </c>
      <c r="H3257" s="6">
        <v>582.36677361381669</v>
      </c>
      <c r="I3257" s="6">
        <v>758.96929704381307</v>
      </c>
      <c r="J3257" s="6">
        <v>823.91496917460699</v>
      </c>
      <c r="K3257" s="6">
        <v>1388.7378294183495</v>
      </c>
    </row>
    <row r="3258" spans="1:17" x14ac:dyDescent="0.2">
      <c r="A3258" s="1">
        <v>0.26111111111111102</v>
      </c>
      <c r="B3258" s="2">
        <v>6.16</v>
      </c>
      <c r="C3258" s="2">
        <v>3.73</v>
      </c>
      <c r="D3258" s="2">
        <v>5.1499999999999995</v>
      </c>
      <c r="E3258" s="2">
        <v>5.6</v>
      </c>
      <c r="F3258" s="2">
        <v>3.0100000000000002</v>
      </c>
      <c r="G3258" s="6">
        <v>948.55721720922168</v>
      </c>
      <c r="H3258" s="6">
        <v>675.41549400378847</v>
      </c>
      <c r="I3258" s="6">
        <v>753.45957495761832</v>
      </c>
      <c r="J3258" s="6">
        <v>1031.8812437442737</v>
      </c>
      <c r="K3258" s="6">
        <v>959.28173419735708</v>
      </c>
    </row>
    <row r="3259" spans="1:17" x14ac:dyDescent="0.2">
      <c r="A3259" s="1">
        <v>0.26180555555555601</v>
      </c>
      <c r="B3259" s="2">
        <v>6.3500000000000005</v>
      </c>
      <c r="C3259" s="2">
        <v>3.7800000000000002</v>
      </c>
      <c r="D3259" s="2">
        <v>5.0599999999999996</v>
      </c>
      <c r="E3259" s="2">
        <v>5.26</v>
      </c>
      <c r="F3259" s="2">
        <v>3.3600000000000003</v>
      </c>
      <c r="G3259" s="6">
        <v>1213.1535833963644</v>
      </c>
      <c r="H3259" s="6">
        <v>1312.0878978737692</v>
      </c>
      <c r="I3259" s="6">
        <v>656.17157384168763</v>
      </c>
      <c r="J3259" s="6">
        <v>1179.0693533349545</v>
      </c>
      <c r="K3259" s="6">
        <v>766.33565354669861</v>
      </c>
    </row>
    <row r="3260" spans="1:17" x14ac:dyDescent="0.2">
      <c r="A3260" s="1">
        <v>0.26250000000000001</v>
      </c>
      <c r="B3260" s="2">
        <v>6.32</v>
      </c>
      <c r="C3260" s="2">
        <v>3.75</v>
      </c>
      <c r="D3260" s="2">
        <v>5.12</v>
      </c>
      <c r="E3260" s="2">
        <v>5.7299999999999995</v>
      </c>
      <c r="F3260" s="2">
        <v>2.92</v>
      </c>
      <c r="G3260" s="6">
        <v>738.07391052630362</v>
      </c>
      <c r="H3260" s="6">
        <v>583.22870417198692</v>
      </c>
      <c r="I3260" s="6">
        <v>655.04527279761942</v>
      </c>
      <c r="J3260" s="6">
        <v>1188.6829498003872</v>
      </c>
      <c r="K3260" s="6">
        <v>1172.9242286371359</v>
      </c>
    </row>
    <row r="3261" spans="1:17" x14ac:dyDescent="0.2">
      <c r="A3261" s="1">
        <v>0.26319444444444401</v>
      </c>
      <c r="B3261" s="2">
        <v>6.14</v>
      </c>
      <c r="C3261" s="2">
        <v>3.75</v>
      </c>
      <c r="D3261" s="2">
        <v>5.04</v>
      </c>
      <c r="E3261" s="2">
        <v>5.27</v>
      </c>
      <c r="F3261" s="2">
        <v>3.18</v>
      </c>
      <c r="G3261" s="6">
        <v>713.15210105174913</v>
      </c>
      <c r="H3261" s="6">
        <v>911.44683028530562</v>
      </c>
      <c r="I3261" s="6">
        <v>1123.5068776184828</v>
      </c>
      <c r="J3261" s="6">
        <v>1017.9438984660756</v>
      </c>
      <c r="K3261" s="6">
        <v>1010.8414788348126</v>
      </c>
    </row>
    <row r="3262" spans="1:17" x14ac:dyDescent="0.2">
      <c r="A3262" s="1">
        <v>0.26388888888888901</v>
      </c>
      <c r="B3262" s="2">
        <v>6.24</v>
      </c>
      <c r="C3262" s="2">
        <v>3.64</v>
      </c>
      <c r="D3262" s="2">
        <v>5.08</v>
      </c>
      <c r="E3262" s="2">
        <v>5.26</v>
      </c>
      <c r="F3262" s="2">
        <v>3.25</v>
      </c>
      <c r="G3262" s="6">
        <v>642.2204968600571</v>
      </c>
      <c r="H3262" s="6">
        <v>634.22112219136113</v>
      </c>
      <c r="I3262" s="6">
        <v>908.19694755758803</v>
      </c>
      <c r="J3262" s="6">
        <v>961.0521033169756</v>
      </c>
      <c r="K3262" s="6">
        <v>823.54441306649471</v>
      </c>
    </row>
    <row r="3263" spans="1:17" x14ac:dyDescent="0.2">
      <c r="A3263" s="1">
        <v>0.264583333333333</v>
      </c>
      <c r="B3263" s="2">
        <v>6.12</v>
      </c>
      <c r="C3263" s="2">
        <v>3.71</v>
      </c>
      <c r="D3263" s="2">
        <v>5.34</v>
      </c>
      <c r="E3263" s="2">
        <v>5.64</v>
      </c>
      <c r="F3263" s="2">
        <v>3.0700000000000003</v>
      </c>
      <c r="G3263" s="6">
        <v>840.8544933194778</v>
      </c>
      <c r="H3263" s="6">
        <v>852.03360043645307</v>
      </c>
      <c r="I3263" s="6">
        <v>805.35567970752243</v>
      </c>
      <c r="J3263" s="6">
        <v>1204.4251259375033</v>
      </c>
      <c r="K3263" s="6">
        <v>935.1520842794032</v>
      </c>
    </row>
    <row r="3264" spans="1:17" x14ac:dyDescent="0.2">
      <c r="A3264" s="1">
        <v>0.265277777777778</v>
      </c>
      <c r="B3264" s="2">
        <v>6.22</v>
      </c>
      <c r="C3264" s="2">
        <v>3.73</v>
      </c>
      <c r="D3264" s="2">
        <v>5.27</v>
      </c>
      <c r="E3264" s="2">
        <v>5.27</v>
      </c>
      <c r="F3264" s="2">
        <v>3.1100000000000003</v>
      </c>
      <c r="G3264" s="6">
        <v>1060.4072209289009</v>
      </c>
      <c r="H3264" s="6">
        <v>1007.6534305054312</v>
      </c>
      <c r="I3264" s="6">
        <v>954.04542017609151</v>
      </c>
      <c r="J3264" s="6">
        <v>1013.2628414429608</v>
      </c>
      <c r="K3264" s="6">
        <v>1112.6627751069516</v>
      </c>
    </row>
    <row r="3265" spans="1:11" x14ac:dyDescent="0.2">
      <c r="A3265" s="1">
        <v>0.265972222222222</v>
      </c>
      <c r="B3265" s="2">
        <v>6.2700000000000005</v>
      </c>
      <c r="C3265" s="2">
        <v>3.84</v>
      </c>
      <c r="D3265" s="2">
        <v>5.33</v>
      </c>
      <c r="E3265" s="2">
        <v>5.39</v>
      </c>
      <c r="F3265" s="2">
        <v>3.2</v>
      </c>
      <c r="G3265" s="6">
        <v>1153.7422172244399</v>
      </c>
      <c r="H3265" s="6">
        <v>1288.6978230768332</v>
      </c>
      <c r="I3265" s="6">
        <v>842.4417353034753</v>
      </c>
      <c r="J3265" s="6">
        <v>840.71695730344447</v>
      </c>
      <c r="K3265" s="6">
        <v>955.37178939757837</v>
      </c>
    </row>
    <row r="3266" spans="1:11" x14ac:dyDescent="0.2">
      <c r="A3266" s="1">
        <v>0.266666666666667</v>
      </c>
      <c r="B3266" s="2">
        <v>6.26</v>
      </c>
      <c r="C3266" s="2">
        <v>3.63</v>
      </c>
      <c r="D3266" s="2">
        <v>5.1899999999999995</v>
      </c>
      <c r="E3266" s="2">
        <v>5.47</v>
      </c>
      <c r="F3266" s="2">
        <v>3.21</v>
      </c>
      <c r="G3266" s="6">
        <v>1167.5516498164959</v>
      </c>
      <c r="H3266" s="6">
        <v>1032.2426385987396</v>
      </c>
      <c r="I3266" s="6">
        <v>544.45430153558914</v>
      </c>
      <c r="J3266" s="6">
        <v>952.64023497760979</v>
      </c>
      <c r="K3266" s="6">
        <v>1210.9221332867212</v>
      </c>
    </row>
    <row r="3267" spans="1:11" x14ac:dyDescent="0.2">
      <c r="A3267" s="1">
        <v>0.26736111111111099</v>
      </c>
      <c r="B3267" s="2">
        <v>6.34</v>
      </c>
      <c r="C3267" s="2">
        <v>3.66</v>
      </c>
      <c r="D3267" s="2">
        <v>5.17</v>
      </c>
      <c r="E3267" s="2">
        <v>5.55</v>
      </c>
      <c r="F3267" s="2">
        <v>3.3600000000000003</v>
      </c>
      <c r="G3267" s="6">
        <v>794.16181855596585</v>
      </c>
      <c r="H3267" s="6">
        <v>648.29196920071661</v>
      </c>
      <c r="I3267" s="6">
        <v>878.57985513080359</v>
      </c>
      <c r="J3267" s="6">
        <v>1168.3370251024842</v>
      </c>
      <c r="K3267" s="6">
        <v>1448.7372069515282</v>
      </c>
    </row>
    <row r="3268" spans="1:11" x14ac:dyDescent="0.2">
      <c r="A3268" s="1">
        <v>0.26805555555555599</v>
      </c>
      <c r="B3268" s="2">
        <v>6.15</v>
      </c>
      <c r="C3268" s="2">
        <v>3.62</v>
      </c>
      <c r="D3268" s="2">
        <v>4.8899999999999997</v>
      </c>
      <c r="E3268" s="2">
        <v>5.47</v>
      </c>
      <c r="F3268" s="2">
        <v>2.97</v>
      </c>
      <c r="G3268" s="6">
        <v>1020.2534718454172</v>
      </c>
      <c r="H3268" s="6">
        <v>986.44386788378745</v>
      </c>
      <c r="I3268" s="6">
        <v>985.15539247577181</v>
      </c>
      <c r="J3268" s="6">
        <v>1141.669048826426</v>
      </c>
      <c r="K3268" s="6">
        <v>772.61799478997625</v>
      </c>
    </row>
    <row r="3269" spans="1:11" x14ac:dyDescent="0.2">
      <c r="A3269" s="1">
        <v>0.26874999999999999</v>
      </c>
      <c r="B3269" s="2">
        <v>6.28</v>
      </c>
      <c r="C3269" s="2">
        <v>3.81</v>
      </c>
      <c r="D3269" s="2">
        <v>5.1499999999999995</v>
      </c>
      <c r="E3269" s="2">
        <v>5.2299999999999995</v>
      </c>
      <c r="F3269" s="2">
        <v>3.1100000000000003</v>
      </c>
      <c r="G3269" s="6">
        <v>622.45804332133139</v>
      </c>
      <c r="H3269" s="6">
        <v>796.36886983416696</v>
      </c>
      <c r="I3269" s="6">
        <v>649.17834252112038</v>
      </c>
      <c r="J3269" s="6">
        <v>1147.7598567346283</v>
      </c>
      <c r="K3269" s="6">
        <v>967.51248132706178</v>
      </c>
    </row>
    <row r="3270" spans="1:11" x14ac:dyDescent="0.2">
      <c r="A3270" s="1">
        <v>0.26944444444444399</v>
      </c>
      <c r="B3270" s="2">
        <v>6.3</v>
      </c>
      <c r="C3270" s="2">
        <v>3.71</v>
      </c>
      <c r="D3270" s="2">
        <v>5.1999999999999993</v>
      </c>
      <c r="E3270" s="2">
        <v>5.47</v>
      </c>
      <c r="F3270" s="2">
        <v>2.97</v>
      </c>
      <c r="G3270" s="6">
        <v>752.96168854291921</v>
      </c>
      <c r="H3270" s="6">
        <v>969.16852312189906</v>
      </c>
      <c r="I3270" s="6">
        <v>949.28640821692204</v>
      </c>
      <c r="J3270" s="6">
        <v>1044.6131849838459</v>
      </c>
      <c r="K3270" s="6">
        <v>1140.33443542686</v>
      </c>
    </row>
    <row r="3271" spans="1:11" x14ac:dyDescent="0.2">
      <c r="A3271" s="1">
        <v>0.27013888888888898</v>
      </c>
      <c r="B3271" s="2">
        <v>6.34</v>
      </c>
      <c r="C3271" s="2">
        <v>3.9</v>
      </c>
      <c r="D3271" s="2">
        <v>5.3199999999999994</v>
      </c>
      <c r="E3271" s="2">
        <v>5.1099999999999994</v>
      </c>
      <c r="F3271" s="2">
        <v>3.0300000000000002</v>
      </c>
      <c r="G3271" s="6">
        <v>792.09143893799353</v>
      </c>
      <c r="H3271" s="6">
        <v>648.06136687050912</v>
      </c>
      <c r="I3271" s="6">
        <v>865.34623428206237</v>
      </c>
      <c r="J3271" s="6">
        <v>865.03029254582736</v>
      </c>
      <c r="K3271" s="6">
        <v>1206.5058057999106</v>
      </c>
    </row>
    <row r="3272" spans="1:11" x14ac:dyDescent="0.2">
      <c r="A3272" s="1">
        <v>0.27083333333333298</v>
      </c>
      <c r="B3272" s="2">
        <v>6.16</v>
      </c>
      <c r="C3272" s="2">
        <v>3.79</v>
      </c>
      <c r="D3272" s="2">
        <v>5.05</v>
      </c>
      <c r="E3272" s="2">
        <v>5.6</v>
      </c>
      <c r="F3272" s="2">
        <v>2.99</v>
      </c>
      <c r="G3272" s="6">
        <v>838.7037999253015</v>
      </c>
      <c r="H3272" s="6">
        <v>1027.3909544254429</v>
      </c>
      <c r="I3272" s="6">
        <v>1104.8046589039243</v>
      </c>
      <c r="J3272" s="6">
        <v>974.15855687431633</v>
      </c>
      <c r="K3272" s="6">
        <v>1384.7190541446271</v>
      </c>
    </row>
    <row r="3273" spans="1:11" x14ac:dyDescent="0.2">
      <c r="A3273" s="1">
        <v>0.27152777777777798</v>
      </c>
      <c r="B3273" s="2">
        <v>6.38</v>
      </c>
      <c r="C3273" s="2">
        <v>3.91</v>
      </c>
      <c r="D3273" s="2">
        <v>5.0599999999999996</v>
      </c>
      <c r="E3273" s="2">
        <v>5.1499999999999995</v>
      </c>
      <c r="F3273" s="2">
        <v>2.98</v>
      </c>
      <c r="G3273" s="6">
        <v>576.72437136867495</v>
      </c>
      <c r="H3273" s="6">
        <v>959.63810132479216</v>
      </c>
      <c r="I3273" s="6">
        <v>777.82792599967752</v>
      </c>
      <c r="J3273" s="6">
        <v>957.86774528471983</v>
      </c>
      <c r="K3273" s="6">
        <v>1238.5694058156528</v>
      </c>
    </row>
    <row r="3274" spans="1:11" x14ac:dyDescent="0.2">
      <c r="A3274" s="1">
        <v>0.27222222222222198</v>
      </c>
      <c r="B3274" s="2">
        <v>6.22</v>
      </c>
      <c r="C3274" s="2">
        <v>3.8200000000000003</v>
      </c>
      <c r="D3274" s="2">
        <v>4.9899999999999993</v>
      </c>
      <c r="E3274" s="2">
        <v>5.62</v>
      </c>
      <c r="F3274" s="2">
        <v>3.21</v>
      </c>
      <c r="G3274" s="6">
        <v>856.87301959700699</v>
      </c>
      <c r="H3274" s="6">
        <v>793.72359354671619</v>
      </c>
      <c r="I3274" s="6">
        <v>1060.6800924703007</v>
      </c>
      <c r="J3274" s="6">
        <v>941.54167780692171</v>
      </c>
      <c r="K3274" s="6">
        <v>721.35786778696797</v>
      </c>
    </row>
    <row r="3275" spans="1:11" x14ac:dyDescent="0.2">
      <c r="A3275" s="1">
        <v>0.27291666666666697</v>
      </c>
      <c r="B3275" s="2">
        <v>6.14</v>
      </c>
      <c r="C3275" s="2">
        <v>3.68</v>
      </c>
      <c r="D3275" s="2">
        <v>5.04</v>
      </c>
      <c r="E3275" s="2">
        <v>5.1099999999999994</v>
      </c>
      <c r="F3275" s="2">
        <v>2.89</v>
      </c>
      <c r="G3275" s="6">
        <v>868.20131441714034</v>
      </c>
      <c r="H3275" s="6">
        <v>1191.6621080780656</v>
      </c>
      <c r="I3275" s="6">
        <v>999.65033275125188</v>
      </c>
      <c r="J3275" s="6">
        <v>913.11395433933831</v>
      </c>
      <c r="K3275" s="6">
        <v>664.33015076089475</v>
      </c>
    </row>
    <row r="3276" spans="1:11" x14ac:dyDescent="0.2">
      <c r="A3276" s="1">
        <v>0.27361111111111103</v>
      </c>
      <c r="B3276" s="2">
        <v>6.17</v>
      </c>
      <c r="C3276" s="2">
        <v>3.87</v>
      </c>
      <c r="D3276" s="2">
        <v>5.18</v>
      </c>
      <c r="E3276" s="2">
        <v>5.76</v>
      </c>
      <c r="F3276" s="2">
        <v>3.37</v>
      </c>
      <c r="G3276" s="6">
        <v>1146.2078666029809</v>
      </c>
      <c r="H3276" s="6">
        <v>1019.458838627461</v>
      </c>
      <c r="I3276" s="6">
        <v>611.92423240353446</v>
      </c>
      <c r="J3276" s="6">
        <v>1171.4811858434757</v>
      </c>
      <c r="K3276" s="6">
        <v>1255.2476983816396</v>
      </c>
    </row>
    <row r="3277" spans="1:11" x14ac:dyDescent="0.2">
      <c r="A3277" s="1">
        <v>0.27430555555555602</v>
      </c>
      <c r="B3277" s="2">
        <v>6.25</v>
      </c>
      <c r="C3277" s="2">
        <v>3.6</v>
      </c>
      <c r="D3277" s="2">
        <v>5.3699999999999992</v>
      </c>
      <c r="E3277" s="2">
        <v>5.76</v>
      </c>
      <c r="F3277" s="2">
        <v>3.12</v>
      </c>
      <c r="G3277" s="6">
        <v>1021.730596571329</v>
      </c>
      <c r="H3277" s="6">
        <v>1213.0466217401781</v>
      </c>
      <c r="I3277" s="6">
        <v>799.51473742004657</v>
      </c>
      <c r="J3277" s="6">
        <v>1207.9168444934671</v>
      </c>
      <c r="K3277" s="6">
        <v>1411.4142939159699</v>
      </c>
    </row>
    <row r="3278" spans="1:11" x14ac:dyDescent="0.2">
      <c r="A3278" s="1">
        <v>0.27500000000000002</v>
      </c>
      <c r="B3278" s="2">
        <v>6.18</v>
      </c>
      <c r="C3278" s="2">
        <v>3.7800000000000002</v>
      </c>
      <c r="D3278" s="2">
        <v>5.13</v>
      </c>
      <c r="E3278" s="2">
        <v>5.47</v>
      </c>
      <c r="F3278" s="2">
        <v>3.2800000000000002</v>
      </c>
      <c r="G3278" s="6">
        <v>1143.1351100169825</v>
      </c>
      <c r="H3278" s="6">
        <v>1238.9317833088382</v>
      </c>
      <c r="I3278" s="6">
        <v>689.6356963996792</v>
      </c>
      <c r="J3278" s="6">
        <v>710.87740703978045</v>
      </c>
      <c r="K3278" s="6">
        <v>1061.0993675505074</v>
      </c>
    </row>
    <row r="3279" spans="1:11" x14ac:dyDescent="0.2">
      <c r="A3279" s="1">
        <v>0.27569444444444402</v>
      </c>
      <c r="B3279" s="2">
        <v>6.28</v>
      </c>
      <c r="C3279" s="2">
        <v>3.91</v>
      </c>
      <c r="D3279" s="2">
        <v>5.05</v>
      </c>
      <c r="E3279" s="2">
        <v>5.43</v>
      </c>
      <c r="F3279" s="2">
        <v>2.96</v>
      </c>
      <c r="G3279" s="6">
        <v>734.93758681958082</v>
      </c>
      <c r="H3279" s="6">
        <v>733.76563471468057</v>
      </c>
      <c r="I3279" s="6">
        <v>837.43589501705264</v>
      </c>
      <c r="J3279" s="6">
        <v>819.42210081152245</v>
      </c>
      <c r="K3279" s="6">
        <v>1249.4228696743094</v>
      </c>
    </row>
    <row r="3280" spans="1:11" x14ac:dyDescent="0.2">
      <c r="A3280" s="1">
        <v>0.27638888888888902</v>
      </c>
      <c r="B3280" s="2">
        <v>6.34</v>
      </c>
      <c r="C3280" s="2">
        <v>3.61</v>
      </c>
      <c r="D3280" s="2">
        <v>4.9799999999999995</v>
      </c>
      <c r="E3280" s="2">
        <v>5.28</v>
      </c>
      <c r="F3280" s="2">
        <v>3.0500000000000003</v>
      </c>
      <c r="G3280" s="6">
        <v>777.58122541898706</v>
      </c>
      <c r="H3280" s="6">
        <v>1026.2129337815988</v>
      </c>
      <c r="I3280" s="6">
        <v>925.15693285785756</v>
      </c>
      <c r="J3280" s="6">
        <v>1081.1489103807139</v>
      </c>
      <c r="K3280" s="6">
        <v>1434.9470645555011</v>
      </c>
    </row>
    <row r="3281" spans="1:11" x14ac:dyDescent="0.2">
      <c r="A3281" s="1">
        <v>0.27708333333333302</v>
      </c>
      <c r="B3281" s="2">
        <v>6.24</v>
      </c>
      <c r="C3281" s="2">
        <v>3.7600000000000002</v>
      </c>
      <c r="D3281" s="2">
        <v>5.1099999999999994</v>
      </c>
      <c r="E3281" s="2">
        <v>5.16</v>
      </c>
      <c r="F3281" s="2">
        <v>2.93</v>
      </c>
      <c r="G3281" s="6">
        <v>1143.1519439934334</v>
      </c>
      <c r="H3281" s="6">
        <v>620.0113220436449</v>
      </c>
      <c r="I3281" s="6">
        <v>575.62801383673548</v>
      </c>
      <c r="J3281" s="6">
        <v>994.68336435412948</v>
      </c>
      <c r="K3281" s="6">
        <v>1003.5944088808664</v>
      </c>
    </row>
    <row r="3282" spans="1:11" x14ac:dyDescent="0.2">
      <c r="A3282" s="1">
        <v>0.27777777777777801</v>
      </c>
      <c r="B3282" s="2">
        <v>6.15</v>
      </c>
      <c r="C3282" s="2">
        <v>3.62</v>
      </c>
      <c r="D3282" s="2">
        <v>5.0599999999999996</v>
      </c>
      <c r="E3282" s="2">
        <v>5.31</v>
      </c>
      <c r="F3282" s="2">
        <v>3.1500000000000004</v>
      </c>
      <c r="G3282" s="6">
        <v>1049.8943015517686</v>
      </c>
      <c r="H3282" s="6">
        <v>686.56691792698405</v>
      </c>
      <c r="I3282" s="6">
        <v>552.55375824368025</v>
      </c>
      <c r="J3282" s="6">
        <v>1158.409387006124</v>
      </c>
      <c r="K3282" s="6">
        <v>1301.3519198567801</v>
      </c>
    </row>
    <row r="3283" spans="1:11" x14ac:dyDescent="0.2">
      <c r="A3283" s="1">
        <v>0.27847222222222201</v>
      </c>
      <c r="B3283" s="2">
        <v>6.16</v>
      </c>
      <c r="C3283" s="2">
        <v>3.83</v>
      </c>
      <c r="D3283" s="2">
        <v>4.9399999999999995</v>
      </c>
      <c r="E3283" s="2">
        <v>5.1099999999999994</v>
      </c>
      <c r="F3283" s="2">
        <v>2.91</v>
      </c>
      <c r="G3283" s="6">
        <v>1068.9725613837938</v>
      </c>
      <c r="H3283" s="6">
        <v>1018.7419721362215</v>
      </c>
      <c r="I3283" s="6">
        <v>803.40362232761254</v>
      </c>
      <c r="J3283" s="6">
        <v>828.59248765420557</v>
      </c>
      <c r="K3283" s="6">
        <v>1305.6002625550516</v>
      </c>
    </row>
    <row r="3284" spans="1:11" x14ac:dyDescent="0.2">
      <c r="A3284" s="1">
        <v>0.27916666666666701</v>
      </c>
      <c r="B3284" s="2">
        <v>6.3500000000000005</v>
      </c>
      <c r="C3284" s="2">
        <v>3.69</v>
      </c>
      <c r="D3284" s="2">
        <v>4.9099999999999993</v>
      </c>
      <c r="E3284" s="2">
        <v>5.46</v>
      </c>
      <c r="F3284" s="2">
        <v>3.04</v>
      </c>
      <c r="G3284" s="6">
        <v>1176.3822178830505</v>
      </c>
      <c r="H3284" s="6">
        <v>910.04332733289448</v>
      </c>
      <c r="I3284" s="6">
        <v>784.36517690493054</v>
      </c>
      <c r="J3284" s="6">
        <v>678.36760988727974</v>
      </c>
      <c r="K3284" s="6">
        <v>851.92994666375864</v>
      </c>
    </row>
    <row r="3285" spans="1:11" x14ac:dyDescent="0.2">
      <c r="A3285" s="1">
        <v>0.27986111111111101</v>
      </c>
      <c r="B3285" s="2">
        <v>6.25</v>
      </c>
      <c r="C3285" s="2">
        <v>3.85</v>
      </c>
      <c r="D3285" s="2">
        <v>5.0999999999999996</v>
      </c>
      <c r="E3285" s="2">
        <v>5.17</v>
      </c>
      <c r="F3285" s="2">
        <v>3.02</v>
      </c>
      <c r="G3285" s="6">
        <v>701.2865972167757</v>
      </c>
      <c r="H3285" s="6">
        <v>1330.540826861645</v>
      </c>
      <c r="I3285" s="6">
        <v>745.77963532012996</v>
      </c>
      <c r="J3285" s="6">
        <v>1044.4354425457566</v>
      </c>
      <c r="K3285" s="6">
        <v>1061.7362239501999</v>
      </c>
    </row>
    <row r="3286" spans="1:11" x14ac:dyDescent="0.2">
      <c r="A3286" s="1">
        <v>0.280555555555556</v>
      </c>
      <c r="B3286" s="2">
        <v>6.33</v>
      </c>
      <c r="C3286" s="2">
        <v>3.7800000000000002</v>
      </c>
      <c r="D3286" s="2">
        <v>5.35</v>
      </c>
      <c r="E3286" s="2">
        <v>5.2</v>
      </c>
      <c r="F3286" s="2">
        <v>2.89</v>
      </c>
      <c r="G3286" s="6">
        <v>1129.298690707436</v>
      </c>
      <c r="H3286" s="6">
        <v>1227.367049786179</v>
      </c>
      <c r="I3286" s="6">
        <v>956.92097036291443</v>
      </c>
      <c r="J3286" s="6">
        <v>1140.894615092471</v>
      </c>
      <c r="K3286" s="6">
        <v>1327.0317624690194</v>
      </c>
    </row>
    <row r="3287" spans="1:11" x14ac:dyDescent="0.2">
      <c r="A3287" s="1">
        <v>0.28125</v>
      </c>
      <c r="B3287" s="2">
        <v>6.38</v>
      </c>
      <c r="C3287" s="2">
        <v>3.7800000000000002</v>
      </c>
      <c r="D3287" s="2">
        <v>4.8899999999999997</v>
      </c>
      <c r="E3287" s="2">
        <v>5.18</v>
      </c>
      <c r="F3287" s="2">
        <v>3.23</v>
      </c>
      <c r="G3287" s="6">
        <v>1159.1937382833169</v>
      </c>
      <c r="H3287" s="6">
        <v>4898.0425748092393</v>
      </c>
      <c r="I3287" s="6">
        <v>4651.1293094987877</v>
      </c>
      <c r="J3287" s="6">
        <v>3179.2424977417918</v>
      </c>
      <c r="K3287" s="6">
        <v>3816.7819022199692</v>
      </c>
    </row>
    <row r="3288" spans="1:11" x14ac:dyDescent="0.2">
      <c r="A3288" s="1">
        <v>0.281944444444444</v>
      </c>
      <c r="B3288" s="2">
        <v>6.37</v>
      </c>
      <c r="C3288" s="2">
        <v>3.9</v>
      </c>
      <c r="D3288" s="2">
        <v>5.26</v>
      </c>
      <c r="E3288" s="2">
        <v>5.56</v>
      </c>
      <c r="F3288" s="2">
        <v>2.99</v>
      </c>
      <c r="G3288" s="6">
        <v>4265.8416561434651</v>
      </c>
      <c r="H3288" s="6">
        <v>2365.2664793150711</v>
      </c>
      <c r="I3288" s="6">
        <v>4454.0688820908272</v>
      </c>
      <c r="J3288" s="6">
        <v>2778.5668902487414</v>
      </c>
      <c r="K3288" s="6">
        <v>4137.8856031508749</v>
      </c>
    </row>
    <row r="3289" spans="1:11" x14ac:dyDescent="0.2">
      <c r="A3289" s="1">
        <v>0.28263888888888899</v>
      </c>
      <c r="B3289" s="2">
        <v>6.32</v>
      </c>
      <c r="C3289" s="2">
        <v>3.68</v>
      </c>
      <c r="D3289" s="2">
        <v>5.14</v>
      </c>
      <c r="E3289" s="2">
        <v>5.45</v>
      </c>
      <c r="F3289" s="2">
        <v>3.22</v>
      </c>
      <c r="G3289" s="6">
        <v>3753.1270259758835</v>
      </c>
      <c r="H3289" s="6">
        <v>1586.3536716778301</v>
      </c>
      <c r="I3289" s="6">
        <v>3980.5093182046903</v>
      </c>
      <c r="J3289" s="6">
        <v>2619.8303330608501</v>
      </c>
      <c r="K3289" s="6">
        <v>3777.0911147009529</v>
      </c>
    </row>
    <row r="3290" spans="1:11" x14ac:dyDescent="0.2">
      <c r="A3290" s="1">
        <v>0.28333333333333299</v>
      </c>
      <c r="B3290" s="2">
        <v>6.3100000000000005</v>
      </c>
      <c r="C3290" s="2">
        <v>3.63</v>
      </c>
      <c r="D3290" s="2">
        <v>5.14</v>
      </c>
      <c r="E3290" s="2">
        <v>5.53</v>
      </c>
      <c r="F3290" s="2">
        <v>3.3200000000000003</v>
      </c>
      <c r="G3290" s="6">
        <v>2807.4136263086134</v>
      </c>
      <c r="H3290" s="6">
        <v>3592.1418034122153</v>
      </c>
      <c r="I3290" s="6">
        <v>1487.5172688923187</v>
      </c>
      <c r="J3290" s="6">
        <v>3100.6896370562799</v>
      </c>
      <c r="K3290" s="6">
        <v>2718.6090060285901</v>
      </c>
    </row>
    <row r="3291" spans="1:11" x14ac:dyDescent="0.2">
      <c r="A3291" s="1">
        <v>0.28402777777777799</v>
      </c>
      <c r="B3291" s="2">
        <v>6.22</v>
      </c>
      <c r="C3291" s="2">
        <v>3.72</v>
      </c>
      <c r="D3291" s="2">
        <v>5.3699999999999992</v>
      </c>
      <c r="E3291" s="2">
        <v>5.67</v>
      </c>
      <c r="F3291" s="2">
        <v>3.27</v>
      </c>
      <c r="G3291" s="6">
        <v>4250.8194040026838</v>
      </c>
      <c r="H3291" s="6">
        <v>3064.4015392205579</v>
      </c>
      <c r="I3291" s="6">
        <v>1126.8145884826433</v>
      </c>
      <c r="J3291" s="6">
        <v>3855.0914477846914</v>
      </c>
      <c r="K3291" s="6">
        <v>3193.0515142968879</v>
      </c>
    </row>
    <row r="3292" spans="1:11" x14ac:dyDescent="0.2">
      <c r="A3292" s="1">
        <v>0.28472222222222199</v>
      </c>
      <c r="B3292" s="2">
        <v>6.24</v>
      </c>
      <c r="C3292" s="2">
        <v>3.75</v>
      </c>
      <c r="D3292" s="2">
        <v>5.3699999999999992</v>
      </c>
      <c r="E3292" s="2">
        <v>5.22</v>
      </c>
      <c r="F3292" s="2">
        <v>3.2800000000000002</v>
      </c>
      <c r="G3292" s="6">
        <v>1386.7589995337789</v>
      </c>
      <c r="H3292" s="6">
        <v>3397.2549095985123</v>
      </c>
      <c r="I3292" s="6">
        <v>2684.0360958443484</v>
      </c>
      <c r="J3292" s="6">
        <v>3353.4093378192192</v>
      </c>
      <c r="K3292" s="6">
        <v>1980.437616241614</v>
      </c>
    </row>
    <row r="3293" spans="1:11" x14ac:dyDescent="0.2">
      <c r="A3293" s="1">
        <v>0.28541666666666698</v>
      </c>
      <c r="B3293" s="2">
        <v>6.16</v>
      </c>
      <c r="C3293" s="2">
        <v>3.62</v>
      </c>
      <c r="D3293" s="2">
        <v>5.33</v>
      </c>
      <c r="E3293" s="2">
        <v>5.27</v>
      </c>
      <c r="F3293" s="2">
        <v>3.39</v>
      </c>
      <c r="G3293" s="6">
        <v>4114.0613112559631</v>
      </c>
      <c r="H3293" s="6">
        <v>3439.9086507910388</v>
      </c>
      <c r="I3293" s="6">
        <v>1987.8538398225344</v>
      </c>
      <c r="J3293" s="6">
        <v>4129.1947828599632</v>
      </c>
      <c r="K3293" s="6">
        <v>3393.9859862664966</v>
      </c>
    </row>
    <row r="3294" spans="1:11" x14ac:dyDescent="0.2">
      <c r="A3294" s="1">
        <v>0.28611111111111098</v>
      </c>
      <c r="B3294" s="2">
        <v>6.37</v>
      </c>
      <c r="C3294" s="2">
        <v>3.75</v>
      </c>
      <c r="D3294" s="2">
        <v>5.1899999999999995</v>
      </c>
      <c r="E3294" s="2">
        <v>5.75</v>
      </c>
      <c r="F3294" s="2">
        <v>3.0100000000000002</v>
      </c>
      <c r="G3294" s="6">
        <v>3457.2980052304893</v>
      </c>
      <c r="H3294" s="6">
        <v>3565.9578762798001</v>
      </c>
      <c r="I3294" s="6">
        <v>3192.0829595565438</v>
      </c>
      <c r="J3294" s="6">
        <v>4891.4650922432593</v>
      </c>
      <c r="K3294" s="6">
        <v>5531.8613415427844</v>
      </c>
    </row>
    <row r="3295" spans="1:11" x14ac:dyDescent="0.2">
      <c r="A3295" s="1">
        <v>0.28680555555555598</v>
      </c>
      <c r="B3295" s="2">
        <v>6.32</v>
      </c>
      <c r="C3295" s="2">
        <v>3.87</v>
      </c>
      <c r="D3295" s="2">
        <v>5.04</v>
      </c>
      <c r="E3295" s="2">
        <v>5.43</v>
      </c>
      <c r="F3295" s="2">
        <v>3.2</v>
      </c>
      <c r="G3295" s="6">
        <v>3139.8166740737825</v>
      </c>
      <c r="H3295" s="6">
        <v>2172.6605583600322</v>
      </c>
      <c r="I3295" s="6">
        <v>884.21292069104868</v>
      </c>
      <c r="J3295" s="6">
        <v>5325.0608219210844</v>
      </c>
      <c r="K3295" s="6">
        <v>917.93728972979522</v>
      </c>
    </row>
    <row r="3296" spans="1:11" x14ac:dyDescent="0.2">
      <c r="A3296" s="1">
        <v>0.28749999999999998</v>
      </c>
      <c r="B3296" s="2">
        <v>6.3</v>
      </c>
      <c r="C3296" s="2">
        <v>3.74</v>
      </c>
      <c r="D3296" s="2">
        <v>5</v>
      </c>
      <c r="E3296" s="2">
        <v>5.56</v>
      </c>
      <c r="F3296" s="2">
        <v>2.89</v>
      </c>
      <c r="G3296" s="6">
        <v>3367.5741486456495</v>
      </c>
      <c r="H3296" s="6">
        <v>5500.4782360531735</v>
      </c>
      <c r="I3296" s="6">
        <v>3568.4141523402982</v>
      </c>
      <c r="J3296" s="6">
        <v>4069.7978854738108</v>
      </c>
      <c r="K3296" s="6">
        <v>1625.9529108461281</v>
      </c>
    </row>
    <row r="3297" spans="1:24" x14ac:dyDescent="0.2">
      <c r="A3297" s="1">
        <v>0.28819444444444398</v>
      </c>
      <c r="B3297" s="2">
        <v>6.38</v>
      </c>
      <c r="C3297" s="2">
        <v>3.66</v>
      </c>
      <c r="D3297" s="2">
        <v>4.9899999999999993</v>
      </c>
      <c r="E3297" s="2">
        <v>5.55</v>
      </c>
      <c r="F3297" s="2">
        <v>3.3000000000000003</v>
      </c>
      <c r="G3297" s="6">
        <v>3343.9413113239111</v>
      </c>
      <c r="H3297" s="6">
        <v>4919.8358870816492</v>
      </c>
      <c r="I3297" s="6">
        <v>4504.9404910141438</v>
      </c>
      <c r="J3297" s="6">
        <v>2490.2125042369817</v>
      </c>
      <c r="K3297" s="6">
        <v>2465.0140431696195</v>
      </c>
    </row>
    <row r="3298" spans="1:24" x14ac:dyDescent="0.2">
      <c r="A3298" s="1">
        <v>0.28888888888888897</v>
      </c>
      <c r="B3298" s="2">
        <v>6.23</v>
      </c>
      <c r="C3298" s="2">
        <v>3.69</v>
      </c>
      <c r="D3298" s="2">
        <v>5</v>
      </c>
      <c r="E3298" s="2">
        <v>5.22</v>
      </c>
      <c r="F3298" s="2">
        <v>2.95</v>
      </c>
      <c r="G3298" s="6">
        <v>1160.2118612608519</v>
      </c>
      <c r="H3298" s="6">
        <v>828.89527911098696</v>
      </c>
      <c r="I3298" s="6">
        <v>4001.1604312289828</v>
      </c>
      <c r="J3298" s="6">
        <v>4713.5543420953345</v>
      </c>
      <c r="K3298" s="6">
        <v>5702.655663159394</v>
      </c>
    </row>
    <row r="3299" spans="1:24" x14ac:dyDescent="0.2">
      <c r="A3299" s="1">
        <v>0.28958333333333303</v>
      </c>
      <c r="B3299" s="2">
        <v>6.29</v>
      </c>
      <c r="C3299" s="2">
        <v>3.7</v>
      </c>
      <c r="D3299" s="2">
        <v>5.3</v>
      </c>
      <c r="E3299" s="2">
        <v>5.53</v>
      </c>
      <c r="F3299" s="2">
        <v>2.9</v>
      </c>
      <c r="G3299" s="6">
        <v>817.25000621422294</v>
      </c>
      <c r="H3299" s="6">
        <v>1632.0125019612556</v>
      </c>
      <c r="I3299" s="6">
        <v>1685.8618027446798</v>
      </c>
      <c r="J3299" s="6">
        <v>2780.8612049586727</v>
      </c>
      <c r="K3299" s="6">
        <v>4637.4821564775148</v>
      </c>
    </row>
    <row r="3300" spans="1:24" x14ac:dyDescent="0.2">
      <c r="A3300" s="1">
        <v>0.29027777777777802</v>
      </c>
      <c r="B3300" s="2">
        <v>6.14</v>
      </c>
      <c r="C3300" s="2">
        <v>3.85</v>
      </c>
      <c r="D3300" s="2">
        <v>5.3599999999999994</v>
      </c>
      <c r="E3300" s="2">
        <v>5.1099999999999994</v>
      </c>
      <c r="F3300" s="2">
        <v>3.3000000000000003</v>
      </c>
      <c r="G3300" s="6">
        <v>5292.3815590899376</v>
      </c>
      <c r="H3300" s="6">
        <v>1047.3988123168108</v>
      </c>
      <c r="I3300" s="6">
        <v>1646.0995959735023</v>
      </c>
      <c r="J3300" s="6">
        <v>2568.4525246403296</v>
      </c>
      <c r="K3300" s="6">
        <v>3986.8333235550413</v>
      </c>
    </row>
    <row r="3301" spans="1:24" x14ac:dyDescent="0.2">
      <c r="A3301" s="1">
        <v>0.29097222222222202</v>
      </c>
      <c r="B3301" s="2">
        <v>6.29</v>
      </c>
      <c r="C3301" s="2">
        <v>3.73</v>
      </c>
      <c r="D3301" s="2">
        <v>5.31</v>
      </c>
      <c r="E3301" s="2">
        <v>5.5</v>
      </c>
      <c r="F3301" s="2">
        <v>3.18</v>
      </c>
      <c r="G3301" s="6">
        <v>4387.6676177248783</v>
      </c>
      <c r="H3301" s="6">
        <v>4114.423617023388</v>
      </c>
      <c r="I3301" s="6">
        <v>4557.8218958598118</v>
      </c>
      <c r="J3301" s="6">
        <v>5650.0236394190069</v>
      </c>
      <c r="K3301" s="6">
        <v>6448.1154018806019</v>
      </c>
      <c r="T3301" s="2"/>
      <c r="U3301" s="2"/>
      <c r="V3301" s="2"/>
      <c r="W3301" s="2"/>
      <c r="X3301" s="2"/>
    </row>
    <row r="3302" spans="1:24" x14ac:dyDescent="0.2">
      <c r="A3302" s="3">
        <v>0.29166666666666702</v>
      </c>
      <c r="B3302" s="2">
        <v>6.24</v>
      </c>
      <c r="C3302" s="2">
        <v>3.8</v>
      </c>
      <c r="D3302" s="2">
        <v>5.12</v>
      </c>
      <c r="E3302" s="2">
        <v>5.38</v>
      </c>
      <c r="F3302" s="2">
        <v>3.19</v>
      </c>
      <c r="G3302" s="6">
        <v>5034</v>
      </c>
      <c r="H3302" s="6">
        <v>5522</v>
      </c>
      <c r="I3302" s="6">
        <v>6612</v>
      </c>
      <c r="J3302" s="6">
        <v>6423</v>
      </c>
      <c r="K3302" s="6">
        <v>7321</v>
      </c>
    </row>
    <row r="3303" spans="1:24" x14ac:dyDescent="0.2">
      <c r="A3303" s="1">
        <v>0.29236111111111102</v>
      </c>
      <c r="B3303" s="2">
        <v>6.2700000000000005</v>
      </c>
      <c r="C3303" s="2">
        <v>3.83</v>
      </c>
      <c r="D3303" s="2">
        <v>5.3</v>
      </c>
      <c r="E3303" s="2">
        <v>5.18</v>
      </c>
      <c r="F3303" s="2">
        <v>2.8899999999999997</v>
      </c>
      <c r="G3303" s="6">
        <v>5903.9403782349218</v>
      </c>
      <c r="H3303" s="6">
        <v>4726.9795396819227</v>
      </c>
      <c r="I3303" s="6">
        <v>6382.2346813903278</v>
      </c>
      <c r="J3303" s="6">
        <v>4197.4112924103611</v>
      </c>
      <c r="K3303" s="6">
        <v>7058.6103387327812</v>
      </c>
    </row>
    <row r="3304" spans="1:24" x14ac:dyDescent="0.2">
      <c r="A3304" s="1">
        <v>0.29305555555555601</v>
      </c>
      <c r="B3304" s="2">
        <v>6.3100000000000005</v>
      </c>
      <c r="C3304" s="2">
        <v>3.8200000000000003</v>
      </c>
      <c r="D3304" s="2">
        <v>5.27</v>
      </c>
      <c r="E3304" s="2">
        <v>5.3999999999999995</v>
      </c>
      <c r="F3304" s="2">
        <v>3.27</v>
      </c>
      <c r="G3304" s="6">
        <v>3608.9882669677668</v>
      </c>
      <c r="H3304" s="6">
        <v>7292.7862723127055</v>
      </c>
      <c r="I3304" s="6">
        <v>7948.4660042007472</v>
      </c>
      <c r="J3304" s="6">
        <v>5813.3024208546094</v>
      </c>
      <c r="K3304" s="6">
        <v>5666.0769283346508</v>
      </c>
    </row>
    <row r="3305" spans="1:24" x14ac:dyDescent="0.2">
      <c r="A3305" s="1">
        <v>0.29375000000000001</v>
      </c>
      <c r="B3305" s="2">
        <v>6.29</v>
      </c>
      <c r="C3305" s="2">
        <v>3.85</v>
      </c>
      <c r="D3305" s="2">
        <v>5.22</v>
      </c>
      <c r="E3305" s="2">
        <v>5.17</v>
      </c>
      <c r="F3305" s="2">
        <v>3.02</v>
      </c>
      <c r="G3305" s="6">
        <v>5241.8379204630637</v>
      </c>
      <c r="H3305" s="6">
        <v>7800.0530279707946</v>
      </c>
      <c r="I3305" s="6">
        <v>4813.7154407403195</v>
      </c>
      <c r="J3305" s="6">
        <v>3740.04066779402</v>
      </c>
      <c r="K3305" s="6">
        <v>8872.1503001911278</v>
      </c>
    </row>
    <row r="3306" spans="1:24" x14ac:dyDescent="0.2">
      <c r="A3306" s="1">
        <v>0.29444444444444401</v>
      </c>
      <c r="B3306" s="2">
        <v>6.23</v>
      </c>
      <c r="C3306" s="2">
        <v>3.62</v>
      </c>
      <c r="D3306" s="2">
        <v>5.0299999999999994</v>
      </c>
      <c r="E3306" s="2">
        <v>5.1499999999999995</v>
      </c>
      <c r="F3306" s="2">
        <v>2.98</v>
      </c>
      <c r="G3306" s="6">
        <v>8378.6341387008215</v>
      </c>
      <c r="H3306" s="6">
        <v>4986.5177940137601</v>
      </c>
      <c r="I3306" s="6">
        <v>2884.6575171707127</v>
      </c>
      <c r="J3306" s="6">
        <v>4981.8723017357215</v>
      </c>
      <c r="K3306" s="6">
        <v>10139.065063940261</v>
      </c>
    </row>
    <row r="3307" spans="1:24" x14ac:dyDescent="0.2">
      <c r="A3307" s="1">
        <v>0.29513888888888901</v>
      </c>
      <c r="B3307" s="2">
        <v>6.24</v>
      </c>
      <c r="C3307" s="2">
        <v>3.7800000000000002</v>
      </c>
      <c r="D3307" s="2">
        <v>4.9499999999999993</v>
      </c>
      <c r="E3307" s="2">
        <v>5.5</v>
      </c>
      <c r="F3307" s="2">
        <v>3.1</v>
      </c>
      <c r="G3307" s="6">
        <v>7239.7592673944046</v>
      </c>
      <c r="H3307" s="6">
        <v>3909.8900366918961</v>
      </c>
      <c r="I3307" s="6">
        <v>5124.7429514107225</v>
      </c>
      <c r="J3307" s="6">
        <v>7822.0528492309486</v>
      </c>
      <c r="K3307" s="6">
        <v>4626.8972703763493</v>
      </c>
    </row>
    <row r="3308" spans="1:24" x14ac:dyDescent="0.2">
      <c r="A3308" s="1">
        <v>0.295833333333333</v>
      </c>
      <c r="B3308" s="2">
        <v>6.2700000000000005</v>
      </c>
      <c r="C3308" s="2">
        <v>3.65</v>
      </c>
      <c r="D3308" s="2">
        <v>5.0599999999999996</v>
      </c>
      <c r="E3308" s="2">
        <v>5.2399999999999993</v>
      </c>
      <c r="F3308" s="2">
        <v>3.28</v>
      </c>
      <c r="G3308" s="6">
        <v>6071.4944236332167</v>
      </c>
      <c r="H3308" s="6">
        <v>5016.0430555946423</v>
      </c>
      <c r="I3308" s="6">
        <v>6544.8087463511647</v>
      </c>
      <c r="J3308" s="6">
        <v>4040.4140645195762</v>
      </c>
      <c r="K3308" s="6">
        <v>10056.219689282436</v>
      </c>
    </row>
    <row r="3309" spans="1:24" x14ac:dyDescent="0.2">
      <c r="A3309" s="1">
        <v>0.296527777777778</v>
      </c>
      <c r="B3309" s="2">
        <v>6.14</v>
      </c>
      <c r="C3309" s="2">
        <v>3.8000000000000003</v>
      </c>
      <c r="D3309" s="2">
        <v>5.27</v>
      </c>
      <c r="E3309" s="2">
        <v>5.4099999999999993</v>
      </c>
      <c r="F3309" s="2">
        <v>2.92</v>
      </c>
      <c r="G3309" s="6">
        <v>5720.688277645686</v>
      </c>
      <c r="H3309" s="6">
        <v>5238.3452363812903</v>
      </c>
      <c r="I3309" s="6">
        <v>7478.8251737021474</v>
      </c>
      <c r="J3309" s="6">
        <v>8761.9590996887564</v>
      </c>
      <c r="K3309" s="6">
        <v>7437.5882640518757</v>
      </c>
    </row>
    <row r="3310" spans="1:24" x14ac:dyDescent="0.2">
      <c r="A3310" s="1">
        <v>0.297222222222222</v>
      </c>
      <c r="B3310" s="2">
        <v>6.2700000000000005</v>
      </c>
      <c r="C3310" s="2">
        <v>3.65</v>
      </c>
      <c r="D3310" s="2">
        <v>5.2799999999999994</v>
      </c>
      <c r="E3310" s="2">
        <v>5.35</v>
      </c>
      <c r="F3310" s="2">
        <v>3.1399999999999997</v>
      </c>
      <c r="G3310" s="6">
        <v>3867.835338233368</v>
      </c>
      <c r="H3310" s="6">
        <v>4858.7236399797794</v>
      </c>
      <c r="I3310" s="6">
        <v>7098.4934856578766</v>
      </c>
      <c r="J3310" s="6">
        <v>4336.7578951916003</v>
      </c>
      <c r="K3310" s="6">
        <v>8946.6005073844462</v>
      </c>
    </row>
    <row r="3311" spans="1:24" x14ac:dyDescent="0.2">
      <c r="A3311" s="1">
        <v>0.297916666666667</v>
      </c>
      <c r="B3311" s="2">
        <v>6.38</v>
      </c>
      <c r="C3311" s="2">
        <v>3.79</v>
      </c>
      <c r="D3311" s="2">
        <v>5.17</v>
      </c>
      <c r="E3311" s="2">
        <v>5.6499999999999995</v>
      </c>
      <c r="F3311" s="2">
        <v>3.2199999999999998</v>
      </c>
      <c r="G3311" s="6">
        <v>5441.140947656203</v>
      </c>
      <c r="H3311" s="6">
        <v>4183.1514171035897</v>
      </c>
      <c r="I3311" s="6">
        <v>8894.1881260849786</v>
      </c>
      <c r="J3311" s="6">
        <v>3732.0470856730944</v>
      </c>
      <c r="K3311" s="6">
        <v>5597.1107412743249</v>
      </c>
    </row>
    <row r="3312" spans="1:24" x14ac:dyDescent="0.2">
      <c r="A3312" s="1">
        <v>0.29861111111111099</v>
      </c>
      <c r="B3312" s="2">
        <v>6.19</v>
      </c>
      <c r="C3312" s="2">
        <v>3.75</v>
      </c>
      <c r="D3312" s="2">
        <v>5.17</v>
      </c>
      <c r="E3312" s="2">
        <v>5.39</v>
      </c>
      <c r="F3312" s="2">
        <v>2.9299999999999997</v>
      </c>
      <c r="G3312" s="6">
        <v>8579.2753606989027</v>
      </c>
      <c r="H3312" s="6">
        <v>6980.6266891229061</v>
      </c>
      <c r="I3312" s="6">
        <v>4509.2507155482481</v>
      </c>
      <c r="J3312" s="6">
        <v>4179.2587024247068</v>
      </c>
      <c r="K3312" s="6">
        <v>9966.5452788971925</v>
      </c>
    </row>
    <row r="3313" spans="1:24" x14ac:dyDescent="0.2">
      <c r="A3313" s="1">
        <v>0.29930555555555599</v>
      </c>
      <c r="B3313" s="2">
        <v>6.21</v>
      </c>
      <c r="C3313" s="2">
        <v>3.8000000000000003</v>
      </c>
      <c r="D3313" s="2">
        <v>5.2299999999999995</v>
      </c>
      <c r="E3313" s="2">
        <v>5.4099999999999993</v>
      </c>
      <c r="F3313" s="2">
        <v>2.9899999999999998</v>
      </c>
      <c r="G3313" s="6">
        <v>9495.6510384027315</v>
      </c>
      <c r="H3313" s="6">
        <v>5148.3669447165275</v>
      </c>
      <c r="I3313" s="6">
        <v>7144.5424604936525</v>
      </c>
      <c r="J3313" s="6">
        <v>8091.1779596756496</v>
      </c>
      <c r="K3313" s="6">
        <v>7553.0597413052992</v>
      </c>
    </row>
    <row r="3314" spans="1:24" x14ac:dyDescent="0.2">
      <c r="A3314" s="1">
        <v>0.3</v>
      </c>
      <c r="B3314" s="2">
        <v>6.38</v>
      </c>
      <c r="C3314" s="2">
        <v>3.8200000000000003</v>
      </c>
      <c r="D3314" s="2">
        <v>5.08</v>
      </c>
      <c r="E3314" s="2">
        <v>5.5699999999999994</v>
      </c>
      <c r="F3314" s="2">
        <v>3.28</v>
      </c>
      <c r="G3314" s="6">
        <v>4848.9468092243123</v>
      </c>
      <c r="H3314" s="6">
        <v>7206.5659005396101</v>
      </c>
      <c r="I3314" s="6">
        <v>4724.8946545994922</v>
      </c>
      <c r="J3314" s="6">
        <v>6392.6966098867442</v>
      </c>
      <c r="K3314" s="6">
        <v>10639.158647210546</v>
      </c>
    </row>
    <row r="3315" spans="1:24" x14ac:dyDescent="0.2">
      <c r="A3315" s="1">
        <v>0.30069444444444399</v>
      </c>
      <c r="B3315" s="2">
        <v>6.24</v>
      </c>
      <c r="C3315" s="2">
        <v>3.83</v>
      </c>
      <c r="D3315" s="2">
        <v>5.33</v>
      </c>
      <c r="E3315" s="2">
        <v>5.1899999999999995</v>
      </c>
      <c r="F3315" s="2">
        <v>3</v>
      </c>
      <c r="G3315" s="6">
        <v>4487.3077522479743</v>
      </c>
      <c r="H3315" s="6">
        <v>4820.3006083790187</v>
      </c>
      <c r="I3315" s="6">
        <v>8784.5767051302937</v>
      </c>
      <c r="J3315" s="6">
        <v>3977.70629945878</v>
      </c>
      <c r="K3315" s="6">
        <v>10828.765082343883</v>
      </c>
    </row>
    <row r="3316" spans="1:24" x14ac:dyDescent="0.2">
      <c r="A3316" s="1">
        <v>0.30138888888888898</v>
      </c>
      <c r="B3316" s="2">
        <v>6.14</v>
      </c>
      <c r="C3316" s="2">
        <v>3.61</v>
      </c>
      <c r="D3316" s="2">
        <v>5.16</v>
      </c>
      <c r="E3316" s="2">
        <v>5.6499999999999995</v>
      </c>
      <c r="F3316" s="2">
        <v>3.1399999999999997</v>
      </c>
      <c r="G3316" s="6">
        <v>5000.1561929619866</v>
      </c>
      <c r="H3316" s="6">
        <v>9069.5462195403998</v>
      </c>
      <c r="I3316" s="6">
        <v>7673.3197007957924</v>
      </c>
      <c r="J3316" s="6">
        <v>9264.2649392256862</v>
      </c>
      <c r="K3316" s="6">
        <v>7076.3509204398115</v>
      </c>
    </row>
    <row r="3317" spans="1:24" x14ac:dyDescent="0.2">
      <c r="A3317" s="1">
        <v>0.30208333333333298</v>
      </c>
      <c r="B3317" s="2">
        <v>6.24</v>
      </c>
      <c r="C3317" s="2">
        <v>3.71</v>
      </c>
      <c r="D3317" s="2">
        <v>5.0299999999999994</v>
      </c>
      <c r="E3317" s="2">
        <v>5.43</v>
      </c>
      <c r="F3317" s="2">
        <v>3.25</v>
      </c>
      <c r="G3317" s="6">
        <v>8277.0629083943659</v>
      </c>
      <c r="H3317" s="6">
        <v>6932.9306914583767</v>
      </c>
      <c r="I3317" s="6">
        <v>7990.9717904402714</v>
      </c>
      <c r="J3317" s="6">
        <v>6844.1029149186461</v>
      </c>
      <c r="K3317" s="6">
        <v>6940.2067136991236</v>
      </c>
    </row>
    <row r="3318" spans="1:24" x14ac:dyDescent="0.2">
      <c r="A3318" s="1">
        <v>0.30277777777777798</v>
      </c>
      <c r="B3318" s="2">
        <v>6.16</v>
      </c>
      <c r="C3318" s="2">
        <v>3.74</v>
      </c>
      <c r="D3318" s="2">
        <v>5.0699999999999994</v>
      </c>
      <c r="E3318" s="2">
        <v>5.2299999999999995</v>
      </c>
      <c r="F3318" s="2">
        <v>3.25</v>
      </c>
      <c r="G3318" s="6">
        <v>8423.1181721390658</v>
      </c>
      <c r="H3318" s="6">
        <v>5451.9115213799132</v>
      </c>
      <c r="I3318" s="6">
        <v>4238.2374750081226</v>
      </c>
      <c r="J3318" s="6">
        <v>7913.9070549200223</v>
      </c>
      <c r="K3318" s="6">
        <v>7828.1964299568826</v>
      </c>
    </row>
    <row r="3319" spans="1:24" x14ac:dyDescent="0.2">
      <c r="A3319" s="1">
        <v>0.30347222222222198</v>
      </c>
      <c r="B3319" s="2">
        <v>6.28</v>
      </c>
      <c r="C3319" s="2">
        <v>3.62</v>
      </c>
      <c r="D3319" s="2">
        <v>5.29</v>
      </c>
      <c r="E3319" s="2">
        <v>5.2399999999999993</v>
      </c>
      <c r="F3319" s="2">
        <v>3.1799999999999997</v>
      </c>
      <c r="G3319" s="6">
        <v>3721.4908236584538</v>
      </c>
      <c r="H3319" s="6">
        <v>8420.3815964522819</v>
      </c>
      <c r="I3319" s="6">
        <v>5774.7001523014424</v>
      </c>
      <c r="J3319" s="6">
        <v>3779.1194035062954</v>
      </c>
      <c r="K3319" s="6">
        <v>6254.7358634458196</v>
      </c>
      <c r="V3319" s="2"/>
      <c r="W3319" s="2"/>
      <c r="X3319" s="2"/>
    </row>
    <row r="3320" spans="1:24" x14ac:dyDescent="0.2">
      <c r="A3320" s="1">
        <v>0.30416666666666697</v>
      </c>
      <c r="B3320" s="2">
        <v>6.33</v>
      </c>
      <c r="C3320" s="2">
        <v>3.75</v>
      </c>
      <c r="D3320" s="2">
        <v>5.09</v>
      </c>
      <c r="E3320" s="2">
        <v>5.26</v>
      </c>
      <c r="F3320" s="2">
        <v>2.9899999999999998</v>
      </c>
      <c r="G3320" s="6">
        <v>5311.8515419712103</v>
      </c>
      <c r="H3320" s="6">
        <v>4641.5557379262791</v>
      </c>
      <c r="I3320" s="6">
        <v>7361.2920239616242</v>
      </c>
      <c r="J3320" s="6">
        <v>5326.0960637264998</v>
      </c>
      <c r="K3320" s="6">
        <v>6117.5509414822573</v>
      </c>
      <c r="V3320" s="2"/>
      <c r="W3320" s="2"/>
      <c r="X3320" s="2"/>
    </row>
    <row r="3321" spans="1:24" x14ac:dyDescent="0.2">
      <c r="A3321" s="1">
        <v>0.30486111111111103</v>
      </c>
      <c r="B3321" s="2">
        <v>6.38</v>
      </c>
      <c r="C3321" s="2">
        <v>3.8600000000000003</v>
      </c>
      <c r="D3321" s="2">
        <v>4.9099999999999993</v>
      </c>
      <c r="E3321" s="2">
        <v>5.52</v>
      </c>
      <c r="F3321" s="2">
        <v>3.2199999999999998</v>
      </c>
      <c r="G3321" s="6">
        <v>8987.5298629115205</v>
      </c>
      <c r="H3321" s="6">
        <v>10104.541241794455</v>
      </c>
      <c r="I3321" s="6">
        <v>8496.7753834248142</v>
      </c>
      <c r="J3321" s="6">
        <v>9569.6988658796854</v>
      </c>
      <c r="K3321" s="6">
        <v>6889.7212706727814</v>
      </c>
      <c r="V3321" s="2"/>
      <c r="W3321" s="2"/>
      <c r="X3321" s="2"/>
    </row>
    <row r="3322" spans="1:24" x14ac:dyDescent="0.2">
      <c r="A3322" s="1">
        <v>0.30555555555555602</v>
      </c>
      <c r="B3322" s="2">
        <v>6.38</v>
      </c>
      <c r="C3322" s="2">
        <v>3.8600000000000003</v>
      </c>
      <c r="D3322" s="2">
        <v>4.92</v>
      </c>
      <c r="E3322" s="2">
        <v>5.7299999999999995</v>
      </c>
      <c r="F3322" s="2">
        <v>3.29</v>
      </c>
      <c r="G3322" s="6">
        <v>8974.9030682795801</v>
      </c>
      <c r="H3322" s="6">
        <v>10052.092506084226</v>
      </c>
      <c r="I3322" s="6">
        <v>6136.7369321791321</v>
      </c>
      <c r="J3322" s="6">
        <v>4505.8553267530342</v>
      </c>
      <c r="K3322" s="6">
        <v>5260.7356603807448</v>
      </c>
      <c r="V3322" s="2"/>
      <c r="W3322" s="2"/>
      <c r="X3322" s="2"/>
    </row>
    <row r="3323" spans="1:24" x14ac:dyDescent="0.2">
      <c r="A3323" s="1">
        <v>0.30625000000000002</v>
      </c>
      <c r="B3323" s="2">
        <v>6.16</v>
      </c>
      <c r="C3323" s="2">
        <v>3.83</v>
      </c>
      <c r="D3323" s="2">
        <v>5.35</v>
      </c>
      <c r="E3323" s="2">
        <v>5.6499999999999995</v>
      </c>
      <c r="F3323" s="2">
        <v>3.3899999999999997</v>
      </c>
      <c r="G3323" s="6">
        <v>8519.5268284071408</v>
      </c>
      <c r="H3323" s="6">
        <v>5176.2843451234685</v>
      </c>
      <c r="I3323" s="6">
        <v>4668.237780708374</v>
      </c>
      <c r="J3323" s="6">
        <v>6981.8049395419876</v>
      </c>
      <c r="K3323" s="6">
        <v>11019.531055158761</v>
      </c>
      <c r="V3323" s="2"/>
      <c r="W3323" s="2"/>
      <c r="X3323" s="2"/>
    </row>
    <row r="3324" spans="1:24" x14ac:dyDescent="0.2">
      <c r="A3324" s="1">
        <v>0.30694444444444402</v>
      </c>
      <c r="B3324" s="2">
        <v>6.23</v>
      </c>
      <c r="C3324" s="2">
        <v>3.8000000000000003</v>
      </c>
      <c r="D3324" s="2">
        <v>5.22</v>
      </c>
      <c r="E3324" s="2">
        <v>5.18</v>
      </c>
      <c r="F3324" s="2">
        <v>3.1999999999999997</v>
      </c>
      <c r="G3324" s="6">
        <v>5760.7864626806559</v>
      </c>
      <c r="H3324" s="6">
        <v>3758.7475114976214</v>
      </c>
      <c r="I3324" s="6">
        <v>5028.7088720111406</v>
      </c>
      <c r="J3324" s="6">
        <v>7200.4826864013976</v>
      </c>
      <c r="K3324" s="6">
        <v>8611.0249533494607</v>
      </c>
      <c r="V3324" s="2"/>
      <c r="W3324" s="2"/>
      <c r="X3324" s="2"/>
    </row>
    <row r="3325" spans="1:24" x14ac:dyDescent="0.2">
      <c r="A3325" s="1">
        <v>0.30763888888888902</v>
      </c>
      <c r="B3325" s="2">
        <v>6.2700000000000005</v>
      </c>
      <c r="C3325" s="2">
        <v>3.71</v>
      </c>
      <c r="D3325" s="2">
        <v>5.26</v>
      </c>
      <c r="E3325" s="2">
        <v>5.14</v>
      </c>
      <c r="F3325" s="2">
        <v>2.9299999999999997</v>
      </c>
      <c r="G3325" s="6">
        <v>9323.12019784728</v>
      </c>
      <c r="H3325" s="6">
        <v>7559.1854772249353</v>
      </c>
      <c r="I3325" s="6">
        <v>7219.1842746647117</v>
      </c>
      <c r="J3325" s="6">
        <v>8800.4194653026825</v>
      </c>
      <c r="K3325" s="6">
        <v>4931.9930617703767</v>
      </c>
      <c r="V3325" s="2"/>
      <c r="W3325" s="2"/>
      <c r="X3325" s="2"/>
    </row>
    <row r="3326" spans="1:24" x14ac:dyDescent="0.2">
      <c r="A3326" s="1">
        <v>0.30833333333333302</v>
      </c>
      <c r="B3326" s="2">
        <v>6.15</v>
      </c>
      <c r="C3326" s="2">
        <v>3.7800000000000002</v>
      </c>
      <c r="D3326" s="2">
        <v>4.92</v>
      </c>
      <c r="E3326" s="2">
        <v>5.52</v>
      </c>
      <c r="F3326" s="2">
        <v>3.16</v>
      </c>
      <c r="G3326" s="6">
        <v>4705.4402010168169</v>
      </c>
      <c r="H3326" s="6">
        <v>7912.8070571684066</v>
      </c>
      <c r="I3326" s="6">
        <v>3579.8463313073134</v>
      </c>
      <c r="J3326" s="6">
        <v>6315.3006354406853</v>
      </c>
      <c r="K3326" s="6">
        <v>9545.3989760507229</v>
      </c>
      <c r="V3326" s="2"/>
      <c r="W3326" s="2"/>
      <c r="X3326" s="2"/>
    </row>
    <row r="3327" spans="1:24" x14ac:dyDescent="0.2">
      <c r="A3327" s="1">
        <v>0.30902777777777801</v>
      </c>
      <c r="B3327" s="2">
        <v>6.19</v>
      </c>
      <c r="C3327" s="2">
        <v>3.77</v>
      </c>
      <c r="D3327" s="2">
        <v>5.39</v>
      </c>
      <c r="E3327" s="2">
        <v>5.75</v>
      </c>
      <c r="F3327" s="2">
        <v>2.9499999999999997</v>
      </c>
      <c r="G3327" s="6">
        <v>6804.0326652056692</v>
      </c>
      <c r="H3327" s="6">
        <v>4347.6229189017604</v>
      </c>
      <c r="I3327" s="6">
        <v>7097.9450896316212</v>
      </c>
      <c r="J3327" s="6">
        <v>4226.5886313187602</v>
      </c>
      <c r="K3327" s="6">
        <v>10767.719449714534</v>
      </c>
      <c r="V3327" s="2"/>
      <c r="W3327" s="2"/>
      <c r="X3327" s="2"/>
    </row>
    <row r="3328" spans="1:24" x14ac:dyDescent="0.2">
      <c r="A3328" s="1">
        <v>0.30972222222222201</v>
      </c>
      <c r="B3328" s="2">
        <v>6.23</v>
      </c>
      <c r="C3328" s="2">
        <v>3.89</v>
      </c>
      <c r="D3328" s="2">
        <v>5.0599999999999996</v>
      </c>
      <c r="E3328" s="2">
        <v>5.3</v>
      </c>
      <c r="F3328" s="2">
        <v>3.23</v>
      </c>
      <c r="G3328" s="6">
        <v>5096.4416996802393</v>
      </c>
      <c r="H3328" s="6">
        <v>4952.0442183505647</v>
      </c>
      <c r="I3328" s="6">
        <v>8370.2189166891676</v>
      </c>
      <c r="J3328" s="6">
        <v>7629.4264591472001</v>
      </c>
      <c r="K3328" s="6">
        <v>6969.7195449734418</v>
      </c>
      <c r="V3328" s="2"/>
      <c r="W3328" s="2"/>
      <c r="X3328" s="2"/>
    </row>
    <row r="3329" spans="1:24" x14ac:dyDescent="0.2">
      <c r="A3329" s="1">
        <v>0.31041666666666701</v>
      </c>
      <c r="B3329" s="2">
        <v>6.28</v>
      </c>
      <c r="C3329" s="2">
        <v>3.72</v>
      </c>
      <c r="D3329" s="2">
        <v>4.9499999999999993</v>
      </c>
      <c r="E3329" s="2">
        <v>5.68</v>
      </c>
      <c r="F3329" s="2">
        <v>3</v>
      </c>
      <c r="G3329" s="6">
        <v>5102.9996904495129</v>
      </c>
      <c r="H3329" s="6">
        <v>4179.6139007448974</v>
      </c>
      <c r="I3329" s="6">
        <v>4393.9607768169635</v>
      </c>
      <c r="J3329" s="6">
        <v>8258.2538713162521</v>
      </c>
      <c r="K3329" s="6">
        <v>5712.0728474128764</v>
      </c>
      <c r="V3329" s="2"/>
      <c r="W3329" s="2"/>
      <c r="X3329" s="2"/>
    </row>
    <row r="3330" spans="1:24" x14ac:dyDescent="0.2">
      <c r="A3330" s="1">
        <v>0.31111111111111101</v>
      </c>
      <c r="B3330" s="2">
        <v>6.3500000000000005</v>
      </c>
      <c r="C3330" s="2">
        <v>3.9</v>
      </c>
      <c r="D3330" s="2">
        <v>5.3</v>
      </c>
      <c r="E3330" s="2">
        <v>5.39</v>
      </c>
      <c r="F3330" s="2">
        <v>3.1799999999999997</v>
      </c>
      <c r="G3330" s="6">
        <v>5572.0402900945273</v>
      </c>
      <c r="H3330" s="6">
        <v>6726.8517048365729</v>
      </c>
      <c r="I3330" s="6">
        <v>4329.1757473556745</v>
      </c>
      <c r="J3330" s="6">
        <v>6547.7036791664086</v>
      </c>
      <c r="K3330" s="6">
        <v>7938.2412662994884</v>
      </c>
      <c r="V3330" s="2"/>
      <c r="W3330" s="2"/>
      <c r="X3330" s="2"/>
    </row>
    <row r="3331" spans="1:24" x14ac:dyDescent="0.2">
      <c r="A3331" s="1">
        <v>0.311805555555556</v>
      </c>
      <c r="B3331" s="2">
        <v>6.28</v>
      </c>
      <c r="C3331" s="2">
        <v>3.71</v>
      </c>
      <c r="D3331" s="2">
        <v>5.0599999999999996</v>
      </c>
      <c r="E3331" s="2">
        <v>5.22</v>
      </c>
      <c r="F3331" s="2">
        <v>2.92</v>
      </c>
      <c r="G3331" s="6">
        <v>9026.2031366182873</v>
      </c>
      <c r="H3331" s="6">
        <v>9596.0103169897648</v>
      </c>
      <c r="I3331" s="6">
        <v>2933.6383515347816</v>
      </c>
      <c r="J3331" s="6">
        <v>8341.6763209255005</v>
      </c>
      <c r="K3331" s="6">
        <v>8821.8193224591923</v>
      </c>
      <c r="V3331" s="2"/>
      <c r="W3331" s="2"/>
      <c r="X3331" s="2"/>
    </row>
    <row r="3332" spans="1:24" x14ac:dyDescent="0.2">
      <c r="A3332" s="1">
        <v>0.3125</v>
      </c>
      <c r="B3332" s="2">
        <v>6.12</v>
      </c>
      <c r="C3332" s="2">
        <v>3.6</v>
      </c>
      <c r="D3332" s="2">
        <v>5.3199999999999994</v>
      </c>
      <c r="E3332" s="2">
        <v>5.1199999999999992</v>
      </c>
      <c r="F3332" s="2">
        <v>3.38</v>
      </c>
      <c r="G3332" s="6">
        <v>4013.302261756488</v>
      </c>
      <c r="H3332" s="6">
        <v>9502.7081549292689</v>
      </c>
      <c r="I3332" s="6">
        <v>8346.9870248934876</v>
      </c>
      <c r="J3332" s="6">
        <v>6744.366429917558</v>
      </c>
      <c r="K3332" s="6">
        <v>8057.0833618518091</v>
      </c>
      <c r="V3332" s="2"/>
      <c r="W3332" s="2"/>
      <c r="X3332" s="2"/>
    </row>
    <row r="3333" spans="1:24" x14ac:dyDescent="0.2">
      <c r="A3333" s="1">
        <v>0.313194444444444</v>
      </c>
      <c r="B3333" s="2">
        <v>6.23</v>
      </c>
      <c r="C3333" s="2">
        <v>3.87</v>
      </c>
      <c r="D3333" s="2">
        <v>4.96</v>
      </c>
      <c r="E3333" s="2">
        <v>5.67</v>
      </c>
      <c r="F3333" s="2">
        <v>3.11</v>
      </c>
      <c r="G3333" s="6">
        <v>6330.8709060475176</v>
      </c>
      <c r="H3333" s="6">
        <v>6277.6977860488887</v>
      </c>
      <c r="I3333" s="6">
        <v>4879.0992753679384</v>
      </c>
      <c r="J3333" s="6">
        <v>7871.5360642747792</v>
      </c>
      <c r="K3333" s="6">
        <v>10812.616117534293</v>
      </c>
      <c r="V3333" s="2"/>
      <c r="W3333" s="2"/>
      <c r="X3333" s="2"/>
    </row>
    <row r="3334" spans="1:24" x14ac:dyDescent="0.2">
      <c r="A3334" s="1">
        <v>0.31388888888888899</v>
      </c>
      <c r="B3334" s="2">
        <v>6.36</v>
      </c>
      <c r="C3334" s="2">
        <v>3.8000000000000003</v>
      </c>
      <c r="D3334" s="2">
        <v>5.0199999999999996</v>
      </c>
      <c r="E3334" s="2">
        <v>5.21</v>
      </c>
      <c r="F3334" s="2">
        <v>3.08</v>
      </c>
      <c r="G3334" s="6">
        <v>4081.8183300164605</v>
      </c>
      <c r="H3334" s="6">
        <v>5052.2437932338944</v>
      </c>
      <c r="I3334" s="6">
        <v>2958.8779445979994</v>
      </c>
      <c r="J3334" s="6">
        <v>5016.5616478976999</v>
      </c>
      <c r="K3334" s="6">
        <v>9025.9347079283561</v>
      </c>
      <c r="V3334" s="2"/>
      <c r="W3334" s="2"/>
      <c r="X3334" s="2"/>
    </row>
    <row r="3335" spans="1:24" x14ac:dyDescent="0.2">
      <c r="A3335" s="1">
        <v>0.31458333333333299</v>
      </c>
      <c r="B3335" s="2">
        <v>6.2</v>
      </c>
      <c r="C3335" s="2">
        <v>3.69</v>
      </c>
      <c r="D3335" s="2">
        <v>5.17</v>
      </c>
      <c r="E3335" s="2">
        <v>5.1499999999999995</v>
      </c>
      <c r="F3335" s="2">
        <v>3.32</v>
      </c>
      <c r="G3335" s="6">
        <v>8320.0944725309073</v>
      </c>
      <c r="H3335" s="6">
        <v>9093.7673110822161</v>
      </c>
      <c r="I3335" s="6">
        <v>2836.3979701120793</v>
      </c>
      <c r="J3335" s="6">
        <v>4777.9943949052449</v>
      </c>
      <c r="K3335" s="6">
        <v>4755.8748149220901</v>
      </c>
      <c r="V3335" s="2"/>
      <c r="W3335" s="2"/>
      <c r="X3335" s="2"/>
    </row>
    <row r="3336" spans="1:24" x14ac:dyDescent="0.2">
      <c r="A3336" s="1">
        <v>0.31527777777777799</v>
      </c>
      <c r="B3336" s="2">
        <v>6.29</v>
      </c>
      <c r="C3336" s="2">
        <v>3.7600000000000002</v>
      </c>
      <c r="D3336" s="2">
        <v>5.26</v>
      </c>
      <c r="E3336" s="2">
        <v>5.25</v>
      </c>
      <c r="F3336" s="2">
        <v>3.21</v>
      </c>
      <c r="G3336" s="6">
        <v>4850.0686513561714</v>
      </c>
      <c r="H3336" s="6">
        <v>9828.2545979433216</v>
      </c>
      <c r="I3336" s="6">
        <v>4004.1546054560026</v>
      </c>
      <c r="J3336" s="6">
        <v>7434.3022262075965</v>
      </c>
      <c r="K3336" s="6">
        <v>10985.298674614067</v>
      </c>
      <c r="V3336" s="2"/>
      <c r="W3336" s="2"/>
      <c r="X3336" s="2"/>
    </row>
    <row r="3337" spans="1:24" x14ac:dyDescent="0.2">
      <c r="A3337" s="1">
        <v>0.31597222222222199</v>
      </c>
      <c r="B3337" s="2">
        <v>6.22</v>
      </c>
      <c r="C3337" s="2">
        <v>3.83</v>
      </c>
      <c r="D3337" s="2">
        <v>5.01</v>
      </c>
      <c r="E3337" s="2">
        <v>5.68</v>
      </c>
      <c r="F3337" s="2">
        <v>2.8899999999999997</v>
      </c>
      <c r="G3337" s="6">
        <v>4131.8541374963925</v>
      </c>
      <c r="H3337" s="6">
        <v>4768.8873628452502</v>
      </c>
      <c r="I3337" s="6">
        <v>2730.6774537961378</v>
      </c>
      <c r="J3337" s="6">
        <v>6372.7592500004539</v>
      </c>
      <c r="K3337" s="6">
        <v>5102.8519568384309</v>
      </c>
      <c r="V3337" s="2"/>
      <c r="W3337" s="2"/>
      <c r="X3337" s="2"/>
    </row>
    <row r="3338" spans="1:24" x14ac:dyDescent="0.2">
      <c r="A3338" s="1">
        <v>0.31666666666666698</v>
      </c>
      <c r="B3338" s="2">
        <v>6.28</v>
      </c>
      <c r="C3338" s="2">
        <v>3.71</v>
      </c>
      <c r="D3338" s="2">
        <v>4.8999999999999995</v>
      </c>
      <c r="E3338" s="2">
        <v>5.55</v>
      </c>
      <c r="F3338" s="2">
        <v>3.25</v>
      </c>
      <c r="G3338" s="6">
        <v>5126.1764385556708</v>
      </c>
      <c r="H3338" s="6">
        <v>7218.2903128360358</v>
      </c>
      <c r="I3338" s="6">
        <v>5414.8377573802609</v>
      </c>
      <c r="J3338" s="6">
        <v>3766.9062124580009</v>
      </c>
      <c r="K3338" s="6">
        <v>5141.4868695731402</v>
      </c>
      <c r="V3338" s="2"/>
      <c r="W3338" s="2"/>
      <c r="X3338" s="2"/>
    </row>
    <row r="3339" spans="1:24" x14ac:dyDescent="0.2">
      <c r="A3339" s="1">
        <v>0.31736111111111098</v>
      </c>
      <c r="B3339" s="2">
        <v>6.28</v>
      </c>
      <c r="C3339" s="2">
        <v>3.7600000000000002</v>
      </c>
      <c r="D3339" s="2">
        <v>5.1099999999999994</v>
      </c>
      <c r="E3339" s="2">
        <v>5.26</v>
      </c>
      <c r="F3339" s="2">
        <v>3.2199999999999998</v>
      </c>
      <c r="G3339" s="6">
        <v>4283.7839125938763</v>
      </c>
      <c r="H3339" s="6">
        <v>4433.9104003175162</v>
      </c>
      <c r="I3339" s="6">
        <v>8237.3617585019856</v>
      </c>
      <c r="J3339" s="6">
        <v>8262.6588002506305</v>
      </c>
      <c r="K3339" s="6">
        <v>7199.5747443893388</v>
      </c>
      <c r="V3339" s="2"/>
      <c r="W3339" s="2"/>
      <c r="X3339" s="2"/>
    </row>
    <row r="3340" spans="1:24" x14ac:dyDescent="0.2">
      <c r="A3340" s="1">
        <v>0.31805555555555598</v>
      </c>
      <c r="B3340" s="2">
        <v>6.37</v>
      </c>
      <c r="C3340" s="2">
        <v>3.63</v>
      </c>
      <c r="D3340" s="2">
        <v>5.3199999999999994</v>
      </c>
      <c r="E3340" s="2">
        <v>5.75</v>
      </c>
      <c r="F3340" s="2">
        <v>2.9099999999999997</v>
      </c>
      <c r="G3340" s="6">
        <v>8081.3238595879093</v>
      </c>
      <c r="H3340" s="6">
        <v>7041.8541980228547</v>
      </c>
      <c r="I3340" s="6">
        <v>8067.898644598301</v>
      </c>
      <c r="J3340" s="6">
        <v>4495.7776292450044</v>
      </c>
      <c r="K3340" s="6">
        <v>6574.9940461248189</v>
      </c>
      <c r="V3340" s="2"/>
      <c r="W3340" s="2"/>
      <c r="X3340" s="2"/>
    </row>
    <row r="3341" spans="1:24" x14ac:dyDescent="0.2">
      <c r="A3341" s="1">
        <v>0.31874999999999998</v>
      </c>
      <c r="B3341" s="2">
        <v>6.26</v>
      </c>
      <c r="C3341" s="2">
        <v>3.81</v>
      </c>
      <c r="D3341" s="2">
        <v>5.31</v>
      </c>
      <c r="E3341" s="2">
        <v>5.21</v>
      </c>
      <c r="F3341" s="2">
        <v>2.9699999999999998</v>
      </c>
      <c r="G3341" s="6">
        <v>8826.9131794983787</v>
      </c>
      <c r="H3341" s="6">
        <v>6727.6792554875346</v>
      </c>
      <c r="I3341" s="6">
        <v>7718.1380037201388</v>
      </c>
      <c r="J3341" s="6">
        <v>6778.2903666521233</v>
      </c>
      <c r="K3341" s="6">
        <v>4635.0887685316729</v>
      </c>
      <c r="V3341" s="2"/>
      <c r="W3341" s="2"/>
      <c r="X3341" s="2"/>
    </row>
    <row r="3342" spans="1:24" x14ac:dyDescent="0.2">
      <c r="A3342" s="1">
        <v>0.31944444444444398</v>
      </c>
      <c r="B3342" s="2">
        <v>6.25</v>
      </c>
      <c r="C3342" s="2">
        <v>3.7800000000000002</v>
      </c>
      <c r="D3342" s="2">
        <v>5.16</v>
      </c>
      <c r="E3342" s="2">
        <v>5.38</v>
      </c>
      <c r="F3342" s="2">
        <v>2.88</v>
      </c>
      <c r="G3342" s="6">
        <v>6694.2976581539251</v>
      </c>
      <c r="H3342" s="6">
        <v>8852.0243975785488</v>
      </c>
      <c r="I3342" s="6">
        <v>4618.037394948522</v>
      </c>
      <c r="J3342" s="6">
        <v>5197.9544000548931</v>
      </c>
      <c r="K3342" s="6">
        <v>9208.2756228030885</v>
      </c>
      <c r="V3342" s="2"/>
      <c r="W3342" s="2"/>
      <c r="X3342" s="2"/>
    </row>
    <row r="3343" spans="1:24" x14ac:dyDescent="0.2">
      <c r="A3343" s="1">
        <v>0.32013888888888897</v>
      </c>
      <c r="B3343" s="2">
        <v>6.16</v>
      </c>
      <c r="C3343" s="2">
        <v>3.9</v>
      </c>
      <c r="D3343" s="2">
        <v>5</v>
      </c>
      <c r="E3343" s="2">
        <v>5.27</v>
      </c>
      <c r="F3343" s="2">
        <v>3.23</v>
      </c>
      <c r="G3343" s="6">
        <v>5350.5577005277109</v>
      </c>
      <c r="H3343" s="6">
        <v>4221.4985124335381</v>
      </c>
      <c r="I3343" s="6">
        <v>2800.3382160938909</v>
      </c>
      <c r="J3343" s="6">
        <v>3839.2148416639056</v>
      </c>
      <c r="K3343" s="6">
        <v>9160.4513590192</v>
      </c>
      <c r="V3343" s="2"/>
      <c r="W3343" s="2"/>
      <c r="X3343" s="2"/>
    </row>
    <row r="3344" spans="1:24" x14ac:dyDescent="0.2">
      <c r="A3344" s="1">
        <v>0.32083333333333303</v>
      </c>
      <c r="B3344" s="2">
        <v>6.29</v>
      </c>
      <c r="C3344" s="2">
        <v>3.88</v>
      </c>
      <c r="D3344" s="2">
        <v>5.29</v>
      </c>
      <c r="E3344" s="2">
        <v>5.31</v>
      </c>
      <c r="F3344" s="2">
        <v>3.04</v>
      </c>
      <c r="G3344" s="6">
        <v>9108.7763399207888</v>
      </c>
      <c r="H3344" s="6">
        <v>8227.5029853390424</v>
      </c>
      <c r="I3344" s="6">
        <v>4757.5001896493577</v>
      </c>
      <c r="J3344" s="6">
        <v>7609.2128432871605</v>
      </c>
      <c r="K3344" s="6">
        <v>5978.2799769169233</v>
      </c>
      <c r="V3344" s="2"/>
      <c r="W3344" s="2"/>
      <c r="X3344" s="2"/>
    </row>
    <row r="3345" spans="1:24" x14ac:dyDescent="0.2">
      <c r="A3345" s="1">
        <v>0.32152777777777802</v>
      </c>
      <c r="B3345" s="2">
        <v>6.19</v>
      </c>
      <c r="C3345" s="2">
        <v>3.66</v>
      </c>
      <c r="D3345" s="2">
        <v>5.0299999999999994</v>
      </c>
      <c r="E3345" s="2">
        <v>5.22</v>
      </c>
      <c r="F3345" s="2">
        <v>3.31</v>
      </c>
      <c r="G3345" s="6">
        <v>7310.8885735601334</v>
      </c>
      <c r="H3345" s="6">
        <v>9241.392464189812</v>
      </c>
      <c r="I3345" s="6">
        <v>6869.1341033630797</v>
      </c>
      <c r="J3345" s="6">
        <v>4577.9688727365083</v>
      </c>
      <c r="K3345" s="6">
        <v>5165.1755417971926</v>
      </c>
      <c r="V3345" s="2"/>
      <c r="W3345" s="2"/>
      <c r="X3345" s="2"/>
    </row>
    <row r="3346" spans="1:24" x14ac:dyDescent="0.2">
      <c r="A3346" s="1">
        <v>0.32222222222222202</v>
      </c>
      <c r="B3346" s="2">
        <v>6.37</v>
      </c>
      <c r="C3346" s="2">
        <v>3.71</v>
      </c>
      <c r="D3346" s="2">
        <v>5.1899999999999995</v>
      </c>
      <c r="E3346" s="2">
        <v>5.42</v>
      </c>
      <c r="F3346" s="2">
        <v>3.06</v>
      </c>
      <c r="G3346" s="6">
        <v>7363.4021751177615</v>
      </c>
      <c r="H3346" s="6">
        <v>9532.0376287359304</v>
      </c>
      <c r="I3346" s="6">
        <v>8154.3709327560628</v>
      </c>
      <c r="J3346" s="6">
        <v>9406.5117403332097</v>
      </c>
      <c r="K3346" s="6">
        <v>7078.7002365644539</v>
      </c>
      <c r="V3346" s="2"/>
      <c r="W3346" s="2"/>
      <c r="X3346" s="2"/>
    </row>
    <row r="3347" spans="1:24" x14ac:dyDescent="0.2">
      <c r="A3347" s="1">
        <v>0.32291666666666702</v>
      </c>
      <c r="B3347" s="2">
        <v>6.2</v>
      </c>
      <c r="C3347" s="2">
        <v>3.79</v>
      </c>
      <c r="D3347" s="2">
        <v>4.92</v>
      </c>
      <c r="E3347" s="2">
        <v>5.14</v>
      </c>
      <c r="F3347" s="2">
        <v>3.1</v>
      </c>
      <c r="G3347" s="6">
        <v>4137.9514328437181</v>
      </c>
      <c r="H3347" s="6">
        <v>5317.984693385356</v>
      </c>
      <c r="I3347" s="6">
        <v>8729.54659275634</v>
      </c>
      <c r="J3347" s="6">
        <v>6626.1425279593323</v>
      </c>
      <c r="K3347" s="6">
        <v>5271.6096434560732</v>
      </c>
      <c r="V3347" s="2"/>
      <c r="W3347" s="2"/>
      <c r="X3347" s="2"/>
    </row>
    <row r="3348" spans="1:24" x14ac:dyDescent="0.2">
      <c r="A3348" s="1">
        <v>0.32361111111111102</v>
      </c>
      <c r="B3348" s="2">
        <v>6.16</v>
      </c>
      <c r="C3348" s="2">
        <v>3.6</v>
      </c>
      <c r="D3348" s="2">
        <v>5.13</v>
      </c>
      <c r="E3348" s="2">
        <v>5.2799999999999994</v>
      </c>
      <c r="F3348" s="2">
        <v>2.88</v>
      </c>
      <c r="G3348" s="6">
        <v>4127.9637854170369</v>
      </c>
      <c r="H3348" s="6">
        <v>4121.9586728668055</v>
      </c>
      <c r="I3348" s="6">
        <v>3641.4112846186622</v>
      </c>
      <c r="J3348" s="6">
        <v>4286.6256539688238</v>
      </c>
      <c r="K3348" s="6">
        <v>9659.5585289009414</v>
      </c>
      <c r="V3348" s="2"/>
      <c r="W3348" s="2"/>
      <c r="X3348" s="2"/>
    </row>
    <row r="3349" spans="1:24" x14ac:dyDescent="0.2">
      <c r="A3349" s="1">
        <v>0.32430555555555601</v>
      </c>
      <c r="B3349" s="2">
        <v>6.21</v>
      </c>
      <c r="C3349" s="2">
        <v>3.87</v>
      </c>
      <c r="D3349" s="2">
        <v>5.33</v>
      </c>
      <c r="E3349" s="2">
        <v>5.39</v>
      </c>
      <c r="F3349" s="2">
        <v>3.4</v>
      </c>
      <c r="G3349" s="6">
        <v>3980.5689376596997</v>
      </c>
      <c r="H3349" s="6">
        <v>7618.1391637279057</v>
      </c>
      <c r="I3349" s="6">
        <v>7389.9791803697399</v>
      </c>
      <c r="J3349" s="6">
        <v>8075.407600057777</v>
      </c>
      <c r="K3349" s="6">
        <v>6995.1599385418431</v>
      </c>
      <c r="V3349" s="2"/>
      <c r="W3349" s="2"/>
      <c r="X3349" s="2"/>
    </row>
    <row r="3350" spans="1:24" x14ac:dyDescent="0.2">
      <c r="A3350" s="1">
        <v>0.32500000000000001</v>
      </c>
      <c r="B3350" s="2">
        <v>6.14</v>
      </c>
      <c r="C3350" s="2">
        <v>3.83</v>
      </c>
      <c r="D3350" s="2">
        <v>4.96</v>
      </c>
      <c r="E3350" s="2">
        <v>5.4799999999999995</v>
      </c>
      <c r="F3350" s="2">
        <v>2.9899999999999998</v>
      </c>
      <c r="G3350" s="6">
        <v>9799.0346283464296</v>
      </c>
      <c r="H3350" s="6">
        <v>7609.6035374547564</v>
      </c>
      <c r="I3350" s="6">
        <v>4443.9260916262174</v>
      </c>
      <c r="J3350" s="6">
        <v>8723.5029174701813</v>
      </c>
      <c r="K3350" s="6">
        <v>4921.3890942189073</v>
      </c>
      <c r="V3350" s="2"/>
      <c r="W3350" s="2"/>
      <c r="X3350" s="2"/>
    </row>
    <row r="3351" spans="1:24" x14ac:dyDescent="0.2">
      <c r="A3351" s="1">
        <v>0.32569444444444401</v>
      </c>
      <c r="B3351" s="2">
        <v>6.34</v>
      </c>
      <c r="C3351" s="2">
        <v>3.87</v>
      </c>
      <c r="D3351" s="2">
        <v>5.22</v>
      </c>
      <c r="E3351" s="2">
        <v>5.4399999999999995</v>
      </c>
      <c r="F3351" s="2">
        <v>3.36</v>
      </c>
      <c r="G3351" s="6">
        <v>8528.5866651523229</v>
      </c>
      <c r="H3351" s="6">
        <v>8098.26641202473</v>
      </c>
      <c r="I3351" s="6">
        <v>3433.3417211273727</v>
      </c>
      <c r="J3351" s="6">
        <v>6300.2844448269079</v>
      </c>
      <c r="K3351" s="6">
        <v>9519.9274484468951</v>
      </c>
      <c r="V3351" s="2"/>
      <c r="W3351" s="2"/>
      <c r="X3351" s="2"/>
    </row>
    <row r="3352" spans="1:24" x14ac:dyDescent="0.2">
      <c r="A3352" s="1">
        <v>0.32638888888888901</v>
      </c>
      <c r="B3352" s="2">
        <v>6.36</v>
      </c>
      <c r="C3352" s="2">
        <v>3.71</v>
      </c>
      <c r="D3352" s="2">
        <v>4.93</v>
      </c>
      <c r="E3352" s="2">
        <v>5.1599999999999993</v>
      </c>
      <c r="F3352" s="2">
        <v>3.1999999999999997</v>
      </c>
      <c r="G3352" s="6">
        <v>9132.2847247883219</v>
      </c>
      <c r="H3352" s="6">
        <v>5785.7708336717087</v>
      </c>
      <c r="I3352" s="6">
        <v>6611.3934641838996</v>
      </c>
      <c r="J3352" s="6">
        <v>8582.0609973609808</v>
      </c>
      <c r="K3352" s="6">
        <v>5517.5684352077978</v>
      </c>
      <c r="V3352" s="2"/>
      <c r="W3352" s="2"/>
      <c r="X3352" s="2"/>
    </row>
    <row r="3353" spans="1:24" x14ac:dyDescent="0.2">
      <c r="A3353" s="1">
        <v>0.327083333333333</v>
      </c>
      <c r="B3353" s="2">
        <v>6.2</v>
      </c>
      <c r="C3353" s="2">
        <v>3.8200000000000003</v>
      </c>
      <c r="D3353" s="2">
        <v>4.97</v>
      </c>
      <c r="E3353" s="2">
        <v>5.6099999999999994</v>
      </c>
      <c r="F3353" s="2">
        <v>3.16</v>
      </c>
      <c r="G3353" s="6">
        <v>7272.6493628970038</v>
      </c>
      <c r="H3353" s="6">
        <v>5161.1834400862626</v>
      </c>
      <c r="I3353" s="6">
        <v>7368.7465207911609</v>
      </c>
      <c r="J3353" s="6">
        <v>5089.1038391954344</v>
      </c>
      <c r="K3353" s="6">
        <v>7652.7750852159388</v>
      </c>
      <c r="V3353" s="2"/>
      <c r="W3353" s="2"/>
      <c r="X3353" s="2"/>
    </row>
    <row r="3354" spans="1:24" x14ac:dyDescent="0.2">
      <c r="A3354" s="1">
        <v>0.327777777777778</v>
      </c>
      <c r="B3354" s="2">
        <v>6.13</v>
      </c>
      <c r="C3354" s="2">
        <v>3.9</v>
      </c>
      <c r="D3354" s="2">
        <v>5.05</v>
      </c>
      <c r="E3354" s="2">
        <v>5.43</v>
      </c>
      <c r="F3354" s="2">
        <v>3.3899999999999997</v>
      </c>
      <c r="G3354" s="6">
        <v>5159.5407583260976</v>
      </c>
      <c r="H3354" s="6">
        <v>9411.729504435214</v>
      </c>
      <c r="I3354" s="6">
        <v>6417.7449159988346</v>
      </c>
      <c r="J3354" s="6">
        <v>7446.5607478426609</v>
      </c>
      <c r="K3354" s="6">
        <v>11091.376477212523</v>
      </c>
      <c r="V3354" s="2"/>
      <c r="W3354" s="2"/>
      <c r="X3354" s="2"/>
    </row>
    <row r="3355" spans="1:24" x14ac:dyDescent="0.2">
      <c r="A3355" s="1">
        <v>0.328472222222222</v>
      </c>
      <c r="B3355" s="2">
        <v>6.3100000000000005</v>
      </c>
      <c r="C3355" s="2">
        <v>3.65</v>
      </c>
      <c r="D3355" s="2">
        <v>5.0299999999999994</v>
      </c>
      <c r="E3355" s="2">
        <v>5.2399999999999993</v>
      </c>
      <c r="F3355" s="2">
        <v>3.23</v>
      </c>
      <c r="G3355" s="6">
        <v>8031.576644742252</v>
      </c>
      <c r="H3355" s="6">
        <v>8729.2387351978923</v>
      </c>
      <c r="I3355" s="6">
        <v>5819.2264849685025</v>
      </c>
      <c r="J3355" s="6">
        <v>5131.8734638560454</v>
      </c>
      <c r="K3355" s="6">
        <v>9046.7083081434812</v>
      </c>
      <c r="V3355" s="2"/>
      <c r="W3355" s="2"/>
      <c r="X3355" s="2"/>
    </row>
    <row r="3356" spans="1:24" x14ac:dyDescent="0.2">
      <c r="A3356" s="1">
        <v>0.329166666666667</v>
      </c>
      <c r="B3356" s="2">
        <v>6.18</v>
      </c>
      <c r="C3356" s="2">
        <v>3.8200000000000003</v>
      </c>
      <c r="D3356" s="2">
        <v>4.9499999999999993</v>
      </c>
      <c r="E3356" s="2">
        <v>5.6</v>
      </c>
      <c r="F3356" s="2">
        <v>3.19</v>
      </c>
      <c r="G3356" s="6">
        <v>4507.0833158060441</v>
      </c>
      <c r="H3356" s="6">
        <v>7358.8681486851883</v>
      </c>
      <c r="I3356" s="6">
        <v>7289.7302831947818</v>
      </c>
      <c r="J3356" s="6">
        <v>9446.3277185969382</v>
      </c>
      <c r="K3356" s="6">
        <v>9879.6852436057943</v>
      </c>
      <c r="V3356" s="2"/>
      <c r="W3356" s="2"/>
      <c r="X3356" s="2"/>
    </row>
    <row r="3357" spans="1:24" x14ac:dyDescent="0.2">
      <c r="A3357" s="1">
        <v>0.32986111111111099</v>
      </c>
      <c r="B3357" s="2">
        <v>6.32</v>
      </c>
      <c r="C3357" s="2">
        <v>3.64</v>
      </c>
      <c r="D3357" s="2">
        <v>5.1899999999999995</v>
      </c>
      <c r="E3357" s="2">
        <v>5.6</v>
      </c>
      <c r="F3357" s="2">
        <v>3.35</v>
      </c>
      <c r="G3357" s="6">
        <v>3644.0337289128015</v>
      </c>
      <c r="H3357" s="6">
        <v>5187.2994509589143</v>
      </c>
      <c r="I3357" s="6">
        <v>2995.3594333116362</v>
      </c>
      <c r="J3357" s="6">
        <v>4950.1572931325409</v>
      </c>
      <c r="K3357" s="6">
        <v>9197.0157377710566</v>
      </c>
      <c r="V3357" s="2"/>
      <c r="W3357" s="2"/>
      <c r="X3357" s="2"/>
    </row>
    <row r="3358" spans="1:24" x14ac:dyDescent="0.2">
      <c r="A3358" s="1">
        <v>0.33055555555555599</v>
      </c>
      <c r="B3358" s="2">
        <v>6.24</v>
      </c>
      <c r="C3358" s="2">
        <v>3.72</v>
      </c>
      <c r="D3358" s="2">
        <v>5.1999999999999993</v>
      </c>
      <c r="E3358" s="2">
        <v>5.6499999999999995</v>
      </c>
      <c r="F3358" s="2">
        <v>2.9699999999999998</v>
      </c>
      <c r="G3358" s="6">
        <v>5682.5515011521948</v>
      </c>
      <c r="H3358" s="6">
        <v>8256.5640155652436</v>
      </c>
      <c r="I3358" s="6">
        <v>8345.4441469107933</v>
      </c>
      <c r="J3358" s="6">
        <v>7142.014585230685</v>
      </c>
      <c r="K3358" s="6">
        <v>6233.1323458521665</v>
      </c>
      <c r="V3358" s="2"/>
      <c r="W3358" s="2"/>
      <c r="X3358" s="2"/>
    </row>
    <row r="3359" spans="1:24" x14ac:dyDescent="0.2">
      <c r="A3359" s="1">
        <v>0.33124999999999999</v>
      </c>
      <c r="B3359" s="2">
        <v>6.23</v>
      </c>
      <c r="C3359" s="2">
        <v>3.87</v>
      </c>
      <c r="D3359" s="2">
        <v>5.35</v>
      </c>
      <c r="E3359" s="2">
        <v>5.5</v>
      </c>
      <c r="F3359" s="2">
        <v>3.08</v>
      </c>
      <c r="G3359" s="6">
        <v>6709.7866657941586</v>
      </c>
      <c r="H3359" s="6">
        <v>9594.3894571302098</v>
      </c>
      <c r="I3359" s="6">
        <v>8645.9164498957962</v>
      </c>
      <c r="J3359" s="6">
        <v>8637.1581521350745</v>
      </c>
      <c r="K3359" s="6">
        <v>5592.0369869252163</v>
      </c>
      <c r="V3359" s="2"/>
      <c r="W3359" s="2"/>
      <c r="X3359" s="2"/>
    </row>
    <row r="3360" spans="1:24" x14ac:dyDescent="0.2">
      <c r="A3360" s="1">
        <v>0.33194444444444399</v>
      </c>
      <c r="B3360" s="2">
        <v>6.28</v>
      </c>
      <c r="C3360" s="2">
        <v>3.62</v>
      </c>
      <c r="D3360" s="2">
        <v>5.3599999999999994</v>
      </c>
      <c r="E3360" s="2">
        <v>5.6099999999999994</v>
      </c>
      <c r="F3360" s="2">
        <v>3.06</v>
      </c>
      <c r="G3360" s="6">
        <v>9590.2454497940835</v>
      </c>
      <c r="H3360" s="6">
        <v>7455.2084786813966</v>
      </c>
      <c r="I3360" s="6">
        <v>6353.836905820609</v>
      </c>
      <c r="J3360" s="6">
        <v>4847.731476792319</v>
      </c>
      <c r="K3360" s="6">
        <v>6311.2772517580497</v>
      </c>
      <c r="V3360" s="2"/>
      <c r="W3360" s="2"/>
      <c r="X3360" s="2"/>
    </row>
    <row r="3361" spans="1:24" x14ac:dyDescent="0.2">
      <c r="A3361" s="1">
        <v>0.33263888888888898</v>
      </c>
      <c r="B3361" s="2">
        <v>6.21</v>
      </c>
      <c r="C3361" s="2">
        <v>3.9</v>
      </c>
      <c r="D3361" s="2">
        <v>5.0299999999999994</v>
      </c>
      <c r="E3361" s="2">
        <v>5.3999999999999995</v>
      </c>
      <c r="F3361" s="2">
        <v>2.8899999999999997</v>
      </c>
      <c r="G3361" s="6">
        <v>4474.8248554241036</v>
      </c>
      <c r="H3361" s="6">
        <v>5079.1035354386831</v>
      </c>
      <c r="I3361" s="6">
        <v>9943.34</v>
      </c>
      <c r="J3361" s="6">
        <v>8710.1298624580722</v>
      </c>
      <c r="K3361" s="6">
        <v>7333.244350343125</v>
      </c>
      <c r="V3361" s="2"/>
      <c r="W3361" s="2"/>
      <c r="X3361" s="2"/>
    </row>
    <row r="3362" spans="1:24" x14ac:dyDescent="0.2">
      <c r="A3362" s="3">
        <v>0.33333333333333298</v>
      </c>
      <c r="B3362" s="2">
        <v>6.24</v>
      </c>
      <c r="C3362" s="2">
        <v>3.8</v>
      </c>
      <c r="D3362" s="2">
        <v>5.12</v>
      </c>
      <c r="E3362" s="2">
        <v>5.38</v>
      </c>
      <c r="F3362" s="2">
        <v>3.21</v>
      </c>
      <c r="G3362" s="6">
        <v>8233</v>
      </c>
      <c r="H3362" s="6">
        <v>9032</v>
      </c>
      <c r="I3362" s="6">
        <v>10321</v>
      </c>
      <c r="J3362" s="6">
        <v>10332</v>
      </c>
      <c r="K3362" s="6">
        <v>13112</v>
      </c>
    </row>
    <row r="3363" spans="1:24" x14ac:dyDescent="0.2">
      <c r="A3363" s="1">
        <v>0.33402777777777798</v>
      </c>
      <c r="B3363" s="2">
        <v>6.3</v>
      </c>
      <c r="C3363" s="2">
        <v>3.7</v>
      </c>
      <c r="D3363" s="2">
        <v>5.3199999999999994</v>
      </c>
      <c r="E3363" s="2">
        <v>5.3699999999999992</v>
      </c>
      <c r="F3363" s="2">
        <v>3.2399999999999998</v>
      </c>
      <c r="G3363" s="6">
        <v>9678.6599665936901</v>
      </c>
      <c r="H3363" s="6">
        <v>16829.465236855809</v>
      </c>
      <c r="I3363" s="6">
        <v>6168.9820022717931</v>
      </c>
      <c r="J3363" s="6">
        <v>8326.6852736440105</v>
      </c>
      <c r="K3363" s="6">
        <v>10504.691367272479</v>
      </c>
    </row>
    <row r="3364" spans="1:24" x14ac:dyDescent="0.2">
      <c r="A3364" s="1">
        <v>0.33472222222222198</v>
      </c>
      <c r="B3364" s="2">
        <v>6.33</v>
      </c>
      <c r="C3364" s="2">
        <v>3.7600000000000002</v>
      </c>
      <c r="D3364" s="2">
        <v>4.9099999999999993</v>
      </c>
      <c r="E3364" s="2">
        <v>5.7299999999999995</v>
      </c>
      <c r="F3364" s="2">
        <v>3.26</v>
      </c>
      <c r="G3364" s="6">
        <v>9048.3360255573079</v>
      </c>
      <c r="H3364" s="6">
        <v>16132.96637835062</v>
      </c>
      <c r="I3364" s="6">
        <v>13474.505417025461</v>
      </c>
      <c r="J3364" s="6">
        <v>9548.6457883905878</v>
      </c>
      <c r="K3364" s="6">
        <v>12559.376888850362</v>
      </c>
    </row>
    <row r="3365" spans="1:24" x14ac:dyDescent="0.2">
      <c r="A3365" s="1">
        <v>0.33541666666666697</v>
      </c>
      <c r="B3365" s="2">
        <v>6.17</v>
      </c>
      <c r="C3365" s="2">
        <v>3.81</v>
      </c>
      <c r="D3365" s="2">
        <v>5.09</v>
      </c>
      <c r="E3365" s="2">
        <v>5.56</v>
      </c>
      <c r="F3365" s="2">
        <v>3.03</v>
      </c>
      <c r="G3365" s="6">
        <v>10539.366430847684</v>
      </c>
      <c r="H3365" s="6">
        <v>12203.781103174086</v>
      </c>
      <c r="I3365" s="6">
        <v>7112.5699181548971</v>
      </c>
      <c r="J3365" s="6">
        <v>10423.40513758728</v>
      </c>
      <c r="K3365" s="6">
        <v>11384.34191718042</v>
      </c>
    </row>
    <row r="3366" spans="1:24" x14ac:dyDescent="0.2">
      <c r="A3366" s="1">
        <v>0.33611111111111103</v>
      </c>
      <c r="B3366" s="2">
        <v>6.33</v>
      </c>
      <c r="C3366" s="2">
        <v>3.7600000000000002</v>
      </c>
      <c r="D3366" s="2">
        <v>4.9399999999999995</v>
      </c>
      <c r="E3366" s="2">
        <v>5.18</v>
      </c>
      <c r="F3366" s="2">
        <v>3.1999999999999997</v>
      </c>
      <c r="G3366" s="6">
        <v>7067.0674860781182</v>
      </c>
      <c r="H3366" s="6">
        <v>7893.5474595961596</v>
      </c>
      <c r="I3366" s="6">
        <v>8825.6939320646361</v>
      </c>
      <c r="J3366" s="6">
        <v>12244.964257527123</v>
      </c>
      <c r="K3366" s="6">
        <v>13811.406134430572</v>
      </c>
    </row>
    <row r="3367" spans="1:24" x14ac:dyDescent="0.2">
      <c r="A3367" s="1">
        <v>0.33680555555555602</v>
      </c>
      <c r="B3367" s="2">
        <v>6.34</v>
      </c>
      <c r="C3367" s="2">
        <v>3.8600000000000003</v>
      </c>
      <c r="D3367" s="2">
        <v>5.2299999999999995</v>
      </c>
      <c r="E3367" s="2">
        <v>5.6199999999999992</v>
      </c>
      <c r="F3367" s="2">
        <v>3.37</v>
      </c>
      <c r="G3367" s="6">
        <v>6990.5943368810604</v>
      </c>
      <c r="H3367" s="6">
        <v>16847.02104928709</v>
      </c>
      <c r="I3367" s="6">
        <v>10858.171162345607</v>
      </c>
      <c r="J3367" s="6">
        <v>8579.4042177088668</v>
      </c>
      <c r="K3367" s="6">
        <v>11286.380409535654</v>
      </c>
    </row>
    <row r="3368" spans="1:24" x14ac:dyDescent="0.2">
      <c r="A3368" s="1">
        <v>0.33750000000000002</v>
      </c>
      <c r="B3368" s="2">
        <v>6.29</v>
      </c>
      <c r="C3368" s="2">
        <v>3.7</v>
      </c>
      <c r="D3368" s="2">
        <v>4.9399999999999995</v>
      </c>
      <c r="E3368" s="2">
        <v>5.18</v>
      </c>
      <c r="F3368" s="2">
        <v>2.8899999999999997</v>
      </c>
      <c r="G3368" s="6">
        <v>7601.8703217174761</v>
      </c>
      <c r="H3368" s="6">
        <v>14374.256220538595</v>
      </c>
      <c r="I3368" s="6">
        <v>7725.8127936497394</v>
      </c>
      <c r="J3368" s="6">
        <v>8739.3588737913542</v>
      </c>
      <c r="K3368" s="6">
        <v>15604.545994197159</v>
      </c>
    </row>
    <row r="3369" spans="1:24" x14ac:dyDescent="0.2">
      <c r="A3369" s="1">
        <v>0.33819444444444402</v>
      </c>
      <c r="B3369" s="2">
        <v>6.12</v>
      </c>
      <c r="C3369" s="2">
        <v>3.83</v>
      </c>
      <c r="D3369" s="2">
        <v>5.2799999999999994</v>
      </c>
      <c r="E3369" s="2">
        <v>5.4899999999999993</v>
      </c>
      <c r="F3369" s="2">
        <v>3.11</v>
      </c>
      <c r="G3369" s="6">
        <v>10554.273584316279</v>
      </c>
      <c r="H3369" s="6">
        <v>15797.584026992072</v>
      </c>
      <c r="I3369" s="6">
        <v>10151.050221184832</v>
      </c>
      <c r="J3369" s="6">
        <v>9705.2869653873549</v>
      </c>
      <c r="K3369" s="6">
        <v>9939.5737515043511</v>
      </c>
    </row>
    <row r="3370" spans="1:24" x14ac:dyDescent="0.2">
      <c r="A3370" s="1">
        <v>0.33888888888888902</v>
      </c>
      <c r="B3370" s="2">
        <v>6.24</v>
      </c>
      <c r="C3370" s="2">
        <v>3.67</v>
      </c>
      <c r="D3370" s="2">
        <v>5.1499999999999995</v>
      </c>
      <c r="E3370" s="2">
        <v>5.3599999999999994</v>
      </c>
      <c r="F3370" s="2">
        <v>2.8899999999999997</v>
      </c>
      <c r="G3370" s="6">
        <v>13597.970943191518</v>
      </c>
      <c r="H3370" s="6">
        <v>15807.080953320701</v>
      </c>
      <c r="I3370" s="6">
        <v>10505.672714971701</v>
      </c>
      <c r="J3370" s="6">
        <v>11799.337736731753</v>
      </c>
      <c r="K3370" s="6">
        <v>11910.586809735327</v>
      </c>
    </row>
    <row r="3371" spans="1:24" x14ac:dyDescent="0.2">
      <c r="A3371" s="1">
        <v>0.33958333333333302</v>
      </c>
      <c r="B3371" s="2">
        <v>6.3100000000000005</v>
      </c>
      <c r="C3371" s="2">
        <v>3.73</v>
      </c>
      <c r="D3371" s="2">
        <v>4.8999999999999995</v>
      </c>
      <c r="E3371" s="2">
        <v>5.26</v>
      </c>
      <c r="F3371" s="2">
        <v>3.02</v>
      </c>
      <c r="G3371" s="6">
        <v>14061.137775685384</v>
      </c>
      <c r="H3371" s="6">
        <v>12479.70085846061</v>
      </c>
      <c r="I3371" s="6">
        <v>9159.0618110147025</v>
      </c>
      <c r="J3371" s="6">
        <v>10173.269329861987</v>
      </c>
      <c r="K3371" s="6">
        <v>15384.24576208882</v>
      </c>
    </row>
    <row r="3372" spans="1:24" x14ac:dyDescent="0.2">
      <c r="A3372" s="1">
        <v>0.34027777777777801</v>
      </c>
      <c r="B3372" s="2">
        <v>6.26</v>
      </c>
      <c r="C3372" s="2">
        <v>3.8200000000000003</v>
      </c>
      <c r="D3372" s="2">
        <v>5.13</v>
      </c>
      <c r="E3372" s="2">
        <v>5.14</v>
      </c>
      <c r="F3372" s="2">
        <v>2.9499999999999997</v>
      </c>
      <c r="G3372" s="6">
        <v>14071.210609182519</v>
      </c>
      <c r="H3372" s="6">
        <v>13543.614497372026</v>
      </c>
      <c r="I3372" s="6">
        <v>12930.955552329573</v>
      </c>
      <c r="J3372" s="6">
        <v>8556.9224042111637</v>
      </c>
      <c r="K3372" s="6">
        <v>10076.369496023824</v>
      </c>
    </row>
    <row r="3373" spans="1:24" x14ac:dyDescent="0.2">
      <c r="A3373" s="1">
        <v>0.34097222222222201</v>
      </c>
      <c r="B3373" s="2">
        <v>6.12</v>
      </c>
      <c r="C3373" s="2">
        <v>3.73</v>
      </c>
      <c r="D3373" s="2">
        <v>5.2299999999999995</v>
      </c>
      <c r="E3373" s="2">
        <v>5.1199999999999992</v>
      </c>
      <c r="F3373" s="2">
        <v>3.32</v>
      </c>
      <c r="G3373" s="6">
        <v>7029.7914917876924</v>
      </c>
      <c r="H3373" s="6">
        <v>10206.79613096225</v>
      </c>
      <c r="I3373" s="6">
        <v>12202.231490516175</v>
      </c>
      <c r="J3373" s="6">
        <v>10378.40439173131</v>
      </c>
      <c r="K3373" s="6">
        <v>15861.098260045503</v>
      </c>
    </row>
    <row r="3374" spans="1:24" x14ac:dyDescent="0.2">
      <c r="A3374" s="1">
        <v>0.34166666666666701</v>
      </c>
      <c r="B3374" s="2">
        <v>6.26</v>
      </c>
      <c r="C3374" s="2">
        <v>3.88</v>
      </c>
      <c r="D3374" s="2">
        <v>4.96</v>
      </c>
      <c r="E3374" s="2">
        <v>5.43</v>
      </c>
      <c r="F3374" s="2">
        <v>2.9</v>
      </c>
      <c r="G3374" s="6">
        <v>13147.453549793925</v>
      </c>
      <c r="H3374" s="6">
        <v>7147.8017089320574</v>
      </c>
      <c r="I3374" s="6">
        <v>11743.11567958683</v>
      </c>
      <c r="J3374" s="6">
        <v>10439.506200469927</v>
      </c>
      <c r="K3374" s="6">
        <v>13515.406538687252</v>
      </c>
    </row>
    <row r="3375" spans="1:24" x14ac:dyDescent="0.2">
      <c r="A3375" s="1">
        <v>0.34236111111111101</v>
      </c>
      <c r="B3375" s="2">
        <v>6.23</v>
      </c>
      <c r="C3375" s="2">
        <v>3.73</v>
      </c>
      <c r="D3375" s="2">
        <v>5.12</v>
      </c>
      <c r="E3375" s="2">
        <v>5.6899999999999995</v>
      </c>
      <c r="F3375" s="2">
        <v>2.8899999999999997</v>
      </c>
      <c r="G3375" s="6">
        <v>6685.3252208653794</v>
      </c>
      <c r="H3375" s="6">
        <v>12853.866349743252</v>
      </c>
      <c r="I3375" s="6">
        <v>10657.316218013295</v>
      </c>
      <c r="J3375" s="6">
        <v>9240.6833634910472</v>
      </c>
      <c r="K3375" s="6">
        <v>13808.689576846798</v>
      </c>
    </row>
    <row r="3376" spans="1:24" x14ac:dyDescent="0.2">
      <c r="A3376" s="1">
        <v>0.343055555555556</v>
      </c>
      <c r="B3376" s="2">
        <v>6.38</v>
      </c>
      <c r="C3376" s="2">
        <v>3.91</v>
      </c>
      <c r="D3376" s="2">
        <v>5.17</v>
      </c>
      <c r="E3376" s="2">
        <v>5.47</v>
      </c>
      <c r="F3376" s="2">
        <v>3.28</v>
      </c>
      <c r="G3376" s="6">
        <v>11262.225855417108</v>
      </c>
      <c r="H3376" s="6">
        <v>8377.7311095249697</v>
      </c>
      <c r="I3376" s="6">
        <v>11940.04507146608</v>
      </c>
      <c r="J3376" s="6">
        <v>10181.001776839606</v>
      </c>
      <c r="K3376" s="6">
        <v>13635.074478661969</v>
      </c>
    </row>
    <row r="3377" spans="1:11" x14ac:dyDescent="0.2">
      <c r="A3377" s="1">
        <v>0.34375</v>
      </c>
      <c r="B3377" s="2">
        <v>6.21</v>
      </c>
      <c r="C3377" s="2">
        <v>3.8600000000000003</v>
      </c>
      <c r="D3377" s="2">
        <v>5.21</v>
      </c>
      <c r="E3377" s="2">
        <v>5.42</v>
      </c>
      <c r="F3377" s="2">
        <v>3.19</v>
      </c>
      <c r="G3377" s="6">
        <v>13268.180093692485</v>
      </c>
      <c r="H3377" s="6">
        <v>9610.2296310605161</v>
      </c>
      <c r="I3377" s="6">
        <v>6691.4262045199639</v>
      </c>
      <c r="J3377" s="6">
        <v>10447.646566484396</v>
      </c>
      <c r="K3377" s="6">
        <v>9810.3330825250687</v>
      </c>
    </row>
    <row r="3378" spans="1:11" x14ac:dyDescent="0.2">
      <c r="A3378" s="1">
        <v>0.344444444444444</v>
      </c>
      <c r="B3378" s="2">
        <v>6.37</v>
      </c>
      <c r="C3378" s="2">
        <v>3.63</v>
      </c>
      <c r="D3378" s="2">
        <v>5.35</v>
      </c>
      <c r="E3378" s="2">
        <v>5.4899999999999993</v>
      </c>
      <c r="F3378" s="2">
        <v>3.01</v>
      </c>
      <c r="G3378" s="6">
        <v>12375.755188510848</v>
      </c>
      <c r="H3378" s="6">
        <v>7934.8599733810406</v>
      </c>
      <c r="I3378" s="6">
        <v>13750.023584957489</v>
      </c>
      <c r="J3378" s="6">
        <v>9855.3705628008775</v>
      </c>
      <c r="K3378" s="6">
        <v>12082.488223469802</v>
      </c>
    </row>
    <row r="3379" spans="1:11" x14ac:dyDescent="0.2">
      <c r="A3379" s="1">
        <v>0.34513888888888899</v>
      </c>
      <c r="B3379" s="2">
        <v>6.15</v>
      </c>
      <c r="C3379" s="2">
        <v>3.75</v>
      </c>
      <c r="D3379" s="2">
        <v>5.14</v>
      </c>
      <c r="E3379" s="2">
        <v>5.43</v>
      </c>
      <c r="F3379" s="2">
        <v>2.9299999999999997</v>
      </c>
      <c r="G3379" s="6">
        <v>9953.6470155915304</v>
      </c>
      <c r="H3379" s="6">
        <v>16416.340570976943</v>
      </c>
      <c r="I3379" s="6">
        <v>7671.6596871805632</v>
      </c>
      <c r="J3379" s="6">
        <v>8354.8946714592112</v>
      </c>
      <c r="K3379" s="6">
        <v>12181.891479250578</v>
      </c>
    </row>
    <row r="3380" spans="1:11" x14ac:dyDescent="0.2">
      <c r="A3380" s="1">
        <v>0.34583333333333299</v>
      </c>
      <c r="B3380" s="2">
        <v>6.17</v>
      </c>
      <c r="C3380" s="2">
        <v>3.8000000000000003</v>
      </c>
      <c r="D3380" s="2">
        <v>5.27</v>
      </c>
      <c r="E3380" s="2">
        <v>5.33</v>
      </c>
      <c r="F3380" s="2">
        <v>3.23</v>
      </c>
      <c r="G3380" s="6">
        <v>10536.719996638205</v>
      </c>
      <c r="H3380" s="6">
        <v>14108.277835157496</v>
      </c>
      <c r="I3380" s="6">
        <v>13604.263626265067</v>
      </c>
      <c r="J3380" s="6">
        <v>8087.0427507495069</v>
      </c>
      <c r="K3380" s="6">
        <v>16135.875162508137</v>
      </c>
    </row>
    <row r="3381" spans="1:11" x14ac:dyDescent="0.2">
      <c r="A3381" s="1">
        <v>0.34652777777777799</v>
      </c>
      <c r="B3381" s="2">
        <v>6.3100000000000005</v>
      </c>
      <c r="C3381" s="2">
        <v>3.79</v>
      </c>
      <c r="D3381" s="2">
        <v>5.0199999999999996</v>
      </c>
      <c r="E3381" s="2">
        <v>5.43</v>
      </c>
      <c r="F3381" s="2">
        <v>3.2199999999999998</v>
      </c>
      <c r="G3381" s="6">
        <v>8302.3878969038597</v>
      </c>
      <c r="H3381" s="6">
        <v>7876.6883302035585</v>
      </c>
      <c r="I3381" s="6">
        <v>9466.3657706109352</v>
      </c>
      <c r="J3381" s="6">
        <v>10102.58782860756</v>
      </c>
      <c r="K3381" s="6">
        <v>11808.83030070058</v>
      </c>
    </row>
    <row r="3382" spans="1:11" x14ac:dyDescent="0.2">
      <c r="A3382" s="1">
        <v>0.34722222222222199</v>
      </c>
      <c r="B3382" s="2">
        <v>6.37</v>
      </c>
      <c r="C3382" s="2">
        <v>3.85</v>
      </c>
      <c r="D3382" s="2">
        <v>5.18</v>
      </c>
      <c r="E3382" s="2">
        <v>5.4899999999999993</v>
      </c>
      <c r="F3382" s="2">
        <v>2.9099999999999997</v>
      </c>
      <c r="G3382" s="6">
        <v>6925.2352387605388</v>
      </c>
      <c r="H3382" s="6">
        <v>11168.549878290776</v>
      </c>
      <c r="I3382" s="6">
        <v>9973.8756466947325</v>
      </c>
      <c r="J3382" s="6">
        <v>10118.995040119196</v>
      </c>
      <c r="K3382" s="6">
        <v>9055.4924298780152</v>
      </c>
    </row>
    <row r="3383" spans="1:11" x14ac:dyDescent="0.2">
      <c r="A3383" s="1">
        <v>0.34791666666666698</v>
      </c>
      <c r="B3383" s="2">
        <v>6.16</v>
      </c>
      <c r="C3383" s="2">
        <v>3.8200000000000003</v>
      </c>
      <c r="D3383" s="2">
        <v>4.9399999999999995</v>
      </c>
      <c r="E3383" s="2">
        <v>5.5299999999999994</v>
      </c>
      <c r="F3383" s="2">
        <v>2.92</v>
      </c>
      <c r="G3383" s="6">
        <v>10300.314178087261</v>
      </c>
      <c r="H3383" s="6">
        <v>15527.048498092085</v>
      </c>
      <c r="I3383" s="6">
        <v>8500.4023749138796</v>
      </c>
      <c r="J3383" s="6">
        <v>11333.854957762715</v>
      </c>
      <c r="K3383" s="6">
        <v>13949.030112108081</v>
      </c>
    </row>
    <row r="3384" spans="1:11" x14ac:dyDescent="0.2">
      <c r="A3384" s="1">
        <v>0.34861111111111098</v>
      </c>
      <c r="B3384" s="2">
        <v>6.15</v>
      </c>
      <c r="C3384" s="2">
        <v>3.81</v>
      </c>
      <c r="D3384" s="2">
        <v>5.04</v>
      </c>
      <c r="E3384" s="2">
        <v>5.6</v>
      </c>
      <c r="F3384" s="2">
        <v>3.27</v>
      </c>
      <c r="G3384" s="6">
        <v>6685.4081838501652</v>
      </c>
      <c r="H3384" s="6">
        <v>12877.739878102368</v>
      </c>
      <c r="I3384" s="6">
        <v>12216.12850955467</v>
      </c>
      <c r="J3384" s="6">
        <v>10907.856271112376</v>
      </c>
      <c r="K3384" s="6">
        <v>12778.29027729772</v>
      </c>
    </row>
    <row r="3385" spans="1:11" x14ac:dyDescent="0.2">
      <c r="A3385" s="1">
        <v>0.34930555555555598</v>
      </c>
      <c r="B3385" s="2">
        <v>6.13</v>
      </c>
      <c r="C3385" s="2">
        <v>3.88</v>
      </c>
      <c r="D3385" s="2">
        <v>5.2399999999999993</v>
      </c>
      <c r="E3385" s="2">
        <v>5.76</v>
      </c>
      <c r="F3385" s="2">
        <v>3.26</v>
      </c>
      <c r="G3385" s="6">
        <v>12886.910060993798</v>
      </c>
      <c r="H3385" s="6">
        <v>14807.047995920952</v>
      </c>
      <c r="I3385" s="6">
        <v>12867.253815780825</v>
      </c>
      <c r="J3385" s="6">
        <v>10955.80130315757</v>
      </c>
      <c r="K3385" s="6">
        <v>10659.381345628686</v>
      </c>
    </row>
    <row r="3386" spans="1:11" x14ac:dyDescent="0.2">
      <c r="A3386" s="1">
        <v>0.35</v>
      </c>
      <c r="B3386" s="2">
        <v>6.38</v>
      </c>
      <c r="C3386" s="2">
        <v>3.71</v>
      </c>
      <c r="D3386" s="2">
        <v>5.0199999999999996</v>
      </c>
      <c r="E3386" s="2">
        <v>5.31</v>
      </c>
      <c r="F3386" s="2">
        <v>3.02</v>
      </c>
      <c r="G3386" s="6">
        <v>7519.4875776680865</v>
      </c>
      <c r="H3386" s="6">
        <v>13681.967040410618</v>
      </c>
      <c r="I3386" s="6">
        <v>12512.832235838416</v>
      </c>
      <c r="J3386" s="6">
        <v>10685.360561666774</v>
      </c>
      <c r="K3386" s="6">
        <v>11217.809967279789</v>
      </c>
    </row>
    <row r="3387" spans="1:11" x14ac:dyDescent="0.2">
      <c r="A3387" s="1">
        <v>0.35069444444444398</v>
      </c>
      <c r="B3387" s="2">
        <v>6.21</v>
      </c>
      <c r="C3387" s="2">
        <v>3.63</v>
      </c>
      <c r="D3387" s="2">
        <v>5.0299999999999994</v>
      </c>
      <c r="E3387" s="2">
        <v>5.1899999999999995</v>
      </c>
      <c r="F3387" s="2">
        <v>3.12</v>
      </c>
      <c r="G3387" s="6">
        <v>11577.573439723017</v>
      </c>
      <c r="H3387" s="6">
        <v>13291.990038703389</v>
      </c>
      <c r="I3387" s="6">
        <v>14030.173344558159</v>
      </c>
      <c r="J3387" s="6">
        <v>10004.047906883361</v>
      </c>
      <c r="K3387" s="6">
        <v>13928.041013090777</v>
      </c>
    </row>
    <row r="3388" spans="1:11" x14ac:dyDescent="0.2">
      <c r="A3388" s="1">
        <v>0.35138888888888897</v>
      </c>
      <c r="B3388" s="2">
        <v>6.17</v>
      </c>
      <c r="C3388" s="2">
        <v>3.65</v>
      </c>
      <c r="D3388" s="2">
        <v>5.05</v>
      </c>
      <c r="E3388" s="2">
        <v>5.39</v>
      </c>
      <c r="F3388" s="2">
        <v>2.8899999999999997</v>
      </c>
      <c r="G3388" s="6">
        <v>12760.420434332173</v>
      </c>
      <c r="H3388" s="6">
        <v>17052.096517647489</v>
      </c>
      <c r="I3388" s="6">
        <v>7368.0687290515189</v>
      </c>
      <c r="J3388" s="6">
        <v>10622.642876390721</v>
      </c>
      <c r="K3388" s="6">
        <v>10201.152031205111</v>
      </c>
    </row>
    <row r="3389" spans="1:11" x14ac:dyDescent="0.2">
      <c r="A3389" s="1">
        <v>0.35208333333333303</v>
      </c>
      <c r="B3389" s="2">
        <v>6.26</v>
      </c>
      <c r="C3389" s="2">
        <v>3.67</v>
      </c>
      <c r="D3389" s="2">
        <v>5.0999999999999996</v>
      </c>
      <c r="E3389" s="2">
        <v>5.58</v>
      </c>
      <c r="F3389" s="2">
        <v>3.34</v>
      </c>
      <c r="G3389" s="6">
        <v>10206.355216446589</v>
      </c>
      <c r="H3389" s="6">
        <v>12781.991591484912</v>
      </c>
      <c r="I3389" s="6">
        <v>10139.737079572984</v>
      </c>
      <c r="J3389" s="6">
        <v>8267.1495981638818</v>
      </c>
      <c r="K3389" s="6">
        <v>13039.59651731162</v>
      </c>
    </row>
    <row r="3390" spans="1:11" x14ac:dyDescent="0.2">
      <c r="A3390" s="1">
        <v>0.35277777777777802</v>
      </c>
      <c r="B3390" s="2">
        <v>6.32</v>
      </c>
      <c r="C3390" s="2">
        <v>3.8600000000000003</v>
      </c>
      <c r="D3390" s="2">
        <v>4.9499999999999993</v>
      </c>
      <c r="E3390" s="2">
        <v>5.1099999999999994</v>
      </c>
      <c r="F3390" s="2">
        <v>3.32</v>
      </c>
      <c r="G3390" s="6">
        <v>14427.260511108525</v>
      </c>
      <c r="H3390" s="6">
        <v>12118.736454100597</v>
      </c>
      <c r="I3390" s="6">
        <v>7331.681084957746</v>
      </c>
      <c r="J3390" s="6">
        <v>8827.662973950426</v>
      </c>
      <c r="K3390" s="6">
        <v>14913.020608968773</v>
      </c>
    </row>
    <row r="3391" spans="1:11" x14ac:dyDescent="0.2">
      <c r="A3391" s="1">
        <v>0.35347222222222202</v>
      </c>
      <c r="B3391" s="2">
        <v>6.23</v>
      </c>
      <c r="C3391" s="2">
        <v>3.74</v>
      </c>
      <c r="D3391" s="2">
        <v>5.35</v>
      </c>
      <c r="E3391" s="2">
        <v>5.5</v>
      </c>
      <c r="F3391" s="2">
        <v>2.9299999999999997</v>
      </c>
      <c r="G3391" s="6">
        <v>13800.598266865716</v>
      </c>
      <c r="H3391" s="6">
        <v>12086.888202977836</v>
      </c>
      <c r="I3391" s="6">
        <v>13483.923025320417</v>
      </c>
      <c r="J3391" s="6">
        <v>11723.767996164883</v>
      </c>
      <c r="K3391" s="6">
        <v>15795.760761796109</v>
      </c>
    </row>
    <row r="3392" spans="1:11" x14ac:dyDescent="0.2">
      <c r="A3392" s="1">
        <v>0.35416666666666702</v>
      </c>
      <c r="B3392" s="2">
        <v>6.3</v>
      </c>
      <c r="C3392" s="2">
        <v>3.72</v>
      </c>
      <c r="D3392" s="2">
        <v>4.9399999999999995</v>
      </c>
      <c r="E3392" s="2">
        <v>5.4499999999999993</v>
      </c>
      <c r="F3392" s="2">
        <v>3.08</v>
      </c>
      <c r="G3392" s="6">
        <v>9892.4503662857987</v>
      </c>
      <c r="H3392" s="6">
        <v>9760.9828106207897</v>
      </c>
      <c r="I3392" s="6">
        <v>9676.5858126648509</v>
      </c>
      <c r="J3392" s="6">
        <v>9433.359744254758</v>
      </c>
      <c r="K3392" s="6">
        <v>11219.785765842458</v>
      </c>
    </row>
    <row r="3393" spans="1:11" x14ac:dyDescent="0.2">
      <c r="A3393" s="1">
        <v>0.35486111111111102</v>
      </c>
      <c r="B3393" s="2">
        <v>6.33</v>
      </c>
      <c r="C3393" s="2">
        <v>3.65</v>
      </c>
      <c r="D3393" s="2">
        <v>5.01</v>
      </c>
      <c r="E3393" s="2">
        <v>5.17</v>
      </c>
      <c r="F3393" s="2">
        <v>2.88</v>
      </c>
      <c r="G3393" s="6">
        <v>9444.6482115266062</v>
      </c>
      <c r="H3393" s="6">
        <v>8266.6842735034679</v>
      </c>
      <c r="I3393" s="6">
        <v>12173.504934537668</v>
      </c>
      <c r="J3393" s="6">
        <v>9735.0516053088541</v>
      </c>
      <c r="K3393" s="6">
        <v>14156.132106998168</v>
      </c>
    </row>
    <row r="3394" spans="1:11" x14ac:dyDescent="0.2">
      <c r="A3394" s="1">
        <v>0.35555555555555601</v>
      </c>
      <c r="B3394" s="2">
        <v>6.33</v>
      </c>
      <c r="C3394" s="2">
        <v>3.77</v>
      </c>
      <c r="D3394" s="2">
        <v>5.01</v>
      </c>
      <c r="E3394" s="2">
        <v>5.76</v>
      </c>
      <c r="F3394" s="2">
        <v>3.3899999999999997</v>
      </c>
      <c r="G3394" s="6">
        <v>12055.144982334228</v>
      </c>
      <c r="H3394" s="6">
        <v>13696.232356641369</v>
      </c>
      <c r="I3394" s="6">
        <v>9885.2368553469823</v>
      </c>
      <c r="J3394" s="6">
        <v>11897.248039565546</v>
      </c>
      <c r="K3394" s="6">
        <v>15183.56421393567</v>
      </c>
    </row>
    <row r="3395" spans="1:11" x14ac:dyDescent="0.2">
      <c r="A3395" s="1">
        <v>0.35625000000000001</v>
      </c>
      <c r="B3395" s="2">
        <v>6.17</v>
      </c>
      <c r="C3395" s="2">
        <v>3.6</v>
      </c>
      <c r="D3395" s="2">
        <v>5.38</v>
      </c>
      <c r="E3395" s="2">
        <v>5.39</v>
      </c>
      <c r="F3395" s="2">
        <v>2.98</v>
      </c>
      <c r="G3395" s="6">
        <v>11451.407479958574</v>
      </c>
      <c r="H3395" s="6">
        <v>14762.242181617719</v>
      </c>
      <c r="I3395" s="6">
        <v>6397.7353002418859</v>
      </c>
      <c r="J3395" s="6">
        <v>11055.990009827043</v>
      </c>
      <c r="K3395" s="6">
        <v>13533.269867468534</v>
      </c>
    </row>
    <row r="3396" spans="1:11" x14ac:dyDescent="0.2">
      <c r="A3396" s="1">
        <v>0.35694444444444401</v>
      </c>
      <c r="B3396" s="2">
        <v>6.21</v>
      </c>
      <c r="C3396" s="2">
        <v>3.8200000000000003</v>
      </c>
      <c r="D3396" s="2">
        <v>5.31</v>
      </c>
      <c r="E3396" s="2">
        <v>5.7399999999999993</v>
      </c>
      <c r="F3396" s="2">
        <v>3.4</v>
      </c>
      <c r="G3396" s="6">
        <v>13162.724870164329</v>
      </c>
      <c r="H3396" s="6">
        <v>13869.795948597683</v>
      </c>
      <c r="I3396" s="6">
        <v>14209.225676694778</v>
      </c>
      <c r="J3396" s="6">
        <v>8645.4311536513651</v>
      </c>
      <c r="K3396" s="6">
        <v>10075.896684008179</v>
      </c>
    </row>
    <row r="3397" spans="1:11" x14ac:dyDescent="0.2">
      <c r="A3397" s="1">
        <v>0.35763888888888901</v>
      </c>
      <c r="B3397" s="2">
        <v>6.21</v>
      </c>
      <c r="C3397" s="2">
        <v>3.77</v>
      </c>
      <c r="D3397" s="2">
        <v>5.1899999999999995</v>
      </c>
      <c r="E3397" s="2">
        <v>5.26</v>
      </c>
      <c r="F3397" s="2">
        <v>3.38</v>
      </c>
      <c r="G3397" s="6">
        <v>14048.016977286885</v>
      </c>
      <c r="H3397" s="6">
        <v>14234.669571946279</v>
      </c>
      <c r="I3397" s="6">
        <v>8940.8450732076781</v>
      </c>
      <c r="J3397" s="6">
        <v>8237.9446641409977</v>
      </c>
      <c r="K3397" s="6">
        <v>13699.195655125484</v>
      </c>
    </row>
    <row r="3398" spans="1:11" x14ac:dyDescent="0.2">
      <c r="A3398" s="1">
        <v>0.358333333333333</v>
      </c>
      <c r="B3398" s="2">
        <v>6.33</v>
      </c>
      <c r="C3398" s="2">
        <v>3.83</v>
      </c>
      <c r="D3398" s="2">
        <v>5.3599999999999994</v>
      </c>
      <c r="E3398" s="2">
        <v>5.5</v>
      </c>
      <c r="F3398" s="2">
        <v>3.12</v>
      </c>
      <c r="G3398" s="6">
        <v>9871.080126835217</v>
      </c>
      <c r="H3398" s="6">
        <v>16655.226342927395</v>
      </c>
      <c r="I3398" s="6">
        <v>7356.5051478771384</v>
      </c>
      <c r="J3398" s="6">
        <v>11500.126712988837</v>
      </c>
      <c r="K3398" s="6">
        <v>15013.107808783381</v>
      </c>
    </row>
    <row r="3399" spans="1:11" x14ac:dyDescent="0.2">
      <c r="A3399" s="1">
        <v>0.359027777777778</v>
      </c>
      <c r="B3399" s="2">
        <v>6.19</v>
      </c>
      <c r="C3399" s="2">
        <v>3.88</v>
      </c>
      <c r="D3399" s="2">
        <v>5.35</v>
      </c>
      <c r="E3399" s="2">
        <v>5.71</v>
      </c>
      <c r="F3399" s="2">
        <v>2.9099999999999997</v>
      </c>
      <c r="G3399" s="6">
        <v>11500.838375635018</v>
      </c>
      <c r="H3399" s="6">
        <v>8370.6696455567198</v>
      </c>
      <c r="I3399" s="6">
        <v>11151.794367900176</v>
      </c>
      <c r="J3399" s="6">
        <v>10527.526796945074</v>
      </c>
      <c r="K3399" s="6">
        <v>12849.262285363326</v>
      </c>
    </row>
    <row r="3400" spans="1:11" x14ac:dyDescent="0.2">
      <c r="A3400" s="1">
        <v>0.359722222222222</v>
      </c>
      <c r="B3400" s="2">
        <v>6.38</v>
      </c>
      <c r="C3400" s="2">
        <v>3.63</v>
      </c>
      <c r="D3400" s="2">
        <v>5</v>
      </c>
      <c r="E3400" s="2">
        <v>5.76</v>
      </c>
      <c r="F3400" s="2">
        <v>3.05</v>
      </c>
      <c r="G3400" s="6">
        <v>8192.1522393323849</v>
      </c>
      <c r="H3400" s="6">
        <v>17011.475384966958</v>
      </c>
      <c r="I3400" s="6">
        <v>10462.964974363464</v>
      </c>
      <c r="J3400" s="6">
        <v>12033.569429307217</v>
      </c>
      <c r="K3400" s="6">
        <v>10483.097593491777</v>
      </c>
    </row>
    <row r="3401" spans="1:11" x14ac:dyDescent="0.2">
      <c r="A3401" s="1">
        <v>0.360416666666667</v>
      </c>
      <c r="B3401" s="2">
        <v>6.2</v>
      </c>
      <c r="C3401" s="2">
        <v>3.75</v>
      </c>
      <c r="D3401" s="2">
        <v>4.8999999999999995</v>
      </c>
      <c r="E3401" s="2">
        <v>5.1599999999999993</v>
      </c>
      <c r="F3401" s="2">
        <v>3.03</v>
      </c>
      <c r="G3401" s="6">
        <v>10892.544543189468</v>
      </c>
      <c r="H3401" s="6">
        <v>13457.195323288308</v>
      </c>
      <c r="I3401" s="6">
        <v>7317.2660668812732</v>
      </c>
      <c r="J3401" s="6">
        <v>11345.113333189744</v>
      </c>
      <c r="K3401" s="6">
        <v>12031.433190322352</v>
      </c>
    </row>
    <row r="3402" spans="1:11" x14ac:dyDescent="0.2">
      <c r="A3402" s="1">
        <v>0.36111111111111099</v>
      </c>
      <c r="B3402" s="2">
        <v>6.3500000000000005</v>
      </c>
      <c r="C3402" s="2">
        <v>3.83</v>
      </c>
      <c r="D3402" s="2">
        <v>4.9399999999999995</v>
      </c>
      <c r="E3402" s="2">
        <v>5.38</v>
      </c>
      <c r="F3402" s="2">
        <v>3.08</v>
      </c>
      <c r="G3402" s="6">
        <v>15122.312861778484</v>
      </c>
      <c r="H3402" s="6">
        <v>15962.026938565426</v>
      </c>
      <c r="I3402" s="6">
        <v>10750.723192391129</v>
      </c>
      <c r="J3402" s="6">
        <v>11179.21015825269</v>
      </c>
      <c r="K3402" s="6">
        <v>15992.754492677685</v>
      </c>
    </row>
    <row r="3403" spans="1:11" x14ac:dyDescent="0.2">
      <c r="A3403" s="1">
        <v>0.36180555555555599</v>
      </c>
      <c r="B3403" s="2">
        <v>6.28</v>
      </c>
      <c r="C3403" s="2">
        <v>3.75</v>
      </c>
      <c r="D3403" s="2">
        <v>5.0199999999999996</v>
      </c>
      <c r="E3403" s="2">
        <v>5.46</v>
      </c>
      <c r="F3403" s="2">
        <v>3.16</v>
      </c>
      <c r="G3403" s="6">
        <v>10596.492723848234</v>
      </c>
      <c r="H3403" s="6">
        <v>12139.782307153871</v>
      </c>
      <c r="I3403" s="6">
        <v>7794.8539767632737</v>
      </c>
      <c r="J3403" s="6">
        <v>11787.072547402984</v>
      </c>
      <c r="K3403" s="6">
        <v>9344.9003206639791</v>
      </c>
    </row>
    <row r="3404" spans="1:11" x14ac:dyDescent="0.2">
      <c r="A3404" s="1">
        <v>0.36249999999999999</v>
      </c>
      <c r="B3404" s="2">
        <v>6.26</v>
      </c>
      <c r="C3404" s="2">
        <v>3.84</v>
      </c>
      <c r="D3404" s="2">
        <v>5.27</v>
      </c>
      <c r="E3404" s="2">
        <v>5.1599999999999993</v>
      </c>
      <c r="F3404" s="2">
        <v>3.17</v>
      </c>
      <c r="G3404" s="6">
        <v>12353.094015668015</v>
      </c>
      <c r="H3404" s="6">
        <v>14407.686158669958</v>
      </c>
      <c r="I3404" s="6">
        <v>10754.951612400062</v>
      </c>
      <c r="J3404" s="6">
        <v>8045.1739659040077</v>
      </c>
      <c r="K3404" s="6">
        <v>9439.4957578618723</v>
      </c>
    </row>
    <row r="3405" spans="1:11" x14ac:dyDescent="0.2">
      <c r="A3405" s="1">
        <v>0.36319444444444399</v>
      </c>
      <c r="B3405" s="2">
        <v>6.18</v>
      </c>
      <c r="C3405" s="2">
        <v>3.7600000000000002</v>
      </c>
      <c r="D3405" s="2">
        <v>5.3699999999999992</v>
      </c>
      <c r="E3405" s="2">
        <v>5.1599999999999993</v>
      </c>
      <c r="F3405" s="2">
        <v>2.94</v>
      </c>
      <c r="G3405" s="6">
        <v>13489.27471351952</v>
      </c>
      <c r="H3405" s="6">
        <v>8563.9537846562598</v>
      </c>
      <c r="I3405" s="6">
        <v>13252.673324501784</v>
      </c>
      <c r="J3405" s="6">
        <v>11726.489884067289</v>
      </c>
      <c r="K3405" s="6">
        <v>14956.292169129461</v>
      </c>
    </row>
    <row r="3406" spans="1:11" x14ac:dyDescent="0.2">
      <c r="A3406" s="1">
        <v>0.36388888888888898</v>
      </c>
      <c r="B3406" s="2">
        <v>6.23</v>
      </c>
      <c r="C3406" s="2">
        <v>3.91</v>
      </c>
      <c r="D3406" s="2">
        <v>4.9099999999999993</v>
      </c>
      <c r="E3406" s="2">
        <v>5.6</v>
      </c>
      <c r="F3406" s="2">
        <v>3.25</v>
      </c>
      <c r="G3406" s="6">
        <v>7629.4904024390853</v>
      </c>
      <c r="H3406" s="6">
        <v>9567.6484651343508</v>
      </c>
      <c r="I3406" s="6">
        <v>9026.1299132729237</v>
      </c>
      <c r="J3406" s="6">
        <v>11363.794863814155</v>
      </c>
      <c r="K3406" s="6">
        <v>10081.534520584124</v>
      </c>
    </row>
    <row r="3407" spans="1:11" x14ac:dyDescent="0.2">
      <c r="A3407" s="1">
        <v>0.36458333333333298</v>
      </c>
      <c r="B3407" s="2">
        <v>6.38</v>
      </c>
      <c r="C3407" s="2">
        <v>3.63</v>
      </c>
      <c r="D3407" s="2">
        <v>5.16</v>
      </c>
      <c r="E3407" s="2">
        <v>5.6099999999999994</v>
      </c>
      <c r="F3407" s="2">
        <v>3.09</v>
      </c>
      <c r="G3407" s="6">
        <v>8364.2657445091245</v>
      </c>
      <c r="H3407" s="6">
        <v>13919.150623301959</v>
      </c>
      <c r="I3407" s="6">
        <v>8991.6226288398757</v>
      </c>
      <c r="J3407" s="6">
        <v>8500.9347957366135</v>
      </c>
      <c r="K3407" s="6">
        <v>13241.778196744657</v>
      </c>
    </row>
    <row r="3408" spans="1:11" x14ac:dyDescent="0.2">
      <c r="A3408" s="1">
        <v>0.36527777777777798</v>
      </c>
      <c r="B3408" s="2">
        <v>6.23</v>
      </c>
      <c r="C3408" s="2">
        <v>3.91</v>
      </c>
      <c r="D3408" s="2">
        <v>5.34</v>
      </c>
      <c r="E3408" s="2">
        <v>5.76</v>
      </c>
      <c r="F3408" s="2">
        <v>3.27</v>
      </c>
      <c r="G3408" s="6">
        <v>7778.8000480120718</v>
      </c>
      <c r="H3408" s="6">
        <v>11616.439323471739</v>
      </c>
      <c r="I3408" s="6">
        <v>13132.72053713535</v>
      </c>
      <c r="J3408" s="6">
        <v>9718.6470860145309</v>
      </c>
      <c r="K3408" s="6">
        <v>11824.491925934719</v>
      </c>
    </row>
    <row r="3409" spans="1:11" x14ac:dyDescent="0.2">
      <c r="A3409" s="1">
        <v>0.36597222222222198</v>
      </c>
      <c r="B3409" s="2">
        <v>6.2700000000000005</v>
      </c>
      <c r="C3409" s="2">
        <v>3.8200000000000003</v>
      </c>
      <c r="D3409" s="2">
        <v>5.26</v>
      </c>
      <c r="E3409" s="2">
        <v>5.6899999999999995</v>
      </c>
      <c r="F3409" s="2">
        <v>3.1</v>
      </c>
      <c r="G3409" s="6">
        <v>11069.385435446327</v>
      </c>
      <c r="H3409" s="6">
        <v>11481.593859833079</v>
      </c>
      <c r="I3409" s="6">
        <v>7092.1714103084187</v>
      </c>
      <c r="J3409" s="6">
        <v>10573.859784577422</v>
      </c>
      <c r="K3409" s="6">
        <v>11657.252936740409</v>
      </c>
    </row>
    <row r="3410" spans="1:11" x14ac:dyDescent="0.2">
      <c r="A3410" s="1">
        <v>0.36666666666666697</v>
      </c>
      <c r="B3410" s="2">
        <v>6.29</v>
      </c>
      <c r="C3410" s="2">
        <v>3.89</v>
      </c>
      <c r="D3410" s="2">
        <v>5.0299999999999994</v>
      </c>
      <c r="E3410" s="2">
        <v>5.2799999999999994</v>
      </c>
      <c r="F3410" s="2">
        <v>3.1399999999999997</v>
      </c>
      <c r="G3410" s="6">
        <v>13472.570612229021</v>
      </c>
      <c r="H3410" s="6">
        <v>9151.388280276924</v>
      </c>
      <c r="I3410" s="6">
        <v>9118.3949670613656</v>
      </c>
      <c r="J3410" s="6">
        <v>8666.4128940616938</v>
      </c>
      <c r="K3410" s="6">
        <v>9874.6363966564859</v>
      </c>
    </row>
    <row r="3411" spans="1:11" x14ac:dyDescent="0.2">
      <c r="A3411" s="1">
        <v>0.36736111111111103</v>
      </c>
      <c r="B3411" s="2">
        <v>6.37</v>
      </c>
      <c r="C3411" s="2">
        <v>3.6</v>
      </c>
      <c r="D3411" s="2">
        <v>5.0999999999999996</v>
      </c>
      <c r="E3411" s="2">
        <v>5.67</v>
      </c>
      <c r="F3411" s="2">
        <v>3.01</v>
      </c>
      <c r="G3411" s="6">
        <v>14881.575500305849</v>
      </c>
      <c r="H3411" s="6">
        <v>13424.786465595082</v>
      </c>
      <c r="I3411" s="6">
        <v>7024.410125039818</v>
      </c>
      <c r="J3411" s="6">
        <v>9953.4409422573826</v>
      </c>
      <c r="K3411" s="6">
        <v>9133.0964951391215</v>
      </c>
    </row>
    <row r="3412" spans="1:11" x14ac:dyDescent="0.2">
      <c r="A3412" s="1">
        <v>0.36805555555555602</v>
      </c>
      <c r="B3412" s="2">
        <v>6.38</v>
      </c>
      <c r="C3412" s="2">
        <v>3.72</v>
      </c>
      <c r="D3412" s="2">
        <v>5.2799999999999994</v>
      </c>
      <c r="E3412" s="2">
        <v>5.0999999999999996</v>
      </c>
      <c r="F3412" s="2">
        <v>3.26</v>
      </c>
      <c r="G3412" s="6">
        <v>14916.086141740121</v>
      </c>
      <c r="H3412" s="6">
        <v>10469.608006567285</v>
      </c>
      <c r="I3412" s="6">
        <v>9777.4374677703163</v>
      </c>
      <c r="J3412" s="6">
        <v>9025.526351799077</v>
      </c>
      <c r="K3412" s="6">
        <v>10659.227141860601</v>
      </c>
    </row>
    <row r="3413" spans="1:11" x14ac:dyDescent="0.2">
      <c r="A3413" s="1">
        <v>0.36875000000000002</v>
      </c>
      <c r="B3413" s="2">
        <v>6.3500000000000005</v>
      </c>
      <c r="C3413" s="2">
        <v>3.73</v>
      </c>
      <c r="D3413" s="2">
        <v>5.3199999999999994</v>
      </c>
      <c r="E3413" s="2">
        <v>5.2799999999999994</v>
      </c>
      <c r="F3413" s="2">
        <v>2.8899999999999997</v>
      </c>
      <c r="G3413" s="6">
        <v>7875.0229624058638</v>
      </c>
      <c r="H3413" s="6">
        <v>15109.050237451011</v>
      </c>
      <c r="I3413" s="6">
        <v>13654.549558770957</v>
      </c>
      <c r="J3413" s="6">
        <v>11705.595143593297</v>
      </c>
      <c r="K3413" s="6">
        <v>12973.494951747429</v>
      </c>
    </row>
    <row r="3414" spans="1:11" x14ac:dyDescent="0.2">
      <c r="A3414" s="1">
        <v>0.36944444444444402</v>
      </c>
      <c r="B3414" s="2">
        <v>6.15</v>
      </c>
      <c r="C3414" s="2">
        <v>3.68</v>
      </c>
      <c r="D3414" s="2">
        <v>5.33</v>
      </c>
      <c r="E3414" s="2">
        <v>5.1199999999999992</v>
      </c>
      <c r="F3414" s="2">
        <v>3</v>
      </c>
      <c r="G3414" s="6">
        <v>13993.324953362007</v>
      </c>
      <c r="H3414" s="6">
        <v>10634.113716689521</v>
      </c>
      <c r="I3414" s="6">
        <v>10781.869116739976</v>
      </c>
      <c r="J3414" s="6">
        <v>9324.9027827761183</v>
      </c>
      <c r="K3414" s="6">
        <v>14672.528284226872</v>
      </c>
    </row>
    <row r="3415" spans="1:11" x14ac:dyDescent="0.2">
      <c r="A3415" s="1">
        <v>0.37013888888888902</v>
      </c>
      <c r="B3415" s="2">
        <v>6.3100000000000005</v>
      </c>
      <c r="C3415" s="2">
        <v>3.7800000000000002</v>
      </c>
      <c r="D3415" s="2">
        <v>4.9099999999999993</v>
      </c>
      <c r="E3415" s="2">
        <v>5.76</v>
      </c>
      <c r="F3415" s="2">
        <v>3.13</v>
      </c>
      <c r="G3415" s="6">
        <v>7485.2437870031135</v>
      </c>
      <c r="H3415" s="6">
        <v>15676.918260370161</v>
      </c>
      <c r="I3415" s="6">
        <v>7207.9636476110554</v>
      </c>
      <c r="J3415" s="6">
        <v>9691.8961159605515</v>
      </c>
      <c r="K3415" s="6">
        <v>14169.373049362543</v>
      </c>
    </row>
    <row r="3416" spans="1:11" x14ac:dyDescent="0.2">
      <c r="A3416" s="1">
        <v>0.37083333333333302</v>
      </c>
      <c r="B3416" s="2">
        <v>6.18</v>
      </c>
      <c r="C3416" s="2">
        <v>3.64</v>
      </c>
      <c r="D3416" s="2">
        <v>5.3599999999999994</v>
      </c>
      <c r="E3416" s="2">
        <v>5.52</v>
      </c>
      <c r="F3416" s="2">
        <v>3.3899999999999997</v>
      </c>
      <c r="G3416" s="6">
        <v>12614.23197385524</v>
      </c>
      <c r="H3416" s="6">
        <v>17119.794279845344</v>
      </c>
      <c r="I3416" s="6">
        <v>12416.222381930156</v>
      </c>
      <c r="J3416" s="6">
        <v>10136.396954303169</v>
      </c>
      <c r="K3416" s="6">
        <v>12411.248436829461</v>
      </c>
    </row>
    <row r="3417" spans="1:11" x14ac:dyDescent="0.2">
      <c r="A3417" s="1">
        <v>0.37152777777777801</v>
      </c>
      <c r="B3417" s="2">
        <v>6.2700000000000005</v>
      </c>
      <c r="C3417" s="2">
        <v>3.64</v>
      </c>
      <c r="D3417" s="2">
        <v>5.14</v>
      </c>
      <c r="E3417" s="2">
        <v>5.5</v>
      </c>
      <c r="F3417" s="2">
        <v>3.33</v>
      </c>
      <c r="G3417" s="6">
        <v>11562.986764405863</v>
      </c>
      <c r="H3417" s="6">
        <v>9175.6208139965693</v>
      </c>
      <c r="I3417" s="6">
        <v>6138.6371273403247</v>
      </c>
      <c r="J3417" s="6">
        <v>8152.1340305221038</v>
      </c>
      <c r="K3417" s="6">
        <v>10392.536701915917</v>
      </c>
    </row>
    <row r="3418" spans="1:11" x14ac:dyDescent="0.2">
      <c r="A3418" s="1">
        <v>0.37222222222222201</v>
      </c>
      <c r="B3418" s="2">
        <v>6.33</v>
      </c>
      <c r="C3418" s="2">
        <v>3.7800000000000002</v>
      </c>
      <c r="D3418" s="2">
        <v>5.3</v>
      </c>
      <c r="E3418" s="2">
        <v>5.52</v>
      </c>
      <c r="F3418" s="2">
        <v>3.09</v>
      </c>
      <c r="G3418" s="6">
        <v>15260.119308413921</v>
      </c>
      <c r="H3418" s="6">
        <v>9443.1001712045545</v>
      </c>
      <c r="I3418" s="6">
        <v>12567.072205252674</v>
      </c>
      <c r="J3418" s="6">
        <v>12687.330439130033</v>
      </c>
      <c r="K3418" s="6">
        <v>15558.131352039445</v>
      </c>
    </row>
    <row r="3419" spans="1:11" x14ac:dyDescent="0.2">
      <c r="A3419" s="1">
        <v>0.37291666666666701</v>
      </c>
      <c r="B3419" s="2">
        <v>6.3</v>
      </c>
      <c r="C3419" s="2">
        <v>3.83</v>
      </c>
      <c r="D3419" s="2">
        <v>5.2799999999999994</v>
      </c>
      <c r="E3419" s="2">
        <v>5.55</v>
      </c>
      <c r="F3419" s="2">
        <v>3.12</v>
      </c>
      <c r="G3419" s="6">
        <v>15290.429300209586</v>
      </c>
      <c r="H3419" s="6">
        <v>9490.3628990393354</v>
      </c>
      <c r="I3419" s="6">
        <v>12564.384077271287</v>
      </c>
      <c r="J3419" s="6">
        <v>12675.568762868674</v>
      </c>
      <c r="K3419" s="6">
        <v>15521.938175826142</v>
      </c>
    </row>
    <row r="3420" spans="1:11" x14ac:dyDescent="0.2">
      <c r="A3420" s="1">
        <v>0.37361111111111101</v>
      </c>
      <c r="B3420" s="2">
        <v>6.37</v>
      </c>
      <c r="C3420" s="2">
        <v>3.84</v>
      </c>
      <c r="D3420" s="2">
        <v>5.0999999999999996</v>
      </c>
      <c r="E3420" s="2">
        <v>5.35</v>
      </c>
      <c r="F3420" s="2">
        <v>3.32</v>
      </c>
      <c r="G3420" s="6">
        <v>15234.880404370528</v>
      </c>
      <c r="H3420" s="6">
        <v>9464.658468605503</v>
      </c>
      <c r="I3420" s="6">
        <v>12587.575469060501</v>
      </c>
      <c r="J3420" s="6">
        <v>12712.525744154376</v>
      </c>
      <c r="K3420" s="6">
        <v>15551.551444004364</v>
      </c>
    </row>
    <row r="3421" spans="1:11" x14ac:dyDescent="0.2">
      <c r="A3421" s="1">
        <v>0.374305555555556</v>
      </c>
      <c r="B3421" s="2">
        <v>6.13</v>
      </c>
      <c r="C3421" s="2">
        <v>3.71</v>
      </c>
      <c r="D3421" s="2">
        <v>5.0599999999999996</v>
      </c>
      <c r="E3421" s="2">
        <v>5.2299999999999995</v>
      </c>
      <c r="F3421" s="2">
        <v>2.92</v>
      </c>
      <c r="G3421" s="6">
        <v>15218.209866937081</v>
      </c>
      <c r="H3421" s="6">
        <v>9430.6152719107413</v>
      </c>
      <c r="I3421" s="6">
        <v>13546.7515895784</v>
      </c>
      <c r="J3421" s="6">
        <v>13705.030085473642</v>
      </c>
      <c r="K3421" s="6">
        <v>15585.034525548705</v>
      </c>
    </row>
    <row r="3422" spans="1:11" x14ac:dyDescent="0.2">
      <c r="A3422" s="3">
        <v>0.375</v>
      </c>
      <c r="B3422" s="2">
        <v>6.24</v>
      </c>
      <c r="C3422" s="2">
        <v>3.8</v>
      </c>
      <c r="D3422" s="2">
        <v>5.12</v>
      </c>
      <c r="E3422" s="2">
        <v>5.38</v>
      </c>
      <c r="F3422" s="2">
        <v>3.22</v>
      </c>
      <c r="G3422" s="6">
        <v>14131</v>
      </c>
      <c r="H3422" s="6">
        <v>16341</v>
      </c>
      <c r="I3422" s="6">
        <v>14412</v>
      </c>
      <c r="J3422" s="6">
        <v>15312</v>
      </c>
      <c r="K3422" s="6">
        <v>16631</v>
      </c>
    </row>
    <row r="3423" spans="1:11" x14ac:dyDescent="0.2">
      <c r="A3423" s="1">
        <v>0.375694444444444</v>
      </c>
      <c r="B3423" s="2">
        <v>6.23</v>
      </c>
      <c r="C3423" s="2">
        <v>3.7</v>
      </c>
      <c r="D3423" s="2">
        <v>5.3</v>
      </c>
      <c r="E3423" s="2">
        <v>5.74</v>
      </c>
      <c r="F3423" s="2">
        <v>3.25</v>
      </c>
      <c r="G3423" s="6">
        <v>8478.6301743527238</v>
      </c>
      <c r="H3423" s="6">
        <v>9464.9824011725541</v>
      </c>
      <c r="I3423" s="6">
        <v>10445.879868833399</v>
      </c>
      <c r="J3423" s="6">
        <v>10474.786986302548</v>
      </c>
      <c r="K3423" s="6">
        <v>13534.799940608402</v>
      </c>
    </row>
    <row r="3424" spans="1:11" x14ac:dyDescent="0.2">
      <c r="A3424" s="1">
        <v>0.37638888888888899</v>
      </c>
      <c r="B3424" s="2">
        <v>6.21</v>
      </c>
      <c r="C3424" s="2">
        <v>3.71</v>
      </c>
      <c r="D3424" s="2">
        <v>5.38</v>
      </c>
      <c r="E3424" s="2">
        <v>5.36</v>
      </c>
      <c r="F3424" s="2">
        <v>3.2199999999999998</v>
      </c>
      <c r="G3424" s="6">
        <v>10007.569779117805</v>
      </c>
      <c r="H3424" s="6">
        <v>16853.766101804056</v>
      </c>
      <c r="I3424" s="6">
        <v>6230.5642724764139</v>
      </c>
      <c r="J3424" s="6">
        <v>8560.5076871304736</v>
      </c>
      <c r="K3424" s="6">
        <v>10832.096886341824</v>
      </c>
    </row>
    <row r="3425" spans="1:11" x14ac:dyDescent="0.2">
      <c r="A3425" s="1">
        <v>0.37708333333333299</v>
      </c>
      <c r="B3425" s="2">
        <v>6.24</v>
      </c>
      <c r="C3425" s="2">
        <v>3.7</v>
      </c>
      <c r="D3425" s="2">
        <v>4.9499999999999993</v>
      </c>
      <c r="E3425" s="2">
        <v>5.61</v>
      </c>
      <c r="F3425" s="2">
        <v>3.08</v>
      </c>
      <c r="G3425" s="6">
        <v>9119.2057521745573</v>
      </c>
      <c r="H3425" s="6">
        <v>16328.638883866559</v>
      </c>
      <c r="I3425" s="6">
        <v>13900.235075068143</v>
      </c>
      <c r="J3425" s="6">
        <v>9551.9696292469525</v>
      </c>
      <c r="K3425" s="6">
        <v>12800.628183722605</v>
      </c>
    </row>
    <row r="3426" spans="1:11" x14ac:dyDescent="0.2">
      <c r="A3426" s="1">
        <v>0.37777777777777799</v>
      </c>
      <c r="B3426" s="2">
        <v>6.3</v>
      </c>
      <c r="C3426" s="2">
        <v>3.69</v>
      </c>
      <c r="D3426" s="2">
        <v>5.26</v>
      </c>
      <c r="E3426" s="2">
        <v>5.7600000000000007</v>
      </c>
      <c r="F3426" s="2">
        <v>3</v>
      </c>
      <c r="G3426" s="6">
        <v>10795.924868602289</v>
      </c>
      <c r="H3426" s="6">
        <v>12366.622487457882</v>
      </c>
      <c r="I3426" s="6">
        <v>7396.4640318055481</v>
      </c>
      <c r="J3426" s="6">
        <v>10645.853898562238</v>
      </c>
      <c r="K3426" s="6">
        <v>11440.827178354852</v>
      </c>
    </row>
    <row r="3427" spans="1:11" x14ac:dyDescent="0.2">
      <c r="A3427" s="1">
        <v>0.37847222222222199</v>
      </c>
      <c r="B3427" s="2">
        <v>6.26</v>
      </c>
      <c r="C3427" s="2">
        <v>3.67</v>
      </c>
      <c r="D3427" s="2">
        <v>5.3199999999999994</v>
      </c>
      <c r="E3427" s="2">
        <v>5.1800000000000006</v>
      </c>
      <c r="F3427" s="2">
        <v>3.23</v>
      </c>
      <c r="G3427" s="6">
        <v>7349.3889868220076</v>
      </c>
      <c r="H3427" s="6">
        <v>8137.0176510127039</v>
      </c>
      <c r="I3427" s="6">
        <v>8996.6008041220339</v>
      </c>
      <c r="J3427" s="6">
        <v>12511.653273022735</v>
      </c>
      <c r="K3427" s="6">
        <v>14182.518248578059</v>
      </c>
    </row>
    <row r="3428" spans="1:11" x14ac:dyDescent="0.2">
      <c r="A3428" s="1">
        <v>0.37916666666666698</v>
      </c>
      <c r="B3428" s="2">
        <v>6.15</v>
      </c>
      <c r="C3428" s="2">
        <v>3.7600000000000002</v>
      </c>
      <c r="D3428" s="2">
        <v>4.8899999999999997</v>
      </c>
      <c r="E3428" s="2">
        <v>5.19</v>
      </c>
      <c r="F3428" s="2">
        <v>3.41</v>
      </c>
      <c r="G3428" s="6">
        <v>7038.8416184599409</v>
      </c>
      <c r="H3428" s="6">
        <v>17334.236645921403</v>
      </c>
      <c r="I3428" s="6">
        <v>10922.272057321967</v>
      </c>
      <c r="J3428" s="6">
        <v>8959.9327848197299</v>
      </c>
      <c r="K3428" s="6">
        <v>11574.953192626508</v>
      </c>
    </row>
    <row r="3429" spans="1:11" x14ac:dyDescent="0.2">
      <c r="A3429" s="1">
        <v>0.37986111111111098</v>
      </c>
      <c r="B3429" s="2">
        <v>6.36</v>
      </c>
      <c r="C3429" s="2">
        <v>3.72</v>
      </c>
      <c r="D3429" s="2">
        <v>5.26</v>
      </c>
      <c r="E3429" s="2">
        <v>5.6800000000000006</v>
      </c>
      <c r="F3429" s="2">
        <v>3.37</v>
      </c>
      <c r="G3429" s="6">
        <v>8020.3028358757538</v>
      </c>
      <c r="H3429" s="6">
        <v>14785.848431174531</v>
      </c>
      <c r="I3429" s="6">
        <v>7867.9036098338329</v>
      </c>
      <c r="J3429" s="6">
        <v>9193.8808117805984</v>
      </c>
      <c r="K3429" s="6">
        <v>15719.37176571025</v>
      </c>
    </row>
    <row r="3430" spans="1:11" x14ac:dyDescent="0.2">
      <c r="A3430" s="1">
        <v>0.38055555555555598</v>
      </c>
      <c r="B3430" s="2">
        <v>6.18</v>
      </c>
      <c r="C3430" s="2">
        <v>3.87</v>
      </c>
      <c r="D3430" s="2">
        <v>5.34</v>
      </c>
      <c r="E3430" s="2">
        <v>5.66</v>
      </c>
      <c r="F3430" s="2">
        <v>3.06</v>
      </c>
      <c r="G3430" s="6">
        <v>10668.81175899459</v>
      </c>
      <c r="H3430" s="6">
        <v>16060.741467799959</v>
      </c>
      <c r="I3430" s="6">
        <v>10211.871684603559</v>
      </c>
      <c r="J3430" s="6">
        <v>10041.251413235226</v>
      </c>
      <c r="K3430" s="6">
        <v>10096.998035090261</v>
      </c>
    </row>
    <row r="3431" spans="1:11" x14ac:dyDescent="0.2">
      <c r="A3431" s="1">
        <v>0.38124999999999998</v>
      </c>
      <c r="B3431" s="2">
        <v>6.29</v>
      </c>
      <c r="C3431" s="2">
        <v>3.79</v>
      </c>
      <c r="D3431" s="2">
        <v>5.2299999999999995</v>
      </c>
      <c r="E3431" s="2">
        <v>5.24</v>
      </c>
      <c r="F3431" s="2">
        <v>3.1399999999999997</v>
      </c>
      <c r="G3431" s="6">
        <v>13857.266029232567</v>
      </c>
      <c r="H3431" s="6">
        <v>15938.96864991441</v>
      </c>
      <c r="I3431" s="6">
        <v>10963.912360177976</v>
      </c>
      <c r="J3431" s="6">
        <v>11921.911473594293</v>
      </c>
      <c r="K3431" s="6">
        <v>11955.961741794819</v>
      </c>
    </row>
    <row r="3432" spans="1:11" x14ac:dyDescent="0.2">
      <c r="A3432" s="1">
        <v>0.38194444444444398</v>
      </c>
      <c r="B3432" s="2">
        <v>6.36</v>
      </c>
      <c r="C3432" s="2">
        <v>3.74</v>
      </c>
      <c r="D3432" s="2">
        <v>5.3699999999999992</v>
      </c>
      <c r="E3432" s="2">
        <v>5.24</v>
      </c>
      <c r="F3432" s="2">
        <v>2.98</v>
      </c>
      <c r="G3432" s="6">
        <v>14543.410794788124</v>
      </c>
      <c r="H3432" s="6">
        <v>12600.596476625264</v>
      </c>
      <c r="I3432" s="6">
        <v>9584.9989857255277</v>
      </c>
      <c r="J3432" s="6">
        <v>10296.331117012853</v>
      </c>
      <c r="K3432" s="6">
        <v>15422.48695129618</v>
      </c>
    </row>
    <row r="3433" spans="1:11" x14ac:dyDescent="0.2">
      <c r="A3433" s="1">
        <v>0.38263888888888897</v>
      </c>
      <c r="B3433" s="2">
        <v>6.29</v>
      </c>
      <c r="C3433" s="2">
        <v>3.8200000000000003</v>
      </c>
      <c r="D3433" s="2">
        <v>4.8999999999999995</v>
      </c>
      <c r="E3433" s="2">
        <v>5.7700000000000005</v>
      </c>
      <c r="F3433" s="2">
        <v>3.06</v>
      </c>
      <c r="G3433" s="6">
        <v>14204.810641662583</v>
      </c>
      <c r="H3433" s="6">
        <v>13961.338041906611</v>
      </c>
      <c r="I3433" s="6">
        <v>13287.976172780182</v>
      </c>
      <c r="J3433" s="6">
        <v>8870.4380243038449</v>
      </c>
      <c r="K3433" s="6">
        <v>10528.828477569175</v>
      </c>
    </row>
    <row r="3434" spans="1:11" x14ac:dyDescent="0.2">
      <c r="A3434" s="1">
        <v>0.38333333333333303</v>
      </c>
      <c r="B3434" s="2">
        <v>6.36</v>
      </c>
      <c r="C3434" s="2">
        <v>3.91</v>
      </c>
      <c r="D3434" s="2">
        <v>4.8899999999999997</v>
      </c>
      <c r="E3434" s="2">
        <v>5.5500000000000007</v>
      </c>
      <c r="F3434" s="2">
        <v>3.42</v>
      </c>
      <c r="G3434" s="6">
        <v>7437.7151129896438</v>
      </c>
      <c r="H3434" s="6">
        <v>10438.802906577974</v>
      </c>
      <c r="I3434" s="6">
        <v>12663.266863946676</v>
      </c>
      <c r="J3434" s="6">
        <v>10873.069431123595</v>
      </c>
      <c r="K3434" s="6">
        <v>16220.910722400979</v>
      </c>
    </row>
    <row r="3435" spans="1:11" x14ac:dyDescent="0.2">
      <c r="A3435" s="1">
        <v>0.38402777777777802</v>
      </c>
      <c r="B3435" s="2">
        <v>6.17</v>
      </c>
      <c r="C3435" s="2">
        <v>3.74</v>
      </c>
      <c r="D3435" s="2">
        <v>5.1899999999999995</v>
      </c>
      <c r="E3435" s="2">
        <v>5.24</v>
      </c>
      <c r="F3435" s="2">
        <v>3.38</v>
      </c>
      <c r="G3435" s="6">
        <v>13155.008296912249</v>
      </c>
      <c r="H3435" s="6">
        <v>7372.4244480103816</v>
      </c>
      <c r="I3435" s="6">
        <v>12188.778142095038</v>
      </c>
      <c r="J3435" s="6">
        <v>10447.94856273915</v>
      </c>
      <c r="K3435" s="6">
        <v>13893.979598247313</v>
      </c>
    </row>
    <row r="3436" spans="1:11" x14ac:dyDescent="0.2">
      <c r="A3436" s="1">
        <v>0.38472222222222202</v>
      </c>
      <c r="B3436" s="2">
        <v>6.3100000000000005</v>
      </c>
      <c r="C3436" s="2">
        <v>3.8200000000000003</v>
      </c>
      <c r="D3436" s="2">
        <v>5.1899999999999995</v>
      </c>
      <c r="E3436" s="2">
        <v>5.6400000000000006</v>
      </c>
      <c r="F3436" s="2">
        <v>3.34</v>
      </c>
      <c r="G3436" s="6">
        <v>7124.6875859177671</v>
      </c>
      <c r="H3436" s="6">
        <v>13052.463855180156</v>
      </c>
      <c r="I3436" s="6">
        <v>10865.501156677023</v>
      </c>
      <c r="J3436" s="6">
        <v>9406.5746421045405</v>
      </c>
      <c r="K3436" s="6">
        <v>14073.386817530518</v>
      </c>
    </row>
    <row r="3437" spans="1:11" x14ac:dyDescent="0.2">
      <c r="A3437" s="1">
        <v>0.38541666666666702</v>
      </c>
      <c r="B3437" s="2">
        <v>6.13</v>
      </c>
      <c r="C3437" s="2">
        <v>3.87</v>
      </c>
      <c r="D3437" s="2">
        <v>4.93</v>
      </c>
      <c r="E3437" s="2">
        <v>5.5100000000000007</v>
      </c>
      <c r="F3437" s="2">
        <v>3.1999999999999997</v>
      </c>
      <c r="G3437" s="6">
        <v>11612.85317887527</v>
      </c>
      <c r="H3437" s="6">
        <v>8717.2155766644519</v>
      </c>
      <c r="I3437" s="6">
        <v>12409.830922200621</v>
      </c>
      <c r="J3437" s="6">
        <v>10459.933445853138</v>
      </c>
      <c r="K3437" s="6">
        <v>13902.614464383307</v>
      </c>
    </row>
    <row r="3438" spans="1:11" x14ac:dyDescent="0.2">
      <c r="A3438" s="1">
        <v>0.38611111111111102</v>
      </c>
      <c r="B3438" s="2">
        <v>6.3</v>
      </c>
      <c r="C3438" s="2">
        <v>3.87</v>
      </c>
      <c r="D3438" s="2">
        <v>4.96</v>
      </c>
      <c r="E3438" s="2">
        <v>5.71</v>
      </c>
      <c r="F3438" s="2">
        <v>3.29</v>
      </c>
      <c r="G3438" s="6">
        <v>13288.365604587105</v>
      </c>
      <c r="H3438" s="6">
        <v>9791.5314554342622</v>
      </c>
      <c r="I3438" s="6">
        <v>7162.5667639867133</v>
      </c>
      <c r="J3438" s="6">
        <v>10947.06244521647</v>
      </c>
      <c r="K3438" s="6">
        <v>9952.9839915722368</v>
      </c>
    </row>
    <row r="3439" spans="1:11" x14ac:dyDescent="0.2">
      <c r="A3439" s="1">
        <v>0.38680555555555601</v>
      </c>
      <c r="B3439" s="2">
        <v>6.15</v>
      </c>
      <c r="C3439" s="2">
        <v>3.88</v>
      </c>
      <c r="D3439" s="2">
        <v>5.1499999999999995</v>
      </c>
      <c r="E3439" s="2">
        <v>5.45</v>
      </c>
      <c r="F3439" s="2">
        <v>3.07</v>
      </c>
      <c r="G3439" s="6">
        <v>12827.483184633104</v>
      </c>
      <c r="H3439" s="6">
        <v>7966.9512481267275</v>
      </c>
      <c r="I3439" s="6">
        <v>14116.64047679103</v>
      </c>
      <c r="J3439" s="6">
        <v>9984.2291721794536</v>
      </c>
      <c r="K3439" s="6">
        <v>12513.139814443928</v>
      </c>
    </row>
    <row r="3440" spans="1:11" x14ac:dyDescent="0.2">
      <c r="A3440" s="1">
        <v>0.38750000000000001</v>
      </c>
      <c r="B3440" s="2">
        <v>6.24</v>
      </c>
      <c r="C3440" s="2">
        <v>3.74</v>
      </c>
      <c r="D3440" s="2">
        <v>4.92</v>
      </c>
      <c r="E3440" s="2">
        <v>5.2</v>
      </c>
      <c r="F3440" s="2">
        <v>3.2199999999999998</v>
      </c>
      <c r="G3440" s="6">
        <v>10362.763049440064</v>
      </c>
      <c r="H3440" s="6">
        <v>16537.589821181275</v>
      </c>
      <c r="I3440" s="6">
        <v>7867.5890149945553</v>
      </c>
      <c r="J3440" s="6">
        <v>8743.7867108775463</v>
      </c>
      <c r="K3440" s="6">
        <v>12388.540169149905</v>
      </c>
    </row>
    <row r="3441" spans="1:11" x14ac:dyDescent="0.2">
      <c r="A3441" s="1">
        <v>0.38819444444444401</v>
      </c>
      <c r="B3441" s="2">
        <v>6.23</v>
      </c>
      <c r="C3441" s="2">
        <v>3.83</v>
      </c>
      <c r="D3441" s="2">
        <v>4.92</v>
      </c>
      <c r="E3441" s="2">
        <v>5.15</v>
      </c>
      <c r="F3441" s="2">
        <v>2.9899999999999998</v>
      </c>
      <c r="G3441" s="6">
        <v>10609.185704816338</v>
      </c>
      <c r="H3441" s="6">
        <v>14194.023676996994</v>
      </c>
      <c r="I3441" s="6">
        <v>13694.255400757404</v>
      </c>
      <c r="J3441" s="6">
        <v>8554.712062912371</v>
      </c>
      <c r="K3441" s="6">
        <v>16206.197577424742</v>
      </c>
    </row>
    <row r="3442" spans="1:11" x14ac:dyDescent="0.2">
      <c r="A3442" s="1">
        <v>0.38888888888888901</v>
      </c>
      <c r="B3442" s="2">
        <v>6.33</v>
      </c>
      <c r="C3442" s="2">
        <v>3.6</v>
      </c>
      <c r="D3442" s="2">
        <v>4.96</v>
      </c>
      <c r="E3442" s="2">
        <v>5.2700000000000005</v>
      </c>
      <c r="F3442" s="2">
        <v>3.02</v>
      </c>
      <c r="G3442" s="6">
        <v>8430.9077096689907</v>
      </c>
      <c r="H3442" s="6">
        <v>8223.3563852140869</v>
      </c>
      <c r="I3442" s="6">
        <v>9607.9021587777424</v>
      </c>
      <c r="J3442" s="6">
        <v>10121.764912034369</v>
      </c>
      <c r="K3442" s="6">
        <v>12044.978779778854</v>
      </c>
    </row>
    <row r="3443" spans="1:11" x14ac:dyDescent="0.2">
      <c r="A3443" s="1">
        <v>0.389583333333333</v>
      </c>
      <c r="B3443" s="2">
        <v>6.2700000000000005</v>
      </c>
      <c r="C3443" s="2">
        <v>3.66</v>
      </c>
      <c r="D3443" s="2">
        <v>5.39</v>
      </c>
      <c r="E3443" s="2">
        <v>5.4300000000000006</v>
      </c>
      <c r="F3443" s="2">
        <v>3.36</v>
      </c>
      <c r="G3443" s="6">
        <v>6970.5156265854439</v>
      </c>
      <c r="H3443" s="6">
        <v>11590.532231238762</v>
      </c>
      <c r="I3443" s="6">
        <v>10108.82961850207</v>
      </c>
      <c r="J3443" s="6">
        <v>10186.442330523145</v>
      </c>
      <c r="K3443" s="6">
        <v>9072.3611275405292</v>
      </c>
    </row>
    <row r="3444" spans="1:11" x14ac:dyDescent="0.2">
      <c r="A3444" s="1">
        <v>0.390277777777778</v>
      </c>
      <c r="B3444" s="2">
        <v>6.18</v>
      </c>
      <c r="C3444" s="2">
        <v>3.72</v>
      </c>
      <c r="D3444" s="2">
        <v>5.1999999999999993</v>
      </c>
      <c r="E3444" s="2">
        <v>5.37</v>
      </c>
      <c r="F3444" s="2">
        <v>2.92</v>
      </c>
      <c r="G3444" s="6">
        <v>10713.95226582219</v>
      </c>
      <c r="H3444" s="6">
        <v>15584.319649024597</v>
      </c>
      <c r="I3444" s="6">
        <v>8533.8461969844702</v>
      </c>
      <c r="J3444" s="6">
        <v>11515.325675535585</v>
      </c>
      <c r="K3444" s="6">
        <v>14164.217352978732</v>
      </c>
    </row>
    <row r="3445" spans="1:11" x14ac:dyDescent="0.2">
      <c r="A3445" s="1">
        <v>0.390972222222222</v>
      </c>
      <c r="B3445" s="2">
        <v>6.14</v>
      </c>
      <c r="C3445" s="2">
        <v>3.7800000000000002</v>
      </c>
      <c r="D3445" s="2">
        <v>5.34</v>
      </c>
      <c r="E3445" s="2">
        <v>5.7600000000000007</v>
      </c>
      <c r="F3445" s="2">
        <v>2.9299999999999997</v>
      </c>
      <c r="G3445" s="6">
        <v>7030.2259386010737</v>
      </c>
      <c r="H3445" s="6">
        <v>13112.394354450804</v>
      </c>
      <c r="I3445" s="6">
        <v>12274.253475933265</v>
      </c>
      <c r="J3445" s="6">
        <v>11030.797218043492</v>
      </c>
      <c r="K3445" s="6">
        <v>12905.648853362829</v>
      </c>
    </row>
    <row r="3446" spans="1:11" x14ac:dyDescent="0.2">
      <c r="A3446" s="1">
        <v>0.391666666666667</v>
      </c>
      <c r="B3446" s="2">
        <v>6.17</v>
      </c>
      <c r="C3446" s="2">
        <v>3.8600000000000003</v>
      </c>
      <c r="D3446" s="2">
        <v>5.1499999999999995</v>
      </c>
      <c r="E3446" s="2">
        <v>5.6300000000000008</v>
      </c>
      <c r="F3446" s="2">
        <v>2.9899999999999998</v>
      </c>
      <c r="G3446" s="6">
        <v>13037.143529846606</v>
      </c>
      <c r="H3446" s="6">
        <v>15148.392277717272</v>
      </c>
      <c r="I3446" s="6">
        <v>13197.037029196146</v>
      </c>
      <c r="J3446" s="6">
        <v>11263.877737287745</v>
      </c>
      <c r="K3446" s="6">
        <v>10876.472916200502</v>
      </c>
    </row>
    <row r="3447" spans="1:11" x14ac:dyDescent="0.2">
      <c r="A3447" s="1">
        <v>0.39236111111111099</v>
      </c>
      <c r="B3447" s="2">
        <v>6.21</v>
      </c>
      <c r="C3447" s="2">
        <v>3.62</v>
      </c>
      <c r="D3447" s="2">
        <v>5.14</v>
      </c>
      <c r="E3447" s="2">
        <v>5.44</v>
      </c>
      <c r="F3447" s="2">
        <v>3.21</v>
      </c>
      <c r="G3447" s="6">
        <v>7586.0168686653315</v>
      </c>
      <c r="H3447" s="6">
        <v>13821.031925956757</v>
      </c>
      <c r="I3447" s="6">
        <v>12799.533421245049</v>
      </c>
      <c r="J3447" s="6">
        <v>11177.566254327521</v>
      </c>
      <c r="K3447" s="6">
        <v>11421.125369003239</v>
      </c>
    </row>
    <row r="3448" spans="1:11" x14ac:dyDescent="0.2">
      <c r="A3448" s="1">
        <v>0.39305555555555599</v>
      </c>
      <c r="B3448" s="2">
        <v>6.15</v>
      </c>
      <c r="C3448" s="2">
        <v>3.9</v>
      </c>
      <c r="D3448" s="2">
        <v>5.1499999999999995</v>
      </c>
      <c r="E3448" s="2">
        <v>5.65</v>
      </c>
      <c r="F3448" s="2">
        <v>3.23</v>
      </c>
      <c r="G3448" s="6">
        <v>11611.929691079938</v>
      </c>
      <c r="H3448" s="6">
        <v>13598.75876040599</v>
      </c>
      <c r="I3448" s="6">
        <v>14219.893471749869</v>
      </c>
      <c r="J3448" s="6">
        <v>10377.700232892174</v>
      </c>
      <c r="K3448" s="6">
        <v>14099.585211196889</v>
      </c>
    </row>
    <row r="3449" spans="1:11" x14ac:dyDescent="0.2">
      <c r="A3449" s="1">
        <v>0.39374999999999999</v>
      </c>
      <c r="B3449" s="2">
        <v>6.3500000000000005</v>
      </c>
      <c r="C3449" s="2">
        <v>3.71</v>
      </c>
      <c r="D3449" s="2">
        <v>5.01</v>
      </c>
      <c r="E3449" s="2">
        <v>5.5600000000000005</v>
      </c>
      <c r="F3449" s="2">
        <v>3.1</v>
      </c>
      <c r="G3449" s="6">
        <v>12764.60908090683</v>
      </c>
      <c r="H3449" s="6">
        <v>17093.2957512598</v>
      </c>
      <c r="I3449" s="6">
        <v>7853.3888025482165</v>
      </c>
      <c r="J3449" s="6">
        <v>10639.295287656581</v>
      </c>
      <c r="K3449" s="6">
        <v>10276.572661059377</v>
      </c>
    </row>
    <row r="3450" spans="1:11" x14ac:dyDescent="0.2">
      <c r="A3450" s="1">
        <v>0.39444444444444399</v>
      </c>
      <c r="B3450" s="2">
        <v>6.26</v>
      </c>
      <c r="C3450" s="2">
        <v>3.71</v>
      </c>
      <c r="D3450" s="2">
        <v>5.1899999999999995</v>
      </c>
      <c r="E3450" s="2">
        <v>5.21</v>
      </c>
      <c r="F3450" s="2">
        <v>3.05</v>
      </c>
      <c r="G3450" s="6">
        <v>10337.199322360835</v>
      </c>
      <c r="H3450" s="6">
        <v>12853.126701552721</v>
      </c>
      <c r="I3450" s="6">
        <v>10605.603651137379</v>
      </c>
      <c r="J3450" s="6">
        <v>8568.3461774641037</v>
      </c>
      <c r="K3450" s="6">
        <v>13056.491675473786</v>
      </c>
    </row>
    <row r="3451" spans="1:11" x14ac:dyDescent="0.2">
      <c r="A3451" s="1">
        <v>0.39513888888888898</v>
      </c>
      <c r="B3451" s="2">
        <v>6.22</v>
      </c>
      <c r="C3451" s="2">
        <v>3.67</v>
      </c>
      <c r="D3451" s="2">
        <v>4.93</v>
      </c>
      <c r="E3451" s="2">
        <v>5.16</v>
      </c>
      <c r="F3451" s="2">
        <v>3.01</v>
      </c>
      <c r="G3451" s="6">
        <v>14790.193380294264</v>
      </c>
      <c r="H3451" s="6">
        <v>12343.322215491511</v>
      </c>
      <c r="I3451" s="6">
        <v>7723.7119310269618</v>
      </c>
      <c r="J3451" s="6">
        <v>9240.6969886128718</v>
      </c>
      <c r="K3451" s="6">
        <v>14940.781125806225</v>
      </c>
    </row>
    <row r="3452" spans="1:11" x14ac:dyDescent="0.2">
      <c r="A3452" s="1">
        <v>0.39583333333333298</v>
      </c>
      <c r="B3452" s="2">
        <v>6.12</v>
      </c>
      <c r="C3452" s="2">
        <v>3.84</v>
      </c>
      <c r="D3452" s="2">
        <v>5.0999999999999996</v>
      </c>
      <c r="E3452" s="2">
        <v>5.12</v>
      </c>
      <c r="F3452" s="2">
        <v>3.42</v>
      </c>
      <c r="G3452" s="6">
        <v>14100.707326186732</v>
      </c>
      <c r="H3452" s="6">
        <v>12237.888099126671</v>
      </c>
      <c r="I3452" s="6">
        <v>13603.442106097171</v>
      </c>
      <c r="J3452" s="6">
        <v>11963.483588126073</v>
      </c>
      <c r="K3452" s="6">
        <v>16287.251537141714</v>
      </c>
    </row>
    <row r="3453" spans="1:11" x14ac:dyDescent="0.2">
      <c r="A3453" s="1">
        <v>0.39652777777777798</v>
      </c>
      <c r="B3453" s="2">
        <v>6.3</v>
      </c>
      <c r="C3453" s="2">
        <v>3.7600000000000002</v>
      </c>
      <c r="D3453" s="2">
        <v>5.2399999999999993</v>
      </c>
      <c r="E3453" s="2">
        <v>5.23</v>
      </c>
      <c r="F3453" s="2">
        <v>3.34</v>
      </c>
      <c r="G3453" s="6">
        <v>9915.7130331037115</v>
      </c>
      <c r="H3453" s="6">
        <v>10169.240332449663</v>
      </c>
      <c r="I3453" s="6">
        <v>10130.414611715372</v>
      </c>
      <c r="J3453" s="6">
        <v>9698.9569482353163</v>
      </c>
      <c r="K3453" s="6">
        <v>11486.558765546022</v>
      </c>
    </row>
    <row r="3454" spans="1:11" x14ac:dyDescent="0.2">
      <c r="A3454" s="1">
        <v>0.39722222222222198</v>
      </c>
      <c r="B3454" s="2">
        <v>6.17</v>
      </c>
      <c r="C3454" s="2">
        <v>3.72</v>
      </c>
      <c r="D3454" s="2">
        <v>5.3699999999999992</v>
      </c>
      <c r="E3454" s="2">
        <v>5.23</v>
      </c>
      <c r="F3454" s="2">
        <v>3.38</v>
      </c>
      <c r="G3454" s="6">
        <v>9566.3986999809913</v>
      </c>
      <c r="H3454" s="6">
        <v>8338.7211795089534</v>
      </c>
      <c r="I3454" s="6">
        <v>12631.258045542863</v>
      </c>
      <c r="J3454" s="6">
        <v>10015.825839459852</v>
      </c>
      <c r="K3454" s="6">
        <v>14259.433984207404</v>
      </c>
    </row>
    <row r="3455" spans="1:11" x14ac:dyDescent="0.2">
      <c r="A3455" s="1">
        <v>0.39791666666666697</v>
      </c>
      <c r="B3455" s="2">
        <v>6.24</v>
      </c>
      <c r="C3455" s="2">
        <v>3.9</v>
      </c>
      <c r="D3455" s="2">
        <v>4.9799999999999995</v>
      </c>
      <c r="E3455" s="2">
        <v>5.4</v>
      </c>
      <c r="F3455" s="2">
        <v>3.41</v>
      </c>
      <c r="G3455" s="6">
        <v>12244.953629729542</v>
      </c>
      <c r="H3455" s="6">
        <v>14176.53790424334</v>
      </c>
      <c r="I3455" s="6">
        <v>10303.951199143949</v>
      </c>
      <c r="J3455" s="6">
        <v>11992.301289875328</v>
      </c>
      <c r="K3455" s="6">
        <v>15543.321755817346</v>
      </c>
    </row>
    <row r="3456" spans="1:11" x14ac:dyDescent="0.2">
      <c r="A3456" s="1">
        <v>0.39861111111111103</v>
      </c>
      <c r="B3456" s="2">
        <v>6.37</v>
      </c>
      <c r="C3456" s="2">
        <v>3.72</v>
      </c>
      <c r="D3456" s="2">
        <v>5.33</v>
      </c>
      <c r="E3456" s="2">
        <v>5.7</v>
      </c>
      <c r="F3456" s="2">
        <v>3.1</v>
      </c>
      <c r="G3456" s="6">
        <v>11692.820891560812</v>
      </c>
      <c r="H3456" s="6">
        <v>15028.639063748355</v>
      </c>
      <c r="I3456" s="6">
        <v>6601.1677637374551</v>
      </c>
      <c r="J3456" s="6">
        <v>11109.436997280318</v>
      </c>
      <c r="K3456" s="6">
        <v>13990.449282455169</v>
      </c>
    </row>
    <row r="3457" spans="1:11" x14ac:dyDescent="0.2">
      <c r="A3457" s="1">
        <v>0.39930555555555602</v>
      </c>
      <c r="B3457" s="2">
        <v>6.23</v>
      </c>
      <c r="C3457" s="2">
        <v>3.83</v>
      </c>
      <c r="D3457" s="2">
        <v>5</v>
      </c>
      <c r="E3457" s="2">
        <v>5.2600000000000007</v>
      </c>
      <c r="F3457" s="2">
        <v>2.88</v>
      </c>
      <c r="G3457" s="6">
        <v>13538.029311673943</v>
      </c>
      <c r="H3457" s="6">
        <v>13883.871046601264</v>
      </c>
      <c r="I3457" s="6">
        <v>14484.674820704215</v>
      </c>
      <c r="J3457" s="6">
        <v>8949.9852249714932</v>
      </c>
      <c r="K3457" s="6">
        <v>10485.169423003199</v>
      </c>
    </row>
    <row r="3458" spans="1:11" x14ac:dyDescent="0.2">
      <c r="A3458" s="1">
        <v>0.4</v>
      </c>
      <c r="B3458" s="2">
        <v>6.24</v>
      </c>
      <c r="C3458" s="2">
        <v>3.88</v>
      </c>
      <c r="D3458" s="2">
        <v>5.3699999999999992</v>
      </c>
      <c r="E3458" s="2">
        <v>5.49</v>
      </c>
      <c r="F3458" s="2">
        <v>3.13</v>
      </c>
      <c r="G3458" s="6">
        <v>14379.503590751907</v>
      </c>
      <c r="H3458" s="6">
        <v>14402.195395159501</v>
      </c>
      <c r="I3458" s="6">
        <v>9027.1270300836877</v>
      </c>
      <c r="J3458" s="6">
        <v>8485.2514735214809</v>
      </c>
      <c r="K3458" s="6">
        <v>14160.318385234857</v>
      </c>
    </row>
    <row r="3459" spans="1:11" x14ac:dyDescent="0.2">
      <c r="A3459" s="1">
        <v>0.40069444444444402</v>
      </c>
      <c r="B3459" s="2">
        <v>6.21</v>
      </c>
      <c r="C3459" s="2">
        <v>3.69</v>
      </c>
      <c r="D3459" s="2">
        <v>5.2399999999999993</v>
      </c>
      <c r="E3459" s="2">
        <v>5.1400000000000006</v>
      </c>
      <c r="F3459" s="2">
        <v>3.1399999999999997</v>
      </c>
      <c r="G3459" s="6">
        <v>10171.655432193042</v>
      </c>
      <c r="H3459" s="6">
        <v>16967.92408550009</v>
      </c>
      <c r="I3459" s="6">
        <v>7405.2236361462037</v>
      </c>
      <c r="J3459" s="6">
        <v>11958.736891019467</v>
      </c>
      <c r="K3459" s="6">
        <v>15176.012517776555</v>
      </c>
    </row>
    <row r="3460" spans="1:11" x14ac:dyDescent="0.2">
      <c r="A3460" s="1">
        <v>0.40138888888888902</v>
      </c>
      <c r="B3460" s="2">
        <v>6.23</v>
      </c>
      <c r="C3460" s="2">
        <v>3.65</v>
      </c>
      <c r="D3460" s="2">
        <v>4.9099999999999993</v>
      </c>
      <c r="E3460" s="2">
        <v>5.1800000000000006</v>
      </c>
      <c r="F3460" s="2">
        <v>3.2399999999999998</v>
      </c>
      <c r="G3460" s="6">
        <v>11584.368565874756</v>
      </c>
      <c r="H3460" s="6">
        <v>8726.3604866780443</v>
      </c>
      <c r="I3460" s="6">
        <v>11459.239168890741</v>
      </c>
      <c r="J3460" s="6">
        <v>11027.247473656631</v>
      </c>
      <c r="K3460" s="6">
        <v>13220.238705837013</v>
      </c>
    </row>
    <row r="3461" spans="1:11" x14ac:dyDescent="0.2">
      <c r="A3461" s="1">
        <v>0.40208333333333302</v>
      </c>
      <c r="B3461" s="2">
        <v>6.15</v>
      </c>
      <c r="C3461" s="2">
        <v>3.65</v>
      </c>
      <c r="D3461" s="2">
        <v>5.33</v>
      </c>
      <c r="E3461" s="2">
        <v>5.48</v>
      </c>
      <c r="F3461" s="2">
        <v>2.96</v>
      </c>
      <c r="G3461" s="6">
        <v>8413.2200215798912</v>
      </c>
      <c r="H3461" s="6">
        <v>17302.662183152359</v>
      </c>
      <c r="I3461" s="6">
        <v>10819.400326438634</v>
      </c>
      <c r="J3461" s="6">
        <v>12394.140295847608</v>
      </c>
      <c r="K3461" s="6">
        <v>10702.511325542255</v>
      </c>
    </row>
    <row r="3462" spans="1:11" x14ac:dyDescent="0.2">
      <c r="A3462" s="1">
        <v>0.40277777777777801</v>
      </c>
      <c r="B3462" s="2">
        <v>6.22</v>
      </c>
      <c r="C3462" s="2">
        <v>3.72</v>
      </c>
      <c r="D3462" s="2">
        <v>5.26</v>
      </c>
      <c r="E3462" s="2">
        <v>5.6800000000000006</v>
      </c>
      <c r="F3462" s="2">
        <v>3.1399999999999997</v>
      </c>
      <c r="G3462" s="6">
        <v>11033.655842631504</v>
      </c>
      <c r="H3462" s="6">
        <v>13700.537001960411</v>
      </c>
      <c r="I3462" s="6">
        <v>7491.5386272389469</v>
      </c>
      <c r="J3462" s="6">
        <v>11430.387486143727</v>
      </c>
      <c r="K3462" s="6">
        <v>12191.307095207005</v>
      </c>
    </row>
    <row r="3463" spans="1:11" x14ac:dyDescent="0.2">
      <c r="A3463" s="1">
        <v>0.40347222222222201</v>
      </c>
      <c r="B3463" s="2">
        <v>6.3500000000000005</v>
      </c>
      <c r="C3463" s="2">
        <v>3.69</v>
      </c>
      <c r="D3463" s="2">
        <v>5.0299999999999994</v>
      </c>
      <c r="E3463" s="2">
        <v>5.61</v>
      </c>
      <c r="F3463" s="2">
        <v>3.03</v>
      </c>
      <c r="G3463" s="6">
        <v>15171.733599105728</v>
      </c>
      <c r="H3463" s="6">
        <v>16089.37802617578</v>
      </c>
      <c r="I3463" s="6">
        <v>11171.700531915489</v>
      </c>
      <c r="J3463" s="6">
        <v>11364.422604478521</v>
      </c>
      <c r="K3463" s="6">
        <v>16195.438637413843</v>
      </c>
    </row>
    <row r="3464" spans="1:11" x14ac:dyDescent="0.2">
      <c r="A3464" s="1">
        <v>0.40416666666666701</v>
      </c>
      <c r="B3464" s="2">
        <v>6.2</v>
      </c>
      <c r="C3464" s="2">
        <v>3.77</v>
      </c>
      <c r="D3464" s="2">
        <v>5.27</v>
      </c>
      <c r="E3464" s="2">
        <v>5.53</v>
      </c>
      <c r="F3464" s="2">
        <v>3.42</v>
      </c>
      <c r="G3464" s="6">
        <v>10900.64766474341</v>
      </c>
      <c r="H3464" s="6">
        <v>12634.053544002676</v>
      </c>
      <c r="I3464" s="6">
        <v>8022.7251913375239</v>
      </c>
      <c r="J3464" s="6">
        <v>12020.795709340915</v>
      </c>
      <c r="K3464" s="6">
        <v>9479.3871461862</v>
      </c>
    </row>
    <row r="3465" spans="1:11" x14ac:dyDescent="0.2">
      <c r="A3465" s="1">
        <v>0.40486111111111101</v>
      </c>
      <c r="B3465" s="2">
        <v>6.2</v>
      </c>
      <c r="C3465" s="2">
        <v>3.87</v>
      </c>
      <c r="D3465" s="2">
        <v>5.2799999999999994</v>
      </c>
      <c r="E3465" s="2">
        <v>5.4300000000000006</v>
      </c>
      <c r="F3465" s="2">
        <v>2.9699999999999998</v>
      </c>
      <c r="G3465" s="6">
        <v>12360.070720483383</v>
      </c>
      <c r="H3465" s="6">
        <v>14589.866285802846</v>
      </c>
      <c r="I3465" s="6">
        <v>11048.500301562031</v>
      </c>
      <c r="J3465" s="6">
        <v>8443.873271282695</v>
      </c>
      <c r="K3465" s="6">
        <v>9482.0970953552223</v>
      </c>
    </row>
    <row r="3466" spans="1:11" x14ac:dyDescent="0.2">
      <c r="A3466" s="1">
        <v>0.405555555555556</v>
      </c>
      <c r="B3466" s="2">
        <v>6.21</v>
      </c>
      <c r="C3466" s="2">
        <v>3.61</v>
      </c>
      <c r="D3466" s="2">
        <v>5.05</v>
      </c>
      <c r="E3466" s="2">
        <v>5.66</v>
      </c>
      <c r="F3466" s="2">
        <v>3.23</v>
      </c>
      <c r="G3466" s="6">
        <v>13612.500151995524</v>
      </c>
      <c r="H3466" s="6">
        <v>8887.99363510679</v>
      </c>
      <c r="I3466" s="6">
        <v>13272.910196078134</v>
      </c>
      <c r="J3466" s="6">
        <v>12196.177126672672</v>
      </c>
      <c r="K3466" s="6">
        <v>15353.13057976591</v>
      </c>
    </row>
    <row r="3467" spans="1:11" x14ac:dyDescent="0.2">
      <c r="A3467" s="1">
        <v>0.40625</v>
      </c>
      <c r="B3467" s="2">
        <v>6.2700000000000005</v>
      </c>
      <c r="C3467" s="2">
        <v>3.77</v>
      </c>
      <c r="D3467" s="2">
        <v>5.3599999999999994</v>
      </c>
      <c r="E3467" s="2">
        <v>5.65</v>
      </c>
      <c r="F3467" s="2">
        <v>3.06</v>
      </c>
      <c r="G3467" s="6">
        <v>7940.6176818490676</v>
      </c>
      <c r="H3467" s="6">
        <v>9927.3460421321433</v>
      </c>
      <c r="I3467" s="6">
        <v>9200.6526074388075</v>
      </c>
      <c r="J3467" s="6">
        <v>11647.880184334728</v>
      </c>
      <c r="K3467" s="6">
        <v>10516.832861944335</v>
      </c>
    </row>
    <row r="3468" spans="1:11" x14ac:dyDescent="0.2">
      <c r="A3468" s="1">
        <v>0.406944444444444</v>
      </c>
      <c r="B3468" s="2">
        <v>6.26</v>
      </c>
      <c r="C3468" s="2">
        <v>3.7600000000000002</v>
      </c>
      <c r="D3468" s="2">
        <v>5.25</v>
      </c>
      <c r="E3468" s="2">
        <v>5.69</v>
      </c>
      <c r="F3468" s="2">
        <v>3.07</v>
      </c>
      <c r="G3468" s="6">
        <v>8725.5901658989515</v>
      </c>
      <c r="H3468" s="6">
        <v>14206.615239505227</v>
      </c>
      <c r="I3468" s="6">
        <v>8997.3801093442235</v>
      </c>
      <c r="J3468" s="6">
        <v>8991.0256848730805</v>
      </c>
      <c r="K3468" s="6">
        <v>13369.548429283808</v>
      </c>
    </row>
    <row r="3469" spans="1:11" x14ac:dyDescent="0.2">
      <c r="A3469" s="1">
        <v>0.40763888888888899</v>
      </c>
      <c r="B3469" s="2">
        <v>6.3100000000000005</v>
      </c>
      <c r="C3469" s="2">
        <v>3.67</v>
      </c>
      <c r="D3469" s="2">
        <v>5.01</v>
      </c>
      <c r="E3469" s="2">
        <v>5.67</v>
      </c>
      <c r="F3469" s="2">
        <v>3.28</v>
      </c>
      <c r="G3469" s="6">
        <v>8001.3445421240413</v>
      </c>
      <c r="H3469" s="6">
        <v>11681.911079900159</v>
      </c>
      <c r="I3469" s="6">
        <v>13197.64174797152</v>
      </c>
      <c r="J3469" s="6">
        <v>9966.6131243886612</v>
      </c>
      <c r="K3469" s="6">
        <v>11973.935569092555</v>
      </c>
    </row>
    <row r="3470" spans="1:11" x14ac:dyDescent="0.2">
      <c r="A3470" s="1">
        <v>0.40833333333333299</v>
      </c>
      <c r="B3470" s="2">
        <v>6.19</v>
      </c>
      <c r="C3470" s="2">
        <v>3.7600000000000002</v>
      </c>
      <c r="D3470" s="2">
        <v>4.8899999999999997</v>
      </c>
      <c r="E3470" s="2">
        <v>5.71</v>
      </c>
      <c r="F3470" s="2">
        <v>3.03</v>
      </c>
      <c r="G3470" s="6">
        <v>11226.89007334823</v>
      </c>
      <c r="H3470" s="6">
        <v>11763.01570262315</v>
      </c>
      <c r="I3470" s="6">
        <v>7405.4293311670381</v>
      </c>
      <c r="J3470" s="6">
        <v>10876.115504002242</v>
      </c>
      <c r="K3470" s="6">
        <v>11748.919315489538</v>
      </c>
    </row>
    <row r="3471" spans="1:11" x14ac:dyDescent="0.2">
      <c r="A3471" s="1">
        <v>0.40902777777777799</v>
      </c>
      <c r="B3471" s="2">
        <v>6.26</v>
      </c>
      <c r="C3471" s="2">
        <v>3.85</v>
      </c>
      <c r="D3471" s="2">
        <v>5.34</v>
      </c>
      <c r="E3471" s="2">
        <v>5.42</v>
      </c>
      <c r="F3471" s="2">
        <v>3.34</v>
      </c>
      <c r="G3471" s="6">
        <v>13815.777603621285</v>
      </c>
      <c r="H3471" s="6">
        <v>9526.1090947204393</v>
      </c>
      <c r="I3471" s="6">
        <v>9368.6834870317416</v>
      </c>
      <c r="J3471" s="6">
        <v>8797.5414146769472</v>
      </c>
      <c r="K3471" s="6">
        <v>10010.437586436812</v>
      </c>
    </row>
    <row r="3472" spans="1:11" x14ac:dyDescent="0.2">
      <c r="A3472" s="1">
        <v>0.40972222222222199</v>
      </c>
      <c r="B3472" s="2">
        <v>6.2700000000000005</v>
      </c>
      <c r="C3472" s="2">
        <v>3.65</v>
      </c>
      <c r="D3472" s="2">
        <v>4.9499999999999993</v>
      </c>
      <c r="E3472" s="2">
        <v>5.37</v>
      </c>
      <c r="F3472" s="2">
        <v>3.41</v>
      </c>
      <c r="G3472" s="6">
        <v>15047.311085020381</v>
      </c>
      <c r="H3472" s="6">
        <v>13674.429319949477</v>
      </c>
      <c r="I3472" s="6">
        <v>7281.6576031503555</v>
      </c>
      <c r="J3472" s="6">
        <v>9956.2153649002976</v>
      </c>
      <c r="K3472" s="6">
        <v>9332.2561716007986</v>
      </c>
    </row>
    <row r="3473" spans="1:18" x14ac:dyDescent="0.2">
      <c r="A3473" s="1">
        <v>0.41041666666666698</v>
      </c>
      <c r="B3473" s="2">
        <v>6.14</v>
      </c>
      <c r="C3473" s="2">
        <v>3.63</v>
      </c>
      <c r="D3473" s="2">
        <v>5.0599999999999996</v>
      </c>
      <c r="E3473" s="2">
        <v>5.71</v>
      </c>
      <c r="F3473" s="2">
        <v>3.3</v>
      </c>
      <c r="G3473" s="6">
        <v>15060.894572839483</v>
      </c>
      <c r="H3473" s="6">
        <v>10926.413811480339</v>
      </c>
      <c r="I3473" s="6">
        <v>10248.492120278763</v>
      </c>
      <c r="J3473" s="6">
        <v>9425.2504013346934</v>
      </c>
      <c r="K3473" s="6">
        <v>10713.419012435301</v>
      </c>
    </row>
    <row r="3474" spans="1:18" x14ac:dyDescent="0.2">
      <c r="A3474" s="1">
        <v>0.41111111111111098</v>
      </c>
      <c r="B3474" s="2">
        <v>6.38</v>
      </c>
      <c r="C3474" s="2">
        <v>3.7</v>
      </c>
      <c r="D3474" s="2">
        <v>5.3699999999999992</v>
      </c>
      <c r="E3474" s="2">
        <v>5.7700000000000005</v>
      </c>
      <c r="F3474" s="2">
        <v>3.35</v>
      </c>
      <c r="G3474" s="6">
        <v>7989.345202902201</v>
      </c>
      <c r="H3474" s="6">
        <v>15300.1446200521</v>
      </c>
      <c r="I3474" s="6">
        <v>13994.406220347109</v>
      </c>
      <c r="J3474" s="6">
        <v>12088.053642369294</v>
      </c>
      <c r="K3474" s="6">
        <v>13166.798436134697</v>
      </c>
    </row>
    <row r="3475" spans="1:18" x14ac:dyDescent="0.2">
      <c r="A3475" s="1">
        <v>0.41180555555555598</v>
      </c>
      <c r="B3475" s="2">
        <v>6.18</v>
      </c>
      <c r="C3475" s="2">
        <v>3.64</v>
      </c>
      <c r="D3475" s="2">
        <v>5.21</v>
      </c>
      <c r="E3475" s="2">
        <v>5.53</v>
      </c>
      <c r="F3475" s="2">
        <v>3.06</v>
      </c>
      <c r="G3475" s="6">
        <v>14287.212106302035</v>
      </c>
      <c r="H3475" s="6">
        <v>10651.511275058812</v>
      </c>
      <c r="I3475" s="6">
        <v>11033.623590719842</v>
      </c>
      <c r="J3475" s="6">
        <v>9718.0383440110036</v>
      </c>
      <c r="K3475" s="6">
        <v>15141.549892633835</v>
      </c>
    </row>
    <row r="3476" spans="1:18" x14ac:dyDescent="0.2">
      <c r="A3476" s="1">
        <v>0.41249999999999998</v>
      </c>
      <c r="B3476" s="2">
        <v>6.26</v>
      </c>
      <c r="C3476" s="2">
        <v>3.89</v>
      </c>
      <c r="D3476" s="2">
        <v>5.08</v>
      </c>
      <c r="E3476" s="2">
        <v>5.69</v>
      </c>
      <c r="F3476" s="2">
        <v>2.9</v>
      </c>
      <c r="G3476" s="6">
        <v>7530.8965568097801</v>
      </c>
      <c r="H3476" s="6">
        <v>15987.115813855393</v>
      </c>
      <c r="I3476" s="6">
        <v>7681.8609678719777</v>
      </c>
      <c r="J3476" s="6">
        <v>10152.196169078652</v>
      </c>
      <c r="K3476" s="6">
        <v>14383.589994448423</v>
      </c>
    </row>
    <row r="3477" spans="1:18" x14ac:dyDescent="0.2">
      <c r="A3477" s="1">
        <v>0.41319444444444398</v>
      </c>
      <c r="B3477" s="2">
        <v>6.23</v>
      </c>
      <c r="C3477" s="2">
        <v>3.8600000000000003</v>
      </c>
      <c r="D3477" s="2">
        <v>5.13</v>
      </c>
      <c r="E3477" s="2">
        <v>5.66</v>
      </c>
      <c r="F3477" s="2">
        <v>2.96</v>
      </c>
      <c r="G3477" s="6">
        <v>12991.36177121215</v>
      </c>
      <c r="H3477" s="6">
        <v>17354.049626464654</v>
      </c>
      <c r="I3477" s="6">
        <v>12842.036931849632</v>
      </c>
      <c r="J3477" s="6">
        <v>10544.034554817128</v>
      </c>
      <c r="K3477" s="6">
        <v>12811.930013443687</v>
      </c>
    </row>
    <row r="3478" spans="1:18" x14ac:dyDescent="0.2">
      <c r="A3478" s="1">
        <v>0.41388888888888897</v>
      </c>
      <c r="B3478" s="2">
        <v>6.28</v>
      </c>
      <c r="C3478" s="2">
        <v>3.7800000000000002</v>
      </c>
      <c r="D3478" s="2">
        <v>4.9799999999999995</v>
      </c>
      <c r="E3478" s="2">
        <v>5.3900000000000006</v>
      </c>
      <c r="F3478" s="2">
        <v>2.8899999999999997</v>
      </c>
      <c r="G3478" s="6">
        <v>11970.453612192921</v>
      </c>
      <c r="H3478" s="6">
        <v>9429.0160345078348</v>
      </c>
      <c r="I3478" s="6">
        <v>6350.2520297962628</v>
      </c>
      <c r="J3478" s="6">
        <v>8626.5135211653269</v>
      </c>
      <c r="K3478" s="6">
        <v>10825.946558703312</v>
      </c>
    </row>
    <row r="3479" spans="1:18" x14ac:dyDescent="0.2">
      <c r="A3479" s="1">
        <v>0.41458333333333303</v>
      </c>
      <c r="B3479" s="2">
        <v>6.34</v>
      </c>
      <c r="C3479" s="2">
        <v>3.66</v>
      </c>
      <c r="D3479" s="2">
        <v>5</v>
      </c>
      <c r="E3479" s="2">
        <v>5.65</v>
      </c>
      <c r="F3479" s="2">
        <v>3.42</v>
      </c>
      <c r="G3479" s="6">
        <v>15654.39099558924</v>
      </c>
      <c r="H3479" s="6">
        <v>9769.2984426748862</v>
      </c>
      <c r="I3479" s="6">
        <v>12713.087576063534</v>
      </c>
      <c r="J3479" s="6">
        <v>13092.729570756192</v>
      </c>
      <c r="K3479" s="6">
        <v>15754.024226368878</v>
      </c>
    </row>
    <row r="3480" spans="1:18" x14ac:dyDescent="0.2">
      <c r="A3480" s="1">
        <v>0.41527777777777802</v>
      </c>
      <c r="B3480" s="2">
        <v>6.21</v>
      </c>
      <c r="C3480" s="2">
        <v>3.72</v>
      </c>
      <c r="D3480" s="2">
        <v>4.8999999999999995</v>
      </c>
      <c r="E3480" s="2">
        <v>5.16</v>
      </c>
      <c r="F3480" s="2">
        <v>3.34</v>
      </c>
      <c r="G3480" s="6">
        <v>15642.706383378949</v>
      </c>
      <c r="H3480" s="6">
        <v>9948.2076001856421</v>
      </c>
      <c r="I3480" s="6">
        <v>12608.56848549098</v>
      </c>
      <c r="J3480" s="6">
        <v>12811.879184923415</v>
      </c>
      <c r="K3480" s="6">
        <v>15791.89944788918</v>
      </c>
    </row>
    <row r="3481" spans="1:18" x14ac:dyDescent="0.2">
      <c r="A3481" s="1">
        <v>0.41597222222222202</v>
      </c>
      <c r="B3481" s="2">
        <v>6.17</v>
      </c>
      <c r="C3481" s="2">
        <v>3.8000000000000003</v>
      </c>
      <c r="D3481" s="2">
        <v>5.12</v>
      </c>
      <c r="E3481" s="2">
        <v>5.24</v>
      </c>
      <c r="F3481" s="2">
        <v>3.28</v>
      </c>
      <c r="G3481" s="6">
        <v>15710.61804754989</v>
      </c>
      <c r="H3481" s="6">
        <v>9722.2222707129513</v>
      </c>
      <c r="I3481" s="6">
        <v>13062.893082592293</v>
      </c>
      <c r="J3481" s="6">
        <v>12920.568946342795</v>
      </c>
      <c r="K3481" s="6">
        <v>15827.433544730167</v>
      </c>
    </row>
    <row r="3482" spans="1:18" x14ac:dyDescent="0.2">
      <c r="A3482" s="3">
        <v>0.41666666666666702</v>
      </c>
      <c r="B3482" s="2">
        <v>6.24</v>
      </c>
      <c r="C3482" s="2">
        <v>3.81</v>
      </c>
      <c r="D3482" s="2">
        <v>5.12</v>
      </c>
      <c r="E3482" s="2">
        <v>5.39</v>
      </c>
      <c r="F3482" s="2">
        <v>3.22</v>
      </c>
      <c r="G3482" s="6">
        <v>11312</v>
      </c>
      <c r="H3482" s="6">
        <v>13213</v>
      </c>
      <c r="I3482" s="6">
        <v>12113</v>
      </c>
      <c r="J3482" s="6">
        <v>15312</v>
      </c>
      <c r="K3482" s="6">
        <v>15212</v>
      </c>
      <c r="M3482" s="6"/>
      <c r="N3482" s="6"/>
      <c r="O3482" s="6"/>
      <c r="P3482" s="6"/>
      <c r="Q3482" s="6"/>
    </row>
    <row r="3483" spans="1:18" x14ac:dyDescent="0.2">
      <c r="A3483" s="1">
        <v>0.41736111111111102</v>
      </c>
      <c r="B3483" s="2">
        <v>6.21</v>
      </c>
      <c r="C3483" s="2">
        <v>3.76</v>
      </c>
      <c r="D3483" s="2">
        <v>5.2399999999999993</v>
      </c>
      <c r="E3483" s="2">
        <v>5.67</v>
      </c>
      <c r="F3483" s="2">
        <v>3.01</v>
      </c>
      <c r="G3483" s="6">
        <v>12699.849776609983</v>
      </c>
      <c r="H3483" s="6">
        <v>23189.828353538705</v>
      </c>
      <c r="I3483" s="6">
        <v>23187.843162847057</v>
      </c>
      <c r="J3483" s="6">
        <v>21690.646056572255</v>
      </c>
      <c r="K3483" s="6">
        <v>23164.021818452929</v>
      </c>
      <c r="Q3483" s="6"/>
      <c r="R3483" s="6"/>
    </row>
    <row r="3484" spans="1:18" x14ac:dyDescent="0.2">
      <c r="A3484" s="1">
        <v>0.41805555555555601</v>
      </c>
      <c r="B3484" s="2">
        <v>6.12</v>
      </c>
      <c r="C3484" s="2">
        <v>3.73</v>
      </c>
      <c r="D3484" s="2">
        <v>5.2299999999999995</v>
      </c>
      <c r="E3484" s="2">
        <v>5.3000000000000007</v>
      </c>
      <c r="F3484" s="2">
        <v>3.17</v>
      </c>
      <c r="G3484" s="6">
        <v>20480.222721002516</v>
      </c>
      <c r="H3484" s="6">
        <v>26384.003561719084</v>
      </c>
      <c r="I3484" s="6">
        <v>26629.98525382896</v>
      </c>
      <c r="J3484" s="6">
        <v>16237.449947632818</v>
      </c>
      <c r="K3484" s="6">
        <v>26352.039073026473</v>
      </c>
      <c r="Q3484" s="6"/>
      <c r="R3484" s="6"/>
    </row>
    <row r="3485" spans="1:18" x14ac:dyDescent="0.2">
      <c r="A3485" s="1">
        <v>0.41875000000000001</v>
      </c>
      <c r="B3485" s="2">
        <v>6.2700000000000005</v>
      </c>
      <c r="C3485" s="2">
        <v>3.7399999999999998</v>
      </c>
      <c r="D3485" s="2">
        <v>4.96</v>
      </c>
      <c r="E3485" s="2">
        <v>5.67</v>
      </c>
      <c r="F3485" s="2">
        <v>3.36</v>
      </c>
      <c r="G3485" s="6">
        <v>15411.533350824768</v>
      </c>
      <c r="H3485" s="6">
        <v>25632.526380721225</v>
      </c>
      <c r="I3485" s="6">
        <v>25719.353305668439</v>
      </c>
      <c r="J3485" s="6">
        <v>21055.134989738424</v>
      </c>
      <c r="K3485" s="6">
        <v>25505.939043835828</v>
      </c>
      <c r="Q3485" s="6"/>
      <c r="R3485" s="6"/>
    </row>
    <row r="3486" spans="1:18" x14ac:dyDescent="0.2">
      <c r="A3486" s="1">
        <v>0.41944444444444401</v>
      </c>
      <c r="B3486" s="2">
        <v>6.3100000000000005</v>
      </c>
      <c r="C3486" s="2">
        <v>3.6399999999999997</v>
      </c>
      <c r="D3486" s="2">
        <v>5.1999999999999993</v>
      </c>
      <c r="E3486" s="2">
        <v>5.54</v>
      </c>
      <c r="F3486" s="2">
        <v>3.38</v>
      </c>
      <c r="G3486" s="6">
        <v>11256.306984681958</v>
      </c>
      <c r="H3486" s="6">
        <v>26910.890552374251</v>
      </c>
      <c r="I3486" s="6">
        <v>26700.953456620391</v>
      </c>
      <c r="J3486" s="6">
        <v>15638.970093637667</v>
      </c>
      <c r="K3486" s="6">
        <v>26633.974776226471</v>
      </c>
      <c r="Q3486" s="6"/>
      <c r="R3486" s="6"/>
    </row>
    <row r="3487" spans="1:18" x14ac:dyDescent="0.2">
      <c r="A3487" s="1">
        <v>0.42013888888888901</v>
      </c>
      <c r="B3487" s="2">
        <v>6.3100000000000005</v>
      </c>
      <c r="C3487" s="2">
        <v>3.88</v>
      </c>
      <c r="D3487" s="2">
        <v>4.92</v>
      </c>
      <c r="E3487" s="2">
        <v>5.3000000000000007</v>
      </c>
      <c r="F3487" s="2">
        <v>3.1799999999999997</v>
      </c>
      <c r="G3487" s="6">
        <v>18757.598734777672</v>
      </c>
      <c r="H3487" s="6">
        <v>22454.908934250394</v>
      </c>
      <c r="I3487" s="6">
        <v>22569.406957644595</v>
      </c>
      <c r="J3487" s="6">
        <v>11930.260371675027</v>
      </c>
      <c r="K3487" s="6">
        <v>22410.123922365001</v>
      </c>
      <c r="Q3487" s="6"/>
      <c r="R3487" s="6"/>
    </row>
    <row r="3488" spans="1:18" x14ac:dyDescent="0.2">
      <c r="A3488" s="1">
        <v>0.420833333333333</v>
      </c>
      <c r="B3488" s="2">
        <v>6.16</v>
      </c>
      <c r="C3488" s="2">
        <v>3.81</v>
      </c>
      <c r="D3488" s="2">
        <v>5.3</v>
      </c>
      <c r="E3488" s="2">
        <v>5.61</v>
      </c>
      <c r="F3488" s="2">
        <v>3.19</v>
      </c>
      <c r="G3488" s="6">
        <v>23458.126073894538</v>
      </c>
      <c r="H3488" s="6">
        <v>20599.582149588605</v>
      </c>
      <c r="I3488" s="6">
        <v>20574.212322226023</v>
      </c>
      <c r="J3488" s="6">
        <v>14037.634837669468</v>
      </c>
      <c r="K3488" s="6">
        <v>20361.755222072348</v>
      </c>
      <c r="Q3488" s="6"/>
      <c r="R3488" s="6"/>
    </row>
    <row r="3489" spans="1:18" x14ac:dyDescent="0.2">
      <c r="A3489" s="1">
        <v>0.421527777777778</v>
      </c>
      <c r="B3489" s="2">
        <v>6.23</v>
      </c>
      <c r="C3489" s="2">
        <v>3.86</v>
      </c>
      <c r="D3489" s="2">
        <v>4.9899999999999993</v>
      </c>
      <c r="E3489" s="2">
        <v>5.17</v>
      </c>
      <c r="F3489" s="2">
        <v>2.9699999999999998</v>
      </c>
      <c r="G3489" s="6">
        <v>17073.330628074407</v>
      </c>
      <c r="H3489" s="6">
        <v>24132.497496248146</v>
      </c>
      <c r="I3489" s="6">
        <v>24315.851434962122</v>
      </c>
      <c r="J3489" s="6">
        <v>20695.354059342972</v>
      </c>
      <c r="K3489" s="6">
        <v>24074.773530199389</v>
      </c>
      <c r="Q3489" s="6"/>
      <c r="R3489" s="6"/>
    </row>
    <row r="3490" spans="1:18" x14ac:dyDescent="0.2">
      <c r="A3490" s="1">
        <v>0.422222222222222</v>
      </c>
      <c r="B3490" s="2">
        <v>6.2</v>
      </c>
      <c r="C3490" s="2">
        <v>3.87</v>
      </c>
      <c r="D3490" s="2">
        <v>5.0999999999999996</v>
      </c>
      <c r="E3490" s="2">
        <v>5.1400000000000006</v>
      </c>
      <c r="F3490" s="2">
        <v>2.94</v>
      </c>
      <c r="G3490" s="6">
        <v>20956.864191441968</v>
      </c>
      <c r="H3490" s="6">
        <v>28208.500376223707</v>
      </c>
      <c r="I3490" s="6">
        <v>28233.97421740559</v>
      </c>
      <c r="J3490" s="6">
        <v>16533.187758960405</v>
      </c>
      <c r="K3490" s="6">
        <v>28073.786385445484</v>
      </c>
      <c r="Q3490" s="6"/>
      <c r="R3490" s="6"/>
    </row>
    <row r="3491" spans="1:18" x14ac:dyDescent="0.2">
      <c r="A3491" s="1">
        <v>0.422916666666667</v>
      </c>
      <c r="B3491" s="2">
        <v>6.2</v>
      </c>
      <c r="C3491" s="2">
        <v>3.76</v>
      </c>
      <c r="D3491" s="2">
        <v>4.8999999999999995</v>
      </c>
      <c r="E3491" s="2">
        <v>5.5</v>
      </c>
      <c r="F3491" s="2">
        <v>2.88</v>
      </c>
      <c r="G3491" s="6">
        <v>22880.245302233485</v>
      </c>
      <c r="H3491" s="6">
        <v>14823.815075106924</v>
      </c>
      <c r="I3491" s="6">
        <v>14728.051415101008</v>
      </c>
      <c r="J3491" s="6">
        <v>14126.625353221856</v>
      </c>
      <c r="K3491" s="6">
        <v>14553.902493539956</v>
      </c>
      <c r="Q3491" s="6"/>
      <c r="R3491" s="6"/>
    </row>
    <row r="3492" spans="1:18" x14ac:dyDescent="0.2">
      <c r="A3492" s="1">
        <v>0.42361111111111099</v>
      </c>
      <c r="B3492" s="2">
        <v>6.23</v>
      </c>
      <c r="C3492" s="2">
        <v>3.81</v>
      </c>
      <c r="D3492" s="2">
        <v>4.9499999999999993</v>
      </c>
      <c r="E3492" s="2">
        <v>5.45</v>
      </c>
      <c r="F3492" s="2">
        <v>3.01</v>
      </c>
      <c r="G3492" s="6">
        <v>17887.943418601477</v>
      </c>
      <c r="H3492" s="6">
        <v>25836.558101542181</v>
      </c>
      <c r="I3492" s="6">
        <v>25735.0606623163</v>
      </c>
      <c r="J3492" s="6">
        <v>20760.878919386152</v>
      </c>
      <c r="K3492" s="6">
        <v>25559.667497175127</v>
      </c>
      <c r="Q3492" s="6"/>
      <c r="R3492" s="6"/>
    </row>
    <row r="3493" spans="1:18" x14ac:dyDescent="0.2">
      <c r="A3493" s="1">
        <v>0.42430555555555599</v>
      </c>
      <c r="B3493" s="2">
        <v>6.14</v>
      </c>
      <c r="C3493" s="2">
        <v>3.77</v>
      </c>
      <c r="D3493" s="2">
        <v>5.39</v>
      </c>
      <c r="E3493" s="2">
        <v>5.24</v>
      </c>
      <c r="F3493" s="2">
        <v>2.98</v>
      </c>
      <c r="G3493" s="6">
        <v>18751.821467571928</v>
      </c>
      <c r="H3493" s="6">
        <v>19534.62028893366</v>
      </c>
      <c r="I3493" s="6">
        <v>19596.59306786221</v>
      </c>
      <c r="J3493" s="6">
        <v>14536.484008524953</v>
      </c>
      <c r="K3493" s="6">
        <v>19480.459465464814</v>
      </c>
      <c r="Q3493" s="6"/>
      <c r="R3493" s="6"/>
    </row>
    <row r="3494" spans="1:18" x14ac:dyDescent="0.2">
      <c r="A3494" s="1">
        <v>0.42499999999999999</v>
      </c>
      <c r="B3494" s="2">
        <v>6.19</v>
      </c>
      <c r="C3494" s="2">
        <v>3.83</v>
      </c>
      <c r="D3494" s="2">
        <v>4.9099999999999993</v>
      </c>
      <c r="E3494" s="2">
        <v>5.74</v>
      </c>
      <c r="F3494" s="2">
        <v>2.9299999999999997</v>
      </c>
      <c r="G3494" s="6">
        <v>22340.956261626612</v>
      </c>
      <c r="H3494" s="6">
        <v>29081.081898179644</v>
      </c>
      <c r="I3494" s="6">
        <v>29047.273359223225</v>
      </c>
      <c r="J3494" s="6">
        <v>22235.544960344589</v>
      </c>
      <c r="K3494" s="6">
        <v>28921.074264568782</v>
      </c>
      <c r="Q3494" s="6"/>
      <c r="R3494" s="6"/>
    </row>
    <row r="3495" spans="1:18" x14ac:dyDescent="0.2">
      <c r="A3495" s="1">
        <v>0.42569444444444399</v>
      </c>
      <c r="B3495" s="2">
        <v>6.37</v>
      </c>
      <c r="C3495" s="2">
        <v>3.8899999999999997</v>
      </c>
      <c r="D3495" s="2">
        <v>5.0599999999999996</v>
      </c>
      <c r="E3495" s="2">
        <v>5.58</v>
      </c>
      <c r="F3495" s="2">
        <v>2.9099999999999997</v>
      </c>
      <c r="G3495" s="6">
        <v>16460.681545900778</v>
      </c>
      <c r="H3495" s="6">
        <v>21151.367708524518</v>
      </c>
      <c r="I3495" s="6">
        <v>21315.953312179623</v>
      </c>
      <c r="J3495" s="6">
        <v>23725.356989101103</v>
      </c>
      <c r="K3495" s="6">
        <v>21102.302235643787</v>
      </c>
      <c r="Q3495" s="6"/>
      <c r="R3495" s="6"/>
    </row>
    <row r="3496" spans="1:18" x14ac:dyDescent="0.2">
      <c r="A3496" s="1">
        <v>0.42638888888888898</v>
      </c>
      <c r="B3496" s="2">
        <v>6.2</v>
      </c>
      <c r="C3496" s="2">
        <v>3.79</v>
      </c>
      <c r="D3496" s="2">
        <v>5.2799999999999994</v>
      </c>
      <c r="E3496" s="2">
        <v>5.1800000000000006</v>
      </c>
      <c r="F3496" s="2">
        <v>3.06</v>
      </c>
      <c r="G3496" s="6">
        <v>18114.116794755297</v>
      </c>
      <c r="H3496" s="6">
        <v>15260.200917397588</v>
      </c>
      <c r="I3496" s="6">
        <v>15211.648916598015</v>
      </c>
      <c r="J3496" s="6">
        <v>19457.432285779949</v>
      </c>
      <c r="K3496" s="6">
        <v>15181.794605587307</v>
      </c>
      <c r="Q3496" s="6"/>
      <c r="R3496" s="6"/>
    </row>
    <row r="3497" spans="1:18" x14ac:dyDescent="0.2">
      <c r="A3497" s="1">
        <v>0.42708333333333298</v>
      </c>
      <c r="B3497" s="2">
        <v>6.13</v>
      </c>
      <c r="C3497" s="2">
        <v>3.79</v>
      </c>
      <c r="D3497" s="2">
        <v>5.0999999999999996</v>
      </c>
      <c r="E3497" s="2">
        <v>5.61</v>
      </c>
      <c r="F3497" s="2">
        <v>3.11</v>
      </c>
      <c r="G3497" s="6">
        <v>19762.775751432746</v>
      </c>
      <c r="H3497" s="6">
        <v>28005.875687639513</v>
      </c>
      <c r="I3497" s="6">
        <v>28119.061068475039</v>
      </c>
      <c r="J3497" s="6">
        <v>18512.256621628694</v>
      </c>
      <c r="K3497" s="6">
        <v>27828.469082222713</v>
      </c>
      <c r="Q3497" s="6"/>
      <c r="R3497" s="6"/>
    </row>
    <row r="3498" spans="1:18" x14ac:dyDescent="0.2">
      <c r="A3498" s="1">
        <v>0.42777777777777798</v>
      </c>
      <c r="B3498" s="2">
        <v>6.33</v>
      </c>
      <c r="C3498" s="2">
        <v>3.6799999999999997</v>
      </c>
      <c r="D3498" s="2">
        <v>5.34</v>
      </c>
      <c r="E3498" s="2">
        <v>5.42</v>
      </c>
      <c r="F3498" s="2">
        <v>2.9099999999999997</v>
      </c>
      <c r="G3498" s="6">
        <v>15505.05580392167</v>
      </c>
      <c r="H3498" s="6">
        <v>27067.376731699496</v>
      </c>
      <c r="I3498" s="6">
        <v>27179.466502871186</v>
      </c>
      <c r="J3498" s="6">
        <v>13873.377191307833</v>
      </c>
      <c r="K3498" s="6">
        <v>26989.909545099094</v>
      </c>
      <c r="Q3498" s="6"/>
      <c r="R3498" s="6"/>
    </row>
    <row r="3499" spans="1:18" x14ac:dyDescent="0.2">
      <c r="A3499" s="1">
        <v>0.42847222222222198</v>
      </c>
      <c r="B3499" s="2">
        <v>6.22</v>
      </c>
      <c r="C3499" s="2">
        <v>3.83</v>
      </c>
      <c r="D3499" s="2">
        <v>5.2299999999999995</v>
      </c>
      <c r="E3499" s="2">
        <v>5.74</v>
      </c>
      <c r="F3499" s="2">
        <v>3.12</v>
      </c>
      <c r="G3499" s="6">
        <v>22872.167807717731</v>
      </c>
      <c r="H3499" s="6">
        <v>25184.087726021167</v>
      </c>
      <c r="I3499" s="6">
        <v>25211.833323115767</v>
      </c>
      <c r="J3499" s="6">
        <v>17013.824751648881</v>
      </c>
      <c r="K3499" s="6">
        <v>25166.316030677448</v>
      </c>
      <c r="Q3499" s="6"/>
      <c r="R3499" s="6"/>
    </row>
    <row r="3500" spans="1:18" x14ac:dyDescent="0.2">
      <c r="A3500" s="1">
        <v>0.42916666666666697</v>
      </c>
      <c r="B3500" s="2">
        <v>6.16</v>
      </c>
      <c r="C3500" s="2">
        <v>3.6999999999999997</v>
      </c>
      <c r="D3500" s="2">
        <v>5.0999999999999996</v>
      </c>
      <c r="E3500" s="2">
        <v>5.2700000000000005</v>
      </c>
      <c r="F3500" s="2">
        <v>3.26</v>
      </c>
      <c r="G3500" s="6">
        <v>17592.502422191897</v>
      </c>
      <c r="H3500" s="6">
        <v>27796.664507963749</v>
      </c>
      <c r="I3500" s="6">
        <v>27743.8978618113</v>
      </c>
      <c r="J3500" s="6">
        <v>22457.028589002923</v>
      </c>
      <c r="K3500" s="6">
        <v>27578.020260638688</v>
      </c>
      <c r="Q3500" s="6"/>
      <c r="R3500" s="6"/>
    </row>
    <row r="3501" spans="1:18" x14ac:dyDescent="0.2">
      <c r="A3501" s="1">
        <v>0.42986111111111103</v>
      </c>
      <c r="B3501" s="2">
        <v>6.21</v>
      </c>
      <c r="C3501" s="2">
        <v>3.61</v>
      </c>
      <c r="D3501" s="2">
        <v>5.29</v>
      </c>
      <c r="E3501" s="2">
        <v>5.1100000000000003</v>
      </c>
      <c r="F3501" s="2">
        <v>2.98</v>
      </c>
      <c r="G3501" s="6">
        <v>13927.960186790906</v>
      </c>
      <c r="H3501" s="6">
        <v>16835.335994294437</v>
      </c>
      <c r="I3501" s="6">
        <v>16744.556362095223</v>
      </c>
      <c r="J3501" s="6">
        <v>12377.637686501746</v>
      </c>
      <c r="K3501" s="6">
        <v>16638.576508346508</v>
      </c>
      <c r="Q3501" s="6"/>
      <c r="R3501" s="6"/>
    </row>
    <row r="3502" spans="1:18" x14ac:dyDescent="0.2">
      <c r="A3502" s="1">
        <v>0.43055555555555602</v>
      </c>
      <c r="B3502" s="2">
        <v>6.28</v>
      </c>
      <c r="C3502" s="2">
        <v>3.7399999999999998</v>
      </c>
      <c r="D3502" s="2">
        <v>4.92</v>
      </c>
      <c r="E3502" s="2">
        <v>5.6800000000000006</v>
      </c>
      <c r="F3502" s="2">
        <v>3.2199999999999998</v>
      </c>
      <c r="G3502" s="6">
        <v>16171.044590879404</v>
      </c>
      <c r="H3502" s="6">
        <v>20667.63259218058</v>
      </c>
      <c r="I3502" s="6">
        <v>20719.660147511582</v>
      </c>
      <c r="J3502" s="6">
        <v>11629.401744139954</v>
      </c>
      <c r="K3502" s="6">
        <v>20566.881562269667</v>
      </c>
      <c r="Q3502" s="6"/>
      <c r="R3502" s="6"/>
    </row>
    <row r="3503" spans="1:18" x14ac:dyDescent="0.2">
      <c r="A3503" s="1">
        <v>0.43125000000000002</v>
      </c>
      <c r="B3503" s="2">
        <v>6.16</v>
      </c>
      <c r="C3503" s="2">
        <v>3.88</v>
      </c>
      <c r="D3503" s="2">
        <v>5.14</v>
      </c>
      <c r="E3503" s="2">
        <v>5.3800000000000008</v>
      </c>
      <c r="F3503" s="2">
        <v>3.1999999999999997</v>
      </c>
      <c r="G3503" s="6">
        <v>16462.892272040273</v>
      </c>
      <c r="H3503" s="6">
        <v>25034.083128241564</v>
      </c>
      <c r="I3503" s="6">
        <v>25216.547205393166</v>
      </c>
      <c r="J3503" s="6">
        <v>20872.601791843612</v>
      </c>
      <c r="K3503" s="6">
        <v>24953.390865216523</v>
      </c>
      <c r="Q3503" s="6"/>
      <c r="R3503" s="6"/>
    </row>
    <row r="3504" spans="1:18" x14ac:dyDescent="0.2">
      <c r="A3504" s="1">
        <v>0.43194444444444402</v>
      </c>
      <c r="B3504" s="2">
        <v>6.26</v>
      </c>
      <c r="C3504" s="2">
        <v>3.92</v>
      </c>
      <c r="D3504" s="2">
        <v>4.9899999999999993</v>
      </c>
      <c r="E3504" s="2">
        <v>5.2200000000000006</v>
      </c>
      <c r="F3504" s="2">
        <v>2.8899999999999997</v>
      </c>
      <c r="G3504" s="6">
        <v>10148.547184043773</v>
      </c>
      <c r="H3504" s="6">
        <v>26755.985458207047</v>
      </c>
      <c r="I3504" s="6">
        <v>26565.075084034386</v>
      </c>
      <c r="J3504" s="6">
        <v>21907.628555482446</v>
      </c>
      <c r="K3504" s="6">
        <v>26468.209492558657</v>
      </c>
      <c r="Q3504" s="6"/>
      <c r="R3504" s="6"/>
    </row>
    <row r="3505" spans="1:18" x14ac:dyDescent="0.2">
      <c r="A3505" s="1">
        <v>0.43263888888888902</v>
      </c>
      <c r="B3505" s="2">
        <v>6.23</v>
      </c>
      <c r="C3505" s="2">
        <v>3.8499999999999996</v>
      </c>
      <c r="D3505" s="2">
        <v>4.8899999999999997</v>
      </c>
      <c r="E3505" s="2">
        <v>5.49</v>
      </c>
      <c r="F3505" s="2">
        <v>2.9499999999999997</v>
      </c>
      <c r="G3505" s="6">
        <v>19653.849586797092</v>
      </c>
      <c r="H3505" s="6">
        <v>14178.955295412512</v>
      </c>
      <c r="I3505" s="6">
        <v>14051.120358663806</v>
      </c>
      <c r="J3505" s="6">
        <v>12540.321516218792</v>
      </c>
      <c r="K3505" s="6">
        <v>14011.930892670747</v>
      </c>
      <c r="Q3505" s="6"/>
      <c r="R3505" s="6"/>
    </row>
    <row r="3506" spans="1:18" x14ac:dyDescent="0.2">
      <c r="A3506" s="1">
        <v>0.43333333333333302</v>
      </c>
      <c r="B3506" s="2">
        <v>6.17</v>
      </c>
      <c r="C3506" s="2">
        <v>3.87</v>
      </c>
      <c r="D3506" s="2">
        <v>5.39</v>
      </c>
      <c r="E3506" s="2">
        <v>5.44</v>
      </c>
      <c r="F3506" s="2">
        <v>3.03</v>
      </c>
      <c r="G3506" s="6">
        <v>9937.9299926693911</v>
      </c>
      <c r="H3506" s="6">
        <v>17642.669222370467</v>
      </c>
      <c r="I3506" s="6">
        <v>17415.323685411931</v>
      </c>
      <c r="J3506" s="6">
        <v>22250.744040760059</v>
      </c>
      <c r="K3506" s="6">
        <v>17401.949909928549</v>
      </c>
      <c r="Q3506" s="6"/>
      <c r="R3506" s="6"/>
    </row>
    <row r="3507" spans="1:18" x14ac:dyDescent="0.2">
      <c r="A3507" s="1">
        <v>0.43402777777777801</v>
      </c>
      <c r="B3507" s="2">
        <v>6.19</v>
      </c>
      <c r="C3507" s="2">
        <v>3.83</v>
      </c>
      <c r="D3507" s="2">
        <v>5.0699999999999994</v>
      </c>
      <c r="E3507" s="2">
        <v>5.6300000000000008</v>
      </c>
      <c r="F3507" s="2">
        <v>3.05</v>
      </c>
      <c r="G3507" s="6">
        <v>20042.659457289199</v>
      </c>
      <c r="H3507" s="6">
        <v>23040.539078064452</v>
      </c>
      <c r="I3507" s="6">
        <v>22932.627298370069</v>
      </c>
      <c r="J3507" s="6">
        <v>14675.93679593876</v>
      </c>
      <c r="K3507" s="6">
        <v>22849.56732851687</v>
      </c>
      <c r="Q3507" s="6"/>
      <c r="R3507" s="6"/>
    </row>
    <row r="3508" spans="1:18" x14ac:dyDescent="0.2">
      <c r="A3508" s="1">
        <v>0.43472222222222201</v>
      </c>
      <c r="B3508" s="2">
        <v>6.33</v>
      </c>
      <c r="C3508" s="2">
        <v>3.6999999999999997</v>
      </c>
      <c r="D3508" s="2">
        <v>5.3699999999999992</v>
      </c>
      <c r="E3508" s="2">
        <v>5.37</v>
      </c>
      <c r="F3508" s="2">
        <v>3.41</v>
      </c>
      <c r="G3508" s="6">
        <v>18645.189974872937</v>
      </c>
      <c r="H3508" s="6">
        <v>24714.99750048768</v>
      </c>
      <c r="I3508" s="6">
        <v>24758.67987656836</v>
      </c>
      <c r="J3508" s="6">
        <v>20583.793799078001</v>
      </c>
      <c r="K3508" s="6">
        <v>24593.361784524972</v>
      </c>
      <c r="Q3508" s="6"/>
      <c r="R3508" s="6"/>
    </row>
    <row r="3509" spans="1:18" x14ac:dyDescent="0.2">
      <c r="A3509" s="1">
        <v>0.43541666666666701</v>
      </c>
      <c r="B3509" s="2">
        <v>6.15</v>
      </c>
      <c r="C3509" s="2">
        <v>3.78</v>
      </c>
      <c r="D3509" s="2">
        <v>5.34</v>
      </c>
      <c r="E3509" s="2">
        <v>5.2</v>
      </c>
      <c r="F3509" s="2">
        <v>2.94</v>
      </c>
      <c r="G3509" s="6">
        <v>12359.117276199649</v>
      </c>
      <c r="H3509" s="6">
        <v>15546.335009061702</v>
      </c>
      <c r="I3509" s="6">
        <v>15540.308221832076</v>
      </c>
      <c r="J3509" s="6">
        <v>12485.467990989624</v>
      </c>
      <c r="K3509" s="6">
        <v>15370.153231371356</v>
      </c>
      <c r="Q3509" s="6"/>
      <c r="R3509" s="6"/>
    </row>
    <row r="3510" spans="1:18" x14ac:dyDescent="0.2">
      <c r="A3510" s="1">
        <v>0.43611111111111101</v>
      </c>
      <c r="B3510" s="2">
        <v>6.32</v>
      </c>
      <c r="C3510" s="2">
        <v>3.82</v>
      </c>
      <c r="D3510" s="2">
        <v>4.9799999999999995</v>
      </c>
      <c r="E3510" s="2">
        <v>5.2700000000000005</v>
      </c>
      <c r="F3510" s="2">
        <v>2.94</v>
      </c>
      <c r="G3510" s="6">
        <v>10108.226384748878</v>
      </c>
      <c r="H3510" s="6">
        <v>13876.963597735543</v>
      </c>
      <c r="I3510" s="6">
        <v>13714.200420121266</v>
      </c>
      <c r="J3510" s="6">
        <v>24170.499264629336</v>
      </c>
      <c r="K3510" s="6">
        <v>13598.838227466853</v>
      </c>
      <c r="Q3510" s="6"/>
      <c r="R3510" s="6"/>
    </row>
    <row r="3511" spans="1:18" x14ac:dyDescent="0.2">
      <c r="A3511" s="1">
        <v>0.436805555555556</v>
      </c>
      <c r="B3511" s="2">
        <v>6.32</v>
      </c>
      <c r="C3511" s="2">
        <v>3.86</v>
      </c>
      <c r="D3511" s="2">
        <v>5.14</v>
      </c>
      <c r="E3511" s="2">
        <v>5.32</v>
      </c>
      <c r="F3511" s="2">
        <v>3.2399999999999998</v>
      </c>
      <c r="G3511" s="6">
        <v>17204.813083153149</v>
      </c>
      <c r="H3511" s="6">
        <v>22253.178561672928</v>
      </c>
      <c r="I3511" s="6">
        <v>22427.321065801658</v>
      </c>
      <c r="J3511" s="6">
        <v>19410.063179982677</v>
      </c>
      <c r="K3511" s="6">
        <v>22159.998221179612</v>
      </c>
      <c r="Q3511" s="6"/>
      <c r="R3511" s="6"/>
    </row>
    <row r="3512" spans="1:18" x14ac:dyDescent="0.2">
      <c r="A3512" s="1">
        <v>0.4375</v>
      </c>
      <c r="B3512" s="2">
        <v>6.15</v>
      </c>
      <c r="C3512" s="2">
        <v>3.76</v>
      </c>
      <c r="D3512" s="2">
        <v>5.21</v>
      </c>
      <c r="E3512" s="2">
        <v>5.5600000000000005</v>
      </c>
      <c r="F3512" s="2">
        <v>3.1399999999999997</v>
      </c>
      <c r="G3512" s="6">
        <v>10078.413876334653</v>
      </c>
      <c r="H3512" s="6">
        <v>18002.078646573555</v>
      </c>
      <c r="I3512" s="6">
        <v>18043.562334678802</v>
      </c>
      <c r="J3512" s="6">
        <v>16698.438931929628</v>
      </c>
      <c r="K3512" s="6">
        <v>17885.197948099194</v>
      </c>
      <c r="Q3512" s="6"/>
      <c r="R3512" s="6"/>
    </row>
    <row r="3513" spans="1:18" x14ac:dyDescent="0.2">
      <c r="A3513" s="1">
        <v>0.438194444444444</v>
      </c>
      <c r="B3513" s="2">
        <v>6.16</v>
      </c>
      <c r="C3513" s="2">
        <v>3.63</v>
      </c>
      <c r="D3513" s="2">
        <v>5.34</v>
      </c>
      <c r="E3513" s="2">
        <v>5.65</v>
      </c>
      <c r="F3513" s="2">
        <v>2.9299999999999997</v>
      </c>
      <c r="G3513" s="6">
        <v>19865.589491203322</v>
      </c>
      <c r="H3513" s="6">
        <v>18561.734388853118</v>
      </c>
      <c r="I3513" s="6">
        <v>18605.587183019634</v>
      </c>
      <c r="J3513" s="6">
        <v>22624.735467740546</v>
      </c>
      <c r="K3513" s="6">
        <v>18548.28299790341</v>
      </c>
      <c r="Q3513" s="6"/>
      <c r="R3513" s="6"/>
    </row>
    <row r="3514" spans="1:18" x14ac:dyDescent="0.2">
      <c r="A3514" s="1">
        <v>0.43888888888888899</v>
      </c>
      <c r="B3514" s="2">
        <v>6.14</v>
      </c>
      <c r="C3514" s="2">
        <v>3.6599999999999997</v>
      </c>
      <c r="D3514" s="2">
        <v>5.09</v>
      </c>
      <c r="E3514" s="2">
        <v>5.7700000000000005</v>
      </c>
      <c r="F3514" s="2">
        <v>3.31</v>
      </c>
      <c r="G3514" s="6">
        <v>17079.15845811259</v>
      </c>
      <c r="H3514" s="6">
        <v>27975.581518180195</v>
      </c>
      <c r="I3514" s="6">
        <v>28005.019320680622</v>
      </c>
      <c r="J3514" s="6">
        <v>13780.310259537404</v>
      </c>
      <c r="K3514" s="6">
        <v>27769.46096323452</v>
      </c>
      <c r="Q3514" s="6"/>
      <c r="R3514" s="6"/>
    </row>
    <row r="3515" spans="1:18" x14ac:dyDescent="0.2">
      <c r="A3515" s="1">
        <v>0.43958333333333299</v>
      </c>
      <c r="B3515" s="2">
        <v>6.3100000000000005</v>
      </c>
      <c r="C3515" s="2">
        <v>3.77</v>
      </c>
      <c r="D3515" s="2">
        <v>5.13</v>
      </c>
      <c r="E3515" s="2">
        <v>5.2200000000000006</v>
      </c>
      <c r="F3515" s="2">
        <v>2.9099999999999997</v>
      </c>
      <c r="G3515" s="6">
        <v>13075.179747407214</v>
      </c>
      <c r="H3515" s="6">
        <v>25693.025650878411</v>
      </c>
      <c r="I3515" s="6">
        <v>25853.755639573908</v>
      </c>
      <c r="J3515" s="6">
        <v>18288.460046501255</v>
      </c>
      <c r="K3515" s="6">
        <v>25574.902260184506</v>
      </c>
      <c r="Q3515" s="6"/>
      <c r="R3515" s="6"/>
    </row>
    <row r="3516" spans="1:18" x14ac:dyDescent="0.2">
      <c r="A3516" s="1">
        <v>0.44027777777777799</v>
      </c>
      <c r="B3516" s="2">
        <v>6.24</v>
      </c>
      <c r="C3516" s="2">
        <v>3.61</v>
      </c>
      <c r="D3516" s="2">
        <v>4.8899999999999997</v>
      </c>
      <c r="E3516" s="2">
        <v>5.24</v>
      </c>
      <c r="F3516" s="2">
        <v>3.09</v>
      </c>
      <c r="G3516" s="6">
        <v>16793.201540114067</v>
      </c>
      <c r="H3516" s="6">
        <v>18900.830214155681</v>
      </c>
      <c r="I3516" s="6">
        <v>18912.574563315757</v>
      </c>
      <c r="J3516" s="6">
        <v>15047.758460512749</v>
      </c>
      <c r="K3516" s="6">
        <v>18653.205936635579</v>
      </c>
      <c r="Q3516" s="6"/>
      <c r="R3516" s="6"/>
    </row>
    <row r="3517" spans="1:18" x14ac:dyDescent="0.2">
      <c r="A3517" s="1">
        <v>0.44097222222222199</v>
      </c>
      <c r="B3517" s="2">
        <v>6.26</v>
      </c>
      <c r="C3517" s="2">
        <v>3.75</v>
      </c>
      <c r="D3517" s="2">
        <v>5.3599999999999994</v>
      </c>
      <c r="E3517" s="2">
        <v>5.32</v>
      </c>
      <c r="F3517" s="2">
        <v>3.1399999999999997</v>
      </c>
      <c r="G3517" s="6">
        <v>17890.145673666655</v>
      </c>
      <c r="H3517" s="6">
        <v>18860.410640719587</v>
      </c>
      <c r="I3517" s="6">
        <v>19069.028329363005</v>
      </c>
      <c r="J3517" s="6">
        <v>19394.132283695581</v>
      </c>
      <c r="K3517" s="6">
        <v>18777.467961267015</v>
      </c>
      <c r="Q3517" s="6"/>
      <c r="R3517" s="6"/>
    </row>
    <row r="3518" spans="1:18" x14ac:dyDescent="0.2">
      <c r="A3518" s="1">
        <v>0.44166666666666698</v>
      </c>
      <c r="B3518" s="2">
        <v>6.37</v>
      </c>
      <c r="C3518" s="2">
        <v>3.65</v>
      </c>
      <c r="D3518" s="2">
        <v>5.35</v>
      </c>
      <c r="E3518" s="2">
        <v>5.44</v>
      </c>
      <c r="F3518" s="2">
        <v>3.2399999999999998</v>
      </c>
      <c r="G3518" s="6">
        <v>13271.168453616363</v>
      </c>
      <c r="H3518" s="6">
        <v>23300.538175898131</v>
      </c>
      <c r="I3518" s="6">
        <v>23330.892881213127</v>
      </c>
      <c r="J3518" s="6">
        <v>24640.683184134083</v>
      </c>
      <c r="K3518" s="6">
        <v>23256.899214667443</v>
      </c>
      <c r="Q3518" s="6"/>
      <c r="R3518" s="6"/>
    </row>
    <row r="3519" spans="1:18" x14ac:dyDescent="0.2">
      <c r="A3519" s="1">
        <v>0.44236111111111098</v>
      </c>
      <c r="B3519" s="2">
        <v>6.26</v>
      </c>
      <c r="C3519" s="2">
        <v>3.7199999999999998</v>
      </c>
      <c r="D3519" s="2">
        <v>5.05</v>
      </c>
      <c r="E3519" s="2">
        <v>5.65</v>
      </c>
      <c r="F3519" s="2">
        <v>3.2399999999999998</v>
      </c>
      <c r="G3519" s="6">
        <v>12558.399902497977</v>
      </c>
      <c r="H3519" s="6">
        <v>22722.232330820199</v>
      </c>
      <c r="I3519" s="6">
        <v>22765.979560621177</v>
      </c>
      <c r="J3519" s="6">
        <v>12952.115214005225</v>
      </c>
      <c r="K3519" s="6">
        <v>22682.065536876202</v>
      </c>
      <c r="Q3519" s="6"/>
      <c r="R3519" s="6"/>
    </row>
    <row r="3520" spans="1:18" x14ac:dyDescent="0.2">
      <c r="A3520" s="1">
        <v>0.44305555555555598</v>
      </c>
      <c r="B3520" s="2">
        <v>6.16</v>
      </c>
      <c r="C3520" s="2">
        <v>3.7199999999999998</v>
      </c>
      <c r="D3520" s="2">
        <v>5.25</v>
      </c>
      <c r="E3520" s="2">
        <v>5.12</v>
      </c>
      <c r="F3520" s="2">
        <v>2.96</v>
      </c>
      <c r="G3520" s="6">
        <v>15931.662464352057</v>
      </c>
      <c r="H3520" s="6">
        <v>15133.203401968716</v>
      </c>
      <c r="I3520" s="6">
        <v>15122.148878189395</v>
      </c>
      <c r="J3520" s="6">
        <v>17708.51029229465</v>
      </c>
      <c r="K3520" s="6">
        <v>15025.420513867475</v>
      </c>
      <c r="Q3520" s="6"/>
      <c r="R3520" s="6"/>
    </row>
    <row r="3521" spans="1:18" x14ac:dyDescent="0.2">
      <c r="A3521" s="1">
        <v>0.44374999999999998</v>
      </c>
      <c r="B3521" s="2">
        <v>6.23</v>
      </c>
      <c r="C3521" s="2">
        <v>3.6199999999999997</v>
      </c>
      <c r="D3521" s="2">
        <v>5.18</v>
      </c>
      <c r="E3521" s="2">
        <v>5.6400000000000006</v>
      </c>
      <c r="F3521" s="2">
        <v>3.1999999999999997</v>
      </c>
      <c r="G3521" s="6">
        <v>19515.523274381409</v>
      </c>
      <c r="H3521" s="6">
        <v>21036.36091580808</v>
      </c>
      <c r="I3521" s="6">
        <v>21211.515444092875</v>
      </c>
      <c r="J3521" s="6">
        <v>14512.002358530264</v>
      </c>
      <c r="K3521" s="6">
        <v>20937.64553353667</v>
      </c>
      <c r="Q3521" s="6"/>
      <c r="R3521" s="6"/>
    </row>
    <row r="3522" spans="1:18" x14ac:dyDescent="0.2">
      <c r="A3522" s="1">
        <v>0.44444444444444398</v>
      </c>
      <c r="B3522" s="2">
        <v>6.25</v>
      </c>
      <c r="C3522" s="2">
        <v>3.61</v>
      </c>
      <c r="D3522" s="2">
        <v>4.93</v>
      </c>
      <c r="E3522" s="2">
        <v>5.4300000000000006</v>
      </c>
      <c r="F3522" s="2">
        <v>3.04</v>
      </c>
      <c r="G3522" s="6">
        <v>16005.034672843265</v>
      </c>
      <c r="H3522" s="6">
        <v>14084.109003130772</v>
      </c>
      <c r="I3522" s="6">
        <v>14115.07309061563</v>
      </c>
      <c r="J3522" s="6">
        <v>20464.496727336205</v>
      </c>
      <c r="K3522" s="6">
        <v>13997.311369032783</v>
      </c>
      <c r="Q3522" s="6"/>
      <c r="R3522" s="6"/>
    </row>
    <row r="3523" spans="1:18" x14ac:dyDescent="0.2">
      <c r="A3523" s="1">
        <v>0.44513888888888897</v>
      </c>
      <c r="B3523" s="2">
        <v>6.17</v>
      </c>
      <c r="C3523" s="2">
        <v>3.6599999999999997</v>
      </c>
      <c r="D3523" s="2">
        <v>5.22</v>
      </c>
      <c r="E3523" s="2">
        <v>5.71</v>
      </c>
      <c r="F3523" s="2">
        <v>2.9299999999999997</v>
      </c>
      <c r="G3523" s="6">
        <v>14152.034249829596</v>
      </c>
      <c r="H3523" s="6">
        <v>13837.907599626145</v>
      </c>
      <c r="I3523" s="6">
        <v>13925.229568713334</v>
      </c>
      <c r="J3523" s="6">
        <v>18050.707289378519</v>
      </c>
      <c r="K3523" s="6">
        <v>13749.19680875138</v>
      </c>
      <c r="Q3523" s="6"/>
      <c r="R3523" s="6"/>
    </row>
    <row r="3524" spans="1:18" x14ac:dyDescent="0.2">
      <c r="A3524" s="1">
        <v>0.44583333333333303</v>
      </c>
      <c r="B3524" s="2">
        <v>6.22</v>
      </c>
      <c r="C3524" s="2">
        <v>3.88</v>
      </c>
      <c r="D3524" s="2">
        <v>5.0199999999999996</v>
      </c>
      <c r="E3524" s="2">
        <v>5.66</v>
      </c>
      <c r="F3524" s="2">
        <v>2.9099999999999997</v>
      </c>
      <c r="G3524" s="6">
        <v>13473.13149891568</v>
      </c>
      <c r="H3524" s="6">
        <v>28785.637839623163</v>
      </c>
      <c r="I3524" s="6">
        <v>28842.232453182707</v>
      </c>
      <c r="J3524" s="6">
        <v>15145.777457777038</v>
      </c>
      <c r="K3524" s="6">
        <v>28690.905326991975</v>
      </c>
      <c r="Q3524" s="6"/>
      <c r="R3524" s="6"/>
    </row>
    <row r="3525" spans="1:18" x14ac:dyDescent="0.2">
      <c r="A3525" s="1">
        <v>0.44652777777777802</v>
      </c>
      <c r="B3525" s="2">
        <v>6.22</v>
      </c>
      <c r="C3525" s="2">
        <v>3.6599999999999997</v>
      </c>
      <c r="D3525" s="2">
        <v>5.09</v>
      </c>
      <c r="E3525" s="2">
        <v>5.48</v>
      </c>
      <c r="F3525" s="2">
        <v>3.13</v>
      </c>
      <c r="G3525" s="6">
        <v>20529.914131313701</v>
      </c>
      <c r="H3525" s="6">
        <v>25718.862780683259</v>
      </c>
      <c r="I3525" s="6">
        <v>25715.691059422334</v>
      </c>
      <c r="J3525" s="6">
        <v>13222.941395412359</v>
      </c>
      <c r="K3525" s="6">
        <v>25532.445559850381</v>
      </c>
      <c r="Q3525" s="6"/>
      <c r="R3525" s="6"/>
    </row>
    <row r="3526" spans="1:18" x14ac:dyDescent="0.2">
      <c r="A3526" s="1">
        <v>0.44722222222222202</v>
      </c>
      <c r="B3526" s="2">
        <v>6.15</v>
      </c>
      <c r="C3526" s="2">
        <v>3.9099999999999997</v>
      </c>
      <c r="D3526" s="2">
        <v>5.0199999999999996</v>
      </c>
      <c r="E3526" s="2">
        <v>5.7700000000000005</v>
      </c>
      <c r="F3526" s="2">
        <v>2.9699999999999998</v>
      </c>
      <c r="G3526" s="6">
        <v>20222.615322763693</v>
      </c>
      <c r="H3526" s="6">
        <v>27999.867880175818</v>
      </c>
      <c r="I3526" s="6">
        <v>28158.348393784439</v>
      </c>
      <c r="J3526" s="6">
        <v>14453.80020032209</v>
      </c>
      <c r="K3526" s="6">
        <v>27918.809087204252</v>
      </c>
      <c r="Q3526" s="6"/>
      <c r="R3526" s="6"/>
    </row>
    <row r="3527" spans="1:18" x14ac:dyDescent="0.2">
      <c r="A3527" s="1">
        <v>0.44791666666666702</v>
      </c>
      <c r="B3527" s="2">
        <v>6.16</v>
      </c>
      <c r="C3527" s="2">
        <v>3.8</v>
      </c>
      <c r="D3527" s="2">
        <v>5.0599999999999996</v>
      </c>
      <c r="E3527" s="2">
        <v>5.24</v>
      </c>
      <c r="F3527" s="2">
        <v>3.03</v>
      </c>
      <c r="G3527" s="6">
        <v>12282.668119030361</v>
      </c>
      <c r="H3527" s="6">
        <v>19601.16432950629</v>
      </c>
      <c r="I3527" s="6">
        <v>19526.345922371063</v>
      </c>
      <c r="J3527" s="6">
        <v>17278.407275166486</v>
      </c>
      <c r="K3527" s="6">
        <v>19454.73063427307</v>
      </c>
      <c r="Q3527" s="6"/>
      <c r="R3527" s="6"/>
    </row>
    <row r="3528" spans="1:18" x14ac:dyDescent="0.2">
      <c r="A3528" s="1">
        <v>0.44861111111111102</v>
      </c>
      <c r="B3528" s="2">
        <v>6.15</v>
      </c>
      <c r="C3528" s="2">
        <v>3.65</v>
      </c>
      <c r="D3528" s="2">
        <v>5.26</v>
      </c>
      <c r="E3528" s="2">
        <v>5.62</v>
      </c>
      <c r="F3528" s="2">
        <v>3.13</v>
      </c>
      <c r="G3528" s="6">
        <v>19078.569840869248</v>
      </c>
      <c r="H3528" s="6">
        <v>16617.686000349469</v>
      </c>
      <c r="I3528" s="6">
        <v>16709.974754769017</v>
      </c>
      <c r="J3528" s="6">
        <v>23881.325577128617</v>
      </c>
      <c r="K3528" s="6">
        <v>16557.997618525493</v>
      </c>
      <c r="Q3528" s="6"/>
      <c r="R3528" s="6"/>
    </row>
    <row r="3529" spans="1:18" x14ac:dyDescent="0.2">
      <c r="A3529" s="1">
        <v>0.44930555555555601</v>
      </c>
      <c r="B3529" s="2">
        <v>6.23</v>
      </c>
      <c r="C3529" s="2">
        <v>3.8</v>
      </c>
      <c r="D3529" s="2">
        <v>5.22</v>
      </c>
      <c r="E3529" s="2">
        <v>5.36</v>
      </c>
      <c r="F3529" s="2">
        <v>3.34</v>
      </c>
      <c r="G3529" s="6">
        <v>22946.9238026325</v>
      </c>
      <c r="H3529" s="6">
        <v>17734.673066802399</v>
      </c>
      <c r="I3529" s="6">
        <v>17728.136051665133</v>
      </c>
      <c r="J3529" s="6">
        <v>23468.491699876387</v>
      </c>
      <c r="K3529" s="6">
        <v>17693.764350185542</v>
      </c>
      <c r="Q3529" s="6"/>
      <c r="R3529" s="6"/>
    </row>
    <row r="3530" spans="1:18" x14ac:dyDescent="0.2">
      <c r="A3530" s="1">
        <v>0.45</v>
      </c>
      <c r="B3530" s="2">
        <v>6.23</v>
      </c>
      <c r="C3530" s="2">
        <v>3.63</v>
      </c>
      <c r="D3530" s="2">
        <v>5.29</v>
      </c>
      <c r="E3530" s="2">
        <v>5.6800000000000006</v>
      </c>
      <c r="F3530" s="2">
        <v>3.21</v>
      </c>
      <c r="G3530" s="6">
        <v>17454.672415456098</v>
      </c>
      <c r="H3530" s="6">
        <v>27795.885528063354</v>
      </c>
      <c r="I3530" s="6">
        <v>27735.095869826437</v>
      </c>
      <c r="J3530" s="6">
        <v>21246.820996838622</v>
      </c>
      <c r="K3530" s="6">
        <v>27633.446506432912</v>
      </c>
      <c r="Q3530" s="6"/>
      <c r="R3530" s="6"/>
    </row>
    <row r="3531" spans="1:18" x14ac:dyDescent="0.2">
      <c r="A3531" s="1">
        <v>0.45069444444444401</v>
      </c>
      <c r="B3531" s="2">
        <v>6.18</v>
      </c>
      <c r="C3531" s="2">
        <v>3.6799999999999997</v>
      </c>
      <c r="D3531" s="2">
        <v>4.9799999999999995</v>
      </c>
      <c r="E3531" s="2">
        <v>5.74</v>
      </c>
      <c r="F3531" s="2">
        <v>3.16</v>
      </c>
      <c r="G3531" s="6">
        <v>11627.312730092082</v>
      </c>
      <c r="H3531" s="6">
        <v>18163.449289382679</v>
      </c>
      <c r="I3531" s="6">
        <v>18093.2487528733</v>
      </c>
      <c r="J3531" s="6">
        <v>17148.596225069126</v>
      </c>
      <c r="K3531" s="6">
        <v>17949.073697154523</v>
      </c>
      <c r="Q3531" s="6"/>
      <c r="R3531" s="6"/>
    </row>
    <row r="3532" spans="1:18" x14ac:dyDescent="0.2">
      <c r="A3532" s="1">
        <v>0.45138888888888901</v>
      </c>
      <c r="B3532" s="2">
        <v>6.2</v>
      </c>
      <c r="C3532" s="2">
        <v>3.79</v>
      </c>
      <c r="D3532" s="2">
        <v>5.0299999999999994</v>
      </c>
      <c r="E3532" s="2">
        <v>5.6400000000000006</v>
      </c>
      <c r="F3532" s="2">
        <v>3.08</v>
      </c>
      <c r="G3532" s="6">
        <v>21368.984085349686</v>
      </c>
      <c r="H3532" s="6">
        <v>18638.196874714122</v>
      </c>
      <c r="I3532" s="6">
        <v>18756.266488564899</v>
      </c>
      <c r="J3532" s="6">
        <v>18558.987535801498</v>
      </c>
      <c r="K3532" s="6">
        <v>18565.691484571464</v>
      </c>
      <c r="Q3532" s="6"/>
      <c r="R3532" s="6"/>
    </row>
    <row r="3533" spans="1:18" x14ac:dyDescent="0.2">
      <c r="A3533" s="1">
        <v>0.452083333333333</v>
      </c>
      <c r="B3533" s="2">
        <v>6.34</v>
      </c>
      <c r="C3533" s="2">
        <v>3.86</v>
      </c>
      <c r="D3533" s="2">
        <v>4.9499999999999993</v>
      </c>
      <c r="E3533" s="2">
        <v>5.6000000000000005</v>
      </c>
      <c r="F3533" s="2">
        <v>3.13</v>
      </c>
      <c r="G3533" s="6">
        <v>17706.948383243976</v>
      </c>
      <c r="H3533" s="6">
        <v>23793.296289399219</v>
      </c>
      <c r="I3533" s="6">
        <v>23855.434179627791</v>
      </c>
      <c r="J3533" s="6">
        <v>20812.013819937616</v>
      </c>
      <c r="K3533" s="6">
        <v>23696.931426700001</v>
      </c>
      <c r="Q3533" s="6"/>
      <c r="R3533" s="6"/>
    </row>
    <row r="3534" spans="1:18" x14ac:dyDescent="0.2">
      <c r="A3534" s="1">
        <v>0.452777777777778</v>
      </c>
      <c r="B3534" s="2">
        <v>6.24</v>
      </c>
      <c r="C3534" s="2">
        <v>3.71</v>
      </c>
      <c r="D3534" s="2">
        <v>5.0599999999999996</v>
      </c>
      <c r="E3534" s="2">
        <v>5.53</v>
      </c>
      <c r="F3534" s="2">
        <v>3.41</v>
      </c>
      <c r="G3534" s="6">
        <v>17284.473517614635</v>
      </c>
      <c r="H3534" s="6">
        <v>25739.552607599533</v>
      </c>
      <c r="I3534" s="6">
        <v>25976.091566490675</v>
      </c>
      <c r="J3534" s="6">
        <v>11701.249568319134</v>
      </c>
      <c r="K3534" s="6">
        <v>25710.265876661797</v>
      </c>
      <c r="Q3534" s="6"/>
      <c r="R3534" s="6"/>
    </row>
    <row r="3535" spans="1:18" x14ac:dyDescent="0.2">
      <c r="A3535" s="1">
        <v>0.453472222222222</v>
      </c>
      <c r="B3535" s="2">
        <v>6.32</v>
      </c>
      <c r="C3535" s="2">
        <v>3.6999999999999997</v>
      </c>
      <c r="D3535" s="2">
        <v>5.3599999999999994</v>
      </c>
      <c r="E3535" s="2">
        <v>5.28</v>
      </c>
      <c r="F3535" s="2">
        <v>2.88</v>
      </c>
      <c r="G3535" s="6">
        <v>21529.10615304159</v>
      </c>
      <c r="H3535" s="6">
        <v>27118.502558106749</v>
      </c>
      <c r="I3535" s="6">
        <v>26878.428361992897</v>
      </c>
      <c r="J3535" s="6">
        <v>24115.610143100756</v>
      </c>
      <c r="K3535" s="6">
        <v>26855.224274254757</v>
      </c>
      <c r="Q3535" s="6"/>
      <c r="R3535" s="6"/>
    </row>
    <row r="3536" spans="1:18" x14ac:dyDescent="0.2">
      <c r="A3536" s="1">
        <v>0.454166666666667</v>
      </c>
      <c r="B3536" s="2">
        <v>6.18</v>
      </c>
      <c r="C3536" s="2">
        <v>3.6199999999999997</v>
      </c>
      <c r="D3536" s="2">
        <v>4.97</v>
      </c>
      <c r="E3536" s="2">
        <v>5.1400000000000006</v>
      </c>
      <c r="F3536" s="2">
        <v>3.05</v>
      </c>
      <c r="G3536" s="6">
        <v>12586.888880317445</v>
      </c>
      <c r="H3536" s="6">
        <v>18490.677392336875</v>
      </c>
      <c r="I3536" s="6">
        <v>18614.114966091645</v>
      </c>
      <c r="J3536" s="6">
        <v>13490.51772848345</v>
      </c>
      <c r="K3536" s="6">
        <v>18370.650428113011</v>
      </c>
      <c r="Q3536" s="6"/>
      <c r="R3536" s="6"/>
    </row>
    <row r="3537" spans="1:18" x14ac:dyDescent="0.2">
      <c r="A3537" s="1">
        <v>0.45486111111111099</v>
      </c>
      <c r="B3537" s="2">
        <v>6.34</v>
      </c>
      <c r="C3537" s="2">
        <v>3.81</v>
      </c>
      <c r="D3537" s="2">
        <v>5.04</v>
      </c>
      <c r="E3537" s="2">
        <v>5.4700000000000006</v>
      </c>
      <c r="F3537" s="2">
        <v>3.17</v>
      </c>
      <c r="G3537" s="6">
        <v>15049.060465004883</v>
      </c>
      <c r="H3537" s="6">
        <v>29604.510101701129</v>
      </c>
      <c r="I3537" s="6">
        <v>29719.914351266896</v>
      </c>
      <c r="J3537" s="6">
        <v>17087.829063487548</v>
      </c>
      <c r="K3537" s="6">
        <v>29596.063090995431</v>
      </c>
      <c r="Q3537" s="6"/>
      <c r="R3537" s="6"/>
    </row>
    <row r="3538" spans="1:18" x14ac:dyDescent="0.2">
      <c r="A3538" s="1">
        <v>0.45555555555555599</v>
      </c>
      <c r="B3538" s="2">
        <v>6.19</v>
      </c>
      <c r="C3538" s="2">
        <v>3.69</v>
      </c>
      <c r="D3538" s="2">
        <v>5.14</v>
      </c>
      <c r="E3538" s="2">
        <v>5.5500000000000007</v>
      </c>
      <c r="F3538" s="2">
        <v>2.9699999999999998</v>
      </c>
      <c r="G3538" s="6">
        <v>14184.327559305339</v>
      </c>
      <c r="H3538" s="6">
        <v>14510.385906918491</v>
      </c>
      <c r="I3538" s="6">
        <v>14636.928652216751</v>
      </c>
      <c r="J3538" s="6">
        <v>15789.061440442212</v>
      </c>
      <c r="K3538" s="6">
        <v>14376.218778826889</v>
      </c>
      <c r="Q3538" s="6"/>
      <c r="R3538" s="6"/>
    </row>
    <row r="3539" spans="1:18" x14ac:dyDescent="0.2">
      <c r="A3539" s="1">
        <v>0.45624999999999999</v>
      </c>
      <c r="B3539" s="2">
        <v>6.13</v>
      </c>
      <c r="C3539" s="2">
        <v>3.6999999999999997</v>
      </c>
      <c r="D3539" s="2">
        <v>5.18</v>
      </c>
      <c r="E3539" s="2">
        <v>5.78</v>
      </c>
      <c r="F3539" s="2">
        <v>3.1</v>
      </c>
      <c r="G3539" s="6">
        <v>21349.998010132509</v>
      </c>
      <c r="H3539" s="6">
        <v>15170.479006574958</v>
      </c>
      <c r="I3539" s="6">
        <v>15287.528699510493</v>
      </c>
      <c r="J3539" s="6">
        <v>24604.473570797585</v>
      </c>
      <c r="K3539" s="6">
        <v>15111.082328687145</v>
      </c>
      <c r="Q3539" s="6"/>
      <c r="R3539" s="6"/>
    </row>
    <row r="3540" spans="1:18" x14ac:dyDescent="0.2">
      <c r="A3540" s="1">
        <v>0.45694444444444399</v>
      </c>
      <c r="B3540" s="2">
        <v>6.16</v>
      </c>
      <c r="C3540" s="2">
        <v>3.9099999999999997</v>
      </c>
      <c r="D3540" s="2">
        <v>5.39</v>
      </c>
      <c r="E3540" s="2">
        <v>5.49</v>
      </c>
      <c r="F3540" s="2">
        <v>3.11</v>
      </c>
      <c r="G3540" s="6">
        <v>15195.114600166229</v>
      </c>
      <c r="H3540" s="6">
        <v>18097.387851538719</v>
      </c>
      <c r="I3540" s="6">
        <v>18190.597632172277</v>
      </c>
      <c r="J3540" s="6">
        <v>17702.412121021287</v>
      </c>
      <c r="K3540" s="6">
        <v>17945.890642848706</v>
      </c>
      <c r="Q3540" s="6"/>
      <c r="R3540" s="6"/>
    </row>
    <row r="3541" spans="1:18" x14ac:dyDescent="0.2">
      <c r="A3541" s="1">
        <v>0.45763888888888898</v>
      </c>
      <c r="B3541" s="2">
        <v>6.32</v>
      </c>
      <c r="C3541" s="2">
        <v>3.77</v>
      </c>
      <c r="D3541" s="2">
        <v>5.27</v>
      </c>
      <c r="E3541" s="2">
        <v>5.12</v>
      </c>
      <c r="F3541" s="2">
        <v>3.1799999999999997</v>
      </c>
      <c r="G3541" s="6">
        <v>20935.434549210833</v>
      </c>
      <c r="H3541" s="6">
        <v>28878.331333318758</v>
      </c>
      <c r="I3541" s="6">
        <v>29022.12361409243</v>
      </c>
      <c r="J3541" s="6">
        <v>17581.957570601637</v>
      </c>
      <c r="K3541" s="6">
        <v>28760.578588160541</v>
      </c>
      <c r="Q3541" s="6"/>
      <c r="R3541" s="6"/>
    </row>
    <row r="3542" spans="1:18" x14ac:dyDescent="0.2">
      <c r="A3542" s="3">
        <v>0.45833333333333298</v>
      </c>
      <c r="B3542" s="2">
        <v>6.24</v>
      </c>
      <c r="C3542" s="2">
        <v>3.82</v>
      </c>
      <c r="D3542" s="2">
        <v>5.12</v>
      </c>
      <c r="E3542" s="2">
        <v>5.41</v>
      </c>
      <c r="F3542" s="2">
        <v>3.22</v>
      </c>
      <c r="G3542" s="6">
        <v>21520</v>
      </c>
      <c r="H3542" s="6">
        <v>28140</v>
      </c>
      <c r="I3542" s="6">
        <v>28630</v>
      </c>
      <c r="J3542" s="6">
        <v>21240</v>
      </c>
      <c r="K3542" s="6">
        <v>29660</v>
      </c>
    </row>
    <row r="3543" spans="1:18" x14ac:dyDescent="0.2">
      <c r="A3543" s="1">
        <v>0.45902777777777798</v>
      </c>
      <c r="B3543" s="2">
        <v>6.23</v>
      </c>
      <c r="C3543" s="2">
        <v>3.9099999999999997</v>
      </c>
      <c r="D3543" s="2">
        <v>5.09</v>
      </c>
      <c r="E3543" s="2">
        <v>5.17</v>
      </c>
      <c r="F3543" s="2">
        <v>3.3899999999999997</v>
      </c>
      <c r="G3543" s="6">
        <v>19069.73696933399</v>
      </c>
      <c r="H3543" s="6">
        <v>25960.953520601503</v>
      </c>
      <c r="I3543" s="6">
        <v>23375.051876169091</v>
      </c>
      <c r="J3543" s="6">
        <v>20126.158200307622</v>
      </c>
      <c r="K3543" s="6">
        <v>26372.718417741322</v>
      </c>
    </row>
    <row r="3544" spans="1:18" x14ac:dyDescent="0.2">
      <c r="A3544" s="1">
        <v>0.45972222222222198</v>
      </c>
      <c r="B3544" s="2">
        <v>6.38</v>
      </c>
      <c r="C3544" s="2">
        <v>3.87</v>
      </c>
      <c r="D3544" s="2">
        <v>5.1999999999999993</v>
      </c>
      <c r="E3544" s="2">
        <v>5.7</v>
      </c>
      <c r="F3544" s="2">
        <v>3.41</v>
      </c>
      <c r="G3544" s="6">
        <v>27428.552854614678</v>
      </c>
      <c r="H3544" s="6">
        <v>25395.475914612216</v>
      </c>
      <c r="I3544" s="6">
        <v>27299.874972855665</v>
      </c>
      <c r="J3544" s="6">
        <v>23737.071292325672</v>
      </c>
      <c r="K3544" s="6">
        <v>24736.719852700338</v>
      </c>
    </row>
    <row r="3545" spans="1:18" x14ac:dyDescent="0.2">
      <c r="A3545" s="1">
        <v>0.46041666666666697</v>
      </c>
      <c r="B3545" s="2">
        <v>6.32</v>
      </c>
      <c r="C3545" s="2">
        <v>3.8</v>
      </c>
      <c r="D3545" s="2">
        <v>5.14</v>
      </c>
      <c r="E3545" s="2">
        <v>5.77</v>
      </c>
      <c r="F3545" s="2">
        <v>3.13</v>
      </c>
      <c r="G3545" s="6">
        <v>20187.8821221457</v>
      </c>
      <c r="H3545" s="6">
        <v>30868.38109686313</v>
      </c>
      <c r="I3545" s="6">
        <v>25044.722987135621</v>
      </c>
      <c r="J3545" s="6">
        <v>25074.124512510793</v>
      </c>
      <c r="K3545" s="6">
        <v>24109.463191691346</v>
      </c>
    </row>
    <row r="3546" spans="1:18" x14ac:dyDescent="0.2">
      <c r="A3546" s="1">
        <v>0.46111111111111103</v>
      </c>
      <c r="B3546" s="2">
        <v>6.36</v>
      </c>
      <c r="C3546" s="2">
        <v>3.8899999999999997</v>
      </c>
      <c r="D3546" s="2">
        <v>5.25</v>
      </c>
      <c r="E3546" s="2">
        <v>5.2299999999999995</v>
      </c>
      <c r="F3546" s="2">
        <v>3.21</v>
      </c>
      <c r="G3546" s="6">
        <v>23874.1394272611</v>
      </c>
      <c r="H3546" s="6">
        <v>26600.740433348394</v>
      </c>
      <c r="I3546" s="6">
        <v>26936.201198849416</v>
      </c>
      <c r="J3546" s="6">
        <v>20214.690149898201</v>
      </c>
      <c r="K3546" s="6">
        <v>21740.269082131294</v>
      </c>
    </row>
    <row r="3547" spans="1:18" x14ac:dyDescent="0.2">
      <c r="A3547" s="1">
        <v>0.46180555555555602</v>
      </c>
      <c r="B3547" s="2">
        <v>6.33</v>
      </c>
      <c r="C3547" s="2">
        <v>3.67</v>
      </c>
      <c r="D3547" s="2">
        <v>5.01</v>
      </c>
      <c r="E3547" s="2">
        <v>5.28</v>
      </c>
      <c r="F3547" s="2">
        <v>2.8899999999999997</v>
      </c>
      <c r="G3547" s="6">
        <v>28960.725229649641</v>
      </c>
      <c r="H3547" s="6">
        <v>29701.149293942821</v>
      </c>
      <c r="I3547" s="6">
        <v>24950.937760695215</v>
      </c>
      <c r="J3547" s="6">
        <v>23337.48145802589</v>
      </c>
      <c r="K3547" s="6">
        <v>22604.012384926871</v>
      </c>
    </row>
    <row r="3548" spans="1:18" x14ac:dyDescent="0.2">
      <c r="A3548" s="1">
        <v>0.46250000000000002</v>
      </c>
      <c r="B3548" s="2">
        <v>6.18</v>
      </c>
      <c r="C3548" s="2">
        <v>3.92</v>
      </c>
      <c r="D3548" s="2">
        <v>4.8899999999999997</v>
      </c>
      <c r="E3548" s="2">
        <v>5.43</v>
      </c>
      <c r="F3548" s="2">
        <v>2.92</v>
      </c>
      <c r="G3548" s="6">
        <v>28268.232501648239</v>
      </c>
      <c r="H3548" s="6">
        <v>30613.341567323765</v>
      </c>
      <c r="I3548" s="6">
        <v>21714.554356973877</v>
      </c>
      <c r="J3548" s="6">
        <v>28533.342596737457</v>
      </c>
      <c r="K3548" s="6">
        <v>27113.398386922207</v>
      </c>
    </row>
    <row r="3549" spans="1:18" x14ac:dyDescent="0.2">
      <c r="A3549" s="1">
        <v>0.46319444444444402</v>
      </c>
      <c r="B3549" s="2">
        <v>6.13</v>
      </c>
      <c r="C3549" s="2">
        <v>3.9</v>
      </c>
      <c r="D3549" s="2">
        <v>5.29</v>
      </c>
      <c r="E3549" s="2">
        <v>5.2299999999999995</v>
      </c>
      <c r="F3549" s="2">
        <v>2.9299999999999997</v>
      </c>
      <c r="G3549" s="6">
        <v>28872.162282323858</v>
      </c>
      <c r="H3549" s="6">
        <v>30772.296338806969</v>
      </c>
      <c r="I3549" s="6">
        <v>27802.62185515037</v>
      </c>
      <c r="J3549" s="6">
        <v>28426.244189437592</v>
      </c>
      <c r="K3549" s="6">
        <v>25983.742629559762</v>
      </c>
    </row>
    <row r="3550" spans="1:18" x14ac:dyDescent="0.2">
      <c r="A3550" s="1">
        <v>0.46388888888888902</v>
      </c>
      <c r="B3550" s="2">
        <v>6.38</v>
      </c>
      <c r="C3550" s="2">
        <v>3.88</v>
      </c>
      <c r="D3550" s="2">
        <v>5.2399999999999993</v>
      </c>
      <c r="E3550" s="2">
        <v>5.74</v>
      </c>
      <c r="F3550" s="2">
        <v>2.9</v>
      </c>
      <c r="G3550" s="6">
        <v>24139.742212660378</v>
      </c>
      <c r="H3550" s="6">
        <v>21986.994057653959</v>
      </c>
      <c r="I3550" s="6">
        <v>26248.980839133768</v>
      </c>
      <c r="J3550" s="6">
        <v>27057.773953952397</v>
      </c>
      <c r="K3550" s="6">
        <v>25768.000086716016</v>
      </c>
    </row>
    <row r="3551" spans="1:18" x14ac:dyDescent="0.2">
      <c r="A3551" s="1">
        <v>0.46458333333333302</v>
      </c>
      <c r="B3551" s="2">
        <v>6.17</v>
      </c>
      <c r="C3551" s="2">
        <v>3.84</v>
      </c>
      <c r="D3551" s="2">
        <v>5.3199999999999994</v>
      </c>
      <c r="E3551" s="2">
        <v>5.22</v>
      </c>
      <c r="F3551" s="2">
        <v>3.34</v>
      </c>
      <c r="G3551" s="6">
        <v>20600.822862576621</v>
      </c>
      <c r="H3551" s="6">
        <v>27251.374576738861</v>
      </c>
      <c r="I3551" s="6">
        <v>26740.281153408279</v>
      </c>
      <c r="J3551" s="6">
        <v>21764.103450205213</v>
      </c>
      <c r="K3551" s="6">
        <v>23939.823654234708</v>
      </c>
    </row>
    <row r="3552" spans="1:18" x14ac:dyDescent="0.2">
      <c r="A3552" s="1">
        <v>0.46527777777777801</v>
      </c>
      <c r="B3552" s="2">
        <v>6.2700000000000005</v>
      </c>
      <c r="C3552" s="2">
        <v>3.6999999999999997</v>
      </c>
      <c r="D3552" s="2">
        <v>5.27</v>
      </c>
      <c r="E3552" s="2">
        <v>5.43</v>
      </c>
      <c r="F3552" s="2">
        <v>3.09</v>
      </c>
      <c r="G3552" s="6">
        <v>25457.961022261832</v>
      </c>
      <c r="H3552" s="6">
        <v>29396.386832415963</v>
      </c>
      <c r="I3552" s="6">
        <v>21136.248788841582</v>
      </c>
      <c r="J3552" s="6">
        <v>21594.71216011449</v>
      </c>
      <c r="K3552" s="6">
        <v>26617.93026139764</v>
      </c>
    </row>
    <row r="3553" spans="1:11" x14ac:dyDescent="0.2">
      <c r="A3553" s="1">
        <v>0.46597222222222201</v>
      </c>
      <c r="B3553" s="2">
        <v>6.3</v>
      </c>
      <c r="C3553" s="2">
        <v>3.75</v>
      </c>
      <c r="D3553" s="2">
        <v>4.9399999999999995</v>
      </c>
      <c r="E3553" s="2">
        <v>5.35</v>
      </c>
      <c r="F3553" s="2">
        <v>2.98</v>
      </c>
      <c r="G3553" s="6">
        <v>27155.051478388537</v>
      </c>
      <c r="H3553" s="6">
        <v>26304.878945206845</v>
      </c>
      <c r="I3553" s="6">
        <v>26184.843948983693</v>
      </c>
      <c r="J3553" s="6">
        <v>20577.306288635235</v>
      </c>
      <c r="K3553" s="6">
        <v>24170.027939110754</v>
      </c>
    </row>
    <row r="3554" spans="1:11" x14ac:dyDescent="0.2">
      <c r="A3554" s="1">
        <v>0.46666666666666701</v>
      </c>
      <c r="B3554" s="2">
        <v>6.26</v>
      </c>
      <c r="C3554" s="2">
        <v>3.6799999999999997</v>
      </c>
      <c r="D3554" s="2">
        <v>5.05</v>
      </c>
      <c r="E3554" s="2">
        <v>5.21</v>
      </c>
      <c r="F3554" s="2">
        <v>3.4</v>
      </c>
      <c r="G3554" s="6">
        <v>19267.556043224973</v>
      </c>
      <c r="H3554" s="6">
        <v>26497.061658874631</v>
      </c>
      <c r="I3554" s="6">
        <v>24544.514175730594</v>
      </c>
      <c r="J3554" s="6">
        <v>21817.70938569148</v>
      </c>
      <c r="K3554" s="6">
        <v>22195.349273968219</v>
      </c>
    </row>
    <row r="3555" spans="1:11" x14ac:dyDescent="0.2">
      <c r="A3555" s="1">
        <v>0.46736111111111101</v>
      </c>
      <c r="B3555" s="2">
        <v>6.22</v>
      </c>
      <c r="C3555" s="2">
        <v>3.61</v>
      </c>
      <c r="D3555" s="2">
        <v>5.17</v>
      </c>
      <c r="E3555" s="2">
        <v>5.5</v>
      </c>
      <c r="F3555" s="2">
        <v>3.29</v>
      </c>
      <c r="G3555" s="6">
        <v>22634.389908311572</v>
      </c>
      <c r="H3555" s="6">
        <v>30594.117600717265</v>
      </c>
      <c r="I3555" s="6">
        <v>25007.158190516162</v>
      </c>
      <c r="J3555" s="6">
        <v>27782.122092526595</v>
      </c>
      <c r="K3555" s="6">
        <v>22936.090665176362</v>
      </c>
    </row>
    <row r="3556" spans="1:11" x14ac:dyDescent="0.2">
      <c r="A3556" s="1">
        <v>0.468055555555556</v>
      </c>
      <c r="B3556" s="2">
        <v>6.36</v>
      </c>
      <c r="C3556" s="2">
        <v>3.8</v>
      </c>
      <c r="D3556" s="2">
        <v>4.9799999999999995</v>
      </c>
      <c r="E3556" s="2">
        <v>5.31</v>
      </c>
      <c r="F3556" s="2">
        <v>2.8899999999999997</v>
      </c>
      <c r="G3556" s="6">
        <v>25585.975309082191</v>
      </c>
      <c r="H3556" s="6">
        <v>32763.42719008624</v>
      </c>
      <c r="I3556" s="6">
        <v>27717.513287904425</v>
      </c>
      <c r="J3556" s="6">
        <v>20285.945449605155</v>
      </c>
      <c r="K3556" s="6">
        <v>24598.43992880841</v>
      </c>
    </row>
    <row r="3557" spans="1:11" x14ac:dyDescent="0.2">
      <c r="A3557" s="1">
        <v>0.46875</v>
      </c>
      <c r="B3557" s="2">
        <v>6.2700000000000005</v>
      </c>
      <c r="C3557" s="2">
        <v>3.7199999999999998</v>
      </c>
      <c r="D3557" s="2">
        <v>5.18</v>
      </c>
      <c r="E3557" s="2">
        <v>5.65</v>
      </c>
      <c r="F3557" s="2">
        <v>3.1</v>
      </c>
      <c r="G3557" s="6">
        <v>20306.509989325525</v>
      </c>
      <c r="H3557" s="6">
        <v>27706.434749596498</v>
      </c>
      <c r="I3557" s="6">
        <v>20700.374962684025</v>
      </c>
      <c r="J3557" s="6">
        <v>27923.15371385013</v>
      </c>
      <c r="K3557" s="6">
        <v>25428.401360689502</v>
      </c>
    </row>
    <row r="3558" spans="1:11" x14ac:dyDescent="0.2">
      <c r="A3558" s="1">
        <v>0.469444444444444</v>
      </c>
      <c r="B3558" s="2">
        <v>6.24</v>
      </c>
      <c r="C3558" s="2">
        <v>3.6199999999999997</v>
      </c>
      <c r="D3558" s="2">
        <v>5.3599999999999994</v>
      </c>
      <c r="E3558" s="2">
        <v>5.29</v>
      </c>
      <c r="F3558" s="2">
        <v>2.98</v>
      </c>
      <c r="G3558" s="6">
        <v>28326.467784937158</v>
      </c>
      <c r="H3558" s="6">
        <v>26324.138778955745</v>
      </c>
      <c r="I3558" s="6">
        <v>25804.086539761385</v>
      </c>
      <c r="J3558" s="6">
        <v>25323.040165440583</v>
      </c>
      <c r="K3558" s="6">
        <v>25847.506432367725</v>
      </c>
    </row>
    <row r="3559" spans="1:11" x14ac:dyDescent="0.2">
      <c r="A3559" s="1">
        <v>0.47013888888888899</v>
      </c>
      <c r="B3559" s="2">
        <v>6.36</v>
      </c>
      <c r="C3559" s="2">
        <v>3.67</v>
      </c>
      <c r="D3559" s="2">
        <v>5.34</v>
      </c>
      <c r="E3559" s="2">
        <v>5.27</v>
      </c>
      <c r="F3559" s="2">
        <v>3.25</v>
      </c>
      <c r="G3559" s="6">
        <v>20977.744697100625</v>
      </c>
      <c r="H3559" s="6">
        <v>20985.793772461027</v>
      </c>
      <c r="I3559" s="6">
        <v>22760.417187259118</v>
      </c>
      <c r="J3559" s="6">
        <v>26114.920526229209</v>
      </c>
      <c r="K3559" s="6">
        <v>24607.91780079282</v>
      </c>
    </row>
    <row r="3560" spans="1:11" x14ac:dyDescent="0.2">
      <c r="A3560" s="1">
        <v>0.47083333333333299</v>
      </c>
      <c r="B3560" s="2">
        <v>6.21</v>
      </c>
      <c r="C3560" s="2">
        <v>3.73</v>
      </c>
      <c r="D3560" s="2">
        <v>5.34</v>
      </c>
      <c r="E3560" s="2">
        <v>5.56</v>
      </c>
      <c r="F3560" s="2">
        <v>3.1799999999999997</v>
      </c>
      <c r="G3560" s="6">
        <v>24222.865613962622</v>
      </c>
      <c r="H3560" s="6">
        <v>21514.733497843637</v>
      </c>
      <c r="I3560" s="6">
        <v>24981.042146335039</v>
      </c>
      <c r="J3560" s="6">
        <v>24321.772192060107</v>
      </c>
      <c r="K3560" s="6">
        <v>25224.182278064811</v>
      </c>
    </row>
    <row r="3561" spans="1:11" x14ac:dyDescent="0.2">
      <c r="A3561" s="1">
        <v>0.47152777777777799</v>
      </c>
      <c r="B3561" s="2">
        <v>6.18</v>
      </c>
      <c r="C3561" s="2">
        <v>3.6599999999999997</v>
      </c>
      <c r="D3561" s="2">
        <v>5.1099999999999994</v>
      </c>
      <c r="E3561" s="2">
        <v>5.75</v>
      </c>
      <c r="F3561" s="2">
        <v>2.92</v>
      </c>
      <c r="G3561" s="6">
        <v>25808.614013135128</v>
      </c>
      <c r="H3561" s="6">
        <v>26674.450961693015</v>
      </c>
      <c r="I3561" s="6">
        <v>23708.944864911937</v>
      </c>
      <c r="J3561" s="6">
        <v>27888.700064159395</v>
      </c>
      <c r="K3561" s="6">
        <v>22279.377353127446</v>
      </c>
    </row>
    <row r="3562" spans="1:11" x14ac:dyDescent="0.2">
      <c r="A3562" s="1">
        <v>0.47222222222222199</v>
      </c>
      <c r="B3562" s="2">
        <v>6.34</v>
      </c>
      <c r="C3562" s="2">
        <v>3.69</v>
      </c>
      <c r="D3562" s="2">
        <v>5.2399999999999993</v>
      </c>
      <c r="E3562" s="2">
        <v>5.26</v>
      </c>
      <c r="F3562" s="2">
        <v>3.15</v>
      </c>
      <c r="G3562" s="6">
        <v>22184.165488590505</v>
      </c>
      <c r="H3562" s="6">
        <v>25750.285184775268</v>
      </c>
      <c r="I3562" s="6">
        <v>26164.594847100368</v>
      </c>
      <c r="J3562" s="6">
        <v>21909.890176011206</v>
      </c>
      <c r="K3562" s="6">
        <v>21911.760538904553</v>
      </c>
    </row>
    <row r="3563" spans="1:11" x14ac:dyDescent="0.2">
      <c r="A3563" s="1">
        <v>0.47291666666666698</v>
      </c>
      <c r="B3563" s="2">
        <v>6.15</v>
      </c>
      <c r="C3563" s="2">
        <v>3.84</v>
      </c>
      <c r="D3563" s="2">
        <v>5.34</v>
      </c>
      <c r="E3563" s="2">
        <v>5.31</v>
      </c>
      <c r="F3563" s="2">
        <v>2.88</v>
      </c>
      <c r="G3563" s="6">
        <v>22692.553171120198</v>
      </c>
      <c r="H3563" s="6">
        <v>23264.9779458499</v>
      </c>
      <c r="I3563" s="6">
        <v>23364.049487246415</v>
      </c>
      <c r="J3563" s="6">
        <v>22049.400526136869</v>
      </c>
      <c r="K3563" s="6">
        <v>25310.945971343284</v>
      </c>
    </row>
    <row r="3564" spans="1:11" x14ac:dyDescent="0.2">
      <c r="A3564" s="1">
        <v>0.47361111111111098</v>
      </c>
      <c r="B3564" s="2">
        <v>6.17</v>
      </c>
      <c r="C3564" s="2">
        <v>3.75</v>
      </c>
      <c r="D3564" s="2">
        <v>5</v>
      </c>
      <c r="E3564" s="2">
        <v>5.67</v>
      </c>
      <c r="F3564" s="2">
        <v>2.9499999999999997</v>
      </c>
      <c r="G3564" s="6">
        <v>26687.266081230791</v>
      </c>
      <c r="H3564" s="6">
        <v>28498.639327887486</v>
      </c>
      <c r="I3564" s="6">
        <v>21075.518373488329</v>
      </c>
      <c r="J3564" s="6">
        <v>22825.344633366705</v>
      </c>
      <c r="K3564" s="6">
        <v>25112.085983964658</v>
      </c>
    </row>
    <row r="3565" spans="1:11" x14ac:dyDescent="0.2">
      <c r="A3565" s="1">
        <v>0.47430555555555598</v>
      </c>
      <c r="B3565" s="2">
        <v>6.2700000000000005</v>
      </c>
      <c r="C3565" s="2">
        <v>3.71</v>
      </c>
      <c r="D3565" s="2">
        <v>5.26</v>
      </c>
      <c r="E3565" s="2">
        <v>5.54</v>
      </c>
      <c r="F3565" s="2">
        <v>3.37</v>
      </c>
      <c r="G3565" s="6">
        <v>19152.907169770446</v>
      </c>
      <c r="H3565" s="6">
        <v>29960.65269419174</v>
      </c>
      <c r="I3565" s="6">
        <v>26499.532920676578</v>
      </c>
      <c r="J3565" s="6">
        <v>24460.534097129083</v>
      </c>
      <c r="K3565" s="6">
        <v>27906.495691995919</v>
      </c>
    </row>
    <row r="3566" spans="1:11" x14ac:dyDescent="0.2">
      <c r="A3566" s="1">
        <v>0.47499999999999998</v>
      </c>
      <c r="B3566" s="2">
        <v>6.24</v>
      </c>
      <c r="C3566" s="2">
        <v>3.6799999999999997</v>
      </c>
      <c r="D3566" s="2">
        <v>4.9899999999999993</v>
      </c>
      <c r="E3566" s="2">
        <v>5.72</v>
      </c>
      <c r="F3566" s="2">
        <v>3.25</v>
      </c>
      <c r="G3566" s="6">
        <v>18695.874877061775</v>
      </c>
      <c r="H3566" s="6">
        <v>21371.312637827461</v>
      </c>
      <c r="I3566" s="6">
        <v>20157.11690357207</v>
      </c>
      <c r="J3566" s="6">
        <v>27180.825399997415</v>
      </c>
      <c r="K3566" s="6">
        <v>26130.408750618873</v>
      </c>
    </row>
    <row r="3567" spans="1:11" x14ac:dyDescent="0.2">
      <c r="A3567" s="1">
        <v>0.47569444444444398</v>
      </c>
      <c r="B3567" s="2">
        <v>6.3100000000000005</v>
      </c>
      <c r="C3567" s="2">
        <v>3.8899999999999997</v>
      </c>
      <c r="D3567" s="2">
        <v>5.0999999999999996</v>
      </c>
      <c r="E3567" s="2">
        <v>5.3</v>
      </c>
      <c r="F3567" s="2">
        <v>3.33</v>
      </c>
      <c r="G3567" s="6">
        <v>27599.861818182806</v>
      </c>
      <c r="H3567" s="6">
        <v>24433.338135958904</v>
      </c>
      <c r="I3567" s="6">
        <v>27520.006955963927</v>
      </c>
      <c r="J3567" s="6">
        <v>25404.447718762221</v>
      </c>
      <c r="K3567" s="6">
        <v>25849.413593332698</v>
      </c>
    </row>
    <row r="3568" spans="1:11" x14ac:dyDescent="0.2">
      <c r="A3568" s="1">
        <v>0.47638888888888897</v>
      </c>
      <c r="B3568" s="2">
        <v>6.19</v>
      </c>
      <c r="C3568" s="2">
        <v>3.61</v>
      </c>
      <c r="D3568" s="2">
        <v>5.31</v>
      </c>
      <c r="E3568" s="2">
        <v>5.17</v>
      </c>
      <c r="F3568" s="2">
        <v>3.34</v>
      </c>
      <c r="G3568" s="6">
        <v>29102.294292787847</v>
      </c>
      <c r="H3568" s="6">
        <v>28172.308321968219</v>
      </c>
      <c r="I3568" s="6">
        <v>22941.965846432442</v>
      </c>
      <c r="J3568" s="6">
        <v>25716.29753702609</v>
      </c>
      <c r="K3568" s="6">
        <v>25464.257367922084</v>
      </c>
    </row>
    <row r="3569" spans="1:11" x14ac:dyDescent="0.2">
      <c r="A3569" s="1">
        <v>0.47708333333333303</v>
      </c>
      <c r="B3569" s="2">
        <v>6.3500000000000005</v>
      </c>
      <c r="C3569" s="2">
        <v>3.87</v>
      </c>
      <c r="D3569" s="2">
        <v>5.16</v>
      </c>
      <c r="E3569" s="2">
        <v>5.45</v>
      </c>
      <c r="F3569" s="2">
        <v>3.2199999999999998</v>
      </c>
      <c r="G3569" s="6">
        <v>27819.214015649693</v>
      </c>
      <c r="H3569" s="6">
        <v>21805.185534616881</v>
      </c>
      <c r="I3569" s="6">
        <v>24899.295747900294</v>
      </c>
      <c r="J3569" s="6">
        <v>21715.53482218787</v>
      </c>
      <c r="K3569" s="6">
        <v>28045.773876389179</v>
      </c>
    </row>
    <row r="3570" spans="1:11" x14ac:dyDescent="0.2">
      <c r="A3570" s="1">
        <v>0.47777777777777802</v>
      </c>
      <c r="B3570" s="2">
        <v>6.38</v>
      </c>
      <c r="C3570" s="2">
        <v>3.73</v>
      </c>
      <c r="D3570" s="2">
        <v>4.9499999999999993</v>
      </c>
      <c r="E3570" s="2">
        <v>5.57</v>
      </c>
      <c r="F3570" s="2">
        <v>2.9899999999999998</v>
      </c>
      <c r="G3570" s="6">
        <v>25607.194082229809</v>
      </c>
      <c r="H3570" s="6">
        <v>27419.816755248306</v>
      </c>
      <c r="I3570" s="6">
        <v>25317.961246988794</v>
      </c>
      <c r="J3570" s="6">
        <v>27094.479518025986</v>
      </c>
      <c r="K3570" s="6">
        <v>22104.172989349772</v>
      </c>
    </row>
    <row r="3571" spans="1:11" x14ac:dyDescent="0.2">
      <c r="A3571" s="1">
        <v>0.47847222222222202</v>
      </c>
      <c r="B3571" s="2">
        <v>6.14</v>
      </c>
      <c r="C3571" s="2">
        <v>3.81</v>
      </c>
      <c r="D3571" s="2">
        <v>5.3699999999999992</v>
      </c>
      <c r="E3571" s="2">
        <v>5.16</v>
      </c>
      <c r="F3571" s="2">
        <v>3.05</v>
      </c>
      <c r="G3571" s="6">
        <v>22768.710748355668</v>
      </c>
      <c r="H3571" s="6">
        <v>30514.420772807749</v>
      </c>
      <c r="I3571" s="6">
        <v>24037.947058036869</v>
      </c>
      <c r="J3571" s="6">
        <v>26057.25811722155</v>
      </c>
      <c r="K3571" s="6">
        <v>28637.832538934112</v>
      </c>
    </row>
    <row r="3572" spans="1:11" x14ac:dyDescent="0.2">
      <c r="A3572" s="1">
        <v>0.47916666666666702</v>
      </c>
      <c r="B3572" s="2">
        <v>6.2700000000000005</v>
      </c>
      <c r="C3572" s="2">
        <v>3.65</v>
      </c>
      <c r="D3572" s="2">
        <v>5.22</v>
      </c>
      <c r="E3572" s="2">
        <v>5.49</v>
      </c>
      <c r="F3572" s="2">
        <v>3.07</v>
      </c>
      <c r="G3572" s="6">
        <v>22205.173444137145</v>
      </c>
      <c r="H3572" s="6">
        <v>27063.454506805145</v>
      </c>
      <c r="I3572" s="6">
        <v>20659.946898419308</v>
      </c>
      <c r="J3572" s="6">
        <v>25110.063849746726</v>
      </c>
      <c r="K3572" s="6">
        <v>26048.05858841868</v>
      </c>
    </row>
    <row r="3573" spans="1:11" x14ac:dyDescent="0.2">
      <c r="A3573" s="1">
        <v>0.47986111111111102</v>
      </c>
      <c r="B3573" s="2">
        <v>6.14</v>
      </c>
      <c r="C3573" s="2">
        <v>3.73</v>
      </c>
      <c r="D3573" s="2">
        <v>4.96</v>
      </c>
      <c r="E3573" s="2">
        <v>5.59</v>
      </c>
      <c r="F3573" s="2">
        <v>3.03</v>
      </c>
      <c r="G3573" s="6">
        <v>26728.525576512358</v>
      </c>
      <c r="H3573" s="6">
        <v>26724.772954708791</v>
      </c>
      <c r="I3573" s="6">
        <v>19894.137227415184</v>
      </c>
      <c r="J3573" s="6">
        <v>21539.240327400246</v>
      </c>
      <c r="K3573" s="6">
        <v>28271.39464646237</v>
      </c>
    </row>
    <row r="3574" spans="1:11" x14ac:dyDescent="0.2">
      <c r="A3574" s="1">
        <v>0.48055555555555601</v>
      </c>
      <c r="B3574" s="2">
        <v>6.13</v>
      </c>
      <c r="C3574" s="2">
        <v>3.6799999999999997</v>
      </c>
      <c r="D3574" s="2">
        <v>5.05</v>
      </c>
      <c r="E3574" s="2">
        <v>5.36</v>
      </c>
      <c r="F3574" s="2">
        <v>3.38</v>
      </c>
      <c r="G3574" s="6">
        <v>29494.180507724879</v>
      </c>
      <c r="H3574" s="6">
        <v>20893.838443451037</v>
      </c>
      <c r="I3574" s="6">
        <v>25431.652516346589</v>
      </c>
      <c r="J3574" s="6">
        <v>26311.318028913451</v>
      </c>
      <c r="K3574" s="6">
        <v>23750.707900474539</v>
      </c>
    </row>
    <row r="3575" spans="1:11" x14ac:dyDescent="0.2">
      <c r="A3575" s="1">
        <v>0.48125000000000001</v>
      </c>
      <c r="B3575" s="2">
        <v>6.2700000000000005</v>
      </c>
      <c r="C3575" s="2">
        <v>3.9</v>
      </c>
      <c r="D3575" s="2">
        <v>5.13</v>
      </c>
      <c r="E3575" s="2">
        <v>5.31</v>
      </c>
      <c r="F3575" s="2">
        <v>3.1799999999999997</v>
      </c>
      <c r="G3575" s="6">
        <v>23232.376394538293</v>
      </c>
      <c r="H3575" s="6">
        <v>25559.571538457418</v>
      </c>
      <c r="I3575" s="6">
        <v>25832.504528717836</v>
      </c>
      <c r="J3575" s="6">
        <v>24486.907176734698</v>
      </c>
      <c r="K3575" s="6">
        <v>26465.610533902996</v>
      </c>
    </row>
    <row r="3576" spans="1:11" x14ac:dyDescent="0.2">
      <c r="A3576" s="1">
        <v>0.48194444444444401</v>
      </c>
      <c r="B3576" s="2">
        <v>6.38</v>
      </c>
      <c r="C3576" s="2">
        <v>3.67</v>
      </c>
      <c r="D3576" s="2">
        <v>5.38</v>
      </c>
      <c r="E3576" s="2">
        <v>5.28</v>
      </c>
      <c r="F3576" s="2">
        <v>3.36</v>
      </c>
      <c r="G3576" s="6">
        <v>22613.456294508404</v>
      </c>
      <c r="H3576" s="6">
        <v>32014.517582163407</v>
      </c>
      <c r="I3576" s="6">
        <v>19755.604817154148</v>
      </c>
      <c r="J3576" s="6">
        <v>23635.584248812116</v>
      </c>
      <c r="K3576" s="6">
        <v>26543.199534463889</v>
      </c>
    </row>
    <row r="3577" spans="1:11" x14ac:dyDescent="0.2">
      <c r="A3577" s="1">
        <v>0.48263888888888901</v>
      </c>
      <c r="B3577" s="2">
        <v>6.24</v>
      </c>
      <c r="C3577" s="2">
        <v>3.8</v>
      </c>
      <c r="D3577" s="2">
        <v>5.2799999999999994</v>
      </c>
      <c r="E3577" s="2">
        <v>5.72</v>
      </c>
      <c r="F3577" s="2">
        <v>3.07</v>
      </c>
      <c r="G3577" s="6">
        <v>26309.198270427612</v>
      </c>
      <c r="H3577" s="6">
        <v>32096.351771807476</v>
      </c>
      <c r="I3577" s="6">
        <v>28459.582226013939</v>
      </c>
      <c r="J3577" s="6">
        <v>27306.53459289192</v>
      </c>
      <c r="K3577" s="6">
        <v>26939.291222565374</v>
      </c>
    </row>
    <row r="3578" spans="1:11" x14ac:dyDescent="0.2">
      <c r="A3578" s="1">
        <v>0.483333333333333</v>
      </c>
      <c r="B3578" s="2">
        <v>6.33</v>
      </c>
      <c r="C3578" s="2">
        <v>3.75</v>
      </c>
      <c r="D3578" s="2">
        <v>4.92</v>
      </c>
      <c r="E3578" s="2">
        <v>5.36</v>
      </c>
      <c r="F3578" s="2">
        <v>2.9</v>
      </c>
      <c r="G3578" s="6">
        <v>22409.322356141845</v>
      </c>
      <c r="H3578" s="6">
        <v>21975.325127226544</v>
      </c>
      <c r="I3578" s="6">
        <v>19780.017826799794</v>
      </c>
      <c r="J3578" s="6">
        <v>24419.820217391913</v>
      </c>
      <c r="K3578" s="6">
        <v>23222.013413829609</v>
      </c>
    </row>
    <row r="3579" spans="1:11" x14ac:dyDescent="0.2">
      <c r="A3579" s="1">
        <v>0.484027777777778</v>
      </c>
      <c r="B3579" s="2">
        <v>6.2</v>
      </c>
      <c r="C3579" s="2">
        <v>3.8899999999999997</v>
      </c>
      <c r="D3579" s="2">
        <v>5.27</v>
      </c>
      <c r="E3579" s="2">
        <v>5.68</v>
      </c>
      <c r="F3579" s="2">
        <v>3.07</v>
      </c>
      <c r="G3579" s="6">
        <v>27888.987533303345</v>
      </c>
      <c r="H3579" s="6">
        <v>24132.947367177752</v>
      </c>
      <c r="I3579" s="6">
        <v>20620.720412237715</v>
      </c>
      <c r="J3579" s="6">
        <v>22193.793041395085</v>
      </c>
      <c r="K3579" s="6">
        <v>22602.0386608681</v>
      </c>
    </row>
    <row r="3580" spans="1:11" x14ac:dyDescent="0.2">
      <c r="A3580" s="1">
        <v>0.484722222222222</v>
      </c>
      <c r="B3580" s="2">
        <v>6.2</v>
      </c>
      <c r="C3580" s="2">
        <v>3.87</v>
      </c>
      <c r="D3580" s="2">
        <v>5.31</v>
      </c>
      <c r="E3580" s="2">
        <v>5.25</v>
      </c>
      <c r="F3580" s="2">
        <v>2.9899999999999998</v>
      </c>
      <c r="G3580" s="6">
        <v>26186.046959083887</v>
      </c>
      <c r="H3580" s="6">
        <v>23221.272141344052</v>
      </c>
      <c r="I3580" s="6">
        <v>22184.832916660511</v>
      </c>
      <c r="J3580" s="6">
        <v>24006.364765661623</v>
      </c>
      <c r="K3580" s="6">
        <v>22505.092864000002</v>
      </c>
    </row>
    <row r="3581" spans="1:11" x14ac:dyDescent="0.2">
      <c r="A3581" s="1">
        <v>0.485416666666667</v>
      </c>
      <c r="B3581" s="2">
        <v>6.12</v>
      </c>
      <c r="C3581" s="2">
        <v>3.78</v>
      </c>
      <c r="D3581" s="2">
        <v>5.01</v>
      </c>
      <c r="E3581" s="2">
        <v>5.38</v>
      </c>
      <c r="F3581" s="2">
        <v>3.15</v>
      </c>
      <c r="G3581" s="6">
        <v>29073.380063336055</v>
      </c>
      <c r="H3581" s="6">
        <v>30352.543773042424</v>
      </c>
      <c r="I3581" s="6">
        <v>25240.730322253989</v>
      </c>
      <c r="J3581" s="6">
        <v>25567.561330334222</v>
      </c>
      <c r="K3581" s="6">
        <v>26416.138081997688</v>
      </c>
    </row>
    <row r="3582" spans="1:11" x14ac:dyDescent="0.2">
      <c r="A3582" s="1">
        <v>0.48611111111111099</v>
      </c>
      <c r="B3582" s="2">
        <v>6.22</v>
      </c>
      <c r="C3582" s="2">
        <v>3.75</v>
      </c>
      <c r="D3582" s="2">
        <v>5.17</v>
      </c>
      <c r="E3582" s="2">
        <v>5.78</v>
      </c>
      <c r="F3582" s="2">
        <v>3.15</v>
      </c>
      <c r="G3582" s="6">
        <v>19167.823164714955</v>
      </c>
      <c r="H3582" s="6">
        <v>31153.2542551345</v>
      </c>
      <c r="I3582" s="6">
        <v>26136.127337127229</v>
      </c>
      <c r="J3582" s="6">
        <v>26156.295263544489</v>
      </c>
      <c r="K3582" s="6">
        <v>22920.8508827732</v>
      </c>
    </row>
    <row r="3583" spans="1:11" x14ac:dyDescent="0.2">
      <c r="A3583" s="1">
        <v>0.48680555555555599</v>
      </c>
      <c r="B3583" s="2">
        <v>6.3500000000000005</v>
      </c>
      <c r="C3583" s="2">
        <v>3.79</v>
      </c>
      <c r="D3583" s="2">
        <v>5.26</v>
      </c>
      <c r="E3583" s="2">
        <v>5.64</v>
      </c>
      <c r="F3583" s="2">
        <v>3.17</v>
      </c>
      <c r="G3583" s="6">
        <v>24344.876422531797</v>
      </c>
      <c r="H3583" s="6">
        <v>23953.20012912737</v>
      </c>
      <c r="I3583" s="6">
        <v>21314.111607045783</v>
      </c>
      <c r="J3583" s="6">
        <v>28120.278202521986</v>
      </c>
      <c r="K3583" s="6">
        <v>24128.037647671605</v>
      </c>
    </row>
    <row r="3584" spans="1:11" x14ac:dyDescent="0.2">
      <c r="A3584" s="1">
        <v>0.48749999999999999</v>
      </c>
      <c r="B3584" s="2">
        <v>6.36</v>
      </c>
      <c r="C3584" s="2">
        <v>3.88</v>
      </c>
      <c r="D3584" s="2">
        <v>5.27</v>
      </c>
      <c r="E3584" s="2">
        <v>5.21</v>
      </c>
      <c r="F3584" s="2">
        <v>2.9699999999999998</v>
      </c>
      <c r="G3584" s="6">
        <v>23784.188757910684</v>
      </c>
      <c r="H3584" s="6">
        <v>27444.976406197391</v>
      </c>
      <c r="I3584" s="6">
        <v>26896.87400801542</v>
      </c>
      <c r="J3584" s="6">
        <v>27080.507912160283</v>
      </c>
      <c r="K3584" s="6">
        <v>25497.813697419831</v>
      </c>
    </row>
    <row r="3585" spans="1:11" x14ac:dyDescent="0.2">
      <c r="A3585" s="1">
        <v>0.48819444444444399</v>
      </c>
      <c r="B3585" s="2">
        <v>6.3500000000000005</v>
      </c>
      <c r="C3585" s="2">
        <v>3.75</v>
      </c>
      <c r="D3585" s="2">
        <v>5</v>
      </c>
      <c r="E3585" s="2">
        <v>5.56</v>
      </c>
      <c r="F3585" s="2">
        <v>3.03</v>
      </c>
      <c r="G3585" s="6">
        <v>23523.674024035499</v>
      </c>
      <c r="H3585" s="6">
        <v>32163.277422239189</v>
      </c>
      <c r="I3585" s="6">
        <v>22125.963680942241</v>
      </c>
      <c r="J3585" s="6">
        <v>23510.847708252539</v>
      </c>
      <c r="K3585" s="6">
        <v>23571.65276458866</v>
      </c>
    </row>
    <row r="3586" spans="1:11" x14ac:dyDescent="0.2">
      <c r="A3586" s="1">
        <v>0.48888888888888898</v>
      </c>
      <c r="B3586" s="2">
        <v>6.17</v>
      </c>
      <c r="C3586" s="2">
        <v>3.63</v>
      </c>
      <c r="D3586" s="2">
        <v>5.25</v>
      </c>
      <c r="E3586" s="2">
        <v>5.26</v>
      </c>
      <c r="F3586" s="2">
        <v>3.09</v>
      </c>
      <c r="G3586" s="6">
        <v>22187.37251733071</v>
      </c>
      <c r="H3586" s="6">
        <v>32380.785272616376</v>
      </c>
      <c r="I3586" s="6">
        <v>24227.690760934565</v>
      </c>
      <c r="J3586" s="6">
        <v>21072.948247870936</v>
      </c>
      <c r="K3586" s="6">
        <v>27338.519263408714</v>
      </c>
    </row>
    <row r="3587" spans="1:11" x14ac:dyDescent="0.2">
      <c r="A3587" s="1">
        <v>0.48958333333333298</v>
      </c>
      <c r="B3587" s="2">
        <v>6.25</v>
      </c>
      <c r="C3587" s="2">
        <v>3.8899999999999997</v>
      </c>
      <c r="D3587" s="2">
        <v>5.0199999999999996</v>
      </c>
      <c r="E3587" s="2">
        <v>5.33</v>
      </c>
      <c r="F3587" s="2">
        <v>3.09</v>
      </c>
      <c r="G3587" s="6">
        <v>25560.922628322987</v>
      </c>
      <c r="H3587" s="6">
        <v>27341.875826281012</v>
      </c>
      <c r="I3587" s="6">
        <v>28193.817204060633</v>
      </c>
      <c r="J3587" s="6">
        <v>20533.043587008637</v>
      </c>
      <c r="K3587" s="6">
        <v>23638.592494439807</v>
      </c>
    </row>
    <row r="3588" spans="1:11" x14ac:dyDescent="0.2">
      <c r="A3588" s="1">
        <v>0.49027777777777798</v>
      </c>
      <c r="B3588" s="2">
        <v>6.36</v>
      </c>
      <c r="C3588" s="2">
        <v>3.83</v>
      </c>
      <c r="D3588" s="2">
        <v>5.13</v>
      </c>
      <c r="E3588" s="2">
        <v>5.21</v>
      </c>
      <c r="F3588" s="2">
        <v>3.02</v>
      </c>
      <c r="G3588" s="6">
        <v>26054.237821421855</v>
      </c>
      <c r="H3588" s="6">
        <v>24806.10855546976</v>
      </c>
      <c r="I3588" s="6">
        <v>22825.78197287245</v>
      </c>
      <c r="J3588" s="6">
        <v>27384.82892019982</v>
      </c>
      <c r="K3588" s="6">
        <v>21782.574332043943</v>
      </c>
    </row>
    <row r="3589" spans="1:11" x14ac:dyDescent="0.2">
      <c r="A3589" s="1">
        <v>0.49097222222222198</v>
      </c>
      <c r="B3589" s="2">
        <v>6.2</v>
      </c>
      <c r="C3589" s="2">
        <v>3.86</v>
      </c>
      <c r="D3589" s="2">
        <v>5.0999999999999996</v>
      </c>
      <c r="E3589" s="2">
        <v>5.78</v>
      </c>
      <c r="F3589" s="2">
        <v>3.03</v>
      </c>
      <c r="G3589" s="6">
        <v>24171.843132947288</v>
      </c>
      <c r="H3589" s="6">
        <v>32723.496149683644</v>
      </c>
      <c r="I3589" s="6">
        <v>21799.833415594345</v>
      </c>
      <c r="J3589" s="6">
        <v>24314.128236261517</v>
      </c>
      <c r="K3589" s="6">
        <v>23167.008340377077</v>
      </c>
    </row>
    <row r="3590" spans="1:11" x14ac:dyDescent="0.2">
      <c r="A3590" s="1">
        <v>0.49166666666666697</v>
      </c>
      <c r="B3590" s="2">
        <v>6.3500000000000005</v>
      </c>
      <c r="C3590" s="2">
        <v>3.75</v>
      </c>
      <c r="D3590" s="2">
        <v>4.96</v>
      </c>
      <c r="E3590" s="2">
        <v>5.42</v>
      </c>
      <c r="F3590" s="2">
        <v>3.3</v>
      </c>
      <c r="G3590" s="6">
        <v>21948.686009126086</v>
      </c>
      <c r="H3590" s="6">
        <v>32278.032282338456</v>
      </c>
      <c r="I3590" s="6">
        <v>27071.669847967623</v>
      </c>
      <c r="J3590" s="6">
        <v>24855.514174616055</v>
      </c>
      <c r="K3590" s="6">
        <v>24804.249095322026</v>
      </c>
    </row>
    <row r="3591" spans="1:11" x14ac:dyDescent="0.2">
      <c r="A3591" s="1">
        <v>0.49236111111111103</v>
      </c>
      <c r="B3591" s="2">
        <v>6.29</v>
      </c>
      <c r="C3591" s="2">
        <v>3.8</v>
      </c>
      <c r="D3591" s="2">
        <v>4.8899999999999997</v>
      </c>
      <c r="E3591" s="2">
        <v>5.28</v>
      </c>
      <c r="F3591" s="2">
        <v>3.06</v>
      </c>
      <c r="G3591" s="6">
        <v>23809.566827973449</v>
      </c>
      <c r="H3591" s="6">
        <v>25771.761916027688</v>
      </c>
      <c r="I3591" s="6">
        <v>22649.223704998287</v>
      </c>
      <c r="J3591" s="6">
        <v>26673.616927531755</v>
      </c>
      <c r="K3591" s="6">
        <v>24822.608746436777</v>
      </c>
    </row>
    <row r="3592" spans="1:11" x14ac:dyDescent="0.2">
      <c r="A3592" s="1">
        <v>0.49305555555555602</v>
      </c>
      <c r="B3592" s="2">
        <v>6.17</v>
      </c>
      <c r="C3592" s="2">
        <v>3.6199999999999997</v>
      </c>
      <c r="D3592" s="2">
        <v>5.01</v>
      </c>
      <c r="E3592" s="2">
        <v>5.59</v>
      </c>
      <c r="F3592" s="2">
        <v>3.16</v>
      </c>
      <c r="G3592" s="6">
        <v>28839.970999232075</v>
      </c>
      <c r="H3592" s="6">
        <v>26577.12481762582</v>
      </c>
      <c r="I3592" s="6">
        <v>22482.228605325807</v>
      </c>
      <c r="J3592" s="6">
        <v>23664.061608751294</v>
      </c>
      <c r="K3592" s="6">
        <v>28014.782467477726</v>
      </c>
    </row>
    <row r="3593" spans="1:11" x14ac:dyDescent="0.2">
      <c r="A3593" s="1">
        <v>0.49375000000000002</v>
      </c>
      <c r="B3593" s="2">
        <v>6.23</v>
      </c>
      <c r="C3593" s="2">
        <v>3.78</v>
      </c>
      <c r="D3593" s="2">
        <v>5.0199999999999996</v>
      </c>
      <c r="E3593" s="2">
        <v>5.42</v>
      </c>
      <c r="F3593" s="2">
        <v>3.13</v>
      </c>
      <c r="G3593" s="6">
        <v>25818.181093581246</v>
      </c>
      <c r="H3593" s="6">
        <v>28303.579445434301</v>
      </c>
      <c r="I3593" s="6">
        <v>22347.041074110413</v>
      </c>
      <c r="J3593" s="6">
        <v>24970.706027820739</v>
      </c>
      <c r="K3593" s="6">
        <v>25603.362169696775</v>
      </c>
    </row>
    <row r="3594" spans="1:11" x14ac:dyDescent="0.2">
      <c r="A3594" s="1">
        <v>0.49444444444444402</v>
      </c>
      <c r="B3594" s="2">
        <v>6.34</v>
      </c>
      <c r="C3594" s="2">
        <v>3.7199999999999998</v>
      </c>
      <c r="D3594" s="2">
        <v>5.13</v>
      </c>
      <c r="E3594" s="2">
        <v>5.63</v>
      </c>
      <c r="F3594" s="2">
        <v>3.2199999999999998</v>
      </c>
      <c r="G3594" s="6">
        <v>23676.624846799758</v>
      </c>
      <c r="H3594" s="6">
        <v>21117.324098603782</v>
      </c>
      <c r="I3594" s="6">
        <v>20674.833311459352</v>
      </c>
      <c r="J3594" s="6">
        <v>20917.226171441631</v>
      </c>
      <c r="K3594" s="6">
        <v>22373.023126135395</v>
      </c>
    </row>
    <row r="3595" spans="1:11" x14ac:dyDescent="0.2">
      <c r="A3595" s="1">
        <v>0.49513888888888902</v>
      </c>
      <c r="B3595" s="2">
        <v>6.22</v>
      </c>
      <c r="C3595" s="2">
        <v>3.9</v>
      </c>
      <c r="D3595" s="2">
        <v>5.27</v>
      </c>
      <c r="E3595" s="2">
        <v>5.42</v>
      </c>
      <c r="F3595" s="2">
        <v>3.37</v>
      </c>
      <c r="G3595" s="6">
        <v>24441.978310568305</v>
      </c>
      <c r="H3595" s="6">
        <v>24839.05117030094</v>
      </c>
      <c r="I3595" s="6">
        <v>23344.487208629915</v>
      </c>
      <c r="J3595" s="6">
        <v>28476.192404587691</v>
      </c>
      <c r="K3595" s="6">
        <v>25135.130655320529</v>
      </c>
    </row>
    <row r="3596" spans="1:11" x14ac:dyDescent="0.2">
      <c r="A3596" s="1">
        <v>0.49583333333333302</v>
      </c>
      <c r="B3596" s="2">
        <v>6.2700000000000005</v>
      </c>
      <c r="C3596" s="2">
        <v>3.75</v>
      </c>
      <c r="D3596" s="2">
        <v>4.9399999999999995</v>
      </c>
      <c r="E3596" s="2">
        <v>5.79</v>
      </c>
      <c r="F3596" s="2">
        <v>3.26</v>
      </c>
      <c r="G3596" s="6">
        <v>22548.568988409403</v>
      </c>
      <c r="H3596" s="6">
        <v>24711.8955979485</v>
      </c>
      <c r="I3596" s="6">
        <v>23626.850755628191</v>
      </c>
      <c r="J3596" s="6">
        <v>25927.973831265026</v>
      </c>
      <c r="K3596" s="6">
        <v>28084.556827672288</v>
      </c>
    </row>
    <row r="3597" spans="1:11" x14ac:dyDescent="0.2">
      <c r="A3597" s="1">
        <v>0.49652777777777801</v>
      </c>
      <c r="B3597" s="2">
        <v>6.32</v>
      </c>
      <c r="C3597" s="2">
        <v>3.8</v>
      </c>
      <c r="D3597" s="2">
        <v>5.21</v>
      </c>
      <c r="E3597" s="2">
        <v>5.21</v>
      </c>
      <c r="F3597" s="2">
        <v>3.23</v>
      </c>
      <c r="G3597" s="6">
        <v>27183.244687302889</v>
      </c>
      <c r="H3597" s="6">
        <v>25712.79977906388</v>
      </c>
      <c r="I3597" s="6">
        <v>19630.948471485091</v>
      </c>
      <c r="J3597" s="6">
        <v>24896.112795613131</v>
      </c>
      <c r="K3597" s="6">
        <v>23468.360790983756</v>
      </c>
    </row>
    <row r="3598" spans="1:11" x14ac:dyDescent="0.2">
      <c r="A3598" s="1">
        <v>0.49722222222222201</v>
      </c>
      <c r="B3598" s="2">
        <v>6.3500000000000005</v>
      </c>
      <c r="C3598" s="2">
        <v>3.76</v>
      </c>
      <c r="D3598" s="2">
        <v>5.2799999999999994</v>
      </c>
      <c r="E3598" s="2">
        <v>5.26</v>
      </c>
      <c r="F3598" s="2">
        <v>2.9899999999999998</v>
      </c>
      <c r="G3598" s="6">
        <v>19726.113791742075</v>
      </c>
      <c r="H3598" s="6">
        <v>31866.327602680347</v>
      </c>
      <c r="I3598" s="6">
        <v>20993.386168343262</v>
      </c>
      <c r="J3598" s="6">
        <v>21828.712543999249</v>
      </c>
      <c r="K3598" s="6">
        <v>24542.633224226694</v>
      </c>
    </row>
    <row r="3599" spans="1:11" x14ac:dyDescent="0.2">
      <c r="A3599" s="1">
        <v>0.49791666666666701</v>
      </c>
      <c r="B3599" s="2">
        <v>6.24</v>
      </c>
      <c r="C3599" s="2">
        <v>3.8899999999999997</v>
      </c>
      <c r="D3599" s="2">
        <v>5.2799999999999994</v>
      </c>
      <c r="E3599" s="2">
        <v>5.6099999999999994</v>
      </c>
      <c r="F3599" s="2">
        <v>3.37</v>
      </c>
      <c r="G3599" s="6">
        <v>26719.541219143459</v>
      </c>
      <c r="H3599" s="6">
        <v>25078.175478875848</v>
      </c>
      <c r="I3599" s="6">
        <v>21264.550392182024</v>
      </c>
      <c r="J3599" s="6">
        <v>20105.446404577397</v>
      </c>
      <c r="K3599" s="6">
        <v>26360.396963499545</v>
      </c>
    </row>
    <row r="3600" spans="1:11" x14ac:dyDescent="0.2">
      <c r="A3600" s="1">
        <v>0.49861111111111101</v>
      </c>
      <c r="B3600" s="2">
        <v>6.36</v>
      </c>
      <c r="C3600" s="2">
        <v>3.82</v>
      </c>
      <c r="D3600" s="2">
        <v>5.17</v>
      </c>
      <c r="E3600" s="2">
        <v>5.37</v>
      </c>
      <c r="F3600" s="2">
        <v>3.1999999999999997</v>
      </c>
      <c r="G3600" s="6">
        <v>27483.099258690338</v>
      </c>
      <c r="H3600" s="6">
        <v>28549.067588950216</v>
      </c>
      <c r="I3600" s="6">
        <v>27768.976200925175</v>
      </c>
      <c r="J3600" s="6">
        <v>20203.313535637368</v>
      </c>
      <c r="K3600" s="6">
        <v>23999.333141870306</v>
      </c>
    </row>
    <row r="3601" spans="1:11" x14ac:dyDescent="0.2">
      <c r="A3601" s="1">
        <v>0.499305555555556</v>
      </c>
      <c r="B3601" s="2">
        <v>6.21</v>
      </c>
      <c r="C3601" s="2">
        <v>3.83</v>
      </c>
      <c r="D3601" s="2">
        <v>4.9099999999999993</v>
      </c>
      <c r="E3601" s="2">
        <v>5.5</v>
      </c>
      <c r="F3601" s="2">
        <v>3.13</v>
      </c>
      <c r="G3601" s="6">
        <v>25459.007975356246</v>
      </c>
      <c r="H3601" s="6">
        <v>28724.26439596606</v>
      </c>
      <c r="I3601" s="6">
        <v>25030.561315430015</v>
      </c>
      <c r="J3601" s="6">
        <v>25101.399106102373</v>
      </c>
      <c r="K3601" s="6">
        <v>29311.34</v>
      </c>
    </row>
    <row r="3602" spans="1:11" x14ac:dyDescent="0.2">
      <c r="A3602" s="3">
        <v>0.5</v>
      </c>
      <c r="B3602" s="2">
        <v>6.24</v>
      </c>
      <c r="C3602" s="2">
        <v>3.82</v>
      </c>
      <c r="D3602" s="2">
        <v>5.12</v>
      </c>
      <c r="E3602" s="2">
        <v>5.41</v>
      </c>
      <c r="F3602" s="2">
        <v>3.16</v>
      </c>
      <c r="G3602" s="6">
        <v>25870</v>
      </c>
      <c r="H3602" s="6">
        <v>29250</v>
      </c>
      <c r="I3602" s="6">
        <v>27580</v>
      </c>
      <c r="J3602" s="6">
        <v>28250</v>
      </c>
      <c r="K3602" s="6">
        <v>31400</v>
      </c>
    </row>
    <row r="3603" spans="1:11" x14ac:dyDescent="0.2">
      <c r="A3603" s="1">
        <v>0.500694444444444</v>
      </c>
      <c r="B3603" s="2">
        <v>6.26</v>
      </c>
      <c r="C3603" s="2">
        <v>3.77</v>
      </c>
      <c r="D3603" s="2">
        <v>5.3199999999999994</v>
      </c>
      <c r="E3603" s="2">
        <v>5.3</v>
      </c>
      <c r="F3603" s="2">
        <v>3.4</v>
      </c>
      <c r="G3603" s="6">
        <v>11630.468007735635</v>
      </c>
      <c r="H3603" s="6">
        <v>9222.3274366257647</v>
      </c>
      <c r="I3603" s="6">
        <v>6367.4298262854936</v>
      </c>
      <c r="J3603" s="6">
        <v>7848.2985724125729</v>
      </c>
      <c r="K3603" s="6">
        <v>10188.151651939346</v>
      </c>
    </row>
    <row r="3604" spans="1:11" x14ac:dyDescent="0.2">
      <c r="A3604" s="1">
        <v>0.50138888888888899</v>
      </c>
      <c r="B3604" s="2">
        <v>6.14</v>
      </c>
      <c r="C3604" s="2">
        <v>3.6199999999999997</v>
      </c>
      <c r="D3604" s="2">
        <v>5.09</v>
      </c>
      <c r="E3604" s="2">
        <v>5.14</v>
      </c>
      <c r="F3604" s="2">
        <v>3.29</v>
      </c>
      <c r="G3604" s="6">
        <v>15618.460086107334</v>
      </c>
      <c r="H3604" s="6">
        <v>9457.7638321326667</v>
      </c>
      <c r="I3604" s="6">
        <v>12132.287452889137</v>
      </c>
      <c r="J3604" s="6">
        <v>12530.156124109386</v>
      </c>
      <c r="K3604" s="6">
        <v>15392.353444728322</v>
      </c>
    </row>
    <row r="3605" spans="1:11" x14ac:dyDescent="0.2">
      <c r="A3605" s="1">
        <v>0.50208333333333299</v>
      </c>
      <c r="B3605" s="2">
        <v>6.16</v>
      </c>
      <c r="C3605" s="2">
        <v>3.79</v>
      </c>
      <c r="D3605" s="2">
        <v>5.0999999999999996</v>
      </c>
      <c r="E3605" s="2">
        <v>5.41</v>
      </c>
      <c r="F3605" s="2">
        <v>3.06</v>
      </c>
      <c r="G3605" s="6">
        <v>15684.909134509611</v>
      </c>
      <c r="H3605" s="6">
        <v>9642.9390007013189</v>
      </c>
      <c r="I3605" s="6">
        <v>12628.823458011999</v>
      </c>
      <c r="J3605" s="6">
        <v>12285.310831450302</v>
      </c>
      <c r="K3605" s="6">
        <v>15311.49247160101</v>
      </c>
    </row>
    <row r="3606" spans="1:11" x14ac:dyDescent="0.2">
      <c r="A3606" s="1">
        <v>0.50277777777777799</v>
      </c>
      <c r="B3606" s="2">
        <v>6.28</v>
      </c>
      <c r="C3606" s="2">
        <v>3.67</v>
      </c>
      <c r="D3606" s="2">
        <v>4.93</v>
      </c>
      <c r="E3606" s="2">
        <v>5.6899999999999995</v>
      </c>
      <c r="F3606" s="2">
        <v>2.9099999999999997</v>
      </c>
      <c r="G3606" s="6">
        <v>15586.035839409809</v>
      </c>
      <c r="H3606" s="6">
        <v>9454.1308101457125</v>
      </c>
      <c r="I3606" s="6">
        <v>12609.733876647957</v>
      </c>
      <c r="J3606" s="6">
        <v>12590.020383921923</v>
      </c>
      <c r="K3606" s="6">
        <v>15122.921504846025</v>
      </c>
    </row>
    <row r="3607" spans="1:11" x14ac:dyDescent="0.2">
      <c r="A3607" s="1">
        <v>0.50347222222222199</v>
      </c>
      <c r="B3607" s="2">
        <v>6.23</v>
      </c>
      <c r="C3607" s="2">
        <v>3.7199999999999998</v>
      </c>
      <c r="D3607" s="2">
        <v>5.38</v>
      </c>
      <c r="E3607" s="2">
        <v>5.53</v>
      </c>
      <c r="F3607" s="2">
        <v>2.92</v>
      </c>
      <c r="G3607" s="6">
        <v>15695.306224957003</v>
      </c>
      <c r="H3607" s="6">
        <v>9177.8259655099009</v>
      </c>
      <c r="I3607" s="6">
        <v>13864.784373785486</v>
      </c>
      <c r="J3607" s="6">
        <v>13486.059010001805</v>
      </c>
      <c r="K3607" s="6">
        <v>15553.14321785547</v>
      </c>
    </row>
    <row r="3608" spans="1:11" x14ac:dyDescent="0.2">
      <c r="A3608" s="1">
        <v>0.50416666666666698</v>
      </c>
      <c r="B3608" s="2">
        <v>6.37</v>
      </c>
      <c r="C3608" s="2">
        <v>3.8</v>
      </c>
      <c r="D3608" s="2">
        <v>5.31</v>
      </c>
      <c r="E3608" s="2">
        <v>5.43</v>
      </c>
      <c r="F3608" s="2">
        <v>3.06</v>
      </c>
      <c r="G3608" s="6">
        <v>9996.8996156352932</v>
      </c>
      <c r="H3608" s="6">
        <v>16948.532488155368</v>
      </c>
      <c r="I3608" s="6">
        <v>6104.3141498697742</v>
      </c>
      <c r="J3608" s="6">
        <v>7882.9649969594047</v>
      </c>
      <c r="K3608" s="6">
        <v>10353.12874340758</v>
      </c>
    </row>
    <row r="3609" spans="1:11" x14ac:dyDescent="0.2">
      <c r="A3609" s="1">
        <v>0.50486111111111098</v>
      </c>
      <c r="B3609" s="2">
        <v>6.19</v>
      </c>
      <c r="C3609" s="2">
        <v>3.9099999999999997</v>
      </c>
      <c r="D3609" s="2">
        <v>4.9499999999999993</v>
      </c>
      <c r="E3609" s="2">
        <v>5.79</v>
      </c>
      <c r="F3609" s="2">
        <v>3.35</v>
      </c>
      <c r="G3609" s="6">
        <v>9090.4852034470514</v>
      </c>
      <c r="H3609" s="6">
        <v>16249.957194341632</v>
      </c>
      <c r="I3609" s="6">
        <v>13123.948617974451</v>
      </c>
      <c r="J3609" s="6">
        <v>9103.8453634742145</v>
      </c>
      <c r="K3609" s="6">
        <v>12246.998376124462</v>
      </c>
    </row>
    <row r="3610" spans="1:11" x14ac:dyDescent="0.2">
      <c r="A3610" s="1">
        <v>0.50555555555555598</v>
      </c>
      <c r="B3610" s="2">
        <v>6.2700000000000005</v>
      </c>
      <c r="C3610" s="2">
        <v>3.61</v>
      </c>
      <c r="D3610" s="2">
        <v>4.9899999999999993</v>
      </c>
      <c r="E3610" s="2">
        <v>5.63</v>
      </c>
      <c r="F3610" s="2">
        <v>3.35</v>
      </c>
      <c r="G3610" s="6">
        <v>10624.817195368056</v>
      </c>
      <c r="H3610" s="6">
        <v>11764.607392366481</v>
      </c>
      <c r="I3610" s="6">
        <v>7091.3437610978472</v>
      </c>
      <c r="J3610" s="6">
        <v>10118.588912916339</v>
      </c>
      <c r="K3610" s="6">
        <v>10893.912520966773</v>
      </c>
    </row>
    <row r="3611" spans="1:11" x14ac:dyDescent="0.2">
      <c r="A3611" s="1">
        <v>0.50624999999999998</v>
      </c>
      <c r="B3611" s="2">
        <v>6.12</v>
      </c>
      <c r="C3611" s="2">
        <v>3.69</v>
      </c>
      <c r="D3611" s="2">
        <v>4.8999999999999995</v>
      </c>
      <c r="E3611" s="2">
        <v>5.27</v>
      </c>
      <c r="F3611" s="2">
        <v>3.3</v>
      </c>
      <c r="G3611" s="6">
        <v>7090.7115203637777</v>
      </c>
      <c r="H3611" s="6">
        <v>7766.3904160930779</v>
      </c>
      <c r="I3611" s="6">
        <v>8719.4143428835614</v>
      </c>
      <c r="J3611" s="6">
        <v>12105.275045777906</v>
      </c>
      <c r="K3611" s="6">
        <v>13319.146640826391</v>
      </c>
    </row>
    <row r="3612" spans="1:11" x14ac:dyDescent="0.2">
      <c r="A3612" s="1">
        <v>0.50694444444444398</v>
      </c>
      <c r="B3612" s="2">
        <v>6.12</v>
      </c>
      <c r="C3612" s="2">
        <v>3.6999999999999997</v>
      </c>
      <c r="D3612" s="2">
        <v>5.18</v>
      </c>
      <c r="E3612" s="2">
        <v>5.66</v>
      </c>
      <c r="F3612" s="2">
        <v>3.02</v>
      </c>
      <c r="G3612" s="6">
        <v>7411.8573202269172</v>
      </c>
      <c r="H3612" s="6">
        <v>16634.024658069204</v>
      </c>
      <c r="I3612" s="6">
        <v>10911.863468218044</v>
      </c>
      <c r="J3612" s="6">
        <v>8193.6667498645838</v>
      </c>
      <c r="K3612" s="6">
        <v>11272.550258737207</v>
      </c>
    </row>
    <row r="3613" spans="1:11" x14ac:dyDescent="0.2">
      <c r="A3613" s="1">
        <v>0.50763888888888897</v>
      </c>
      <c r="B3613" s="2">
        <v>6.36</v>
      </c>
      <c r="C3613" s="2">
        <v>3.63</v>
      </c>
      <c r="D3613" s="2">
        <v>5.0599999999999996</v>
      </c>
      <c r="E3613" s="2">
        <v>5.53</v>
      </c>
      <c r="F3613" s="2">
        <v>3.08</v>
      </c>
      <c r="G3613" s="6">
        <v>7997.5809997129427</v>
      </c>
      <c r="H3613" s="6">
        <v>14297.082465237809</v>
      </c>
      <c r="I3613" s="6">
        <v>7543.6394020758344</v>
      </c>
      <c r="J3613" s="6">
        <v>8566.562513307761</v>
      </c>
      <c r="K3613" s="6">
        <v>15239.651622681131</v>
      </c>
    </row>
    <row r="3614" spans="1:11" x14ac:dyDescent="0.2">
      <c r="A3614" s="1">
        <v>0.50833333333333297</v>
      </c>
      <c r="B3614" s="2">
        <v>6.25</v>
      </c>
      <c r="C3614" s="2">
        <v>3.77</v>
      </c>
      <c r="D3614" s="2">
        <v>5.0999999999999996</v>
      </c>
      <c r="E3614" s="2">
        <v>5.26</v>
      </c>
      <c r="F3614" s="2">
        <v>3.29</v>
      </c>
      <c r="G3614" s="6">
        <v>10653.251309708852</v>
      </c>
      <c r="H3614" s="6">
        <v>15507.922650465776</v>
      </c>
      <c r="I3614" s="6">
        <v>10257.873552454832</v>
      </c>
      <c r="J3614" s="6">
        <v>9647.3527077788131</v>
      </c>
      <c r="K3614" s="6">
        <v>9647.6288233769374</v>
      </c>
    </row>
    <row r="3615" spans="1:11" x14ac:dyDescent="0.2">
      <c r="A3615" s="1">
        <v>0.50902777777777797</v>
      </c>
      <c r="B3615" s="2">
        <v>6.38</v>
      </c>
      <c r="C3615" s="2">
        <v>3.77</v>
      </c>
      <c r="D3615" s="2">
        <v>4.92</v>
      </c>
      <c r="E3615" s="2">
        <v>5.32</v>
      </c>
      <c r="F3615" s="2">
        <v>2.9299999999999997</v>
      </c>
      <c r="G3615" s="6">
        <v>13826.166154428314</v>
      </c>
      <c r="H3615" s="6">
        <v>15937.702286977992</v>
      </c>
      <c r="I3615" s="6">
        <v>10373.973245459358</v>
      </c>
      <c r="J3615" s="6">
        <v>11463.825495792673</v>
      </c>
      <c r="K3615" s="6">
        <v>11810.557956959077</v>
      </c>
    </row>
    <row r="3616" spans="1:11" x14ac:dyDescent="0.2">
      <c r="A3616" s="1">
        <v>0.50972222222222197</v>
      </c>
      <c r="B3616" s="2">
        <v>6.37</v>
      </c>
      <c r="C3616" s="2">
        <v>3.76</v>
      </c>
      <c r="D3616" s="2">
        <v>5.1899999999999995</v>
      </c>
      <c r="E3616" s="2">
        <v>5.49</v>
      </c>
      <c r="F3616" s="2">
        <v>3.19</v>
      </c>
      <c r="G3616" s="6">
        <v>14474.711770788728</v>
      </c>
      <c r="H3616" s="6">
        <v>12065.103837685983</v>
      </c>
      <c r="I3616" s="6">
        <v>9237.3363800748102</v>
      </c>
      <c r="J3616" s="6">
        <v>9781.5154058829467</v>
      </c>
      <c r="K3616" s="6">
        <v>15309.877045671859</v>
      </c>
    </row>
    <row r="3617" spans="1:11" x14ac:dyDescent="0.2">
      <c r="A3617" s="1">
        <v>0.51041666666666696</v>
      </c>
      <c r="B3617" s="2">
        <v>6.2700000000000005</v>
      </c>
      <c r="C3617" s="2">
        <v>3.83</v>
      </c>
      <c r="D3617" s="2">
        <v>4.8999999999999995</v>
      </c>
      <c r="E3617" s="2">
        <v>5.54</v>
      </c>
      <c r="F3617" s="2">
        <v>3.3</v>
      </c>
      <c r="G3617" s="6">
        <v>14145.365271814288</v>
      </c>
      <c r="H3617" s="6">
        <v>13692.235379318749</v>
      </c>
      <c r="I3617" s="6">
        <v>12854.568022975614</v>
      </c>
      <c r="J3617" s="6">
        <v>8210.9841635816301</v>
      </c>
      <c r="K3617" s="6">
        <v>9764.5231407522879</v>
      </c>
    </row>
    <row r="3618" spans="1:11" x14ac:dyDescent="0.2">
      <c r="A3618" s="1">
        <v>0.51111111111111096</v>
      </c>
      <c r="B3618" s="2">
        <v>6.17</v>
      </c>
      <c r="C3618" s="2">
        <v>3.6399999999999997</v>
      </c>
      <c r="D3618" s="2">
        <v>5.0599999999999996</v>
      </c>
      <c r="E3618" s="2">
        <v>5.56</v>
      </c>
      <c r="F3618" s="2">
        <v>3.34</v>
      </c>
      <c r="G3618" s="6">
        <v>7047.2283865277841</v>
      </c>
      <c r="H3618" s="6">
        <v>10445.856462203608</v>
      </c>
      <c r="I3618" s="6">
        <v>12289.180540849213</v>
      </c>
      <c r="J3618" s="6">
        <v>10258.238735487705</v>
      </c>
      <c r="K3618" s="6">
        <v>15483.257209877778</v>
      </c>
    </row>
    <row r="3619" spans="1:11" x14ac:dyDescent="0.2">
      <c r="A3619" s="1">
        <v>0.51180555555555596</v>
      </c>
      <c r="B3619" s="2">
        <v>6.13</v>
      </c>
      <c r="C3619" s="2">
        <v>3.76</v>
      </c>
      <c r="D3619" s="2">
        <v>5.1999999999999993</v>
      </c>
      <c r="E3619" s="2">
        <v>5.64</v>
      </c>
      <c r="F3619" s="2">
        <v>3</v>
      </c>
      <c r="G3619" s="6">
        <v>13628.930129818349</v>
      </c>
      <c r="H3619" s="6">
        <v>7450.9290756104911</v>
      </c>
      <c r="I3619" s="6">
        <v>11640.914209185004</v>
      </c>
      <c r="J3619" s="6">
        <v>10198.76845732029</v>
      </c>
      <c r="K3619" s="6">
        <v>13390.200237129744</v>
      </c>
    </row>
    <row r="3620" spans="1:11" x14ac:dyDescent="0.2">
      <c r="A3620" s="1">
        <v>0.51249999999999996</v>
      </c>
      <c r="B3620" s="2">
        <v>6.28</v>
      </c>
      <c r="C3620" s="2">
        <v>3.79</v>
      </c>
      <c r="D3620" s="2">
        <v>5.12</v>
      </c>
      <c r="E3620" s="2">
        <v>5.13</v>
      </c>
      <c r="F3620" s="2">
        <v>2.94</v>
      </c>
      <c r="G3620" s="6">
        <v>6871.0679795310552</v>
      </c>
      <c r="H3620" s="6">
        <v>12697.1195966544</v>
      </c>
      <c r="I3620" s="6">
        <v>10759.131117458383</v>
      </c>
      <c r="J3620" s="6">
        <v>8876.4412630423849</v>
      </c>
      <c r="K3620" s="6">
        <v>13622.643513446654</v>
      </c>
    </row>
    <row r="3621" spans="1:11" x14ac:dyDescent="0.2">
      <c r="A3621" s="1">
        <v>0.51319444444444495</v>
      </c>
      <c r="B3621" s="2">
        <v>6.21</v>
      </c>
      <c r="C3621" s="2">
        <v>3.88</v>
      </c>
      <c r="D3621" s="2">
        <v>5.05</v>
      </c>
      <c r="E3621" s="2">
        <v>5.74</v>
      </c>
      <c r="F3621" s="2">
        <v>3.19</v>
      </c>
      <c r="G3621" s="6">
        <v>11422.780994895225</v>
      </c>
      <c r="H3621" s="6">
        <v>8656.0766630843482</v>
      </c>
      <c r="I3621" s="6">
        <v>11702.548186064701</v>
      </c>
      <c r="J3621" s="6">
        <v>10151.384853543559</v>
      </c>
      <c r="K3621" s="6">
        <v>13420.495988433497</v>
      </c>
    </row>
    <row r="3622" spans="1:11" x14ac:dyDescent="0.2">
      <c r="A3622" s="1">
        <v>0.51388888888888895</v>
      </c>
      <c r="B3622" s="2">
        <v>6.3100000000000005</v>
      </c>
      <c r="C3622" s="2">
        <v>3.79</v>
      </c>
      <c r="D3622" s="2">
        <v>4.97</v>
      </c>
      <c r="E3622" s="2">
        <v>5.13</v>
      </c>
      <c r="F3622" s="2">
        <v>3.09</v>
      </c>
      <c r="G3622" s="6">
        <v>13691.516946388443</v>
      </c>
      <c r="H3622" s="6">
        <v>9662.4109374588152</v>
      </c>
      <c r="I3622" s="6">
        <v>6689.6957090653823</v>
      </c>
      <c r="J3622" s="6">
        <v>10110.738939249261</v>
      </c>
      <c r="K3622" s="6">
        <v>9755.3739186279126</v>
      </c>
    </row>
    <row r="3623" spans="1:11" x14ac:dyDescent="0.2">
      <c r="A3623" s="1">
        <v>0.51458333333333295</v>
      </c>
      <c r="B3623" s="2">
        <v>6.15</v>
      </c>
      <c r="C3623" s="2">
        <v>3.7399999999999998</v>
      </c>
      <c r="D3623" s="2">
        <v>5</v>
      </c>
      <c r="E3623" s="2">
        <v>5.2299999999999995</v>
      </c>
      <c r="F3623" s="2">
        <v>2.9299999999999997</v>
      </c>
      <c r="G3623" s="6">
        <v>12410.121508139506</v>
      </c>
      <c r="H3623" s="6">
        <v>8151.1625715278542</v>
      </c>
      <c r="I3623" s="6">
        <v>14039.673542313581</v>
      </c>
      <c r="J3623" s="6">
        <v>9468.5118158485457</v>
      </c>
      <c r="K3623" s="6">
        <v>11953.932703154158</v>
      </c>
    </row>
    <row r="3624" spans="1:11" x14ac:dyDescent="0.2">
      <c r="A3624" s="1">
        <v>0.51527777777777795</v>
      </c>
      <c r="B3624" s="2">
        <v>6.38</v>
      </c>
      <c r="C3624" s="2">
        <v>3.9099999999999997</v>
      </c>
      <c r="D3624" s="2">
        <v>5.0999999999999996</v>
      </c>
      <c r="E3624" s="2">
        <v>5.55</v>
      </c>
      <c r="F3624" s="2">
        <v>3.1</v>
      </c>
      <c r="G3624" s="6">
        <v>10295.04104901645</v>
      </c>
      <c r="H3624" s="6">
        <v>16381.314943129031</v>
      </c>
      <c r="I3624" s="6">
        <v>7730.115279125087</v>
      </c>
      <c r="J3624" s="6">
        <v>8233.2514613195399</v>
      </c>
      <c r="K3624" s="6">
        <v>11863.644267336513</v>
      </c>
    </row>
    <row r="3625" spans="1:11" x14ac:dyDescent="0.2">
      <c r="A3625" s="1">
        <v>0.51597222222222205</v>
      </c>
      <c r="B3625" s="2">
        <v>6.36</v>
      </c>
      <c r="C3625" s="2">
        <v>3.73</v>
      </c>
      <c r="D3625" s="2">
        <v>4.9899999999999993</v>
      </c>
      <c r="E3625" s="2">
        <v>5.7299999999999995</v>
      </c>
      <c r="F3625" s="2">
        <v>3.03</v>
      </c>
      <c r="G3625" s="6">
        <v>10753.744941966068</v>
      </c>
      <c r="H3625" s="6">
        <v>14346.383871009673</v>
      </c>
      <c r="I3625" s="6">
        <v>13645.058753216021</v>
      </c>
      <c r="J3625" s="6">
        <v>7599.2518446748145</v>
      </c>
      <c r="K3625" s="6">
        <v>15823.500912718084</v>
      </c>
    </row>
    <row r="3626" spans="1:11" x14ac:dyDescent="0.2">
      <c r="A3626" s="1">
        <v>0.51666666666666705</v>
      </c>
      <c r="B3626" s="2">
        <v>6.23</v>
      </c>
      <c r="C3626" s="2">
        <v>3.6999999999999997</v>
      </c>
      <c r="D3626" s="2">
        <v>5.1499999999999995</v>
      </c>
      <c r="E3626" s="2">
        <v>5.56</v>
      </c>
      <c r="F3626" s="2">
        <v>3.23</v>
      </c>
      <c r="G3626" s="6">
        <v>8515.5833043490402</v>
      </c>
      <c r="H3626" s="6">
        <v>8186.7234226992778</v>
      </c>
      <c r="I3626" s="6">
        <v>9611.4188973913569</v>
      </c>
      <c r="J3626" s="6">
        <v>9641.2511859796268</v>
      </c>
      <c r="K3626" s="6">
        <v>11734.707780056733</v>
      </c>
    </row>
    <row r="3627" spans="1:11" x14ac:dyDescent="0.2">
      <c r="A3627" s="1">
        <v>0.51736111111111105</v>
      </c>
      <c r="B3627" s="2">
        <v>6.38</v>
      </c>
      <c r="C3627" s="2">
        <v>3.87</v>
      </c>
      <c r="D3627" s="2">
        <v>5.1499999999999995</v>
      </c>
      <c r="E3627" s="2">
        <v>5.62</v>
      </c>
      <c r="F3627" s="2">
        <v>3.06</v>
      </c>
      <c r="G3627" s="6">
        <v>7154.0484160457054</v>
      </c>
      <c r="H3627" s="6">
        <v>11096.758611603505</v>
      </c>
      <c r="I3627" s="6">
        <v>10269.425761928545</v>
      </c>
      <c r="J3627" s="6">
        <v>9648.1932614354591</v>
      </c>
      <c r="K3627" s="6">
        <v>8648.4541795230925</v>
      </c>
    </row>
    <row r="3628" spans="1:11" x14ac:dyDescent="0.2">
      <c r="A3628" s="1">
        <v>0.51805555555555605</v>
      </c>
      <c r="B3628" s="2">
        <v>6.23</v>
      </c>
      <c r="C3628" s="2">
        <v>3.77</v>
      </c>
      <c r="D3628" s="2">
        <v>5.29</v>
      </c>
      <c r="E3628" s="2">
        <v>5.56</v>
      </c>
      <c r="F3628" s="2">
        <v>3.32</v>
      </c>
      <c r="G3628" s="6">
        <v>10471.773235740136</v>
      </c>
      <c r="H3628" s="6">
        <v>15257.409193885127</v>
      </c>
      <c r="I3628" s="6">
        <v>8810.5642242381473</v>
      </c>
      <c r="J3628" s="6">
        <v>11314.936065438724</v>
      </c>
      <c r="K3628" s="6">
        <v>13938.520097673936</v>
      </c>
    </row>
    <row r="3629" spans="1:11" x14ac:dyDescent="0.2">
      <c r="A3629" s="1">
        <v>0.51875000000000004</v>
      </c>
      <c r="B3629" s="2">
        <v>6.28</v>
      </c>
      <c r="C3629" s="2">
        <v>3.83</v>
      </c>
      <c r="D3629" s="2">
        <v>5.17</v>
      </c>
      <c r="E3629" s="2">
        <v>5.64</v>
      </c>
      <c r="F3629" s="2">
        <v>3.4</v>
      </c>
      <c r="G3629" s="6">
        <v>6884.9227931675296</v>
      </c>
      <c r="H3629" s="6">
        <v>12797.520296075205</v>
      </c>
      <c r="I3629" s="6">
        <v>12362.520391095539</v>
      </c>
      <c r="J3629" s="6">
        <v>10766.028382596274</v>
      </c>
      <c r="K3629" s="6">
        <v>12538.100517737586</v>
      </c>
    </row>
    <row r="3630" spans="1:11" x14ac:dyDescent="0.2">
      <c r="A3630" s="1">
        <v>0.51944444444444404</v>
      </c>
      <c r="B3630" s="2">
        <v>6.2700000000000005</v>
      </c>
      <c r="C3630" s="2">
        <v>3.83</v>
      </c>
      <c r="D3630" s="2">
        <v>5.01</v>
      </c>
      <c r="E3630" s="2">
        <v>5.47</v>
      </c>
      <c r="F3630" s="2">
        <v>3.04</v>
      </c>
      <c r="G3630" s="6">
        <v>13208.380971871966</v>
      </c>
      <c r="H3630" s="6">
        <v>14640.964478100015</v>
      </c>
      <c r="I3630" s="6">
        <v>12986.793702706897</v>
      </c>
      <c r="J3630" s="6">
        <v>10808.559631244832</v>
      </c>
      <c r="K3630" s="6">
        <v>10472.3564815107</v>
      </c>
    </row>
    <row r="3631" spans="1:11" x14ac:dyDescent="0.2">
      <c r="A3631" s="1">
        <v>0.52013888888888904</v>
      </c>
      <c r="B3631" s="2">
        <v>6.16</v>
      </c>
      <c r="C3631" s="2">
        <v>3.86</v>
      </c>
      <c r="D3631" s="2">
        <v>4.9899999999999993</v>
      </c>
      <c r="E3631" s="2">
        <v>5.77</v>
      </c>
      <c r="F3631" s="2">
        <v>3.19</v>
      </c>
      <c r="G3631" s="6">
        <v>7837.0062314586685</v>
      </c>
      <c r="H3631" s="6">
        <v>13524.943931287318</v>
      </c>
      <c r="I3631" s="6">
        <v>12675.694461004154</v>
      </c>
      <c r="J3631" s="6">
        <v>10430.497114308939</v>
      </c>
      <c r="K3631" s="6">
        <v>10923.963258586515</v>
      </c>
    </row>
    <row r="3632" spans="1:11" x14ac:dyDescent="0.2">
      <c r="A3632" s="1">
        <v>0.52083333333333304</v>
      </c>
      <c r="B3632" s="2">
        <v>6.19</v>
      </c>
      <c r="C3632" s="2">
        <v>3.67</v>
      </c>
      <c r="D3632" s="2">
        <v>5.14</v>
      </c>
      <c r="E3632" s="2">
        <v>5.67</v>
      </c>
      <c r="F3632" s="2">
        <v>3.33</v>
      </c>
      <c r="G3632" s="6">
        <v>11922.45883089203</v>
      </c>
      <c r="H3632" s="6">
        <v>13420.609854956494</v>
      </c>
      <c r="I3632" s="6">
        <v>13658.818968290107</v>
      </c>
      <c r="J3632" s="6">
        <v>9849.4310088987349</v>
      </c>
      <c r="K3632" s="6">
        <v>13794.231219724898</v>
      </c>
    </row>
    <row r="3633" spans="1:11" x14ac:dyDescent="0.2">
      <c r="A3633" s="1">
        <v>0.52152777777777803</v>
      </c>
      <c r="B3633" s="2">
        <v>6.12</v>
      </c>
      <c r="C3633" s="2">
        <v>3.9099999999999997</v>
      </c>
      <c r="D3633" s="2">
        <v>5.13</v>
      </c>
      <c r="E3633" s="2">
        <v>5.1499999999999995</v>
      </c>
      <c r="F3633" s="2">
        <v>2.8899999999999997</v>
      </c>
      <c r="G3633" s="6">
        <v>12964.113912379709</v>
      </c>
      <c r="H3633" s="6">
        <v>16984.583046155225</v>
      </c>
      <c r="I3633" s="6">
        <v>7358.6539093858664</v>
      </c>
      <c r="J3633" s="6">
        <v>10195.537717331041</v>
      </c>
      <c r="K3633" s="6">
        <v>9746.4118990055831</v>
      </c>
    </row>
    <row r="3634" spans="1:11" x14ac:dyDescent="0.2">
      <c r="A3634" s="1">
        <v>0.52222222222222203</v>
      </c>
      <c r="B3634" s="2">
        <v>6.3100000000000005</v>
      </c>
      <c r="C3634" s="2">
        <v>3.6599999999999997</v>
      </c>
      <c r="D3634" s="2">
        <v>5.2299999999999995</v>
      </c>
      <c r="E3634" s="2">
        <v>5.55</v>
      </c>
      <c r="F3634" s="2">
        <v>3.36</v>
      </c>
      <c r="G3634" s="6">
        <v>10560.941141179957</v>
      </c>
      <c r="H3634" s="6">
        <v>13056.333142286659</v>
      </c>
      <c r="I3634" s="6">
        <v>9877.1363716259166</v>
      </c>
      <c r="J3634" s="6">
        <v>7949.0457051196645</v>
      </c>
      <c r="K3634" s="6">
        <v>12671.987206622167</v>
      </c>
    </row>
    <row r="3635" spans="1:11" x14ac:dyDescent="0.2">
      <c r="A3635" s="1">
        <v>0.52291666666666703</v>
      </c>
      <c r="B3635" s="2">
        <v>6.37</v>
      </c>
      <c r="C3635" s="2">
        <v>3.86</v>
      </c>
      <c r="D3635" s="2">
        <v>5.1499999999999995</v>
      </c>
      <c r="E3635" s="2">
        <v>5.14</v>
      </c>
      <c r="F3635" s="2">
        <v>3.28</v>
      </c>
      <c r="G3635" s="6">
        <v>14622.405190455022</v>
      </c>
      <c r="H3635" s="6">
        <v>12108.559193593868</v>
      </c>
      <c r="I3635" s="6">
        <v>7549.0496096015022</v>
      </c>
      <c r="J3635" s="6">
        <v>8810.6683876071602</v>
      </c>
      <c r="K3635" s="6">
        <v>14612.231866111326</v>
      </c>
    </row>
    <row r="3636" spans="1:11" x14ac:dyDescent="0.2">
      <c r="A3636" s="1">
        <v>0.52361111111111103</v>
      </c>
      <c r="B3636" s="2">
        <v>6.2700000000000005</v>
      </c>
      <c r="C3636" s="2">
        <v>3.61</v>
      </c>
      <c r="D3636" s="2">
        <v>5.33</v>
      </c>
      <c r="E3636" s="2">
        <v>5.49</v>
      </c>
      <c r="F3636" s="2">
        <v>3.37</v>
      </c>
      <c r="G3636" s="6">
        <v>13909.795488040067</v>
      </c>
      <c r="H3636" s="6">
        <v>12130.474628268641</v>
      </c>
      <c r="I3636" s="6">
        <v>13498.412831852898</v>
      </c>
      <c r="J3636" s="6">
        <v>11575.474270482358</v>
      </c>
      <c r="K3636" s="6">
        <v>15369.410338319474</v>
      </c>
    </row>
    <row r="3637" spans="1:11" x14ac:dyDescent="0.2">
      <c r="A3637" s="1">
        <v>0.52430555555555602</v>
      </c>
      <c r="B3637" s="2">
        <v>6.2700000000000005</v>
      </c>
      <c r="C3637" s="2">
        <v>3.71</v>
      </c>
      <c r="D3637" s="2">
        <v>5.2399999999999993</v>
      </c>
      <c r="E3637" s="2">
        <v>5.33</v>
      </c>
      <c r="F3637" s="2">
        <v>3.08</v>
      </c>
      <c r="G3637" s="6">
        <v>9905.4009222879758</v>
      </c>
      <c r="H3637" s="6">
        <v>9486.1249174392378</v>
      </c>
      <c r="I3637" s="6">
        <v>9330.504123291892</v>
      </c>
      <c r="J3637" s="6">
        <v>9090.3932570745073</v>
      </c>
      <c r="K3637" s="6">
        <v>11170.697491617693</v>
      </c>
    </row>
    <row r="3638" spans="1:11" x14ac:dyDescent="0.2">
      <c r="A3638" s="1">
        <v>0.52500000000000002</v>
      </c>
      <c r="B3638" s="2">
        <v>6.33</v>
      </c>
      <c r="C3638" s="2">
        <v>3.61</v>
      </c>
      <c r="D3638" s="2">
        <v>4.97</v>
      </c>
      <c r="E3638" s="2">
        <v>5.67</v>
      </c>
      <c r="F3638" s="2">
        <v>3.17</v>
      </c>
      <c r="G3638" s="6">
        <v>9599.2756890513156</v>
      </c>
      <c r="H3638" s="6">
        <v>8188.0607079704505</v>
      </c>
      <c r="I3638" s="6">
        <v>12389.113623296356</v>
      </c>
      <c r="J3638" s="6">
        <v>9309.184465629176</v>
      </c>
      <c r="K3638" s="6">
        <v>14050.313473074413</v>
      </c>
    </row>
    <row r="3639" spans="1:11" x14ac:dyDescent="0.2">
      <c r="A3639" s="1">
        <v>0.52569444444444402</v>
      </c>
      <c r="B3639" s="2">
        <v>6.28</v>
      </c>
      <c r="C3639" s="2">
        <v>3.79</v>
      </c>
      <c r="D3639" s="2">
        <v>5.31</v>
      </c>
      <c r="E3639" s="2">
        <v>5.6899999999999995</v>
      </c>
      <c r="F3639" s="2">
        <v>3.38</v>
      </c>
      <c r="G3639" s="6">
        <v>12350.576041963799</v>
      </c>
      <c r="H3639" s="6">
        <v>13467.589233364621</v>
      </c>
      <c r="I3639" s="6">
        <v>9713.4281156908201</v>
      </c>
      <c r="J3639" s="6">
        <v>11560.007873358159</v>
      </c>
      <c r="K3639" s="6">
        <v>14747.360284765931</v>
      </c>
    </row>
    <row r="3640" spans="1:11" x14ac:dyDescent="0.2">
      <c r="A3640" s="1">
        <v>0.52638888888888902</v>
      </c>
      <c r="B3640" s="2">
        <v>6.14</v>
      </c>
      <c r="C3640" s="2">
        <v>3.92</v>
      </c>
      <c r="D3640" s="2">
        <v>5.3</v>
      </c>
      <c r="E3640" s="2">
        <v>5.26</v>
      </c>
      <c r="F3640" s="2">
        <v>2.94</v>
      </c>
      <c r="G3640" s="6">
        <v>11553.461329911079</v>
      </c>
      <c r="H3640" s="6">
        <v>14824.707169350242</v>
      </c>
      <c r="I3640" s="6">
        <v>6075.1046157487572</v>
      </c>
      <c r="J3640" s="6">
        <v>10857.307465385271</v>
      </c>
      <c r="K3640" s="6">
        <v>13071.041371509133</v>
      </c>
    </row>
    <row r="3641" spans="1:11" x14ac:dyDescent="0.2">
      <c r="A3641" s="1">
        <v>0.52708333333333302</v>
      </c>
      <c r="B3641" s="2">
        <v>6.29</v>
      </c>
      <c r="C3641" s="2">
        <v>3.81</v>
      </c>
      <c r="D3641" s="2">
        <v>5.1099999999999994</v>
      </c>
      <c r="E3641" s="2">
        <v>5.27</v>
      </c>
      <c r="F3641" s="2">
        <v>3.2399999999999998</v>
      </c>
      <c r="G3641" s="6">
        <v>13425.143641976232</v>
      </c>
      <c r="H3641" s="6">
        <v>13922.024783251676</v>
      </c>
      <c r="I3641" s="6">
        <v>14068.809842239963</v>
      </c>
      <c r="J3641" s="6">
        <v>8294.6146647487294</v>
      </c>
      <c r="K3641" s="6">
        <v>9623.1852156240057</v>
      </c>
    </row>
    <row r="3642" spans="1:11" x14ac:dyDescent="0.2">
      <c r="A3642" s="1">
        <v>0.52777777777777801</v>
      </c>
      <c r="B3642" s="2">
        <v>6.15</v>
      </c>
      <c r="C3642" s="2">
        <v>3.81</v>
      </c>
      <c r="D3642" s="2">
        <v>5.21</v>
      </c>
      <c r="E3642" s="2">
        <v>5.53</v>
      </c>
      <c r="F3642" s="2">
        <v>2.9299999999999997</v>
      </c>
      <c r="G3642" s="6">
        <v>14201.301302338401</v>
      </c>
      <c r="H3642" s="6">
        <v>14605.345762262365</v>
      </c>
      <c r="I3642" s="6">
        <v>8706.5968385434189</v>
      </c>
      <c r="J3642" s="6">
        <v>8077.7169703754398</v>
      </c>
      <c r="K3642" s="6">
        <v>13272.651611776682</v>
      </c>
    </row>
    <row r="3643" spans="1:11" x14ac:dyDescent="0.2">
      <c r="A3643" s="1">
        <v>0.52847222222222201</v>
      </c>
      <c r="B3643" s="2">
        <v>6.19</v>
      </c>
      <c r="C3643" s="2">
        <v>3.73</v>
      </c>
      <c r="D3643" s="2">
        <v>5.21</v>
      </c>
      <c r="E3643" s="2">
        <v>5.21</v>
      </c>
      <c r="F3643" s="2">
        <v>2.9899999999999998</v>
      </c>
      <c r="G3643" s="6">
        <v>9873.4633339634656</v>
      </c>
      <c r="H3643" s="6">
        <v>16634.439239072919</v>
      </c>
      <c r="I3643" s="6">
        <v>7143.3941320856693</v>
      </c>
      <c r="J3643" s="6">
        <v>11029.760800348562</v>
      </c>
      <c r="K3643" s="6">
        <v>14604.779278669104</v>
      </c>
    </row>
    <row r="3644" spans="1:11" x14ac:dyDescent="0.2">
      <c r="A3644" s="1">
        <v>0.52916666666666701</v>
      </c>
      <c r="B3644" s="2">
        <v>6.25</v>
      </c>
      <c r="C3644" s="2">
        <v>3.8499999999999996</v>
      </c>
      <c r="D3644" s="2">
        <v>5.39</v>
      </c>
      <c r="E3644" s="2">
        <v>5.6099999999999994</v>
      </c>
      <c r="F3644" s="2">
        <v>3.15</v>
      </c>
      <c r="G3644" s="6">
        <v>11531.16696541815</v>
      </c>
      <c r="H3644" s="6">
        <v>8509.1137299558213</v>
      </c>
      <c r="I3644" s="6">
        <v>10954.166395832719</v>
      </c>
      <c r="J3644" s="6">
        <v>10445.850011382121</v>
      </c>
      <c r="K3644" s="6">
        <v>12563.114666451294</v>
      </c>
    </row>
    <row r="3645" spans="1:11" x14ac:dyDescent="0.2">
      <c r="A3645" s="1">
        <v>0.52986111111111101</v>
      </c>
      <c r="B3645" s="2">
        <v>6.2700000000000005</v>
      </c>
      <c r="C3645" s="2">
        <v>3.63</v>
      </c>
      <c r="D3645" s="2">
        <v>5.0599999999999996</v>
      </c>
      <c r="E3645" s="2">
        <v>5.68</v>
      </c>
      <c r="F3645" s="2">
        <v>3.37</v>
      </c>
      <c r="G3645" s="6">
        <v>8297.2812139344787</v>
      </c>
      <c r="H3645" s="6">
        <v>16999.079918608855</v>
      </c>
      <c r="I3645" s="6">
        <v>10339.748834907601</v>
      </c>
      <c r="J3645" s="6">
        <v>11665.598893023698</v>
      </c>
      <c r="K3645" s="6">
        <v>10077.013865946115</v>
      </c>
    </row>
    <row r="3646" spans="1:11" x14ac:dyDescent="0.2">
      <c r="A3646" s="1">
        <v>0.530555555555556</v>
      </c>
      <c r="B3646" s="2">
        <v>6.36</v>
      </c>
      <c r="C3646" s="2">
        <v>3.67</v>
      </c>
      <c r="D3646" s="2">
        <v>5.2299999999999995</v>
      </c>
      <c r="E3646" s="2">
        <v>5.43</v>
      </c>
      <c r="F3646" s="2">
        <v>3.05</v>
      </c>
      <c r="G3646" s="6">
        <v>11195.715849139324</v>
      </c>
      <c r="H3646" s="6">
        <v>13199.71699562649</v>
      </c>
      <c r="I3646" s="6">
        <v>7328.7700721653182</v>
      </c>
      <c r="J3646" s="6">
        <v>11049.674080204242</v>
      </c>
      <c r="K3646" s="6">
        <v>11792.353394393849</v>
      </c>
    </row>
    <row r="3647" spans="1:11" x14ac:dyDescent="0.2">
      <c r="A3647" s="1">
        <v>0.53125</v>
      </c>
      <c r="B3647" s="2">
        <v>6.22</v>
      </c>
      <c r="C3647" s="2">
        <v>3.7199999999999998</v>
      </c>
      <c r="D3647" s="2">
        <v>5.16</v>
      </c>
      <c r="E3647" s="2">
        <v>5.65</v>
      </c>
      <c r="F3647" s="2">
        <v>3.4</v>
      </c>
      <c r="G3647" s="6">
        <v>15301.378062613034</v>
      </c>
      <c r="H3647" s="6">
        <v>15884.789059175757</v>
      </c>
      <c r="I3647" s="6">
        <v>10413.758419804204</v>
      </c>
      <c r="J3647" s="6">
        <v>10993.622002953707</v>
      </c>
      <c r="K3647" s="6">
        <v>15550.151809588919</v>
      </c>
    </row>
    <row r="3648" spans="1:11" x14ac:dyDescent="0.2">
      <c r="A3648" s="1">
        <v>0.531944444444444</v>
      </c>
      <c r="B3648" s="2">
        <v>6.13</v>
      </c>
      <c r="C3648" s="2">
        <v>3.65</v>
      </c>
      <c r="D3648" s="2">
        <v>5.1899999999999995</v>
      </c>
      <c r="E3648" s="2">
        <v>5.41</v>
      </c>
      <c r="F3648" s="2">
        <v>3.07</v>
      </c>
      <c r="G3648" s="6">
        <v>10982.534003093862</v>
      </c>
      <c r="H3648" s="6">
        <v>12287.037470145724</v>
      </c>
      <c r="I3648" s="6">
        <v>7589.6130560643414</v>
      </c>
      <c r="J3648" s="6">
        <v>11541.356017443541</v>
      </c>
      <c r="K3648" s="6">
        <v>8987.468409523879</v>
      </c>
    </row>
    <row r="3649" spans="1:11" x14ac:dyDescent="0.2">
      <c r="A3649" s="1">
        <v>0.53263888888888899</v>
      </c>
      <c r="B3649" s="2">
        <v>6.2</v>
      </c>
      <c r="C3649" s="2">
        <v>3.73</v>
      </c>
      <c r="D3649" s="2">
        <v>5.31</v>
      </c>
      <c r="E3649" s="2">
        <v>5.1499999999999995</v>
      </c>
      <c r="F3649" s="2">
        <v>3.06</v>
      </c>
      <c r="G3649" s="6">
        <v>12842.961806339843</v>
      </c>
      <c r="H3649" s="6">
        <v>14585.246711349439</v>
      </c>
      <c r="I3649" s="6">
        <v>10641.554356911556</v>
      </c>
      <c r="J3649" s="6">
        <v>7984.3253473982668</v>
      </c>
      <c r="K3649" s="6">
        <v>9351.6568365273051</v>
      </c>
    </row>
    <row r="3650" spans="1:11" x14ac:dyDescent="0.2">
      <c r="A3650" s="1">
        <v>0.53333333333333299</v>
      </c>
      <c r="B3650" s="2">
        <v>6.32</v>
      </c>
      <c r="C3650" s="2">
        <v>3.69</v>
      </c>
      <c r="D3650" s="2">
        <v>5.1899999999999995</v>
      </c>
      <c r="E3650" s="2">
        <v>5.26</v>
      </c>
      <c r="F3650" s="2">
        <v>3.07</v>
      </c>
      <c r="G3650" s="6">
        <v>13822.894266281712</v>
      </c>
      <c r="H3650" s="6">
        <v>8577.2976298921367</v>
      </c>
      <c r="I3650" s="6">
        <v>13172.496122090935</v>
      </c>
      <c r="J3650" s="6">
        <v>11320.452588682601</v>
      </c>
      <c r="K3650" s="6">
        <v>14749.865984431784</v>
      </c>
    </row>
    <row r="3651" spans="1:11" x14ac:dyDescent="0.2">
      <c r="A3651" s="1">
        <v>0.53402777777777799</v>
      </c>
      <c r="B3651" s="2">
        <v>6.14</v>
      </c>
      <c r="C3651" s="2">
        <v>3.71</v>
      </c>
      <c r="D3651" s="2">
        <v>5.29</v>
      </c>
      <c r="E3651" s="2">
        <v>5.51</v>
      </c>
      <c r="F3651" s="2">
        <v>2.98</v>
      </c>
      <c r="G3651" s="6">
        <v>7773.8095302672655</v>
      </c>
      <c r="H3651" s="6">
        <v>9521.1811859915724</v>
      </c>
      <c r="I3651" s="6">
        <v>9058.5381206026377</v>
      </c>
      <c r="J3651" s="6">
        <v>11053.351318013427</v>
      </c>
      <c r="K3651" s="6">
        <v>9695.4873068118013</v>
      </c>
    </row>
    <row r="3652" spans="1:11" x14ac:dyDescent="0.2">
      <c r="A3652" s="1">
        <v>0.53472222222222199</v>
      </c>
      <c r="B3652" s="2">
        <v>6.19</v>
      </c>
      <c r="C3652" s="2">
        <v>3.8899999999999997</v>
      </c>
      <c r="D3652" s="2">
        <v>5.39</v>
      </c>
      <c r="E3652" s="2">
        <v>5.1499999999999995</v>
      </c>
      <c r="F3652" s="2">
        <v>3.35</v>
      </c>
      <c r="G3652" s="6">
        <v>8382.0556298585961</v>
      </c>
      <c r="H3652" s="6">
        <v>14205.935415015651</v>
      </c>
      <c r="I3652" s="6">
        <v>8816.4142480026076</v>
      </c>
      <c r="J3652" s="6">
        <v>8178.8038974180763</v>
      </c>
      <c r="K3652" s="6">
        <v>12869.409190304457</v>
      </c>
    </row>
    <row r="3653" spans="1:11" x14ac:dyDescent="0.2">
      <c r="A3653" s="1">
        <v>0.53541666666666698</v>
      </c>
      <c r="B3653" s="2">
        <v>6.3500000000000005</v>
      </c>
      <c r="C3653" s="2">
        <v>3.6599999999999997</v>
      </c>
      <c r="D3653" s="2">
        <v>5.17</v>
      </c>
      <c r="E3653" s="2">
        <v>5.39</v>
      </c>
      <c r="F3653" s="2">
        <v>3.1</v>
      </c>
      <c r="G3653" s="6">
        <v>7853.7531538824542</v>
      </c>
      <c r="H3653" s="6">
        <v>11557.57363967289</v>
      </c>
      <c r="I3653" s="6">
        <v>13357.317851522326</v>
      </c>
      <c r="J3653" s="6">
        <v>9507.7810154681665</v>
      </c>
      <c r="K3653" s="6">
        <v>11439.214180311556</v>
      </c>
    </row>
    <row r="3654" spans="1:11" x14ac:dyDescent="0.2">
      <c r="A3654" s="1">
        <v>0.53611111111111098</v>
      </c>
      <c r="B3654" s="2">
        <v>6.3100000000000005</v>
      </c>
      <c r="C3654" s="2">
        <v>3.8899999999999997</v>
      </c>
      <c r="D3654" s="2">
        <v>4.92</v>
      </c>
      <c r="E3654" s="2">
        <v>5.67</v>
      </c>
      <c r="F3654" s="2">
        <v>3.19</v>
      </c>
      <c r="G3654" s="6">
        <v>11498.32829579108</v>
      </c>
      <c r="H3654" s="6">
        <v>11573.172434226</v>
      </c>
      <c r="I3654" s="6">
        <v>7051.6049004525667</v>
      </c>
      <c r="J3654" s="6">
        <v>10399.09742834666</v>
      </c>
      <c r="K3654" s="6">
        <v>11324.296945212613</v>
      </c>
    </row>
    <row r="3655" spans="1:11" x14ac:dyDescent="0.2">
      <c r="A3655" s="1">
        <v>0.53680555555555598</v>
      </c>
      <c r="B3655" s="2">
        <v>6.23</v>
      </c>
      <c r="C3655" s="2">
        <v>3.8499999999999996</v>
      </c>
      <c r="D3655" s="2">
        <v>5.3</v>
      </c>
      <c r="E3655" s="2">
        <v>5.1499999999999995</v>
      </c>
      <c r="F3655" s="2">
        <v>3.08</v>
      </c>
      <c r="G3655" s="6">
        <v>13748.59902405607</v>
      </c>
      <c r="H3655" s="6">
        <v>8738.4427807137508</v>
      </c>
      <c r="I3655" s="6">
        <v>9416.9524311978839</v>
      </c>
      <c r="J3655" s="6">
        <v>8267.1013842214779</v>
      </c>
      <c r="K3655" s="6">
        <v>9618.3392764326782</v>
      </c>
    </row>
    <row r="3656" spans="1:11" x14ac:dyDescent="0.2">
      <c r="A3656" s="1">
        <v>0.53749999999999998</v>
      </c>
      <c r="B3656" s="2">
        <v>6.3500000000000005</v>
      </c>
      <c r="C3656" s="2">
        <v>3.63</v>
      </c>
      <c r="D3656" s="2">
        <v>5.33</v>
      </c>
      <c r="E3656" s="2">
        <v>5.2</v>
      </c>
      <c r="F3656" s="2">
        <v>2.8899999999999997</v>
      </c>
      <c r="G3656" s="6">
        <v>15247.188052412865</v>
      </c>
      <c r="H3656" s="6">
        <v>13690.251657627976</v>
      </c>
      <c r="I3656" s="6">
        <v>7463.041255025968</v>
      </c>
      <c r="J3656" s="6">
        <v>9784.6371698627208</v>
      </c>
      <c r="K3656" s="6">
        <v>8868.5947545933122</v>
      </c>
    </row>
    <row r="3657" spans="1:11" x14ac:dyDescent="0.2">
      <c r="A3657" s="1">
        <v>0.53819444444444398</v>
      </c>
      <c r="B3657" s="2">
        <v>6.2700000000000005</v>
      </c>
      <c r="C3657" s="2">
        <v>3.76</v>
      </c>
      <c r="D3657" s="2">
        <v>4.96</v>
      </c>
      <c r="E3657" s="2">
        <v>5.18</v>
      </c>
      <c r="F3657" s="2">
        <v>2.9899999999999998</v>
      </c>
      <c r="G3657" s="6">
        <v>15075.389372992971</v>
      </c>
      <c r="H3657" s="6">
        <v>10490.78125719275</v>
      </c>
      <c r="I3657" s="6">
        <v>9395.2966015364782</v>
      </c>
      <c r="J3657" s="6">
        <v>9010.5971169378245</v>
      </c>
      <c r="K3657" s="6">
        <v>10630.170685226338</v>
      </c>
    </row>
    <row r="3658" spans="1:11" x14ac:dyDescent="0.2">
      <c r="A3658" s="1">
        <v>0.53888888888888897</v>
      </c>
      <c r="B3658" s="2">
        <v>6.2</v>
      </c>
      <c r="C3658" s="2">
        <v>3.87</v>
      </c>
      <c r="D3658" s="2">
        <v>5.21</v>
      </c>
      <c r="E3658" s="2">
        <v>5.28</v>
      </c>
      <c r="F3658" s="2">
        <v>3.1999999999999997</v>
      </c>
      <c r="G3658" s="6">
        <v>8059.7590882424147</v>
      </c>
      <c r="H3658" s="6">
        <v>14849.668008109657</v>
      </c>
      <c r="I3658" s="6">
        <v>13824.6808014287</v>
      </c>
      <c r="J3658" s="6">
        <v>11367.484160864011</v>
      </c>
      <c r="K3658" s="6">
        <v>12740.376427636191</v>
      </c>
    </row>
    <row r="3659" spans="1:11" x14ac:dyDescent="0.2">
      <c r="A3659" s="1">
        <v>0.53958333333333297</v>
      </c>
      <c r="B3659" s="2">
        <v>6.3500000000000005</v>
      </c>
      <c r="C3659" s="2">
        <v>3.8899999999999997</v>
      </c>
      <c r="D3659" s="2">
        <v>4.9899999999999993</v>
      </c>
      <c r="E3659" s="2">
        <v>5.4799999999999995</v>
      </c>
      <c r="F3659" s="2">
        <v>3.02</v>
      </c>
      <c r="G3659" s="6">
        <v>14025.971411919596</v>
      </c>
      <c r="H3659" s="6">
        <v>10481.901069614751</v>
      </c>
      <c r="I3659" s="6">
        <v>10632.5320522356</v>
      </c>
      <c r="J3659" s="6">
        <v>9050.4041063997829</v>
      </c>
      <c r="K3659" s="6">
        <v>14226.742305204398</v>
      </c>
    </row>
    <row r="3660" spans="1:11" x14ac:dyDescent="0.2">
      <c r="A3660" s="1">
        <v>0.54027777777777797</v>
      </c>
      <c r="B3660" s="2">
        <v>6.17</v>
      </c>
      <c r="C3660" s="2">
        <v>3.69</v>
      </c>
      <c r="D3660" s="2">
        <v>5.22</v>
      </c>
      <c r="E3660" s="2">
        <v>5.49</v>
      </c>
      <c r="F3660" s="2">
        <v>3.3</v>
      </c>
      <c r="G3660" s="6">
        <v>7924.0616985466868</v>
      </c>
      <c r="H3660" s="6">
        <v>15592.924786666747</v>
      </c>
      <c r="I3660" s="6">
        <v>6767.9245469002317</v>
      </c>
      <c r="J3660" s="6">
        <v>9348.000931829929</v>
      </c>
      <c r="K3660" s="6">
        <v>13945.214940911299</v>
      </c>
    </row>
    <row r="3661" spans="1:11" x14ac:dyDescent="0.2">
      <c r="A3661" s="1">
        <v>0.54097222222222197</v>
      </c>
      <c r="B3661" s="2">
        <v>6.12</v>
      </c>
      <c r="C3661" s="2">
        <v>3.77</v>
      </c>
      <c r="D3661" s="2">
        <v>5.05</v>
      </c>
      <c r="E3661" s="2">
        <v>5.27</v>
      </c>
      <c r="F3661" s="2">
        <v>3.42</v>
      </c>
      <c r="G3661" s="6">
        <v>12862.341981297441</v>
      </c>
      <c r="H3661" s="6">
        <v>17070.781284846096</v>
      </c>
      <c r="I3661" s="6">
        <v>12145.91503519447</v>
      </c>
      <c r="J3661" s="6">
        <v>9699.0775179810644</v>
      </c>
      <c r="K3661" s="6">
        <v>12237.533039776932</v>
      </c>
    </row>
    <row r="3662" spans="1:11" x14ac:dyDescent="0.2">
      <c r="A3662" s="3">
        <v>0.54166666666666696</v>
      </c>
      <c r="B3662" s="2">
        <v>6.24</v>
      </c>
      <c r="C3662" s="2">
        <v>3.82</v>
      </c>
      <c r="D3662" s="2">
        <v>5.12</v>
      </c>
      <c r="E3662" s="2">
        <v>5.41</v>
      </c>
      <c r="F3662" s="2">
        <v>3.22</v>
      </c>
      <c r="G3662" s="6">
        <v>6593</v>
      </c>
      <c r="H3662" s="6">
        <v>8591</v>
      </c>
      <c r="I3662" s="6">
        <v>4563</v>
      </c>
      <c r="J3662" s="6">
        <v>4641</v>
      </c>
      <c r="K3662" s="6">
        <v>5947</v>
      </c>
    </row>
    <row r="3663" spans="1:11" x14ac:dyDescent="0.2">
      <c r="A3663" s="1">
        <v>0.54236111111111096</v>
      </c>
      <c r="B3663" s="2">
        <v>6.29</v>
      </c>
      <c r="C3663" s="2">
        <v>3.79</v>
      </c>
      <c r="D3663" s="2">
        <v>4.93</v>
      </c>
      <c r="E3663" s="2">
        <v>5.2299999999999995</v>
      </c>
      <c r="F3663" s="2">
        <v>3.03</v>
      </c>
      <c r="G3663" s="6">
        <v>5625.997438587473</v>
      </c>
      <c r="H3663" s="6">
        <v>8234.5356250523582</v>
      </c>
      <c r="I3663" s="6">
        <v>4420.4501726786002</v>
      </c>
      <c r="J3663" s="6">
        <v>4933.2415180694916</v>
      </c>
      <c r="K3663" s="6">
        <v>6861.052337271638</v>
      </c>
    </row>
    <row r="3664" spans="1:11" x14ac:dyDescent="0.2">
      <c r="A3664" s="1">
        <v>0.54305555555555596</v>
      </c>
      <c r="B3664" s="2">
        <v>6.21</v>
      </c>
      <c r="C3664" s="2">
        <v>3.7399999999999998</v>
      </c>
      <c r="D3664" s="2">
        <v>5.2299999999999995</v>
      </c>
      <c r="E3664" s="2">
        <v>5.22</v>
      </c>
      <c r="F3664" s="2">
        <v>3.1</v>
      </c>
      <c r="G3664" s="6">
        <v>5082.4548436887981</v>
      </c>
      <c r="H3664" s="6">
        <v>6203.2511159078858</v>
      </c>
      <c r="I3664" s="6">
        <v>5332.3599269081196</v>
      </c>
      <c r="J3664" s="6">
        <v>4647.0366268710359</v>
      </c>
      <c r="K3664" s="6">
        <v>7203.1177158746741</v>
      </c>
    </row>
    <row r="3665" spans="1:11" x14ac:dyDescent="0.2">
      <c r="A3665" s="1">
        <v>0.54374999999999996</v>
      </c>
      <c r="B3665" s="2">
        <v>6.32</v>
      </c>
      <c r="C3665" s="2">
        <v>3.69</v>
      </c>
      <c r="D3665" s="2">
        <v>5.1999999999999993</v>
      </c>
      <c r="E3665" s="2">
        <v>5.74</v>
      </c>
      <c r="F3665" s="2">
        <v>3.42</v>
      </c>
      <c r="G3665" s="6">
        <v>6065.9407687243065</v>
      </c>
      <c r="H3665" s="6">
        <v>6968.1374352858493</v>
      </c>
      <c r="I3665" s="6">
        <v>5248.3984707955196</v>
      </c>
      <c r="J3665" s="6">
        <v>4036.413288461818</v>
      </c>
      <c r="K3665" s="6">
        <v>7107.7355346264667</v>
      </c>
    </row>
    <row r="3666" spans="1:11" x14ac:dyDescent="0.2">
      <c r="A3666" s="1">
        <v>0.54444444444444495</v>
      </c>
      <c r="B3666" s="2">
        <v>6.2</v>
      </c>
      <c r="C3666" s="2">
        <v>3.9</v>
      </c>
      <c r="D3666" s="2">
        <v>5.18</v>
      </c>
      <c r="E3666" s="2">
        <v>5.67</v>
      </c>
      <c r="F3666" s="2">
        <v>3.13</v>
      </c>
      <c r="G3666" s="6">
        <v>6429.1493879997333</v>
      </c>
      <c r="H3666" s="6">
        <v>8278.1744932167421</v>
      </c>
      <c r="I3666" s="6">
        <v>5671.1646939260454</v>
      </c>
      <c r="J3666" s="6">
        <v>4394.284422869775</v>
      </c>
      <c r="K3666" s="6">
        <v>4982.2118538125751</v>
      </c>
    </row>
    <row r="3667" spans="1:11" x14ac:dyDescent="0.2">
      <c r="A3667" s="1">
        <v>0.54513888888888895</v>
      </c>
      <c r="B3667" s="2">
        <v>6.3</v>
      </c>
      <c r="C3667" s="2">
        <v>3.92</v>
      </c>
      <c r="D3667" s="2">
        <v>5.17</v>
      </c>
      <c r="E3667" s="2">
        <v>5.1899999999999995</v>
      </c>
      <c r="F3667" s="2">
        <v>3.35</v>
      </c>
      <c r="G3667" s="6">
        <v>5535.2368443173664</v>
      </c>
      <c r="H3667" s="6">
        <v>7458.6297950153976</v>
      </c>
      <c r="I3667" s="6">
        <v>5540.2718204306302</v>
      </c>
      <c r="J3667" s="6">
        <v>4477.2260567529647</v>
      </c>
      <c r="K3667" s="6">
        <v>5661.768295568505</v>
      </c>
    </row>
    <row r="3668" spans="1:11" x14ac:dyDescent="0.2">
      <c r="A3668" s="1">
        <v>0.54583333333333295</v>
      </c>
      <c r="B3668" s="2">
        <v>6.37</v>
      </c>
      <c r="C3668" s="2">
        <v>3.73</v>
      </c>
      <c r="D3668" s="2">
        <v>5.0999999999999996</v>
      </c>
      <c r="E3668" s="2">
        <v>5.31</v>
      </c>
      <c r="F3668" s="2">
        <v>3.3899999999999997</v>
      </c>
      <c r="G3668" s="6">
        <v>6970.5628758545754</v>
      </c>
      <c r="H3668" s="6">
        <v>6604.8644854054546</v>
      </c>
      <c r="I3668" s="6">
        <v>5244.1061113166297</v>
      </c>
      <c r="J3668" s="6">
        <v>4363.4200912356082</v>
      </c>
      <c r="K3668" s="6">
        <v>5412.1991207002302</v>
      </c>
    </row>
    <row r="3669" spans="1:11" x14ac:dyDescent="0.2">
      <c r="A3669" s="1">
        <v>0.54652777777777795</v>
      </c>
      <c r="B3669" s="2">
        <v>6.37</v>
      </c>
      <c r="C3669" s="2">
        <v>3.69</v>
      </c>
      <c r="D3669" s="2">
        <v>4.9799999999999995</v>
      </c>
      <c r="E3669" s="2">
        <v>5.68</v>
      </c>
      <c r="F3669" s="2">
        <v>3.31</v>
      </c>
      <c r="G3669" s="6">
        <v>5671.8095192934616</v>
      </c>
      <c r="H3669" s="6">
        <v>5182.1554250756526</v>
      </c>
      <c r="I3669" s="6">
        <v>5199.3391677875552</v>
      </c>
      <c r="J3669" s="6">
        <v>4310.9361248254936</v>
      </c>
      <c r="K3669" s="6">
        <v>4029.7762880666119</v>
      </c>
    </row>
    <row r="3670" spans="1:11" x14ac:dyDescent="0.2">
      <c r="A3670" s="1">
        <v>0.54722222222222205</v>
      </c>
      <c r="B3670" s="2">
        <v>6.36</v>
      </c>
      <c r="C3670" s="2">
        <v>3.79</v>
      </c>
      <c r="D3670" s="2">
        <v>5.27</v>
      </c>
      <c r="E3670" s="2">
        <v>5.32</v>
      </c>
      <c r="F3670" s="2">
        <v>3</v>
      </c>
      <c r="G3670" s="6">
        <v>5075.7065240859265</v>
      </c>
      <c r="H3670" s="6">
        <v>6656.6008496566255</v>
      </c>
      <c r="I3670" s="6">
        <v>5340.6181753985766</v>
      </c>
      <c r="J3670" s="6">
        <v>4063.1801614322749</v>
      </c>
      <c r="K3670" s="6">
        <v>5901.7708408219933</v>
      </c>
    </row>
    <row r="3671" spans="1:11" x14ac:dyDescent="0.2">
      <c r="A3671" s="1">
        <v>0.54791666666666705</v>
      </c>
      <c r="B3671" s="2">
        <v>6.26</v>
      </c>
      <c r="C3671" s="2">
        <v>3.6999999999999997</v>
      </c>
      <c r="D3671" s="2">
        <v>5.2299999999999995</v>
      </c>
      <c r="E3671" s="2">
        <v>5.31</v>
      </c>
      <c r="F3671" s="2">
        <v>3.04</v>
      </c>
      <c r="G3671" s="6">
        <v>5160.2839098256936</v>
      </c>
      <c r="H3671" s="6">
        <v>5461.8473560768834</v>
      </c>
      <c r="I3671" s="6">
        <v>5122.8678644127694</v>
      </c>
      <c r="J3671" s="6">
        <v>3910.3568246118557</v>
      </c>
      <c r="K3671" s="6">
        <v>5751.6495365929641</v>
      </c>
    </row>
    <row r="3672" spans="1:11" x14ac:dyDescent="0.2">
      <c r="A3672" s="1">
        <v>0.54861111111111105</v>
      </c>
      <c r="B3672" s="2">
        <v>6.36</v>
      </c>
      <c r="C3672" s="2">
        <v>3.9</v>
      </c>
      <c r="D3672" s="2">
        <v>5.14</v>
      </c>
      <c r="E3672" s="2">
        <v>5.2299999999999995</v>
      </c>
      <c r="F3672" s="2">
        <v>3.25</v>
      </c>
      <c r="G3672" s="6">
        <v>5258.431851276031</v>
      </c>
      <c r="H3672" s="6">
        <v>7903.4138733745158</v>
      </c>
      <c r="I3672" s="6">
        <v>5427.7893935731563</v>
      </c>
      <c r="J3672" s="6">
        <v>4354.2796300871896</v>
      </c>
      <c r="K3672" s="6">
        <v>5328.0411989806207</v>
      </c>
    </row>
    <row r="3673" spans="1:11" x14ac:dyDescent="0.2">
      <c r="A3673" s="1">
        <v>0.54930555555555605</v>
      </c>
      <c r="B3673" s="2">
        <v>6.36</v>
      </c>
      <c r="C3673" s="2">
        <v>3.76</v>
      </c>
      <c r="D3673" s="2">
        <v>5.34</v>
      </c>
      <c r="E3673" s="2">
        <v>5.29</v>
      </c>
      <c r="F3673" s="2">
        <v>3.1999999999999997</v>
      </c>
      <c r="G3673" s="6">
        <v>6400.0075153534435</v>
      </c>
      <c r="H3673" s="6">
        <v>7242.8504822743198</v>
      </c>
      <c r="I3673" s="6">
        <v>5181.577559936748</v>
      </c>
      <c r="J3673" s="6">
        <v>4024.0235001820261</v>
      </c>
      <c r="K3673" s="6">
        <v>5926.7791392056024</v>
      </c>
    </row>
    <row r="3674" spans="1:11" x14ac:dyDescent="0.2">
      <c r="A3674" s="1">
        <v>0.55000000000000004</v>
      </c>
      <c r="B3674" s="2">
        <v>6.29</v>
      </c>
      <c r="C3674" s="2">
        <v>3.78</v>
      </c>
      <c r="D3674" s="2">
        <v>4.93</v>
      </c>
      <c r="E3674" s="2">
        <v>5.28</v>
      </c>
      <c r="F3674" s="2">
        <v>3.4</v>
      </c>
      <c r="G3674" s="6">
        <v>6466.8680170726248</v>
      </c>
      <c r="H3674" s="6">
        <v>6798.0560924618176</v>
      </c>
      <c r="I3674" s="6">
        <v>5190.7597078010349</v>
      </c>
      <c r="J3674" s="6">
        <v>4764.9230314899951</v>
      </c>
      <c r="K3674" s="6">
        <v>3513.7918293133366</v>
      </c>
    </row>
    <row r="3675" spans="1:11" x14ac:dyDescent="0.2">
      <c r="A3675" s="1">
        <v>0.55069444444444404</v>
      </c>
      <c r="B3675" s="2">
        <v>6.33</v>
      </c>
      <c r="C3675" s="2">
        <v>3.82</v>
      </c>
      <c r="D3675" s="2">
        <v>5.17</v>
      </c>
      <c r="E3675" s="2">
        <v>5.24</v>
      </c>
      <c r="F3675" s="2">
        <v>2.92</v>
      </c>
      <c r="G3675" s="6">
        <v>5663.9029732469189</v>
      </c>
      <c r="H3675" s="6">
        <v>5149.9410481362756</v>
      </c>
      <c r="I3675" s="6">
        <v>5559.0660293927258</v>
      </c>
      <c r="J3675" s="6">
        <v>4324.2623299585266</v>
      </c>
      <c r="K3675" s="6">
        <v>4257.6674481443124</v>
      </c>
    </row>
    <row r="3676" spans="1:11" x14ac:dyDescent="0.2">
      <c r="A3676" s="1">
        <v>0.55138888888888904</v>
      </c>
      <c r="B3676" s="2">
        <v>6.33</v>
      </c>
      <c r="C3676" s="2">
        <v>3.65</v>
      </c>
      <c r="D3676" s="2">
        <v>5.08</v>
      </c>
      <c r="E3676" s="2">
        <v>5.54</v>
      </c>
      <c r="F3676" s="2">
        <v>3.3</v>
      </c>
      <c r="G3676" s="6">
        <v>5088.9084249701591</v>
      </c>
      <c r="H3676" s="6">
        <v>7106.9498293984789</v>
      </c>
      <c r="I3676" s="6">
        <v>5096.268103376683</v>
      </c>
      <c r="J3676" s="6">
        <v>3991.4603785094669</v>
      </c>
      <c r="K3676" s="6">
        <v>4310.8974953797133</v>
      </c>
    </row>
    <row r="3677" spans="1:11" x14ac:dyDescent="0.2">
      <c r="A3677" s="1">
        <v>0.55208333333333304</v>
      </c>
      <c r="B3677" s="2">
        <v>6.21</v>
      </c>
      <c r="C3677" s="2">
        <v>3.63</v>
      </c>
      <c r="D3677" s="2">
        <v>5.34</v>
      </c>
      <c r="E3677" s="2">
        <v>5.53</v>
      </c>
      <c r="F3677" s="2">
        <v>3.07</v>
      </c>
      <c r="G3677" s="6">
        <v>4993.362175387545</v>
      </c>
      <c r="H3677" s="6">
        <v>7071.2645412844131</v>
      </c>
      <c r="I3677" s="6">
        <v>5010.6905321291551</v>
      </c>
      <c r="J3677" s="6">
        <v>4331.7992361926181</v>
      </c>
      <c r="K3677" s="6">
        <v>6863.4332556323961</v>
      </c>
    </row>
    <row r="3678" spans="1:11" x14ac:dyDescent="0.2">
      <c r="A3678" s="1">
        <v>0.55277777777777803</v>
      </c>
      <c r="B3678" s="2">
        <v>6.19</v>
      </c>
      <c r="C3678" s="2">
        <v>3.7399999999999998</v>
      </c>
      <c r="D3678" s="2">
        <v>5.1099999999999994</v>
      </c>
      <c r="E3678" s="2">
        <v>5.21</v>
      </c>
      <c r="F3678" s="2">
        <v>3.28</v>
      </c>
      <c r="G3678" s="6">
        <v>5549.4030484891609</v>
      </c>
      <c r="H3678" s="6">
        <v>6957.2702619284291</v>
      </c>
      <c r="I3678" s="6">
        <v>5456.2874461677266</v>
      </c>
      <c r="J3678" s="6">
        <v>3821.579709500113</v>
      </c>
      <c r="K3678" s="6">
        <v>6572.9186855406142</v>
      </c>
    </row>
    <row r="3679" spans="1:11" x14ac:dyDescent="0.2">
      <c r="A3679" s="1">
        <v>0.55347222222222203</v>
      </c>
      <c r="B3679" s="2">
        <v>6.15</v>
      </c>
      <c r="C3679" s="2">
        <v>3.65</v>
      </c>
      <c r="D3679" s="2">
        <v>5.2799999999999994</v>
      </c>
      <c r="E3679" s="2">
        <v>5.68</v>
      </c>
      <c r="F3679" s="2">
        <v>3.26</v>
      </c>
      <c r="G3679" s="6">
        <v>5797.2330643469186</v>
      </c>
      <c r="H3679" s="6">
        <v>7293.0492843130187</v>
      </c>
      <c r="I3679" s="6">
        <v>5356.783477314274</v>
      </c>
      <c r="J3679" s="6">
        <v>3599.5000800752091</v>
      </c>
      <c r="K3679" s="6">
        <v>7369.0161809564506</v>
      </c>
    </row>
    <row r="3680" spans="1:11" x14ac:dyDescent="0.2">
      <c r="A3680" s="1">
        <v>0.55416666666666703</v>
      </c>
      <c r="B3680" s="2">
        <v>6.22</v>
      </c>
      <c r="C3680" s="2">
        <v>3.79</v>
      </c>
      <c r="D3680" s="2">
        <v>4.97</v>
      </c>
      <c r="E3680" s="2">
        <v>5.72</v>
      </c>
      <c r="F3680" s="2">
        <v>2.98</v>
      </c>
      <c r="G3680" s="6">
        <v>6132.9310705746293</v>
      </c>
      <c r="H3680" s="6">
        <v>5297.0326009497039</v>
      </c>
      <c r="I3680" s="6">
        <v>5505.3979992097238</v>
      </c>
      <c r="J3680" s="6">
        <v>4367.0467392712644</v>
      </c>
      <c r="K3680" s="6">
        <v>5341.6502713802729</v>
      </c>
    </row>
    <row r="3681" spans="1:11" x14ac:dyDescent="0.2">
      <c r="A3681" s="1">
        <v>0.55486111111111103</v>
      </c>
      <c r="B3681" s="2">
        <v>6.18</v>
      </c>
      <c r="C3681" s="2">
        <v>3.77</v>
      </c>
      <c r="D3681" s="2">
        <v>5.0999999999999996</v>
      </c>
      <c r="E3681" s="2">
        <v>5.35</v>
      </c>
      <c r="F3681" s="2">
        <v>3.1399999999999997</v>
      </c>
      <c r="G3681" s="6">
        <v>5338.6181030881389</v>
      </c>
      <c r="H3681" s="6">
        <v>6235.9691053586484</v>
      </c>
      <c r="I3681" s="6">
        <v>5245.9472020970252</v>
      </c>
      <c r="J3681" s="6">
        <v>4181.9437591912047</v>
      </c>
      <c r="K3681" s="6">
        <v>4540.9337431567801</v>
      </c>
    </row>
    <row r="3682" spans="1:11" x14ac:dyDescent="0.2">
      <c r="A3682" s="1">
        <v>0.55555555555555602</v>
      </c>
      <c r="B3682" s="2">
        <v>6.16</v>
      </c>
      <c r="C3682" s="2">
        <v>3.61</v>
      </c>
      <c r="D3682" s="2">
        <v>5.0699999999999994</v>
      </c>
      <c r="E3682" s="2">
        <v>5.45</v>
      </c>
      <c r="F3682" s="2">
        <v>3.1399999999999997</v>
      </c>
      <c r="G3682" s="6">
        <v>5485.8704496534319</v>
      </c>
      <c r="H3682" s="6">
        <v>6212.5196572577643</v>
      </c>
      <c r="I3682" s="6">
        <v>5286.4968531553077</v>
      </c>
      <c r="J3682" s="6">
        <v>4728.9027904675841</v>
      </c>
      <c r="K3682" s="6">
        <v>6432.9848508779342</v>
      </c>
    </row>
    <row r="3683" spans="1:11" x14ac:dyDescent="0.2">
      <c r="A3683" s="1">
        <v>0.55625000000000002</v>
      </c>
      <c r="B3683" s="2">
        <v>6.19</v>
      </c>
      <c r="C3683" s="2">
        <v>3.67</v>
      </c>
      <c r="D3683" s="2">
        <v>5.2299999999999995</v>
      </c>
      <c r="E3683" s="2">
        <v>5.31</v>
      </c>
      <c r="F3683" s="2">
        <v>3.03</v>
      </c>
      <c r="G3683" s="6">
        <v>6153.8736681207338</v>
      </c>
      <c r="H3683" s="6">
        <v>5793.0702150827474</v>
      </c>
      <c r="I3683" s="6">
        <v>5394.1482424910382</v>
      </c>
      <c r="J3683" s="6">
        <v>4122.5154822662453</v>
      </c>
      <c r="K3683" s="6">
        <v>6518.8489218717177</v>
      </c>
    </row>
    <row r="3684" spans="1:11" x14ac:dyDescent="0.2">
      <c r="A3684" s="1">
        <v>0.55694444444444402</v>
      </c>
      <c r="B3684" s="2">
        <v>6.37</v>
      </c>
      <c r="C3684" s="2">
        <v>3.6799999999999997</v>
      </c>
      <c r="D3684" s="2">
        <v>5.21</v>
      </c>
      <c r="E3684" s="2">
        <v>5.2299999999999995</v>
      </c>
      <c r="F3684" s="2">
        <v>3</v>
      </c>
      <c r="G3684" s="6">
        <v>5597.489235824778</v>
      </c>
      <c r="H3684" s="6">
        <v>5703.4864753974152</v>
      </c>
      <c r="I3684" s="6">
        <v>5472.5459266102116</v>
      </c>
      <c r="J3684" s="6">
        <v>4281.3087622233015</v>
      </c>
      <c r="K3684" s="6">
        <v>4829.4203256017017</v>
      </c>
    </row>
    <row r="3685" spans="1:11" x14ac:dyDescent="0.2">
      <c r="A3685" s="1">
        <v>0.55763888888888902</v>
      </c>
      <c r="B3685" s="2">
        <v>6.37</v>
      </c>
      <c r="C3685" s="2">
        <v>3.71</v>
      </c>
      <c r="D3685" s="2">
        <v>5.2799999999999994</v>
      </c>
      <c r="E3685" s="2">
        <v>5.77</v>
      </c>
      <c r="F3685" s="2">
        <v>3.09</v>
      </c>
      <c r="G3685" s="6">
        <v>4954.7065130556575</v>
      </c>
      <c r="H3685" s="6">
        <v>5695.2419110599803</v>
      </c>
      <c r="I3685" s="6">
        <v>5256.8470967342228</v>
      </c>
      <c r="J3685" s="6">
        <v>3900.1957051354325</v>
      </c>
      <c r="K3685" s="6">
        <v>4868.2030016686413</v>
      </c>
    </row>
    <row r="3686" spans="1:11" x14ac:dyDescent="0.2">
      <c r="A3686" s="1">
        <v>0.55833333333333302</v>
      </c>
      <c r="B3686" s="2">
        <v>6.14</v>
      </c>
      <c r="C3686" s="2">
        <v>3.76</v>
      </c>
      <c r="D3686" s="2">
        <v>5.05</v>
      </c>
      <c r="E3686" s="2">
        <v>5.52</v>
      </c>
      <c r="F3686" s="2">
        <v>2.88</v>
      </c>
      <c r="G3686" s="6">
        <v>5984.2486888014337</v>
      </c>
      <c r="H3686" s="6">
        <v>8105.8696198703301</v>
      </c>
      <c r="I3686" s="6">
        <v>5025.4207762685719</v>
      </c>
      <c r="J3686" s="6">
        <v>4112.8711319368886</v>
      </c>
      <c r="K3686" s="6">
        <v>5729.4306302793602</v>
      </c>
    </row>
    <row r="3687" spans="1:11" x14ac:dyDescent="0.2">
      <c r="A3687" s="1">
        <v>0.55902777777777801</v>
      </c>
      <c r="B3687" s="2">
        <v>6.29</v>
      </c>
      <c r="C3687" s="2">
        <v>3.61</v>
      </c>
      <c r="D3687" s="2">
        <v>5.39</v>
      </c>
      <c r="E3687" s="2">
        <v>5.31</v>
      </c>
      <c r="F3687" s="2">
        <v>2.9899999999999998</v>
      </c>
      <c r="G3687" s="6">
        <v>5404.1379587825686</v>
      </c>
      <c r="H3687" s="6">
        <v>6556.9492811093605</v>
      </c>
      <c r="I3687" s="6">
        <v>5206.2457025375752</v>
      </c>
      <c r="J3687" s="6">
        <v>4229.6411434905112</v>
      </c>
      <c r="K3687" s="6">
        <v>4344.4492803123703</v>
      </c>
    </row>
    <row r="3688" spans="1:11" x14ac:dyDescent="0.2">
      <c r="A3688" s="1">
        <v>0.55972222222222201</v>
      </c>
      <c r="B3688" s="2">
        <v>6.3100000000000005</v>
      </c>
      <c r="C3688" s="2">
        <v>3.6599999999999997</v>
      </c>
      <c r="D3688" s="2">
        <v>5.1099999999999994</v>
      </c>
      <c r="E3688" s="2">
        <v>5.4399999999999995</v>
      </c>
      <c r="F3688" s="2">
        <v>2.98</v>
      </c>
      <c r="G3688" s="6">
        <v>5166.1930256545793</v>
      </c>
      <c r="H3688" s="6">
        <v>5615.1068548406975</v>
      </c>
      <c r="I3688" s="6">
        <v>5135.5521934712688</v>
      </c>
      <c r="J3688" s="6">
        <v>4100.0943062056376</v>
      </c>
      <c r="K3688" s="6">
        <v>4558.0442029223732</v>
      </c>
    </row>
    <row r="3689" spans="1:11" x14ac:dyDescent="0.2">
      <c r="A3689" s="1">
        <v>0.56041666666666701</v>
      </c>
      <c r="B3689" s="2">
        <v>6.13</v>
      </c>
      <c r="C3689" s="2">
        <v>3.77</v>
      </c>
      <c r="D3689" s="2">
        <v>5.13</v>
      </c>
      <c r="E3689" s="2">
        <v>5.39</v>
      </c>
      <c r="F3689" s="2">
        <v>3.12</v>
      </c>
      <c r="G3689" s="6">
        <v>4688.6716238096842</v>
      </c>
      <c r="H3689" s="6">
        <v>8254.1845103392952</v>
      </c>
      <c r="I3689" s="6">
        <v>5266.9517405346014</v>
      </c>
      <c r="J3689" s="6">
        <v>4501.4985620758744</v>
      </c>
      <c r="K3689" s="6">
        <v>3821.2820979396033</v>
      </c>
    </row>
    <row r="3690" spans="1:11" x14ac:dyDescent="0.2">
      <c r="A3690" s="1">
        <v>0.56111111111111101</v>
      </c>
      <c r="B3690" s="2">
        <v>6.21</v>
      </c>
      <c r="C3690" s="2">
        <v>3.6599999999999997</v>
      </c>
      <c r="D3690" s="2">
        <v>4.9099999999999993</v>
      </c>
      <c r="E3690" s="2">
        <v>5.45</v>
      </c>
      <c r="F3690" s="2">
        <v>3.05</v>
      </c>
      <c r="G3690" s="6">
        <v>5061.23319643581</v>
      </c>
      <c r="H3690" s="6">
        <v>6224.7113917709084</v>
      </c>
      <c r="I3690" s="6">
        <v>5344.789090960373</v>
      </c>
      <c r="J3690" s="6">
        <v>3710.6035246618039</v>
      </c>
      <c r="K3690" s="6">
        <v>3694.9238026932662</v>
      </c>
    </row>
    <row r="3691" spans="1:11" x14ac:dyDescent="0.2">
      <c r="A3691" s="1">
        <v>0.561805555555556</v>
      </c>
      <c r="B3691" s="2">
        <v>6.15</v>
      </c>
      <c r="C3691" s="2">
        <v>3.8</v>
      </c>
      <c r="D3691" s="2">
        <v>5.18</v>
      </c>
      <c r="E3691" s="2">
        <v>5.29</v>
      </c>
      <c r="F3691" s="2">
        <v>3.02</v>
      </c>
      <c r="G3691" s="6">
        <v>6148.7933423997729</v>
      </c>
      <c r="H3691" s="6">
        <v>5774.5954759505639</v>
      </c>
      <c r="I3691" s="6">
        <v>5133.0839125470438</v>
      </c>
      <c r="J3691" s="6">
        <v>4355.3569270857324</v>
      </c>
      <c r="K3691" s="6">
        <v>5695.9832999566452</v>
      </c>
    </row>
    <row r="3692" spans="1:11" x14ac:dyDescent="0.2">
      <c r="A3692" s="1">
        <v>0.5625</v>
      </c>
      <c r="B3692" s="2">
        <v>6.29</v>
      </c>
      <c r="C3692" s="2">
        <v>3.9099999999999997</v>
      </c>
      <c r="D3692" s="2">
        <v>5.25</v>
      </c>
      <c r="E3692" s="2">
        <v>5.7</v>
      </c>
      <c r="F3692" s="2">
        <v>3.09</v>
      </c>
      <c r="G3692" s="6">
        <v>5499.0138056021087</v>
      </c>
      <c r="H3692" s="6">
        <v>6388.4753838743036</v>
      </c>
      <c r="I3692" s="6">
        <v>5306.917876511181</v>
      </c>
      <c r="J3692" s="6">
        <v>4196.0739187697282</v>
      </c>
      <c r="K3692" s="6">
        <v>6124.8172198699294</v>
      </c>
    </row>
    <row r="3693" spans="1:11" x14ac:dyDescent="0.2">
      <c r="A3693" s="1">
        <v>0.563194444444444</v>
      </c>
      <c r="B3693" s="2">
        <v>6.19</v>
      </c>
      <c r="C3693" s="2">
        <v>3.83</v>
      </c>
      <c r="D3693" s="2">
        <v>5.2799999999999994</v>
      </c>
      <c r="E3693" s="2">
        <v>5.5</v>
      </c>
      <c r="F3693" s="2">
        <v>2.8899999999999997</v>
      </c>
      <c r="G3693" s="6">
        <v>5796.2713937947428</v>
      </c>
      <c r="H3693" s="6">
        <v>6334.5332539757783</v>
      </c>
      <c r="I3693" s="6">
        <v>5397.4860936744199</v>
      </c>
      <c r="J3693" s="6">
        <v>3741.0397007376882</v>
      </c>
      <c r="K3693" s="6">
        <v>5268.5272869171022</v>
      </c>
    </row>
    <row r="3694" spans="1:11" x14ac:dyDescent="0.2">
      <c r="A3694" s="1">
        <v>0.56388888888888899</v>
      </c>
      <c r="B3694" s="2">
        <v>6.14</v>
      </c>
      <c r="C3694" s="2">
        <v>3.65</v>
      </c>
      <c r="D3694" s="2">
        <v>4.96</v>
      </c>
      <c r="E3694" s="2">
        <v>5.3</v>
      </c>
      <c r="F3694" s="2">
        <v>3</v>
      </c>
      <c r="G3694" s="6">
        <v>5948.9098720279544</v>
      </c>
      <c r="H3694" s="6">
        <v>7348.5556921628222</v>
      </c>
      <c r="I3694" s="6">
        <v>5039.0960570597535</v>
      </c>
      <c r="J3694" s="6">
        <v>4588.5948659725736</v>
      </c>
      <c r="K3694" s="6">
        <v>6809.6112106161499</v>
      </c>
    </row>
    <row r="3695" spans="1:11" x14ac:dyDescent="0.2">
      <c r="A3695" s="1">
        <v>0.56458333333333299</v>
      </c>
      <c r="B3695" s="2">
        <v>6.15</v>
      </c>
      <c r="C3695" s="2">
        <v>3.71</v>
      </c>
      <c r="D3695" s="2">
        <v>5.21</v>
      </c>
      <c r="E3695" s="2">
        <v>5.4399999999999995</v>
      </c>
      <c r="F3695" s="2">
        <v>3.31</v>
      </c>
      <c r="G3695" s="6">
        <v>5259.1357682455046</v>
      </c>
      <c r="H3695" s="6">
        <v>5742.2017655238451</v>
      </c>
      <c r="I3695" s="6">
        <v>5285.6146489205457</v>
      </c>
      <c r="J3695" s="6">
        <v>4156.4696836205158</v>
      </c>
      <c r="K3695" s="6">
        <v>4621.0612734846209</v>
      </c>
    </row>
    <row r="3696" spans="1:11" x14ac:dyDescent="0.2">
      <c r="A3696" s="1">
        <v>0.56527777777777799</v>
      </c>
      <c r="B3696" s="2">
        <v>6.17</v>
      </c>
      <c r="C3696" s="2">
        <v>3.63</v>
      </c>
      <c r="D3696" s="2">
        <v>5.27</v>
      </c>
      <c r="E3696" s="2">
        <v>5.66</v>
      </c>
      <c r="F3696" s="2">
        <v>3.05</v>
      </c>
      <c r="G3696" s="6">
        <v>6233.1259931800041</v>
      </c>
      <c r="H3696" s="6">
        <v>5506.5350945700657</v>
      </c>
      <c r="I3696" s="6">
        <v>5035.3783451781565</v>
      </c>
      <c r="J3696" s="6">
        <v>4497.315021442696</v>
      </c>
      <c r="K3696" s="6">
        <v>3614.9800297416878</v>
      </c>
    </row>
    <row r="3697" spans="1:11" x14ac:dyDescent="0.2">
      <c r="A3697" s="1">
        <v>0.56597222222222199</v>
      </c>
      <c r="B3697" s="2">
        <v>6.21</v>
      </c>
      <c r="C3697" s="2">
        <v>3.8899999999999997</v>
      </c>
      <c r="D3697" s="2">
        <v>5.0199999999999996</v>
      </c>
      <c r="E3697" s="2">
        <v>5.22</v>
      </c>
      <c r="F3697" s="2">
        <v>2.8899999999999997</v>
      </c>
      <c r="G3697" s="6">
        <v>4882.8747505700503</v>
      </c>
      <c r="H3697" s="6">
        <v>5865.2217431762365</v>
      </c>
      <c r="I3697" s="6">
        <v>5506.7438318159575</v>
      </c>
      <c r="J3697" s="6">
        <v>3912.0069453283668</v>
      </c>
      <c r="K3697" s="6">
        <v>6899.1691767520979</v>
      </c>
    </row>
    <row r="3698" spans="1:11" x14ac:dyDescent="0.2">
      <c r="A3698" s="1">
        <v>0.56666666666666698</v>
      </c>
      <c r="B3698" s="2">
        <v>6.36</v>
      </c>
      <c r="C3698" s="2">
        <v>3.78</v>
      </c>
      <c r="D3698" s="2">
        <v>4.9099999999999993</v>
      </c>
      <c r="E3698" s="2">
        <v>5.5</v>
      </c>
      <c r="F3698" s="2">
        <v>2.9699999999999998</v>
      </c>
      <c r="G3698" s="6">
        <v>4986.537122827689</v>
      </c>
      <c r="H3698" s="6">
        <v>5757.8061337565923</v>
      </c>
      <c r="I3698" s="6">
        <v>5086.6992589500614</v>
      </c>
      <c r="J3698" s="6">
        <v>4433.129772346093</v>
      </c>
      <c r="K3698" s="6">
        <v>4366.975449624897</v>
      </c>
    </row>
    <row r="3699" spans="1:11" x14ac:dyDescent="0.2">
      <c r="A3699" s="1">
        <v>0.56736111111111098</v>
      </c>
      <c r="B3699" s="2">
        <v>6.3</v>
      </c>
      <c r="C3699" s="2">
        <v>3.83</v>
      </c>
      <c r="D3699" s="2">
        <v>5.35</v>
      </c>
      <c r="E3699" s="2">
        <v>5.51</v>
      </c>
      <c r="F3699" s="2">
        <v>3.02</v>
      </c>
      <c r="G3699" s="6">
        <v>6265.6012456100225</v>
      </c>
      <c r="H3699" s="6">
        <v>5564.4218399695101</v>
      </c>
      <c r="I3699" s="6">
        <v>5520.3645146548106</v>
      </c>
      <c r="J3699" s="6">
        <v>4089.6434337710843</v>
      </c>
      <c r="K3699" s="6">
        <v>7230.0881133675548</v>
      </c>
    </row>
    <row r="3700" spans="1:11" x14ac:dyDescent="0.2">
      <c r="A3700" s="1">
        <v>0.56805555555555598</v>
      </c>
      <c r="B3700" s="2">
        <v>6.3</v>
      </c>
      <c r="C3700" s="2">
        <v>3.76</v>
      </c>
      <c r="D3700" s="2">
        <v>4.93</v>
      </c>
      <c r="E3700" s="2">
        <v>5.62</v>
      </c>
      <c r="F3700" s="2">
        <v>2.9099999999999997</v>
      </c>
      <c r="G3700" s="6">
        <v>5154.6259993856229</v>
      </c>
      <c r="H3700" s="6">
        <v>7789.2535610876903</v>
      </c>
      <c r="I3700" s="6">
        <v>5377.6198933686701</v>
      </c>
      <c r="J3700" s="6">
        <v>4521.6784537024678</v>
      </c>
      <c r="K3700" s="6">
        <v>5663.0569240969826</v>
      </c>
    </row>
    <row r="3701" spans="1:11" x14ac:dyDescent="0.2">
      <c r="A3701" s="1">
        <v>0.56874999999999998</v>
      </c>
      <c r="B3701" s="2">
        <v>6.3100000000000005</v>
      </c>
      <c r="C3701" s="2">
        <v>3.6799999999999997</v>
      </c>
      <c r="D3701" s="2">
        <v>5.3699999999999992</v>
      </c>
      <c r="E3701" s="2">
        <v>5.66</v>
      </c>
      <c r="F3701" s="2">
        <v>3.11</v>
      </c>
      <c r="G3701" s="6">
        <v>4837.483013723343</v>
      </c>
      <c r="H3701" s="6">
        <v>6118.3856015408001</v>
      </c>
      <c r="I3701" s="6">
        <v>5138.3386883400726</v>
      </c>
      <c r="J3701" s="6">
        <v>4598.6663530847663</v>
      </c>
      <c r="K3701" s="6">
        <v>3911.6604302034061</v>
      </c>
    </row>
    <row r="3702" spans="1:11" x14ac:dyDescent="0.2">
      <c r="A3702" s="1">
        <v>0.56944444444444398</v>
      </c>
      <c r="B3702" s="2">
        <v>6.29</v>
      </c>
      <c r="C3702" s="2">
        <v>3.84</v>
      </c>
      <c r="D3702" s="2">
        <v>4.97</v>
      </c>
      <c r="E3702" s="2">
        <v>5.37</v>
      </c>
      <c r="F3702" s="2">
        <v>3.05</v>
      </c>
      <c r="G3702" s="6">
        <v>5664.9625951107391</v>
      </c>
      <c r="H3702" s="6">
        <v>6093.1823407730899</v>
      </c>
      <c r="I3702" s="6">
        <v>5551.8658682218793</v>
      </c>
      <c r="J3702" s="6">
        <v>3950.8906446370302</v>
      </c>
      <c r="K3702" s="6">
        <v>4939.8572228433213</v>
      </c>
    </row>
    <row r="3703" spans="1:11" x14ac:dyDescent="0.2">
      <c r="A3703" s="1">
        <v>0.57013888888888897</v>
      </c>
      <c r="B3703" s="2">
        <v>6.16</v>
      </c>
      <c r="C3703" s="2">
        <v>3.73</v>
      </c>
      <c r="D3703" s="2">
        <v>5.0699999999999994</v>
      </c>
      <c r="E3703" s="2">
        <v>5.24</v>
      </c>
      <c r="F3703" s="2">
        <v>2.92</v>
      </c>
      <c r="G3703" s="6">
        <v>4831.6189594850011</v>
      </c>
      <c r="H3703" s="6">
        <v>7824.9919763530361</v>
      </c>
      <c r="I3703" s="6">
        <v>5181.6590377529428</v>
      </c>
      <c r="J3703" s="6">
        <v>3888.981288998807</v>
      </c>
      <c r="K3703" s="6">
        <v>4493.7390045086249</v>
      </c>
    </row>
    <row r="3704" spans="1:11" x14ac:dyDescent="0.2">
      <c r="A3704" s="1">
        <v>0.57083333333333297</v>
      </c>
      <c r="B3704" s="2">
        <v>6.28</v>
      </c>
      <c r="C3704" s="2">
        <v>3.86</v>
      </c>
      <c r="D3704" s="2">
        <v>5.26</v>
      </c>
      <c r="E3704" s="2">
        <v>5.21</v>
      </c>
      <c r="F3704" s="2">
        <v>2.92</v>
      </c>
      <c r="G3704" s="6">
        <v>6846.3231946286242</v>
      </c>
      <c r="H3704" s="6">
        <v>5822.7314957883054</v>
      </c>
      <c r="I3704" s="6">
        <v>5192.7445541515035</v>
      </c>
      <c r="J3704" s="6">
        <v>3942.332525209546</v>
      </c>
      <c r="K3704" s="6">
        <v>5625.7846326863682</v>
      </c>
    </row>
    <row r="3705" spans="1:11" x14ac:dyDescent="0.2">
      <c r="A3705" s="1">
        <v>0.57152777777777797</v>
      </c>
      <c r="B3705" s="2">
        <v>6.13</v>
      </c>
      <c r="C3705" s="2">
        <v>3.7399999999999998</v>
      </c>
      <c r="D3705" s="2">
        <v>5.0699999999999994</v>
      </c>
      <c r="E3705" s="2">
        <v>5.34</v>
      </c>
      <c r="F3705" s="2">
        <v>2.9699999999999998</v>
      </c>
      <c r="G3705" s="6">
        <v>6453.9666470663233</v>
      </c>
      <c r="H3705" s="6">
        <v>6424.7093739585598</v>
      </c>
      <c r="I3705" s="6">
        <v>5310.5207287713365</v>
      </c>
      <c r="J3705" s="6">
        <v>4518.5574710164456</v>
      </c>
      <c r="K3705" s="6">
        <v>5707.7412767853311</v>
      </c>
    </row>
    <row r="3706" spans="1:11" x14ac:dyDescent="0.2">
      <c r="A3706" s="1">
        <v>0.57222222222222197</v>
      </c>
      <c r="B3706" s="2">
        <v>6.22</v>
      </c>
      <c r="C3706" s="2">
        <v>3.92</v>
      </c>
      <c r="D3706" s="2">
        <v>4.97</v>
      </c>
      <c r="E3706" s="2">
        <v>5.79</v>
      </c>
      <c r="F3706" s="2">
        <v>3.34</v>
      </c>
      <c r="G3706" s="6">
        <v>5765.4522844625635</v>
      </c>
      <c r="H3706" s="6">
        <v>6689.9362036418424</v>
      </c>
      <c r="I3706" s="6">
        <v>5580.2132983355159</v>
      </c>
      <c r="J3706" s="6">
        <v>3930.5362719545415</v>
      </c>
      <c r="K3706" s="6">
        <v>7025.5738820453616</v>
      </c>
    </row>
    <row r="3707" spans="1:11" x14ac:dyDescent="0.2">
      <c r="A3707" s="1">
        <v>0.57291666666666696</v>
      </c>
      <c r="B3707" s="2">
        <v>6.3500000000000005</v>
      </c>
      <c r="C3707" s="2">
        <v>3.75</v>
      </c>
      <c r="D3707" s="2">
        <v>5.34</v>
      </c>
      <c r="E3707" s="2">
        <v>5.72</v>
      </c>
      <c r="F3707" s="2">
        <v>3.15</v>
      </c>
      <c r="G3707" s="6">
        <v>5686.8205493570076</v>
      </c>
      <c r="H3707" s="6">
        <v>5097.7982247162272</v>
      </c>
      <c r="I3707" s="6">
        <v>5399.1983884660376</v>
      </c>
      <c r="J3707" s="6">
        <v>3661.0670159540018</v>
      </c>
      <c r="K3707" s="6">
        <v>4114.5851086138327</v>
      </c>
    </row>
    <row r="3708" spans="1:11" x14ac:dyDescent="0.2">
      <c r="A3708" s="1">
        <v>0.57361111111111096</v>
      </c>
      <c r="B3708" s="2">
        <v>6.2700000000000005</v>
      </c>
      <c r="C3708" s="2">
        <v>3.71</v>
      </c>
      <c r="D3708" s="2">
        <v>5.2399999999999993</v>
      </c>
      <c r="E3708" s="2">
        <v>5.4</v>
      </c>
      <c r="F3708" s="2">
        <v>2.9499999999999997</v>
      </c>
      <c r="G3708" s="6">
        <v>6695.1828095313995</v>
      </c>
      <c r="H3708" s="6">
        <v>7312.3027750351876</v>
      </c>
      <c r="I3708" s="6">
        <v>5628.1444355933672</v>
      </c>
      <c r="J3708" s="6">
        <v>4683.4795159041387</v>
      </c>
      <c r="K3708" s="6">
        <v>4033.8998459217828</v>
      </c>
    </row>
    <row r="3709" spans="1:11" x14ac:dyDescent="0.2">
      <c r="A3709" s="1">
        <v>0.57430555555555596</v>
      </c>
      <c r="B3709" s="2">
        <v>6.13</v>
      </c>
      <c r="C3709" s="2">
        <v>3.86</v>
      </c>
      <c r="D3709" s="2">
        <v>4.8999999999999995</v>
      </c>
      <c r="E3709" s="2">
        <v>5.37</v>
      </c>
      <c r="F3709" s="2">
        <v>3.07</v>
      </c>
      <c r="G3709" s="6">
        <v>4671.9580657061688</v>
      </c>
      <c r="H3709" s="6">
        <v>5568.3292763266991</v>
      </c>
      <c r="I3709" s="6">
        <v>5458.0885637403571</v>
      </c>
      <c r="J3709" s="6">
        <v>3805.5933579668917</v>
      </c>
      <c r="K3709" s="6">
        <v>5368.2466850201026</v>
      </c>
    </row>
    <row r="3710" spans="1:11" x14ac:dyDescent="0.2">
      <c r="A3710" s="1">
        <v>0.57499999999999996</v>
      </c>
      <c r="B3710" s="2">
        <v>6.13</v>
      </c>
      <c r="C3710" s="2">
        <v>3.6799999999999997</v>
      </c>
      <c r="D3710" s="2">
        <v>5.27</v>
      </c>
      <c r="E3710" s="2">
        <v>5.37</v>
      </c>
      <c r="F3710" s="2">
        <v>3.17</v>
      </c>
      <c r="G3710" s="6">
        <v>4918.3652344039037</v>
      </c>
      <c r="H3710" s="6">
        <v>7390.1291197255132</v>
      </c>
      <c r="I3710" s="6">
        <v>5629.2825249281923</v>
      </c>
      <c r="J3710" s="6">
        <v>4265.5228127546952</v>
      </c>
      <c r="K3710" s="6">
        <v>5206.0759982015579</v>
      </c>
    </row>
    <row r="3711" spans="1:11" x14ac:dyDescent="0.2">
      <c r="A3711" s="1">
        <v>0.57569444444444495</v>
      </c>
      <c r="B3711" s="2">
        <v>6.18</v>
      </c>
      <c r="C3711" s="2">
        <v>3.9099999999999997</v>
      </c>
      <c r="D3711" s="2">
        <v>5.16</v>
      </c>
      <c r="E3711" s="2">
        <v>5.47</v>
      </c>
      <c r="F3711" s="2">
        <v>3.41</v>
      </c>
      <c r="G3711" s="6">
        <v>5483.9159276257087</v>
      </c>
      <c r="H3711" s="6">
        <v>7715.7478582165841</v>
      </c>
      <c r="I3711" s="6">
        <v>5213.4128575823652</v>
      </c>
      <c r="J3711" s="6">
        <v>3794.1921111961319</v>
      </c>
      <c r="K3711" s="6">
        <v>4890.3754261063059</v>
      </c>
    </row>
    <row r="3712" spans="1:11" x14ac:dyDescent="0.2">
      <c r="A3712" s="1">
        <v>0.57638888888888895</v>
      </c>
      <c r="B3712" s="2">
        <v>6.38</v>
      </c>
      <c r="C3712" s="2">
        <v>3.79</v>
      </c>
      <c r="D3712" s="2">
        <v>5.26</v>
      </c>
      <c r="E3712" s="2">
        <v>5.5</v>
      </c>
      <c r="F3712" s="2">
        <v>3.12</v>
      </c>
      <c r="G3712" s="6">
        <v>5942.0038281866764</v>
      </c>
      <c r="H3712" s="6">
        <v>7305.9905400296311</v>
      </c>
      <c r="I3712" s="6">
        <v>5293.7395400132737</v>
      </c>
      <c r="J3712" s="6">
        <v>4619.2045251613463</v>
      </c>
      <c r="K3712" s="6">
        <v>6746.1967526030257</v>
      </c>
    </row>
    <row r="3713" spans="1:16" x14ac:dyDescent="0.2">
      <c r="A3713" s="1">
        <v>0.57708333333333295</v>
      </c>
      <c r="B3713" s="2">
        <v>6.32</v>
      </c>
      <c r="C3713" s="2">
        <v>3.6599999999999997</v>
      </c>
      <c r="D3713" s="2">
        <v>5</v>
      </c>
      <c r="E3713" s="2">
        <v>5.24</v>
      </c>
      <c r="F3713" s="2">
        <v>3.1999999999999997</v>
      </c>
      <c r="G3713" s="6">
        <v>5146.4664131755799</v>
      </c>
      <c r="H3713" s="6">
        <v>8142.6460145838637</v>
      </c>
      <c r="I3713" s="6">
        <v>5044.0453039052773</v>
      </c>
      <c r="J3713" s="6">
        <v>4334.8335415102083</v>
      </c>
      <c r="K3713" s="6">
        <v>6011.9441279564144</v>
      </c>
    </row>
    <row r="3714" spans="1:16" x14ac:dyDescent="0.2">
      <c r="A3714" s="1">
        <v>0.57777777777777795</v>
      </c>
      <c r="B3714" s="2">
        <v>6.2700000000000005</v>
      </c>
      <c r="C3714" s="2">
        <v>3.65</v>
      </c>
      <c r="D3714" s="2">
        <v>5.13</v>
      </c>
      <c r="E3714" s="2">
        <v>5.4799999999999995</v>
      </c>
      <c r="F3714" s="2">
        <v>3.21</v>
      </c>
      <c r="G3714" s="6">
        <v>6103.5687450428986</v>
      </c>
      <c r="H3714" s="6">
        <v>7355.3889355888059</v>
      </c>
      <c r="I3714" s="6">
        <v>5328.7266008759661</v>
      </c>
      <c r="J3714" s="6">
        <v>3871.1756061722767</v>
      </c>
      <c r="K3714" s="6">
        <v>4130.2052901576753</v>
      </c>
    </row>
    <row r="3715" spans="1:16" x14ac:dyDescent="0.2">
      <c r="A3715" s="1">
        <v>0.57847222222222205</v>
      </c>
      <c r="B3715" s="2">
        <v>6.36</v>
      </c>
      <c r="C3715" s="2">
        <v>3.79</v>
      </c>
      <c r="D3715" s="2">
        <v>5.25</v>
      </c>
      <c r="E3715" s="2">
        <v>5.4399999999999995</v>
      </c>
      <c r="F3715" s="2">
        <v>3.21</v>
      </c>
      <c r="G3715" s="6">
        <v>4705.5072399256505</v>
      </c>
      <c r="H3715" s="6">
        <v>5715.8818210124509</v>
      </c>
      <c r="I3715" s="6">
        <v>4969.165911537114</v>
      </c>
      <c r="J3715" s="6">
        <v>4527.6502627020309</v>
      </c>
      <c r="K3715" s="6">
        <v>4467.8352114768495</v>
      </c>
    </row>
    <row r="3716" spans="1:16" x14ac:dyDescent="0.2">
      <c r="A3716" s="1">
        <v>0.57916666666666705</v>
      </c>
      <c r="B3716" s="2">
        <v>6.21</v>
      </c>
      <c r="C3716" s="2">
        <v>3.9099999999999997</v>
      </c>
      <c r="D3716" s="2">
        <v>5.09</v>
      </c>
      <c r="E3716" s="2">
        <v>5.5</v>
      </c>
      <c r="F3716" s="2">
        <v>2.9699999999999998</v>
      </c>
      <c r="G3716" s="6">
        <v>6782.1893997431162</v>
      </c>
      <c r="H3716" s="6">
        <v>5692.2623978762176</v>
      </c>
      <c r="I3716" s="6">
        <v>5335.2276971348529</v>
      </c>
      <c r="J3716" s="6">
        <v>3807.1148957588875</v>
      </c>
      <c r="K3716" s="6">
        <v>6161.1171889757989</v>
      </c>
    </row>
    <row r="3717" spans="1:16" x14ac:dyDescent="0.2">
      <c r="A3717" s="1">
        <v>0.57986111111111105</v>
      </c>
      <c r="B3717" s="2">
        <v>6.33</v>
      </c>
      <c r="C3717" s="2">
        <v>3.79</v>
      </c>
      <c r="D3717" s="2">
        <v>5.3199999999999994</v>
      </c>
      <c r="E3717" s="2">
        <v>5.6099999999999994</v>
      </c>
      <c r="F3717" s="2">
        <v>3.2399999999999998</v>
      </c>
      <c r="G3717" s="6">
        <v>5458.9824769463185</v>
      </c>
      <c r="H3717" s="6">
        <v>5775.4379662070241</v>
      </c>
      <c r="I3717" s="6">
        <v>5310.1305519242906</v>
      </c>
      <c r="J3717" s="6">
        <v>3820.1549575234289</v>
      </c>
      <c r="K3717" s="6">
        <v>5034.5441877522398</v>
      </c>
    </row>
    <row r="3718" spans="1:16" x14ac:dyDescent="0.2">
      <c r="A3718" s="1">
        <v>0.58055555555555605</v>
      </c>
      <c r="B3718" s="2">
        <v>6.16</v>
      </c>
      <c r="C3718" s="2">
        <v>3.76</v>
      </c>
      <c r="D3718" s="2">
        <v>5.34</v>
      </c>
      <c r="E3718" s="2">
        <v>5.41</v>
      </c>
      <c r="F3718" s="2">
        <v>3.32</v>
      </c>
      <c r="G3718" s="6">
        <v>5754.5483979314677</v>
      </c>
      <c r="H3718" s="6">
        <v>6659.3438001260402</v>
      </c>
      <c r="I3718" s="6">
        <v>5519.8916948800425</v>
      </c>
      <c r="J3718" s="6">
        <v>4147.3266689379534</v>
      </c>
      <c r="K3718" s="6">
        <v>6343.0690476463769</v>
      </c>
    </row>
    <row r="3719" spans="1:16" x14ac:dyDescent="0.2">
      <c r="A3719" s="1">
        <v>0.58125000000000004</v>
      </c>
      <c r="B3719" s="2">
        <v>6.21</v>
      </c>
      <c r="C3719" s="2">
        <v>3.8499999999999996</v>
      </c>
      <c r="D3719" s="2">
        <v>5.31</v>
      </c>
      <c r="E3719" s="2">
        <v>5.4799999999999995</v>
      </c>
      <c r="F3719" s="2">
        <v>3.42</v>
      </c>
      <c r="G3719" s="6">
        <v>6252.2990071065806</v>
      </c>
      <c r="H3719" s="6">
        <v>5487.3728479182737</v>
      </c>
      <c r="I3719" s="6">
        <v>5631.0357676052463</v>
      </c>
      <c r="J3719" s="6">
        <v>4113.5200678803849</v>
      </c>
      <c r="K3719" s="6">
        <v>3773.0847676822495</v>
      </c>
    </row>
    <row r="3720" spans="1:16" x14ac:dyDescent="0.2">
      <c r="A3720" s="1">
        <v>0.58194444444444404</v>
      </c>
      <c r="B3720" s="2">
        <v>6.34</v>
      </c>
      <c r="C3720" s="2">
        <v>3.83</v>
      </c>
      <c r="D3720" s="2">
        <v>5.04</v>
      </c>
      <c r="E3720" s="2">
        <v>5.45</v>
      </c>
      <c r="F3720" s="2">
        <v>2.9699999999999998</v>
      </c>
      <c r="G3720" s="6">
        <v>5631.2967882473422</v>
      </c>
      <c r="H3720" s="6">
        <v>5460.805051023508</v>
      </c>
      <c r="I3720" s="6">
        <v>5109.2446717709518</v>
      </c>
      <c r="J3720" s="6">
        <v>4054.1231787241404</v>
      </c>
      <c r="K3720" s="6">
        <v>5926.0338642279985</v>
      </c>
    </row>
    <row r="3721" spans="1:16" x14ac:dyDescent="0.2">
      <c r="A3721" s="1">
        <v>0.58263888888888904</v>
      </c>
      <c r="B3721" s="2">
        <v>6.15</v>
      </c>
      <c r="C3721" s="2">
        <v>3.8</v>
      </c>
      <c r="D3721" s="2">
        <v>5.25</v>
      </c>
      <c r="E3721" s="2">
        <v>5.78</v>
      </c>
      <c r="F3721" s="2">
        <v>3.08</v>
      </c>
      <c r="G3721" s="6">
        <v>6370.9808033037152</v>
      </c>
      <c r="H3721" s="6">
        <v>7502.4037829341196</v>
      </c>
      <c r="I3721" s="6">
        <v>5449.2830303185729</v>
      </c>
      <c r="J3721" s="6">
        <v>4267.0401251306184</v>
      </c>
      <c r="K3721" s="6">
        <v>5941.2691803680891</v>
      </c>
    </row>
    <row r="3722" spans="1:16" x14ac:dyDescent="0.2">
      <c r="A3722" s="3">
        <v>0.58333333333333304</v>
      </c>
      <c r="B3722" s="2">
        <v>6.24</v>
      </c>
      <c r="C3722" s="2">
        <v>3.82</v>
      </c>
      <c r="D3722" s="2">
        <v>5.12</v>
      </c>
      <c r="E3722" s="2">
        <v>5.41</v>
      </c>
      <c r="F3722" s="2">
        <v>3.22</v>
      </c>
      <c r="G3722" s="6">
        <v>6025</v>
      </c>
      <c r="H3722" s="6">
        <v>7013</v>
      </c>
      <c r="I3722" s="6">
        <v>3958</v>
      </c>
      <c r="J3722" s="6">
        <v>4108</v>
      </c>
      <c r="K3722" s="6">
        <v>5276</v>
      </c>
      <c r="L3722" s="6"/>
      <c r="M3722" s="6"/>
      <c r="N3722" s="6"/>
      <c r="O3722" s="6"/>
      <c r="P3722" s="6"/>
    </row>
    <row r="3723" spans="1:16" x14ac:dyDescent="0.2">
      <c r="A3723" s="1">
        <v>0.58402777777777803</v>
      </c>
      <c r="B3723" s="2">
        <v>6.16</v>
      </c>
      <c r="C3723" s="2">
        <v>3.9</v>
      </c>
      <c r="D3723" s="2">
        <v>4.9899999999999993</v>
      </c>
      <c r="E3723" s="2">
        <v>5.31</v>
      </c>
      <c r="F3723" s="2">
        <v>3.15</v>
      </c>
      <c r="G3723" s="6">
        <v>13770.288571592679</v>
      </c>
      <c r="H3723" s="6">
        <f>(G3723+1554)+466.412364110742</f>
        <v>15790.70093570342</v>
      </c>
      <c r="I3723" s="6">
        <v>8851.8383336878087</v>
      </c>
      <c r="J3723" s="6">
        <f>(I3723-624)+830.552642683978</f>
        <v>9058.3909763717857</v>
      </c>
      <c r="K3723" s="6">
        <v>6149.6607993443122</v>
      </c>
    </row>
    <row r="3724" spans="1:16" x14ac:dyDescent="0.2">
      <c r="A3724" s="1">
        <v>0.58472222222222203</v>
      </c>
      <c r="B3724" s="2">
        <v>6.25</v>
      </c>
      <c r="C3724" s="2">
        <v>3.78</v>
      </c>
      <c r="D3724" s="2">
        <v>5.3599999999999994</v>
      </c>
      <c r="E3724" s="2">
        <v>5.26</v>
      </c>
      <c r="F3724" s="2">
        <v>2.94</v>
      </c>
      <c r="G3724" s="6">
        <v>16596.208709231563</v>
      </c>
      <c r="H3724" s="6">
        <f>(G3724+1554)+1262.91777510482</f>
        <v>19413.126484336382</v>
      </c>
      <c r="I3724" s="6">
        <v>11360.724231412914</v>
      </c>
      <c r="J3724" s="6">
        <f>(I3724-624)+758.482568206708</f>
        <v>11495.206799619622</v>
      </c>
      <c r="K3724" s="6">
        <v>9048.1477484190764</v>
      </c>
    </row>
    <row r="3725" spans="1:16" x14ac:dyDescent="0.2">
      <c r="A3725" s="1">
        <v>0.58541666666666703</v>
      </c>
      <c r="B3725" s="2">
        <v>6.3</v>
      </c>
      <c r="C3725" s="2">
        <v>3.79</v>
      </c>
      <c r="D3725" s="2">
        <v>4.9899999999999993</v>
      </c>
      <c r="E3725" s="2">
        <v>5.75</v>
      </c>
      <c r="F3725" s="2">
        <v>3.2199999999999998</v>
      </c>
      <c r="G3725" s="6">
        <v>15172.509074943828</v>
      </c>
      <c r="H3725" s="6">
        <f>(G3725+1554)+1759.30425194264</f>
        <v>18485.813326886469</v>
      </c>
      <c r="I3725" s="6">
        <v>9376.6163514918189</v>
      </c>
      <c r="J3725" s="6">
        <f>(I3725-624)+1709.91593537431</f>
        <v>10462.532286866126</v>
      </c>
      <c r="K3725" s="6">
        <v>9546.2280556491623</v>
      </c>
    </row>
    <row r="3726" spans="1:16" x14ac:dyDescent="0.2">
      <c r="A3726" s="1">
        <v>0.58611111111111103</v>
      </c>
      <c r="B3726" s="2">
        <v>6.33</v>
      </c>
      <c r="C3726" s="2">
        <v>3.83</v>
      </c>
      <c r="D3726" s="2">
        <v>5.0299999999999994</v>
      </c>
      <c r="E3726" s="2">
        <v>5.42</v>
      </c>
      <c r="F3726" s="2">
        <v>3.38</v>
      </c>
      <c r="G3726" s="6">
        <v>16889.472997649656</v>
      </c>
      <c r="H3726" s="6">
        <f>(G3726+1554)+340.644084138028</f>
        <v>18784.117081787685</v>
      </c>
      <c r="I3726" s="6">
        <v>11698.201867872098</v>
      </c>
      <c r="J3726" s="6">
        <f>(I3726-624)+986.548622486655</f>
        <v>12060.750490358752</v>
      </c>
      <c r="K3726" s="6">
        <v>11341.298124272291</v>
      </c>
    </row>
    <row r="3727" spans="1:16" x14ac:dyDescent="0.2">
      <c r="A3727" s="1">
        <v>0.58680555555555602</v>
      </c>
      <c r="B3727" s="2">
        <v>6.15</v>
      </c>
      <c r="C3727" s="2">
        <v>3.88</v>
      </c>
      <c r="D3727" s="2">
        <v>5.31</v>
      </c>
      <c r="E3727" s="2">
        <v>5.32</v>
      </c>
      <c r="F3727" s="2">
        <v>3.27</v>
      </c>
      <c r="G3727" s="6">
        <v>17214.769900927353</v>
      </c>
      <c r="H3727" s="6">
        <f>(G3727+1554)+1764.79762127052</f>
        <v>20533.567522197874</v>
      </c>
      <c r="I3727" s="6">
        <v>11142.091687507547</v>
      </c>
      <c r="J3727" s="6">
        <f>(I3727-624)+1514.73980694047</f>
        <v>12032.831494448015</v>
      </c>
      <c r="K3727" s="6">
        <v>10835.444646225613</v>
      </c>
    </row>
    <row r="3728" spans="1:16" x14ac:dyDescent="0.2">
      <c r="A3728" s="1">
        <v>0.58750000000000002</v>
      </c>
      <c r="B3728" s="2">
        <v>6.15</v>
      </c>
      <c r="C3728" s="2">
        <v>3.6599999999999997</v>
      </c>
      <c r="D3728" s="2">
        <v>5.0999999999999996</v>
      </c>
      <c r="E3728" s="2">
        <v>5.38</v>
      </c>
      <c r="F3728" s="2">
        <v>3.27</v>
      </c>
      <c r="G3728" s="6">
        <v>20467.829034961374</v>
      </c>
      <c r="H3728" s="6">
        <f>(G3728+1554)+663.423494222047</f>
        <v>22685.252529183421</v>
      </c>
      <c r="I3728" s="6">
        <v>15002.111952008398</v>
      </c>
      <c r="J3728" s="6">
        <f>(I3728-624)+462.992191864348</f>
        <v>14841.104143872746</v>
      </c>
      <c r="K3728" s="6">
        <v>11320.356504627305</v>
      </c>
    </row>
    <row r="3729" spans="1:11" x14ac:dyDescent="0.2">
      <c r="A3729" s="1">
        <v>0.58819444444444402</v>
      </c>
      <c r="B3729" s="2">
        <v>6.22</v>
      </c>
      <c r="C3729" s="2">
        <v>3.81</v>
      </c>
      <c r="D3729" s="2">
        <v>5.33</v>
      </c>
      <c r="E3729" s="2">
        <v>5.1499999999999995</v>
      </c>
      <c r="F3729" s="2">
        <v>3</v>
      </c>
      <c r="G3729" s="6">
        <v>27343.734718484953</v>
      </c>
      <c r="H3729" s="6">
        <f>(G3729+1554)+1211.92226244308</f>
        <v>30109.656980928034</v>
      </c>
      <c r="I3729" s="6">
        <v>21810.581517312839</v>
      </c>
      <c r="J3729" s="6">
        <f>(I3729-624)+702.368861363153</f>
        <v>21888.950378675992</v>
      </c>
      <c r="K3729" s="6">
        <v>18115.639826526261</v>
      </c>
    </row>
    <row r="3730" spans="1:11" x14ac:dyDescent="0.2">
      <c r="A3730" s="1">
        <v>0.58888888888888902</v>
      </c>
      <c r="B3730" s="2">
        <v>6.23</v>
      </c>
      <c r="C3730" s="2">
        <v>3.92</v>
      </c>
      <c r="D3730" s="2">
        <v>4.92</v>
      </c>
      <c r="E3730" s="2">
        <v>5.42</v>
      </c>
      <c r="F3730" s="2">
        <v>2.98</v>
      </c>
      <c r="G3730" s="6">
        <v>22653.953698208265</v>
      </c>
      <c r="H3730" s="6">
        <f>(G3730+1554)+395.687685368705</f>
        <v>24603.641383576971</v>
      </c>
      <c r="I3730" s="6">
        <v>17657.866477002575</v>
      </c>
      <c r="J3730" s="6">
        <f>(I3730-624)+247.594409562754</f>
        <v>17281.460886565328</v>
      </c>
      <c r="K3730" s="6">
        <v>18290.316458063193</v>
      </c>
    </row>
    <row r="3731" spans="1:11" x14ac:dyDescent="0.2">
      <c r="A3731" s="1">
        <v>0.58958333333333302</v>
      </c>
      <c r="B3731" s="2">
        <v>6.22</v>
      </c>
      <c r="C3731" s="2">
        <v>3.87</v>
      </c>
      <c r="D3731" s="2">
        <v>4.9899999999999993</v>
      </c>
      <c r="E3731" s="2">
        <v>5.55</v>
      </c>
      <c r="F3731" s="2">
        <v>2.9</v>
      </c>
      <c r="G3731" s="6">
        <v>13731.285327242234</v>
      </c>
      <c r="H3731" s="6">
        <f>(G3731+1554)+1005.98679545523</f>
        <v>16291.272122697459</v>
      </c>
      <c r="I3731" s="6">
        <v>7562.0200976794313</v>
      </c>
      <c r="J3731" s="6">
        <f>(I3731-624)+1347.40542675105</f>
        <v>8285.4255244304841</v>
      </c>
      <c r="K3731" s="6">
        <v>10539.083423662925</v>
      </c>
    </row>
    <row r="3732" spans="1:11" x14ac:dyDescent="0.2">
      <c r="A3732" s="1">
        <v>0.59027777777777801</v>
      </c>
      <c r="B3732" s="2">
        <v>6.17</v>
      </c>
      <c r="C3732" s="2">
        <v>3.6399999999999997</v>
      </c>
      <c r="D3732" s="2">
        <v>5.0999999999999996</v>
      </c>
      <c r="E3732" s="2">
        <v>5.47</v>
      </c>
      <c r="F3732" s="2">
        <v>3.21</v>
      </c>
      <c r="G3732" s="6">
        <v>30357.962895225755</v>
      </c>
      <c r="H3732" s="6">
        <f>(G3732+1554)+1275.86322501878</f>
        <v>33187.826120244536</v>
      </c>
      <c r="I3732" s="6">
        <v>24285.933446324405</v>
      </c>
      <c r="J3732" s="6">
        <f>(I3732-624)+1363.89917073956</f>
        <v>25025.832617063967</v>
      </c>
      <c r="K3732" s="6">
        <v>7909.5496605966891</v>
      </c>
    </row>
    <row r="3733" spans="1:11" x14ac:dyDescent="0.2">
      <c r="A3733" s="1">
        <v>0.59097222222222201</v>
      </c>
      <c r="B3733" s="2">
        <v>6.15</v>
      </c>
      <c r="C3733" s="2">
        <v>3.7399999999999998</v>
      </c>
      <c r="D3733" s="2">
        <v>5.34</v>
      </c>
      <c r="E3733" s="2">
        <v>5.41</v>
      </c>
      <c r="F3733" s="2">
        <v>2.96</v>
      </c>
      <c r="G3733" s="6">
        <v>32574.766104104892</v>
      </c>
      <c r="H3733" s="6">
        <f>(G3733+1554)+1465.24280451781</f>
        <v>35594.008908622694</v>
      </c>
      <c r="I3733" s="6">
        <v>28364.074506046542</v>
      </c>
      <c r="J3733" s="6">
        <f>(I3733-624)+455.565654614997</f>
        <v>28195.64016066154</v>
      </c>
      <c r="K3733" s="6">
        <v>6586.0424042664781</v>
      </c>
    </row>
    <row r="3734" spans="1:11" x14ac:dyDescent="0.2">
      <c r="A3734" s="1">
        <v>0.59166666666666701</v>
      </c>
      <c r="B3734" s="2">
        <v>6.29</v>
      </c>
      <c r="C3734" s="2">
        <v>3.8499999999999996</v>
      </c>
      <c r="D3734" s="2">
        <v>5</v>
      </c>
      <c r="E3734" s="2">
        <v>5.2299999999999995</v>
      </c>
      <c r="F3734" s="2">
        <v>3.31</v>
      </c>
      <c r="G3734" s="6">
        <v>25837.343461378179</v>
      </c>
      <c r="H3734" s="6">
        <f>(G3734+1554)+938.793862420161</f>
        <v>28330.137323798339</v>
      </c>
      <c r="I3734" s="6">
        <v>20664.183984724383</v>
      </c>
      <c r="J3734" s="6">
        <f>(I3734-624)+462.496586201118</f>
        <v>20502.680570925502</v>
      </c>
      <c r="K3734" s="6">
        <v>10130.284845096676</v>
      </c>
    </row>
    <row r="3735" spans="1:11" x14ac:dyDescent="0.2">
      <c r="A3735" s="1">
        <v>0.59236111111111101</v>
      </c>
      <c r="B3735" s="2">
        <v>6.3</v>
      </c>
      <c r="C3735" s="2">
        <v>3.67</v>
      </c>
      <c r="D3735" s="2">
        <v>5.08</v>
      </c>
      <c r="E3735" s="2">
        <v>5.13</v>
      </c>
      <c r="F3735" s="2">
        <v>2.9899999999999998</v>
      </c>
      <c r="G3735" s="6">
        <v>21852.285060998034</v>
      </c>
      <c r="H3735" s="6">
        <f>(G3735+1554)+997.218595359789</f>
        <v>24403.503656357825</v>
      </c>
      <c r="I3735" s="6">
        <v>17029.558758885451</v>
      </c>
      <c r="J3735" s="6">
        <f>(I3735-624)+1689.90239239123</f>
        <v>18095.461151276686</v>
      </c>
      <c r="K3735" s="6">
        <v>5701.9579345046113</v>
      </c>
    </row>
    <row r="3736" spans="1:11" x14ac:dyDescent="0.2">
      <c r="A3736" s="1">
        <v>0.593055555555556</v>
      </c>
      <c r="B3736" s="2">
        <v>6.24</v>
      </c>
      <c r="C3736" s="2">
        <v>3.63</v>
      </c>
      <c r="D3736" s="2">
        <v>5</v>
      </c>
      <c r="E3736" s="2">
        <v>5.1499999999999995</v>
      </c>
      <c r="F3736" s="2">
        <v>3.12</v>
      </c>
      <c r="G3736" s="6">
        <v>17309.741015220792</v>
      </c>
      <c r="H3736" s="6">
        <f>(G3736+1554)+1900.27329433194</f>
        <v>20764.014309552731</v>
      </c>
      <c r="I3736" s="6">
        <v>10881.198982053927</v>
      </c>
      <c r="J3736" s="6">
        <f>(I3736-624)+353.003590986518</f>
        <v>10610.202573040446</v>
      </c>
      <c r="K3736" s="6">
        <v>12934.007839081722</v>
      </c>
    </row>
    <row r="3737" spans="1:11" x14ac:dyDescent="0.2">
      <c r="A3737" s="1">
        <v>0.59375</v>
      </c>
      <c r="B3737" s="2">
        <v>6.3</v>
      </c>
      <c r="C3737" s="2">
        <v>3.8</v>
      </c>
      <c r="D3737" s="2">
        <v>5.2299999999999995</v>
      </c>
      <c r="E3737" s="2">
        <v>5.18</v>
      </c>
      <c r="F3737" s="2">
        <v>2.8899999999999997</v>
      </c>
      <c r="G3737" s="6">
        <v>20821.540133259128</v>
      </c>
      <c r="H3737" s="6">
        <f>(G3737+1554)+796.452715779233</f>
        <v>23171.992849038361</v>
      </c>
      <c r="I3737" s="6">
        <v>15382.44822301692</v>
      </c>
      <c r="J3737" s="6">
        <f>(I3737-624)+413.987877339851</f>
        <v>15172.43610035677</v>
      </c>
      <c r="K3737" s="6">
        <v>8248.9049150722549</v>
      </c>
    </row>
    <row r="3738" spans="1:11" x14ac:dyDescent="0.2">
      <c r="A3738" s="1">
        <v>0.594444444444444</v>
      </c>
      <c r="B3738" s="2">
        <v>6.37</v>
      </c>
      <c r="C3738" s="2">
        <v>3.75</v>
      </c>
      <c r="D3738" s="2">
        <v>5.1499999999999995</v>
      </c>
      <c r="E3738" s="2">
        <v>5.65</v>
      </c>
      <c r="F3738" s="2">
        <v>3.05</v>
      </c>
      <c r="G3738" s="6">
        <v>22778.680186031597</v>
      </c>
      <c r="H3738" s="6">
        <f>(G3738+1554)+822.613739865941</f>
        <v>25155.293925897538</v>
      </c>
      <c r="I3738" s="6">
        <v>17008.804103308001</v>
      </c>
      <c r="J3738" s="6">
        <f>(I3738-624)+269.653855686545</f>
        <v>16654.457958994546</v>
      </c>
      <c r="K3738" s="6">
        <v>11950.503591095528</v>
      </c>
    </row>
    <row r="3739" spans="1:11" x14ac:dyDescent="0.2">
      <c r="A3739" s="1">
        <v>0.59513888888888899</v>
      </c>
      <c r="B3739" s="2">
        <v>6.17</v>
      </c>
      <c r="C3739" s="2">
        <v>3.88</v>
      </c>
      <c r="D3739" s="2">
        <v>5.33</v>
      </c>
      <c r="E3739" s="2">
        <v>5.53</v>
      </c>
      <c r="F3739" s="2">
        <v>3.1799999999999997</v>
      </c>
      <c r="G3739" s="6">
        <v>26206.240320750421</v>
      </c>
      <c r="H3739" s="6">
        <f>(G3739+1554)+1171.86663264897</f>
        <v>28932.106953399387</v>
      </c>
      <c r="I3739" s="6">
        <v>17052.690461575152</v>
      </c>
      <c r="J3739" s="6">
        <f>(I3739-624)+493.95994111593</f>
        <v>16922.650402691081</v>
      </c>
      <c r="K3739" s="6">
        <v>10679.012302902862</v>
      </c>
    </row>
    <row r="3740" spans="1:11" x14ac:dyDescent="0.2">
      <c r="A3740" s="1">
        <v>0.59583333333333299</v>
      </c>
      <c r="B3740" s="2">
        <v>6.12</v>
      </c>
      <c r="C3740" s="2">
        <v>3.67</v>
      </c>
      <c r="D3740" s="2">
        <v>5.3599999999999994</v>
      </c>
      <c r="E3740" s="2">
        <v>5.14</v>
      </c>
      <c r="F3740" s="2">
        <v>3.38</v>
      </c>
      <c r="G3740" s="6">
        <v>34087.835213123937</v>
      </c>
      <c r="H3740" s="6">
        <f>(G3740+1554)+1298.39638263613</f>
        <v>36940.231595760066</v>
      </c>
      <c r="I3740" s="6">
        <v>18636.433114970772</v>
      </c>
      <c r="J3740" s="6">
        <f>(I3740-624)+620.026107417069</f>
        <v>18632.459222387843</v>
      </c>
      <c r="K3740" s="6">
        <v>7723.4723512049668</v>
      </c>
    </row>
    <row r="3741" spans="1:11" x14ac:dyDescent="0.2">
      <c r="A3741" s="1">
        <v>0.59652777777777799</v>
      </c>
      <c r="B3741" s="2">
        <v>6.12</v>
      </c>
      <c r="C3741" s="2">
        <v>3.65</v>
      </c>
      <c r="D3741" s="2">
        <v>5.0299999999999994</v>
      </c>
      <c r="E3741" s="2">
        <v>5.21</v>
      </c>
      <c r="F3741" s="2">
        <v>3.04</v>
      </c>
      <c r="G3741" s="6">
        <v>28664.645446827522</v>
      </c>
      <c r="H3741" s="6">
        <f>(G3741+1554)+1358.86954430499</f>
        <v>31577.514991132517</v>
      </c>
      <c r="I3741" s="6">
        <v>18615.430917256403</v>
      </c>
      <c r="J3741" s="6">
        <f>(I3741-624)+36.8583921218261</f>
        <v>18028.28930937823</v>
      </c>
      <c r="K3741" s="6">
        <v>11011.696617939469</v>
      </c>
    </row>
    <row r="3742" spans="1:11" x14ac:dyDescent="0.2">
      <c r="A3742" s="1">
        <v>0.59722222222222199</v>
      </c>
      <c r="B3742" s="2">
        <v>6.18</v>
      </c>
      <c r="C3742" s="2">
        <v>3.71</v>
      </c>
      <c r="D3742" s="2">
        <v>5.3</v>
      </c>
      <c r="E3742" s="2">
        <v>5.78</v>
      </c>
      <c r="F3742" s="2">
        <v>3.19</v>
      </c>
      <c r="G3742" s="6">
        <v>23725.260453123032</v>
      </c>
      <c r="H3742" s="6">
        <f>(G3742+1554)+1837.97004117509</f>
        <v>27117.230494298121</v>
      </c>
      <c r="I3742" s="6">
        <v>14904.285178076439</v>
      </c>
      <c r="J3742" s="6">
        <v>13002.309997379502</v>
      </c>
      <c r="K3742" s="6">
        <v>5314.6030768627534</v>
      </c>
    </row>
    <row r="3743" spans="1:11" x14ac:dyDescent="0.2">
      <c r="A3743" s="1">
        <v>0.59791666666666698</v>
      </c>
      <c r="B3743" s="2">
        <v>6.3100000000000005</v>
      </c>
      <c r="C3743" s="2">
        <v>3.92</v>
      </c>
      <c r="D3743" s="2">
        <v>5.31</v>
      </c>
      <c r="E3743" s="2">
        <v>5.33</v>
      </c>
      <c r="F3743" s="2">
        <v>3.26</v>
      </c>
      <c r="G3743" s="6">
        <v>19164.968609744676</v>
      </c>
      <c r="H3743" s="6">
        <f>(G3743+1554)+1209.82994332237</f>
        <v>21928.798553067048</v>
      </c>
      <c r="I3743" s="6">
        <v>11874.457915502497</v>
      </c>
      <c r="J3743" s="6">
        <v>10783.130555746207</v>
      </c>
      <c r="K3743" s="6">
        <v>13227.955438584362</v>
      </c>
    </row>
    <row r="3744" spans="1:11" x14ac:dyDescent="0.2">
      <c r="A3744" s="1">
        <v>0.59861111111111098</v>
      </c>
      <c r="B3744" s="2">
        <v>6.32</v>
      </c>
      <c r="C3744" s="2">
        <v>3.84</v>
      </c>
      <c r="D3744" s="2">
        <v>5.1899999999999995</v>
      </c>
      <c r="E3744" s="2">
        <v>5.33</v>
      </c>
      <c r="F3744" s="2">
        <v>2.88</v>
      </c>
      <c r="G3744" s="6">
        <v>13179.140659729715</v>
      </c>
      <c r="H3744" s="6">
        <f>(G3744+1554)+395.552807280592</f>
        <v>15128.693467010307</v>
      </c>
      <c r="I3744" s="6">
        <v>7924.097218821601</v>
      </c>
      <c r="J3744" s="6">
        <f>(I3744-624)+1314.47157297478</f>
        <v>8614.5687917963805</v>
      </c>
      <c r="K3744" s="6">
        <v>12306.925042538824</v>
      </c>
    </row>
    <row r="3745" spans="1:11" x14ac:dyDescent="0.2">
      <c r="A3745" s="1">
        <v>0.59930555555555598</v>
      </c>
      <c r="B3745" s="2">
        <v>6.21</v>
      </c>
      <c r="C3745" s="2">
        <v>3.8899999999999997</v>
      </c>
      <c r="D3745" s="2">
        <v>5.29</v>
      </c>
      <c r="E3745" s="2">
        <v>5.32</v>
      </c>
      <c r="F3745" s="2">
        <v>3.23</v>
      </c>
      <c r="G3745" s="6">
        <v>24224.17010459556</v>
      </c>
      <c r="H3745" s="6">
        <f>(G3745+1554)+1034.52382993879</f>
        <v>26812.693934534349</v>
      </c>
      <c r="I3745" s="6">
        <v>13456.218999061814</v>
      </c>
      <c r="J3745" s="6">
        <v>9985.5737752115056</v>
      </c>
      <c r="K3745" s="6">
        <v>7489.5765686615787</v>
      </c>
    </row>
    <row r="3746" spans="1:11" x14ac:dyDescent="0.2">
      <c r="A3746" s="1">
        <v>0.6</v>
      </c>
      <c r="B3746" s="2">
        <v>6.29</v>
      </c>
      <c r="C3746" s="2">
        <v>3.67</v>
      </c>
      <c r="D3746" s="2">
        <v>5.38</v>
      </c>
      <c r="E3746" s="2">
        <v>5.54</v>
      </c>
      <c r="F3746" s="2">
        <v>2.88</v>
      </c>
      <c r="G3746" s="6">
        <v>16404.632065864636</v>
      </c>
      <c r="H3746" s="6">
        <f>(G3746+1554)+426.994883318763</f>
        <v>18385.626949183399</v>
      </c>
      <c r="I3746" s="6">
        <v>10740.886077800804</v>
      </c>
      <c r="J3746" s="6">
        <v>8035.277349725201</v>
      </c>
      <c r="K3746" s="6">
        <v>6810.3947304487674</v>
      </c>
    </row>
    <row r="3747" spans="1:11" x14ac:dyDescent="0.2">
      <c r="A3747" s="1">
        <v>0.60069444444444398</v>
      </c>
      <c r="B3747" s="2">
        <v>6.21</v>
      </c>
      <c r="C3747" s="2">
        <v>3.6599999999999997</v>
      </c>
      <c r="D3747" s="2">
        <v>5.1999999999999993</v>
      </c>
      <c r="E3747" s="2">
        <v>5.31</v>
      </c>
      <c r="F3747" s="2">
        <v>3.06</v>
      </c>
      <c r="G3747" s="6">
        <v>23704.265490580339</v>
      </c>
      <c r="H3747" s="6">
        <f>(G3747+1554)+1884.87294275374</f>
        <v>27143.138433334083</v>
      </c>
      <c r="I3747" s="6">
        <v>15291.634174329894</v>
      </c>
      <c r="J3747" s="6">
        <v>12643.322309673962</v>
      </c>
      <c r="K3747" s="6">
        <v>7305.8762022644132</v>
      </c>
    </row>
    <row r="3748" spans="1:11" x14ac:dyDescent="0.2">
      <c r="A3748" s="1">
        <v>0.60138888888888897</v>
      </c>
      <c r="B3748" s="2">
        <v>6.24</v>
      </c>
      <c r="C3748" s="2">
        <v>3.8499999999999996</v>
      </c>
      <c r="D3748" s="2">
        <v>5.2799999999999994</v>
      </c>
      <c r="E3748" s="2">
        <v>5.1499999999999995</v>
      </c>
      <c r="F3748" s="2">
        <v>3.16</v>
      </c>
      <c r="G3748" s="6">
        <v>26288.780701316358</v>
      </c>
      <c r="H3748" s="6">
        <f>(G3748+1554)+1705.64017309014</f>
        <v>29548.420874406493</v>
      </c>
      <c r="I3748" s="6">
        <v>17011.774712650586</v>
      </c>
      <c r="J3748" s="6">
        <v>14160.043581160133</v>
      </c>
      <c r="K3748" s="6">
        <v>7996.0620032484367</v>
      </c>
    </row>
    <row r="3749" spans="1:11" x14ac:dyDescent="0.2">
      <c r="A3749" s="1">
        <v>0.60208333333333297</v>
      </c>
      <c r="B3749" s="2">
        <v>6.26</v>
      </c>
      <c r="C3749" s="2">
        <v>3.6599999999999997</v>
      </c>
      <c r="D3749" s="2">
        <v>5.3699999999999992</v>
      </c>
      <c r="E3749" s="2">
        <v>5.47</v>
      </c>
      <c r="F3749" s="2">
        <v>2.9899999999999998</v>
      </c>
      <c r="G3749" s="6">
        <v>16754.12033133255</v>
      </c>
      <c r="H3749" s="6">
        <f>(G3749+1554)+1288.5266741479</f>
        <v>19596.647005480449</v>
      </c>
      <c r="I3749" s="6">
        <v>10614.352389218384</v>
      </c>
      <c r="J3749" s="6">
        <v>8260.8656547095161</v>
      </c>
      <c r="K3749" s="6">
        <v>14115.425414283878</v>
      </c>
    </row>
    <row r="3750" spans="1:11" x14ac:dyDescent="0.2">
      <c r="A3750" s="1">
        <v>0.60277777777777797</v>
      </c>
      <c r="B3750" s="2">
        <v>6.25</v>
      </c>
      <c r="C3750" s="2">
        <v>3.73</v>
      </c>
      <c r="D3750" s="2">
        <v>5.29</v>
      </c>
      <c r="E3750" s="2">
        <v>5.75</v>
      </c>
      <c r="F3750" s="2">
        <v>3.09</v>
      </c>
      <c r="G3750" s="6">
        <v>25360.398244693697</v>
      </c>
      <c r="H3750" s="6">
        <f>(G3750+1554)+1758.28037505524</f>
        <v>28672.678619748938</v>
      </c>
      <c r="I3750" s="6">
        <v>15923.128115646026</v>
      </c>
      <c r="J3750" s="6">
        <v>13311.539604653135</v>
      </c>
      <c r="K3750" s="6">
        <v>11621.871028926484</v>
      </c>
    </row>
    <row r="3751" spans="1:11" x14ac:dyDescent="0.2">
      <c r="A3751" s="1">
        <v>0.60347222222222197</v>
      </c>
      <c r="B3751" s="2">
        <v>6.3100000000000005</v>
      </c>
      <c r="C3751" s="2">
        <v>3.84</v>
      </c>
      <c r="D3751" s="2">
        <v>5.16</v>
      </c>
      <c r="E3751" s="2">
        <v>5.56</v>
      </c>
      <c r="F3751" s="2">
        <v>3.02</v>
      </c>
      <c r="G3751" s="6">
        <v>20039.748425836035</v>
      </c>
      <c r="H3751" s="6">
        <f>(G3751+1554)+1994.43543121722</f>
        <v>23588.18385705326</v>
      </c>
      <c r="I3751" s="6">
        <v>11605.782915803438</v>
      </c>
      <c r="J3751" s="6">
        <f>(I3751-624)+124.237112268553</f>
        <v>11106.020028071991</v>
      </c>
      <c r="K3751" s="6">
        <v>11986.440724969541</v>
      </c>
    </row>
    <row r="3752" spans="1:11" x14ac:dyDescent="0.2">
      <c r="A3752" s="1">
        <v>0.60416666666666696</v>
      </c>
      <c r="B3752" s="2">
        <v>6.33</v>
      </c>
      <c r="C3752" s="2">
        <v>3.67</v>
      </c>
      <c r="D3752" s="2">
        <v>4.9399999999999995</v>
      </c>
      <c r="E3752" s="2">
        <v>5.32</v>
      </c>
      <c r="F3752" s="2">
        <v>3.31</v>
      </c>
      <c r="G3752" s="6">
        <v>15438.75535870921</v>
      </c>
      <c r="H3752" s="6">
        <f>(G3752+1554)+1293.58599323775</f>
        <v>18286.341351946961</v>
      </c>
      <c r="I3752" s="6">
        <v>10859.546367413028</v>
      </c>
      <c r="J3752" s="6">
        <v>9302.4372865204296</v>
      </c>
      <c r="K3752" s="6">
        <v>12584.264789750547</v>
      </c>
    </row>
    <row r="3753" spans="1:11" x14ac:dyDescent="0.2">
      <c r="A3753" s="1">
        <v>0.60486111111111096</v>
      </c>
      <c r="B3753" s="2">
        <v>6.2700000000000005</v>
      </c>
      <c r="C3753" s="2">
        <v>3.88</v>
      </c>
      <c r="D3753" s="2">
        <v>4.8999999999999995</v>
      </c>
      <c r="E3753" s="2">
        <v>5.71</v>
      </c>
      <c r="F3753" s="2">
        <v>3.12</v>
      </c>
      <c r="G3753" s="6">
        <v>20985.238457330506</v>
      </c>
      <c r="H3753" s="6">
        <f>(G3753+1554)+930.369485504645</f>
        <v>23469.607942835151</v>
      </c>
      <c r="I3753" s="6">
        <v>16413.189435051521</v>
      </c>
      <c r="J3753" s="6">
        <f>(I3753-624)+947.499714374019</f>
        <v>16736.68914942554</v>
      </c>
      <c r="K3753" s="6">
        <v>9260.8523030878168</v>
      </c>
    </row>
    <row r="3754" spans="1:11" x14ac:dyDescent="0.2">
      <c r="A3754" s="1">
        <v>0.60555555555555596</v>
      </c>
      <c r="B3754" s="2">
        <v>6.29</v>
      </c>
      <c r="C3754" s="2">
        <v>3.81</v>
      </c>
      <c r="D3754" s="2">
        <v>5.14</v>
      </c>
      <c r="E3754" s="2">
        <v>5.64</v>
      </c>
      <c r="F3754" s="2">
        <v>3.2199999999999998</v>
      </c>
      <c r="G3754" s="6">
        <v>21779.35318738245</v>
      </c>
      <c r="H3754" s="6">
        <f>(G3754+1554)+1053.98328957467</f>
        <v>24387.33647695712</v>
      </c>
      <c r="I3754" s="6">
        <v>17018.918466263429</v>
      </c>
      <c r="J3754" s="6">
        <f>(I3754-624)+1055.2447562717</f>
        <v>17450.163222535131</v>
      </c>
      <c r="K3754" s="6">
        <v>11544.553865245172</v>
      </c>
    </row>
    <row r="3755" spans="1:11" x14ac:dyDescent="0.2">
      <c r="A3755" s="1">
        <v>0.60624999999999996</v>
      </c>
      <c r="B3755" s="2">
        <v>6.3500000000000005</v>
      </c>
      <c r="C3755" s="2">
        <v>3.6799999999999997</v>
      </c>
      <c r="D3755" s="2">
        <v>5.3</v>
      </c>
      <c r="E3755" s="2">
        <v>5.54</v>
      </c>
      <c r="F3755" s="2">
        <v>3.3</v>
      </c>
      <c r="G3755" s="6">
        <v>22877.822377452329</v>
      </c>
      <c r="H3755" s="6">
        <f>(G3755+1554)+35.8682194214641</f>
        <v>24467.690596873792</v>
      </c>
      <c r="I3755" s="6">
        <v>18299.872751729366</v>
      </c>
      <c r="J3755" s="6">
        <v>15486.613394421329</v>
      </c>
      <c r="K3755" s="6">
        <v>12168.004262040246</v>
      </c>
    </row>
    <row r="3756" spans="1:11" x14ac:dyDescent="0.2">
      <c r="A3756" s="1">
        <v>0.60694444444444495</v>
      </c>
      <c r="B3756" s="2">
        <v>6.33</v>
      </c>
      <c r="C3756" s="2">
        <v>3.6199999999999997</v>
      </c>
      <c r="D3756" s="2">
        <v>5.08</v>
      </c>
      <c r="E3756" s="2">
        <v>5.17</v>
      </c>
      <c r="F3756" s="2">
        <v>3.31</v>
      </c>
      <c r="G3756" s="6">
        <v>26983.877052413365</v>
      </c>
      <c r="H3756" s="6">
        <f>(G3756+1554)+1249.65388541624</f>
        <v>29787.530937829608</v>
      </c>
      <c r="I3756" s="6">
        <v>22542.7478357162</v>
      </c>
      <c r="J3756" s="6">
        <f>(I3756-624)+1065.05181995787</f>
        <v>22983.799655674073</v>
      </c>
      <c r="K3756" s="6">
        <v>13784.263839317626</v>
      </c>
    </row>
    <row r="3757" spans="1:11" x14ac:dyDescent="0.2">
      <c r="A3757" s="1">
        <v>0.60763888888888895</v>
      </c>
      <c r="B3757" s="2">
        <v>6.23</v>
      </c>
      <c r="C3757" s="2">
        <v>3.75</v>
      </c>
      <c r="D3757" s="2">
        <v>4.9099999999999993</v>
      </c>
      <c r="E3757" s="2">
        <v>5.57</v>
      </c>
      <c r="F3757" s="2">
        <v>2.92</v>
      </c>
      <c r="G3757" s="6">
        <v>21715.661851838286</v>
      </c>
      <c r="H3757" s="6">
        <f>(G3757+1554)+1423.72045411096</f>
        <v>24693.382305949242</v>
      </c>
      <c r="I3757" s="6">
        <v>16074.105339204852</v>
      </c>
      <c r="J3757" s="6">
        <v>12575.273916579234</v>
      </c>
      <c r="K3757" s="6">
        <v>9250.044213488567</v>
      </c>
    </row>
    <row r="3758" spans="1:11" x14ac:dyDescent="0.2">
      <c r="A3758" s="1">
        <v>0.60833333333333295</v>
      </c>
      <c r="B3758" s="2">
        <v>6.3500000000000005</v>
      </c>
      <c r="C3758" s="2">
        <v>3.8499999999999996</v>
      </c>
      <c r="D3758" s="2">
        <v>4.97</v>
      </c>
      <c r="E3758" s="2">
        <v>5.3</v>
      </c>
      <c r="F3758" s="2">
        <v>3.42</v>
      </c>
      <c r="G3758" s="6">
        <v>19626.194231655663</v>
      </c>
      <c r="H3758" s="6">
        <f>(G3758+1554)+726.749771078977</f>
        <v>21906.944002734639</v>
      </c>
      <c r="I3758" s="6">
        <v>14246.225134641136</v>
      </c>
      <c r="J3758" s="6">
        <v>10804.065011787632</v>
      </c>
      <c r="K3758" s="6">
        <v>6115.88656465643</v>
      </c>
    </row>
    <row r="3759" spans="1:11" x14ac:dyDescent="0.2">
      <c r="A3759" s="1">
        <v>0.60902777777777795</v>
      </c>
      <c r="B3759" s="2">
        <v>6.38</v>
      </c>
      <c r="C3759" s="2">
        <v>3.75</v>
      </c>
      <c r="D3759" s="2">
        <v>5.38</v>
      </c>
      <c r="E3759" s="2">
        <v>5.59</v>
      </c>
      <c r="F3759" s="2">
        <v>2.98</v>
      </c>
      <c r="G3759" s="6">
        <v>23829.814087880342</v>
      </c>
      <c r="H3759" s="6">
        <f>(G3759+1554)+1303.49654230874</f>
        <v>26687.310630189088</v>
      </c>
      <c r="I3759" s="6">
        <v>18284.69281508978</v>
      </c>
      <c r="J3759" s="6">
        <v>12331.916663672246</v>
      </c>
      <c r="K3759" s="6">
        <v>12830.050711269923</v>
      </c>
    </row>
    <row r="3760" spans="1:11" x14ac:dyDescent="0.2">
      <c r="A3760" s="1">
        <v>0.60972222222222205</v>
      </c>
      <c r="B3760" s="2">
        <v>6.23</v>
      </c>
      <c r="C3760" s="2">
        <v>3.9099999999999997</v>
      </c>
      <c r="D3760" s="2">
        <v>5.2399999999999993</v>
      </c>
      <c r="E3760" s="2">
        <v>5.4399999999999995</v>
      </c>
      <c r="F3760" s="2">
        <v>3.07</v>
      </c>
      <c r="G3760" s="6">
        <v>13320.3531904719</v>
      </c>
      <c r="H3760" s="6">
        <f>(G3760+1554)+717.619915754607</f>
        <v>15591.973106226507</v>
      </c>
      <c r="I3760" s="6">
        <v>8679.8944396729821</v>
      </c>
      <c r="J3760" s="6">
        <v>7169.4253764750601</v>
      </c>
      <c r="K3760" s="6">
        <v>11218.518060793365</v>
      </c>
    </row>
    <row r="3761" spans="1:11" x14ac:dyDescent="0.2">
      <c r="A3761" s="1">
        <v>0.61041666666666705</v>
      </c>
      <c r="B3761" s="2">
        <v>6.17</v>
      </c>
      <c r="C3761" s="2">
        <v>3.79</v>
      </c>
      <c r="D3761" s="2">
        <v>4.9099999999999993</v>
      </c>
      <c r="E3761" s="2">
        <v>5.72</v>
      </c>
      <c r="F3761" s="2">
        <v>3</v>
      </c>
      <c r="G3761" s="6">
        <v>18473.457834594636</v>
      </c>
      <c r="H3761" s="6">
        <f>(G3761+1554)+686.839587504841</f>
        <v>20714.297422099477</v>
      </c>
      <c r="I3761" s="6">
        <v>12011.05829614777</v>
      </c>
      <c r="J3761" s="6">
        <f>(I3761-624)+660.614138885705</f>
        <v>12047.672435033475</v>
      </c>
      <c r="K3761" s="6">
        <v>6463.5113145612577</v>
      </c>
    </row>
    <row r="3762" spans="1:11" x14ac:dyDescent="0.2">
      <c r="A3762" s="1">
        <v>0.61111111111111105</v>
      </c>
      <c r="B3762" s="2">
        <v>6.33</v>
      </c>
      <c r="C3762" s="2">
        <v>3.6599999999999997</v>
      </c>
      <c r="D3762" s="2">
        <v>5.22</v>
      </c>
      <c r="E3762" s="2">
        <v>5.51</v>
      </c>
      <c r="F3762" s="2">
        <v>3.09</v>
      </c>
      <c r="G3762" s="6">
        <v>18070.527037343873</v>
      </c>
      <c r="H3762" s="6">
        <f>(G3762+1554)+1540.95766441119</f>
        <v>21165.48470175506</v>
      </c>
      <c r="I3762" s="6">
        <v>12680.190924256345</v>
      </c>
      <c r="J3762" s="6">
        <v>9326.7125694193001</v>
      </c>
      <c r="K3762" s="6">
        <v>9670.2053979869543</v>
      </c>
    </row>
    <row r="3763" spans="1:11" x14ac:dyDescent="0.2">
      <c r="A3763" s="1">
        <v>0.61180555555555605</v>
      </c>
      <c r="B3763" s="2">
        <v>6.32</v>
      </c>
      <c r="C3763" s="2">
        <v>3.6799999999999997</v>
      </c>
      <c r="D3763" s="2">
        <v>5.01</v>
      </c>
      <c r="E3763" s="2">
        <v>5.22</v>
      </c>
      <c r="F3763" s="2">
        <v>3.27</v>
      </c>
      <c r="G3763" s="6">
        <v>16141.777985518831</v>
      </c>
      <c r="H3763" s="6">
        <f>(G3763+1554)+1028.85915865319</f>
        <v>18724.637144172018</v>
      </c>
      <c r="I3763" s="6">
        <v>11010.768047305546</v>
      </c>
      <c r="J3763" s="6">
        <v>7738.7428761152278</v>
      </c>
      <c r="K3763" s="6">
        <v>8185.8242648645382</v>
      </c>
    </row>
    <row r="3764" spans="1:11" x14ac:dyDescent="0.2">
      <c r="A3764" s="1">
        <v>0.61250000000000004</v>
      </c>
      <c r="B3764" s="2">
        <v>6.2700000000000005</v>
      </c>
      <c r="C3764" s="2">
        <v>3.9</v>
      </c>
      <c r="D3764" s="2">
        <v>5.3199999999999994</v>
      </c>
      <c r="E3764" s="2">
        <v>5.26</v>
      </c>
      <c r="F3764" s="2">
        <v>3.23</v>
      </c>
      <c r="G3764" s="6">
        <v>17776.380596638417</v>
      </c>
      <c r="H3764" s="6">
        <f>(G3764+1554)+1416.56177799174</f>
        <v>20746.942374630158</v>
      </c>
      <c r="I3764" s="6">
        <v>12601.139170818096</v>
      </c>
      <c r="J3764" s="6">
        <v>8655.186745223753</v>
      </c>
      <c r="K3764" s="6">
        <v>10083.046093397612</v>
      </c>
    </row>
    <row r="3765" spans="1:11" x14ac:dyDescent="0.2">
      <c r="A3765" s="1">
        <v>0.61319444444444404</v>
      </c>
      <c r="B3765" s="2">
        <v>6.22</v>
      </c>
      <c r="C3765" s="2">
        <v>3.84</v>
      </c>
      <c r="D3765" s="2">
        <v>5.31</v>
      </c>
      <c r="E3765" s="2">
        <v>5.63</v>
      </c>
      <c r="F3765" s="2">
        <v>3.35</v>
      </c>
      <c r="G3765" s="6">
        <v>12194.917990116242</v>
      </c>
      <c r="H3765" s="6">
        <f>(G3765+1554)+907.910874090978</f>
        <v>14656.82886420722</v>
      </c>
      <c r="I3765" s="6">
        <v>8977.601262163138</v>
      </c>
      <c r="J3765" s="6">
        <f>(I3765-624)+1006.38070134887</f>
        <v>9359.9819635120111</v>
      </c>
      <c r="K3765" s="6">
        <v>9625.7295883538081</v>
      </c>
    </row>
    <row r="3766" spans="1:11" x14ac:dyDescent="0.2">
      <c r="A3766" s="1">
        <v>0.61388888888888904</v>
      </c>
      <c r="B3766" s="2">
        <v>6.32</v>
      </c>
      <c r="C3766" s="2">
        <v>3.82</v>
      </c>
      <c r="D3766" s="2">
        <v>5.2299999999999995</v>
      </c>
      <c r="E3766" s="2">
        <v>5.1499999999999995</v>
      </c>
      <c r="F3766" s="2">
        <v>2.9699999999999998</v>
      </c>
      <c r="G3766" s="6">
        <v>17229.031573239325</v>
      </c>
      <c r="H3766" s="6">
        <f>(G3766+1554)+360.797626617961</f>
        <v>19143.829199857286</v>
      </c>
      <c r="I3766" s="6">
        <v>12325.012725281207</v>
      </c>
      <c r="J3766" s="6">
        <v>9728.6080966635909</v>
      </c>
      <c r="K3766" s="6">
        <v>9302.2511379130883</v>
      </c>
    </row>
    <row r="3767" spans="1:11" x14ac:dyDescent="0.2">
      <c r="A3767" s="1">
        <v>0.61458333333333304</v>
      </c>
      <c r="B3767" s="2">
        <v>6.32</v>
      </c>
      <c r="C3767" s="2">
        <v>3.6399999999999997</v>
      </c>
      <c r="D3767" s="2">
        <v>5.08</v>
      </c>
      <c r="E3767" s="2">
        <v>5.68</v>
      </c>
      <c r="F3767" s="2">
        <v>3.1799999999999997</v>
      </c>
      <c r="G3767" s="6">
        <v>26370.546830119707</v>
      </c>
      <c r="H3767" s="6">
        <f>(G3767+1554)+468.863003308646</f>
        <v>28393.409833428352</v>
      </c>
      <c r="I3767" s="6">
        <v>21612.310067205399</v>
      </c>
      <c r="J3767" s="6">
        <v>17369.232383398801</v>
      </c>
      <c r="K3767" s="6">
        <v>9717.2874800736899</v>
      </c>
    </row>
    <row r="3768" spans="1:11" x14ac:dyDescent="0.2">
      <c r="A3768" s="1">
        <v>0.61527777777777803</v>
      </c>
      <c r="B3768" s="2">
        <v>6.14</v>
      </c>
      <c r="C3768" s="2">
        <v>3.7399999999999998</v>
      </c>
      <c r="D3768" s="2">
        <v>4.9899999999999993</v>
      </c>
      <c r="E3768" s="2">
        <v>5.27</v>
      </c>
      <c r="F3768" s="2">
        <v>3.42</v>
      </c>
      <c r="G3768" s="6">
        <v>20187.58810078277</v>
      </c>
      <c r="H3768" s="6">
        <f>(G3768+1554)+1906.01682456295</f>
        <v>23647.60492534572</v>
      </c>
      <c r="I3768" s="6">
        <v>16784.799828004296</v>
      </c>
      <c r="J3768" s="6">
        <f>(I3768-624)+1675.41682089937</f>
        <v>17836.216648903661</v>
      </c>
      <c r="K3768" s="6">
        <v>13077.631859547009</v>
      </c>
    </row>
    <row r="3769" spans="1:11" x14ac:dyDescent="0.2">
      <c r="A3769" s="1">
        <v>0.61597222222222203</v>
      </c>
      <c r="B3769" s="2">
        <v>6.22</v>
      </c>
      <c r="C3769" s="2">
        <v>3.6599999999999997</v>
      </c>
      <c r="D3769" s="2">
        <v>5.29</v>
      </c>
      <c r="E3769" s="2">
        <v>5.6</v>
      </c>
      <c r="F3769" s="2">
        <v>3.21</v>
      </c>
      <c r="G3769" s="6">
        <v>19763.554264726499</v>
      </c>
      <c r="H3769" s="6">
        <f>(G3769+1554)+1962.700665113</f>
        <v>23280.254929839495</v>
      </c>
      <c r="I3769" s="6">
        <v>11717.115349719896</v>
      </c>
      <c r="J3769" s="6">
        <v>7674.8361534366104</v>
      </c>
      <c r="K3769" s="6">
        <v>9047.5079601005</v>
      </c>
    </row>
    <row r="3770" spans="1:11" x14ac:dyDescent="0.2">
      <c r="A3770" s="1">
        <v>0.61666666666666703</v>
      </c>
      <c r="B3770" s="2">
        <v>6.16</v>
      </c>
      <c r="C3770" s="2">
        <v>3.86</v>
      </c>
      <c r="D3770" s="2">
        <v>4.8999999999999995</v>
      </c>
      <c r="E3770" s="2">
        <v>5.4</v>
      </c>
      <c r="F3770" s="2">
        <v>3.34</v>
      </c>
      <c r="G3770" s="6">
        <v>22939.522220913284</v>
      </c>
      <c r="H3770" s="6">
        <f>(G3770+1554)+1108.33276328905</f>
        <v>25601.854984202335</v>
      </c>
      <c r="I3770" s="6">
        <v>18074.631848440738</v>
      </c>
      <c r="J3770" s="6">
        <v>10594.962711085396</v>
      </c>
      <c r="K3770" s="6">
        <v>12800.37603788251</v>
      </c>
    </row>
    <row r="3771" spans="1:11" x14ac:dyDescent="0.2">
      <c r="A3771" s="1">
        <v>0.61736111111111103</v>
      </c>
      <c r="B3771" s="2">
        <v>6.21</v>
      </c>
      <c r="C3771" s="2">
        <v>3.8</v>
      </c>
      <c r="D3771" s="2">
        <v>5.2299999999999995</v>
      </c>
      <c r="E3771" s="2">
        <v>5.27</v>
      </c>
      <c r="F3771" s="2">
        <v>2.9299999999999997</v>
      </c>
      <c r="G3771" s="6">
        <v>33608.726573837142</v>
      </c>
      <c r="H3771" s="6">
        <f>(G3771+1554)+837.249700258016</f>
        <v>35999.976274095156</v>
      </c>
      <c r="I3771" s="6">
        <v>21921.863477081544</v>
      </c>
      <c r="J3771" s="6">
        <v>11698.312803030289</v>
      </c>
      <c r="K3771" s="6">
        <v>10117.583001005052</v>
      </c>
    </row>
    <row r="3772" spans="1:11" x14ac:dyDescent="0.2">
      <c r="A3772" s="1">
        <v>0.61805555555555602</v>
      </c>
      <c r="B3772" s="2">
        <v>6.18</v>
      </c>
      <c r="C3772" s="2">
        <v>3.78</v>
      </c>
      <c r="D3772" s="2">
        <v>5.0999999999999996</v>
      </c>
      <c r="E3772" s="2">
        <v>5.6</v>
      </c>
      <c r="F3772" s="2">
        <v>3.36</v>
      </c>
      <c r="G3772" s="6">
        <v>22552.079566954479</v>
      </c>
      <c r="H3772" s="6">
        <f>(G3772+1554)+1052.17531320959</f>
        <v>25158.25488016407</v>
      </c>
      <c r="I3772" s="6">
        <v>15831.605234648649</v>
      </c>
      <c r="J3772" s="6">
        <v>11932.285437416573</v>
      </c>
      <c r="K3772" s="6">
        <v>9854.9063147286051</v>
      </c>
    </row>
    <row r="3773" spans="1:11" x14ac:dyDescent="0.2">
      <c r="A3773" s="1">
        <v>0.61875000000000002</v>
      </c>
      <c r="B3773" s="2">
        <v>6.2700000000000005</v>
      </c>
      <c r="C3773" s="2">
        <v>3.6599999999999997</v>
      </c>
      <c r="D3773" s="2">
        <v>4.9499999999999993</v>
      </c>
      <c r="E3773" s="2">
        <v>5.45</v>
      </c>
      <c r="F3773" s="2">
        <v>3.19</v>
      </c>
      <c r="G3773" s="6">
        <v>13837.801670458344</v>
      </c>
      <c r="H3773" s="6">
        <f>(G3773+1554)+351.013904862322</f>
        <v>15742.815575320667</v>
      </c>
      <c r="I3773" s="6">
        <v>10191.39273061506</v>
      </c>
      <c r="J3773" s="6">
        <v>6557.8136335165573</v>
      </c>
      <c r="K3773" s="6">
        <v>6306.0482095217849</v>
      </c>
    </row>
    <row r="3774" spans="1:11" x14ac:dyDescent="0.2">
      <c r="A3774" s="1">
        <v>0.61944444444444402</v>
      </c>
      <c r="B3774" s="2">
        <v>6.38</v>
      </c>
      <c r="C3774" s="2">
        <v>3.6199999999999997</v>
      </c>
      <c r="D3774" s="2">
        <v>5.0599999999999996</v>
      </c>
      <c r="E3774" s="2">
        <v>5.5</v>
      </c>
      <c r="F3774" s="2">
        <v>3.06</v>
      </c>
      <c r="G3774" s="6">
        <v>24207.956187011954</v>
      </c>
      <c r="H3774" s="6">
        <f>(G3774+1554)+871.327357931318</f>
        <v>26633.283544943271</v>
      </c>
      <c r="I3774" s="6">
        <v>16994.136483326834</v>
      </c>
      <c r="J3774" s="6">
        <v>14431.187297875505</v>
      </c>
      <c r="K3774" s="6">
        <v>9703.1749983844002</v>
      </c>
    </row>
    <row r="3775" spans="1:11" x14ac:dyDescent="0.2">
      <c r="A3775" s="1">
        <v>0.62013888888888902</v>
      </c>
      <c r="B3775" s="2">
        <v>6.16</v>
      </c>
      <c r="C3775" s="2">
        <v>3.6999999999999997</v>
      </c>
      <c r="D3775" s="2">
        <v>4.9799999999999995</v>
      </c>
      <c r="E3775" s="2">
        <v>5.54</v>
      </c>
      <c r="F3775" s="2">
        <v>3.25</v>
      </c>
      <c r="G3775" s="6">
        <v>37425.309752951624</v>
      </c>
      <c r="H3775" s="6">
        <f>(G3775+1554)+1393.66993672483</f>
        <v>40372.979689676453</v>
      </c>
      <c r="I3775" s="6">
        <v>21307.688054983642</v>
      </c>
      <c r="J3775" s="6">
        <v>16797.981609022867</v>
      </c>
      <c r="K3775" s="6">
        <v>15109.777553004684</v>
      </c>
    </row>
    <row r="3776" spans="1:11" x14ac:dyDescent="0.2">
      <c r="A3776" s="1">
        <v>0.62083333333333302</v>
      </c>
      <c r="B3776" s="2">
        <v>6.2</v>
      </c>
      <c r="C3776" s="2">
        <v>3.78</v>
      </c>
      <c r="D3776" s="2">
        <v>5.33</v>
      </c>
      <c r="E3776" s="2">
        <v>5.33</v>
      </c>
      <c r="F3776" s="2">
        <v>2.98</v>
      </c>
      <c r="G3776" s="6">
        <v>38061.033399025291</v>
      </c>
      <c r="H3776" s="6">
        <f>(G3776+1554)+1624.32296333004</f>
        <v>41239.356362355335</v>
      </c>
      <c r="I3776" s="6">
        <v>20683.419451550879</v>
      </c>
      <c r="J3776" s="6">
        <v>17696.700638816848</v>
      </c>
      <c r="K3776" s="6">
        <v>15349.104507790747</v>
      </c>
    </row>
    <row r="3777" spans="1:11" x14ac:dyDescent="0.2">
      <c r="A3777" s="1">
        <v>0.62152777777777801</v>
      </c>
      <c r="B3777" s="2">
        <v>6.13</v>
      </c>
      <c r="C3777" s="2">
        <v>3.75</v>
      </c>
      <c r="D3777" s="2">
        <v>4.9399999999999995</v>
      </c>
      <c r="E3777" s="2">
        <v>5.49</v>
      </c>
      <c r="F3777" s="2">
        <v>3.23</v>
      </c>
      <c r="G3777" s="6">
        <v>30029.385729194437</v>
      </c>
      <c r="H3777" s="6">
        <f>(G3777+1554)+179.78645197705</f>
        <v>31763.172181171489</v>
      </c>
      <c r="I3777" s="6">
        <v>12243.889733974638</v>
      </c>
      <c r="J3777" s="6">
        <v>8193.2532252099554</v>
      </c>
      <c r="K3777" s="6">
        <v>12644.604482843806</v>
      </c>
    </row>
    <row r="3778" spans="1:11" x14ac:dyDescent="0.2">
      <c r="A3778" s="1">
        <v>0.62222222222222201</v>
      </c>
      <c r="B3778" s="2">
        <v>6.25</v>
      </c>
      <c r="C3778" s="2">
        <v>3.8</v>
      </c>
      <c r="D3778" s="2">
        <v>5.25</v>
      </c>
      <c r="E3778" s="2">
        <v>5.2299999999999995</v>
      </c>
      <c r="F3778" s="2">
        <v>3.06</v>
      </c>
      <c r="G3778" s="6">
        <v>37195.712606115012</v>
      </c>
      <c r="H3778" s="6">
        <f>(G3778+1554)+681.29517693699</f>
        <v>39431.007783052002</v>
      </c>
      <c r="I3778" s="6">
        <v>15934.890145342388</v>
      </c>
      <c r="J3778" s="6">
        <v>11957.694002532946</v>
      </c>
      <c r="K3778" s="6">
        <v>10182.672625558165</v>
      </c>
    </row>
    <row r="3779" spans="1:11" x14ac:dyDescent="0.2">
      <c r="A3779" s="1">
        <v>0.62291666666666701</v>
      </c>
      <c r="B3779" s="2">
        <v>6.3500000000000005</v>
      </c>
      <c r="C3779" s="2">
        <v>3.81</v>
      </c>
      <c r="D3779" s="2">
        <v>5.04</v>
      </c>
      <c r="E3779" s="2">
        <v>5.6099999999999994</v>
      </c>
      <c r="F3779" s="2">
        <v>3.04</v>
      </c>
      <c r="G3779" s="6">
        <v>27894.671347530653</v>
      </c>
      <c r="H3779" s="6">
        <f>(G3779+1554)+972.693630188161</f>
        <v>30421.364977718815</v>
      </c>
      <c r="I3779" s="6">
        <v>13051.298526198663</v>
      </c>
      <c r="J3779" s="6">
        <v>10218.5225407574</v>
      </c>
      <c r="K3779" s="6">
        <v>8845.4562024818861</v>
      </c>
    </row>
    <row r="3780" spans="1:11" x14ac:dyDescent="0.2">
      <c r="A3780" s="1">
        <v>0.62361111111111101</v>
      </c>
      <c r="B3780" s="2">
        <v>6.2700000000000005</v>
      </c>
      <c r="C3780" s="2">
        <v>3.82</v>
      </c>
      <c r="D3780" s="2">
        <v>5.3599999999999994</v>
      </c>
      <c r="E3780" s="2">
        <v>5.45</v>
      </c>
      <c r="F3780" s="2">
        <v>3.3</v>
      </c>
      <c r="G3780" s="6">
        <v>16871.870054016632</v>
      </c>
      <c r="H3780" s="6">
        <f>(G3780+1554)+1811.65451557916</f>
        <v>20237.524569595796</v>
      </c>
      <c r="I3780" s="6">
        <v>9330.3877211422841</v>
      </c>
      <c r="J3780" s="6">
        <v>8371.2185342773537</v>
      </c>
      <c r="K3780" s="6">
        <v>7726.6217259768146</v>
      </c>
    </row>
    <row r="3781" spans="1:11" x14ac:dyDescent="0.2">
      <c r="A3781" s="1">
        <v>0.624305555555556</v>
      </c>
      <c r="B3781" s="2">
        <v>6.19</v>
      </c>
      <c r="C3781" s="2">
        <v>3.8899999999999997</v>
      </c>
      <c r="D3781" s="2">
        <v>5.31</v>
      </c>
      <c r="E3781" s="2">
        <v>5.58</v>
      </c>
      <c r="F3781" s="2">
        <v>3.37</v>
      </c>
      <c r="G3781" s="6">
        <v>29188.104762691557</v>
      </c>
      <c r="H3781" s="6">
        <f>(G3781+1554)+528.808837861191</f>
        <v>31270.913600552747</v>
      </c>
      <c r="I3781" s="6">
        <v>12036.925987501663</v>
      </c>
      <c r="J3781" s="6">
        <v>9626.883813448072</v>
      </c>
      <c r="K3781" s="6">
        <v>6414.979566704129</v>
      </c>
    </row>
    <row r="3782" spans="1:11" x14ac:dyDescent="0.2">
      <c r="A3782" s="3">
        <v>0.625</v>
      </c>
      <c r="B3782" s="2">
        <v>6.24</v>
      </c>
      <c r="C3782" s="2">
        <v>3.82</v>
      </c>
      <c r="D3782" s="2">
        <v>5.12</v>
      </c>
      <c r="E3782" s="2">
        <v>5.41</v>
      </c>
      <c r="F3782" s="2">
        <v>3.22</v>
      </c>
      <c r="G3782" s="6">
        <v>38530</v>
      </c>
      <c r="H3782" s="6">
        <v>41690</v>
      </c>
      <c r="I3782" s="6">
        <v>10670</v>
      </c>
      <c r="J3782" s="6">
        <v>7495</v>
      </c>
      <c r="K3782" s="6">
        <v>7612</v>
      </c>
    </row>
    <row r="3783" spans="1:11" x14ac:dyDescent="0.2">
      <c r="A3783" s="1">
        <v>0.625694444444444</v>
      </c>
      <c r="B3783" s="2">
        <v>6.26</v>
      </c>
      <c r="C3783" s="2">
        <v>3.6799999999999997</v>
      </c>
      <c r="D3783" s="2">
        <v>5.31</v>
      </c>
      <c r="E3783" s="2">
        <v>5.13</v>
      </c>
      <c r="F3783" s="2">
        <v>3.2600000000000002</v>
      </c>
      <c r="G3783" s="6">
        <v>36243.453716291304</v>
      </c>
      <c r="H3783" s="6">
        <f>(G3783+126)+915.281188825067</f>
        <v>37284.734905116369</v>
      </c>
      <c r="I3783" s="6">
        <f>(I3843+2685)-154.678456787698</f>
        <v>6935.9867713764561</v>
      </c>
      <c r="J3783" s="6">
        <v>8190.6508689100392</v>
      </c>
      <c r="K3783" s="6">
        <v>7525.0424229862529</v>
      </c>
    </row>
    <row r="3784" spans="1:11" x14ac:dyDescent="0.2">
      <c r="A3784" s="1">
        <v>0.62638888888888899</v>
      </c>
      <c r="B3784" s="2">
        <v>6.3</v>
      </c>
      <c r="C3784" s="2">
        <v>3.9</v>
      </c>
      <c r="D3784" s="2">
        <v>5.08</v>
      </c>
      <c r="E3784" s="2">
        <v>5.71</v>
      </c>
      <c r="F3784" s="2">
        <v>2.93</v>
      </c>
      <c r="G3784" s="6">
        <v>28866.639945894316</v>
      </c>
      <c r="H3784" s="6">
        <f>(G3784+126)+202.929995520327</f>
        <v>29195.569941414644</v>
      </c>
      <c r="I3784" s="6">
        <v>9554.2541360793984</v>
      </c>
      <c r="J3784" s="6">
        <v>7404.7938620596651</v>
      </c>
      <c r="K3784" s="6">
        <v>6445.6342906800073</v>
      </c>
    </row>
    <row r="3785" spans="1:11" x14ac:dyDescent="0.2">
      <c r="A3785" s="1">
        <v>0.62708333333333299</v>
      </c>
      <c r="B3785" s="2">
        <v>6.3500000000000005</v>
      </c>
      <c r="C3785" s="2">
        <v>3.73</v>
      </c>
      <c r="D3785" s="2">
        <v>5.04</v>
      </c>
      <c r="E3785" s="2">
        <v>5.29</v>
      </c>
      <c r="F3785" s="2">
        <v>3.38</v>
      </c>
      <c r="G3785" s="6">
        <v>23692.304068563099</v>
      </c>
      <c r="H3785" s="6">
        <v>27552.791086291945</v>
      </c>
      <c r="I3785" s="6">
        <v>8620.0901087529201</v>
      </c>
      <c r="J3785" s="6">
        <v>7981.5750882651637</v>
      </c>
      <c r="K3785" s="6">
        <v>7166.3995766711805</v>
      </c>
    </row>
    <row r="3786" spans="1:11" x14ac:dyDescent="0.2">
      <c r="A3786" s="1">
        <v>0.62777777777777799</v>
      </c>
      <c r="B3786" s="2">
        <v>6.13</v>
      </c>
      <c r="C3786" s="2">
        <v>3.63</v>
      </c>
      <c r="D3786" s="2">
        <v>5.0599999999999996</v>
      </c>
      <c r="E3786" s="2">
        <v>5.25</v>
      </c>
      <c r="F3786" s="2">
        <v>2.99</v>
      </c>
      <c r="G3786" s="6">
        <v>32953.821306111058</v>
      </c>
      <c r="H3786" s="6">
        <f>(G3786+126)+203.82309626213</f>
        <v>33283.644402373189</v>
      </c>
      <c r="I3786" s="6">
        <v>12592.272888163134</v>
      </c>
      <c r="J3786" s="6">
        <v>8953.8907471402399</v>
      </c>
      <c r="K3786" s="6">
        <v>6550.521029351301</v>
      </c>
    </row>
    <row r="3787" spans="1:11" x14ac:dyDescent="0.2">
      <c r="A3787" s="1">
        <v>0.62847222222222199</v>
      </c>
      <c r="B3787" s="2">
        <v>6.12</v>
      </c>
      <c r="C3787" s="2">
        <v>3.83</v>
      </c>
      <c r="D3787" s="2">
        <v>5.08</v>
      </c>
      <c r="E3787" s="2">
        <v>5.33</v>
      </c>
      <c r="F3787" s="2">
        <v>3.33</v>
      </c>
      <c r="G3787" s="6">
        <v>38645.771005391973</v>
      </c>
      <c r="H3787" s="6">
        <f>(G3787+126)+884.983590115847</f>
        <v>39656.754595507817</v>
      </c>
      <c r="I3787" s="6">
        <v>16375.638008727159</v>
      </c>
      <c r="J3787" s="6">
        <v>9921.9375690331963</v>
      </c>
      <c r="K3787" s="6">
        <v>7244.3363996571907</v>
      </c>
    </row>
    <row r="3788" spans="1:11" x14ac:dyDescent="0.2">
      <c r="A3788" s="1">
        <v>0.62916666666666698</v>
      </c>
      <c r="B3788" s="2">
        <v>6.3500000000000005</v>
      </c>
      <c r="C3788" s="2">
        <v>3.61</v>
      </c>
      <c r="D3788" s="2">
        <v>5.2299999999999995</v>
      </c>
      <c r="E3788" s="2">
        <v>5.4799999999999995</v>
      </c>
      <c r="F3788" s="2">
        <v>3.3200000000000003</v>
      </c>
      <c r="G3788" s="6">
        <v>33110.523648840208</v>
      </c>
      <c r="H3788" s="6">
        <v>36175.482133002748</v>
      </c>
      <c r="I3788" s="6">
        <v>13464.097305705589</v>
      </c>
      <c r="J3788" s="6">
        <v>8983.1887774607076</v>
      </c>
      <c r="K3788" s="6">
        <v>8011.9806224649146</v>
      </c>
    </row>
    <row r="3789" spans="1:11" x14ac:dyDescent="0.2">
      <c r="A3789" s="1">
        <v>0.62986111111111098</v>
      </c>
      <c r="B3789" s="2">
        <v>6.3</v>
      </c>
      <c r="C3789" s="2">
        <v>3.6199999999999997</v>
      </c>
      <c r="D3789" s="2">
        <v>5.2799999999999994</v>
      </c>
      <c r="E3789" s="2">
        <v>5.7</v>
      </c>
      <c r="F3789" s="2">
        <v>3.16</v>
      </c>
      <c r="G3789" s="6">
        <v>28951.34645993642</v>
      </c>
      <c r="H3789" s="6">
        <f>(G3789+126)+397.762950136437</f>
        <v>29475.109410072855</v>
      </c>
      <c r="I3789" s="6">
        <v>9573.2866341369772</v>
      </c>
      <c r="J3789" s="6">
        <v>7755.1053687873246</v>
      </c>
      <c r="K3789" s="6">
        <v>6438.0396344826886</v>
      </c>
    </row>
    <row r="3790" spans="1:11" x14ac:dyDescent="0.2">
      <c r="A3790" s="1">
        <v>0.63055555555555598</v>
      </c>
      <c r="B3790" s="2">
        <v>6.34</v>
      </c>
      <c r="C3790" s="2">
        <v>3.8</v>
      </c>
      <c r="D3790" s="2">
        <v>4.8999999999999995</v>
      </c>
      <c r="E3790" s="2">
        <v>5.63</v>
      </c>
      <c r="F3790" s="2">
        <v>3.02</v>
      </c>
      <c r="G3790" s="6">
        <v>22872.743490742814</v>
      </c>
      <c r="H3790" s="6">
        <v>23960.244854930177</v>
      </c>
      <c r="I3790" s="6">
        <v>9398.8541990379163</v>
      </c>
      <c r="J3790" s="6">
        <v>8519.9071125397877</v>
      </c>
      <c r="K3790" s="6">
        <v>6900.5201605399516</v>
      </c>
    </row>
    <row r="3791" spans="1:11" x14ac:dyDescent="0.2">
      <c r="A3791" s="1">
        <v>0.63124999999999998</v>
      </c>
      <c r="B3791" s="2">
        <v>6.23</v>
      </c>
      <c r="C3791" s="2">
        <v>3.84</v>
      </c>
      <c r="D3791" s="2">
        <v>5.09</v>
      </c>
      <c r="E3791" s="2">
        <v>5.59</v>
      </c>
      <c r="F3791" s="2">
        <v>3.1100000000000003</v>
      </c>
      <c r="G3791" s="6">
        <v>26600.331327753727</v>
      </c>
      <c r="H3791" s="6">
        <f>(G3791+126)+817.027489840399</f>
        <v>27543.358817594126</v>
      </c>
      <c r="I3791" s="6">
        <v>11301.342195535559</v>
      </c>
      <c r="J3791" s="6">
        <v>9075.6782971567718</v>
      </c>
      <c r="K3791" s="6">
        <v>7226.3851269994711</v>
      </c>
    </row>
    <row r="3792" spans="1:11" x14ac:dyDescent="0.2">
      <c r="A3792" s="1">
        <v>0.63194444444444398</v>
      </c>
      <c r="B3792" s="2">
        <v>6.33</v>
      </c>
      <c r="C3792" s="2">
        <v>3.6399999999999997</v>
      </c>
      <c r="D3792" s="2">
        <v>5.29</v>
      </c>
      <c r="E3792" s="2">
        <v>5.42</v>
      </c>
      <c r="F3792" s="2">
        <v>3.41</v>
      </c>
      <c r="G3792" s="6">
        <v>23131.015067827138</v>
      </c>
      <c r="H3792" s="6">
        <f>(G3792+126)+227.419991681128</f>
        <v>23484.435059508265</v>
      </c>
      <c r="I3792" s="6">
        <v>8148.7401081852295</v>
      </c>
      <c r="J3792" s="6">
        <v>7288.2249225313808</v>
      </c>
      <c r="K3792" s="6">
        <v>5760.4665485636033</v>
      </c>
    </row>
    <row r="3793" spans="1:11" x14ac:dyDescent="0.2">
      <c r="A3793" s="1">
        <v>0.63263888888888897</v>
      </c>
      <c r="B3793" s="2">
        <v>6.33</v>
      </c>
      <c r="C3793" s="2">
        <v>3.69</v>
      </c>
      <c r="D3793" s="2">
        <v>5</v>
      </c>
      <c r="E3793" s="2">
        <v>5.22</v>
      </c>
      <c r="F3793" s="2">
        <v>3.21</v>
      </c>
      <c r="G3793" s="6">
        <v>23460.602620319409</v>
      </c>
      <c r="H3793" s="6">
        <v>23288.727408442304</v>
      </c>
      <c r="I3793" s="6">
        <v>7570.0491529425999</v>
      </c>
      <c r="J3793" s="6">
        <v>7266.7985181274698</v>
      </c>
      <c r="K3793" s="6">
        <v>6485.2933675695585</v>
      </c>
    </row>
    <row r="3794" spans="1:11" x14ac:dyDescent="0.2">
      <c r="A3794" s="1">
        <v>0.63333333333333297</v>
      </c>
      <c r="B3794" s="2">
        <v>6.13</v>
      </c>
      <c r="C3794" s="2">
        <v>3.82</v>
      </c>
      <c r="D3794" s="2">
        <v>5.0999999999999996</v>
      </c>
      <c r="E3794" s="2">
        <v>5.21</v>
      </c>
      <c r="F3794" s="2">
        <v>3.13</v>
      </c>
      <c r="G3794" s="6">
        <v>26065.555194268294</v>
      </c>
      <c r="H3794" s="6">
        <f>(G3794+126)+464.349694049969</f>
        <v>26655.904888318262</v>
      </c>
      <c r="I3794" s="6">
        <v>10295.032862474609</v>
      </c>
      <c r="J3794" s="6">
        <v>8744.468380297878</v>
      </c>
      <c r="K3794" s="6">
        <v>8094.6518222819341</v>
      </c>
    </row>
    <row r="3795" spans="1:11" x14ac:dyDescent="0.2">
      <c r="A3795" s="1">
        <v>0.63402777777777797</v>
      </c>
      <c r="B3795" s="2">
        <v>6.2</v>
      </c>
      <c r="C3795" s="2">
        <v>3.8</v>
      </c>
      <c r="D3795" s="2">
        <v>4.92</v>
      </c>
      <c r="E3795" s="2">
        <v>5.24</v>
      </c>
      <c r="F3795" s="2">
        <v>3.24</v>
      </c>
      <c r="G3795" s="6">
        <v>22637.674647022584</v>
      </c>
      <c r="H3795" s="6">
        <f>(G3795+126)+12.2261121554753</f>
        <v>22775.900759178061</v>
      </c>
      <c r="I3795" s="6">
        <v>7184.4439147323119</v>
      </c>
      <c r="J3795" s="6">
        <v>6958.1431711529376</v>
      </c>
      <c r="K3795" s="6">
        <v>5493.695082435619</v>
      </c>
    </row>
    <row r="3796" spans="1:11" x14ac:dyDescent="0.2">
      <c r="A3796" s="1">
        <v>0.63472222222222197</v>
      </c>
      <c r="B3796" s="2">
        <v>6.32</v>
      </c>
      <c r="C3796" s="2">
        <v>3.79</v>
      </c>
      <c r="D3796" s="2">
        <v>5.12</v>
      </c>
      <c r="E3796" s="2">
        <v>5.41</v>
      </c>
      <c r="F3796" s="2">
        <v>3.38</v>
      </c>
      <c r="G3796" s="6">
        <v>20383.236008985408</v>
      </c>
      <c r="H3796" s="6">
        <v>20723.468744805723</v>
      </c>
      <c r="I3796" s="6">
        <v>6243.6267623578906</v>
      </c>
      <c r="J3796" s="6">
        <v>5113.4540333383138</v>
      </c>
      <c r="K3796" s="6">
        <v>3420.4293192611658</v>
      </c>
    </row>
    <row r="3797" spans="1:11" x14ac:dyDescent="0.2">
      <c r="A3797" s="1">
        <v>0.63541666666666696</v>
      </c>
      <c r="B3797" s="2">
        <v>6.14</v>
      </c>
      <c r="C3797" s="2">
        <v>3.8499999999999996</v>
      </c>
      <c r="D3797" s="2">
        <v>5.17</v>
      </c>
      <c r="E3797" s="2">
        <v>5.2299999999999995</v>
      </c>
      <c r="F3797" s="2">
        <v>3.41</v>
      </c>
      <c r="G3797" s="6">
        <v>20958.243012824318</v>
      </c>
      <c r="H3797" s="6">
        <f>(G3797+126)+478.404963263307</f>
        <v>21562.647976087625</v>
      </c>
      <c r="I3797" s="6">
        <v>7545.1568916242923</v>
      </c>
      <c r="J3797" s="6">
        <v>5663.664458051574</v>
      </c>
      <c r="K3797" s="6">
        <v>7197.7252508781221</v>
      </c>
    </row>
    <row r="3798" spans="1:11" x14ac:dyDescent="0.2">
      <c r="A3798" s="1">
        <v>0.63611111111111096</v>
      </c>
      <c r="B3798" s="2">
        <v>6.3100000000000005</v>
      </c>
      <c r="C3798" s="2">
        <v>3.84</v>
      </c>
      <c r="D3798" s="2">
        <v>5.2799999999999994</v>
      </c>
      <c r="E3798" s="2">
        <v>5.41</v>
      </c>
      <c r="F3798" s="2">
        <v>3.41</v>
      </c>
      <c r="G3798" s="6">
        <v>19626.85557502172</v>
      </c>
      <c r="H3798" s="6">
        <f>(G3798+126)+534.278067828446</f>
        <v>20287.133642850167</v>
      </c>
      <c r="I3798" s="6">
        <v>5548.6580567624969</v>
      </c>
      <c r="J3798" s="6">
        <v>5541.8378632912782</v>
      </c>
      <c r="K3798" s="6">
        <v>4280.1240509602367</v>
      </c>
    </row>
    <row r="3799" spans="1:11" x14ac:dyDescent="0.2">
      <c r="A3799" s="1">
        <v>0.63680555555555596</v>
      </c>
      <c r="B3799" s="2">
        <v>6.37</v>
      </c>
      <c r="C3799" s="2">
        <v>3.6599999999999997</v>
      </c>
      <c r="D3799" s="2">
        <v>5.05</v>
      </c>
      <c r="E3799" s="2">
        <v>5.46</v>
      </c>
      <c r="F3799" s="2">
        <v>3.0500000000000003</v>
      </c>
      <c r="G3799" s="6">
        <v>20966.829910838554</v>
      </c>
      <c r="H3799" s="6">
        <v>23753.889073044818</v>
      </c>
      <c r="I3799" s="6">
        <v>13255.455339141754</v>
      </c>
      <c r="J3799" s="6">
        <v>8158.3028937870467</v>
      </c>
      <c r="K3799" s="6">
        <v>6923.0590970632247</v>
      </c>
    </row>
    <row r="3800" spans="1:11" x14ac:dyDescent="0.2">
      <c r="A3800" s="1">
        <v>0.63749999999999996</v>
      </c>
      <c r="B3800" s="2">
        <v>6.16</v>
      </c>
      <c r="C3800" s="2">
        <v>3.92</v>
      </c>
      <c r="D3800" s="2">
        <v>4.97</v>
      </c>
      <c r="E3800" s="2">
        <v>5.14</v>
      </c>
      <c r="F3800" s="2">
        <v>3.18</v>
      </c>
      <c r="G3800" s="6">
        <v>16709.819910763428</v>
      </c>
      <c r="H3800" s="6">
        <f>(G3800+126)+457.467981676908</f>
        <v>17293.287892440338</v>
      </c>
      <c r="I3800" s="6">
        <v>7651.9243777504835</v>
      </c>
      <c r="J3800" s="6">
        <v>7074.6051809081409</v>
      </c>
      <c r="K3800" s="6">
        <v>5858.8590461353715</v>
      </c>
    </row>
    <row r="3801" spans="1:11" x14ac:dyDescent="0.2">
      <c r="A3801" s="1">
        <v>0.63819444444444495</v>
      </c>
      <c r="B3801" s="2">
        <v>6.21</v>
      </c>
      <c r="C3801" s="2">
        <v>3.83</v>
      </c>
      <c r="D3801" s="2">
        <v>5.05</v>
      </c>
      <c r="E3801" s="2">
        <v>5.71</v>
      </c>
      <c r="F3801" s="2">
        <v>3.2600000000000002</v>
      </c>
      <c r="G3801" s="6">
        <v>14763.593631722311</v>
      </c>
      <c r="H3801" s="6">
        <v>16499.257598174361</v>
      </c>
      <c r="I3801" s="6">
        <v>8082.9553022699838</v>
      </c>
      <c r="J3801" s="6">
        <v>6615.3171393049179</v>
      </c>
      <c r="K3801" s="6">
        <v>6907.8097692274996</v>
      </c>
    </row>
    <row r="3802" spans="1:11" x14ac:dyDescent="0.2">
      <c r="A3802" s="1">
        <v>0.63888888888888895</v>
      </c>
      <c r="B3802" s="2">
        <v>6.12</v>
      </c>
      <c r="C3802" s="2">
        <v>3.83</v>
      </c>
      <c r="D3802" s="2">
        <v>4.9799999999999995</v>
      </c>
      <c r="E3802" s="2">
        <v>5.1499999999999995</v>
      </c>
      <c r="F3802" s="2">
        <v>3.0300000000000002</v>
      </c>
      <c r="G3802" s="6">
        <v>13155.368526696644</v>
      </c>
      <c r="H3802" s="6">
        <f>(G3802+126)+643.790915469651</f>
        <v>13925.159442166296</v>
      </c>
      <c r="I3802" s="6">
        <v>6062.5046863205316</v>
      </c>
      <c r="J3802" s="6">
        <v>4842.416407390835</v>
      </c>
      <c r="K3802" s="6">
        <v>3452.0417899390259</v>
      </c>
    </row>
    <row r="3803" spans="1:11" x14ac:dyDescent="0.2">
      <c r="A3803" s="1">
        <v>0.63958333333333295</v>
      </c>
      <c r="B3803" s="2">
        <v>6.15</v>
      </c>
      <c r="C3803" s="2">
        <v>3.92</v>
      </c>
      <c r="D3803" s="2">
        <v>5.0299999999999994</v>
      </c>
      <c r="E3803" s="2">
        <v>5.49</v>
      </c>
      <c r="F3803" s="2">
        <v>3.1100000000000003</v>
      </c>
      <c r="G3803" s="6">
        <v>16928.944776121352</v>
      </c>
      <c r="H3803" s="6">
        <f>(G3803+126)+177.762409499306</f>
        <v>17232.707185620657</v>
      </c>
      <c r="I3803" s="6">
        <v>8418.0012593473657</v>
      </c>
      <c r="J3803" s="6">
        <v>6319.3926012066659</v>
      </c>
      <c r="K3803" s="6">
        <v>4707.7914414989909</v>
      </c>
    </row>
    <row r="3804" spans="1:11" x14ac:dyDescent="0.2">
      <c r="A3804" s="1">
        <v>0.64027777777777795</v>
      </c>
      <c r="B3804" s="2">
        <v>6.28</v>
      </c>
      <c r="C3804" s="2">
        <v>3.78</v>
      </c>
      <c r="D3804" s="2">
        <v>5.3</v>
      </c>
      <c r="E3804" s="2">
        <v>5.43</v>
      </c>
      <c r="F3804" s="2">
        <v>3.25</v>
      </c>
      <c r="G3804" s="6">
        <v>19745.108763821445</v>
      </c>
      <c r="H3804" s="6">
        <v>20752.959546671664</v>
      </c>
      <c r="I3804" s="6">
        <v>9573.0086285638081</v>
      </c>
      <c r="J3804" s="6">
        <v>8157.4853861912716</v>
      </c>
      <c r="K3804" s="6">
        <v>6849.1552592329772</v>
      </c>
    </row>
    <row r="3805" spans="1:11" x14ac:dyDescent="0.2">
      <c r="A3805" s="1">
        <v>0.64097222222222205</v>
      </c>
      <c r="B3805" s="2">
        <v>6.2</v>
      </c>
      <c r="C3805" s="2">
        <v>3.65</v>
      </c>
      <c r="D3805" s="2">
        <v>5.3</v>
      </c>
      <c r="E3805" s="2">
        <v>5.21</v>
      </c>
      <c r="F3805" s="2">
        <v>2.94</v>
      </c>
      <c r="G3805" s="6">
        <v>21836.847392751057</v>
      </c>
      <c r="H3805" s="6">
        <f>(G3805+126)+756.835972408123</f>
        <v>22719.683365159181</v>
      </c>
      <c r="I3805" s="6">
        <v>9917.1303535735206</v>
      </c>
      <c r="J3805" s="6">
        <v>9080.97769464062</v>
      </c>
      <c r="K3805" s="6">
        <v>8373.6940127601629</v>
      </c>
    </row>
    <row r="3806" spans="1:11" x14ac:dyDescent="0.2">
      <c r="A3806" s="1">
        <v>0.64166666666666705</v>
      </c>
      <c r="B3806" s="2">
        <v>6.19</v>
      </c>
      <c r="C3806" s="2">
        <v>3.6399999999999997</v>
      </c>
      <c r="D3806" s="2">
        <v>5.1499999999999995</v>
      </c>
      <c r="E3806" s="2">
        <v>5.68</v>
      </c>
      <c r="F3806" s="2">
        <v>3.3400000000000003</v>
      </c>
      <c r="G3806" s="6">
        <v>18829.295600415226</v>
      </c>
      <c r="H3806" s="6">
        <v>20846.242493438313</v>
      </c>
      <c r="I3806" s="6">
        <v>13084.415560635705</v>
      </c>
      <c r="J3806" s="6">
        <v>10307.212195849561</v>
      </c>
      <c r="K3806" s="6">
        <v>8402.9919075803609</v>
      </c>
    </row>
    <row r="3807" spans="1:11" x14ac:dyDescent="0.2">
      <c r="A3807" s="1">
        <v>0.64236111111111105</v>
      </c>
      <c r="B3807" s="2">
        <v>6.19</v>
      </c>
      <c r="C3807" s="2">
        <v>3.87</v>
      </c>
      <c r="D3807" s="2">
        <v>4.8999999999999995</v>
      </c>
      <c r="E3807" s="2">
        <v>5.67</v>
      </c>
      <c r="F3807" s="2">
        <v>3.19</v>
      </c>
      <c r="G3807" s="6">
        <v>19434.129059252027</v>
      </c>
      <c r="H3807" s="6">
        <f>(G3807+126)+729.666996483402</f>
        <v>20289.796055735431</v>
      </c>
      <c r="I3807" s="6">
        <v>10651.080413392006</v>
      </c>
      <c r="J3807" s="6">
        <v>9427.527419105043</v>
      </c>
      <c r="K3807" s="6">
        <v>8063.1900399635442</v>
      </c>
    </row>
    <row r="3808" spans="1:11" x14ac:dyDescent="0.2">
      <c r="A3808" s="1">
        <v>0.64305555555555605</v>
      </c>
      <c r="B3808" s="2">
        <v>6.33</v>
      </c>
      <c r="C3808" s="2">
        <v>3.65</v>
      </c>
      <c r="D3808" s="2">
        <v>5.21</v>
      </c>
      <c r="E3808" s="2">
        <v>5.78</v>
      </c>
      <c r="F3808" s="2">
        <v>3.24</v>
      </c>
      <c r="G3808" s="6">
        <v>20586.882818792688</v>
      </c>
      <c r="H3808" s="6">
        <f>(G3808+126)+706.616827602999</f>
        <v>21419.499646395689</v>
      </c>
      <c r="I3808" s="6">
        <v>11973.028888306259</v>
      </c>
      <c r="J3808" s="6">
        <v>9781.5382619479078</v>
      </c>
      <c r="K3808" s="6">
        <v>7909.1518216519471</v>
      </c>
    </row>
    <row r="3809" spans="1:11" x14ac:dyDescent="0.2">
      <c r="A3809" s="1">
        <v>0.64375000000000004</v>
      </c>
      <c r="B3809" s="2">
        <v>6.12</v>
      </c>
      <c r="C3809" s="2">
        <v>3.73</v>
      </c>
      <c r="D3809" s="2">
        <v>5.13</v>
      </c>
      <c r="E3809" s="2">
        <v>5.65</v>
      </c>
      <c r="F3809" s="2">
        <v>2.91</v>
      </c>
      <c r="G3809" s="6">
        <v>14936.248046727876</v>
      </c>
      <c r="H3809" s="6">
        <v>16287.329669992905</v>
      </c>
      <c r="I3809" s="6">
        <v>8426.9021845586576</v>
      </c>
      <c r="J3809" s="6">
        <v>8041.8177723664103</v>
      </c>
      <c r="K3809" s="6">
        <v>7078.5481539114644</v>
      </c>
    </row>
    <row r="3810" spans="1:11" x14ac:dyDescent="0.2">
      <c r="A3810" s="1">
        <v>0.64444444444444404</v>
      </c>
      <c r="B3810" s="2">
        <v>6.38</v>
      </c>
      <c r="C3810" s="2">
        <v>3.78</v>
      </c>
      <c r="D3810" s="2">
        <v>5.05</v>
      </c>
      <c r="E3810" s="2">
        <v>5.43</v>
      </c>
      <c r="F3810" s="2">
        <v>3.2600000000000002</v>
      </c>
      <c r="G3810" s="6">
        <v>14539.631196161879</v>
      </c>
      <c r="H3810" s="6">
        <f>(G3810+126)+726.525446756996</f>
        <v>15392.156642918875</v>
      </c>
      <c r="I3810" s="6">
        <v>6122.5405442447072</v>
      </c>
      <c r="J3810" s="6">
        <v>7541.1344073208666</v>
      </c>
      <c r="K3810" s="6">
        <v>4657.2950619613894</v>
      </c>
    </row>
    <row r="3811" spans="1:11" x14ac:dyDescent="0.2">
      <c r="A3811" s="1">
        <v>0.64513888888888904</v>
      </c>
      <c r="B3811" s="2">
        <v>6.13</v>
      </c>
      <c r="C3811" s="2">
        <v>3.6599999999999997</v>
      </c>
      <c r="D3811" s="2">
        <v>5.09</v>
      </c>
      <c r="E3811" s="2">
        <v>5.36</v>
      </c>
      <c r="F3811" s="2">
        <v>3.0300000000000002</v>
      </c>
      <c r="G3811" s="6">
        <v>17316.348080190368</v>
      </c>
      <c r="H3811" s="6">
        <v>20447.243178310717</v>
      </c>
      <c r="I3811" s="6">
        <v>8333.9613423404753</v>
      </c>
      <c r="J3811" s="6">
        <v>8498.0008182072761</v>
      </c>
      <c r="K3811" s="6">
        <v>6946.200746944729</v>
      </c>
    </row>
    <row r="3812" spans="1:11" x14ac:dyDescent="0.2">
      <c r="A3812" s="1">
        <v>0.64583333333333304</v>
      </c>
      <c r="B3812" s="2">
        <v>6.38</v>
      </c>
      <c r="C3812" s="2">
        <v>3.67</v>
      </c>
      <c r="D3812" s="2">
        <v>5.04</v>
      </c>
      <c r="E3812" s="2">
        <v>5.33</v>
      </c>
      <c r="F3812" s="2">
        <v>2.94</v>
      </c>
      <c r="G3812" s="6">
        <v>15019.307315975835</v>
      </c>
      <c r="H3812" s="6">
        <f>(G3812+126)+844.533439865728</f>
        <v>15989.840755841564</v>
      </c>
      <c r="I3812" s="6">
        <v>6403.9961657566209</v>
      </c>
      <c r="J3812" s="6">
        <v>7366.8061466559275</v>
      </c>
      <c r="K3812" s="6">
        <v>6207.3958056862466</v>
      </c>
    </row>
    <row r="3813" spans="1:11" x14ac:dyDescent="0.2">
      <c r="A3813" s="1">
        <v>0.64652777777777803</v>
      </c>
      <c r="B3813" s="2">
        <v>6.15</v>
      </c>
      <c r="C3813" s="2">
        <v>3.88</v>
      </c>
      <c r="D3813" s="2">
        <v>5.09</v>
      </c>
      <c r="E3813" s="2">
        <v>5.28</v>
      </c>
      <c r="F3813" s="2">
        <v>3.13</v>
      </c>
      <c r="G3813" s="6">
        <v>20960.195584619112</v>
      </c>
      <c r="H3813" s="6">
        <f>(G3813+126)+279.824127034931</f>
        <v>21366.019711654044</v>
      </c>
      <c r="I3813" s="6">
        <v>9312.7806442728179</v>
      </c>
      <c r="J3813" s="6">
        <v>8542.8647323136593</v>
      </c>
      <c r="K3813" s="6">
        <v>8324.2637874967077</v>
      </c>
    </row>
    <row r="3814" spans="1:11" x14ac:dyDescent="0.2">
      <c r="A3814" s="1">
        <v>0.64722222222222203</v>
      </c>
      <c r="B3814" s="2">
        <v>6.26</v>
      </c>
      <c r="C3814" s="2">
        <v>3.73</v>
      </c>
      <c r="D3814" s="2">
        <v>4.97</v>
      </c>
      <c r="E3814" s="2">
        <v>5.18</v>
      </c>
      <c r="F3814" s="2">
        <v>3.19</v>
      </c>
      <c r="G3814" s="6">
        <v>25955.609988593496</v>
      </c>
      <c r="H3814" s="6">
        <v>25504.81573440741</v>
      </c>
      <c r="I3814" s="6">
        <v>14215.843753185813</v>
      </c>
      <c r="J3814" s="6">
        <v>10316.526413239362</v>
      </c>
      <c r="K3814" s="6">
        <v>11818.77770457636</v>
      </c>
    </row>
    <row r="3815" spans="1:11" x14ac:dyDescent="0.2">
      <c r="A3815" s="1">
        <v>0.64791666666666703</v>
      </c>
      <c r="B3815" s="2">
        <v>6.3</v>
      </c>
      <c r="C3815" s="2">
        <v>3.6999999999999997</v>
      </c>
      <c r="D3815" s="2">
        <v>5.0699999999999994</v>
      </c>
      <c r="E3815" s="2">
        <v>5.64</v>
      </c>
      <c r="F3815" s="2">
        <v>3.16</v>
      </c>
      <c r="G3815" s="6">
        <v>22658.909313296532</v>
      </c>
      <c r="H3815" s="6">
        <f>(G3815+126)+107.280361041266</f>
        <v>22892.189674337798</v>
      </c>
      <c r="I3815" s="6">
        <v>9222.7039523957046</v>
      </c>
      <c r="J3815" s="6">
        <v>5622.5969976499809</v>
      </c>
      <c r="K3815" s="6">
        <v>5284.149320347552</v>
      </c>
    </row>
    <row r="3816" spans="1:11" x14ac:dyDescent="0.2">
      <c r="A3816" s="1">
        <v>0.64861111111111103</v>
      </c>
      <c r="B3816" s="2">
        <v>6.23</v>
      </c>
      <c r="C3816" s="2">
        <v>3.67</v>
      </c>
      <c r="D3816" s="2">
        <v>5.0299999999999994</v>
      </c>
      <c r="E3816" s="2">
        <v>5.4</v>
      </c>
      <c r="F3816" s="2">
        <v>2.89</v>
      </c>
      <c r="G3816" s="6">
        <v>20155.764915265168</v>
      </c>
      <c r="H3816" s="6">
        <v>21412.036057640675</v>
      </c>
      <c r="I3816" s="6">
        <v>8142.7615808457913</v>
      </c>
      <c r="J3816" s="6">
        <v>8902.8522901934321</v>
      </c>
      <c r="K3816" s="6">
        <v>7966.5135772960639</v>
      </c>
    </row>
    <row r="3817" spans="1:11" x14ac:dyDescent="0.2">
      <c r="A3817" s="1">
        <v>0.64930555555555602</v>
      </c>
      <c r="B3817" s="2">
        <v>6.12</v>
      </c>
      <c r="C3817" s="2">
        <v>3.61</v>
      </c>
      <c r="D3817" s="2">
        <v>4.97</v>
      </c>
      <c r="E3817" s="2">
        <v>5.18</v>
      </c>
      <c r="F3817" s="2">
        <v>2.94</v>
      </c>
      <c r="G3817" s="6">
        <v>17722.269492739237</v>
      </c>
      <c r="H3817" s="6">
        <f>(G3817+126)+285.424886721743</f>
        <v>18133.69437946098</v>
      </c>
      <c r="I3817" s="6">
        <v>5814.9207246180213</v>
      </c>
      <c r="J3817" s="6">
        <v>8634.6192562585657</v>
      </c>
      <c r="K3817" s="6">
        <v>7144.0800476860431</v>
      </c>
    </row>
    <row r="3818" spans="1:11" x14ac:dyDescent="0.2">
      <c r="A3818" s="1">
        <v>0.65</v>
      </c>
      <c r="B3818" s="2">
        <v>6.3100000000000005</v>
      </c>
      <c r="C3818" s="2">
        <v>3.84</v>
      </c>
      <c r="D3818" s="2">
        <v>4.9099999999999993</v>
      </c>
      <c r="E3818" s="2">
        <v>5.28</v>
      </c>
      <c r="F3818" s="2">
        <v>3.3000000000000003</v>
      </c>
      <c r="G3818" s="6">
        <v>20333.546720234586</v>
      </c>
      <c r="H3818" s="6">
        <v>30324.962052591003</v>
      </c>
      <c r="I3818" s="6">
        <v>15409.982355234484</v>
      </c>
      <c r="J3818" s="6">
        <v>11144.468722020812</v>
      </c>
      <c r="K3818" s="6">
        <v>11977.745902049121</v>
      </c>
    </row>
    <row r="3819" spans="1:11" x14ac:dyDescent="0.2">
      <c r="A3819" s="1">
        <v>0.65069444444444402</v>
      </c>
      <c r="B3819" s="2">
        <v>6.15</v>
      </c>
      <c r="C3819" s="2">
        <v>3.67</v>
      </c>
      <c r="D3819" s="2">
        <v>5.0699999999999994</v>
      </c>
      <c r="E3819" s="2">
        <v>5.51</v>
      </c>
      <c r="F3819" s="2">
        <v>3.2800000000000002</v>
      </c>
      <c r="G3819" s="6">
        <v>18562.166313898488</v>
      </c>
      <c r="H3819" s="6">
        <f>(G3819+126)+704.40880294648</f>
        <v>19392.575116844968</v>
      </c>
      <c r="I3819" s="6">
        <v>6690.0335339732628</v>
      </c>
      <c r="J3819" s="6">
        <v>7258.5453854206589</v>
      </c>
      <c r="K3819" s="6">
        <v>6386.7739892976133</v>
      </c>
    </row>
    <row r="3820" spans="1:11" x14ac:dyDescent="0.2">
      <c r="A3820" s="1">
        <v>0.65138888888888902</v>
      </c>
      <c r="B3820" s="2">
        <v>6.23</v>
      </c>
      <c r="C3820" s="2">
        <v>3.65</v>
      </c>
      <c r="D3820" s="2">
        <v>5.16</v>
      </c>
      <c r="E3820" s="2">
        <v>5.52</v>
      </c>
      <c r="F3820" s="2">
        <v>2.95</v>
      </c>
      <c r="G3820" s="6">
        <v>15588.073573512309</v>
      </c>
      <c r="H3820" s="6">
        <f>(G3820+126)+190.27666414143</f>
        <v>15904.35023765374</v>
      </c>
      <c r="I3820" s="6">
        <v>5498.1946128339478</v>
      </c>
      <c r="J3820" s="6">
        <v>6704.1248221190863</v>
      </c>
      <c r="K3820" s="6">
        <v>6287.1294087825863</v>
      </c>
    </row>
    <row r="3821" spans="1:11" x14ac:dyDescent="0.2">
      <c r="A3821" s="1">
        <v>0.65208333333333302</v>
      </c>
      <c r="B3821" s="2">
        <v>6.21</v>
      </c>
      <c r="C3821" s="2">
        <v>3.83</v>
      </c>
      <c r="D3821" s="2">
        <v>5.3699999999999992</v>
      </c>
      <c r="E3821" s="2">
        <v>5.18</v>
      </c>
      <c r="F3821" s="2">
        <v>3.2</v>
      </c>
      <c r="G3821" s="6">
        <v>12523.107303267241</v>
      </c>
      <c r="H3821" s="6">
        <v>12654.386642153811</v>
      </c>
      <c r="I3821" s="6">
        <v>5610.0360363695736</v>
      </c>
      <c r="J3821" s="6">
        <v>6935.2591744550591</v>
      </c>
      <c r="K3821" s="6">
        <v>6418.2951261085273</v>
      </c>
    </row>
    <row r="3822" spans="1:11" x14ac:dyDescent="0.2">
      <c r="A3822" s="1">
        <v>0.65277777777777801</v>
      </c>
      <c r="B3822" s="2">
        <v>6.32</v>
      </c>
      <c r="C3822" s="2">
        <v>3.79</v>
      </c>
      <c r="D3822" s="2">
        <v>5.04</v>
      </c>
      <c r="E3822" s="2">
        <v>5.7299999999999995</v>
      </c>
      <c r="F3822" s="2">
        <v>2.92</v>
      </c>
      <c r="G3822" s="6">
        <v>10741.234409408344</v>
      </c>
      <c r="H3822" s="6">
        <f>(G3822+126)+464.983848733645</f>
        <v>11332.218258141989</v>
      </c>
      <c r="I3822" s="6">
        <v>4002.0567416902959</v>
      </c>
      <c r="J3822" s="6">
        <v>4844.8388007371905</v>
      </c>
      <c r="K3822" s="6">
        <v>4296.9310702534167</v>
      </c>
    </row>
    <row r="3823" spans="1:11" x14ac:dyDescent="0.2">
      <c r="A3823" s="1">
        <v>0.65347222222222201</v>
      </c>
      <c r="B3823" s="2">
        <v>6.38</v>
      </c>
      <c r="C3823" s="2">
        <v>3.6399999999999997</v>
      </c>
      <c r="D3823" s="2">
        <v>4.9099999999999993</v>
      </c>
      <c r="E3823" s="2">
        <v>5.63</v>
      </c>
      <c r="F3823" s="2">
        <v>3.4000000000000004</v>
      </c>
      <c r="G3823" s="6">
        <v>13095.173096942901</v>
      </c>
      <c r="H3823" s="6">
        <v>13774.313590730319</v>
      </c>
      <c r="I3823" s="6">
        <v>7073.8430331024365</v>
      </c>
      <c r="J3823" s="6">
        <v>5516.5888622103575</v>
      </c>
      <c r="K3823" s="6">
        <v>4331.0601071289457</v>
      </c>
    </row>
    <row r="3824" spans="1:11" x14ac:dyDescent="0.2">
      <c r="A3824" s="1">
        <v>0.65416666666666701</v>
      </c>
      <c r="B3824" s="2">
        <v>6.14</v>
      </c>
      <c r="C3824" s="2">
        <v>3.71</v>
      </c>
      <c r="D3824" s="2">
        <v>5.09</v>
      </c>
      <c r="E3824" s="2">
        <v>5.55</v>
      </c>
      <c r="F3824" s="2">
        <v>3.1500000000000004</v>
      </c>
      <c r="G3824" s="6">
        <v>17372.741291709575</v>
      </c>
      <c r="H3824" s="6">
        <f>(G3824+126)+99.5051941096252</f>
        <v>17598.2464858192</v>
      </c>
      <c r="I3824" s="6">
        <v>8311.1300786210013</v>
      </c>
      <c r="J3824" s="6">
        <v>6059.1542446375188</v>
      </c>
      <c r="K3824" s="6">
        <v>5480.6568021345256</v>
      </c>
    </row>
    <row r="3825" spans="1:11" x14ac:dyDescent="0.2">
      <c r="A3825" s="1">
        <v>0.65486111111111101</v>
      </c>
      <c r="B3825" s="2">
        <v>6.32</v>
      </c>
      <c r="C3825" s="2">
        <v>3.82</v>
      </c>
      <c r="D3825" s="2">
        <v>5.31</v>
      </c>
      <c r="E3825" s="2">
        <v>5.37</v>
      </c>
      <c r="F3825" s="2">
        <v>3.21</v>
      </c>
      <c r="G3825" s="6">
        <v>20508.820432417906</v>
      </c>
      <c r="H3825" s="6">
        <v>21218.90232939924</v>
      </c>
      <c r="I3825" s="6">
        <v>10317.216701339263</v>
      </c>
      <c r="J3825" s="6">
        <v>8472.7226212294245</v>
      </c>
      <c r="K3825" s="6">
        <v>8385.2954132212908</v>
      </c>
    </row>
    <row r="3826" spans="1:11" x14ac:dyDescent="0.2">
      <c r="A3826" s="1">
        <v>0.655555555555556</v>
      </c>
      <c r="B3826" s="2">
        <v>6.25</v>
      </c>
      <c r="C3826" s="2">
        <v>3.7199999999999998</v>
      </c>
      <c r="D3826" s="2">
        <v>5.14</v>
      </c>
      <c r="E3826" s="2">
        <v>5.14</v>
      </c>
      <c r="F3826" s="2">
        <v>3.35</v>
      </c>
      <c r="G3826" s="6">
        <v>16085.615858326719</v>
      </c>
      <c r="H3826" s="6">
        <f>(G3826+126)+732.449677610899</f>
        <v>16944.065535937618</v>
      </c>
      <c r="I3826" s="6">
        <v>8285.8192785089996</v>
      </c>
      <c r="J3826" s="6">
        <v>7191.6958594153493</v>
      </c>
      <c r="K3826" s="6">
        <v>6026.3506190822873</v>
      </c>
    </row>
    <row r="3827" spans="1:11" x14ac:dyDescent="0.2">
      <c r="A3827" s="1">
        <v>0.65625</v>
      </c>
      <c r="B3827" s="2">
        <v>6.15</v>
      </c>
      <c r="C3827" s="2">
        <v>3.6399999999999997</v>
      </c>
      <c r="D3827" s="2">
        <v>5.01</v>
      </c>
      <c r="E3827" s="2">
        <v>5.56</v>
      </c>
      <c r="F3827" s="2">
        <v>2.97</v>
      </c>
      <c r="G3827" s="6">
        <v>19926.521166026327</v>
      </c>
      <c r="H3827" s="6">
        <v>19622.818287253456</v>
      </c>
      <c r="I3827" s="6">
        <v>8656.7806648225105</v>
      </c>
      <c r="J3827" s="6">
        <v>7809.0677912320207</v>
      </c>
      <c r="K3827" s="6">
        <v>7726.048381739246</v>
      </c>
    </row>
    <row r="3828" spans="1:11" x14ac:dyDescent="0.2">
      <c r="A3828" s="1">
        <v>0.656944444444444</v>
      </c>
      <c r="B3828" s="2">
        <v>6.13</v>
      </c>
      <c r="C3828" s="2">
        <v>3.8</v>
      </c>
      <c r="D3828" s="2">
        <v>5.2399999999999993</v>
      </c>
      <c r="E3828" s="2">
        <v>5.4</v>
      </c>
      <c r="F3828" s="2">
        <v>3.0300000000000002</v>
      </c>
      <c r="G3828" s="6">
        <v>22311.655128810726</v>
      </c>
      <c r="H3828" s="6">
        <f>(G3828+126)+303.619750269826</f>
        <v>22741.274879080553</v>
      </c>
      <c r="I3828" s="6">
        <v>12425.294271275101</v>
      </c>
      <c r="J3828" s="6">
        <v>9964.5662002304289</v>
      </c>
      <c r="K3828" s="6">
        <v>500.0246802780141</v>
      </c>
    </row>
    <row r="3829" spans="1:11" x14ac:dyDescent="0.2">
      <c r="A3829" s="1">
        <v>0.65763888888888899</v>
      </c>
      <c r="B3829" s="2">
        <v>6.15</v>
      </c>
      <c r="C3829" s="2">
        <v>3.6799999999999997</v>
      </c>
      <c r="D3829" s="2">
        <v>5.08</v>
      </c>
      <c r="E3829" s="2">
        <v>5.7299999999999995</v>
      </c>
      <c r="F3829" s="2">
        <v>3.1500000000000004</v>
      </c>
      <c r="G3829" s="6">
        <v>16528.709759915473</v>
      </c>
      <c r="H3829" s="6">
        <v>16467.420283584852</v>
      </c>
      <c r="I3829" s="6">
        <v>8063.8816678051771</v>
      </c>
      <c r="J3829" s="6">
        <v>7691.8455117380827</v>
      </c>
      <c r="K3829" s="6">
        <v>8194.9029121424464</v>
      </c>
    </row>
    <row r="3830" spans="1:11" x14ac:dyDescent="0.2">
      <c r="A3830" s="1">
        <v>0.65833333333333299</v>
      </c>
      <c r="B3830" s="2">
        <v>6.33</v>
      </c>
      <c r="C3830" s="2">
        <v>3.78</v>
      </c>
      <c r="D3830" s="2">
        <v>5.26</v>
      </c>
      <c r="E3830" s="2">
        <v>5.16</v>
      </c>
      <c r="F3830" s="2">
        <v>3.3200000000000003</v>
      </c>
      <c r="G3830" s="6">
        <v>10675.367563259641</v>
      </c>
      <c r="H3830" s="6">
        <f>(G3830+126)+625.601582835725</f>
        <v>11426.969146095365</v>
      </c>
      <c r="I3830" s="6">
        <v>5759.7675349788515</v>
      </c>
      <c r="J3830" s="6">
        <v>5387.4832368014622</v>
      </c>
      <c r="K3830" s="6">
        <v>4619.1938439236819</v>
      </c>
    </row>
    <row r="3831" spans="1:11" x14ac:dyDescent="0.2">
      <c r="A3831" s="1">
        <v>0.65902777777777799</v>
      </c>
      <c r="B3831" s="2">
        <v>6.14</v>
      </c>
      <c r="C3831" s="2">
        <v>3.92</v>
      </c>
      <c r="D3831" s="2">
        <v>4.97</v>
      </c>
      <c r="E3831" s="2">
        <v>5.76</v>
      </c>
      <c r="F3831" s="2">
        <v>3.35</v>
      </c>
      <c r="G3831" s="6">
        <v>12362.826652485213</v>
      </c>
      <c r="H3831" s="6">
        <f>(G3831+126)+514.189238266512</f>
        <v>13003.015890751725</v>
      </c>
      <c r="I3831" s="6">
        <v>6857.0773249607164</v>
      </c>
      <c r="J3831" s="6">
        <v>6121.5476603376446</v>
      </c>
      <c r="K3831" s="6">
        <v>4817.7149623401483</v>
      </c>
    </row>
    <row r="3832" spans="1:11" x14ac:dyDescent="0.2">
      <c r="A3832" s="1">
        <v>0.65972222222222199</v>
      </c>
      <c r="B3832" s="2">
        <v>6.28</v>
      </c>
      <c r="C3832" s="2">
        <v>3.8</v>
      </c>
      <c r="D3832" s="2">
        <v>4.9799999999999995</v>
      </c>
      <c r="E3832" s="2">
        <v>5.55</v>
      </c>
      <c r="F3832" s="2">
        <v>3.33</v>
      </c>
      <c r="G3832" s="6">
        <v>18294.062725262465</v>
      </c>
      <c r="H3832" s="6">
        <v>20196.712150344127</v>
      </c>
      <c r="I3832" s="6">
        <v>9464.4138408370163</v>
      </c>
      <c r="J3832" s="6">
        <v>8259.2583031558734</v>
      </c>
      <c r="K3832" s="6">
        <v>8778.9457886179953</v>
      </c>
    </row>
    <row r="3833" spans="1:11" x14ac:dyDescent="0.2">
      <c r="A3833" s="1">
        <v>0.66041666666666698</v>
      </c>
      <c r="B3833" s="2">
        <v>6.23</v>
      </c>
      <c r="C3833" s="2">
        <v>3.7399999999999998</v>
      </c>
      <c r="D3833" s="2">
        <v>5.1099999999999994</v>
      </c>
      <c r="E3833" s="2">
        <v>5.2299999999999995</v>
      </c>
      <c r="F3833" s="2">
        <v>3.39</v>
      </c>
      <c r="G3833" s="6">
        <v>13823.825682048513</v>
      </c>
      <c r="H3833" s="6">
        <f>(G3833+126)+640.758136231185</f>
        <v>14590.583818279698</v>
      </c>
      <c r="I3833" s="6">
        <v>6841.1396344689447</v>
      </c>
      <c r="J3833" s="6">
        <v>7232.8436757433965</v>
      </c>
      <c r="K3833" s="6">
        <v>6190.9780798765159</v>
      </c>
    </row>
    <row r="3834" spans="1:11" x14ac:dyDescent="0.2">
      <c r="A3834" s="1">
        <v>0.66111111111111098</v>
      </c>
      <c r="B3834" s="2">
        <v>6.23</v>
      </c>
      <c r="C3834" s="2">
        <v>3.84</v>
      </c>
      <c r="D3834" s="2">
        <v>5.01</v>
      </c>
      <c r="E3834" s="2">
        <v>5.7</v>
      </c>
      <c r="F3834" s="2">
        <v>3.0300000000000002</v>
      </c>
      <c r="G3834" s="6">
        <v>10088.735581581708</v>
      </c>
      <c r="H3834" s="6">
        <f>(G3834+126)+267.167925247502</f>
        <v>10481.903506829211</v>
      </c>
      <c r="I3834" s="6">
        <v>5924.5204386344203</v>
      </c>
      <c r="J3834" s="6">
        <v>5210.9920122616604</v>
      </c>
      <c r="K3834" s="6">
        <v>4807.4982315376383</v>
      </c>
    </row>
    <row r="3835" spans="1:11" x14ac:dyDescent="0.2">
      <c r="A3835" s="1">
        <v>0.66180555555555598</v>
      </c>
      <c r="B3835" s="2">
        <v>6.16</v>
      </c>
      <c r="C3835" s="2">
        <v>3.77</v>
      </c>
      <c r="D3835" s="2">
        <v>5.31</v>
      </c>
      <c r="E3835" s="2">
        <v>5.18</v>
      </c>
      <c r="F3835" s="2">
        <v>2.98</v>
      </c>
      <c r="G3835" s="6">
        <v>12359.744017435669</v>
      </c>
      <c r="H3835" s="6">
        <v>12632.398631989614</v>
      </c>
      <c r="I3835" s="6">
        <v>7308.3200313669713</v>
      </c>
      <c r="J3835" s="6">
        <v>7602.1900850563861</v>
      </c>
      <c r="K3835" s="6">
        <v>6489.00250500333</v>
      </c>
    </row>
    <row r="3836" spans="1:11" x14ac:dyDescent="0.2">
      <c r="A3836" s="1">
        <v>0.66249999999999998</v>
      </c>
      <c r="B3836" s="2">
        <v>6.12</v>
      </c>
      <c r="C3836" s="2">
        <v>3.69</v>
      </c>
      <c r="D3836" s="2">
        <v>4.9399999999999995</v>
      </c>
      <c r="E3836" s="2">
        <v>5.67</v>
      </c>
      <c r="F3836" s="2">
        <v>2.92</v>
      </c>
      <c r="G3836" s="6">
        <v>16136.2067352465</v>
      </c>
      <c r="H3836" s="6">
        <f>(G3836+126)+344.075881046301</f>
        <v>16606.282616292803</v>
      </c>
      <c r="I3836" s="6">
        <v>7857.0472793402168</v>
      </c>
      <c r="J3836" s="6">
        <v>7874.2425886484079</v>
      </c>
      <c r="K3836" s="6">
        <v>8070.8251851224477</v>
      </c>
    </row>
    <row r="3837" spans="1:11" x14ac:dyDescent="0.2">
      <c r="A3837" s="1">
        <v>0.66319444444444398</v>
      </c>
      <c r="B3837" s="2">
        <v>6.3</v>
      </c>
      <c r="C3837" s="2">
        <v>3.6599999999999997</v>
      </c>
      <c r="D3837" s="2">
        <v>5.05</v>
      </c>
      <c r="E3837" s="2">
        <v>5.18</v>
      </c>
      <c r="F3837" s="2">
        <v>2.94</v>
      </c>
      <c r="G3837" s="6">
        <v>13277.016412785561</v>
      </c>
      <c r="H3837" s="6">
        <v>13591.38951320116</v>
      </c>
      <c r="I3837" s="6">
        <v>8090.2259818350203</v>
      </c>
      <c r="J3837" s="6">
        <v>7579.9183112221726</v>
      </c>
      <c r="K3837" s="6">
        <v>7433.6134806542377</v>
      </c>
    </row>
    <row r="3838" spans="1:11" x14ac:dyDescent="0.2">
      <c r="A3838" s="1">
        <v>0.66388888888888897</v>
      </c>
      <c r="B3838" s="2">
        <v>6.3</v>
      </c>
      <c r="C3838" s="2">
        <v>3.81</v>
      </c>
      <c r="D3838" s="2">
        <v>5.38</v>
      </c>
      <c r="E3838" s="2">
        <v>5.72</v>
      </c>
      <c r="F3838" s="2">
        <v>3.1500000000000004</v>
      </c>
      <c r="G3838" s="6">
        <v>9698.299036431712</v>
      </c>
      <c r="H3838" s="6">
        <f>(G3838+126)+258.93407907601</f>
        <v>10083.233115507721</v>
      </c>
      <c r="I3838" s="6">
        <v>5130.805244010663</v>
      </c>
      <c r="J3838" s="6">
        <v>3292.4081634517202</v>
      </c>
      <c r="K3838" s="6">
        <v>4186.2420345340333</v>
      </c>
    </row>
    <row r="3839" spans="1:11" x14ac:dyDescent="0.2">
      <c r="A3839" s="1">
        <v>0.66458333333333297</v>
      </c>
      <c r="B3839" s="2">
        <v>6.23</v>
      </c>
      <c r="C3839" s="2">
        <v>3.8</v>
      </c>
      <c r="D3839" s="2">
        <v>5.27</v>
      </c>
      <c r="E3839" s="2">
        <v>5.65</v>
      </c>
      <c r="F3839" s="2">
        <v>3.2800000000000002</v>
      </c>
      <c r="G3839" s="6">
        <v>9769.1734348840037</v>
      </c>
      <c r="H3839" s="6">
        <f>(G3839+126)+35.908217397974</f>
        <v>9931.0816522819769</v>
      </c>
      <c r="I3839" s="6">
        <v>4791.3127982569949</v>
      </c>
      <c r="J3839" s="6">
        <v>3646.1813100828513</v>
      </c>
      <c r="K3839" s="6">
        <v>3572.3622831103607</v>
      </c>
    </row>
    <row r="3840" spans="1:11" x14ac:dyDescent="0.2">
      <c r="A3840" s="1">
        <v>0.66527777777777797</v>
      </c>
      <c r="B3840" s="2">
        <v>6.12</v>
      </c>
      <c r="C3840" s="2">
        <v>3.84</v>
      </c>
      <c r="D3840" s="2">
        <v>4.96</v>
      </c>
      <c r="E3840" s="2">
        <v>5.53</v>
      </c>
      <c r="F3840" s="2">
        <v>3.41</v>
      </c>
      <c r="G3840" s="6">
        <v>12921.778638969652</v>
      </c>
      <c r="H3840" s="6">
        <v>12714.946958425891</v>
      </c>
      <c r="I3840" s="6">
        <v>8409.1621896719043</v>
      </c>
      <c r="J3840" s="6">
        <v>8217.0691660884695</v>
      </c>
      <c r="K3840" s="6">
        <v>8050.2628609647891</v>
      </c>
    </row>
    <row r="3841" spans="1:11" x14ac:dyDescent="0.2">
      <c r="A3841" s="1">
        <v>0.66597222222222197</v>
      </c>
      <c r="B3841" s="2">
        <v>6.2</v>
      </c>
      <c r="C3841" s="2">
        <v>3.87</v>
      </c>
      <c r="D3841" s="2">
        <v>5.39</v>
      </c>
      <c r="E3841" s="2">
        <v>5.34</v>
      </c>
      <c r="F3841" s="2">
        <v>3.2800000000000002</v>
      </c>
      <c r="G3841" s="6">
        <v>10023.706786076327</v>
      </c>
      <c r="H3841" s="6">
        <f>(G3841+126)+418.035524444254</f>
        <v>10567.742310520582</v>
      </c>
      <c r="I3841" s="6">
        <v>5461.42123566791</v>
      </c>
      <c r="J3841" s="6">
        <v>3581.8167005683822</v>
      </c>
      <c r="K3841" s="6">
        <v>4866.958184296599</v>
      </c>
    </row>
    <row r="3842" spans="1:11" x14ac:dyDescent="0.2">
      <c r="A3842" s="3">
        <v>0.66666666666666696</v>
      </c>
      <c r="B3842" s="2">
        <v>6.24</v>
      </c>
      <c r="C3842" s="2">
        <v>3.82</v>
      </c>
      <c r="D3842" s="2">
        <v>5.12</v>
      </c>
      <c r="E3842" s="2">
        <v>5.41</v>
      </c>
      <c r="F3842" s="2">
        <v>3.24</v>
      </c>
      <c r="G3842" s="6">
        <v>5653</v>
      </c>
      <c r="H3842" s="6">
        <v>6534</v>
      </c>
      <c r="I3842" s="6">
        <v>3436</v>
      </c>
      <c r="J3842" s="6">
        <v>3096</v>
      </c>
      <c r="K3842" s="6">
        <v>3796</v>
      </c>
    </row>
    <row r="3843" spans="1:11" x14ac:dyDescent="0.2">
      <c r="A3843" s="1">
        <v>0.66736111111111096</v>
      </c>
      <c r="B3843" s="2">
        <v>6.2700000000000005</v>
      </c>
      <c r="C3843" s="2">
        <v>3.84</v>
      </c>
      <c r="D3843" s="2">
        <v>5.17</v>
      </c>
      <c r="E3843" s="2">
        <v>5.1899999999999995</v>
      </c>
      <c r="F3843" s="2">
        <v>3.02</v>
      </c>
      <c r="G3843" s="6">
        <v>6025.202935690636</v>
      </c>
      <c r="H3843" s="6">
        <f>(G3843+986)-490.340428963284</f>
        <v>6520.8625067273524</v>
      </c>
      <c r="I3843" s="6">
        <v>4405.6652281641536</v>
      </c>
      <c r="J3843" s="6">
        <v>4212.303777044116</v>
      </c>
      <c r="K3843" s="6">
        <v>4555.6029927245463</v>
      </c>
    </row>
    <row r="3844" spans="1:11" x14ac:dyDescent="0.2">
      <c r="A3844" s="1">
        <v>0.66805555555555596</v>
      </c>
      <c r="B3844" s="2">
        <v>6.19</v>
      </c>
      <c r="C3844" s="2">
        <v>3.77</v>
      </c>
      <c r="D3844" s="2">
        <v>5.12</v>
      </c>
      <c r="E3844" s="2">
        <v>5.51</v>
      </c>
      <c r="F3844" s="2">
        <v>3.13</v>
      </c>
      <c r="G3844" s="6">
        <v>4911.6022808787056</v>
      </c>
      <c r="H3844" s="6">
        <v>5535.7537958462044</v>
      </c>
      <c r="I3844" s="6">
        <v>4275.5126248910892</v>
      </c>
      <c r="J3844" s="6">
        <v>4931.8807937355987</v>
      </c>
      <c r="K3844" s="6">
        <v>5626.762457913449</v>
      </c>
    </row>
    <row r="3845" spans="1:11" x14ac:dyDescent="0.2">
      <c r="A3845" s="1">
        <v>0.66874999999999996</v>
      </c>
      <c r="B3845" s="2">
        <v>6.13</v>
      </c>
      <c r="C3845" s="2">
        <v>3.88</v>
      </c>
      <c r="D3845" s="2">
        <v>5.38</v>
      </c>
      <c r="E3845" s="2">
        <v>5.28</v>
      </c>
      <c r="F3845" s="2">
        <v>2.95</v>
      </c>
      <c r="G3845" s="6">
        <v>6718.7439381551385</v>
      </c>
      <c r="H3845" s="6">
        <f>(G3845+986)-465.085977304748</f>
        <v>7239.6579608503907</v>
      </c>
      <c r="I3845" s="6">
        <v>5424.7858490638955</v>
      </c>
      <c r="J3845" s="6">
        <v>8236.6322778916674</v>
      </c>
      <c r="K3845" s="6">
        <v>9144.2431334616358</v>
      </c>
    </row>
    <row r="3846" spans="1:11" x14ac:dyDescent="0.2">
      <c r="A3846" s="1">
        <v>0.66944444444444495</v>
      </c>
      <c r="B3846" s="2">
        <v>6.36</v>
      </c>
      <c r="C3846" s="2">
        <v>3.6799999999999997</v>
      </c>
      <c r="D3846" s="2">
        <v>5.13</v>
      </c>
      <c r="E3846" s="2">
        <v>5.62</v>
      </c>
      <c r="F3846" s="2">
        <v>3.22</v>
      </c>
      <c r="G3846" s="6">
        <v>9061.5053372054845</v>
      </c>
      <c r="H3846" s="6">
        <v>9759.5833823937955</v>
      </c>
      <c r="I3846" s="6">
        <v>7284.1236166542376</v>
      </c>
      <c r="J3846" s="6">
        <v>7617.2637346886449</v>
      </c>
      <c r="K3846" s="6">
        <v>7449.1795624443939</v>
      </c>
    </row>
    <row r="3847" spans="1:11" x14ac:dyDescent="0.2">
      <c r="A3847" s="1">
        <v>0.67013888888888895</v>
      </c>
      <c r="B3847" s="2">
        <v>6.34</v>
      </c>
      <c r="C3847" s="2">
        <v>3.77</v>
      </c>
      <c r="D3847" s="2">
        <v>5.2799999999999994</v>
      </c>
      <c r="E3847" s="2">
        <v>5.6099999999999994</v>
      </c>
      <c r="F3847" s="2">
        <v>3.0500000000000003</v>
      </c>
      <c r="G3847" s="6">
        <v>5355.0513099861691</v>
      </c>
      <c r="H3847" s="6">
        <f>(G3847+986)-439.170640032043</f>
        <v>5901.8806699541256</v>
      </c>
      <c r="I3847" s="6">
        <v>5366.6844518856606</v>
      </c>
      <c r="J3847" s="6">
        <v>4508.8431904170993</v>
      </c>
      <c r="K3847" s="6">
        <v>4851.5736156891771</v>
      </c>
    </row>
    <row r="3848" spans="1:11" x14ac:dyDescent="0.2">
      <c r="A3848" s="1">
        <v>0.67083333333333295</v>
      </c>
      <c r="B3848" s="2">
        <v>6.13</v>
      </c>
      <c r="C3848" s="2">
        <v>3.6999999999999997</v>
      </c>
      <c r="D3848" s="2">
        <v>5.1899999999999995</v>
      </c>
      <c r="E3848" s="2">
        <v>5.41</v>
      </c>
      <c r="F3848" s="2">
        <v>3.24</v>
      </c>
      <c r="G3848" s="6">
        <v>6606.9495941590394</v>
      </c>
      <c r="H3848" s="6">
        <v>7528.2898462813055</v>
      </c>
      <c r="I3848" s="6">
        <v>6446.8804985028346</v>
      </c>
      <c r="J3848" s="6">
        <v>6273.7764281831905</v>
      </c>
      <c r="K3848" s="6">
        <v>6381.0552530234045</v>
      </c>
    </row>
    <row r="3849" spans="1:11" x14ac:dyDescent="0.2">
      <c r="A3849" s="1">
        <v>0.67152777777777795</v>
      </c>
      <c r="B3849" s="2">
        <v>6.18</v>
      </c>
      <c r="C3849" s="2">
        <v>3.6799999999999997</v>
      </c>
      <c r="D3849" s="2">
        <v>5.18</v>
      </c>
      <c r="E3849" s="2">
        <v>5.65</v>
      </c>
      <c r="F3849" s="2">
        <v>3.16</v>
      </c>
      <c r="G3849" s="6">
        <v>5667.561041537916</v>
      </c>
      <c r="H3849" s="6">
        <f>(G3849+986)-365.795377730949</f>
        <v>6287.7656638069675</v>
      </c>
      <c r="I3849" s="6">
        <v>6674.3209508137797</v>
      </c>
      <c r="J3849" s="6">
        <v>5569.5626139157539</v>
      </c>
      <c r="K3849" s="6">
        <v>5652.1853546835409</v>
      </c>
    </row>
    <row r="3850" spans="1:11" x14ac:dyDescent="0.2">
      <c r="A3850" s="1">
        <v>0.67222222222222205</v>
      </c>
      <c r="B3850" s="2">
        <v>6.14</v>
      </c>
      <c r="C3850" s="2">
        <v>3.6199999999999997</v>
      </c>
      <c r="D3850" s="2">
        <v>5.38</v>
      </c>
      <c r="E3850" s="2">
        <v>5.7299999999999995</v>
      </c>
      <c r="F3850" s="2">
        <v>3.21</v>
      </c>
      <c r="G3850" s="6">
        <v>6581.6849703065</v>
      </c>
      <c r="H3850" s="6">
        <v>7154.3359065171853</v>
      </c>
      <c r="I3850" s="6">
        <v>5950.038182992731</v>
      </c>
      <c r="J3850" s="6">
        <v>6337.8376596002799</v>
      </c>
      <c r="K3850" s="6">
        <v>6259.7337657891212</v>
      </c>
    </row>
    <row r="3851" spans="1:11" x14ac:dyDescent="0.2">
      <c r="A3851" s="1">
        <v>0.67291666666666705</v>
      </c>
      <c r="B3851" s="2">
        <v>6.22</v>
      </c>
      <c r="C3851" s="2">
        <v>3.77</v>
      </c>
      <c r="D3851" s="2">
        <v>5.2399999999999993</v>
      </c>
      <c r="E3851" s="2">
        <v>5.76</v>
      </c>
      <c r="F3851" s="2">
        <v>2.97</v>
      </c>
      <c r="G3851" s="6">
        <v>3507.6240742152208</v>
      </c>
      <c r="H3851" s="6">
        <v>5327.3424491097749</v>
      </c>
      <c r="I3851" s="6">
        <v>3333.3515352870168</v>
      </c>
      <c r="J3851" s="6">
        <v>3237.0117364771095</v>
      </c>
      <c r="K3851" s="6">
        <v>4175.5842144763856</v>
      </c>
    </row>
    <row r="3852" spans="1:11" x14ac:dyDescent="0.2">
      <c r="A3852" s="1">
        <v>0.67361111111111105</v>
      </c>
      <c r="B3852" s="2">
        <v>6.2</v>
      </c>
      <c r="C3852" s="2">
        <v>3.67</v>
      </c>
      <c r="D3852" s="2">
        <v>4.93</v>
      </c>
      <c r="E3852" s="2">
        <v>5.71</v>
      </c>
      <c r="F3852" s="2">
        <v>3.4000000000000004</v>
      </c>
      <c r="G3852" s="6">
        <v>4414.3150768700298</v>
      </c>
      <c r="H3852" s="6">
        <f>(G3852+986)-157.260296165392</f>
        <v>5243.0547807046378</v>
      </c>
      <c r="I3852" s="6">
        <v>3316.7966509210482</v>
      </c>
      <c r="J3852" s="6">
        <v>4482.3273673037265</v>
      </c>
      <c r="K3852" s="6">
        <v>5047.1242978929031</v>
      </c>
    </row>
    <row r="3853" spans="1:11" x14ac:dyDescent="0.2">
      <c r="A3853" s="1">
        <v>0.67430555555555605</v>
      </c>
      <c r="B3853" s="2">
        <v>6.36</v>
      </c>
      <c r="C3853" s="2">
        <v>3.92</v>
      </c>
      <c r="D3853" s="2">
        <v>5.21</v>
      </c>
      <c r="E3853" s="2">
        <v>5.35</v>
      </c>
      <c r="F3853" s="2">
        <v>3.08</v>
      </c>
      <c r="G3853" s="6">
        <v>8651.8108389712434</v>
      </c>
      <c r="H3853" s="6">
        <v>10071.713512684561</v>
      </c>
      <c r="I3853" s="6">
        <v>7406.2069637446421</v>
      </c>
      <c r="J3853" s="6">
        <v>7810.8757078644294</v>
      </c>
      <c r="K3853" s="6">
        <v>8216.5928901567222</v>
      </c>
    </row>
    <row r="3854" spans="1:11" x14ac:dyDescent="0.2">
      <c r="A3854" s="1">
        <v>0.67500000000000004</v>
      </c>
      <c r="B3854" s="2">
        <v>6.37</v>
      </c>
      <c r="C3854" s="2">
        <v>3.7399999999999998</v>
      </c>
      <c r="D3854" s="2">
        <v>5.1499999999999995</v>
      </c>
      <c r="E3854" s="2">
        <v>5.77</v>
      </c>
      <c r="F3854" s="2">
        <v>2.99</v>
      </c>
      <c r="G3854" s="6">
        <v>5089.0701481609622</v>
      </c>
      <c r="H3854" s="6">
        <v>6551.4088002069602</v>
      </c>
      <c r="I3854" s="6">
        <v>6108.3560369501702</v>
      </c>
      <c r="J3854" s="6">
        <v>4805.1448648751802</v>
      </c>
      <c r="K3854" s="6">
        <v>5423.0534881797603</v>
      </c>
    </row>
    <row r="3855" spans="1:11" x14ac:dyDescent="0.2">
      <c r="A3855" s="1">
        <v>0.67569444444444404</v>
      </c>
      <c r="B3855" s="2">
        <v>6.28</v>
      </c>
      <c r="C3855" s="2">
        <v>3.75</v>
      </c>
      <c r="D3855" s="2">
        <v>4.9799999999999995</v>
      </c>
      <c r="E3855" s="2">
        <v>5.78</v>
      </c>
      <c r="F3855" s="2">
        <v>3.0300000000000002</v>
      </c>
      <c r="G3855" s="6">
        <v>2142.13080918687</v>
      </c>
      <c r="H3855" s="6">
        <v>2235.0006182217185</v>
      </c>
      <c r="I3855" s="6">
        <v>1782.4227129257984</v>
      </c>
      <c r="J3855" s="6">
        <v>1860.7084650716095</v>
      </c>
      <c r="K3855" s="6">
        <v>2091.1553842468443</v>
      </c>
    </row>
    <row r="3856" spans="1:11" x14ac:dyDescent="0.2">
      <c r="A3856" s="1">
        <v>0.67638888888888904</v>
      </c>
      <c r="B3856" s="2">
        <v>6.3100000000000005</v>
      </c>
      <c r="C3856" s="2">
        <v>3.73</v>
      </c>
      <c r="D3856" s="2">
        <v>5.0999999999999996</v>
      </c>
      <c r="E3856" s="2">
        <v>5.39</v>
      </c>
      <c r="F3856" s="2">
        <v>3.02</v>
      </c>
      <c r="G3856" s="6">
        <v>2196.705368239298</v>
      </c>
      <c r="H3856" s="6">
        <f>(G3856+986)-421.321791330546</f>
        <v>2761.3835769087518</v>
      </c>
      <c r="I3856" s="6">
        <v>1571.697516486998</v>
      </c>
      <c r="J3856" s="6">
        <v>1827.536676626657</v>
      </c>
      <c r="K3856" s="6">
        <v>1954.3389547610082</v>
      </c>
    </row>
    <row r="3857" spans="1:11" x14ac:dyDescent="0.2">
      <c r="A3857" s="1">
        <v>0.67708333333333304</v>
      </c>
      <c r="B3857" s="2">
        <v>6.29</v>
      </c>
      <c r="C3857" s="2">
        <v>3.86</v>
      </c>
      <c r="D3857" s="2">
        <v>5.14</v>
      </c>
      <c r="E3857" s="2">
        <v>5.21</v>
      </c>
      <c r="F3857" s="2">
        <v>3.39</v>
      </c>
      <c r="G3857" s="6">
        <v>2104.1559451648714</v>
      </c>
      <c r="H3857" s="6">
        <v>2575.8493177019909</v>
      </c>
      <c r="I3857" s="6">
        <v>1715.687424497881</v>
      </c>
      <c r="J3857" s="6">
        <v>1881.9122842126208</v>
      </c>
      <c r="K3857" s="6">
        <v>2343.6700665930202</v>
      </c>
    </row>
    <row r="3858" spans="1:11" x14ac:dyDescent="0.2">
      <c r="A3858" s="1">
        <v>0.67777777777777803</v>
      </c>
      <c r="B3858" s="2">
        <v>6.37</v>
      </c>
      <c r="C3858" s="2">
        <v>3.71</v>
      </c>
      <c r="D3858" s="2">
        <v>5.18</v>
      </c>
      <c r="E3858" s="2">
        <v>5.54</v>
      </c>
      <c r="F3858" s="2">
        <v>3.06</v>
      </c>
      <c r="G3858" s="6">
        <v>2776.9477656672011</v>
      </c>
      <c r="H3858" s="6">
        <v>2969.5466875956558</v>
      </c>
      <c r="I3858" s="6">
        <v>2158.6181578369087</v>
      </c>
      <c r="J3858" s="6">
        <v>2776.557720897119</v>
      </c>
      <c r="K3858" s="6">
        <v>2710.851214251848</v>
      </c>
    </row>
    <row r="3859" spans="1:11" x14ac:dyDescent="0.2">
      <c r="A3859" s="1">
        <v>0.67847222222222203</v>
      </c>
      <c r="B3859" s="2">
        <v>6.38</v>
      </c>
      <c r="C3859" s="2">
        <v>3.6199999999999997</v>
      </c>
      <c r="D3859" s="2">
        <v>5.0199999999999996</v>
      </c>
      <c r="E3859" s="2">
        <v>5.13</v>
      </c>
      <c r="F3859" s="2">
        <v>3.0900000000000003</v>
      </c>
      <c r="G3859" s="6">
        <v>3143.1474413265296</v>
      </c>
      <c r="H3859" s="6">
        <v>3273.3920909096109</v>
      </c>
      <c r="I3859" s="6">
        <v>2311.1055869838915</v>
      </c>
      <c r="J3859" s="6">
        <v>2396.5539019099228</v>
      </c>
      <c r="K3859" s="6">
        <v>2575.6327309751437</v>
      </c>
    </row>
    <row r="3860" spans="1:11" x14ac:dyDescent="0.2">
      <c r="A3860" s="1">
        <v>0.67916666666666703</v>
      </c>
      <c r="B3860" s="2">
        <v>6.29</v>
      </c>
      <c r="C3860" s="2">
        <v>3.9</v>
      </c>
      <c r="D3860" s="2">
        <v>5.18</v>
      </c>
      <c r="E3860" s="2">
        <v>5.4399999999999995</v>
      </c>
      <c r="F3860" s="2">
        <v>3.17</v>
      </c>
      <c r="G3860" s="6">
        <v>3459.1858594451719</v>
      </c>
      <c r="H3860" s="6">
        <v>4337.7660935974045</v>
      </c>
      <c r="I3860" s="6">
        <v>2580.7784060845129</v>
      </c>
      <c r="J3860" s="6">
        <v>2789.005797687998</v>
      </c>
      <c r="K3860" s="6">
        <v>2787.2766381979964</v>
      </c>
    </row>
    <row r="3861" spans="1:11" x14ac:dyDescent="0.2">
      <c r="A3861" s="1">
        <v>0.67986111111111103</v>
      </c>
      <c r="B3861" s="2">
        <v>6.37</v>
      </c>
      <c r="C3861" s="2">
        <v>3.71</v>
      </c>
      <c r="D3861" s="2">
        <v>5.39</v>
      </c>
      <c r="E3861" s="2">
        <v>5.58</v>
      </c>
      <c r="F3861" s="2">
        <v>3.06</v>
      </c>
      <c r="G3861" s="6">
        <v>3998.8942093195315</v>
      </c>
      <c r="H3861" s="6">
        <f>(G3861+986)-237.808434732982</f>
        <v>4747.0857745865496</v>
      </c>
      <c r="I3861" s="6">
        <v>2684.0299033415408</v>
      </c>
      <c r="J3861" s="6">
        <v>2755.7240096087303</v>
      </c>
      <c r="K3861" s="6">
        <v>2824.2399743827041</v>
      </c>
    </row>
    <row r="3862" spans="1:11" x14ac:dyDescent="0.2">
      <c r="A3862" s="1">
        <v>0.68055555555555602</v>
      </c>
      <c r="B3862" s="2">
        <v>6.14</v>
      </c>
      <c r="C3862" s="2">
        <v>3.75</v>
      </c>
      <c r="D3862" s="2">
        <v>5.01</v>
      </c>
      <c r="E3862" s="2">
        <v>5.1499999999999995</v>
      </c>
      <c r="F3862" s="2">
        <v>3.25</v>
      </c>
      <c r="G3862" s="6">
        <v>5994.9457611933094</v>
      </c>
      <c r="H3862" s="6">
        <f>(G3862+986)-176.480198881978</f>
        <v>6804.4655623113313</v>
      </c>
      <c r="I3862" s="6">
        <v>4262.8073906125674</v>
      </c>
      <c r="J3862" s="6">
        <v>4418.7207773097925</v>
      </c>
      <c r="K3862" s="6">
        <v>4576.6656335530042</v>
      </c>
    </row>
    <row r="3863" spans="1:11" x14ac:dyDescent="0.2">
      <c r="A3863" s="1">
        <v>0.68125000000000002</v>
      </c>
      <c r="B3863" s="2">
        <v>6.3</v>
      </c>
      <c r="C3863" s="2">
        <v>3.8499999999999996</v>
      </c>
      <c r="D3863" s="2">
        <v>4.8899999999999997</v>
      </c>
      <c r="E3863" s="2">
        <v>5.74</v>
      </c>
      <c r="F3863" s="2">
        <v>2.92</v>
      </c>
      <c r="G3863" s="6">
        <v>4663.0042883272035</v>
      </c>
      <c r="H3863" s="6">
        <v>5571.7298392661987</v>
      </c>
      <c r="I3863" s="6">
        <v>4501.7084843269304</v>
      </c>
      <c r="J3863" s="6">
        <v>5003.0240907073048</v>
      </c>
      <c r="K3863" s="6">
        <v>5273.1156789228071</v>
      </c>
    </row>
    <row r="3864" spans="1:11" x14ac:dyDescent="0.2">
      <c r="A3864" s="1">
        <v>0.68194444444444402</v>
      </c>
      <c r="B3864" s="2">
        <v>6.23</v>
      </c>
      <c r="C3864" s="2">
        <v>3.87</v>
      </c>
      <c r="D3864" s="2">
        <v>5.1099999999999994</v>
      </c>
      <c r="E3864" s="2">
        <v>5.4799999999999995</v>
      </c>
      <c r="F3864" s="2">
        <v>3.18</v>
      </c>
      <c r="G3864" s="6">
        <v>6811.9482279472104</v>
      </c>
      <c r="H3864" s="6">
        <f>(G3864+986)-488.642311589556</f>
        <v>7309.3059163576545</v>
      </c>
      <c r="I3864" s="6">
        <v>5505.4646368492122</v>
      </c>
      <c r="J3864" s="6">
        <v>8305.3149150520221</v>
      </c>
      <c r="K3864" s="6">
        <v>9421.8585059014495</v>
      </c>
    </row>
    <row r="3865" spans="1:11" x14ac:dyDescent="0.2">
      <c r="A3865" s="1">
        <v>0.68263888888888902</v>
      </c>
      <c r="B3865" s="2">
        <v>6.2</v>
      </c>
      <c r="C3865" s="2">
        <v>3.83</v>
      </c>
      <c r="D3865" s="2">
        <v>5.1099999999999994</v>
      </c>
      <c r="E3865" s="2">
        <v>5.37</v>
      </c>
      <c r="F3865" s="2">
        <v>3.0900000000000003</v>
      </c>
      <c r="G3865" s="6">
        <v>8732.9147521975901</v>
      </c>
      <c r="H3865" s="6">
        <v>10025.687948095378</v>
      </c>
      <c r="I3865" s="6">
        <v>7297.1309728066299</v>
      </c>
      <c r="J3865" s="6">
        <v>7631.3670207479572</v>
      </c>
      <c r="K3865" s="6">
        <v>7498.9053426306937</v>
      </c>
    </row>
    <row r="3866" spans="1:11" x14ac:dyDescent="0.2">
      <c r="A3866" s="1">
        <v>0.68333333333333302</v>
      </c>
      <c r="B3866" s="2">
        <v>6.17</v>
      </c>
      <c r="C3866" s="2">
        <v>3.69</v>
      </c>
      <c r="D3866" s="2">
        <v>4.9799999999999995</v>
      </c>
      <c r="E3866" s="2">
        <v>5.46</v>
      </c>
      <c r="F3866" s="2">
        <v>3.13</v>
      </c>
      <c r="G3866" s="6">
        <v>5637.4692709427236</v>
      </c>
      <c r="H3866" s="6">
        <f>(G3866+986)-273.139027127494</f>
        <v>6350.3302438152296</v>
      </c>
      <c r="I3866" s="6">
        <v>5081.5067552927421</v>
      </c>
      <c r="J3866" s="6">
        <v>4530.0895929183571</v>
      </c>
      <c r="K3866" s="6">
        <v>4839.454006321027</v>
      </c>
    </row>
    <row r="3867" spans="1:11" x14ac:dyDescent="0.2">
      <c r="A3867" s="1">
        <v>0.68402777777777801</v>
      </c>
      <c r="B3867" s="2">
        <v>6.2</v>
      </c>
      <c r="C3867" s="2">
        <v>3.83</v>
      </c>
      <c r="D3867" s="2">
        <v>5.2299999999999995</v>
      </c>
      <c r="E3867" s="2">
        <v>5.2</v>
      </c>
      <c r="F3867" s="2">
        <v>3.04</v>
      </c>
      <c r="G3867" s="6">
        <v>6602.4738543163157</v>
      </c>
      <c r="H3867" s="6">
        <v>7268.4240278373818</v>
      </c>
      <c r="I3867" s="6">
        <v>6246.8068240111243</v>
      </c>
      <c r="J3867" s="6">
        <v>6201.3444464775721</v>
      </c>
      <c r="K3867" s="6">
        <v>6307.1275769642307</v>
      </c>
    </row>
    <row r="3868" spans="1:11" x14ac:dyDescent="0.2">
      <c r="A3868" s="1">
        <v>0.68472222222222201</v>
      </c>
      <c r="B3868" s="2">
        <v>6.37</v>
      </c>
      <c r="C3868" s="2">
        <v>3.63</v>
      </c>
      <c r="D3868" s="2">
        <v>5</v>
      </c>
      <c r="E3868" s="2">
        <v>5.4</v>
      </c>
      <c r="F3868" s="2">
        <v>3.23</v>
      </c>
      <c r="G3868" s="6">
        <v>5925.7658837229892</v>
      </c>
      <c r="H3868" s="6">
        <f>(G3868+986)-113.328493158248</f>
        <v>6798.4373905647408</v>
      </c>
      <c r="I3868" s="6">
        <v>6475.5999578240708</v>
      </c>
      <c r="J3868" s="6">
        <v>5367.5098393296121</v>
      </c>
      <c r="K3868" s="6">
        <v>5696.7757194406486</v>
      </c>
    </row>
    <row r="3869" spans="1:11" x14ac:dyDescent="0.2">
      <c r="A3869" s="1">
        <v>0.68541666666666701</v>
      </c>
      <c r="B3869" s="2">
        <v>6.3</v>
      </c>
      <c r="C3869" s="2">
        <v>3.61</v>
      </c>
      <c r="D3869" s="2">
        <v>5.31</v>
      </c>
      <c r="E3869" s="2">
        <v>5.53</v>
      </c>
      <c r="F3869" s="2">
        <v>2.96</v>
      </c>
      <c r="G3869" s="6">
        <v>6950.7967068910921</v>
      </c>
      <c r="H3869" s="6">
        <v>7278.2778650133905</v>
      </c>
      <c r="I3869" s="6">
        <v>5961.2666798898845</v>
      </c>
      <c r="J3869" s="6">
        <v>6245.7211352898485</v>
      </c>
      <c r="K3869" s="6">
        <v>6153.0410468084101</v>
      </c>
    </row>
    <row r="3870" spans="1:11" x14ac:dyDescent="0.2">
      <c r="A3870" s="1">
        <v>0.68611111111111101</v>
      </c>
      <c r="B3870" s="2">
        <v>6.25</v>
      </c>
      <c r="C3870" s="2">
        <v>3.71</v>
      </c>
      <c r="D3870" s="2">
        <v>5.33</v>
      </c>
      <c r="E3870" s="2">
        <v>5.41</v>
      </c>
      <c r="F3870" s="2">
        <v>3.0700000000000003</v>
      </c>
      <c r="G3870" s="6">
        <v>3614.1483383594459</v>
      </c>
      <c r="H3870" s="6">
        <v>5002.1131741501022</v>
      </c>
      <c r="I3870" s="6">
        <v>3160.1370514422451</v>
      </c>
      <c r="J3870" s="6">
        <v>3210.8643052334901</v>
      </c>
      <c r="K3870" s="6">
        <v>4187.7018024594681</v>
      </c>
    </row>
    <row r="3871" spans="1:11" x14ac:dyDescent="0.2">
      <c r="A3871" s="1">
        <v>0.686805555555556</v>
      </c>
      <c r="B3871" s="2">
        <v>6.16</v>
      </c>
      <c r="C3871" s="2">
        <v>3.87</v>
      </c>
      <c r="D3871" s="2">
        <v>4.9499999999999993</v>
      </c>
      <c r="E3871" s="2">
        <v>5.6</v>
      </c>
      <c r="F3871" s="2">
        <v>3.12</v>
      </c>
      <c r="G3871" s="6">
        <v>4228.0395898914148</v>
      </c>
      <c r="H3871" s="6">
        <f>(G3871+986)-439.644433095296</f>
        <v>4774.3951567961185</v>
      </c>
      <c r="I3871" s="6">
        <v>3199.7336772355725</v>
      </c>
      <c r="J3871" s="6">
        <v>4139.5261963855055</v>
      </c>
      <c r="K3871" s="6">
        <v>4938.4455094328414</v>
      </c>
    </row>
    <row r="3872" spans="1:11" x14ac:dyDescent="0.2">
      <c r="A3872" s="1">
        <v>0.6875</v>
      </c>
      <c r="B3872" s="2">
        <v>6.19</v>
      </c>
      <c r="C3872" s="2">
        <v>3.63</v>
      </c>
      <c r="D3872" s="2">
        <v>5.13</v>
      </c>
      <c r="E3872" s="2">
        <v>5.68</v>
      </c>
      <c r="F3872" s="2">
        <v>3.38</v>
      </c>
      <c r="G3872" s="6">
        <v>8937.2170647383373</v>
      </c>
      <c r="H3872" s="6">
        <v>9743.6597421559527</v>
      </c>
      <c r="I3872" s="6">
        <v>7073.537482528789</v>
      </c>
      <c r="J3872" s="6">
        <v>7843.2602852706532</v>
      </c>
      <c r="K3872" s="6">
        <v>8226.5318125448121</v>
      </c>
    </row>
    <row r="3873" spans="1:11" x14ac:dyDescent="0.2">
      <c r="A3873" s="1">
        <v>0.688194444444444</v>
      </c>
      <c r="B3873" s="2">
        <v>6.21</v>
      </c>
      <c r="C3873" s="2">
        <v>3.6599999999999997</v>
      </c>
      <c r="D3873" s="2">
        <v>5.13</v>
      </c>
      <c r="E3873" s="2">
        <v>5.13</v>
      </c>
      <c r="F3873" s="2">
        <v>3.0700000000000003</v>
      </c>
      <c r="G3873" s="6">
        <v>5041.5658203235835</v>
      </c>
      <c r="H3873" s="6">
        <v>6778.1385394000627</v>
      </c>
      <c r="I3873" s="6">
        <v>6128.3673894725334</v>
      </c>
      <c r="J3873" s="6">
        <v>4852.0440517086499</v>
      </c>
      <c r="K3873" s="6">
        <v>5088.9506084581844</v>
      </c>
    </row>
    <row r="3874" spans="1:11" x14ac:dyDescent="0.2">
      <c r="A3874" s="1">
        <v>0.68888888888888899</v>
      </c>
      <c r="B3874" s="2">
        <v>6.3</v>
      </c>
      <c r="C3874" s="2">
        <v>3.83</v>
      </c>
      <c r="D3874" s="2">
        <v>4.92</v>
      </c>
      <c r="E3874" s="2">
        <v>5.46</v>
      </c>
      <c r="F3874" s="2">
        <v>3.35</v>
      </c>
      <c r="G3874" s="6">
        <v>2136.7223846251209</v>
      </c>
      <c r="H3874" s="6">
        <v>2294.8609544766268</v>
      </c>
      <c r="I3874" s="6">
        <v>1769.8193341215174</v>
      </c>
      <c r="J3874" s="6">
        <v>1726.9890641321635</v>
      </c>
      <c r="K3874" s="6">
        <v>2231.3637120291851</v>
      </c>
    </row>
    <row r="3875" spans="1:11" x14ac:dyDescent="0.2">
      <c r="A3875" s="1">
        <v>0.68958333333333299</v>
      </c>
      <c r="B3875" s="2">
        <v>6.2</v>
      </c>
      <c r="C3875" s="2">
        <v>3.75</v>
      </c>
      <c r="D3875" s="2">
        <v>5.1099999999999994</v>
      </c>
      <c r="E3875" s="2">
        <v>5.72</v>
      </c>
      <c r="F3875" s="2">
        <v>3.18</v>
      </c>
      <c r="G3875" s="6">
        <v>1969.7353538532011</v>
      </c>
      <c r="H3875" s="6">
        <f>(G3875+986)-336.97839094614</f>
        <v>2618.7569629070608</v>
      </c>
      <c r="I3875" s="6">
        <v>1821.3606297897218</v>
      </c>
      <c r="J3875" s="6">
        <v>1585.6761990530167</v>
      </c>
      <c r="K3875" s="6">
        <v>2008.6560024740629</v>
      </c>
    </row>
    <row r="3876" spans="1:11" x14ac:dyDescent="0.2">
      <c r="A3876" s="1">
        <v>0.69027777777777799</v>
      </c>
      <c r="B3876" s="2">
        <v>6.3500000000000005</v>
      </c>
      <c r="C3876" s="2">
        <v>3.6799999999999997</v>
      </c>
      <c r="D3876" s="2">
        <v>4.8999999999999995</v>
      </c>
      <c r="E3876" s="2">
        <v>5.31</v>
      </c>
      <c r="F3876" s="2">
        <v>3.21</v>
      </c>
      <c r="G3876" s="6">
        <v>2217.0586226765681</v>
      </c>
      <c r="H3876" s="6">
        <v>2570.8500533842139</v>
      </c>
      <c r="I3876" s="6">
        <v>1563.7864997598319</v>
      </c>
      <c r="J3876" s="6">
        <v>1707.1769981774728</v>
      </c>
      <c r="K3876" s="6">
        <v>2242.9650526713249</v>
      </c>
    </row>
    <row r="3877" spans="1:11" x14ac:dyDescent="0.2">
      <c r="A3877" s="1">
        <v>0.69097222222222199</v>
      </c>
      <c r="B3877" s="2">
        <v>6.3</v>
      </c>
      <c r="C3877" s="2">
        <v>3.92</v>
      </c>
      <c r="D3877" s="2">
        <v>5.21</v>
      </c>
      <c r="E3877" s="2">
        <v>5.75</v>
      </c>
      <c r="F3877" s="2">
        <v>3.0700000000000003</v>
      </c>
      <c r="G3877" s="6">
        <v>2796.7423808839644</v>
      </c>
      <c r="H3877" s="6">
        <v>2870.0151347253277</v>
      </c>
      <c r="I3877" s="6">
        <v>2143.50445763063</v>
      </c>
      <c r="J3877" s="6">
        <v>2756.9790709760291</v>
      </c>
      <c r="K3877" s="6">
        <v>2799.4278305567568</v>
      </c>
    </row>
    <row r="3878" spans="1:11" x14ac:dyDescent="0.2">
      <c r="A3878" s="1">
        <v>0.69166666666666698</v>
      </c>
      <c r="B3878" s="2">
        <v>6.36</v>
      </c>
      <c r="C3878" s="2">
        <v>3.87</v>
      </c>
      <c r="D3878" s="2">
        <v>5.14</v>
      </c>
      <c r="E3878" s="2">
        <v>5.26</v>
      </c>
      <c r="F3878" s="2">
        <v>3.35</v>
      </c>
      <c r="G3878" s="6">
        <v>2964.7472219365241</v>
      </c>
      <c r="H3878" s="6">
        <v>3507.7488387946191</v>
      </c>
      <c r="I3878" s="6">
        <v>2320.0415524184709</v>
      </c>
      <c r="J3878" s="6">
        <v>2262.2823187772879</v>
      </c>
      <c r="K3878" s="6">
        <v>2573.6630289905138</v>
      </c>
    </row>
    <row r="3879" spans="1:11" x14ac:dyDescent="0.2">
      <c r="A3879" s="1">
        <v>0.69236111111111098</v>
      </c>
      <c r="B3879" s="2">
        <v>6.24</v>
      </c>
      <c r="C3879" s="2">
        <v>3.88</v>
      </c>
      <c r="D3879" s="2">
        <v>5.3</v>
      </c>
      <c r="E3879" s="2">
        <v>5.52</v>
      </c>
      <c r="F3879" s="2">
        <v>3.2800000000000002</v>
      </c>
      <c r="G3879" s="6">
        <v>3553.945038790378</v>
      </c>
      <c r="H3879" s="6">
        <v>4337.4139873451786</v>
      </c>
      <c r="I3879" s="6">
        <v>2743.7683104048538</v>
      </c>
      <c r="J3879" s="6">
        <v>2876.9155140490775</v>
      </c>
      <c r="K3879" s="6">
        <v>2785.4418308909235</v>
      </c>
    </row>
    <row r="3880" spans="1:11" x14ac:dyDescent="0.2">
      <c r="A3880" s="1">
        <v>0.69305555555555598</v>
      </c>
      <c r="B3880" s="2">
        <v>6.2700000000000005</v>
      </c>
      <c r="C3880" s="2">
        <v>3.8899999999999997</v>
      </c>
      <c r="D3880" s="2">
        <v>5.0699999999999994</v>
      </c>
      <c r="E3880" s="2">
        <v>5.16</v>
      </c>
      <c r="F3880" s="2">
        <v>3.29</v>
      </c>
      <c r="G3880" s="6">
        <v>3848.3694542979815</v>
      </c>
      <c r="H3880" s="6">
        <f>(G3880+986)-243.152657522095</f>
        <v>4591.216796775886</v>
      </c>
      <c r="I3880" s="6">
        <v>2638.4115932491231</v>
      </c>
      <c r="J3880" s="6">
        <v>2766.7044461176902</v>
      </c>
      <c r="K3880" s="6">
        <v>2585.7170277446658</v>
      </c>
    </row>
    <row r="3881" spans="1:11" x14ac:dyDescent="0.2">
      <c r="A3881" s="1">
        <v>0.69374999999999998</v>
      </c>
      <c r="B3881" s="2">
        <v>6.23</v>
      </c>
      <c r="C3881" s="2">
        <v>3.7399999999999998</v>
      </c>
      <c r="D3881" s="2">
        <v>5.1999999999999993</v>
      </c>
      <c r="E3881" s="2">
        <v>5.3</v>
      </c>
      <c r="F3881" s="2">
        <v>2.95</v>
      </c>
      <c r="G3881" s="6">
        <v>3857.3407328065996</v>
      </c>
      <c r="H3881" s="6">
        <v>4374.4147685456646</v>
      </c>
      <c r="I3881" s="6">
        <v>3081.4758126986617</v>
      </c>
      <c r="J3881" s="6">
        <v>2803.0512162528989</v>
      </c>
      <c r="K3881" s="6">
        <v>3469.7139472192207</v>
      </c>
    </row>
    <row r="3882" spans="1:11" x14ac:dyDescent="0.2">
      <c r="A3882" s="1">
        <v>0.69444444444444398</v>
      </c>
      <c r="B3882" s="2">
        <v>6.15</v>
      </c>
      <c r="C3882" s="2">
        <v>3.7399999999999998</v>
      </c>
      <c r="D3882" s="2">
        <v>5.27</v>
      </c>
      <c r="E3882" s="2">
        <v>5.43</v>
      </c>
      <c r="F3882" s="2">
        <v>3.02</v>
      </c>
      <c r="G3882" s="6">
        <v>3457.3868663030285</v>
      </c>
      <c r="H3882" s="6">
        <v>3085.2425561663295</v>
      </c>
      <c r="I3882" s="6">
        <v>2812.2862450577445</v>
      </c>
      <c r="J3882" s="6">
        <v>2919.3477833663601</v>
      </c>
      <c r="K3882" s="6">
        <v>3342.7581719622813</v>
      </c>
    </row>
    <row r="3883" spans="1:11" x14ac:dyDescent="0.2">
      <c r="A3883" s="1">
        <v>0.69513888888888897</v>
      </c>
      <c r="B3883" s="2">
        <v>6.24</v>
      </c>
      <c r="C3883" s="2">
        <v>3.7399999999999998</v>
      </c>
      <c r="D3883" s="2">
        <v>5.21</v>
      </c>
      <c r="E3883" s="2">
        <v>5.34</v>
      </c>
      <c r="F3883" s="2">
        <v>3.3400000000000003</v>
      </c>
      <c r="G3883" s="6">
        <v>3013.2745292038985</v>
      </c>
      <c r="H3883" s="6">
        <v>3171.4235022630332</v>
      </c>
      <c r="I3883" s="6">
        <v>2371.9057140428044</v>
      </c>
      <c r="J3883" s="6">
        <v>2256.7883415699935</v>
      </c>
      <c r="K3883" s="6">
        <v>2495.076081600605</v>
      </c>
    </row>
    <row r="3884" spans="1:11" x14ac:dyDescent="0.2">
      <c r="A3884" s="1">
        <v>0.69583333333333297</v>
      </c>
      <c r="B3884" s="2">
        <v>6.24</v>
      </c>
      <c r="C3884" s="2">
        <v>3.76</v>
      </c>
      <c r="D3884" s="2">
        <v>5.01</v>
      </c>
      <c r="E3884" s="2">
        <v>5.55</v>
      </c>
      <c r="F3884" s="2">
        <v>2.91</v>
      </c>
      <c r="G3884" s="6">
        <v>3076.0807824272129</v>
      </c>
      <c r="H3884" s="6">
        <v>3482.4552409910752</v>
      </c>
      <c r="I3884" s="6">
        <v>2314.3900682082963</v>
      </c>
      <c r="J3884" s="6">
        <v>2237.1380709780974</v>
      </c>
      <c r="K3884" s="6">
        <v>2683.4067759867849</v>
      </c>
    </row>
    <row r="3885" spans="1:11" x14ac:dyDescent="0.2">
      <c r="A3885" s="1">
        <v>0.69652777777777797</v>
      </c>
      <c r="B3885" s="2">
        <v>6.16</v>
      </c>
      <c r="C3885" s="2">
        <v>3.7199999999999998</v>
      </c>
      <c r="D3885" s="2">
        <v>4.8999999999999995</v>
      </c>
      <c r="E3885" s="2">
        <v>5.4</v>
      </c>
      <c r="F3885" s="2">
        <v>3.21</v>
      </c>
      <c r="G3885" s="6">
        <v>1975.7547103441061</v>
      </c>
      <c r="H3885" s="6">
        <f>(G3885+986)-421.805197812149</f>
        <v>2539.9495125319568</v>
      </c>
      <c r="I3885" s="6">
        <v>1148.0110882561225</v>
      </c>
      <c r="J3885" s="6">
        <v>2469.7064840064918</v>
      </c>
      <c r="K3885" s="6">
        <v>2597.8194798218556</v>
      </c>
    </row>
    <row r="3886" spans="1:11" x14ac:dyDescent="0.2">
      <c r="A3886" s="1">
        <v>0.69722222222222197</v>
      </c>
      <c r="B3886" s="2">
        <v>6.12</v>
      </c>
      <c r="C3886" s="2">
        <v>3.8899999999999997</v>
      </c>
      <c r="D3886" s="2">
        <v>5.1899999999999995</v>
      </c>
      <c r="E3886" s="2">
        <v>5.52</v>
      </c>
      <c r="F3886" s="2">
        <v>3.4000000000000004</v>
      </c>
      <c r="G3886" s="6">
        <v>1698.1861237287931</v>
      </c>
      <c r="H3886" s="6">
        <v>2349.2564916071105</v>
      </c>
      <c r="I3886" s="6">
        <v>994.52728654149951</v>
      </c>
      <c r="J3886" s="6">
        <v>2181.68015529687</v>
      </c>
      <c r="K3886" s="6">
        <v>2537.105937523449</v>
      </c>
    </row>
    <row r="3887" spans="1:11" x14ac:dyDescent="0.2">
      <c r="A3887" s="1">
        <v>0.69791666666666696</v>
      </c>
      <c r="B3887" s="2">
        <v>6.3100000000000005</v>
      </c>
      <c r="C3887" s="2">
        <v>3.78</v>
      </c>
      <c r="D3887" s="2">
        <v>4.92</v>
      </c>
      <c r="E3887" s="2">
        <v>5.38</v>
      </c>
      <c r="F3887" s="2">
        <v>3.1500000000000004</v>
      </c>
      <c r="G3887" s="6">
        <v>3950.6573761846344</v>
      </c>
      <c r="H3887" s="6">
        <v>3109.1759828873633</v>
      </c>
      <c r="I3887" s="6">
        <v>3150.6142649481089</v>
      </c>
      <c r="J3887" s="6">
        <v>3052.7198136799375</v>
      </c>
      <c r="K3887" s="6">
        <v>3459.0546201675529</v>
      </c>
    </row>
    <row r="3888" spans="1:11" x14ac:dyDescent="0.2">
      <c r="A3888" s="1">
        <v>0.69861111111111096</v>
      </c>
      <c r="B3888" s="2">
        <v>6.2</v>
      </c>
      <c r="C3888" s="2">
        <v>3.88</v>
      </c>
      <c r="D3888" s="2">
        <v>5.1099999999999994</v>
      </c>
      <c r="E3888" s="2">
        <v>5.27</v>
      </c>
      <c r="F3888" s="2">
        <v>2.9</v>
      </c>
      <c r="G3888" s="6">
        <v>2694.066503253965</v>
      </c>
      <c r="H3888" s="6">
        <f>(G3888+986)-196.733140789972</f>
        <v>3483.3333624639936</v>
      </c>
      <c r="I3888" s="6">
        <v>2330.0197135808821</v>
      </c>
      <c r="J3888" s="6">
        <v>2005.7153256689271</v>
      </c>
      <c r="K3888" s="6">
        <v>2517.2006533334652</v>
      </c>
    </row>
    <row r="3889" spans="1:16" x14ac:dyDescent="0.2">
      <c r="A3889" s="1">
        <v>0.69930555555555596</v>
      </c>
      <c r="B3889" s="2">
        <v>6.12</v>
      </c>
      <c r="C3889" s="2">
        <v>3.67</v>
      </c>
      <c r="D3889" s="2">
        <v>5.05</v>
      </c>
      <c r="E3889" s="2">
        <v>5.51</v>
      </c>
      <c r="F3889" s="2">
        <v>3.0300000000000002</v>
      </c>
      <c r="G3889" s="6">
        <v>2457.6008990602386</v>
      </c>
      <c r="H3889" s="6">
        <v>2398.1005249165114</v>
      </c>
      <c r="I3889" s="6">
        <v>2355.8733061503358</v>
      </c>
      <c r="J3889" s="6">
        <v>2428.3087673133277</v>
      </c>
      <c r="K3889" s="6">
        <v>2881.5883231837133</v>
      </c>
    </row>
    <row r="3890" spans="1:16" x14ac:dyDescent="0.2">
      <c r="A3890" s="1">
        <v>0.7</v>
      </c>
      <c r="B3890" s="2">
        <v>6.25</v>
      </c>
      <c r="C3890" s="2">
        <v>3.82</v>
      </c>
      <c r="D3890" s="2">
        <v>5.05</v>
      </c>
      <c r="E3890" s="2">
        <v>5.52</v>
      </c>
      <c r="F3890" s="2">
        <v>3.0900000000000003</v>
      </c>
      <c r="G3890" s="6">
        <v>3758.0913407381554</v>
      </c>
      <c r="H3890" s="6">
        <v>4216.038705046607</v>
      </c>
      <c r="I3890" s="6">
        <v>3210.8433292373165</v>
      </c>
      <c r="J3890" s="6">
        <v>2943.7561154625473</v>
      </c>
      <c r="K3890" s="6">
        <v>3290.3017570776292</v>
      </c>
    </row>
    <row r="3891" spans="1:16" x14ac:dyDescent="0.2">
      <c r="A3891" s="1">
        <v>0.70069444444444495</v>
      </c>
      <c r="B3891" s="2">
        <v>6.19</v>
      </c>
      <c r="C3891" s="2">
        <v>3.7199999999999998</v>
      </c>
      <c r="D3891" s="2">
        <v>5.0999999999999996</v>
      </c>
      <c r="E3891" s="2">
        <v>5.26</v>
      </c>
      <c r="F3891" s="2">
        <v>2.98</v>
      </c>
      <c r="G3891" s="6">
        <v>3397.5121693820529</v>
      </c>
      <c r="H3891" s="6">
        <v>3030.0777677438023</v>
      </c>
      <c r="I3891" s="6">
        <v>2596.7233465092486</v>
      </c>
      <c r="J3891" s="6">
        <v>2834.1154281471104</v>
      </c>
      <c r="K3891" s="6">
        <v>3405.2831939284533</v>
      </c>
    </row>
    <row r="3892" spans="1:16" x14ac:dyDescent="0.2">
      <c r="A3892" s="1">
        <v>0.70138888888888895</v>
      </c>
      <c r="B3892" s="2">
        <v>6.33</v>
      </c>
      <c r="C3892" s="2">
        <v>3.92</v>
      </c>
      <c r="D3892" s="2">
        <v>5.3599999999999994</v>
      </c>
      <c r="E3892" s="2">
        <v>5.51</v>
      </c>
      <c r="F3892" s="2">
        <v>3.1100000000000003</v>
      </c>
      <c r="G3892" s="6">
        <v>3250.2962327207665</v>
      </c>
      <c r="H3892" s="6">
        <v>2924.6030616987209</v>
      </c>
      <c r="I3892" s="6">
        <v>2282.2782959799961</v>
      </c>
      <c r="J3892" s="6">
        <v>2438.6417004741343</v>
      </c>
      <c r="K3892" s="6">
        <v>2322.3808770148034</v>
      </c>
    </row>
    <row r="3893" spans="1:16" x14ac:dyDescent="0.2">
      <c r="A3893" s="1">
        <v>0.70208333333333295</v>
      </c>
      <c r="B3893" s="2">
        <v>6.2700000000000005</v>
      </c>
      <c r="C3893" s="2">
        <v>3.65</v>
      </c>
      <c r="D3893" s="2">
        <v>5.1099999999999994</v>
      </c>
      <c r="E3893" s="2">
        <v>5.3</v>
      </c>
      <c r="F3893" s="2">
        <v>2.89</v>
      </c>
      <c r="G3893" s="6">
        <v>3057.3232943200528</v>
      </c>
      <c r="H3893" s="6">
        <v>3566.3036568823286</v>
      </c>
      <c r="I3893" s="6">
        <v>2429.8952891089089</v>
      </c>
      <c r="J3893" s="6">
        <v>2431.6589997424826</v>
      </c>
      <c r="K3893" s="6">
        <v>2744.8271700455784</v>
      </c>
    </row>
    <row r="3894" spans="1:16" x14ac:dyDescent="0.2">
      <c r="A3894" s="1">
        <v>0.70277777777777795</v>
      </c>
      <c r="B3894" s="2">
        <v>6.18</v>
      </c>
      <c r="C3894" s="2">
        <v>3.6599999999999997</v>
      </c>
      <c r="D3894" s="2">
        <v>5.16</v>
      </c>
      <c r="E3894" s="2">
        <v>5.4399999999999995</v>
      </c>
      <c r="F3894" s="2">
        <v>3.2600000000000002</v>
      </c>
      <c r="G3894" s="6">
        <v>1821.3491554652367</v>
      </c>
      <c r="H3894" s="6">
        <f>(G3894+986)-442.252856211512</f>
        <v>2365.0962992537247</v>
      </c>
      <c r="I3894" s="6">
        <v>1370.3985471053581</v>
      </c>
      <c r="J3894" s="6">
        <v>2383.4481930623665</v>
      </c>
      <c r="K3894" s="6">
        <v>2487.7361919269251</v>
      </c>
    </row>
    <row r="3895" spans="1:16" x14ac:dyDescent="0.2">
      <c r="A3895" s="1">
        <v>0.70347222222222205</v>
      </c>
      <c r="B3895" s="2">
        <v>6.23</v>
      </c>
      <c r="C3895" s="2">
        <v>3.7199999999999998</v>
      </c>
      <c r="D3895" s="2">
        <v>5.0299999999999994</v>
      </c>
      <c r="E3895" s="2">
        <v>5.13</v>
      </c>
      <c r="F3895" s="2">
        <v>3.3200000000000003</v>
      </c>
      <c r="G3895" s="6">
        <v>1637.5454948459353</v>
      </c>
      <c r="H3895" s="6">
        <v>2413.3912851009768</v>
      </c>
      <c r="I3895" s="6">
        <v>1244.703902946437</v>
      </c>
      <c r="J3895" s="6">
        <v>2254.8166343642374</v>
      </c>
      <c r="K3895" s="6">
        <v>2765.3705595280298</v>
      </c>
    </row>
    <row r="3896" spans="1:16" x14ac:dyDescent="0.2">
      <c r="A3896" s="1">
        <v>0.70416666666666705</v>
      </c>
      <c r="B3896" s="2">
        <v>6.29</v>
      </c>
      <c r="C3896" s="2">
        <v>3.88</v>
      </c>
      <c r="D3896" s="2">
        <v>4.93</v>
      </c>
      <c r="E3896" s="2">
        <v>5.21</v>
      </c>
      <c r="F3896" s="2">
        <v>3.31</v>
      </c>
      <c r="G3896" s="6">
        <v>3802.6665828302839</v>
      </c>
      <c r="H3896" s="6">
        <v>3112.0023602280939</v>
      </c>
      <c r="I3896" s="6">
        <v>3048.6807339795905</v>
      </c>
      <c r="J3896" s="6">
        <v>3145.344479384114</v>
      </c>
      <c r="K3896" s="6">
        <v>3320.9593273346563</v>
      </c>
    </row>
    <row r="3897" spans="1:16" x14ac:dyDescent="0.2">
      <c r="A3897" s="1">
        <v>0.70486111111111105</v>
      </c>
      <c r="B3897" s="2">
        <v>6.13</v>
      </c>
      <c r="C3897" s="2">
        <v>3.6999999999999997</v>
      </c>
      <c r="D3897" s="2">
        <v>5.39</v>
      </c>
      <c r="E3897" s="2">
        <v>5.16</v>
      </c>
      <c r="F3897" s="2">
        <v>2.95</v>
      </c>
      <c r="G3897" s="6">
        <v>2970.98829224469</v>
      </c>
      <c r="H3897" s="6">
        <f>(G3897+986)-438.835959323511</f>
        <v>3518.1523329211795</v>
      </c>
      <c r="I3897" s="6">
        <v>2334.2160188386815</v>
      </c>
      <c r="J3897" s="6">
        <v>2306.2963844605006</v>
      </c>
      <c r="K3897" s="6">
        <v>2265.7489628436015</v>
      </c>
    </row>
    <row r="3898" spans="1:16" x14ac:dyDescent="0.2">
      <c r="A3898" s="1">
        <v>0.70555555555555605</v>
      </c>
      <c r="B3898" s="2">
        <v>6.29</v>
      </c>
      <c r="C3898" s="2">
        <v>3.81</v>
      </c>
      <c r="D3898" s="2">
        <v>4.9099999999999993</v>
      </c>
      <c r="E3898" s="2">
        <v>5.1499999999999995</v>
      </c>
      <c r="F3898" s="2">
        <v>3.3200000000000003</v>
      </c>
      <c r="G3898" s="6">
        <v>2754.9583171085351</v>
      </c>
      <c r="H3898" s="6">
        <v>2424.2817306324987</v>
      </c>
      <c r="I3898" s="6">
        <v>2224.9186642970258</v>
      </c>
      <c r="J3898" s="6">
        <v>2438.7450764642981</v>
      </c>
      <c r="K3898" s="6">
        <v>2732.0730371933882</v>
      </c>
    </row>
    <row r="3899" spans="1:16" x14ac:dyDescent="0.2">
      <c r="A3899" s="1">
        <v>0.70625000000000004</v>
      </c>
      <c r="B3899" s="2">
        <v>6.3100000000000005</v>
      </c>
      <c r="C3899" s="2">
        <v>3.6799999999999997</v>
      </c>
      <c r="D3899" s="2">
        <v>5.1499999999999995</v>
      </c>
      <c r="E3899" s="2">
        <v>5.57</v>
      </c>
      <c r="F3899" s="2">
        <v>3.1100000000000003</v>
      </c>
      <c r="G3899" s="6">
        <v>1838.8869067520773</v>
      </c>
      <c r="H3899" s="6">
        <v>2162.5982006486156</v>
      </c>
      <c r="I3899" s="6">
        <v>1115.0092600444516</v>
      </c>
      <c r="J3899" s="6">
        <v>2159.5695490578555</v>
      </c>
      <c r="K3899" s="6">
        <v>2722.8108377434951</v>
      </c>
    </row>
    <row r="3900" spans="1:16" x14ac:dyDescent="0.2">
      <c r="A3900" s="1">
        <v>0.70694444444444404</v>
      </c>
      <c r="B3900" s="2">
        <v>6.21</v>
      </c>
      <c r="C3900" s="2">
        <v>3.77</v>
      </c>
      <c r="D3900" s="2">
        <v>5.08</v>
      </c>
      <c r="E3900" s="2">
        <v>5.28</v>
      </c>
      <c r="F3900" s="2">
        <v>3.1500000000000004</v>
      </c>
      <c r="G3900" s="6">
        <v>3691.964001979647</v>
      </c>
      <c r="H3900" s="6">
        <v>3082.5221826734755</v>
      </c>
      <c r="I3900" s="6">
        <v>3209.9073636931325</v>
      </c>
      <c r="J3900" s="6">
        <v>3074.0432547291939</v>
      </c>
      <c r="K3900" s="6">
        <v>3604.9992855213418</v>
      </c>
    </row>
    <row r="3901" spans="1:16" x14ac:dyDescent="0.2">
      <c r="A3901" s="1">
        <v>0.70763888888888904</v>
      </c>
      <c r="B3901" s="2">
        <v>6.3500000000000005</v>
      </c>
      <c r="C3901" s="2">
        <v>3.77</v>
      </c>
      <c r="D3901" s="2">
        <v>5.09</v>
      </c>
      <c r="E3901" s="2">
        <v>5.55</v>
      </c>
      <c r="F3901" s="2">
        <v>3.27</v>
      </c>
      <c r="G3901" s="6">
        <v>2675.2784074232504</v>
      </c>
      <c r="H3901" s="6">
        <f>(G3901+986)-231.94334225941</f>
        <v>3429.3350651638402</v>
      </c>
      <c r="I3901" s="6">
        <v>2372.5777000101812</v>
      </c>
      <c r="J3901" s="6">
        <v>2143.1003971738692</v>
      </c>
      <c r="K3901" s="6">
        <v>2307.5486888594496</v>
      </c>
    </row>
    <row r="3902" spans="1:16" x14ac:dyDescent="0.2">
      <c r="A3902" s="3">
        <v>0.70833333333333304</v>
      </c>
      <c r="B3902" s="2">
        <v>6.24</v>
      </c>
      <c r="C3902" s="2">
        <v>3.82</v>
      </c>
      <c r="D3902" s="2">
        <v>5.12</v>
      </c>
      <c r="E3902" s="2">
        <v>5.41</v>
      </c>
      <c r="F3902" s="2">
        <v>3.24</v>
      </c>
      <c r="G3902" s="6">
        <v>2471</v>
      </c>
      <c r="H3902" s="6">
        <v>2453</v>
      </c>
      <c r="I3902" s="6">
        <v>1358</v>
      </c>
      <c r="J3902" s="6">
        <v>1658</v>
      </c>
      <c r="K3902" s="6">
        <v>1898</v>
      </c>
      <c r="L3902" s="6"/>
      <c r="M3902" s="6"/>
      <c r="N3902" s="6"/>
      <c r="O3902" s="6"/>
      <c r="P3902" s="6"/>
    </row>
    <row r="3903" spans="1:16" x14ac:dyDescent="0.2">
      <c r="A3903" s="1">
        <v>0.70902777777777803</v>
      </c>
      <c r="B3903" s="2">
        <v>6.18</v>
      </c>
      <c r="C3903" s="2">
        <v>3.67</v>
      </c>
      <c r="D3903" s="2">
        <v>5.3</v>
      </c>
      <c r="E3903" s="2">
        <v>5.5</v>
      </c>
      <c r="F3903" s="2">
        <v>3.33</v>
      </c>
      <c r="G3903" s="6">
        <v>2352.4919039230635</v>
      </c>
      <c r="H3903">
        <v>2332.9167328376552</v>
      </c>
      <c r="I3903">
        <v>1689.6564227543431</v>
      </c>
      <c r="J3903">
        <v>2555.7543830044756</v>
      </c>
      <c r="K3903">
        <v>2020.3852454631126</v>
      </c>
    </row>
    <row r="3904" spans="1:16" x14ac:dyDescent="0.2">
      <c r="A3904" s="1">
        <v>0.70972222222222203</v>
      </c>
      <c r="B3904" s="2">
        <v>6.16</v>
      </c>
      <c r="C3904" s="2">
        <v>3.7199999999999998</v>
      </c>
      <c r="D3904" s="2">
        <v>5.25</v>
      </c>
      <c r="E3904" s="2">
        <v>5.42</v>
      </c>
      <c r="F3904" s="2">
        <v>3.25</v>
      </c>
      <c r="G3904" s="6">
        <v>3179.5671284514478</v>
      </c>
      <c r="H3904">
        <v>3064.809743475626</v>
      </c>
      <c r="I3904">
        <v>2713.6574276591523</v>
      </c>
      <c r="J3904">
        <v>2780.7933499849664</v>
      </c>
      <c r="K3904">
        <v>2643.0162519820565</v>
      </c>
    </row>
    <row r="3905" spans="1:11" x14ac:dyDescent="0.2">
      <c r="A3905" s="1">
        <v>0.71041666666666703</v>
      </c>
      <c r="B3905" s="2">
        <v>6.33</v>
      </c>
      <c r="C3905" s="2">
        <v>3.61</v>
      </c>
      <c r="D3905" s="2">
        <v>4.97</v>
      </c>
      <c r="E3905" s="2">
        <v>5.3</v>
      </c>
      <c r="F3905" s="2">
        <v>3.41</v>
      </c>
      <c r="G3905" s="6">
        <v>2208.260468047531</v>
      </c>
      <c r="H3905">
        <v>2564.1745430204378</v>
      </c>
      <c r="I3905">
        <v>2594.3022585291892</v>
      </c>
      <c r="J3905">
        <v>2274.8124474618667</v>
      </c>
      <c r="K3905">
        <v>3099.3402480585087</v>
      </c>
    </row>
    <row r="3906" spans="1:11" x14ac:dyDescent="0.2">
      <c r="A3906" s="1">
        <v>0.71111111111111103</v>
      </c>
      <c r="B3906" s="2">
        <v>6.3100000000000005</v>
      </c>
      <c r="C3906" s="2">
        <v>3.88</v>
      </c>
      <c r="D3906" s="2">
        <v>5.08</v>
      </c>
      <c r="E3906" s="2">
        <v>5.65</v>
      </c>
      <c r="F3906" s="2">
        <v>3.22</v>
      </c>
      <c r="G3906" s="6">
        <v>2224.5536475374547</v>
      </c>
      <c r="H3906">
        <v>2539.667036545698</v>
      </c>
      <c r="I3906">
        <v>1767.266263635524</v>
      </c>
      <c r="J3906">
        <v>2037.9659868494241</v>
      </c>
      <c r="K3906">
        <v>1924.4495722413828</v>
      </c>
    </row>
    <row r="3907" spans="1:11" x14ac:dyDescent="0.2">
      <c r="A3907" s="1">
        <v>0.71180555555555602</v>
      </c>
      <c r="B3907" s="2">
        <v>6.36</v>
      </c>
      <c r="C3907" s="2">
        <v>3.7199999999999998</v>
      </c>
      <c r="D3907" s="2">
        <v>4.9799999999999995</v>
      </c>
      <c r="E3907" s="2">
        <v>5.77</v>
      </c>
      <c r="F3907" s="2">
        <v>3.2</v>
      </c>
      <c r="G3907" s="6">
        <v>2322.2296862141616</v>
      </c>
      <c r="H3907">
        <v>2258.8649593498972</v>
      </c>
      <c r="I3907">
        <v>1813.7209563211618</v>
      </c>
      <c r="J3907">
        <v>2246.2628507823542</v>
      </c>
      <c r="K3907">
        <v>2081.435870103322</v>
      </c>
    </row>
    <row r="3908" spans="1:11" x14ac:dyDescent="0.2">
      <c r="A3908" s="1">
        <v>0.71250000000000002</v>
      </c>
      <c r="B3908" s="2">
        <v>6.2</v>
      </c>
      <c r="C3908" s="2">
        <v>3.6799999999999997</v>
      </c>
      <c r="D3908" s="2">
        <v>5.29</v>
      </c>
      <c r="E3908" s="2">
        <v>5.2299999999999995</v>
      </c>
      <c r="F3908" s="2">
        <v>3.3000000000000003</v>
      </c>
      <c r="G3908" s="6">
        <v>2487.1111539312906</v>
      </c>
      <c r="H3908">
        <v>2602.3862653562583</v>
      </c>
      <c r="I3908">
        <v>1896.436984008219</v>
      </c>
      <c r="J3908">
        <v>2375.2063263344653</v>
      </c>
      <c r="K3908">
        <v>2266.8352902461274</v>
      </c>
    </row>
    <row r="3909" spans="1:11" x14ac:dyDescent="0.2">
      <c r="A3909" s="1">
        <v>0.71319444444444402</v>
      </c>
      <c r="B3909" s="2">
        <v>6.16</v>
      </c>
      <c r="C3909" s="2">
        <v>3.73</v>
      </c>
      <c r="D3909" s="2">
        <v>5.17</v>
      </c>
      <c r="E3909" s="2">
        <v>5.4799999999999995</v>
      </c>
      <c r="F3909" s="2">
        <v>3.33</v>
      </c>
      <c r="G3909" s="6">
        <v>3145.0403909546371</v>
      </c>
      <c r="H3909">
        <v>3173.878487683196</v>
      </c>
      <c r="I3909">
        <v>2684.5148736605765</v>
      </c>
      <c r="J3909">
        <v>2784.6471872023094</v>
      </c>
      <c r="K3909">
        <v>2820.4209243531873</v>
      </c>
    </row>
    <row r="3910" spans="1:11" x14ac:dyDescent="0.2">
      <c r="A3910" s="1">
        <v>0.71388888888888902</v>
      </c>
      <c r="B3910" s="2">
        <v>6.26</v>
      </c>
      <c r="C3910" s="2">
        <v>3.88</v>
      </c>
      <c r="D3910" s="2">
        <v>5.16</v>
      </c>
      <c r="E3910" s="2">
        <v>5.13</v>
      </c>
      <c r="F3910" s="2">
        <v>2.94</v>
      </c>
      <c r="G3910" s="6">
        <v>1442.8019433265313</v>
      </c>
      <c r="H3910">
        <v>1457.8456519604845</v>
      </c>
      <c r="I3910">
        <v>975.30387270298581</v>
      </c>
      <c r="J3910">
        <v>1421.0613918737636</v>
      </c>
      <c r="K3910">
        <v>1407.6302831890755</v>
      </c>
    </row>
    <row r="3911" spans="1:11" x14ac:dyDescent="0.2">
      <c r="A3911" s="1">
        <v>0.71458333333333302</v>
      </c>
      <c r="B3911" s="2">
        <v>6.12</v>
      </c>
      <c r="C3911" s="2">
        <v>3.6599999999999997</v>
      </c>
      <c r="D3911" s="2">
        <v>5.35</v>
      </c>
      <c r="E3911" s="2">
        <v>5.41</v>
      </c>
      <c r="F3911" s="2">
        <v>3.14</v>
      </c>
      <c r="G3911" s="6">
        <v>1922.5123063698029</v>
      </c>
      <c r="H3911">
        <v>1995.0874957729482</v>
      </c>
      <c r="I3911">
        <v>1482.3739860676387</v>
      </c>
      <c r="J3911">
        <v>1862.6315616938261</v>
      </c>
      <c r="K3911">
        <v>1672.6107213479324</v>
      </c>
    </row>
    <row r="3912" spans="1:11" x14ac:dyDescent="0.2">
      <c r="A3912" s="1">
        <v>0.71527777777777801</v>
      </c>
      <c r="B3912" s="2">
        <v>6.28</v>
      </c>
      <c r="C3912" s="2">
        <v>3.8499999999999996</v>
      </c>
      <c r="D3912" s="2">
        <v>4.97</v>
      </c>
      <c r="E3912" s="2">
        <v>5.53</v>
      </c>
      <c r="F3912" s="2">
        <v>3.13</v>
      </c>
      <c r="G3912" s="6">
        <v>1923.4429263403981</v>
      </c>
      <c r="H3912">
        <v>2175.3692584000305</v>
      </c>
      <c r="I3912">
        <v>1635.673322270866</v>
      </c>
      <c r="J3912">
        <v>1834.7644171796246</v>
      </c>
      <c r="K3912">
        <v>2022.1161312853026</v>
      </c>
    </row>
    <row r="3913" spans="1:11" x14ac:dyDescent="0.2">
      <c r="A3913" s="1">
        <v>0.71597222222222201</v>
      </c>
      <c r="B3913" s="2">
        <v>6.24</v>
      </c>
      <c r="C3913" s="2">
        <v>3.69</v>
      </c>
      <c r="D3913" s="2">
        <v>4.8899999999999997</v>
      </c>
      <c r="E3913" s="2">
        <v>5.77</v>
      </c>
      <c r="F3913" s="2">
        <v>3.41</v>
      </c>
      <c r="G3913" s="6">
        <v>3070.9386909983577</v>
      </c>
      <c r="H3913">
        <v>2989.8133004949414</v>
      </c>
      <c r="I3913">
        <v>2819.2023552317082</v>
      </c>
      <c r="J3913">
        <v>3030.8590998518644</v>
      </c>
      <c r="K3913">
        <v>3118.823457685523</v>
      </c>
    </row>
    <row r="3914" spans="1:11" x14ac:dyDescent="0.2">
      <c r="A3914" s="1">
        <v>0.71666666666666701</v>
      </c>
      <c r="B3914" s="2">
        <v>6.19</v>
      </c>
      <c r="C3914" s="2">
        <v>3.6199999999999997</v>
      </c>
      <c r="D3914" s="2">
        <v>5.1999999999999993</v>
      </c>
      <c r="E3914" s="2">
        <v>5.58</v>
      </c>
      <c r="F3914" s="2">
        <v>2.99</v>
      </c>
      <c r="G3914" s="6">
        <v>2704.5799895155933</v>
      </c>
      <c r="H3914">
        <v>3058.5312219013617</v>
      </c>
      <c r="I3914">
        <v>2536.3497053546598</v>
      </c>
      <c r="J3914">
        <v>2620.3861264407301</v>
      </c>
      <c r="K3914">
        <v>2908.4245612743853</v>
      </c>
    </row>
    <row r="3915" spans="1:11" x14ac:dyDescent="0.2">
      <c r="A3915" s="1">
        <v>0.71736111111111101</v>
      </c>
      <c r="B3915" s="2">
        <v>6.19</v>
      </c>
      <c r="C3915" s="2">
        <v>3.71</v>
      </c>
      <c r="D3915" s="2">
        <v>5.16</v>
      </c>
      <c r="E3915" s="2">
        <v>5.66</v>
      </c>
      <c r="F3915" s="2">
        <v>3.21</v>
      </c>
      <c r="G3915" s="6">
        <v>2108.3059749519571</v>
      </c>
      <c r="H3915">
        <v>1997.4177953815797</v>
      </c>
      <c r="I3915">
        <v>1522.7422212353354</v>
      </c>
      <c r="J3915">
        <v>2108.4830301266752</v>
      </c>
      <c r="K3915">
        <v>2090.3407129731718</v>
      </c>
    </row>
    <row r="3916" spans="1:11" x14ac:dyDescent="0.2">
      <c r="A3916" s="1">
        <v>0.718055555555556</v>
      </c>
      <c r="B3916" s="2">
        <v>6.3</v>
      </c>
      <c r="C3916" s="2">
        <v>3.71</v>
      </c>
      <c r="D3916" s="2">
        <v>4.8999999999999995</v>
      </c>
      <c r="E3916" s="2">
        <v>5.45</v>
      </c>
      <c r="F3916" s="2">
        <v>3.38</v>
      </c>
      <c r="G3916" s="6">
        <v>1282.4157720100222</v>
      </c>
      <c r="H3916">
        <v>1047.0190624476795</v>
      </c>
      <c r="I3916">
        <v>927.00052365732495</v>
      </c>
      <c r="J3916">
        <v>1303.7241121933889</v>
      </c>
      <c r="K3916">
        <v>947.48763741058178</v>
      </c>
    </row>
    <row r="3917" spans="1:11" x14ac:dyDescent="0.2">
      <c r="A3917" s="1">
        <v>0.71875</v>
      </c>
      <c r="B3917" s="2">
        <v>6.19</v>
      </c>
      <c r="C3917" s="2">
        <v>3.87</v>
      </c>
      <c r="D3917" s="2">
        <v>5.17</v>
      </c>
      <c r="E3917" s="2">
        <v>5.47</v>
      </c>
      <c r="F3917" s="2">
        <v>3.0100000000000002</v>
      </c>
      <c r="G3917" s="6">
        <v>789.32163516233413</v>
      </c>
      <c r="H3917">
        <v>855.37981206636528</v>
      </c>
      <c r="I3917">
        <v>251.0300503808387</v>
      </c>
      <c r="J3917">
        <v>572.73465508050822</v>
      </c>
      <c r="K3917">
        <v>654.66817993725556</v>
      </c>
    </row>
    <row r="3918" spans="1:11" x14ac:dyDescent="0.2">
      <c r="A3918" s="1">
        <v>0.719444444444444</v>
      </c>
      <c r="B3918" s="2">
        <v>6.15</v>
      </c>
      <c r="C3918" s="2">
        <v>3.9</v>
      </c>
      <c r="D3918" s="2">
        <v>5.35</v>
      </c>
      <c r="E3918" s="2">
        <v>5.59</v>
      </c>
      <c r="F3918" s="2">
        <v>3.3000000000000003</v>
      </c>
      <c r="G3918" s="6">
        <v>1194.2181298583746</v>
      </c>
      <c r="H3918">
        <v>1400.010741280239</v>
      </c>
      <c r="I3918">
        <v>804.09265142510617</v>
      </c>
      <c r="J3918">
        <v>1323.2528388000301</v>
      </c>
      <c r="K3918">
        <v>1148.9931868968813</v>
      </c>
    </row>
    <row r="3919" spans="1:11" x14ac:dyDescent="0.2">
      <c r="A3919" s="1">
        <v>0.72013888888888899</v>
      </c>
      <c r="B3919" s="2">
        <v>6.12</v>
      </c>
      <c r="C3919" s="2">
        <v>3.6999999999999997</v>
      </c>
      <c r="D3919" s="2">
        <v>4.9799999999999995</v>
      </c>
      <c r="E3919" s="2">
        <v>5.14</v>
      </c>
      <c r="F3919" s="2">
        <v>3.06</v>
      </c>
      <c r="G3919" s="6">
        <v>2221.9074441840862</v>
      </c>
      <c r="H3919">
        <v>2245.2004223069603</v>
      </c>
      <c r="I3919">
        <v>1808.9967789672078</v>
      </c>
      <c r="J3919">
        <v>2083.800891539363</v>
      </c>
      <c r="K3919">
        <v>2142.4984352988486</v>
      </c>
    </row>
    <row r="3920" spans="1:11" x14ac:dyDescent="0.2">
      <c r="A3920" s="1">
        <v>0.72083333333333299</v>
      </c>
      <c r="B3920" s="2">
        <v>6.34</v>
      </c>
      <c r="C3920" s="2">
        <v>3.63</v>
      </c>
      <c r="D3920" s="2">
        <v>5.2799999999999994</v>
      </c>
      <c r="E3920" s="2">
        <v>5.37</v>
      </c>
      <c r="F3920" s="2">
        <v>3.2800000000000002</v>
      </c>
      <c r="G3920" s="6">
        <v>2764.5701846765337</v>
      </c>
      <c r="H3920">
        <v>2683.5253144017097</v>
      </c>
      <c r="I3920">
        <v>2320.412182179145</v>
      </c>
      <c r="J3920">
        <v>2820.2317719025591</v>
      </c>
      <c r="K3920">
        <v>2513.3795731740584</v>
      </c>
    </row>
    <row r="3921" spans="1:11" x14ac:dyDescent="0.2">
      <c r="A3921" s="1">
        <v>0.72152777777777799</v>
      </c>
      <c r="B3921" s="2">
        <v>6.3500000000000005</v>
      </c>
      <c r="C3921" s="2">
        <v>3.8899999999999997</v>
      </c>
      <c r="D3921" s="2">
        <v>5.1499999999999995</v>
      </c>
      <c r="E3921" s="2">
        <v>5.4799999999999995</v>
      </c>
      <c r="F3921" s="2">
        <v>3</v>
      </c>
      <c r="G3921" s="6">
        <v>2229.957284255805</v>
      </c>
      <c r="H3921">
        <v>2246.5417673416505</v>
      </c>
      <c r="I3921">
        <v>2005.3471545071791</v>
      </c>
      <c r="J3921">
        <v>2269.1788266038202</v>
      </c>
      <c r="K3921">
        <v>2053.0891053532418</v>
      </c>
    </row>
    <row r="3922" spans="1:11" x14ac:dyDescent="0.2">
      <c r="A3922" s="1">
        <v>0.72222222222222199</v>
      </c>
      <c r="B3922" s="2">
        <v>6.23</v>
      </c>
      <c r="C3922" s="2">
        <v>3.6399999999999997</v>
      </c>
      <c r="D3922" s="2">
        <v>5.2299999999999995</v>
      </c>
      <c r="E3922" s="2">
        <v>5.6899999999999995</v>
      </c>
      <c r="F3922" s="2">
        <v>3.3200000000000003</v>
      </c>
      <c r="G3922" s="6">
        <v>3164.786111206236</v>
      </c>
      <c r="H3922">
        <v>3184.6099376851862</v>
      </c>
      <c r="I3922">
        <v>2779.8716364647457</v>
      </c>
      <c r="J3922">
        <v>2850.8615979668471</v>
      </c>
      <c r="K3922">
        <v>3086.707237933379</v>
      </c>
    </row>
    <row r="3923" spans="1:11" x14ac:dyDescent="0.2">
      <c r="A3923" s="1">
        <v>0.72291666666666698</v>
      </c>
      <c r="B3923" s="2">
        <v>6.37</v>
      </c>
      <c r="C3923" s="2">
        <v>3.86</v>
      </c>
      <c r="D3923" s="2">
        <v>4.97</v>
      </c>
      <c r="E3923" s="2">
        <v>5.27</v>
      </c>
      <c r="F3923" s="2">
        <v>3.12</v>
      </c>
      <c r="G3923" s="6">
        <v>1898.9906586966624</v>
      </c>
      <c r="H3923">
        <v>2087.0416374573292</v>
      </c>
      <c r="I3923">
        <v>1558.1874501763891</v>
      </c>
      <c r="J3923">
        <v>1993.2110969670853</v>
      </c>
      <c r="K3923">
        <v>1806.939583886314</v>
      </c>
    </row>
    <row r="3924" spans="1:11" x14ac:dyDescent="0.2">
      <c r="A3924" s="1">
        <v>0.72361111111111098</v>
      </c>
      <c r="B3924" s="2">
        <v>6.3</v>
      </c>
      <c r="C3924" s="2">
        <v>3.75</v>
      </c>
      <c r="D3924" s="2">
        <v>5.0299999999999994</v>
      </c>
      <c r="E3924" s="2">
        <v>5.2</v>
      </c>
      <c r="F3924" s="2">
        <v>3.41</v>
      </c>
      <c r="G3924" s="6">
        <v>1178.5615675819067</v>
      </c>
      <c r="H3924">
        <v>1390.213822180398</v>
      </c>
      <c r="I3924">
        <v>1018.1407502937906</v>
      </c>
      <c r="J3924">
        <v>1266.3253024521957</v>
      </c>
      <c r="K3924">
        <v>1141.6547252691062</v>
      </c>
    </row>
    <row r="3925" spans="1:11" x14ac:dyDescent="0.2">
      <c r="A3925" s="1">
        <v>0.72430555555555598</v>
      </c>
      <c r="B3925" s="2">
        <v>6.3100000000000005</v>
      </c>
      <c r="C3925" s="2">
        <v>3.75</v>
      </c>
      <c r="D3925" s="2">
        <v>5.31</v>
      </c>
      <c r="E3925" s="2">
        <v>5.49</v>
      </c>
      <c r="F3925" s="2">
        <v>3.41</v>
      </c>
      <c r="G3925" s="6">
        <v>721.70393266582414</v>
      </c>
      <c r="H3925">
        <v>955.54925683894282</v>
      </c>
      <c r="I3925">
        <v>192.22322578333882</v>
      </c>
      <c r="J3925">
        <v>906.02128281702255</v>
      </c>
      <c r="K3925">
        <v>611.67821300609751</v>
      </c>
    </row>
    <row r="3926" spans="1:11" x14ac:dyDescent="0.2">
      <c r="A3926" s="1">
        <v>0.72499999999999998</v>
      </c>
      <c r="B3926" s="2">
        <v>6.37</v>
      </c>
      <c r="C3926" s="2">
        <v>3.84</v>
      </c>
      <c r="D3926" s="2">
        <v>5.13</v>
      </c>
      <c r="E3926" s="2">
        <v>5.36</v>
      </c>
      <c r="F3926" s="2">
        <v>3.0500000000000003</v>
      </c>
      <c r="G3926" s="6">
        <v>521.19265939798481</v>
      </c>
      <c r="H3926">
        <v>822.11276406072398</v>
      </c>
      <c r="I3926">
        <v>186.30592614304231</v>
      </c>
      <c r="J3926">
        <v>740.85856404515334</v>
      </c>
      <c r="K3926">
        <v>752.88551833876363</v>
      </c>
    </row>
    <row r="3927" spans="1:11" x14ac:dyDescent="0.2">
      <c r="A3927" s="1">
        <v>0.72569444444444398</v>
      </c>
      <c r="B3927" s="2">
        <v>6.3</v>
      </c>
      <c r="C3927" s="2">
        <v>3.77</v>
      </c>
      <c r="D3927" s="2">
        <v>5.29</v>
      </c>
      <c r="E3927" s="2">
        <v>5.3</v>
      </c>
      <c r="F3927" s="2">
        <v>3.3000000000000003</v>
      </c>
      <c r="G3927" s="6">
        <v>2231.0339598088381</v>
      </c>
      <c r="H3927">
        <v>2072.8242155076996</v>
      </c>
      <c r="I3927">
        <v>1849.7258906182169</v>
      </c>
      <c r="J3927">
        <v>1855.7472229033167</v>
      </c>
      <c r="K3927">
        <v>2003.2296278316703</v>
      </c>
    </row>
    <row r="3928" spans="1:11" x14ac:dyDescent="0.2">
      <c r="A3928" s="1">
        <v>0.72638888888888897</v>
      </c>
      <c r="B3928" s="2">
        <v>6.3500000000000005</v>
      </c>
      <c r="C3928" s="2">
        <v>3.88</v>
      </c>
      <c r="D3928" s="2">
        <v>5.1099999999999994</v>
      </c>
      <c r="E3928" s="2">
        <v>5.43</v>
      </c>
      <c r="F3928" s="2">
        <v>3.2800000000000002</v>
      </c>
      <c r="G3928" s="6">
        <v>3332.6102222978052</v>
      </c>
      <c r="H3928">
        <v>3484.6690432305186</v>
      </c>
      <c r="I3928">
        <v>2970.7501361064569</v>
      </c>
      <c r="J3928">
        <v>3336.3811218902433</v>
      </c>
      <c r="K3928">
        <v>3293.2204114050019</v>
      </c>
    </row>
    <row r="3929" spans="1:11" x14ac:dyDescent="0.2">
      <c r="A3929" s="1">
        <v>0.72708333333333297</v>
      </c>
      <c r="B3929" s="2">
        <v>6.2</v>
      </c>
      <c r="C3929" s="2">
        <v>3.8</v>
      </c>
      <c r="D3929" s="2">
        <v>5.09</v>
      </c>
      <c r="E3929" s="2">
        <v>5.35</v>
      </c>
      <c r="F3929" s="2">
        <v>3.17</v>
      </c>
      <c r="G3929" s="6">
        <v>2719.0579271173524</v>
      </c>
      <c r="H3929">
        <v>2749.75605600673</v>
      </c>
      <c r="I3929">
        <v>2143.4465598153242</v>
      </c>
      <c r="J3929">
        <v>2491.1759640278692</v>
      </c>
      <c r="K3929">
        <v>2766.3570832547289</v>
      </c>
    </row>
    <row r="3930" spans="1:11" x14ac:dyDescent="0.2">
      <c r="A3930" s="1">
        <v>0.72777777777777797</v>
      </c>
      <c r="B3930" s="2">
        <v>6.13</v>
      </c>
      <c r="C3930" s="2">
        <v>3.73</v>
      </c>
      <c r="D3930" s="2">
        <v>5.34</v>
      </c>
      <c r="E3930" s="2">
        <v>5.58</v>
      </c>
      <c r="F3930" s="2">
        <v>3.06</v>
      </c>
      <c r="G3930" s="6">
        <v>2851.2534065193049</v>
      </c>
      <c r="H3930">
        <v>2789.3049327407134</v>
      </c>
      <c r="I3930">
        <v>2626.1830311900953</v>
      </c>
      <c r="J3930">
        <v>2872.3216941493952</v>
      </c>
      <c r="K3930">
        <v>2646.460038730424</v>
      </c>
    </row>
    <row r="3931" spans="1:11" x14ac:dyDescent="0.2">
      <c r="A3931" s="1">
        <v>0.72847222222222197</v>
      </c>
      <c r="B3931" s="2">
        <v>6.36</v>
      </c>
      <c r="C3931" s="2">
        <v>3.69</v>
      </c>
      <c r="D3931" s="2">
        <v>5.13</v>
      </c>
      <c r="E3931" s="2">
        <v>5.38</v>
      </c>
      <c r="F3931" s="2">
        <v>3.38</v>
      </c>
      <c r="G3931" s="6">
        <v>1339.7127456090807</v>
      </c>
      <c r="H3931">
        <v>1636.4303928452771</v>
      </c>
      <c r="I3931">
        <v>913.33960879904998</v>
      </c>
      <c r="J3931">
        <v>1435.5546215465733</v>
      </c>
      <c r="K3931">
        <v>1245.6797990190953</v>
      </c>
    </row>
    <row r="3932" spans="1:11" x14ac:dyDescent="0.2">
      <c r="A3932" s="1">
        <v>0.72916666666666696</v>
      </c>
      <c r="B3932" s="2">
        <v>6.34</v>
      </c>
      <c r="C3932" s="2">
        <v>3.79</v>
      </c>
      <c r="D3932" s="2">
        <v>5.34</v>
      </c>
      <c r="E3932" s="2">
        <v>5.78</v>
      </c>
      <c r="F3932" s="2">
        <v>3.35</v>
      </c>
      <c r="G3932" s="6">
        <v>1316.61927070764</v>
      </c>
      <c r="H3932">
        <v>1196.4075423759562</v>
      </c>
      <c r="I3932">
        <v>865.411346359915</v>
      </c>
      <c r="J3932">
        <v>1075.7843609940896</v>
      </c>
      <c r="K3932">
        <v>1207.9881335412645</v>
      </c>
    </row>
    <row r="3933" spans="1:11" x14ac:dyDescent="0.2">
      <c r="A3933" s="1">
        <v>0.72986111111111096</v>
      </c>
      <c r="B3933" s="2">
        <v>6.26</v>
      </c>
      <c r="C3933" s="2">
        <v>3.8499999999999996</v>
      </c>
      <c r="D3933" s="2">
        <v>5.3199999999999994</v>
      </c>
      <c r="E3933" s="2">
        <v>5.33</v>
      </c>
      <c r="F3933" s="2">
        <v>3.27</v>
      </c>
      <c r="G3933" s="6">
        <v>2137.7097675509676</v>
      </c>
      <c r="H3933">
        <v>2057.2094292616957</v>
      </c>
      <c r="I3933">
        <v>1720.3409330092393</v>
      </c>
      <c r="J3933">
        <v>2201.1474986380344</v>
      </c>
      <c r="K3933">
        <v>2117.1946521343789</v>
      </c>
    </row>
    <row r="3934" spans="1:11" x14ac:dyDescent="0.2">
      <c r="A3934" s="1">
        <v>0.73055555555555596</v>
      </c>
      <c r="B3934" s="2">
        <v>6.2</v>
      </c>
      <c r="C3934" s="2">
        <v>3.63</v>
      </c>
      <c r="D3934" s="2">
        <v>5.0599999999999996</v>
      </c>
      <c r="E3934" s="2">
        <v>5.4399999999999995</v>
      </c>
      <c r="F3934" s="2">
        <v>3.0900000000000003</v>
      </c>
      <c r="G3934" s="6">
        <v>2006.4245481373039</v>
      </c>
      <c r="H3934">
        <v>1967.0697609694218</v>
      </c>
      <c r="I3934">
        <v>1522.5186032463109</v>
      </c>
      <c r="J3934">
        <v>2166.6759200921242</v>
      </c>
      <c r="K3934">
        <v>2003.364932287124</v>
      </c>
    </row>
    <row r="3935" spans="1:11" x14ac:dyDescent="0.2">
      <c r="A3935" s="1">
        <v>0.73124999999999996</v>
      </c>
      <c r="B3935" s="2">
        <v>6.29</v>
      </c>
      <c r="C3935" s="2">
        <v>3.6199999999999997</v>
      </c>
      <c r="D3935" s="2">
        <v>5.39</v>
      </c>
      <c r="E3935" s="2">
        <v>5.27</v>
      </c>
      <c r="F3935" s="2">
        <v>3.02</v>
      </c>
      <c r="G3935" s="6">
        <v>1435.1877367348009</v>
      </c>
      <c r="H3935">
        <v>1367.1367876294184</v>
      </c>
      <c r="I3935">
        <v>948.70279422843282</v>
      </c>
      <c r="J3935">
        <v>1436.3116245415792</v>
      </c>
      <c r="K3935">
        <v>1400.1398857830241</v>
      </c>
    </row>
    <row r="3936" spans="1:11" x14ac:dyDescent="0.2">
      <c r="A3936" s="1">
        <v>0.73194444444444495</v>
      </c>
      <c r="B3936" s="2">
        <v>6.17</v>
      </c>
      <c r="C3936" s="2">
        <v>3.63</v>
      </c>
      <c r="D3936" s="2">
        <v>4.92</v>
      </c>
      <c r="E3936" s="2">
        <v>5.24</v>
      </c>
      <c r="F3936" s="2">
        <v>3.33</v>
      </c>
      <c r="G3936" s="6">
        <v>1079.1392259770785</v>
      </c>
      <c r="H3936">
        <v>1000.3829860710762</v>
      </c>
      <c r="I3936">
        <v>664.91733595246433</v>
      </c>
      <c r="J3936">
        <v>1156.6555246526509</v>
      </c>
      <c r="K3936">
        <v>942.15138982965902</v>
      </c>
    </row>
    <row r="3937" spans="1:11" x14ac:dyDescent="0.2">
      <c r="A3937" s="1">
        <v>0.73263888888888895</v>
      </c>
      <c r="B3937" s="2">
        <v>6.33</v>
      </c>
      <c r="C3937" s="2">
        <v>3.9099999999999997</v>
      </c>
      <c r="D3937" s="2">
        <v>5.13</v>
      </c>
      <c r="E3937" s="2">
        <v>5.79</v>
      </c>
      <c r="F3937" s="2">
        <v>3.1</v>
      </c>
      <c r="G3937" s="6">
        <v>848.77836026343016</v>
      </c>
      <c r="H3937">
        <v>849.83404164470312</v>
      </c>
      <c r="I3937">
        <v>354.99898666800982</v>
      </c>
      <c r="J3937">
        <v>756.36828852864232</v>
      </c>
      <c r="K3937">
        <v>513.08453790632802</v>
      </c>
    </row>
    <row r="3938" spans="1:11" x14ac:dyDescent="0.2">
      <c r="A3938" s="1">
        <v>0.73333333333333295</v>
      </c>
      <c r="B3938" s="2">
        <v>6.23</v>
      </c>
      <c r="C3938" s="2">
        <v>3.84</v>
      </c>
      <c r="D3938" s="2">
        <v>5.01</v>
      </c>
      <c r="E3938" s="2">
        <v>5.7</v>
      </c>
      <c r="F3938" s="2">
        <v>3.37</v>
      </c>
      <c r="G3938" s="6">
        <v>1293.995865700969</v>
      </c>
      <c r="H3938">
        <v>1451.7406078630884</v>
      </c>
      <c r="I3938">
        <v>1002.2270185658465</v>
      </c>
      <c r="J3938">
        <v>1423.5900075835766</v>
      </c>
      <c r="K3938">
        <v>1253.2090631013266</v>
      </c>
    </row>
    <row r="3939" spans="1:11" x14ac:dyDescent="0.2">
      <c r="A3939" s="1">
        <v>0.73402777777777795</v>
      </c>
      <c r="B3939" s="2">
        <v>6.3</v>
      </c>
      <c r="C3939" s="2">
        <v>3.84</v>
      </c>
      <c r="D3939" s="2">
        <v>4.9399999999999995</v>
      </c>
      <c r="E3939" s="2">
        <v>5.72</v>
      </c>
      <c r="F3939" s="2">
        <v>2.96</v>
      </c>
      <c r="G3939" s="6">
        <v>1515.592304703365</v>
      </c>
      <c r="H3939">
        <v>1634.427509845051</v>
      </c>
      <c r="I3939">
        <v>1352.9366751421835</v>
      </c>
      <c r="J3939">
        <v>1393.9194708697635</v>
      </c>
      <c r="K3939">
        <v>1723.7427853068732</v>
      </c>
    </row>
    <row r="3940" spans="1:11" x14ac:dyDescent="0.2">
      <c r="A3940" s="1">
        <v>0.73472222222222205</v>
      </c>
      <c r="B3940" s="2">
        <v>6.17</v>
      </c>
      <c r="C3940" s="2">
        <v>3.7199999999999998</v>
      </c>
      <c r="D3940" s="2">
        <v>5.0999999999999996</v>
      </c>
      <c r="E3940" s="2">
        <v>5.7</v>
      </c>
      <c r="F3940" s="2">
        <v>3.4000000000000004</v>
      </c>
      <c r="G3940" s="6">
        <v>1815.8474214288726</v>
      </c>
      <c r="H3940">
        <v>1633.5654501133263</v>
      </c>
      <c r="I3940">
        <v>1396.6266273986939</v>
      </c>
      <c r="J3940">
        <v>1583.229861374364</v>
      </c>
      <c r="K3940">
        <v>1393.5384614854242</v>
      </c>
    </row>
    <row r="3941" spans="1:11" x14ac:dyDescent="0.2">
      <c r="A3941" s="1">
        <v>0.73541666666666705</v>
      </c>
      <c r="B3941" s="2">
        <v>6.36</v>
      </c>
      <c r="C3941" s="2">
        <v>3.75</v>
      </c>
      <c r="D3941" s="2">
        <v>5.12</v>
      </c>
      <c r="E3941" s="2">
        <v>5.78</v>
      </c>
      <c r="F3941" s="2">
        <v>3.3400000000000003</v>
      </c>
      <c r="G3941" s="6">
        <v>1563.3418247314319</v>
      </c>
      <c r="H3941">
        <v>1662.5310584884728</v>
      </c>
      <c r="I3941">
        <v>1503.8063309414549</v>
      </c>
      <c r="J3941">
        <v>1566.8295743982524</v>
      </c>
      <c r="K3941">
        <v>1595.3429065092653</v>
      </c>
    </row>
    <row r="3942" spans="1:11" x14ac:dyDescent="0.2">
      <c r="A3942" s="1">
        <v>0.73611111111111105</v>
      </c>
      <c r="B3942" s="2">
        <v>6.18</v>
      </c>
      <c r="C3942" s="2">
        <v>3.76</v>
      </c>
      <c r="D3942" s="2">
        <v>5.0999999999999996</v>
      </c>
      <c r="E3942" s="2">
        <v>5.78</v>
      </c>
      <c r="F3942" s="2">
        <v>3</v>
      </c>
      <c r="G3942" s="6">
        <v>1874.4151104701934</v>
      </c>
      <c r="H3942">
        <v>1972.1206030040883</v>
      </c>
      <c r="I3942">
        <v>1701.668999799843</v>
      </c>
      <c r="J3942">
        <v>1981.41434573374</v>
      </c>
      <c r="K3942">
        <v>1812.115946877773</v>
      </c>
    </row>
    <row r="3943" spans="1:11" x14ac:dyDescent="0.2">
      <c r="A3943" s="1">
        <v>0.73680555555555605</v>
      </c>
      <c r="B3943" s="2">
        <v>6.21</v>
      </c>
      <c r="C3943" s="2">
        <v>3.84</v>
      </c>
      <c r="D3943" s="2">
        <v>5.12</v>
      </c>
      <c r="E3943" s="2">
        <v>5.52</v>
      </c>
      <c r="F3943" s="2">
        <v>3.18</v>
      </c>
      <c r="G3943" s="6">
        <v>3057.6133721520482</v>
      </c>
      <c r="H3943">
        <v>3115.0502059988235</v>
      </c>
      <c r="I3943">
        <v>2536.6599062732234</v>
      </c>
      <c r="J3943">
        <v>3007.9046693977793</v>
      </c>
      <c r="K3943">
        <v>3043.6978701708676</v>
      </c>
    </row>
    <row r="3944" spans="1:11" x14ac:dyDescent="0.2">
      <c r="A3944" s="1">
        <v>0.73750000000000004</v>
      </c>
      <c r="B3944" s="2">
        <v>6.18</v>
      </c>
      <c r="C3944" s="2">
        <v>3.81</v>
      </c>
      <c r="D3944" s="2">
        <v>5.39</v>
      </c>
      <c r="E3944" s="2">
        <v>5.7</v>
      </c>
      <c r="F3944" s="2">
        <v>3.4000000000000004</v>
      </c>
      <c r="G3944" s="6">
        <v>1275.3024190947137</v>
      </c>
      <c r="H3944">
        <v>1425.9490186660241</v>
      </c>
      <c r="I3944">
        <v>900.11386316608025</v>
      </c>
      <c r="J3944">
        <v>1525.1133038476758</v>
      </c>
      <c r="K3944">
        <v>1538.376106330659</v>
      </c>
    </row>
    <row r="3945" spans="1:11" x14ac:dyDescent="0.2">
      <c r="A3945" s="1">
        <v>0.73819444444444404</v>
      </c>
      <c r="B3945" s="2">
        <v>6.3100000000000005</v>
      </c>
      <c r="C3945" s="2">
        <v>3.86</v>
      </c>
      <c r="D3945" s="2">
        <v>5.0199999999999996</v>
      </c>
      <c r="E3945" s="2">
        <v>5.72</v>
      </c>
      <c r="F3945" s="2">
        <v>3.0700000000000003</v>
      </c>
      <c r="G3945" s="6">
        <v>926.36465940100265</v>
      </c>
      <c r="H3945">
        <v>874.81500161990186</v>
      </c>
      <c r="I3945">
        <v>607.828176753246</v>
      </c>
      <c r="J3945">
        <v>745.93536097759295</v>
      </c>
      <c r="K3945">
        <v>800.36528766393872</v>
      </c>
    </row>
    <row r="3946" spans="1:11" x14ac:dyDescent="0.2">
      <c r="A3946" s="1">
        <v>0.73888888888888904</v>
      </c>
      <c r="B3946" s="2">
        <v>6.38</v>
      </c>
      <c r="C3946" s="2">
        <v>3.9099999999999997</v>
      </c>
      <c r="D3946" s="2">
        <v>5.27</v>
      </c>
      <c r="E3946" s="2">
        <v>5.6</v>
      </c>
      <c r="F3946" s="2">
        <v>3.13</v>
      </c>
      <c r="G3946" s="6">
        <v>1079.698746921161</v>
      </c>
      <c r="H3946">
        <v>999.71987750006156</v>
      </c>
      <c r="I3946">
        <v>465.15663235240407</v>
      </c>
      <c r="J3946">
        <v>1151.2050250506622</v>
      </c>
      <c r="K3946">
        <v>962.01264681268253</v>
      </c>
    </row>
    <row r="3947" spans="1:11" x14ac:dyDescent="0.2">
      <c r="A3947" s="1">
        <v>0.73958333333333304</v>
      </c>
      <c r="B3947" s="2">
        <v>6.29</v>
      </c>
      <c r="C3947" s="2">
        <v>3.6399999999999997</v>
      </c>
      <c r="D3947" s="2">
        <v>5.14</v>
      </c>
      <c r="E3947" s="2">
        <v>5.26</v>
      </c>
      <c r="F3947" s="2">
        <v>3.31</v>
      </c>
      <c r="G3947" s="6">
        <v>1305.8015552827683</v>
      </c>
      <c r="H3947">
        <v>1347.2985337387254</v>
      </c>
      <c r="I3947">
        <v>884.9188861263608</v>
      </c>
      <c r="J3947">
        <v>1519.7405264904542</v>
      </c>
      <c r="K3947">
        <v>1259.0985906427409</v>
      </c>
    </row>
    <row r="3948" spans="1:11" x14ac:dyDescent="0.2">
      <c r="A3948" s="1">
        <v>0.74027777777777803</v>
      </c>
      <c r="B3948" s="2">
        <v>6.13</v>
      </c>
      <c r="C3948" s="2">
        <v>3.76</v>
      </c>
      <c r="D3948" s="2">
        <v>4.9399999999999995</v>
      </c>
      <c r="E3948" s="2">
        <v>5.6899999999999995</v>
      </c>
      <c r="F3948" s="2">
        <v>3.17</v>
      </c>
      <c r="G3948" s="6">
        <v>800.41934591902361</v>
      </c>
      <c r="H3948">
        <v>934.70071498112293</v>
      </c>
      <c r="I3948">
        <v>443.06745113955441</v>
      </c>
      <c r="J3948">
        <v>898.48457706848967</v>
      </c>
      <c r="K3948">
        <v>647.01355376232289</v>
      </c>
    </row>
    <row r="3949" spans="1:11" x14ac:dyDescent="0.2">
      <c r="A3949" s="1">
        <v>0.74097222222222203</v>
      </c>
      <c r="B3949" s="2">
        <v>6.26</v>
      </c>
      <c r="C3949" s="2">
        <v>3.8499999999999996</v>
      </c>
      <c r="D3949" s="2">
        <v>5.0999999999999996</v>
      </c>
      <c r="E3949" s="2">
        <v>5.65</v>
      </c>
      <c r="F3949" s="2">
        <v>2.96</v>
      </c>
      <c r="G3949" s="6">
        <v>2154.7516358651696</v>
      </c>
      <c r="H3949">
        <v>2322.8831996765189</v>
      </c>
      <c r="I3949">
        <v>1496.1799977303883</v>
      </c>
      <c r="J3949">
        <v>2025.3879877693234</v>
      </c>
      <c r="K3949">
        <v>2025.9717250603785</v>
      </c>
    </row>
    <row r="3950" spans="1:11" x14ac:dyDescent="0.2">
      <c r="A3950" s="1">
        <v>0.74166666666666703</v>
      </c>
      <c r="B3950" s="2">
        <v>6.12</v>
      </c>
      <c r="C3950" s="2">
        <v>3.86</v>
      </c>
      <c r="D3950" s="2">
        <v>5.39</v>
      </c>
      <c r="E3950" s="2">
        <v>5.62</v>
      </c>
      <c r="F3950" s="2">
        <v>2.92</v>
      </c>
      <c r="G3950" s="6">
        <v>2415.816735414377</v>
      </c>
      <c r="H3950">
        <v>2252.4009079896532</v>
      </c>
      <c r="I3950">
        <v>1960.4794328372814</v>
      </c>
      <c r="J3950">
        <v>2244.1661011969468</v>
      </c>
      <c r="K3950">
        <v>2170.2388670918594</v>
      </c>
    </row>
    <row r="3951" spans="1:11" x14ac:dyDescent="0.2">
      <c r="A3951" s="1">
        <v>0.74236111111111103</v>
      </c>
      <c r="B3951" s="2">
        <v>6.21</v>
      </c>
      <c r="C3951" s="2">
        <v>3.82</v>
      </c>
      <c r="D3951" s="2">
        <v>5.3599999999999994</v>
      </c>
      <c r="E3951" s="2">
        <v>5.29</v>
      </c>
      <c r="F3951" s="2">
        <v>3.14</v>
      </c>
      <c r="G3951" s="6">
        <v>1399.2827821321857</v>
      </c>
      <c r="H3951">
        <v>1503.0044561703319</v>
      </c>
      <c r="I3951">
        <v>1147.7650427147016</v>
      </c>
      <c r="J3951">
        <v>1363.2798005912859</v>
      </c>
      <c r="K3951">
        <v>1346.8125966323619</v>
      </c>
    </row>
    <row r="3952" spans="1:11" x14ac:dyDescent="0.2">
      <c r="A3952" s="1">
        <v>0.74305555555555602</v>
      </c>
      <c r="B3952" s="2">
        <v>6.32</v>
      </c>
      <c r="C3952" s="2">
        <v>3.87</v>
      </c>
      <c r="D3952" s="2">
        <v>5.13</v>
      </c>
      <c r="E3952" s="2">
        <v>5.46</v>
      </c>
      <c r="F3952" s="2">
        <v>3.0500000000000003</v>
      </c>
      <c r="G3952" s="6">
        <v>1077.8937779323542</v>
      </c>
      <c r="H3952">
        <v>1179.8056678002472</v>
      </c>
      <c r="I3952">
        <v>635.3449779985915</v>
      </c>
      <c r="J3952">
        <v>1107.3249889747731</v>
      </c>
      <c r="K3952">
        <v>897.29726325109255</v>
      </c>
    </row>
    <row r="3953" spans="1:11" x14ac:dyDescent="0.2">
      <c r="A3953" s="1">
        <v>0.74375000000000002</v>
      </c>
      <c r="B3953" s="2">
        <v>6.19</v>
      </c>
      <c r="C3953" s="2">
        <v>3.8899999999999997</v>
      </c>
      <c r="D3953" s="2">
        <v>5.08</v>
      </c>
      <c r="E3953" s="2">
        <v>5.58</v>
      </c>
      <c r="F3953" s="2">
        <v>3.14</v>
      </c>
      <c r="G3953" s="6">
        <v>2255.8934172808035</v>
      </c>
      <c r="H3953">
        <v>2218.8055988769938</v>
      </c>
      <c r="I3953">
        <v>1747.2925016716497</v>
      </c>
      <c r="J3953">
        <v>1896.8313779341343</v>
      </c>
      <c r="K3953">
        <v>2042.5429786169739</v>
      </c>
    </row>
    <row r="3954" spans="1:11" x14ac:dyDescent="0.2">
      <c r="A3954" s="1">
        <v>0.74444444444444402</v>
      </c>
      <c r="B3954" s="2">
        <v>6.26</v>
      </c>
      <c r="C3954" s="2">
        <v>3.76</v>
      </c>
      <c r="D3954" s="2">
        <v>4.8899999999999997</v>
      </c>
      <c r="E3954" s="2">
        <v>5.65</v>
      </c>
      <c r="F3954" s="2">
        <v>2.98</v>
      </c>
      <c r="G3954" s="6">
        <v>1572.8092085888381</v>
      </c>
      <c r="H3954">
        <v>1375.1540783603323</v>
      </c>
      <c r="I3954">
        <v>957.84933384589192</v>
      </c>
      <c r="J3954">
        <v>958.27927861416185</v>
      </c>
      <c r="K3954">
        <v>1051.2690964274757</v>
      </c>
    </row>
    <row r="3955" spans="1:11" x14ac:dyDescent="0.2">
      <c r="A3955" s="1">
        <v>0.74513888888888902</v>
      </c>
      <c r="B3955" s="2">
        <v>6.29</v>
      </c>
      <c r="C3955" s="2">
        <v>3.84</v>
      </c>
      <c r="D3955" s="2">
        <v>5.04</v>
      </c>
      <c r="E3955" s="2">
        <v>5.2299999999999995</v>
      </c>
      <c r="F3955" s="2">
        <v>3.3400000000000003</v>
      </c>
      <c r="G3955" s="6">
        <v>1346.707803109168</v>
      </c>
      <c r="H3955">
        <v>1536.5628249086801</v>
      </c>
      <c r="I3955">
        <v>933.82399184833025</v>
      </c>
      <c r="J3955">
        <v>1413.7963493964016</v>
      </c>
      <c r="K3955">
        <v>1143.618485282137</v>
      </c>
    </row>
    <row r="3956" spans="1:11" x14ac:dyDescent="0.2">
      <c r="A3956" s="1">
        <v>0.74583333333333302</v>
      </c>
      <c r="B3956" s="2">
        <v>6.21</v>
      </c>
      <c r="C3956" s="2">
        <v>3.7399999999999998</v>
      </c>
      <c r="D3956" s="2">
        <v>5.09</v>
      </c>
      <c r="E3956" s="2">
        <v>5.71</v>
      </c>
      <c r="F3956" s="2">
        <v>2.98</v>
      </c>
      <c r="G3956" s="6">
        <v>761.91254470447984</v>
      </c>
      <c r="H3956">
        <v>1093.4355620124552</v>
      </c>
      <c r="I3956">
        <v>335.57995909665476</v>
      </c>
      <c r="J3956">
        <v>725.88848617693327</v>
      </c>
      <c r="K3956">
        <v>599.60935243692381</v>
      </c>
    </row>
    <row r="3957" spans="1:11" x14ac:dyDescent="0.2">
      <c r="A3957" s="1">
        <v>0.74652777777777801</v>
      </c>
      <c r="B3957" s="2">
        <v>6.19</v>
      </c>
      <c r="C3957" s="2">
        <v>3.92</v>
      </c>
      <c r="D3957" s="2">
        <v>5.3199999999999994</v>
      </c>
      <c r="E3957" s="2">
        <v>5.41</v>
      </c>
      <c r="F3957" s="2">
        <v>2.96</v>
      </c>
      <c r="G3957" s="6">
        <v>758.86881119202121</v>
      </c>
      <c r="H3957">
        <v>656.87138693980148</v>
      </c>
      <c r="I3957">
        <v>270.84743524800524</v>
      </c>
      <c r="J3957">
        <v>637.54216011683945</v>
      </c>
      <c r="K3957">
        <v>834.77781505870428</v>
      </c>
    </row>
    <row r="3958" spans="1:11" x14ac:dyDescent="0.2">
      <c r="A3958" s="1">
        <v>0.74722222222222201</v>
      </c>
      <c r="B3958" s="2">
        <v>6.32</v>
      </c>
      <c r="C3958" s="2">
        <v>3.78</v>
      </c>
      <c r="D3958" s="2">
        <v>4.9499999999999993</v>
      </c>
      <c r="E3958" s="2">
        <v>5.2</v>
      </c>
      <c r="F3958" s="2">
        <v>3.24</v>
      </c>
      <c r="G3958" s="6">
        <v>992.76964812995789</v>
      </c>
      <c r="H3958">
        <v>1360.8657294812529</v>
      </c>
      <c r="I3958">
        <v>623.05343055949038</v>
      </c>
      <c r="J3958">
        <v>1195.5483640561724</v>
      </c>
      <c r="K3958">
        <v>847.89263787336358</v>
      </c>
    </row>
    <row r="3959" spans="1:11" x14ac:dyDescent="0.2">
      <c r="A3959" s="1">
        <v>0.74791666666666701</v>
      </c>
      <c r="B3959" s="2">
        <v>6.36</v>
      </c>
      <c r="C3959" s="2">
        <v>3.81</v>
      </c>
      <c r="D3959" s="2">
        <v>5.2399999999999993</v>
      </c>
      <c r="E3959" s="2">
        <v>5.57</v>
      </c>
      <c r="F3959" s="2">
        <v>3.0300000000000002</v>
      </c>
      <c r="G3959" s="6">
        <v>594.18890282794518</v>
      </c>
      <c r="H3959">
        <v>786.90258657500317</v>
      </c>
      <c r="I3959">
        <v>481.33698357178861</v>
      </c>
      <c r="J3959">
        <v>412.34631958016018</v>
      </c>
      <c r="K3959">
        <v>766.30933354283195</v>
      </c>
    </row>
    <row r="3960" spans="1:11" x14ac:dyDescent="0.2">
      <c r="A3960" s="1">
        <v>0.74861111111111101</v>
      </c>
      <c r="B3960" s="2">
        <v>6.22</v>
      </c>
      <c r="C3960" s="2">
        <v>3.84</v>
      </c>
      <c r="D3960" s="2">
        <v>5.04</v>
      </c>
      <c r="E3960" s="2">
        <v>5.1899999999999995</v>
      </c>
      <c r="F3960" s="2">
        <v>3.21</v>
      </c>
      <c r="G3960" s="6">
        <v>1026.5623924935105</v>
      </c>
      <c r="H3960">
        <v>730.99354668821343</v>
      </c>
      <c r="I3960">
        <v>348.33210999594957</v>
      </c>
      <c r="J3960">
        <v>821.9011317331184</v>
      </c>
      <c r="K3960">
        <v>672.30456947379707</v>
      </c>
    </row>
    <row r="3961" spans="1:11" x14ac:dyDescent="0.2">
      <c r="A3961" s="1">
        <v>0.749305555555556</v>
      </c>
      <c r="B3961" s="2">
        <v>6.12</v>
      </c>
      <c r="C3961" s="2">
        <v>3.67</v>
      </c>
      <c r="D3961" s="2">
        <v>4.9499999999999993</v>
      </c>
      <c r="E3961" s="2">
        <v>5.64</v>
      </c>
      <c r="F3961" s="2">
        <v>3.4000000000000004</v>
      </c>
      <c r="G3961" s="6">
        <v>469.39692781649262</v>
      </c>
      <c r="H3961">
        <v>810.23655819902638</v>
      </c>
      <c r="I3961">
        <v>148.27389467094071</v>
      </c>
      <c r="J3961">
        <v>483.21766880894961</v>
      </c>
      <c r="K3961">
        <v>537.34938735975584</v>
      </c>
    </row>
    <row r="3962" spans="1:11" x14ac:dyDescent="0.2">
      <c r="A3962" s="3">
        <v>0.75</v>
      </c>
      <c r="B3962" s="2">
        <v>6.24</v>
      </c>
      <c r="C3962" s="2">
        <v>3.82</v>
      </c>
      <c r="D3962" s="2">
        <v>5.12</v>
      </c>
      <c r="E3962" s="2">
        <v>5.41</v>
      </c>
      <c r="F3962" s="2">
        <v>3.24</v>
      </c>
      <c r="G3962" s="6">
        <v>654</v>
      </c>
      <c r="H3962" s="6">
        <v>873</v>
      </c>
      <c r="I3962" s="6">
        <v>375</v>
      </c>
      <c r="J3962" s="6">
        <v>311</v>
      </c>
      <c r="K3962" s="6">
        <v>543</v>
      </c>
    </row>
    <row r="3963" spans="1:11" x14ac:dyDescent="0.2">
      <c r="A3963" s="1">
        <v>0.750694444444444</v>
      </c>
      <c r="B3963" s="2">
        <v>6.21</v>
      </c>
      <c r="C3963" s="2">
        <v>3.7199999999999998</v>
      </c>
      <c r="D3963" s="2">
        <v>5.22</v>
      </c>
      <c r="E3963" s="2">
        <v>5.31</v>
      </c>
      <c r="F3963" s="2">
        <v>3.0900000000000003</v>
      </c>
      <c r="G3963" s="6">
        <v>735.70736675794546</v>
      </c>
      <c r="H3963" s="6">
        <f>(G3963+73)+46.4794434128487</f>
        <v>855.18681017079416</v>
      </c>
      <c r="I3963" s="6">
        <f>(G3963-229)+19.1644565268826</f>
        <v>525.871823284828</v>
      </c>
      <c r="J3963" s="6">
        <f>(I3963-113)-71.1798905622444</f>
        <v>341.6919327225836</v>
      </c>
      <c r="K3963" s="6">
        <f>(J3963-32)+49.9443955138186</f>
        <v>359.63632823640216</v>
      </c>
    </row>
    <row r="3964" spans="1:11" x14ac:dyDescent="0.2">
      <c r="A3964" s="1">
        <v>0.75138888888888899</v>
      </c>
      <c r="B3964" s="2">
        <v>6.29</v>
      </c>
      <c r="C3964" s="2">
        <v>3.73</v>
      </c>
      <c r="D3964" s="2">
        <v>5.18</v>
      </c>
      <c r="E3964" s="2">
        <v>5.6899999999999995</v>
      </c>
      <c r="F3964" s="2">
        <v>3.0900000000000003</v>
      </c>
      <c r="G3964" s="6">
        <v>500.11852795716965</v>
      </c>
      <c r="H3964" s="6">
        <f>(G3964+73)+29.4381053852367</f>
        <v>602.55663334240626</v>
      </c>
      <c r="I3964" s="6">
        <f>(G3964-229)+7.7818090167519</f>
        <v>278.90033697392153</v>
      </c>
      <c r="J3964" s="6">
        <v>155.55680784205083</v>
      </c>
      <c r="K3964" s="6">
        <f>(J3964-32)+67.8111294929622</f>
        <v>191.36793733501307</v>
      </c>
    </row>
    <row r="3965" spans="1:11" x14ac:dyDescent="0.2">
      <c r="A3965" s="1">
        <v>0.75208333333333299</v>
      </c>
      <c r="B3965" s="2">
        <v>6.19</v>
      </c>
      <c r="C3965" s="2">
        <v>3.6799999999999997</v>
      </c>
      <c r="D3965" s="2">
        <v>5.16</v>
      </c>
      <c r="E3965" s="2">
        <v>5.68</v>
      </c>
      <c r="F3965" s="2">
        <v>3.24</v>
      </c>
      <c r="G3965" s="6">
        <v>1047.0091547069594</v>
      </c>
      <c r="H3965" s="6">
        <f>(G3965+73)+59.7175084969489</f>
        <v>1179.7266632039084</v>
      </c>
      <c r="I3965" s="6">
        <v>893.35710227785512</v>
      </c>
      <c r="J3965" s="6">
        <f>(I3965-113)-76.1969395061901</f>
        <v>704.160162771665</v>
      </c>
      <c r="K3965" s="6">
        <v>780.93148549553007</v>
      </c>
    </row>
    <row r="3966" spans="1:11" x14ac:dyDescent="0.2">
      <c r="A3966" s="1">
        <v>0.75277777777777799</v>
      </c>
      <c r="B3966" s="2">
        <v>6.21</v>
      </c>
      <c r="C3966" s="2">
        <v>3.8899999999999997</v>
      </c>
      <c r="D3966" s="2">
        <v>5.22</v>
      </c>
      <c r="E3966" s="2">
        <v>5.14</v>
      </c>
      <c r="F3966" s="2">
        <v>3.37</v>
      </c>
      <c r="G3966" s="6">
        <v>622.81235663090399</v>
      </c>
      <c r="H3966" s="6">
        <f>(G3966+73)+67.2068693186736</f>
        <v>763.0192259495775</v>
      </c>
      <c r="I3966" s="6">
        <v>343.6851123876524</v>
      </c>
      <c r="J3966" s="6">
        <v>250.23000600640722</v>
      </c>
      <c r="K3966" s="6">
        <v>348.37123814068008</v>
      </c>
    </row>
    <row r="3967" spans="1:11" x14ac:dyDescent="0.2">
      <c r="A3967" s="1">
        <v>0.75347222222222199</v>
      </c>
      <c r="B3967" s="2">
        <v>6.3500000000000005</v>
      </c>
      <c r="C3967" s="2">
        <v>3.7399999999999998</v>
      </c>
      <c r="D3967" s="2">
        <v>5.2799999999999994</v>
      </c>
      <c r="E3967" s="2">
        <v>5.4799999999999995</v>
      </c>
      <c r="F3967" s="2">
        <v>2.94</v>
      </c>
      <c r="G3967" s="6">
        <v>585.21798146437675</v>
      </c>
      <c r="H3967" s="6">
        <f>(G3967+73)+48.4952432852925</f>
        <v>706.71322474966917</v>
      </c>
      <c r="I3967" s="6">
        <f>(G3967-229)+75.3493885221995</f>
        <v>431.56736998657624</v>
      </c>
      <c r="J3967" s="6">
        <v>355.54797942015108</v>
      </c>
      <c r="K3967" s="6">
        <f>(J3967-32)+62.8999603711159</f>
        <v>386.447939791267</v>
      </c>
    </row>
    <row r="3968" spans="1:11" x14ac:dyDescent="0.2">
      <c r="A3968" s="1">
        <v>0.75416666666666698</v>
      </c>
      <c r="B3968" s="2">
        <v>6.38</v>
      </c>
      <c r="C3968" s="2">
        <v>3.86</v>
      </c>
      <c r="D3968" s="2">
        <v>5.27</v>
      </c>
      <c r="E3968" s="2">
        <v>5.4399999999999995</v>
      </c>
      <c r="F3968" s="2">
        <v>3</v>
      </c>
      <c r="G3968" s="6">
        <v>831.66973317379905</v>
      </c>
      <c r="H3968" s="6">
        <f>(G3968+73)+27.5724627362537</f>
        <v>932.24219591005271</v>
      </c>
      <c r="I3968" s="6">
        <f>(G3968-229)+76.2837256618573</f>
        <v>678.95345883565642</v>
      </c>
      <c r="J3968" s="6">
        <f>(I3968-113)-10.5886827338356</f>
        <v>555.36477610182078</v>
      </c>
      <c r="K3968" s="6">
        <f>(J3968-32)+69.9965186926412</f>
        <v>593.36129479446197</v>
      </c>
    </row>
    <row r="3969" spans="1:11" x14ac:dyDescent="0.2">
      <c r="A3969" s="1">
        <v>0.75486111111111098</v>
      </c>
      <c r="B3969" s="2">
        <v>6.34</v>
      </c>
      <c r="C3969" s="2">
        <v>3.77</v>
      </c>
      <c r="D3969" s="2">
        <v>5.2299999999999995</v>
      </c>
      <c r="E3969" s="2">
        <v>5.2299999999999995</v>
      </c>
      <c r="F3969" s="2">
        <v>3.14</v>
      </c>
      <c r="G3969" s="6">
        <v>648.22683794212924</v>
      </c>
      <c r="H3969" s="6">
        <f>(G3969+73)+7.89411556059281</f>
        <v>729.12095350272205</v>
      </c>
      <c r="I3969" s="6">
        <v>361.13731050748908</v>
      </c>
      <c r="J3969" s="6">
        <v>261.38496178875766</v>
      </c>
      <c r="K3969" s="6">
        <f>(J3969-32)+53.382734905293</f>
        <v>282.7676966940507</v>
      </c>
    </row>
    <row r="3970" spans="1:11" x14ac:dyDescent="0.2">
      <c r="A3970" s="1">
        <v>0.75555555555555598</v>
      </c>
      <c r="B3970" s="2">
        <v>6.22</v>
      </c>
      <c r="C3970" s="2">
        <v>3.8499999999999996</v>
      </c>
      <c r="D3970" s="2">
        <v>5.16</v>
      </c>
      <c r="E3970" s="2">
        <v>5.6</v>
      </c>
      <c r="F3970" s="2">
        <v>3.3200000000000003</v>
      </c>
      <c r="G3970" s="6">
        <v>358.55838387114835</v>
      </c>
      <c r="H3970" s="6">
        <f>(G3970+73)+46.7705300463789</f>
        <v>478.32891391752719</v>
      </c>
      <c r="I3970" s="6">
        <v>457.39642836559426</v>
      </c>
      <c r="J3970" s="6">
        <v>356.13770609676089</v>
      </c>
      <c r="K3970" s="6">
        <v>417.72503389273629</v>
      </c>
    </row>
    <row r="3971" spans="1:11" x14ac:dyDescent="0.2">
      <c r="A3971" s="1">
        <v>0.75624999999999998</v>
      </c>
      <c r="B3971" s="2">
        <v>6.38</v>
      </c>
      <c r="C3971" s="2">
        <v>3.8899999999999997</v>
      </c>
      <c r="D3971" s="2">
        <v>5.14</v>
      </c>
      <c r="E3971" s="2">
        <v>5.6</v>
      </c>
      <c r="F3971" s="2">
        <v>3.21</v>
      </c>
      <c r="G3971" s="6">
        <v>446.91041117676377</v>
      </c>
      <c r="H3971" s="6">
        <f>(G3971+73)+23.6621845761855</f>
        <v>543.57259575294927</v>
      </c>
      <c r="I3971" s="6">
        <v>457.11229162905613</v>
      </c>
      <c r="J3971" s="6">
        <f>(I3971-113)-68.5854986593884</f>
        <v>275.52679296966778</v>
      </c>
      <c r="K3971" s="6">
        <v>337.61314286601936</v>
      </c>
    </row>
    <row r="3972" spans="1:11" x14ac:dyDescent="0.2">
      <c r="A3972" s="1">
        <v>0.75694444444444398</v>
      </c>
      <c r="B3972" s="2">
        <v>6.21</v>
      </c>
      <c r="C3972" s="2">
        <v>3.6999999999999997</v>
      </c>
      <c r="D3972" s="2">
        <v>5.21</v>
      </c>
      <c r="E3972" s="2">
        <v>5.4</v>
      </c>
      <c r="F3972" s="2">
        <v>3</v>
      </c>
      <c r="G3972" s="6">
        <v>804.10901316023126</v>
      </c>
      <c r="H3972" s="6">
        <f>(G3972+73)+71.8427724247267</f>
        <v>948.95178558495797</v>
      </c>
      <c r="I3972" s="6">
        <v>741.38491710531957</v>
      </c>
      <c r="J3972" s="6">
        <v>492.71208656587942</v>
      </c>
      <c r="K3972" s="6">
        <f>(J3972-32)+99.7214414468835</f>
        <v>560.43352801276296</v>
      </c>
    </row>
    <row r="3973" spans="1:11" x14ac:dyDescent="0.2">
      <c r="A3973" s="1">
        <v>0.75763888888888897</v>
      </c>
      <c r="B3973" s="2">
        <v>6.38</v>
      </c>
      <c r="C3973" s="2">
        <v>3.7399999999999998</v>
      </c>
      <c r="D3973" s="2">
        <v>4.9399999999999995</v>
      </c>
      <c r="E3973" s="2">
        <v>5.2</v>
      </c>
      <c r="F3973" s="2">
        <v>2.97</v>
      </c>
      <c r="G3973" s="6">
        <v>732.85363386482402</v>
      </c>
      <c r="H3973" s="6">
        <f>(G3973+73)+88.3495946394853</f>
        <v>894.20322850430932</v>
      </c>
      <c r="I3973" s="6">
        <v>604.39635748567605</v>
      </c>
      <c r="J3973" s="6">
        <v>447.93310866851493</v>
      </c>
      <c r="K3973" s="6">
        <v>491.7593147423442</v>
      </c>
    </row>
    <row r="3974" spans="1:11" x14ac:dyDescent="0.2">
      <c r="A3974" s="1">
        <v>0.75833333333333297</v>
      </c>
      <c r="B3974" s="2">
        <v>6.22</v>
      </c>
      <c r="C3974" s="2">
        <v>3.9</v>
      </c>
      <c r="D3974" s="2">
        <v>5</v>
      </c>
      <c r="E3974" s="2">
        <v>5.65</v>
      </c>
      <c r="F3974" s="2">
        <v>3.37</v>
      </c>
      <c r="G3974" s="6">
        <v>270.00872959830622</v>
      </c>
      <c r="H3974" s="6">
        <f>(G3974+73)+54.8698023274768</f>
        <v>397.87853192578297</v>
      </c>
      <c r="I3974" s="6">
        <v>311.02708795871695</v>
      </c>
      <c r="J3974" s="6">
        <v>113.28305071700804</v>
      </c>
      <c r="K3974" s="6">
        <v>230.5318334017233</v>
      </c>
    </row>
    <row r="3975" spans="1:11" x14ac:dyDescent="0.2">
      <c r="A3975" s="1">
        <v>0.75902777777777797</v>
      </c>
      <c r="B3975" s="2">
        <v>6.33</v>
      </c>
      <c r="C3975" s="2">
        <v>3.65</v>
      </c>
      <c r="D3975" s="2">
        <v>5.31</v>
      </c>
      <c r="E3975" s="2">
        <v>5.68</v>
      </c>
      <c r="F3975" s="2">
        <v>2.95</v>
      </c>
      <c r="G3975" s="6">
        <v>661.58027487511254</v>
      </c>
      <c r="H3975" s="6">
        <f>(G3975+73)+14.3860292796424</f>
        <v>748.96630415475499</v>
      </c>
      <c r="I3975" s="6">
        <f>(G3975-229)+70.5803022773886</f>
        <v>503.16057715250116</v>
      </c>
      <c r="J3975" s="6">
        <f>(I3975-113)-28.3107846579558</f>
        <v>361.84979249454534</v>
      </c>
      <c r="K3975" s="6">
        <f>(J3975-32)+17.6859690347957</f>
        <v>347.53576152934107</v>
      </c>
    </row>
    <row r="3976" spans="1:11" x14ac:dyDescent="0.2">
      <c r="A3976" s="1">
        <v>0.75972222222222197</v>
      </c>
      <c r="B3976" s="2">
        <v>6.2700000000000005</v>
      </c>
      <c r="C3976" s="2">
        <v>3.8</v>
      </c>
      <c r="D3976" s="2">
        <v>5.2799999999999994</v>
      </c>
      <c r="E3976" s="2">
        <v>5.3</v>
      </c>
      <c r="F3976" s="2">
        <v>3.17</v>
      </c>
      <c r="G3976" s="6">
        <v>467.77384482996825</v>
      </c>
      <c r="H3976" s="6">
        <f>(G3976+73)+92.9677965242153</f>
        <v>633.74164135418368</v>
      </c>
      <c r="I3976" s="6">
        <f>(G3976-229)+85.5136194668977</f>
        <v>324.28746429686589</v>
      </c>
      <c r="J3976" s="6">
        <f>(I3976-113)-92.2938431134519</f>
        <v>118.99362118341404</v>
      </c>
      <c r="K3976" s="6">
        <f>(J3976-32)+33.1153033816615</f>
        <v>120.10892456507553</v>
      </c>
    </row>
    <row r="3977" spans="1:11" x14ac:dyDescent="0.2">
      <c r="A3977" s="1">
        <v>0.76041666666666696</v>
      </c>
      <c r="B3977" s="2">
        <v>6.2</v>
      </c>
      <c r="C3977" s="2">
        <v>3.77</v>
      </c>
      <c r="D3977" s="2">
        <v>5.17</v>
      </c>
      <c r="E3977" s="2">
        <v>5.25</v>
      </c>
      <c r="F3977" s="2">
        <v>3.37</v>
      </c>
      <c r="G3977" s="6">
        <v>900.55012311437304</v>
      </c>
      <c r="H3977" s="6">
        <v>923.60652324561408</v>
      </c>
      <c r="I3977" s="6">
        <v>762.81298869505929</v>
      </c>
      <c r="J3977" s="6">
        <f>(I3977-113)-9.74173623338804</f>
        <v>640.07125246167129</v>
      </c>
      <c r="K3977" s="6">
        <v>669.74168854287291</v>
      </c>
    </row>
    <row r="3978" spans="1:11" x14ac:dyDescent="0.2">
      <c r="A3978" s="1">
        <v>0.76111111111111096</v>
      </c>
      <c r="B3978" s="2">
        <v>6.25</v>
      </c>
      <c r="C3978" s="2">
        <v>3.88</v>
      </c>
      <c r="D3978" s="2">
        <v>5.16</v>
      </c>
      <c r="E3978" s="2">
        <v>5.7299999999999995</v>
      </c>
      <c r="F3978" s="2">
        <v>3.39</v>
      </c>
      <c r="G3978" s="6">
        <v>653.6286694793605</v>
      </c>
      <c r="H3978" s="6">
        <v>619.65084850393418</v>
      </c>
      <c r="I3978" s="6">
        <v>521.63547007396937</v>
      </c>
      <c r="J3978" s="6">
        <f>(I3978-113)-4.7616074725406</f>
        <v>403.87386260142875</v>
      </c>
      <c r="K3978" s="6">
        <f>(J3978-32)+30.3733350843759</f>
        <v>402.24719768580462</v>
      </c>
    </row>
    <row r="3979" spans="1:11" x14ac:dyDescent="0.2">
      <c r="A3979" s="1">
        <v>0.76180555555555596</v>
      </c>
      <c r="B3979" s="2">
        <v>6.26</v>
      </c>
      <c r="C3979" s="2">
        <v>3.83</v>
      </c>
      <c r="D3979" s="2">
        <v>4.8999999999999995</v>
      </c>
      <c r="E3979" s="2">
        <v>5.62</v>
      </c>
      <c r="F3979" s="2">
        <v>3.1</v>
      </c>
      <c r="G3979" s="6">
        <v>533.15069204577435</v>
      </c>
      <c r="H3979" s="6">
        <f>(G3979+73)+78.4760507220369</f>
        <v>684.62674276781127</v>
      </c>
      <c r="I3979" s="6">
        <v>479.00998401537043</v>
      </c>
      <c r="J3979" s="6">
        <v>261.48800754179842</v>
      </c>
      <c r="K3979" s="6">
        <f>(J3979-32)+1.79290169380628</f>
        <v>231.2809092356047</v>
      </c>
    </row>
    <row r="3980" spans="1:11" x14ac:dyDescent="0.2">
      <c r="A3980" s="1">
        <v>0.76249999999999996</v>
      </c>
      <c r="B3980" s="2">
        <v>6.25</v>
      </c>
      <c r="C3980" s="2">
        <v>3.6199999999999997</v>
      </c>
      <c r="D3980" s="2">
        <v>5.38</v>
      </c>
      <c r="E3980" s="2">
        <v>5.79</v>
      </c>
      <c r="F3980" s="2">
        <v>3.2600000000000002</v>
      </c>
      <c r="G3980" s="6">
        <v>383.84409488957021</v>
      </c>
      <c r="H3980" s="6">
        <f>(G3980+73)+98.975186801404</f>
        <v>555.81928169097432</v>
      </c>
      <c r="I3980" s="6">
        <v>291.94144733514241</v>
      </c>
      <c r="J3980" s="6">
        <v>143.47651935497302</v>
      </c>
      <c r="K3980" s="6">
        <f>(J3980-32)+29.5602889356563</f>
        <v>141.03680829062927</v>
      </c>
    </row>
    <row r="3981" spans="1:11" x14ac:dyDescent="0.2">
      <c r="A3981" s="1">
        <v>0.76319444444444495</v>
      </c>
      <c r="B3981" s="2">
        <v>6.23</v>
      </c>
      <c r="C3981" s="2">
        <v>3.6999999999999997</v>
      </c>
      <c r="D3981" s="2">
        <v>5.33</v>
      </c>
      <c r="E3981" s="2">
        <v>5.68</v>
      </c>
      <c r="F3981" s="2">
        <v>3.17</v>
      </c>
      <c r="G3981" s="6">
        <v>467.03212794271019</v>
      </c>
      <c r="H3981" s="6">
        <f>(G3981+73)+28.1838290046667</f>
        <v>568.21595694737687</v>
      </c>
      <c r="I3981" s="6">
        <v>394.60512735585991</v>
      </c>
      <c r="J3981" s="6">
        <v>252.36245082568729</v>
      </c>
      <c r="K3981" s="6">
        <v>324.08117690334694</v>
      </c>
    </row>
    <row r="3982" spans="1:11" x14ac:dyDescent="0.2">
      <c r="A3982" s="1">
        <v>0.76388888888888895</v>
      </c>
      <c r="B3982" s="2">
        <v>6.28</v>
      </c>
      <c r="C3982" s="2">
        <v>3.8</v>
      </c>
      <c r="D3982" s="2">
        <v>4.9399999999999995</v>
      </c>
      <c r="E3982" s="2">
        <v>5.6099999999999994</v>
      </c>
      <c r="F3982" s="2">
        <v>3.3000000000000003</v>
      </c>
      <c r="G3982" s="6">
        <v>820.40410270177063</v>
      </c>
      <c r="H3982" s="6">
        <f>(G3982+73)+68.6552786692366</f>
        <v>962.05938137100725</v>
      </c>
      <c r="I3982" s="6">
        <v>625.1846467803424</v>
      </c>
      <c r="J3982" s="6">
        <f>(I3982-113)-70.6050825257276</f>
        <v>441.57956425461487</v>
      </c>
      <c r="K3982" s="6">
        <v>517.05003572105841</v>
      </c>
    </row>
    <row r="3983" spans="1:11" x14ac:dyDescent="0.2">
      <c r="A3983" s="1">
        <v>0.76458333333333295</v>
      </c>
      <c r="B3983" s="2">
        <v>6.13</v>
      </c>
      <c r="C3983" s="2">
        <v>3.82</v>
      </c>
      <c r="D3983" s="2">
        <v>4.92</v>
      </c>
      <c r="E3983" s="2">
        <v>5.28</v>
      </c>
      <c r="F3983" s="2">
        <v>2.91</v>
      </c>
      <c r="G3983" s="6">
        <v>569.53358365731833</v>
      </c>
      <c r="H3983" s="6">
        <v>632.24634852647978</v>
      </c>
      <c r="I3983" s="6">
        <v>280.01092215549852</v>
      </c>
      <c r="J3983" s="6">
        <v>77.074348507368896</v>
      </c>
      <c r="K3983" s="6">
        <v>166.52412741490281</v>
      </c>
    </row>
    <row r="3984" spans="1:11" x14ac:dyDescent="0.2">
      <c r="A3984" s="1">
        <v>0.76527777777777795</v>
      </c>
      <c r="B3984" s="2">
        <v>6.33</v>
      </c>
      <c r="C3984" s="2">
        <v>3.9099999999999997</v>
      </c>
      <c r="D3984" s="2">
        <v>5.3199999999999994</v>
      </c>
      <c r="E3984" s="2">
        <v>5.68</v>
      </c>
      <c r="F3984" s="2">
        <v>3.31</v>
      </c>
      <c r="G3984" s="6">
        <v>537.90341634084507</v>
      </c>
      <c r="H3984" s="6">
        <v>581.71630341082914</v>
      </c>
      <c r="I3984" s="6">
        <f>(G3984-229)+98.5108551899125</f>
        <v>407.41427153075756</v>
      </c>
      <c r="J3984" s="6">
        <v>142.02105797259958</v>
      </c>
      <c r="K3984" s="6">
        <v>284.21769977778587</v>
      </c>
    </row>
    <row r="3985" spans="1:15" x14ac:dyDescent="0.2">
      <c r="A3985" s="1">
        <v>0.76597222222222205</v>
      </c>
      <c r="B3985" s="2">
        <v>6.22</v>
      </c>
      <c r="C3985" s="2">
        <v>3.6799999999999997</v>
      </c>
      <c r="D3985" s="2">
        <v>5.18</v>
      </c>
      <c r="E3985" s="2">
        <v>5.55</v>
      </c>
      <c r="F3985" s="2">
        <v>3.1500000000000004</v>
      </c>
      <c r="G3985" s="6">
        <v>745.42784242200423</v>
      </c>
      <c r="H3985" s="6">
        <f>(G3985+73)+83.8992698997127</f>
        <v>902.32711232171687</v>
      </c>
      <c r="I3985" s="6">
        <f>(G3985-229)+38.7507944639339</f>
        <v>555.1786368859382</v>
      </c>
      <c r="J3985" s="6">
        <f>(I3985-113)-80.0708875926304</f>
        <v>362.10774929330785</v>
      </c>
      <c r="K3985" s="6">
        <f>(J3985-32)+2.38002367023556</f>
        <v>332.48777296354342</v>
      </c>
    </row>
    <row r="3986" spans="1:15" x14ac:dyDescent="0.2">
      <c r="A3986" s="1">
        <v>0.76666666666666705</v>
      </c>
      <c r="B3986" s="2">
        <v>6.22</v>
      </c>
      <c r="C3986" s="2">
        <v>3.8899999999999997</v>
      </c>
      <c r="D3986" s="2">
        <v>5.08</v>
      </c>
      <c r="E3986" s="2">
        <v>5.5</v>
      </c>
      <c r="F3986" s="2">
        <v>3.0900000000000003</v>
      </c>
      <c r="G3986" s="6">
        <v>443.91519193450313</v>
      </c>
      <c r="H3986" s="6">
        <v>544.45146307869015</v>
      </c>
      <c r="I3986" s="6">
        <f>(G3986-229)+53.1130814898565</f>
        <v>268.02827342435967</v>
      </c>
      <c r="J3986" s="6">
        <v>30.837989002819555</v>
      </c>
      <c r="K3986" s="6">
        <v>184.73961872608328</v>
      </c>
    </row>
    <row r="3987" spans="1:15" x14ac:dyDescent="0.2">
      <c r="A3987" s="1">
        <v>0.76736111111111105</v>
      </c>
      <c r="B3987" s="2">
        <v>6.3500000000000005</v>
      </c>
      <c r="C3987" s="2">
        <v>3.84</v>
      </c>
      <c r="D3987" s="2">
        <v>5.12</v>
      </c>
      <c r="E3987" s="2">
        <v>5.28</v>
      </c>
      <c r="F3987" s="2">
        <v>2.91</v>
      </c>
      <c r="G3987" s="6">
        <v>354.04236553032462</v>
      </c>
      <c r="H3987" s="6">
        <v>519.00786664392911</v>
      </c>
      <c r="I3987" s="6">
        <v>207.65982332098253</v>
      </c>
      <c r="J3987" s="6">
        <v>106.07853673501667</v>
      </c>
      <c r="K3987" s="6">
        <v>165.53383948409356</v>
      </c>
    </row>
    <row r="3988" spans="1:15" x14ac:dyDescent="0.2">
      <c r="A3988" s="1">
        <v>0.76805555555555605</v>
      </c>
      <c r="B3988" s="2">
        <v>6.15</v>
      </c>
      <c r="C3988" s="2">
        <v>3.6799999999999997</v>
      </c>
      <c r="D3988" s="2">
        <v>5.0999999999999996</v>
      </c>
      <c r="E3988" s="2">
        <v>5.4799999999999995</v>
      </c>
      <c r="F3988" s="2">
        <v>3.21</v>
      </c>
      <c r="G3988" s="6">
        <v>612.9513532622899</v>
      </c>
      <c r="H3988" s="6">
        <v>747.74366582273683</v>
      </c>
      <c r="I3988" s="6">
        <f>(G3988-229)+50.3190592350366</f>
        <v>434.27041249732645</v>
      </c>
      <c r="J3988" s="6">
        <v>160.27320059943503</v>
      </c>
      <c r="K3988" s="6">
        <v>164.66711206991812</v>
      </c>
    </row>
    <row r="3989" spans="1:15" x14ac:dyDescent="0.2">
      <c r="A3989" s="1">
        <v>0.76875000000000004</v>
      </c>
      <c r="B3989" s="2">
        <v>6.19</v>
      </c>
      <c r="C3989" s="2">
        <v>3.7199999999999998</v>
      </c>
      <c r="D3989" s="2">
        <v>5.3</v>
      </c>
      <c r="E3989" s="2">
        <v>5.6</v>
      </c>
      <c r="F3989" s="2">
        <v>2.89</v>
      </c>
      <c r="G3989" s="6">
        <v>335.26310977056897</v>
      </c>
      <c r="H3989" s="6">
        <v>426.54419408546835</v>
      </c>
      <c r="I3989" s="6">
        <v>301.55464211362039</v>
      </c>
      <c r="J3989" s="6">
        <v>122.03197991791934</v>
      </c>
      <c r="K3989" s="6">
        <v>217.96400627667191</v>
      </c>
      <c r="O3989" s="6"/>
    </row>
    <row r="3990" spans="1:15" x14ac:dyDescent="0.2">
      <c r="A3990" s="1">
        <v>0.76944444444444404</v>
      </c>
      <c r="B3990" s="2">
        <v>6.26</v>
      </c>
      <c r="C3990" s="2">
        <v>3.61</v>
      </c>
      <c r="D3990" s="2">
        <v>5.35</v>
      </c>
      <c r="E3990" s="2">
        <v>5.22</v>
      </c>
      <c r="F3990" s="2">
        <v>3.0900000000000003</v>
      </c>
      <c r="G3990" s="6">
        <v>304.23088236770843</v>
      </c>
      <c r="H3990" s="6">
        <v>412.9030293693898</v>
      </c>
      <c r="I3990" s="6">
        <v>198.42465936183478</v>
      </c>
      <c r="J3990" s="6">
        <v>82.312707026725136</v>
      </c>
      <c r="K3990" s="6">
        <v>87.880466041908477</v>
      </c>
    </row>
    <row r="3991" spans="1:15" x14ac:dyDescent="0.2">
      <c r="A3991" s="1">
        <v>0.77013888888888904</v>
      </c>
      <c r="B3991" s="2">
        <v>6.23</v>
      </c>
      <c r="C3991" s="2">
        <v>3.6399999999999997</v>
      </c>
      <c r="D3991" s="2">
        <v>5</v>
      </c>
      <c r="E3991" s="2">
        <v>5.38</v>
      </c>
      <c r="F3991" s="2">
        <v>3.24</v>
      </c>
      <c r="G3991" s="6">
        <v>194.66728008880639</v>
      </c>
      <c r="H3991" s="6">
        <v>208.13430144226209</v>
      </c>
      <c r="I3991" s="6">
        <v>125.34944389623391</v>
      </c>
      <c r="J3991" s="6">
        <v>47.829201922047289</v>
      </c>
      <c r="K3991" s="6">
        <v>108.09474916894963</v>
      </c>
    </row>
    <row r="3992" spans="1:15" x14ac:dyDescent="0.2">
      <c r="A3992" s="1">
        <v>0.77083333333333304</v>
      </c>
      <c r="B3992" s="2">
        <v>6.2700000000000005</v>
      </c>
      <c r="C3992" s="2">
        <v>3.9099999999999997</v>
      </c>
      <c r="D3992" s="2">
        <v>4.9799999999999995</v>
      </c>
      <c r="E3992" s="2">
        <v>5.63</v>
      </c>
      <c r="F3992" s="2">
        <v>2.95</v>
      </c>
      <c r="G3992" s="6">
        <v>127</v>
      </c>
      <c r="H3992" s="6">
        <v>126</v>
      </c>
      <c r="I3992" s="6">
        <v>98</v>
      </c>
      <c r="J3992" s="6">
        <v>88</v>
      </c>
      <c r="K3992" s="6">
        <v>84</v>
      </c>
    </row>
    <row r="3993" spans="1:15" x14ac:dyDescent="0.2">
      <c r="A3993" s="1">
        <v>0.77152777777777803</v>
      </c>
      <c r="B3993" s="2">
        <v>6.34</v>
      </c>
      <c r="C3993" s="2">
        <v>3.88</v>
      </c>
      <c r="D3993" s="2">
        <v>5.1499999999999995</v>
      </c>
      <c r="E3993" s="2">
        <v>5.34</v>
      </c>
      <c r="F3993" s="2">
        <v>3.2</v>
      </c>
      <c r="G3993" s="6">
        <v>123.64671982628852</v>
      </c>
      <c r="H3993" s="6">
        <v>78.643753808186801</v>
      </c>
      <c r="I3993" s="6">
        <v>41.221424021974713</v>
      </c>
      <c r="J3993" s="6">
        <v>112.15161747196116</v>
      </c>
      <c r="K3993" s="6">
        <v>40</v>
      </c>
    </row>
    <row r="3994" spans="1:15" x14ac:dyDescent="0.2">
      <c r="A3994" s="1">
        <v>0.77222222222222203</v>
      </c>
      <c r="B3994" s="2">
        <v>6.21</v>
      </c>
      <c r="C3994" s="2">
        <v>3.82</v>
      </c>
      <c r="D3994" s="2">
        <v>4.9099999999999993</v>
      </c>
      <c r="E3994" s="2">
        <v>5.59</v>
      </c>
      <c r="F3994" s="2">
        <v>3.2</v>
      </c>
      <c r="G3994" s="6">
        <v>68.491491600654911</v>
      </c>
      <c r="H3994" s="6">
        <v>59.668123887945598</v>
      </c>
      <c r="I3994" s="6">
        <v>34.808337870327328</v>
      </c>
      <c r="J3994" s="6">
        <v>46.154857516713847</v>
      </c>
      <c r="K3994" s="6">
        <v>30</v>
      </c>
    </row>
    <row r="3995" spans="1:15" x14ac:dyDescent="0.2">
      <c r="A3995" s="1">
        <v>0.77291666666666703</v>
      </c>
      <c r="B3995" s="2">
        <v>6.24</v>
      </c>
      <c r="C3995" s="2">
        <v>3.9</v>
      </c>
      <c r="D3995" s="2">
        <v>4.9899999999999993</v>
      </c>
      <c r="E3995" s="2">
        <v>5.62</v>
      </c>
      <c r="F3995" s="2">
        <v>3.1500000000000004</v>
      </c>
      <c r="G3995" s="6">
        <v>48.806781246695373</v>
      </c>
      <c r="H3995" s="6">
        <v>39.216931738056381</v>
      </c>
      <c r="I3995" s="6">
        <v>32.281536154948597</v>
      </c>
      <c r="J3995" s="6">
        <v>38.248992462807792</v>
      </c>
      <c r="K3995" s="6">
        <v>31.150495750251373</v>
      </c>
    </row>
    <row r="3996" spans="1:15" x14ac:dyDescent="0.2">
      <c r="A3996" s="1">
        <v>0.77361111111111103</v>
      </c>
      <c r="B3996" s="2">
        <v>6.17</v>
      </c>
      <c r="C3996" s="2">
        <v>3.77</v>
      </c>
      <c r="D3996" s="2">
        <v>4.9899999999999993</v>
      </c>
      <c r="E3996" s="2">
        <v>5.68</v>
      </c>
      <c r="F3996" s="2">
        <v>3.0900000000000003</v>
      </c>
      <c r="G3996" s="6">
        <v>29.20877235412441</v>
      </c>
      <c r="H3996" s="6">
        <v>28.465135143184334</v>
      </c>
      <c r="I3996" s="6">
        <v>32.297133931333107</v>
      </c>
      <c r="J3996" s="6">
        <v>36.518068386055958</v>
      </c>
      <c r="K3996" s="6">
        <v>34.529170456220129</v>
      </c>
    </row>
    <row r="3997" spans="1:15" x14ac:dyDescent="0.2">
      <c r="A3997" s="1">
        <v>0.77430555555555602</v>
      </c>
      <c r="B3997" s="2">
        <v>6.36</v>
      </c>
      <c r="C3997" s="2">
        <v>3.6599999999999997</v>
      </c>
      <c r="D3997" s="2">
        <v>5.27</v>
      </c>
      <c r="E3997" s="2">
        <v>5.67</v>
      </c>
      <c r="F3997" s="2">
        <v>3.24</v>
      </c>
      <c r="G3997" s="6">
        <v>31.507544941606607</v>
      </c>
      <c r="H3997" s="6">
        <v>23.416265646509331</v>
      </c>
      <c r="I3997" s="6">
        <v>29.462389313108659</v>
      </c>
      <c r="J3997" s="6">
        <v>26.634375062505658</v>
      </c>
      <c r="K3997" s="6">
        <v>32.144069326443628</v>
      </c>
    </row>
    <row r="3998" spans="1:15" x14ac:dyDescent="0.2">
      <c r="A3998" s="1">
        <v>0.77500000000000002</v>
      </c>
      <c r="B3998" s="2">
        <v>6.23</v>
      </c>
      <c r="C3998" s="2">
        <v>3.9</v>
      </c>
      <c r="D3998" s="2">
        <v>5.2399999999999993</v>
      </c>
      <c r="E3998" s="2">
        <v>5.34</v>
      </c>
      <c r="F3998" s="2">
        <v>3.4000000000000004</v>
      </c>
      <c r="G3998" s="6">
        <v>21.815052247237926</v>
      </c>
      <c r="H3998" s="6">
        <v>17.395482904965903</v>
      </c>
      <c r="I3998" s="6">
        <v>17.348103551905091</v>
      </c>
      <c r="J3998" s="6">
        <v>14.926961707500364</v>
      </c>
      <c r="K3998" s="6">
        <v>21.373104691831301</v>
      </c>
    </row>
    <row r="3999" spans="1:15" x14ac:dyDescent="0.2">
      <c r="A3999" s="1">
        <v>0.77569444444444402</v>
      </c>
      <c r="B3999" s="2">
        <v>6.3100000000000005</v>
      </c>
      <c r="C3999" s="2">
        <v>3.88</v>
      </c>
      <c r="D3999" s="2">
        <v>5.16</v>
      </c>
      <c r="E3999" s="2">
        <v>5.71</v>
      </c>
      <c r="F3999" s="2">
        <v>3.3200000000000003</v>
      </c>
      <c r="G3999" s="6">
        <v>23.519521497208512</v>
      </c>
      <c r="H3999" s="6">
        <v>11.68023205172894</v>
      </c>
      <c r="I3999" s="6">
        <v>6.4400971959565236</v>
      </c>
      <c r="J3999" s="6">
        <v>19.480472173286181</v>
      </c>
      <c r="K3999" s="6">
        <v>14.503838530863241</v>
      </c>
    </row>
    <row r="4000" spans="1:15" x14ac:dyDescent="0.2">
      <c r="A4000" s="1">
        <v>0.77638888888888902</v>
      </c>
      <c r="B4000" s="2">
        <v>6.15</v>
      </c>
      <c r="C4000" s="2">
        <v>3.8899999999999997</v>
      </c>
      <c r="D4000" s="2">
        <v>5.22</v>
      </c>
      <c r="E4000" s="2">
        <v>5.59</v>
      </c>
      <c r="F4000" s="2">
        <v>3.13</v>
      </c>
      <c r="G4000" s="6">
        <v>8</v>
      </c>
      <c r="H4000" s="6">
        <v>11.100324763062977</v>
      </c>
      <c r="I4000" s="6">
        <v>9.1587377262880612</v>
      </c>
      <c r="J4000" s="6">
        <v>17.61331004534869</v>
      </c>
      <c r="K4000" s="6">
        <v>9.28916920444418</v>
      </c>
    </row>
    <row r="4001" spans="1:11" x14ac:dyDescent="0.2">
      <c r="A4001" s="1">
        <v>0.77708333333333302</v>
      </c>
      <c r="B4001" s="2">
        <v>6.22</v>
      </c>
      <c r="C4001" s="2">
        <v>3.61</v>
      </c>
      <c r="D4001" s="2">
        <v>5.0599999999999996</v>
      </c>
      <c r="E4001" s="2">
        <v>5.58</v>
      </c>
      <c r="F4001" s="2">
        <v>3.22</v>
      </c>
      <c r="G4001" s="6">
        <v>4</v>
      </c>
      <c r="H4001">
        <v>1.2214666378566104</v>
      </c>
      <c r="I4001" s="6">
        <v>6.6428184692322914</v>
      </c>
      <c r="J4001" s="6">
        <v>7.0400805388080903</v>
      </c>
      <c r="K4001" s="6">
        <v>5.8667766960016312</v>
      </c>
    </row>
    <row r="4002" spans="1:11" x14ac:dyDescent="0.2">
      <c r="A4002" s="1">
        <v>0.77777777777777801</v>
      </c>
      <c r="B4002" s="2">
        <v>6.3100000000000005</v>
      </c>
      <c r="C4002" s="2">
        <v>3.88</v>
      </c>
      <c r="D4002" s="2">
        <v>5.08</v>
      </c>
      <c r="E4002" s="2">
        <v>5.47</v>
      </c>
      <c r="F4002" s="2">
        <v>3.25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</row>
    <row r="4003" spans="1:11" x14ac:dyDescent="0.2">
      <c r="A4003" s="1">
        <v>0.77847222222222201</v>
      </c>
      <c r="B4003" s="2">
        <v>6.37</v>
      </c>
      <c r="C4003" s="2">
        <v>3.86</v>
      </c>
      <c r="D4003" s="2">
        <v>5.0999999999999996</v>
      </c>
      <c r="E4003" s="2">
        <v>5.1499999999999995</v>
      </c>
      <c r="F4003" s="2">
        <v>2.93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</row>
    <row r="4004" spans="1:11" x14ac:dyDescent="0.2">
      <c r="A4004" s="1">
        <v>0.77916666666666701</v>
      </c>
      <c r="B4004" s="2">
        <v>6.22</v>
      </c>
      <c r="C4004" s="2">
        <v>3.61</v>
      </c>
      <c r="D4004" s="2">
        <v>5.12</v>
      </c>
      <c r="E4004" s="2">
        <v>5.1899999999999995</v>
      </c>
      <c r="F4004" s="2">
        <v>3.27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</row>
    <row r="4005" spans="1:11" x14ac:dyDescent="0.2">
      <c r="A4005" s="1">
        <v>0.77986111111111101</v>
      </c>
      <c r="B4005" s="2">
        <v>6.12</v>
      </c>
      <c r="C4005" s="2">
        <v>3.92</v>
      </c>
      <c r="D4005" s="2">
        <v>5.3</v>
      </c>
      <c r="E4005" s="2">
        <v>5.1499999999999995</v>
      </c>
      <c r="F4005" s="2">
        <v>3.41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</row>
    <row r="4006" spans="1:11" x14ac:dyDescent="0.2">
      <c r="A4006" s="1">
        <v>0.780555555555556</v>
      </c>
      <c r="B4006" s="2">
        <v>6.32</v>
      </c>
      <c r="C4006" s="2">
        <v>3.6199999999999997</v>
      </c>
      <c r="D4006" s="2">
        <v>5.1899999999999995</v>
      </c>
      <c r="E4006" s="2">
        <v>5.17</v>
      </c>
      <c r="F4006" s="2">
        <v>3.19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</row>
    <row r="4007" spans="1:11" x14ac:dyDescent="0.2">
      <c r="A4007" s="1">
        <v>0.78125</v>
      </c>
      <c r="B4007" s="2">
        <v>6.13</v>
      </c>
      <c r="C4007" s="2">
        <v>3.63</v>
      </c>
      <c r="D4007" s="2">
        <v>4.97</v>
      </c>
      <c r="E4007" s="2">
        <v>5.64</v>
      </c>
      <c r="F4007" s="2">
        <v>3.33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</row>
    <row r="4008" spans="1:11" x14ac:dyDescent="0.2">
      <c r="A4008" s="1">
        <v>0.781944444444444</v>
      </c>
      <c r="B4008" s="2">
        <v>6.26</v>
      </c>
      <c r="C4008" s="2">
        <v>3.84</v>
      </c>
      <c r="D4008" s="2">
        <v>5.0299999999999994</v>
      </c>
      <c r="E4008" s="2">
        <v>5.13</v>
      </c>
      <c r="F4008" s="2">
        <v>3.0500000000000003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</row>
    <row r="4009" spans="1:11" x14ac:dyDescent="0.2">
      <c r="A4009" s="1">
        <v>0.78263888888888899</v>
      </c>
      <c r="B4009" s="2">
        <v>6.18</v>
      </c>
      <c r="C4009" s="2">
        <v>3.67</v>
      </c>
      <c r="D4009" s="2">
        <v>5.13</v>
      </c>
      <c r="E4009" s="2">
        <v>5.26</v>
      </c>
      <c r="F4009" s="2">
        <v>3.29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</row>
    <row r="4010" spans="1:11" x14ac:dyDescent="0.2">
      <c r="A4010" s="1">
        <v>0.78333333333333299</v>
      </c>
      <c r="B4010" s="2">
        <v>6.18</v>
      </c>
      <c r="C4010" s="2">
        <v>3.77</v>
      </c>
      <c r="D4010" s="2">
        <v>5.0999999999999996</v>
      </c>
      <c r="E4010" s="2">
        <v>5.16</v>
      </c>
      <c r="F4010" s="2">
        <v>3.3000000000000003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</row>
    <row r="4011" spans="1:11" x14ac:dyDescent="0.2">
      <c r="A4011" s="1">
        <v>0.78402777777777799</v>
      </c>
      <c r="B4011" s="2">
        <v>6.28</v>
      </c>
      <c r="C4011" s="2">
        <v>3.86</v>
      </c>
      <c r="D4011" s="2">
        <v>5.0999999999999996</v>
      </c>
      <c r="E4011" s="2">
        <v>5.53</v>
      </c>
      <c r="F4011" s="2">
        <v>3.31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</row>
    <row r="4012" spans="1:11" x14ac:dyDescent="0.2">
      <c r="A4012" s="1">
        <v>0.78472222222222199</v>
      </c>
      <c r="B4012" s="2">
        <v>6.19</v>
      </c>
      <c r="C4012" s="2">
        <v>3.84</v>
      </c>
      <c r="D4012" s="2">
        <v>5.2399999999999993</v>
      </c>
      <c r="E4012" s="2">
        <v>5.4</v>
      </c>
      <c r="F4012" s="2">
        <v>3.41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</row>
    <row r="4013" spans="1:11" x14ac:dyDescent="0.2">
      <c r="A4013" s="1">
        <v>0.78541666666666698</v>
      </c>
      <c r="B4013" s="2">
        <v>6.14</v>
      </c>
      <c r="C4013" s="2">
        <v>3.67</v>
      </c>
      <c r="D4013" s="2">
        <v>5.3599999999999994</v>
      </c>
      <c r="E4013" s="2">
        <v>5.54</v>
      </c>
      <c r="F4013" s="2">
        <v>3.06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</row>
    <row r="4014" spans="1:11" x14ac:dyDescent="0.2">
      <c r="A4014" s="1">
        <v>0.78611111111111098</v>
      </c>
      <c r="B4014" s="2">
        <v>6.3</v>
      </c>
      <c r="C4014" s="2">
        <v>3.86</v>
      </c>
      <c r="D4014" s="2">
        <v>5.01</v>
      </c>
      <c r="E4014" s="2">
        <v>5.28</v>
      </c>
      <c r="F4014" s="2">
        <v>3.2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</row>
    <row r="4015" spans="1:11" x14ac:dyDescent="0.2">
      <c r="A4015" s="1">
        <v>0.78680555555555598</v>
      </c>
      <c r="B4015" s="2">
        <v>6.25</v>
      </c>
      <c r="C4015" s="2">
        <v>3.6799999999999997</v>
      </c>
      <c r="D4015" s="2">
        <v>5.25</v>
      </c>
      <c r="E4015" s="2">
        <v>5.18</v>
      </c>
      <c r="F4015" s="2">
        <v>2.95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</row>
    <row r="4016" spans="1:11" x14ac:dyDescent="0.2">
      <c r="A4016" s="1">
        <v>0.78749999999999998</v>
      </c>
      <c r="B4016" s="2">
        <v>6.18</v>
      </c>
      <c r="C4016" s="2">
        <v>3.84</v>
      </c>
      <c r="D4016" s="2">
        <v>5.2399999999999993</v>
      </c>
      <c r="E4016" s="2">
        <v>5.2299999999999995</v>
      </c>
      <c r="F4016" s="2">
        <v>2.92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</row>
    <row r="4017" spans="1:11" x14ac:dyDescent="0.2">
      <c r="A4017" s="1">
        <v>0.78819444444444398</v>
      </c>
      <c r="B4017" s="2">
        <v>6.3100000000000005</v>
      </c>
      <c r="C4017" s="2">
        <v>3.6999999999999997</v>
      </c>
      <c r="D4017" s="2">
        <v>5.1499999999999995</v>
      </c>
      <c r="E4017" s="2">
        <v>5.78</v>
      </c>
      <c r="F4017" s="2">
        <v>3.0100000000000002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</row>
    <row r="4018" spans="1:11" x14ac:dyDescent="0.2">
      <c r="A4018" s="1">
        <v>0.78888888888888897</v>
      </c>
      <c r="B4018" s="2">
        <v>6.2700000000000005</v>
      </c>
      <c r="C4018" s="2">
        <v>3.7399999999999998</v>
      </c>
      <c r="D4018" s="2">
        <v>5.38</v>
      </c>
      <c r="E4018" s="2">
        <v>5.51</v>
      </c>
      <c r="F4018" s="2">
        <v>3.21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</row>
    <row r="4019" spans="1:11" x14ac:dyDescent="0.2">
      <c r="A4019" s="1">
        <v>0.78958333333333297</v>
      </c>
      <c r="B4019" s="2">
        <v>6.3500000000000005</v>
      </c>
      <c r="C4019" s="2">
        <v>3.9</v>
      </c>
      <c r="D4019" s="2">
        <v>5</v>
      </c>
      <c r="E4019" s="2">
        <v>5.18</v>
      </c>
      <c r="F4019" s="2">
        <v>3.41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</row>
    <row r="4020" spans="1:11" x14ac:dyDescent="0.2">
      <c r="A4020" s="1">
        <v>0.79027777777777797</v>
      </c>
      <c r="B4020" s="2">
        <v>6.17</v>
      </c>
      <c r="C4020" s="2">
        <v>3.6599999999999997</v>
      </c>
      <c r="D4020" s="2">
        <v>5.05</v>
      </c>
      <c r="E4020" s="2">
        <v>5.3</v>
      </c>
      <c r="F4020" s="2">
        <v>3.29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</row>
    <row r="4021" spans="1:11" x14ac:dyDescent="0.2">
      <c r="A4021" s="1">
        <v>0.79097222222222197</v>
      </c>
      <c r="B4021" s="2">
        <v>6.33</v>
      </c>
      <c r="C4021" s="2">
        <v>3.87</v>
      </c>
      <c r="D4021" s="2">
        <v>5.09</v>
      </c>
      <c r="E4021" s="2">
        <v>5.53</v>
      </c>
      <c r="F4021" s="2">
        <v>3.14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</row>
    <row r="4022" spans="1:11" x14ac:dyDescent="0.2">
      <c r="A4022" s="3">
        <v>0.79166666666666696</v>
      </c>
      <c r="B4022" s="2">
        <v>6.24</v>
      </c>
      <c r="C4022" s="2">
        <v>3.82</v>
      </c>
      <c r="D4022" s="2">
        <v>5.12</v>
      </c>
      <c r="E4022" s="2">
        <v>5.41</v>
      </c>
      <c r="F4022" s="2">
        <v>3.24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</row>
    <row r="4023" spans="1:11" x14ac:dyDescent="0.2">
      <c r="A4023" s="1">
        <v>0.79236111111111096</v>
      </c>
      <c r="B4023" s="2">
        <v>6.25</v>
      </c>
      <c r="C4023" s="2">
        <v>3.73</v>
      </c>
      <c r="D4023" s="2">
        <v>5.0199999999999996</v>
      </c>
      <c r="E4023" s="2">
        <v>5.4</v>
      </c>
      <c r="F4023" s="2">
        <v>3.21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</row>
    <row r="4024" spans="1:11" x14ac:dyDescent="0.2">
      <c r="A4024" s="1">
        <v>0.79305555555555596</v>
      </c>
      <c r="B4024" s="2">
        <v>6.18</v>
      </c>
      <c r="C4024" s="2">
        <v>3.8</v>
      </c>
      <c r="D4024" s="2">
        <v>4.96</v>
      </c>
      <c r="E4024" s="2">
        <v>5.2</v>
      </c>
      <c r="F4024" s="2">
        <v>3.08</v>
      </c>
      <c r="G4024" s="6">
        <v>0</v>
      </c>
      <c r="H4024" s="6">
        <v>0</v>
      </c>
      <c r="I4024" s="6">
        <v>0</v>
      </c>
      <c r="J4024" s="6">
        <v>0</v>
      </c>
      <c r="K4024" s="6">
        <v>0</v>
      </c>
    </row>
    <row r="4025" spans="1:11" x14ac:dyDescent="0.2">
      <c r="A4025" s="1">
        <v>0.79374999999999996</v>
      </c>
      <c r="B4025" s="2">
        <v>6.12</v>
      </c>
      <c r="C4025" s="2">
        <v>3.83</v>
      </c>
      <c r="D4025" s="2">
        <v>4.92</v>
      </c>
      <c r="E4025" s="2">
        <v>5.74</v>
      </c>
      <c r="F4025" s="2">
        <v>3.3200000000000003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</row>
    <row r="4026" spans="1:11" x14ac:dyDescent="0.2">
      <c r="A4026" s="1">
        <v>0.79444444444444495</v>
      </c>
      <c r="B4026" s="2">
        <v>6.19</v>
      </c>
      <c r="C4026" s="2">
        <v>3.83</v>
      </c>
      <c r="D4026" s="2">
        <v>4.8999999999999995</v>
      </c>
      <c r="E4026" s="2">
        <v>5.59</v>
      </c>
      <c r="F4026" s="2">
        <v>2.91</v>
      </c>
      <c r="G4026" s="6">
        <v>0</v>
      </c>
      <c r="H4026" s="6">
        <v>0</v>
      </c>
      <c r="I4026" s="6">
        <v>0</v>
      </c>
      <c r="J4026" s="6">
        <v>0</v>
      </c>
      <c r="K4026" s="6">
        <v>0</v>
      </c>
    </row>
    <row r="4027" spans="1:11" x14ac:dyDescent="0.2">
      <c r="A4027" s="1">
        <v>0.79513888888888895</v>
      </c>
      <c r="B4027" s="2">
        <v>6.3</v>
      </c>
      <c r="C4027" s="2">
        <v>3.8899999999999997</v>
      </c>
      <c r="D4027" s="2">
        <v>5.27</v>
      </c>
      <c r="E4027" s="2">
        <v>5.77</v>
      </c>
      <c r="F4027" s="2">
        <v>3.22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</row>
    <row r="4028" spans="1:11" x14ac:dyDescent="0.2">
      <c r="A4028" s="1">
        <v>0.79583333333333295</v>
      </c>
      <c r="B4028" s="2">
        <v>6.13</v>
      </c>
      <c r="C4028" s="2">
        <v>3.9099999999999997</v>
      </c>
      <c r="D4028" s="2">
        <v>5.25</v>
      </c>
      <c r="E4028" s="2">
        <v>5.64</v>
      </c>
      <c r="F4028" s="2">
        <v>3</v>
      </c>
      <c r="G4028" s="6">
        <v>0</v>
      </c>
      <c r="H4028" s="6">
        <v>0</v>
      </c>
      <c r="I4028" s="6">
        <v>0</v>
      </c>
      <c r="J4028" s="6">
        <v>0</v>
      </c>
      <c r="K4028" s="6">
        <v>0</v>
      </c>
    </row>
    <row r="4029" spans="1:11" x14ac:dyDescent="0.2">
      <c r="A4029" s="1">
        <v>0.79652777777777795</v>
      </c>
      <c r="B4029" s="2">
        <v>6.25</v>
      </c>
      <c r="C4029" s="2">
        <v>3.6999999999999997</v>
      </c>
      <c r="D4029" s="2">
        <v>5.1499999999999995</v>
      </c>
      <c r="E4029" s="2">
        <v>5.31</v>
      </c>
      <c r="F4029" s="2">
        <v>3.35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</row>
    <row r="4030" spans="1:11" x14ac:dyDescent="0.2">
      <c r="A4030" s="1">
        <v>0.79722222222222205</v>
      </c>
      <c r="B4030" s="2">
        <v>6.19</v>
      </c>
      <c r="C4030" s="2">
        <v>3.7199999999999998</v>
      </c>
      <c r="D4030" s="2">
        <v>5.13</v>
      </c>
      <c r="E4030" s="2">
        <v>5.71</v>
      </c>
      <c r="F4030" s="2">
        <v>3.0900000000000003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</row>
    <row r="4031" spans="1:11" x14ac:dyDescent="0.2">
      <c r="A4031" s="1">
        <v>0.79791666666666705</v>
      </c>
      <c r="B4031" s="2">
        <v>6.2</v>
      </c>
      <c r="C4031" s="2">
        <v>3.87</v>
      </c>
      <c r="D4031" s="2">
        <v>4.9899999999999993</v>
      </c>
      <c r="E4031" s="2">
        <v>5.76</v>
      </c>
      <c r="F4031" s="2">
        <v>3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</row>
    <row r="4032" spans="1:11" x14ac:dyDescent="0.2">
      <c r="A4032" s="1">
        <v>0.79861111111111105</v>
      </c>
      <c r="B4032" s="2">
        <v>6.25</v>
      </c>
      <c r="C4032" s="2">
        <v>3.76</v>
      </c>
      <c r="D4032" s="2">
        <v>4.97</v>
      </c>
      <c r="E4032" s="2">
        <v>5.51</v>
      </c>
      <c r="F4032" s="2">
        <v>3.29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</row>
    <row r="4033" spans="1:11" x14ac:dyDescent="0.2">
      <c r="A4033" s="1">
        <v>0.79930555555555605</v>
      </c>
      <c r="B4033" s="2">
        <v>6.28</v>
      </c>
      <c r="C4033" s="2">
        <v>3.88</v>
      </c>
      <c r="D4033" s="2">
        <v>4.8999999999999995</v>
      </c>
      <c r="E4033" s="2">
        <v>5.65</v>
      </c>
      <c r="F4033" s="2">
        <v>3.14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</row>
    <row r="4034" spans="1:11" x14ac:dyDescent="0.2">
      <c r="A4034" s="1">
        <v>0.8</v>
      </c>
      <c r="B4034" s="2">
        <v>6.3100000000000005</v>
      </c>
      <c r="C4034" s="2">
        <v>3.75</v>
      </c>
      <c r="D4034" s="2">
        <v>5.1499999999999995</v>
      </c>
      <c r="E4034" s="2">
        <v>5.68</v>
      </c>
      <c r="F4034" s="2">
        <v>3.38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</row>
    <row r="4035" spans="1:11" x14ac:dyDescent="0.2">
      <c r="A4035" s="1">
        <v>0.80069444444444404</v>
      </c>
      <c r="B4035" s="2">
        <v>6.12</v>
      </c>
      <c r="C4035" s="2">
        <v>3.7199999999999998</v>
      </c>
      <c r="D4035" s="2">
        <v>5.16</v>
      </c>
      <c r="E4035" s="2">
        <v>5.65</v>
      </c>
      <c r="F4035" s="2">
        <v>3.27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</row>
    <row r="4036" spans="1:11" x14ac:dyDescent="0.2">
      <c r="A4036" s="1">
        <v>0.80138888888888904</v>
      </c>
      <c r="B4036" s="2">
        <v>6.25</v>
      </c>
      <c r="C4036" s="2">
        <v>3.87</v>
      </c>
      <c r="D4036" s="2">
        <v>4.8899999999999997</v>
      </c>
      <c r="E4036" s="2">
        <v>5.22</v>
      </c>
      <c r="F4036" s="2">
        <v>2.91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</row>
    <row r="4037" spans="1:11" x14ac:dyDescent="0.2">
      <c r="A4037" s="1">
        <v>0.80208333333333304</v>
      </c>
      <c r="B4037" s="2">
        <v>6.25</v>
      </c>
      <c r="C4037" s="2">
        <v>3.7199999999999998</v>
      </c>
      <c r="D4037" s="2">
        <v>4.9899999999999993</v>
      </c>
      <c r="E4037" s="2">
        <v>5.22</v>
      </c>
      <c r="F4037" s="2">
        <v>3.13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</row>
    <row r="4038" spans="1:11" x14ac:dyDescent="0.2">
      <c r="A4038" s="1">
        <v>0.80277777777777803</v>
      </c>
      <c r="B4038" s="2">
        <v>6.28</v>
      </c>
      <c r="C4038" s="2">
        <v>3.86</v>
      </c>
      <c r="D4038" s="2">
        <v>4.9799999999999995</v>
      </c>
      <c r="E4038" s="2">
        <v>5.7</v>
      </c>
      <c r="F4038" s="2">
        <v>3.2800000000000002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</row>
    <row r="4039" spans="1:11" x14ac:dyDescent="0.2">
      <c r="A4039" s="1">
        <v>0.80347222222222203</v>
      </c>
      <c r="B4039" s="2">
        <v>6.16</v>
      </c>
      <c r="C4039" s="2">
        <v>3.69</v>
      </c>
      <c r="D4039" s="2">
        <v>5</v>
      </c>
      <c r="E4039" s="2">
        <v>5.6099999999999994</v>
      </c>
      <c r="F4039" s="2">
        <v>3.04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</row>
    <row r="4040" spans="1:11" x14ac:dyDescent="0.2">
      <c r="A4040" s="1">
        <v>0.80416666666666703</v>
      </c>
      <c r="B4040" s="2">
        <v>6.15</v>
      </c>
      <c r="C4040" s="2">
        <v>3.8</v>
      </c>
      <c r="D4040" s="2">
        <v>4.9799999999999995</v>
      </c>
      <c r="E4040" s="2">
        <v>5.45</v>
      </c>
      <c r="F4040" s="2">
        <v>3.27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</row>
    <row r="4041" spans="1:11" x14ac:dyDescent="0.2">
      <c r="A4041" s="1">
        <v>0.80486111111111103</v>
      </c>
      <c r="B4041" s="2">
        <v>6.3500000000000005</v>
      </c>
      <c r="C4041" s="2">
        <v>3.8</v>
      </c>
      <c r="D4041" s="2">
        <v>5</v>
      </c>
      <c r="E4041" s="2">
        <v>5.72</v>
      </c>
      <c r="F4041" s="2">
        <v>3.2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</row>
    <row r="4042" spans="1:11" x14ac:dyDescent="0.2">
      <c r="A4042" s="1">
        <v>0.80555555555555602</v>
      </c>
      <c r="B4042" s="2">
        <v>6.19</v>
      </c>
      <c r="C4042" s="2">
        <v>3.7199999999999998</v>
      </c>
      <c r="D4042" s="2">
        <v>5.2799999999999994</v>
      </c>
      <c r="E4042" s="2">
        <v>5.51</v>
      </c>
      <c r="F4042" s="2">
        <v>2.92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</row>
    <row r="4043" spans="1:11" x14ac:dyDescent="0.2">
      <c r="A4043" s="1">
        <v>0.80625000000000002</v>
      </c>
      <c r="B4043" s="2">
        <v>6.34</v>
      </c>
      <c r="C4043" s="2">
        <v>3.9</v>
      </c>
      <c r="D4043" s="2">
        <v>5.35</v>
      </c>
      <c r="E4043" s="2">
        <v>5.79</v>
      </c>
      <c r="F4043" s="2">
        <v>3.1100000000000003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</row>
    <row r="4044" spans="1:11" x14ac:dyDescent="0.2">
      <c r="A4044" s="1">
        <v>0.80694444444444402</v>
      </c>
      <c r="B4044" s="2">
        <v>6.13</v>
      </c>
      <c r="C4044" s="2">
        <v>3.8899999999999997</v>
      </c>
      <c r="D4044" s="2">
        <v>4.9099999999999993</v>
      </c>
      <c r="E4044" s="2">
        <v>5.6099999999999994</v>
      </c>
      <c r="F4044" s="2">
        <v>3.02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</row>
    <row r="4045" spans="1:11" x14ac:dyDescent="0.2">
      <c r="A4045" s="1">
        <v>0.80763888888888902</v>
      </c>
      <c r="B4045" s="2">
        <v>6.19</v>
      </c>
      <c r="C4045" s="2">
        <v>3.7399999999999998</v>
      </c>
      <c r="D4045" s="2">
        <v>4.9499999999999993</v>
      </c>
      <c r="E4045" s="2">
        <v>5.25</v>
      </c>
      <c r="F4045" s="2">
        <v>3.0700000000000003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</row>
    <row r="4046" spans="1:11" x14ac:dyDescent="0.2">
      <c r="A4046" s="1">
        <v>0.80833333333333302</v>
      </c>
      <c r="B4046" s="2">
        <v>6.33</v>
      </c>
      <c r="C4046" s="2">
        <v>3.6799999999999997</v>
      </c>
      <c r="D4046" s="2">
        <v>5.3199999999999994</v>
      </c>
      <c r="E4046" s="2">
        <v>5.66</v>
      </c>
      <c r="F4046" s="2">
        <v>2.91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</row>
    <row r="4047" spans="1:11" x14ac:dyDescent="0.2">
      <c r="A4047" s="1">
        <v>0.80902777777777801</v>
      </c>
      <c r="B4047" s="2">
        <v>6.21</v>
      </c>
      <c r="C4047" s="2">
        <v>3.7199999999999998</v>
      </c>
      <c r="D4047" s="2">
        <v>5.1099999999999994</v>
      </c>
      <c r="E4047" s="2">
        <v>5.2</v>
      </c>
      <c r="F4047" s="2">
        <v>2.89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</row>
    <row r="4048" spans="1:11" x14ac:dyDescent="0.2">
      <c r="A4048" s="1">
        <v>0.80972222222222201</v>
      </c>
      <c r="B4048" s="2">
        <v>6.28</v>
      </c>
      <c r="C4048" s="2">
        <v>3.77</v>
      </c>
      <c r="D4048" s="2">
        <v>5.09</v>
      </c>
      <c r="E4048" s="2">
        <v>5.2299999999999995</v>
      </c>
      <c r="F4048" s="2">
        <v>2.98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</row>
    <row r="4049" spans="1:11" x14ac:dyDescent="0.2">
      <c r="A4049" s="1">
        <v>0.81041666666666701</v>
      </c>
      <c r="B4049" s="2">
        <v>6.26</v>
      </c>
      <c r="C4049" s="2">
        <v>3.8899999999999997</v>
      </c>
      <c r="D4049" s="2">
        <v>5.1499999999999995</v>
      </c>
      <c r="E4049" s="2">
        <v>5.62</v>
      </c>
      <c r="F4049" s="2">
        <v>3.3600000000000003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</row>
    <row r="4050" spans="1:11" x14ac:dyDescent="0.2">
      <c r="A4050" s="1">
        <v>0.81111111111111101</v>
      </c>
      <c r="B4050" s="2">
        <v>6.19</v>
      </c>
      <c r="C4050" s="2">
        <v>3.88</v>
      </c>
      <c r="D4050" s="2">
        <v>5.17</v>
      </c>
      <c r="E4050" s="2">
        <v>5.66</v>
      </c>
      <c r="F4050" s="2">
        <v>3.2600000000000002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</row>
    <row r="4051" spans="1:11" x14ac:dyDescent="0.2">
      <c r="A4051" s="1">
        <v>0.811805555555556</v>
      </c>
      <c r="B4051" s="2">
        <v>6.29</v>
      </c>
      <c r="C4051" s="2">
        <v>3.83</v>
      </c>
      <c r="D4051" s="2">
        <v>5.39</v>
      </c>
      <c r="E4051" s="2">
        <v>5.42</v>
      </c>
      <c r="F4051" s="2">
        <v>3.04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</row>
    <row r="4052" spans="1:11" x14ac:dyDescent="0.2">
      <c r="A4052" s="1">
        <v>0.8125</v>
      </c>
      <c r="B4052" s="2">
        <v>6.34</v>
      </c>
      <c r="C4052" s="2">
        <v>3.6799999999999997</v>
      </c>
      <c r="D4052" s="2">
        <v>5.39</v>
      </c>
      <c r="E4052" s="2">
        <v>5.46</v>
      </c>
      <c r="F4052" s="2">
        <v>3.2600000000000002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</row>
    <row r="4053" spans="1:11" x14ac:dyDescent="0.2">
      <c r="A4053" s="1">
        <v>0.813194444444444</v>
      </c>
      <c r="B4053" s="2">
        <v>6.25</v>
      </c>
      <c r="C4053" s="2">
        <v>3.87</v>
      </c>
      <c r="D4053" s="2">
        <v>5.01</v>
      </c>
      <c r="E4053" s="2">
        <v>5.78</v>
      </c>
      <c r="F4053" s="2">
        <v>3.1100000000000003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</row>
    <row r="4054" spans="1:11" x14ac:dyDescent="0.2">
      <c r="A4054" s="1">
        <v>0.81388888888888899</v>
      </c>
      <c r="B4054" s="2">
        <v>6.25</v>
      </c>
      <c r="C4054" s="2">
        <v>3.71</v>
      </c>
      <c r="D4054" s="2">
        <v>4.92</v>
      </c>
      <c r="E4054" s="2">
        <v>5.49</v>
      </c>
      <c r="F4054" s="2">
        <v>2.95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</row>
    <row r="4055" spans="1:11" x14ac:dyDescent="0.2">
      <c r="A4055" s="1">
        <v>0.81458333333333299</v>
      </c>
      <c r="B4055" s="2">
        <v>6.25</v>
      </c>
      <c r="C4055" s="2">
        <v>3.87</v>
      </c>
      <c r="D4055" s="2">
        <v>5.18</v>
      </c>
      <c r="E4055" s="2">
        <v>5.1499999999999995</v>
      </c>
      <c r="F4055" s="2">
        <v>3.1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</row>
    <row r="4056" spans="1:11" x14ac:dyDescent="0.2">
      <c r="A4056" s="1">
        <v>0.81527777777777799</v>
      </c>
      <c r="B4056" s="2">
        <v>6.29</v>
      </c>
      <c r="C4056" s="2">
        <v>3.75</v>
      </c>
      <c r="D4056" s="2">
        <v>4.93</v>
      </c>
      <c r="E4056" s="2">
        <v>5.39</v>
      </c>
      <c r="F4056" s="2">
        <v>3.18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</row>
    <row r="4057" spans="1:11" x14ac:dyDescent="0.2">
      <c r="A4057" s="1">
        <v>0.81597222222222199</v>
      </c>
      <c r="B4057" s="2">
        <v>6.18</v>
      </c>
      <c r="C4057" s="2">
        <v>3.77</v>
      </c>
      <c r="D4057" s="2">
        <v>5.1899999999999995</v>
      </c>
      <c r="E4057" s="2">
        <v>5.4799999999999995</v>
      </c>
      <c r="F4057" s="2">
        <v>3.18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</row>
    <row r="4058" spans="1:11" x14ac:dyDescent="0.2">
      <c r="A4058" s="1">
        <v>0.81666666666666698</v>
      </c>
      <c r="B4058" s="2">
        <v>6.16</v>
      </c>
      <c r="C4058" s="2">
        <v>3.69</v>
      </c>
      <c r="D4058" s="2">
        <v>5.08</v>
      </c>
      <c r="E4058" s="2">
        <v>5.4399999999999995</v>
      </c>
      <c r="F4058" s="2">
        <v>3.3400000000000003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</row>
    <row r="4059" spans="1:11" x14ac:dyDescent="0.2">
      <c r="A4059" s="1">
        <v>0.81736111111111098</v>
      </c>
      <c r="B4059" s="2">
        <v>6.23</v>
      </c>
      <c r="C4059" s="2">
        <v>3.67</v>
      </c>
      <c r="D4059" s="2">
        <v>5.27</v>
      </c>
      <c r="E4059" s="2">
        <v>5.6099999999999994</v>
      </c>
      <c r="F4059" s="2">
        <v>3.38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</row>
    <row r="4060" spans="1:11" x14ac:dyDescent="0.2">
      <c r="A4060" s="1">
        <v>0.81805555555555598</v>
      </c>
      <c r="B4060" s="2">
        <v>6.26</v>
      </c>
      <c r="C4060" s="2">
        <v>3.9</v>
      </c>
      <c r="D4060" s="2">
        <v>5.08</v>
      </c>
      <c r="E4060" s="2">
        <v>5.24</v>
      </c>
      <c r="F4060" s="2">
        <v>2.9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</row>
    <row r="4061" spans="1:11" x14ac:dyDescent="0.2">
      <c r="A4061" s="1">
        <v>0.81874999999999998</v>
      </c>
      <c r="B4061" s="2">
        <v>6.12</v>
      </c>
      <c r="C4061" s="2">
        <v>3.86</v>
      </c>
      <c r="D4061" s="2">
        <v>5.17</v>
      </c>
      <c r="E4061" s="2">
        <v>5.75</v>
      </c>
      <c r="F4061" s="2">
        <v>3.0300000000000002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</row>
    <row r="4062" spans="1:11" x14ac:dyDescent="0.2">
      <c r="A4062" s="1">
        <v>0.81944444444444497</v>
      </c>
      <c r="B4062" s="2">
        <v>6.32</v>
      </c>
      <c r="C4062" s="2">
        <v>3.8499999999999996</v>
      </c>
      <c r="D4062" s="2">
        <v>5.08</v>
      </c>
      <c r="E4062" s="2">
        <v>5.32</v>
      </c>
      <c r="F4062" s="2">
        <v>3.2600000000000002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</row>
    <row r="4063" spans="1:11" x14ac:dyDescent="0.2">
      <c r="A4063" s="1">
        <v>0.82013888888888897</v>
      </c>
      <c r="B4063" s="2">
        <v>6.15</v>
      </c>
      <c r="C4063" s="2">
        <v>3.61</v>
      </c>
      <c r="D4063" s="2">
        <v>5.16</v>
      </c>
      <c r="E4063" s="2">
        <v>5.41</v>
      </c>
      <c r="F4063" s="2">
        <v>3.3200000000000003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</row>
    <row r="4064" spans="1:11" x14ac:dyDescent="0.2">
      <c r="A4064" s="1">
        <v>0.82083333333333297</v>
      </c>
      <c r="B4064" s="2">
        <v>6.22</v>
      </c>
      <c r="C4064" s="2">
        <v>3.9099999999999997</v>
      </c>
      <c r="D4064" s="2">
        <v>4.9399999999999995</v>
      </c>
      <c r="E4064" s="2">
        <v>5.72</v>
      </c>
      <c r="F4064" s="2">
        <v>3.0500000000000003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</row>
    <row r="4065" spans="1:11" x14ac:dyDescent="0.2">
      <c r="A4065" s="1">
        <v>0.82152777777777797</v>
      </c>
      <c r="B4065" s="2">
        <v>6.14</v>
      </c>
      <c r="C4065" s="2">
        <v>3.71</v>
      </c>
      <c r="D4065" s="2">
        <v>5.09</v>
      </c>
      <c r="E4065" s="2">
        <v>5.51</v>
      </c>
      <c r="F4065" s="2">
        <v>3.27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</row>
    <row r="4066" spans="1:11" x14ac:dyDescent="0.2">
      <c r="A4066" s="1">
        <v>0.82222222222222197</v>
      </c>
      <c r="B4066" s="2">
        <v>6.17</v>
      </c>
      <c r="C4066" s="2">
        <v>3.73</v>
      </c>
      <c r="D4066" s="2">
        <v>5.38</v>
      </c>
      <c r="E4066" s="2">
        <v>5.2299999999999995</v>
      </c>
      <c r="F4066" s="2">
        <v>3.21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</row>
    <row r="4067" spans="1:11" x14ac:dyDescent="0.2">
      <c r="A4067" s="1">
        <v>0.82291666666666696</v>
      </c>
      <c r="B4067" s="2">
        <v>6.16</v>
      </c>
      <c r="C4067" s="2">
        <v>3.82</v>
      </c>
      <c r="D4067" s="2">
        <v>5.1999999999999993</v>
      </c>
      <c r="E4067" s="2">
        <v>5.6</v>
      </c>
      <c r="F4067" s="2">
        <v>3.18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</row>
    <row r="4068" spans="1:11" x14ac:dyDescent="0.2">
      <c r="A4068" s="1">
        <v>0.82361111111111096</v>
      </c>
      <c r="B4068" s="2">
        <v>6.24</v>
      </c>
      <c r="C4068" s="2">
        <v>3.78</v>
      </c>
      <c r="D4068" s="2">
        <v>5.14</v>
      </c>
      <c r="E4068" s="2">
        <v>5.53</v>
      </c>
      <c r="F4068" s="2">
        <v>2.94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</row>
    <row r="4069" spans="1:11" x14ac:dyDescent="0.2">
      <c r="A4069" s="1">
        <v>0.82430555555555596</v>
      </c>
      <c r="B4069" s="2">
        <v>6.2</v>
      </c>
      <c r="C4069" s="2">
        <v>3.6199999999999997</v>
      </c>
      <c r="D4069" s="2">
        <v>5.16</v>
      </c>
      <c r="E4069" s="2">
        <v>5.7299999999999995</v>
      </c>
      <c r="F4069" s="2">
        <v>3.25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</row>
    <row r="4070" spans="1:11" x14ac:dyDescent="0.2">
      <c r="A4070" s="1">
        <v>0.82499999999999996</v>
      </c>
      <c r="B4070" s="2">
        <v>6.23</v>
      </c>
      <c r="C4070" s="2">
        <v>3.8899999999999997</v>
      </c>
      <c r="D4070" s="2">
        <v>5.27</v>
      </c>
      <c r="E4070" s="2">
        <v>5.16</v>
      </c>
      <c r="F4070" s="2">
        <v>3.3600000000000003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</row>
    <row r="4071" spans="1:11" x14ac:dyDescent="0.2">
      <c r="A4071" s="1">
        <v>0.82569444444444495</v>
      </c>
      <c r="B4071" s="2">
        <v>6.36</v>
      </c>
      <c r="C4071" s="2">
        <v>3.71</v>
      </c>
      <c r="D4071" s="2">
        <v>5.31</v>
      </c>
      <c r="E4071" s="2">
        <v>5.59</v>
      </c>
      <c r="F4071" s="2">
        <v>3.12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</row>
    <row r="4072" spans="1:11" x14ac:dyDescent="0.2">
      <c r="A4072" s="1">
        <v>0.82638888888888895</v>
      </c>
      <c r="B4072" s="2">
        <v>6.3500000000000005</v>
      </c>
      <c r="C4072" s="2">
        <v>3.6999999999999997</v>
      </c>
      <c r="D4072" s="2">
        <v>5.08</v>
      </c>
      <c r="E4072" s="2">
        <v>5.7</v>
      </c>
      <c r="F4072" s="2">
        <v>3.1100000000000003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</row>
    <row r="4073" spans="1:11" x14ac:dyDescent="0.2">
      <c r="A4073" s="1">
        <v>0.82708333333333295</v>
      </c>
      <c r="B4073" s="2">
        <v>6.16</v>
      </c>
      <c r="C4073" s="2">
        <v>3.92</v>
      </c>
      <c r="D4073" s="2">
        <v>5.1899999999999995</v>
      </c>
      <c r="E4073" s="2">
        <v>5.6899999999999995</v>
      </c>
      <c r="F4073" s="2">
        <v>3.39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</row>
    <row r="4074" spans="1:11" x14ac:dyDescent="0.2">
      <c r="A4074" s="1">
        <v>0.82777777777777795</v>
      </c>
      <c r="B4074" s="2">
        <v>6.2700000000000005</v>
      </c>
      <c r="C4074" s="2">
        <v>3.86</v>
      </c>
      <c r="D4074" s="2">
        <v>5.2399999999999993</v>
      </c>
      <c r="E4074" s="2">
        <v>5.43</v>
      </c>
      <c r="F4074" s="2">
        <v>3.25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</row>
    <row r="4075" spans="1:11" x14ac:dyDescent="0.2">
      <c r="A4075" s="1">
        <v>0.82847222222222205</v>
      </c>
      <c r="B4075" s="2">
        <v>6.2700000000000005</v>
      </c>
      <c r="C4075" s="2">
        <v>3.86</v>
      </c>
      <c r="D4075" s="2">
        <v>5.31</v>
      </c>
      <c r="E4075" s="2">
        <v>5.1499999999999995</v>
      </c>
      <c r="F4075" s="2">
        <v>3.1100000000000003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</row>
    <row r="4076" spans="1:11" x14ac:dyDescent="0.2">
      <c r="A4076" s="1">
        <v>0.82916666666666705</v>
      </c>
      <c r="B4076" s="2">
        <v>6.15</v>
      </c>
      <c r="C4076" s="2">
        <v>3.8499999999999996</v>
      </c>
      <c r="D4076" s="2">
        <v>4.9099999999999993</v>
      </c>
      <c r="E4076" s="2">
        <v>5.41</v>
      </c>
      <c r="F4076" s="2">
        <v>3.22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</row>
    <row r="4077" spans="1:11" x14ac:dyDescent="0.2">
      <c r="A4077" s="1">
        <v>0.82986111111111105</v>
      </c>
      <c r="B4077" s="2">
        <v>6.15</v>
      </c>
      <c r="C4077" s="2">
        <v>3.69</v>
      </c>
      <c r="D4077" s="2">
        <v>5.26</v>
      </c>
      <c r="E4077" s="2">
        <v>5.51</v>
      </c>
      <c r="F4077" s="2">
        <v>2.98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</row>
    <row r="4078" spans="1:11" x14ac:dyDescent="0.2">
      <c r="A4078" s="1">
        <v>0.83055555555555605</v>
      </c>
      <c r="B4078" s="2">
        <v>6.34</v>
      </c>
      <c r="C4078" s="2">
        <v>3.69</v>
      </c>
      <c r="D4078" s="2">
        <v>4.97</v>
      </c>
      <c r="E4078" s="2">
        <v>5.25</v>
      </c>
      <c r="F4078" s="2">
        <v>3.24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</row>
    <row r="4079" spans="1:11" x14ac:dyDescent="0.2">
      <c r="A4079" s="1">
        <v>0.83125000000000004</v>
      </c>
      <c r="B4079" s="2">
        <v>6.2700000000000005</v>
      </c>
      <c r="C4079" s="2">
        <v>3.84</v>
      </c>
      <c r="D4079" s="2">
        <v>4.9399999999999995</v>
      </c>
      <c r="E4079" s="2">
        <v>5.34</v>
      </c>
      <c r="F4079" s="2">
        <v>3.3000000000000003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</row>
    <row r="4080" spans="1:11" x14ac:dyDescent="0.2">
      <c r="A4080" s="1">
        <v>0.83194444444444404</v>
      </c>
      <c r="B4080" s="2">
        <v>6.34</v>
      </c>
      <c r="C4080" s="2">
        <v>3.6199999999999997</v>
      </c>
      <c r="D4080" s="2">
        <v>5.1099999999999994</v>
      </c>
      <c r="E4080" s="2">
        <v>5.39</v>
      </c>
      <c r="F4080" s="2">
        <v>3.35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</row>
    <row r="4081" spans="1:11" x14ac:dyDescent="0.2">
      <c r="A4081" s="1">
        <v>0.83263888888888904</v>
      </c>
      <c r="B4081" s="2">
        <v>6.12</v>
      </c>
      <c r="C4081" s="2">
        <v>3.71</v>
      </c>
      <c r="D4081" s="2">
        <v>4.9799999999999995</v>
      </c>
      <c r="E4081" s="2">
        <v>5.41</v>
      </c>
      <c r="F4081" s="2">
        <v>3.3200000000000003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</row>
    <row r="4082" spans="1:11" x14ac:dyDescent="0.2">
      <c r="A4082" s="3">
        <v>0.83333333333333304</v>
      </c>
      <c r="B4082" s="2">
        <v>6.24</v>
      </c>
      <c r="C4082" s="2">
        <v>3.82</v>
      </c>
      <c r="D4082" s="2">
        <v>5.12</v>
      </c>
      <c r="E4082" s="2">
        <v>5.42</v>
      </c>
      <c r="F4082" s="2">
        <v>3.25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</row>
    <row r="4083" spans="1:11" x14ac:dyDescent="0.2">
      <c r="A4083" s="1">
        <v>0.83402777777777803</v>
      </c>
      <c r="B4083" s="2">
        <v>6.14</v>
      </c>
      <c r="C4083" s="2">
        <v>3.6399999999999997</v>
      </c>
      <c r="D4083" s="2">
        <v>5.17</v>
      </c>
      <c r="E4083" s="2">
        <v>5.6199999999999992</v>
      </c>
      <c r="F4083" s="2">
        <v>3.1100000000000003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</row>
    <row r="4084" spans="1:11" x14ac:dyDescent="0.2">
      <c r="A4084" s="1">
        <v>0.83472222222222203</v>
      </c>
      <c r="B4084" s="2">
        <v>6.21</v>
      </c>
      <c r="C4084" s="2">
        <v>3.86</v>
      </c>
      <c r="D4084" s="2">
        <v>5.34</v>
      </c>
      <c r="E4084" s="2">
        <v>5.46</v>
      </c>
      <c r="F4084" s="2">
        <v>2.91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</row>
    <row r="4085" spans="1:11" x14ac:dyDescent="0.2">
      <c r="A4085" s="1">
        <v>0.83541666666666703</v>
      </c>
      <c r="B4085" s="2">
        <v>6.34</v>
      </c>
      <c r="C4085" s="2">
        <v>3.75</v>
      </c>
      <c r="D4085" s="2">
        <v>5.2299999999999995</v>
      </c>
      <c r="E4085" s="2">
        <v>5.75</v>
      </c>
      <c r="F4085" s="2">
        <v>3.3000000000000003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</row>
    <row r="4086" spans="1:11" x14ac:dyDescent="0.2">
      <c r="A4086" s="1">
        <v>0.83611111111111103</v>
      </c>
      <c r="B4086" s="2">
        <v>6.25</v>
      </c>
      <c r="C4086" s="2">
        <v>3.81</v>
      </c>
      <c r="D4086" s="2">
        <v>5.1899999999999995</v>
      </c>
      <c r="E4086" s="2">
        <v>5.29</v>
      </c>
      <c r="F4086" s="2">
        <v>2.97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</row>
    <row r="4087" spans="1:11" x14ac:dyDescent="0.2">
      <c r="A4087" s="1">
        <v>0.83680555555555602</v>
      </c>
      <c r="B4087" s="2">
        <v>6.24</v>
      </c>
      <c r="C4087" s="2">
        <v>3.6799999999999997</v>
      </c>
      <c r="D4087" s="2">
        <v>4.8999999999999995</v>
      </c>
      <c r="E4087" s="2">
        <v>5.3999999999999995</v>
      </c>
      <c r="F4087" s="2">
        <v>2.89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</row>
    <row r="4088" spans="1:11" x14ac:dyDescent="0.2">
      <c r="A4088" s="1">
        <v>0.83750000000000002</v>
      </c>
      <c r="B4088" s="2">
        <v>6.17</v>
      </c>
      <c r="C4088" s="2">
        <v>3.61</v>
      </c>
      <c r="D4088" s="2">
        <v>5.0299999999999994</v>
      </c>
      <c r="E4088" s="2">
        <v>5.63</v>
      </c>
      <c r="F4088" s="2">
        <v>3.1100000000000003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</row>
    <row r="4089" spans="1:11" x14ac:dyDescent="0.2">
      <c r="A4089" s="1">
        <v>0.83819444444444402</v>
      </c>
      <c r="B4089" s="2">
        <v>6.32</v>
      </c>
      <c r="C4089" s="2">
        <v>3.7199999999999998</v>
      </c>
      <c r="D4089" s="2">
        <v>5.0599999999999996</v>
      </c>
      <c r="E4089" s="2">
        <v>5.54</v>
      </c>
      <c r="F4089" s="2">
        <v>3.14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</row>
    <row r="4090" spans="1:11" x14ac:dyDescent="0.2">
      <c r="A4090" s="1">
        <v>0.83888888888888902</v>
      </c>
      <c r="B4090" s="2">
        <v>6.29</v>
      </c>
      <c r="C4090" s="2">
        <v>3.81</v>
      </c>
      <c r="D4090" s="2">
        <v>5.1499999999999995</v>
      </c>
      <c r="E4090" s="2">
        <v>5.1499999999999995</v>
      </c>
      <c r="F4090" s="2">
        <v>3.29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</row>
    <row r="4091" spans="1:11" x14ac:dyDescent="0.2">
      <c r="A4091" s="1">
        <v>0.83958333333333302</v>
      </c>
      <c r="B4091" s="2">
        <v>6.19</v>
      </c>
      <c r="C4091" s="2">
        <v>3.7199999999999998</v>
      </c>
      <c r="D4091" s="2">
        <v>5.31</v>
      </c>
      <c r="E4091" s="2">
        <v>5.56</v>
      </c>
      <c r="F4091" s="2">
        <v>3.0500000000000003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</row>
    <row r="4092" spans="1:11" x14ac:dyDescent="0.2">
      <c r="A4092" s="1">
        <v>0.84027777777777801</v>
      </c>
      <c r="B4092" s="2">
        <v>6.15</v>
      </c>
      <c r="C4092" s="2">
        <v>3.71</v>
      </c>
      <c r="D4092" s="2">
        <v>5.14</v>
      </c>
      <c r="E4092" s="2">
        <v>5.39</v>
      </c>
      <c r="F4092" s="2">
        <v>3.17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</row>
    <row r="4093" spans="1:11" x14ac:dyDescent="0.2">
      <c r="A4093" s="1">
        <v>0.84097222222222201</v>
      </c>
      <c r="B4093" s="2">
        <v>6.16</v>
      </c>
      <c r="C4093" s="2">
        <v>3.71</v>
      </c>
      <c r="D4093" s="2">
        <v>4.8899999999999997</v>
      </c>
      <c r="E4093" s="2">
        <v>5.66</v>
      </c>
      <c r="F4093" s="2">
        <v>3.0900000000000003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</row>
    <row r="4094" spans="1:11" x14ac:dyDescent="0.2">
      <c r="A4094" s="1">
        <v>0.84166666666666701</v>
      </c>
      <c r="B4094" s="2">
        <v>6.16</v>
      </c>
      <c r="C4094" s="2">
        <v>3.65</v>
      </c>
      <c r="D4094" s="2">
        <v>5.1899999999999995</v>
      </c>
      <c r="E4094" s="2">
        <v>5.3999999999999995</v>
      </c>
      <c r="F4094" s="2">
        <v>3.25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</row>
    <row r="4095" spans="1:11" x14ac:dyDescent="0.2">
      <c r="A4095" s="1">
        <v>0.84236111111111101</v>
      </c>
      <c r="B4095" s="2">
        <v>6.13</v>
      </c>
      <c r="C4095" s="2">
        <v>3.8899999999999997</v>
      </c>
      <c r="D4095" s="2">
        <v>5.1499999999999995</v>
      </c>
      <c r="E4095" s="2">
        <v>5.1899999999999995</v>
      </c>
      <c r="F4095" s="2">
        <v>3.35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</row>
    <row r="4096" spans="1:11" x14ac:dyDescent="0.2">
      <c r="A4096" s="1">
        <v>0.843055555555556</v>
      </c>
      <c r="B4096" s="2">
        <v>6.23</v>
      </c>
      <c r="C4096" s="2">
        <v>3.61</v>
      </c>
      <c r="D4096" s="2">
        <v>5.3699999999999992</v>
      </c>
      <c r="E4096" s="2">
        <v>5.54</v>
      </c>
      <c r="F4096" s="2">
        <v>2.9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</row>
    <row r="4097" spans="1:11" x14ac:dyDescent="0.2">
      <c r="A4097" s="1">
        <v>0.84375</v>
      </c>
      <c r="B4097" s="2">
        <v>6.32</v>
      </c>
      <c r="C4097" s="2">
        <v>3.82</v>
      </c>
      <c r="D4097" s="2">
        <v>5.13</v>
      </c>
      <c r="E4097" s="2">
        <v>5.6199999999999992</v>
      </c>
      <c r="F4097" s="2">
        <v>3.16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</row>
    <row r="4098" spans="1:11" x14ac:dyDescent="0.2">
      <c r="A4098" s="1">
        <v>0.844444444444444</v>
      </c>
      <c r="B4098" s="2">
        <v>6.37</v>
      </c>
      <c r="C4098" s="2">
        <v>3.6399999999999997</v>
      </c>
      <c r="D4098" s="2">
        <v>4.9099999999999993</v>
      </c>
      <c r="E4098" s="2">
        <v>5.17</v>
      </c>
      <c r="F4098" s="2">
        <v>3.25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</row>
    <row r="4099" spans="1:11" x14ac:dyDescent="0.2">
      <c r="A4099" s="1">
        <v>0.84513888888888899</v>
      </c>
      <c r="B4099" s="2">
        <v>6.3100000000000005</v>
      </c>
      <c r="C4099" s="2">
        <v>3.73</v>
      </c>
      <c r="D4099" s="2">
        <v>5.2799999999999994</v>
      </c>
      <c r="E4099" s="2">
        <v>5.76</v>
      </c>
      <c r="F4099" s="2">
        <v>2.91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</row>
    <row r="4100" spans="1:11" x14ac:dyDescent="0.2">
      <c r="A4100" s="1">
        <v>0.84583333333333299</v>
      </c>
      <c r="B4100" s="2">
        <v>6.3500000000000005</v>
      </c>
      <c r="C4100" s="2">
        <v>3.81</v>
      </c>
      <c r="D4100" s="2">
        <v>5.1899999999999995</v>
      </c>
      <c r="E4100" s="2">
        <v>5.71</v>
      </c>
      <c r="F4100" s="2">
        <v>3.02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</row>
    <row r="4101" spans="1:11" x14ac:dyDescent="0.2">
      <c r="A4101" s="1">
        <v>0.84652777777777799</v>
      </c>
      <c r="B4101" s="2">
        <v>6.3100000000000005</v>
      </c>
      <c r="C4101" s="2">
        <v>3.86</v>
      </c>
      <c r="D4101" s="2">
        <v>5.18</v>
      </c>
      <c r="E4101" s="2">
        <v>5.68</v>
      </c>
      <c r="F4101" s="2">
        <v>3.4000000000000004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</row>
    <row r="4102" spans="1:11" x14ac:dyDescent="0.2">
      <c r="A4102" s="1">
        <v>0.84722222222222199</v>
      </c>
      <c r="B4102" s="2">
        <v>6.14</v>
      </c>
      <c r="C4102" s="2">
        <v>3.92</v>
      </c>
      <c r="D4102" s="2">
        <v>5.39</v>
      </c>
      <c r="E4102" s="2">
        <v>5.39</v>
      </c>
      <c r="F4102" s="2">
        <v>2.98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</row>
    <row r="4103" spans="1:11" x14ac:dyDescent="0.2">
      <c r="A4103" s="1">
        <v>0.84791666666666698</v>
      </c>
      <c r="B4103" s="2">
        <v>6.3</v>
      </c>
      <c r="C4103" s="2">
        <v>3.65</v>
      </c>
      <c r="D4103" s="2">
        <v>5.16</v>
      </c>
      <c r="E4103" s="2">
        <v>5.35</v>
      </c>
      <c r="F4103" s="2">
        <v>2.95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</row>
    <row r="4104" spans="1:11" x14ac:dyDescent="0.2">
      <c r="A4104" s="1">
        <v>0.84861111111111098</v>
      </c>
      <c r="B4104" s="2">
        <v>6.23</v>
      </c>
      <c r="C4104" s="2">
        <v>3.8</v>
      </c>
      <c r="D4104" s="2">
        <v>5.2299999999999995</v>
      </c>
      <c r="E4104" s="2">
        <v>5.64</v>
      </c>
      <c r="F4104" s="2">
        <v>3.16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</row>
    <row r="4105" spans="1:11" x14ac:dyDescent="0.2">
      <c r="A4105" s="1">
        <v>0.84930555555555598</v>
      </c>
      <c r="B4105" s="2">
        <v>6.12</v>
      </c>
      <c r="C4105" s="2">
        <v>3.76</v>
      </c>
      <c r="D4105" s="2">
        <v>5.08</v>
      </c>
      <c r="E4105" s="2">
        <v>5.1899999999999995</v>
      </c>
      <c r="F4105" s="2">
        <v>3.3400000000000003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</row>
    <row r="4106" spans="1:11" x14ac:dyDescent="0.2">
      <c r="A4106" s="1">
        <v>0.85</v>
      </c>
      <c r="B4106" s="2">
        <v>6.3500000000000005</v>
      </c>
      <c r="C4106" s="2">
        <v>3.7199999999999998</v>
      </c>
      <c r="D4106" s="2">
        <v>5.2299999999999995</v>
      </c>
      <c r="E4106" s="2">
        <v>5.7399999999999993</v>
      </c>
      <c r="F4106" s="2">
        <v>3.29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</row>
    <row r="4107" spans="1:11" x14ac:dyDescent="0.2">
      <c r="A4107" s="1">
        <v>0.85069444444444497</v>
      </c>
      <c r="B4107" s="2">
        <v>6.29</v>
      </c>
      <c r="C4107" s="2">
        <v>3.87</v>
      </c>
      <c r="D4107" s="2">
        <v>5.0999999999999996</v>
      </c>
      <c r="E4107" s="2">
        <v>5.1499999999999995</v>
      </c>
      <c r="F4107" s="2">
        <v>3.37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</row>
    <row r="4108" spans="1:11" x14ac:dyDescent="0.2">
      <c r="A4108" s="1">
        <v>0.85138888888888897</v>
      </c>
      <c r="B4108" s="2">
        <v>6.3100000000000005</v>
      </c>
      <c r="C4108" s="2">
        <v>3.6599999999999997</v>
      </c>
      <c r="D4108" s="2">
        <v>5.13</v>
      </c>
      <c r="E4108" s="2">
        <v>5.21</v>
      </c>
      <c r="F4108" s="2">
        <v>3.31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</row>
    <row r="4109" spans="1:11" x14ac:dyDescent="0.2">
      <c r="A4109" s="1">
        <v>0.85208333333333297</v>
      </c>
      <c r="B4109" s="2">
        <v>6.14</v>
      </c>
      <c r="C4109" s="2">
        <v>3.6199999999999997</v>
      </c>
      <c r="D4109" s="2">
        <v>5.31</v>
      </c>
      <c r="E4109" s="2">
        <v>5.76</v>
      </c>
      <c r="F4109" s="2">
        <v>3.02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</row>
    <row r="4110" spans="1:11" x14ac:dyDescent="0.2">
      <c r="A4110" s="1">
        <v>0.85277777777777797</v>
      </c>
      <c r="B4110" s="2">
        <v>6.19</v>
      </c>
      <c r="C4110" s="2">
        <v>3.6399999999999997</v>
      </c>
      <c r="D4110" s="2">
        <v>5.35</v>
      </c>
      <c r="E4110" s="2">
        <v>5.7799999999999994</v>
      </c>
      <c r="F4110" s="2">
        <v>3.4000000000000004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</row>
    <row r="4111" spans="1:11" x14ac:dyDescent="0.2">
      <c r="A4111" s="1">
        <v>0.85347222222222197</v>
      </c>
      <c r="B4111" s="2">
        <v>6.12</v>
      </c>
      <c r="C4111" s="2">
        <v>3.77</v>
      </c>
      <c r="D4111" s="2">
        <v>5.0299999999999994</v>
      </c>
      <c r="E4111" s="2">
        <v>5.3199999999999994</v>
      </c>
      <c r="F4111" s="2">
        <v>3.06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</row>
    <row r="4112" spans="1:11" x14ac:dyDescent="0.2">
      <c r="A4112" s="1">
        <v>0.85416666666666696</v>
      </c>
      <c r="B4112" s="2">
        <v>6.19</v>
      </c>
      <c r="C4112" s="2">
        <v>3.78</v>
      </c>
      <c r="D4112" s="2">
        <v>5.13</v>
      </c>
      <c r="E4112" s="2">
        <v>5.29</v>
      </c>
      <c r="F4112" s="2">
        <v>3.25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</row>
    <row r="4113" spans="1:11" x14ac:dyDescent="0.2">
      <c r="A4113" s="1">
        <v>0.85486111111111096</v>
      </c>
      <c r="B4113" s="2">
        <v>6.34</v>
      </c>
      <c r="C4113" s="2">
        <v>3.92</v>
      </c>
      <c r="D4113" s="2">
        <v>5.09</v>
      </c>
      <c r="E4113" s="2">
        <v>5.2399999999999993</v>
      </c>
      <c r="F4113" s="2">
        <v>3.2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</row>
    <row r="4114" spans="1:11" x14ac:dyDescent="0.2">
      <c r="A4114" s="1">
        <v>0.85555555555555596</v>
      </c>
      <c r="B4114" s="2">
        <v>6.3100000000000005</v>
      </c>
      <c r="C4114" s="2">
        <v>3.78</v>
      </c>
      <c r="D4114" s="2">
        <v>5.29</v>
      </c>
      <c r="E4114" s="2">
        <v>5.63</v>
      </c>
      <c r="F4114" s="2">
        <v>3.06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</row>
    <row r="4115" spans="1:11" x14ac:dyDescent="0.2">
      <c r="A4115" s="1">
        <v>0.85624999999999996</v>
      </c>
      <c r="B4115" s="2">
        <v>6.24</v>
      </c>
      <c r="C4115" s="2">
        <v>3.86</v>
      </c>
      <c r="D4115" s="2">
        <v>4.97</v>
      </c>
      <c r="E4115" s="2">
        <v>5.77</v>
      </c>
      <c r="F4115" s="2">
        <v>3.0900000000000003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</row>
    <row r="4116" spans="1:11" x14ac:dyDescent="0.2">
      <c r="A4116" s="1">
        <v>0.85694444444444495</v>
      </c>
      <c r="B4116" s="2">
        <v>6.32</v>
      </c>
      <c r="C4116" s="2">
        <v>3.67</v>
      </c>
      <c r="D4116" s="2">
        <v>5.17</v>
      </c>
      <c r="E4116" s="2">
        <v>5.5299999999999994</v>
      </c>
      <c r="F4116" s="2">
        <v>3.08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</row>
    <row r="4117" spans="1:11" x14ac:dyDescent="0.2">
      <c r="A4117" s="1">
        <v>0.85763888888888895</v>
      </c>
      <c r="B4117" s="2">
        <v>6.13</v>
      </c>
      <c r="C4117" s="2">
        <v>3.8499999999999996</v>
      </c>
      <c r="D4117" s="2">
        <v>4.97</v>
      </c>
      <c r="E4117" s="2">
        <v>5.29</v>
      </c>
      <c r="F4117" s="2">
        <v>3.0100000000000002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</row>
    <row r="4118" spans="1:11" x14ac:dyDescent="0.2">
      <c r="A4118" s="1">
        <v>0.85833333333333295</v>
      </c>
      <c r="B4118" s="2">
        <v>6.28</v>
      </c>
      <c r="C4118" s="2">
        <v>3.61</v>
      </c>
      <c r="D4118" s="2">
        <v>5.1999999999999993</v>
      </c>
      <c r="E4118" s="2">
        <v>5.3599999999999994</v>
      </c>
      <c r="F4118" s="2">
        <v>3.2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</row>
    <row r="4119" spans="1:11" x14ac:dyDescent="0.2">
      <c r="A4119" s="1">
        <v>0.85902777777777795</v>
      </c>
      <c r="B4119" s="2">
        <v>6.3500000000000005</v>
      </c>
      <c r="C4119" s="2">
        <v>3.6799999999999997</v>
      </c>
      <c r="D4119" s="2">
        <v>5.1099999999999994</v>
      </c>
      <c r="E4119" s="2">
        <v>5.76</v>
      </c>
      <c r="F4119" s="2">
        <v>3.1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</row>
    <row r="4120" spans="1:11" x14ac:dyDescent="0.2">
      <c r="A4120" s="1">
        <v>0.85972222222222205</v>
      </c>
      <c r="B4120" s="2">
        <v>6.23</v>
      </c>
      <c r="C4120" s="2">
        <v>3.83</v>
      </c>
      <c r="D4120" s="2">
        <v>5.2399999999999993</v>
      </c>
      <c r="E4120" s="2">
        <v>5.51</v>
      </c>
      <c r="F4120" s="2">
        <v>2.99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</row>
    <row r="4121" spans="1:11" x14ac:dyDescent="0.2">
      <c r="A4121" s="1">
        <v>0.86041666666666705</v>
      </c>
      <c r="B4121" s="2">
        <v>6.21</v>
      </c>
      <c r="C4121" s="2">
        <v>3.61</v>
      </c>
      <c r="D4121" s="2">
        <v>4.9399999999999995</v>
      </c>
      <c r="E4121" s="2">
        <v>5.68</v>
      </c>
      <c r="F4121" s="2">
        <v>3.0300000000000002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</row>
    <row r="4122" spans="1:11" x14ac:dyDescent="0.2">
      <c r="A4122" s="1">
        <v>0.86111111111111105</v>
      </c>
      <c r="B4122" s="2">
        <v>6.37</v>
      </c>
      <c r="C4122" s="2">
        <v>3.78</v>
      </c>
      <c r="D4122" s="2">
        <v>4.9499999999999993</v>
      </c>
      <c r="E4122" s="2">
        <v>5.37</v>
      </c>
      <c r="F4122" s="2">
        <v>3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</row>
    <row r="4123" spans="1:11" x14ac:dyDescent="0.2">
      <c r="A4123" s="1">
        <v>0.86180555555555605</v>
      </c>
      <c r="B4123" s="2">
        <v>6.21</v>
      </c>
      <c r="C4123" s="2">
        <v>3.67</v>
      </c>
      <c r="D4123" s="2">
        <v>4.9899999999999993</v>
      </c>
      <c r="E4123" s="2">
        <v>5.66</v>
      </c>
      <c r="F4123" s="2">
        <v>3.16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</row>
    <row r="4124" spans="1:11" x14ac:dyDescent="0.2">
      <c r="A4124" s="1">
        <v>0.86250000000000004</v>
      </c>
      <c r="B4124" s="2">
        <v>6.37</v>
      </c>
      <c r="C4124" s="2">
        <v>3.71</v>
      </c>
      <c r="D4124" s="2">
        <v>5.2399999999999993</v>
      </c>
      <c r="E4124" s="2">
        <v>5.5</v>
      </c>
      <c r="F4124" s="2">
        <v>2.98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</row>
    <row r="4125" spans="1:11" x14ac:dyDescent="0.2">
      <c r="A4125" s="1">
        <v>0.86319444444444404</v>
      </c>
      <c r="B4125" s="2">
        <v>6.22</v>
      </c>
      <c r="C4125" s="2">
        <v>3.82</v>
      </c>
      <c r="D4125" s="2">
        <v>5.14</v>
      </c>
      <c r="E4125" s="2">
        <v>5.4799999999999995</v>
      </c>
      <c r="F4125" s="2">
        <v>3.23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</row>
    <row r="4126" spans="1:11" x14ac:dyDescent="0.2">
      <c r="A4126" s="1">
        <v>0.86388888888888904</v>
      </c>
      <c r="B4126" s="2">
        <v>6.18</v>
      </c>
      <c r="C4126" s="2">
        <v>3.61</v>
      </c>
      <c r="D4126" s="2">
        <v>5.38</v>
      </c>
      <c r="E4126" s="2">
        <v>5.4899999999999993</v>
      </c>
      <c r="F4126" s="2">
        <v>3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</row>
    <row r="4127" spans="1:11" x14ac:dyDescent="0.2">
      <c r="A4127" s="1">
        <v>0.86458333333333304</v>
      </c>
      <c r="B4127" s="2">
        <v>6.23</v>
      </c>
      <c r="C4127" s="2">
        <v>3.82</v>
      </c>
      <c r="D4127" s="2">
        <v>5.33</v>
      </c>
      <c r="E4127" s="2">
        <v>5.54</v>
      </c>
      <c r="F4127" s="2">
        <v>3.0100000000000002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</row>
    <row r="4128" spans="1:11" x14ac:dyDescent="0.2">
      <c r="A4128" s="1">
        <v>0.86527777777777803</v>
      </c>
      <c r="B4128" s="2">
        <v>6.21</v>
      </c>
      <c r="C4128" s="2">
        <v>3.77</v>
      </c>
      <c r="D4128" s="2">
        <v>5.08</v>
      </c>
      <c r="E4128" s="2">
        <v>5.3199999999999994</v>
      </c>
      <c r="F4128" s="2">
        <v>2.89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</row>
    <row r="4129" spans="1:11" x14ac:dyDescent="0.2">
      <c r="A4129" s="1">
        <v>0.86597222222222203</v>
      </c>
      <c r="B4129" s="2">
        <v>6.28</v>
      </c>
      <c r="C4129" s="2">
        <v>3.83</v>
      </c>
      <c r="D4129" s="2">
        <v>5.29</v>
      </c>
      <c r="E4129" s="2">
        <v>5.76</v>
      </c>
      <c r="F4129" s="2">
        <v>3.14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</row>
    <row r="4130" spans="1:11" x14ac:dyDescent="0.2">
      <c r="A4130" s="1">
        <v>0.86666666666666703</v>
      </c>
      <c r="B4130" s="2">
        <v>6.26</v>
      </c>
      <c r="C4130" s="2">
        <v>3.7199999999999998</v>
      </c>
      <c r="D4130" s="2">
        <v>5.0699999999999994</v>
      </c>
      <c r="E4130" s="2">
        <v>5.6</v>
      </c>
      <c r="F4130" s="2">
        <v>2.96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</row>
    <row r="4131" spans="1:11" x14ac:dyDescent="0.2">
      <c r="A4131" s="1">
        <v>0.86736111111111103</v>
      </c>
      <c r="B4131" s="2">
        <v>6.32</v>
      </c>
      <c r="C4131" s="2">
        <v>3.76</v>
      </c>
      <c r="D4131" s="2">
        <v>4.93</v>
      </c>
      <c r="E4131" s="2">
        <v>5.27</v>
      </c>
      <c r="F4131" s="2">
        <v>3.17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</row>
    <row r="4132" spans="1:11" x14ac:dyDescent="0.2">
      <c r="A4132" s="1">
        <v>0.86805555555555602</v>
      </c>
      <c r="B4132" s="2">
        <v>6.22</v>
      </c>
      <c r="C4132" s="2">
        <v>3.92</v>
      </c>
      <c r="D4132" s="2">
        <v>5.29</v>
      </c>
      <c r="E4132" s="2">
        <v>5.43</v>
      </c>
      <c r="F4132" s="2">
        <v>2.92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</row>
    <row r="4133" spans="1:11" x14ac:dyDescent="0.2">
      <c r="A4133" s="1">
        <v>0.86875000000000002</v>
      </c>
      <c r="B4133" s="2">
        <v>6.21</v>
      </c>
      <c r="C4133" s="2">
        <v>3.9099999999999997</v>
      </c>
      <c r="D4133" s="2">
        <v>5.1899999999999995</v>
      </c>
      <c r="E4133" s="2">
        <v>5.6899999999999995</v>
      </c>
      <c r="F4133" s="2">
        <v>3.18</v>
      </c>
      <c r="G4133" s="6">
        <v>0</v>
      </c>
      <c r="H4133" s="6">
        <v>0</v>
      </c>
      <c r="I4133" s="6">
        <v>0</v>
      </c>
      <c r="J4133" s="6">
        <v>0</v>
      </c>
      <c r="K4133" s="6">
        <v>0</v>
      </c>
    </row>
    <row r="4134" spans="1:11" x14ac:dyDescent="0.2">
      <c r="A4134" s="1">
        <v>0.86944444444444402</v>
      </c>
      <c r="B4134" s="2">
        <v>6.14</v>
      </c>
      <c r="C4134" s="2">
        <v>3.92</v>
      </c>
      <c r="D4134" s="2">
        <v>4.92</v>
      </c>
      <c r="E4134" s="2">
        <v>5.8</v>
      </c>
      <c r="F4134" s="2">
        <v>3.0500000000000003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</row>
    <row r="4135" spans="1:11" x14ac:dyDescent="0.2">
      <c r="A4135" s="1">
        <v>0.87013888888888902</v>
      </c>
      <c r="B4135" s="2">
        <v>6.15</v>
      </c>
      <c r="C4135" s="2">
        <v>3.86</v>
      </c>
      <c r="D4135" s="2">
        <v>5.35</v>
      </c>
      <c r="E4135" s="2">
        <v>5.43</v>
      </c>
      <c r="F4135" s="2">
        <v>2.9</v>
      </c>
      <c r="G4135" s="6">
        <v>0</v>
      </c>
      <c r="H4135" s="6">
        <v>0</v>
      </c>
      <c r="I4135" s="6">
        <v>0</v>
      </c>
      <c r="J4135" s="6">
        <v>0</v>
      </c>
      <c r="K4135" s="6">
        <v>0</v>
      </c>
    </row>
    <row r="4136" spans="1:11" x14ac:dyDescent="0.2">
      <c r="A4136" s="1">
        <v>0.87083333333333302</v>
      </c>
      <c r="B4136" s="2">
        <v>6.36</v>
      </c>
      <c r="C4136" s="2">
        <v>3.78</v>
      </c>
      <c r="D4136" s="2">
        <v>5.33</v>
      </c>
      <c r="E4136" s="2">
        <v>5.4399999999999995</v>
      </c>
      <c r="F4136" s="2">
        <v>3.38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</row>
    <row r="4137" spans="1:11" x14ac:dyDescent="0.2">
      <c r="A4137" s="1">
        <v>0.87152777777777801</v>
      </c>
      <c r="B4137" s="2">
        <v>6.24</v>
      </c>
      <c r="C4137" s="2">
        <v>3.61</v>
      </c>
      <c r="D4137" s="2">
        <v>5.3699999999999992</v>
      </c>
      <c r="E4137" s="2">
        <v>5.67</v>
      </c>
      <c r="F4137" s="2">
        <v>3.0500000000000003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</row>
    <row r="4138" spans="1:11" x14ac:dyDescent="0.2">
      <c r="A4138" s="1">
        <v>0.87222222222222201</v>
      </c>
      <c r="B4138" s="2">
        <v>6.28</v>
      </c>
      <c r="C4138" s="2">
        <v>3.84</v>
      </c>
      <c r="D4138" s="2">
        <v>5.17</v>
      </c>
      <c r="E4138" s="2">
        <v>5.37</v>
      </c>
      <c r="F4138" s="2">
        <v>3.08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</row>
    <row r="4139" spans="1:11" x14ac:dyDescent="0.2">
      <c r="A4139" s="1">
        <v>0.87291666666666701</v>
      </c>
      <c r="B4139" s="2">
        <v>6.12</v>
      </c>
      <c r="C4139" s="2">
        <v>3.86</v>
      </c>
      <c r="D4139" s="2">
        <v>4.96</v>
      </c>
      <c r="E4139" s="2">
        <v>5.77</v>
      </c>
      <c r="F4139" s="2">
        <v>3.06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</row>
    <row r="4140" spans="1:11" x14ac:dyDescent="0.2">
      <c r="A4140" s="1">
        <v>0.87361111111111101</v>
      </c>
      <c r="B4140" s="2">
        <v>6.3500000000000005</v>
      </c>
      <c r="C4140" s="2">
        <v>3.9</v>
      </c>
      <c r="D4140" s="2">
        <v>5</v>
      </c>
      <c r="E4140" s="2">
        <v>5.52</v>
      </c>
      <c r="F4140" s="2">
        <v>3.38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</row>
    <row r="4141" spans="1:11" x14ac:dyDescent="0.2">
      <c r="A4141" s="1">
        <v>0.874305555555556</v>
      </c>
      <c r="B4141" s="2">
        <v>6.37</v>
      </c>
      <c r="C4141" s="2">
        <v>3.88</v>
      </c>
      <c r="D4141" s="2">
        <v>5.2799999999999994</v>
      </c>
      <c r="E4141" s="2">
        <v>5.72</v>
      </c>
      <c r="F4141" s="2">
        <v>3.2800000000000002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</row>
    <row r="4142" spans="1:11" x14ac:dyDescent="0.2">
      <c r="A4142" s="3">
        <v>0.875</v>
      </c>
      <c r="B4142" s="2">
        <v>6.24</v>
      </c>
      <c r="C4142" s="2">
        <v>3.82</v>
      </c>
      <c r="D4142" s="2">
        <v>5.12</v>
      </c>
      <c r="E4142" s="2">
        <v>5.42</v>
      </c>
      <c r="F4142" s="2">
        <v>3.25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</row>
    <row r="4143" spans="1:11" x14ac:dyDescent="0.2">
      <c r="A4143" s="1">
        <v>0.875694444444444</v>
      </c>
      <c r="B4143" s="2">
        <v>6.17</v>
      </c>
      <c r="C4143" s="2">
        <v>3.78</v>
      </c>
      <c r="D4143" s="2">
        <v>5.1499999999999995</v>
      </c>
      <c r="E4143" s="2">
        <v>5.2299999999999995</v>
      </c>
      <c r="F4143" s="2">
        <v>3.22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</row>
    <row r="4144" spans="1:11" x14ac:dyDescent="0.2">
      <c r="A4144" s="1">
        <v>0.87638888888888899</v>
      </c>
      <c r="B4144" s="2">
        <v>6.13</v>
      </c>
      <c r="C4144" s="2">
        <v>3.8899999999999997</v>
      </c>
      <c r="D4144" s="2">
        <v>5.3199999999999994</v>
      </c>
      <c r="E4144" s="2">
        <v>5.4799999999999995</v>
      </c>
      <c r="F4144" s="2">
        <v>3.18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</row>
    <row r="4145" spans="1:11" x14ac:dyDescent="0.2">
      <c r="A4145" s="1">
        <v>0.87708333333333299</v>
      </c>
      <c r="B4145" s="2">
        <v>6.22</v>
      </c>
      <c r="C4145" s="2">
        <v>3.76</v>
      </c>
      <c r="D4145" s="2">
        <v>5</v>
      </c>
      <c r="E4145" s="2">
        <v>5.33</v>
      </c>
      <c r="F4145" s="2">
        <v>3.1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</row>
    <row r="4146" spans="1:11" x14ac:dyDescent="0.2">
      <c r="A4146" s="1">
        <v>0.87777777777777799</v>
      </c>
      <c r="B4146" s="2">
        <v>6.33</v>
      </c>
      <c r="C4146" s="2">
        <v>3.6199999999999997</v>
      </c>
      <c r="D4146" s="2">
        <v>5.34</v>
      </c>
      <c r="E4146" s="2">
        <v>5.59</v>
      </c>
      <c r="F4146" s="2">
        <v>2.96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</row>
    <row r="4147" spans="1:11" x14ac:dyDescent="0.2">
      <c r="A4147" s="1">
        <v>0.87847222222222199</v>
      </c>
      <c r="B4147" s="2">
        <v>6.26</v>
      </c>
      <c r="C4147" s="2">
        <v>3.79</v>
      </c>
      <c r="D4147" s="2">
        <v>5.2299999999999995</v>
      </c>
      <c r="E4147" s="2">
        <v>5.18</v>
      </c>
      <c r="F4147" s="2">
        <v>3.18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</row>
    <row r="4148" spans="1:11" x14ac:dyDescent="0.2">
      <c r="A4148" s="1">
        <v>0.87916666666666698</v>
      </c>
      <c r="B4148" s="2">
        <v>6.33</v>
      </c>
      <c r="C4148" s="2">
        <v>3.92</v>
      </c>
      <c r="D4148" s="2">
        <v>5.12</v>
      </c>
      <c r="E4148" s="2">
        <v>5.2799999999999994</v>
      </c>
      <c r="F4148" s="2">
        <v>2.91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</row>
    <row r="4149" spans="1:11" x14ac:dyDescent="0.2">
      <c r="A4149" s="1">
        <v>0.87986111111111098</v>
      </c>
      <c r="B4149" s="2">
        <v>6.2700000000000005</v>
      </c>
      <c r="C4149" s="2">
        <v>3.81</v>
      </c>
      <c r="D4149" s="2">
        <v>5.12</v>
      </c>
      <c r="E4149" s="2">
        <v>5.77</v>
      </c>
      <c r="F4149" s="2">
        <v>3.0500000000000003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</row>
    <row r="4150" spans="1:11" x14ac:dyDescent="0.2">
      <c r="A4150" s="1">
        <v>0.88055555555555598</v>
      </c>
      <c r="B4150" s="2">
        <v>6.33</v>
      </c>
      <c r="C4150" s="2">
        <v>3.71</v>
      </c>
      <c r="D4150" s="2">
        <v>5.0599999999999996</v>
      </c>
      <c r="E4150" s="2">
        <v>5.56</v>
      </c>
      <c r="F4150" s="2">
        <v>3.17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</row>
    <row r="4151" spans="1:11" x14ac:dyDescent="0.2">
      <c r="A4151" s="1">
        <v>0.88124999999999998</v>
      </c>
      <c r="B4151" s="2">
        <v>6.15</v>
      </c>
      <c r="C4151" s="2">
        <v>3.8899999999999997</v>
      </c>
      <c r="D4151" s="2">
        <v>5.0199999999999996</v>
      </c>
      <c r="E4151" s="2">
        <v>5.58</v>
      </c>
      <c r="F4151" s="2">
        <v>3.0700000000000003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</row>
    <row r="4152" spans="1:11" x14ac:dyDescent="0.2">
      <c r="A4152" s="1">
        <v>0.88194444444444497</v>
      </c>
      <c r="B4152" s="2">
        <v>6.37</v>
      </c>
      <c r="C4152" s="2">
        <v>3.61</v>
      </c>
      <c r="D4152" s="2">
        <v>4.96</v>
      </c>
      <c r="E4152" s="2">
        <v>5.3</v>
      </c>
      <c r="F4152" s="2">
        <v>2.97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</row>
    <row r="4153" spans="1:11" x14ac:dyDescent="0.2">
      <c r="A4153" s="1">
        <v>0.88263888888888897</v>
      </c>
      <c r="B4153" s="2">
        <v>6.12</v>
      </c>
      <c r="C4153" s="2">
        <v>3.9099999999999997</v>
      </c>
      <c r="D4153" s="2">
        <v>5</v>
      </c>
      <c r="E4153" s="2">
        <v>5.6</v>
      </c>
      <c r="F4153" s="2">
        <v>3.4000000000000004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</row>
    <row r="4154" spans="1:11" x14ac:dyDescent="0.2">
      <c r="A4154" s="1">
        <v>0.88333333333333297</v>
      </c>
      <c r="B4154" s="2">
        <v>6.14</v>
      </c>
      <c r="C4154" s="2">
        <v>3.75</v>
      </c>
      <c r="D4154" s="2">
        <v>5.31</v>
      </c>
      <c r="E4154" s="2">
        <v>5.26</v>
      </c>
      <c r="F4154" s="2">
        <v>3.4000000000000004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</row>
    <row r="4155" spans="1:11" x14ac:dyDescent="0.2">
      <c r="A4155" s="1">
        <v>0.88402777777777797</v>
      </c>
      <c r="B4155" s="2">
        <v>6.26</v>
      </c>
      <c r="C4155" s="2">
        <v>3.78</v>
      </c>
      <c r="D4155" s="2">
        <v>5.1999999999999993</v>
      </c>
      <c r="E4155" s="2">
        <v>5.77</v>
      </c>
      <c r="F4155" s="2">
        <v>2.92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</row>
    <row r="4156" spans="1:11" x14ac:dyDescent="0.2">
      <c r="A4156" s="1">
        <v>0.88472222222222197</v>
      </c>
      <c r="B4156" s="2">
        <v>6.3500000000000005</v>
      </c>
      <c r="C4156" s="2">
        <v>3.71</v>
      </c>
      <c r="D4156" s="2">
        <v>5.31</v>
      </c>
      <c r="E4156" s="2">
        <v>5.68</v>
      </c>
      <c r="F4156" s="2">
        <v>2.96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</row>
    <row r="4157" spans="1:11" x14ac:dyDescent="0.2">
      <c r="A4157" s="1">
        <v>0.88541666666666696</v>
      </c>
      <c r="B4157" s="2">
        <v>6.32</v>
      </c>
      <c r="C4157" s="2">
        <v>3.8</v>
      </c>
      <c r="D4157" s="2">
        <v>5.05</v>
      </c>
      <c r="E4157" s="2">
        <v>5.75</v>
      </c>
      <c r="F4157" s="2">
        <v>3.3200000000000003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</row>
    <row r="4158" spans="1:11" x14ac:dyDescent="0.2">
      <c r="A4158" s="1">
        <v>0.88611111111111096</v>
      </c>
      <c r="B4158" s="2">
        <v>6.28</v>
      </c>
      <c r="C4158" s="2">
        <v>3.6199999999999997</v>
      </c>
      <c r="D4158" s="2">
        <v>5.0599999999999996</v>
      </c>
      <c r="E4158" s="2">
        <v>5.7399999999999993</v>
      </c>
      <c r="F4158" s="2">
        <v>2.97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</row>
    <row r="4159" spans="1:11" x14ac:dyDescent="0.2">
      <c r="A4159" s="1">
        <v>0.88680555555555596</v>
      </c>
      <c r="B4159" s="2">
        <v>6.36</v>
      </c>
      <c r="C4159" s="2">
        <v>3.75</v>
      </c>
      <c r="D4159" s="2">
        <v>5.38</v>
      </c>
      <c r="E4159" s="2">
        <v>5.63</v>
      </c>
      <c r="F4159" s="2">
        <v>3.12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</row>
    <row r="4160" spans="1:11" x14ac:dyDescent="0.2">
      <c r="A4160" s="1">
        <v>0.88749999999999996</v>
      </c>
      <c r="B4160" s="2">
        <v>6.13</v>
      </c>
      <c r="C4160" s="2">
        <v>3.8</v>
      </c>
      <c r="D4160" s="2">
        <v>5.13</v>
      </c>
      <c r="E4160" s="2">
        <v>5.68</v>
      </c>
      <c r="F4160" s="2">
        <v>3.0900000000000003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</row>
    <row r="4161" spans="1:11" x14ac:dyDescent="0.2">
      <c r="A4161" s="1">
        <v>0.88819444444444495</v>
      </c>
      <c r="B4161" s="2">
        <v>6.32</v>
      </c>
      <c r="C4161" s="2">
        <v>3.87</v>
      </c>
      <c r="D4161" s="2">
        <v>5.0999999999999996</v>
      </c>
      <c r="E4161" s="2">
        <v>5.1599999999999993</v>
      </c>
      <c r="F4161" s="2">
        <v>2.93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</row>
    <row r="4162" spans="1:11" x14ac:dyDescent="0.2">
      <c r="A4162" s="1">
        <v>0.88888888888888895</v>
      </c>
      <c r="B4162" s="2">
        <v>6.2700000000000005</v>
      </c>
      <c r="C4162" s="2">
        <v>3.7199999999999998</v>
      </c>
      <c r="D4162" s="2">
        <v>4.9499999999999993</v>
      </c>
      <c r="E4162" s="2">
        <v>5.46</v>
      </c>
      <c r="F4162" s="2">
        <v>3.19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</row>
    <row r="4163" spans="1:11" x14ac:dyDescent="0.2">
      <c r="A4163" s="1">
        <v>0.88958333333333295</v>
      </c>
      <c r="B4163" s="2">
        <v>6.28</v>
      </c>
      <c r="C4163" s="2">
        <v>3.86</v>
      </c>
      <c r="D4163" s="2">
        <v>5.12</v>
      </c>
      <c r="E4163" s="2">
        <v>5.52</v>
      </c>
      <c r="F4163" s="2">
        <v>3.35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</row>
    <row r="4164" spans="1:11" x14ac:dyDescent="0.2">
      <c r="A4164" s="1">
        <v>0.89027777777777795</v>
      </c>
      <c r="B4164" s="2">
        <v>6.33</v>
      </c>
      <c r="C4164" s="2">
        <v>3.6199999999999997</v>
      </c>
      <c r="D4164" s="2">
        <v>5.1899999999999995</v>
      </c>
      <c r="E4164" s="2">
        <v>5.7799999999999994</v>
      </c>
      <c r="F4164" s="2">
        <v>3.06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</row>
    <row r="4165" spans="1:11" x14ac:dyDescent="0.2">
      <c r="A4165" s="1">
        <v>0.89097222222222205</v>
      </c>
      <c r="B4165" s="2">
        <v>6.14</v>
      </c>
      <c r="C4165" s="2">
        <v>3.75</v>
      </c>
      <c r="D4165" s="2">
        <v>5.1499999999999995</v>
      </c>
      <c r="E4165" s="2">
        <v>5.77</v>
      </c>
      <c r="F4165" s="2">
        <v>3.3200000000000003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</row>
    <row r="4166" spans="1:11" x14ac:dyDescent="0.2">
      <c r="A4166" s="1">
        <v>0.89166666666666705</v>
      </c>
      <c r="B4166" s="2">
        <v>6.33</v>
      </c>
      <c r="C4166" s="2">
        <v>3.61</v>
      </c>
      <c r="D4166" s="2">
        <v>5.1999999999999993</v>
      </c>
      <c r="E4166" s="2">
        <v>5.76</v>
      </c>
      <c r="F4166" s="2">
        <v>2.91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</row>
    <row r="4167" spans="1:11" x14ac:dyDescent="0.2">
      <c r="A4167" s="1">
        <v>0.89236111111111105</v>
      </c>
      <c r="B4167" s="2">
        <v>6.2700000000000005</v>
      </c>
      <c r="C4167" s="2">
        <v>3.73</v>
      </c>
      <c r="D4167" s="2">
        <v>4.9099999999999993</v>
      </c>
      <c r="E4167" s="2">
        <v>5.7399999999999993</v>
      </c>
      <c r="F4167" s="2">
        <v>3.24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</row>
    <row r="4168" spans="1:11" x14ac:dyDescent="0.2">
      <c r="A4168" s="1">
        <v>0.89305555555555605</v>
      </c>
      <c r="B4168" s="2">
        <v>6.3500000000000005</v>
      </c>
      <c r="C4168" s="2">
        <v>3.84</v>
      </c>
      <c r="D4168" s="2">
        <v>4.93</v>
      </c>
      <c r="E4168" s="2">
        <v>5.26</v>
      </c>
      <c r="F4168" s="2">
        <v>3.19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</row>
    <row r="4169" spans="1:11" x14ac:dyDescent="0.2">
      <c r="A4169" s="1">
        <v>0.89375000000000004</v>
      </c>
      <c r="B4169" s="2">
        <v>6.16</v>
      </c>
      <c r="C4169" s="2">
        <v>3.7399999999999998</v>
      </c>
      <c r="D4169" s="2">
        <v>5.1999999999999993</v>
      </c>
      <c r="E4169" s="2">
        <v>5.7799999999999994</v>
      </c>
      <c r="F4169" s="2">
        <v>3.0900000000000003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</row>
    <row r="4170" spans="1:11" x14ac:dyDescent="0.2">
      <c r="A4170" s="1">
        <v>0.89444444444444404</v>
      </c>
      <c r="B4170" s="2">
        <v>6.37</v>
      </c>
      <c r="C4170" s="2">
        <v>3.69</v>
      </c>
      <c r="D4170" s="2">
        <v>4.8999999999999995</v>
      </c>
      <c r="E4170" s="2">
        <v>5.25</v>
      </c>
      <c r="F4170" s="2">
        <v>3.2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</row>
    <row r="4171" spans="1:11" x14ac:dyDescent="0.2">
      <c r="A4171" s="1">
        <v>0.89513888888888904</v>
      </c>
      <c r="B4171" s="2">
        <v>6.37</v>
      </c>
      <c r="C4171" s="2">
        <v>3.75</v>
      </c>
      <c r="D4171" s="2">
        <v>5.3699999999999992</v>
      </c>
      <c r="E4171" s="2">
        <v>5.52</v>
      </c>
      <c r="F4171" s="2">
        <v>3.18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</row>
    <row r="4172" spans="1:11" x14ac:dyDescent="0.2">
      <c r="A4172" s="1">
        <v>0.89583333333333304</v>
      </c>
      <c r="B4172" s="2">
        <v>6.23</v>
      </c>
      <c r="C4172" s="2">
        <v>3.75</v>
      </c>
      <c r="D4172" s="2">
        <v>4.93</v>
      </c>
      <c r="E4172" s="2">
        <v>5.29</v>
      </c>
      <c r="F4172" s="2">
        <v>3.16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</row>
    <row r="4173" spans="1:11" x14ac:dyDescent="0.2">
      <c r="A4173" s="1">
        <v>0.89652777777777803</v>
      </c>
      <c r="B4173" s="2">
        <v>6.29</v>
      </c>
      <c r="C4173" s="2">
        <v>3.8499999999999996</v>
      </c>
      <c r="D4173" s="2">
        <v>5.2299999999999995</v>
      </c>
      <c r="E4173" s="2">
        <v>5.6999999999999993</v>
      </c>
      <c r="F4173" s="2">
        <v>2.89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</row>
    <row r="4174" spans="1:11" x14ac:dyDescent="0.2">
      <c r="A4174" s="1">
        <v>0.89722222222222203</v>
      </c>
      <c r="B4174" s="2">
        <v>6.2</v>
      </c>
      <c r="C4174" s="2">
        <v>3.63</v>
      </c>
      <c r="D4174" s="2">
        <v>5.2799999999999994</v>
      </c>
      <c r="E4174" s="2">
        <v>5.63</v>
      </c>
      <c r="F4174" s="2">
        <v>3.17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</row>
    <row r="4175" spans="1:11" x14ac:dyDescent="0.2">
      <c r="A4175" s="1">
        <v>0.89791666666666703</v>
      </c>
      <c r="B4175" s="2">
        <v>6.32</v>
      </c>
      <c r="C4175" s="2">
        <v>3.84</v>
      </c>
      <c r="D4175" s="2">
        <v>4.97</v>
      </c>
      <c r="E4175" s="2">
        <v>5.4899999999999993</v>
      </c>
      <c r="F4175" s="2">
        <v>3.13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</row>
    <row r="4176" spans="1:11" x14ac:dyDescent="0.2">
      <c r="A4176" s="1">
        <v>0.89861111111111103</v>
      </c>
      <c r="B4176" s="2">
        <v>6.13</v>
      </c>
      <c r="C4176" s="2">
        <v>3.78</v>
      </c>
      <c r="D4176" s="2">
        <v>5.1099999999999994</v>
      </c>
      <c r="E4176" s="2">
        <v>5.55</v>
      </c>
      <c r="F4176" s="2">
        <v>3.3600000000000003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</row>
    <row r="4177" spans="1:11" x14ac:dyDescent="0.2">
      <c r="A4177" s="1">
        <v>0.89930555555555602</v>
      </c>
      <c r="B4177" s="2">
        <v>6.16</v>
      </c>
      <c r="C4177" s="2">
        <v>3.82</v>
      </c>
      <c r="D4177" s="2">
        <v>5.34</v>
      </c>
      <c r="E4177" s="2">
        <v>5.21</v>
      </c>
      <c r="F4177" s="2">
        <v>3.3000000000000003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</row>
    <row r="4178" spans="1:11" x14ac:dyDescent="0.2">
      <c r="A4178" s="1">
        <v>0.9</v>
      </c>
      <c r="B4178" s="2">
        <v>6.14</v>
      </c>
      <c r="C4178" s="2">
        <v>3.9</v>
      </c>
      <c r="D4178" s="2">
        <v>5.1999999999999993</v>
      </c>
      <c r="E4178" s="2">
        <v>5.6899999999999995</v>
      </c>
      <c r="F4178" s="2">
        <v>3.27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</row>
    <row r="4179" spans="1:11" x14ac:dyDescent="0.2">
      <c r="A4179" s="1">
        <v>0.90069444444444402</v>
      </c>
      <c r="B4179" s="2">
        <v>6.34</v>
      </c>
      <c r="C4179" s="2">
        <v>3.84</v>
      </c>
      <c r="D4179" s="2">
        <v>5.0599999999999996</v>
      </c>
      <c r="E4179" s="2">
        <v>5.64</v>
      </c>
      <c r="F4179" s="2">
        <v>3.18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</row>
    <row r="4180" spans="1:11" x14ac:dyDescent="0.2">
      <c r="A4180" s="1">
        <v>0.90138888888888902</v>
      </c>
      <c r="B4180" s="2">
        <v>6.2700000000000005</v>
      </c>
      <c r="C4180" s="2">
        <v>3.6799999999999997</v>
      </c>
      <c r="D4180" s="2">
        <v>4.8999999999999995</v>
      </c>
      <c r="E4180" s="2">
        <v>5.63</v>
      </c>
      <c r="F4180" s="2">
        <v>3.3200000000000003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</row>
    <row r="4181" spans="1:11" x14ac:dyDescent="0.2">
      <c r="A4181" s="1">
        <v>0.90208333333333302</v>
      </c>
      <c r="B4181" s="2">
        <v>6.21</v>
      </c>
      <c r="C4181" s="2">
        <v>3.9</v>
      </c>
      <c r="D4181" s="2">
        <v>4.92</v>
      </c>
      <c r="E4181" s="2">
        <v>5.6</v>
      </c>
      <c r="F4181" s="2">
        <v>3.2600000000000002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</row>
    <row r="4182" spans="1:11" x14ac:dyDescent="0.2">
      <c r="A4182" s="1">
        <v>0.90277777777777801</v>
      </c>
      <c r="B4182" s="2">
        <v>6.19</v>
      </c>
      <c r="C4182" s="2">
        <v>3.77</v>
      </c>
      <c r="D4182" s="2">
        <v>5.14</v>
      </c>
      <c r="E4182" s="2">
        <v>5.51</v>
      </c>
      <c r="F4182" s="2">
        <v>3.02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</row>
    <row r="4183" spans="1:11" x14ac:dyDescent="0.2">
      <c r="A4183" s="1">
        <v>0.90347222222222201</v>
      </c>
      <c r="B4183" s="2">
        <v>6.2</v>
      </c>
      <c r="C4183" s="2">
        <v>3.65</v>
      </c>
      <c r="D4183" s="2">
        <v>5.29</v>
      </c>
      <c r="E4183" s="2">
        <v>5.43</v>
      </c>
      <c r="F4183" s="2">
        <v>3.13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</row>
    <row r="4184" spans="1:11" x14ac:dyDescent="0.2">
      <c r="A4184" s="1">
        <v>0.90416666666666701</v>
      </c>
      <c r="B4184" s="2">
        <v>6.23</v>
      </c>
      <c r="C4184" s="2">
        <v>3.8899999999999997</v>
      </c>
      <c r="D4184" s="2">
        <v>5.2299999999999995</v>
      </c>
      <c r="E4184" s="2">
        <v>5.3</v>
      </c>
      <c r="F4184" s="2">
        <v>3.38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</row>
    <row r="4185" spans="1:11" x14ac:dyDescent="0.2">
      <c r="A4185" s="1">
        <v>0.90486111111111101</v>
      </c>
      <c r="B4185" s="2">
        <v>6.24</v>
      </c>
      <c r="C4185" s="2">
        <v>3.79</v>
      </c>
      <c r="D4185" s="2">
        <v>5.05</v>
      </c>
      <c r="E4185" s="2">
        <v>5.5699999999999994</v>
      </c>
      <c r="F4185" s="2">
        <v>2.93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</row>
    <row r="4186" spans="1:11" x14ac:dyDescent="0.2">
      <c r="A4186" s="1">
        <v>0.905555555555556</v>
      </c>
      <c r="B4186" s="2">
        <v>6.18</v>
      </c>
      <c r="C4186" s="2">
        <v>3.88</v>
      </c>
      <c r="D4186" s="2">
        <v>5.0299999999999994</v>
      </c>
      <c r="E4186" s="2">
        <v>5.4499999999999993</v>
      </c>
      <c r="F4186" s="2">
        <v>2.97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</row>
    <row r="4187" spans="1:11" x14ac:dyDescent="0.2">
      <c r="A4187" s="1">
        <v>0.90625</v>
      </c>
      <c r="B4187" s="2">
        <v>6.34</v>
      </c>
      <c r="C4187" s="2">
        <v>3.81</v>
      </c>
      <c r="D4187" s="2">
        <v>5.34</v>
      </c>
      <c r="E4187" s="2">
        <v>5.4899999999999993</v>
      </c>
      <c r="F4187" s="2">
        <v>3.3200000000000003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</row>
    <row r="4188" spans="1:11" x14ac:dyDescent="0.2">
      <c r="A4188" s="1">
        <v>0.906944444444444</v>
      </c>
      <c r="B4188" s="2">
        <v>6.3500000000000005</v>
      </c>
      <c r="C4188" s="2">
        <v>3.92</v>
      </c>
      <c r="D4188" s="2">
        <v>4.9399999999999995</v>
      </c>
      <c r="E4188" s="2">
        <v>5.6099999999999994</v>
      </c>
      <c r="F4188" s="2">
        <v>3.37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</row>
    <row r="4189" spans="1:11" x14ac:dyDescent="0.2">
      <c r="A4189" s="1">
        <v>0.90763888888888899</v>
      </c>
      <c r="B4189" s="2">
        <v>6.36</v>
      </c>
      <c r="C4189" s="2">
        <v>3.83</v>
      </c>
      <c r="D4189" s="2">
        <v>4.9399999999999995</v>
      </c>
      <c r="E4189" s="2">
        <v>5.37</v>
      </c>
      <c r="F4189" s="2">
        <v>3.02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</row>
    <row r="4190" spans="1:11" x14ac:dyDescent="0.2">
      <c r="A4190" s="1">
        <v>0.90833333333333299</v>
      </c>
      <c r="B4190" s="2">
        <v>6.32</v>
      </c>
      <c r="C4190" s="2">
        <v>3.81</v>
      </c>
      <c r="D4190" s="2">
        <v>4.9099999999999993</v>
      </c>
      <c r="E4190" s="2">
        <v>5.3599999999999994</v>
      </c>
      <c r="F4190" s="2">
        <v>3.19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</row>
    <row r="4191" spans="1:11" x14ac:dyDescent="0.2">
      <c r="A4191" s="1">
        <v>0.90902777777777799</v>
      </c>
      <c r="B4191" s="2">
        <v>6.32</v>
      </c>
      <c r="C4191" s="2">
        <v>3.6199999999999997</v>
      </c>
      <c r="D4191" s="2">
        <v>5.1999999999999993</v>
      </c>
      <c r="E4191" s="2">
        <v>5.35</v>
      </c>
      <c r="F4191" s="2">
        <v>2.9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</row>
    <row r="4192" spans="1:11" x14ac:dyDescent="0.2">
      <c r="A4192" s="1">
        <v>0.90972222222222199</v>
      </c>
      <c r="B4192" s="2">
        <v>6.3500000000000005</v>
      </c>
      <c r="C4192" s="2">
        <v>3.8499999999999996</v>
      </c>
      <c r="D4192" s="2">
        <v>4.9799999999999995</v>
      </c>
      <c r="E4192" s="2">
        <v>5.47</v>
      </c>
      <c r="F4192" s="2">
        <v>2.96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</row>
    <row r="4193" spans="1:11" x14ac:dyDescent="0.2">
      <c r="A4193" s="1">
        <v>0.91041666666666698</v>
      </c>
      <c r="B4193" s="2">
        <v>6.16</v>
      </c>
      <c r="C4193" s="2">
        <v>3.82</v>
      </c>
      <c r="D4193" s="2">
        <v>5.05</v>
      </c>
      <c r="E4193" s="2">
        <v>5.63</v>
      </c>
      <c r="F4193" s="2">
        <v>3.08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</row>
    <row r="4194" spans="1:11" x14ac:dyDescent="0.2">
      <c r="A4194" s="1">
        <v>0.91111111111111098</v>
      </c>
      <c r="B4194" s="2">
        <v>6.28</v>
      </c>
      <c r="C4194" s="2">
        <v>3.86</v>
      </c>
      <c r="D4194" s="2">
        <v>5.04</v>
      </c>
      <c r="E4194" s="2">
        <v>5.1999999999999993</v>
      </c>
      <c r="F4194" s="2">
        <v>2.93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</row>
    <row r="4195" spans="1:11" x14ac:dyDescent="0.2">
      <c r="A4195" s="1">
        <v>0.91180555555555598</v>
      </c>
      <c r="B4195" s="2">
        <v>6.29</v>
      </c>
      <c r="C4195" s="2">
        <v>3.7199999999999998</v>
      </c>
      <c r="D4195" s="2">
        <v>5.08</v>
      </c>
      <c r="E4195" s="2">
        <v>5.46</v>
      </c>
      <c r="F4195" s="2">
        <v>3.0100000000000002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</row>
    <row r="4196" spans="1:11" x14ac:dyDescent="0.2">
      <c r="A4196" s="1">
        <v>0.91249999999999998</v>
      </c>
      <c r="B4196" s="2">
        <v>6.37</v>
      </c>
      <c r="C4196" s="2">
        <v>3.83</v>
      </c>
      <c r="D4196" s="2">
        <v>5.13</v>
      </c>
      <c r="E4196" s="2">
        <v>5.76</v>
      </c>
      <c r="F4196" s="2">
        <v>3.24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</row>
    <row r="4197" spans="1:11" x14ac:dyDescent="0.2">
      <c r="A4197" s="1">
        <v>0.91319444444444497</v>
      </c>
      <c r="B4197" s="2">
        <v>6.33</v>
      </c>
      <c r="C4197" s="2">
        <v>3.79</v>
      </c>
      <c r="D4197" s="2">
        <v>5.3199999999999994</v>
      </c>
      <c r="E4197" s="2">
        <v>5.77</v>
      </c>
      <c r="F4197" s="2">
        <v>3.21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</row>
    <row r="4198" spans="1:11" x14ac:dyDescent="0.2">
      <c r="A4198" s="1">
        <v>0.91388888888888897</v>
      </c>
      <c r="B4198" s="2">
        <v>6.37</v>
      </c>
      <c r="C4198" s="2">
        <v>3.71</v>
      </c>
      <c r="D4198" s="2">
        <v>5.2799999999999994</v>
      </c>
      <c r="E4198" s="2">
        <v>5.2799999999999994</v>
      </c>
      <c r="F4198" s="2">
        <v>2.98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</row>
    <row r="4199" spans="1:11" x14ac:dyDescent="0.2">
      <c r="A4199" s="1">
        <v>0.91458333333333297</v>
      </c>
      <c r="B4199" s="2">
        <v>6.36</v>
      </c>
      <c r="C4199" s="2">
        <v>3.7399999999999998</v>
      </c>
      <c r="D4199" s="2">
        <v>4.96</v>
      </c>
      <c r="E4199" s="2">
        <v>5.29</v>
      </c>
      <c r="F4199" s="2">
        <v>3.24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</row>
    <row r="4200" spans="1:11" x14ac:dyDescent="0.2">
      <c r="A4200" s="1">
        <v>0.91527777777777797</v>
      </c>
      <c r="B4200" s="2">
        <v>6.26</v>
      </c>
      <c r="C4200" s="2">
        <v>3.8499999999999996</v>
      </c>
      <c r="D4200" s="2">
        <v>4.8899999999999997</v>
      </c>
      <c r="E4200" s="2">
        <v>5.58</v>
      </c>
      <c r="F4200" s="2">
        <v>3.0900000000000003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</row>
    <row r="4201" spans="1:11" x14ac:dyDescent="0.2">
      <c r="A4201" s="1">
        <v>0.91597222222222197</v>
      </c>
      <c r="B4201" s="2">
        <v>6.15</v>
      </c>
      <c r="C4201" s="2">
        <v>3.82</v>
      </c>
      <c r="D4201" s="2">
        <v>4.9799999999999995</v>
      </c>
      <c r="E4201" s="2">
        <v>5.1899999999999995</v>
      </c>
      <c r="F4201" s="2">
        <v>3.19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</row>
    <row r="4202" spans="1:11" x14ac:dyDescent="0.2">
      <c r="A4202" s="3">
        <v>0.91666666666666696</v>
      </c>
      <c r="B4202" s="2">
        <v>6.16</v>
      </c>
      <c r="C4202" s="2">
        <v>3.82</v>
      </c>
      <c r="D4202" s="2">
        <v>5.12</v>
      </c>
      <c r="E4202" s="2">
        <v>5.42</v>
      </c>
      <c r="F4202" s="2">
        <v>3.25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</row>
    <row r="4203" spans="1:11" x14ac:dyDescent="0.2">
      <c r="A4203" s="1">
        <v>0.91736111111111096</v>
      </c>
      <c r="B4203" s="2">
        <v>6.18</v>
      </c>
      <c r="C4203" s="2">
        <v>3.93</v>
      </c>
      <c r="D4203" s="2">
        <v>5.0999999999999996</v>
      </c>
      <c r="E4203" s="2">
        <v>5.51</v>
      </c>
      <c r="F4203" s="2">
        <v>3.22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</row>
    <row r="4204" spans="1:11" x14ac:dyDescent="0.2">
      <c r="A4204" s="1">
        <v>0.91805555555555596</v>
      </c>
      <c r="B4204" s="2">
        <v>6.18</v>
      </c>
      <c r="C4204" s="2">
        <v>3.85</v>
      </c>
      <c r="D4204" s="2">
        <v>5.09</v>
      </c>
      <c r="E4204" s="2">
        <v>5.71</v>
      </c>
      <c r="F4204" s="2">
        <v>3.21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</row>
    <row r="4205" spans="1:11" x14ac:dyDescent="0.2">
      <c r="A4205" s="1">
        <v>0.91874999999999996</v>
      </c>
      <c r="B4205" s="2">
        <v>6.26</v>
      </c>
      <c r="C4205" s="2">
        <v>3.7800000000000002</v>
      </c>
      <c r="D4205" s="2">
        <v>4.9099999999999993</v>
      </c>
      <c r="E4205" s="2">
        <v>5.17</v>
      </c>
      <c r="F4205" s="2">
        <v>3.35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</row>
    <row r="4206" spans="1:11" x14ac:dyDescent="0.2">
      <c r="A4206" s="1">
        <v>0.91944444444444495</v>
      </c>
      <c r="B4206" s="2">
        <v>6.36</v>
      </c>
      <c r="C4206" s="2">
        <v>3.81</v>
      </c>
      <c r="D4206" s="2">
        <v>5.08</v>
      </c>
      <c r="E4206" s="2">
        <v>5.34</v>
      </c>
      <c r="F4206" s="2">
        <v>3.14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</row>
    <row r="4207" spans="1:11" x14ac:dyDescent="0.2">
      <c r="A4207" s="1">
        <v>0.92013888888888895</v>
      </c>
      <c r="B4207" s="2">
        <v>6.18</v>
      </c>
      <c r="C4207" s="2">
        <v>3.8000000000000003</v>
      </c>
      <c r="D4207" s="2">
        <v>5.3699999999999992</v>
      </c>
      <c r="E4207" s="2">
        <v>5.4399999999999995</v>
      </c>
      <c r="F4207" s="2">
        <v>3.24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</row>
    <row r="4208" spans="1:11" x14ac:dyDescent="0.2">
      <c r="A4208" s="1">
        <v>0.92083333333333295</v>
      </c>
      <c r="B4208" s="2">
        <v>6.2700000000000005</v>
      </c>
      <c r="C4208" s="2">
        <v>3.69</v>
      </c>
      <c r="D4208" s="2">
        <v>5.04</v>
      </c>
      <c r="E4208" s="2">
        <v>5.77</v>
      </c>
      <c r="F4208" s="2">
        <v>3.14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</row>
    <row r="4209" spans="1:11" x14ac:dyDescent="0.2">
      <c r="A4209" s="1">
        <v>0.92152777777777795</v>
      </c>
      <c r="B4209" s="2">
        <v>6.28</v>
      </c>
      <c r="C4209" s="2">
        <v>3.74</v>
      </c>
      <c r="D4209" s="2">
        <v>4.9399999999999995</v>
      </c>
      <c r="E4209" s="2">
        <v>5.5299999999999994</v>
      </c>
      <c r="F4209" s="2">
        <v>3.17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</row>
    <row r="4210" spans="1:11" x14ac:dyDescent="0.2">
      <c r="A4210" s="1">
        <v>0.92222222222222205</v>
      </c>
      <c r="B4210" s="2">
        <v>6.28</v>
      </c>
      <c r="C4210" s="2">
        <v>3.8400000000000003</v>
      </c>
      <c r="D4210" s="2">
        <v>5.0199999999999996</v>
      </c>
      <c r="E4210" s="2">
        <v>5.51</v>
      </c>
      <c r="F4210" s="2">
        <v>3.37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</row>
    <row r="4211" spans="1:11" x14ac:dyDescent="0.2">
      <c r="A4211" s="1">
        <v>0.92291666666666705</v>
      </c>
      <c r="B4211" s="2">
        <v>6.28</v>
      </c>
      <c r="C4211" s="2">
        <v>3.69</v>
      </c>
      <c r="D4211" s="2">
        <v>5.14</v>
      </c>
      <c r="E4211" s="2">
        <v>5.41</v>
      </c>
      <c r="F4211" s="2">
        <v>3.02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</row>
    <row r="4212" spans="1:11" x14ac:dyDescent="0.2">
      <c r="A4212" s="1">
        <v>0.92361111111111105</v>
      </c>
      <c r="B4212" s="2">
        <v>6.14</v>
      </c>
      <c r="C4212" s="2">
        <v>3.8400000000000003</v>
      </c>
      <c r="D4212" s="2">
        <v>5.14</v>
      </c>
      <c r="E4212" s="2">
        <v>5.29</v>
      </c>
      <c r="F4212" s="2">
        <v>2.98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</row>
    <row r="4213" spans="1:11" x14ac:dyDescent="0.2">
      <c r="A4213" s="1">
        <v>0.92430555555555605</v>
      </c>
      <c r="B4213" s="2">
        <v>6.16</v>
      </c>
      <c r="C4213" s="2">
        <v>3.9400000000000004</v>
      </c>
      <c r="D4213" s="2">
        <v>5</v>
      </c>
      <c r="E4213" s="2">
        <v>5.4899999999999993</v>
      </c>
      <c r="F4213" s="2">
        <v>3.02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</row>
    <row r="4214" spans="1:11" x14ac:dyDescent="0.2">
      <c r="A4214" s="1">
        <v>0.92500000000000004</v>
      </c>
      <c r="B4214" s="2">
        <v>6.3500000000000005</v>
      </c>
      <c r="C4214" s="2">
        <v>3.89</v>
      </c>
      <c r="D4214" s="2">
        <v>5.3699999999999992</v>
      </c>
      <c r="E4214" s="2">
        <v>5.51</v>
      </c>
      <c r="F4214" s="2">
        <v>3.13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</row>
    <row r="4215" spans="1:11" x14ac:dyDescent="0.2">
      <c r="A4215" s="1">
        <v>0.92569444444444404</v>
      </c>
      <c r="B4215" s="2">
        <v>6.22</v>
      </c>
      <c r="C4215" s="2">
        <v>3.9000000000000004</v>
      </c>
      <c r="D4215" s="2">
        <v>5.17</v>
      </c>
      <c r="E4215" s="2">
        <v>5.22</v>
      </c>
      <c r="F4215" s="2">
        <v>3.33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</row>
    <row r="4216" spans="1:11" x14ac:dyDescent="0.2">
      <c r="A4216" s="1">
        <v>0.92638888888888904</v>
      </c>
      <c r="B4216" s="2">
        <v>6.23</v>
      </c>
      <c r="C4216" s="2">
        <v>3.9000000000000004</v>
      </c>
      <c r="D4216" s="2">
        <v>4.92</v>
      </c>
      <c r="E4216" s="2">
        <v>5.22</v>
      </c>
      <c r="F4216" s="2">
        <v>3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</row>
    <row r="4217" spans="1:11" x14ac:dyDescent="0.2">
      <c r="A4217" s="1">
        <v>0.92708333333333304</v>
      </c>
      <c r="B4217" s="2">
        <v>6.29</v>
      </c>
      <c r="C4217" s="2">
        <v>3.7800000000000002</v>
      </c>
      <c r="D4217" s="2">
        <v>5.1999999999999993</v>
      </c>
      <c r="E4217" s="2">
        <v>5.7799999999999994</v>
      </c>
      <c r="F4217" s="2">
        <v>2.96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</row>
    <row r="4218" spans="1:11" x14ac:dyDescent="0.2">
      <c r="A4218" s="1">
        <v>0.92777777777777803</v>
      </c>
      <c r="B4218" s="2">
        <v>6.22</v>
      </c>
      <c r="C4218" s="2">
        <v>3.87</v>
      </c>
      <c r="D4218" s="2">
        <v>5.31</v>
      </c>
      <c r="E4218" s="2">
        <v>5.25</v>
      </c>
      <c r="F4218" s="2">
        <v>2.92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</row>
    <row r="4219" spans="1:11" x14ac:dyDescent="0.2">
      <c r="A4219" s="1">
        <v>0.92847222222222203</v>
      </c>
      <c r="B4219" s="2">
        <v>6.2</v>
      </c>
      <c r="C4219" s="2">
        <v>3.87</v>
      </c>
      <c r="D4219" s="2">
        <v>5.3699999999999992</v>
      </c>
      <c r="E4219" s="2">
        <v>5.7299999999999995</v>
      </c>
      <c r="F4219" s="2">
        <v>3.13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</row>
    <row r="4220" spans="1:11" x14ac:dyDescent="0.2">
      <c r="A4220" s="1">
        <v>0.92916666666666703</v>
      </c>
      <c r="B4220" s="2">
        <v>6.3</v>
      </c>
      <c r="C4220" s="2">
        <v>3.77</v>
      </c>
      <c r="D4220" s="2">
        <v>4.9099999999999993</v>
      </c>
      <c r="E4220" s="2">
        <v>5.39</v>
      </c>
      <c r="F4220" s="2">
        <v>2.99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</row>
    <row r="4221" spans="1:11" x14ac:dyDescent="0.2">
      <c r="A4221" s="1">
        <v>0.92986111111111103</v>
      </c>
      <c r="B4221" s="2">
        <v>6.33</v>
      </c>
      <c r="C4221" s="2">
        <v>3.68</v>
      </c>
      <c r="D4221" s="2">
        <v>5.0599999999999996</v>
      </c>
      <c r="E4221" s="2">
        <v>5.79</v>
      </c>
      <c r="F4221" s="2">
        <v>3.37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</row>
    <row r="4222" spans="1:11" x14ac:dyDescent="0.2">
      <c r="A4222" s="1">
        <v>0.93055555555555602</v>
      </c>
      <c r="B4222" s="2">
        <v>6.36</v>
      </c>
      <c r="C4222" s="2">
        <v>3.74</v>
      </c>
      <c r="D4222" s="2">
        <v>5.3199999999999994</v>
      </c>
      <c r="E4222" s="2">
        <v>5.22</v>
      </c>
      <c r="F4222" s="2">
        <v>3.3400000000000003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</row>
    <row r="4223" spans="1:11" x14ac:dyDescent="0.2">
      <c r="A4223" s="1">
        <v>0.93125000000000002</v>
      </c>
      <c r="B4223" s="2">
        <v>6.32</v>
      </c>
      <c r="C4223" s="2">
        <v>3.71</v>
      </c>
      <c r="D4223" s="2">
        <v>5.1899999999999995</v>
      </c>
      <c r="E4223" s="2">
        <v>5.3199999999999994</v>
      </c>
      <c r="F4223" s="2">
        <v>3.37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</row>
    <row r="4224" spans="1:11" x14ac:dyDescent="0.2">
      <c r="A4224" s="1">
        <v>0.93194444444444402</v>
      </c>
      <c r="B4224" s="2">
        <v>6.23</v>
      </c>
      <c r="C4224" s="2">
        <v>3.71</v>
      </c>
      <c r="D4224" s="2">
        <v>5.0599999999999996</v>
      </c>
      <c r="E4224" s="2">
        <v>5.6199999999999992</v>
      </c>
      <c r="F4224" s="2">
        <v>3.21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</row>
    <row r="4225" spans="1:11" x14ac:dyDescent="0.2">
      <c r="A4225" s="1">
        <v>0.93263888888888902</v>
      </c>
      <c r="B4225" s="2">
        <v>6.28</v>
      </c>
      <c r="C4225" s="2">
        <v>3.9000000000000004</v>
      </c>
      <c r="D4225" s="2">
        <v>4.9399999999999995</v>
      </c>
      <c r="E4225" s="2">
        <v>5.55</v>
      </c>
      <c r="F4225" s="2">
        <v>3.25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</row>
    <row r="4226" spans="1:11" x14ac:dyDescent="0.2">
      <c r="A4226" s="1">
        <v>0.93333333333333302</v>
      </c>
      <c r="B4226" s="2">
        <v>6.32</v>
      </c>
      <c r="C4226" s="2">
        <v>3.8800000000000003</v>
      </c>
      <c r="D4226" s="2">
        <v>5.3699999999999992</v>
      </c>
      <c r="E4226" s="2">
        <v>5.39</v>
      </c>
      <c r="F4226" s="2">
        <v>3.37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</row>
    <row r="4227" spans="1:11" x14ac:dyDescent="0.2">
      <c r="A4227" s="1">
        <v>0.93402777777777801</v>
      </c>
      <c r="B4227" s="2">
        <v>6.3</v>
      </c>
      <c r="C4227" s="2">
        <v>3.74</v>
      </c>
      <c r="D4227" s="2">
        <v>5.12</v>
      </c>
      <c r="E4227" s="2">
        <v>5.3</v>
      </c>
      <c r="F4227" s="2">
        <v>3.41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</row>
    <row r="4228" spans="1:11" x14ac:dyDescent="0.2">
      <c r="A4228" s="1">
        <v>0.93472222222222201</v>
      </c>
      <c r="B4228" s="2">
        <v>6.2</v>
      </c>
      <c r="C4228" s="2">
        <v>3.7800000000000002</v>
      </c>
      <c r="D4228" s="2">
        <v>5.1499999999999995</v>
      </c>
      <c r="E4228" s="2">
        <v>5.75</v>
      </c>
      <c r="F4228" s="2">
        <v>3.33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</row>
    <row r="4229" spans="1:11" x14ac:dyDescent="0.2">
      <c r="A4229" s="1">
        <v>0.93541666666666701</v>
      </c>
      <c r="B4229" s="2">
        <v>6.19</v>
      </c>
      <c r="C4229" s="2">
        <v>3.83</v>
      </c>
      <c r="D4229" s="2">
        <v>5.0999999999999996</v>
      </c>
      <c r="E4229" s="2">
        <v>5.8</v>
      </c>
      <c r="F4229" s="2">
        <v>3.3000000000000003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</row>
    <row r="4230" spans="1:11" x14ac:dyDescent="0.2">
      <c r="A4230" s="1">
        <v>0.93611111111111101</v>
      </c>
      <c r="B4230" s="2">
        <v>6.2</v>
      </c>
      <c r="C4230" s="2">
        <v>3.73</v>
      </c>
      <c r="D4230" s="2">
        <v>5.1999999999999993</v>
      </c>
      <c r="E4230" s="2">
        <v>5.59</v>
      </c>
      <c r="F4230" s="2">
        <v>3.13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</row>
    <row r="4231" spans="1:11" x14ac:dyDescent="0.2">
      <c r="A4231" s="1">
        <v>0.936805555555556</v>
      </c>
      <c r="B4231" s="2">
        <v>6.36</v>
      </c>
      <c r="C4231" s="2">
        <v>3.93</v>
      </c>
      <c r="D4231" s="2">
        <v>5.34</v>
      </c>
      <c r="E4231" s="2">
        <v>5.3599999999999994</v>
      </c>
      <c r="F4231" s="2">
        <v>2.95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</row>
    <row r="4232" spans="1:11" x14ac:dyDescent="0.2">
      <c r="A4232" s="1">
        <v>0.9375</v>
      </c>
      <c r="B4232" s="2">
        <v>6.23</v>
      </c>
      <c r="C4232" s="2">
        <v>3.77</v>
      </c>
      <c r="D4232" s="2">
        <v>4.96</v>
      </c>
      <c r="E4232" s="2">
        <v>5.72</v>
      </c>
      <c r="F4232" s="2">
        <v>3.14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</row>
    <row r="4233" spans="1:11" x14ac:dyDescent="0.2">
      <c r="A4233" s="1">
        <v>0.938194444444444</v>
      </c>
      <c r="B4233" s="2">
        <v>6.3100000000000005</v>
      </c>
      <c r="C4233" s="2">
        <v>3.73</v>
      </c>
      <c r="D4233" s="2">
        <v>4.8899999999999997</v>
      </c>
      <c r="E4233" s="2">
        <v>5.5699999999999994</v>
      </c>
      <c r="F4233" s="2">
        <v>2.93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</row>
    <row r="4234" spans="1:11" x14ac:dyDescent="0.2">
      <c r="A4234" s="1">
        <v>0.93888888888888899</v>
      </c>
      <c r="B4234" s="2">
        <v>6.3</v>
      </c>
      <c r="C4234" s="2">
        <v>3.72</v>
      </c>
      <c r="D4234" s="2">
        <v>5.25</v>
      </c>
      <c r="E4234" s="2">
        <v>5.41</v>
      </c>
      <c r="F4234" s="2">
        <v>3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</row>
    <row r="4235" spans="1:11" x14ac:dyDescent="0.2">
      <c r="A4235" s="1">
        <v>0.93958333333333299</v>
      </c>
      <c r="B4235" s="2">
        <v>6.29</v>
      </c>
      <c r="C4235" s="2">
        <v>3.89</v>
      </c>
      <c r="D4235" s="2">
        <v>4.9499999999999993</v>
      </c>
      <c r="E4235" s="2">
        <v>5.3</v>
      </c>
      <c r="F4235" s="2">
        <v>2.96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</row>
    <row r="4236" spans="1:11" x14ac:dyDescent="0.2">
      <c r="A4236" s="1">
        <v>0.94027777777777799</v>
      </c>
      <c r="B4236" s="2">
        <v>6.33</v>
      </c>
      <c r="C4236" s="2">
        <v>3.92</v>
      </c>
      <c r="D4236" s="2">
        <v>4.93</v>
      </c>
      <c r="E4236" s="2">
        <v>5.22</v>
      </c>
      <c r="F4236" s="2">
        <v>3.29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</row>
    <row r="4237" spans="1:11" x14ac:dyDescent="0.2">
      <c r="A4237" s="1">
        <v>0.94097222222222199</v>
      </c>
      <c r="B4237" s="2">
        <v>6.19</v>
      </c>
      <c r="C4237" s="2">
        <v>3.83</v>
      </c>
      <c r="D4237" s="2">
        <v>5.13</v>
      </c>
      <c r="E4237" s="2">
        <v>5.31</v>
      </c>
      <c r="F4237" s="2">
        <v>3.0900000000000003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</row>
    <row r="4238" spans="1:11" x14ac:dyDescent="0.2">
      <c r="A4238" s="1">
        <v>0.94166666666666698</v>
      </c>
      <c r="B4238" s="2">
        <v>6.15</v>
      </c>
      <c r="C4238" s="2">
        <v>3.7800000000000002</v>
      </c>
      <c r="D4238" s="2">
        <v>5.18</v>
      </c>
      <c r="E4238" s="2">
        <v>5.58</v>
      </c>
      <c r="F4238" s="2">
        <v>2.93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</row>
    <row r="4239" spans="1:11" x14ac:dyDescent="0.2">
      <c r="A4239" s="1">
        <v>0.94236111111111098</v>
      </c>
      <c r="B4239" s="2">
        <v>6.16</v>
      </c>
      <c r="C4239" s="2">
        <v>3.8200000000000003</v>
      </c>
      <c r="D4239" s="2">
        <v>5.39</v>
      </c>
      <c r="E4239" s="2">
        <v>5.47</v>
      </c>
      <c r="F4239" s="2">
        <v>3.12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</row>
    <row r="4240" spans="1:11" x14ac:dyDescent="0.2">
      <c r="A4240" s="1">
        <v>0.94305555555555598</v>
      </c>
      <c r="B4240" s="2">
        <v>6.13</v>
      </c>
      <c r="C4240" s="2">
        <v>3.85</v>
      </c>
      <c r="D4240" s="2">
        <v>5.08</v>
      </c>
      <c r="E4240" s="2">
        <v>5.5299999999999994</v>
      </c>
      <c r="F4240" s="2">
        <v>3.0900000000000003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</row>
    <row r="4241" spans="1:11" x14ac:dyDescent="0.2">
      <c r="A4241" s="1">
        <v>0.94374999999999998</v>
      </c>
      <c r="B4241" s="2">
        <v>6.25</v>
      </c>
      <c r="C4241" s="2">
        <v>3.77</v>
      </c>
      <c r="D4241" s="2">
        <v>4.96</v>
      </c>
      <c r="E4241" s="2">
        <v>5.4499999999999993</v>
      </c>
      <c r="F4241" s="2">
        <v>2.96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</row>
    <row r="4242" spans="1:11" x14ac:dyDescent="0.2">
      <c r="A4242" s="1">
        <v>0.94444444444444497</v>
      </c>
      <c r="B4242" s="2">
        <v>6.13</v>
      </c>
      <c r="C4242" s="2">
        <v>3.69</v>
      </c>
      <c r="D4242" s="2">
        <v>5.0299999999999994</v>
      </c>
      <c r="E4242" s="2">
        <v>5.5</v>
      </c>
      <c r="F4242" s="2">
        <v>2.9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</row>
    <row r="4243" spans="1:11" x14ac:dyDescent="0.2">
      <c r="A4243" s="1">
        <v>0.94513888888888897</v>
      </c>
      <c r="B4243" s="2">
        <v>6.37</v>
      </c>
      <c r="C4243" s="2">
        <v>3.8400000000000003</v>
      </c>
      <c r="D4243" s="2">
        <v>4.8999999999999995</v>
      </c>
      <c r="E4243" s="2">
        <v>5.52</v>
      </c>
      <c r="F4243" s="2">
        <v>3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</row>
    <row r="4244" spans="1:11" x14ac:dyDescent="0.2">
      <c r="A4244" s="1">
        <v>0.94583333333333297</v>
      </c>
      <c r="B4244" s="2">
        <v>6.18</v>
      </c>
      <c r="C4244" s="2">
        <v>3.73</v>
      </c>
      <c r="D4244" s="2">
        <v>4.9099999999999993</v>
      </c>
      <c r="E4244" s="2">
        <v>5.42</v>
      </c>
      <c r="F4244" s="2">
        <v>3.18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</row>
    <row r="4245" spans="1:11" x14ac:dyDescent="0.2">
      <c r="A4245" s="1">
        <v>0.94652777777777797</v>
      </c>
      <c r="B4245" s="2">
        <v>6.19</v>
      </c>
      <c r="C4245" s="2">
        <v>3.7600000000000002</v>
      </c>
      <c r="D4245" s="2">
        <v>4.9899999999999993</v>
      </c>
      <c r="E4245" s="2">
        <v>5.17</v>
      </c>
      <c r="F4245" s="2">
        <v>3.1100000000000003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</row>
    <row r="4246" spans="1:11" x14ac:dyDescent="0.2">
      <c r="A4246" s="1">
        <v>0.94722222222222197</v>
      </c>
      <c r="B4246" s="2">
        <v>6.3100000000000005</v>
      </c>
      <c r="C4246" s="2">
        <v>3.75</v>
      </c>
      <c r="D4246" s="2">
        <v>5.05</v>
      </c>
      <c r="E4246" s="2">
        <v>5.67</v>
      </c>
      <c r="F4246" s="2">
        <v>2.97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</row>
    <row r="4247" spans="1:11" x14ac:dyDescent="0.2">
      <c r="A4247" s="1">
        <v>0.94791666666666696</v>
      </c>
      <c r="B4247" s="2">
        <v>6.37</v>
      </c>
      <c r="C4247" s="2">
        <v>3.93</v>
      </c>
      <c r="D4247" s="2">
        <v>5.21</v>
      </c>
      <c r="E4247" s="2">
        <v>5.1999999999999993</v>
      </c>
      <c r="F4247" s="2">
        <v>2.95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</row>
    <row r="4248" spans="1:11" x14ac:dyDescent="0.2">
      <c r="A4248" s="1">
        <v>0.94861111111111096</v>
      </c>
      <c r="B4248" s="2">
        <v>6.2</v>
      </c>
      <c r="C4248" s="2">
        <v>3.8800000000000003</v>
      </c>
      <c r="D4248" s="2">
        <v>5.0599999999999996</v>
      </c>
      <c r="E4248" s="2">
        <v>5.34</v>
      </c>
      <c r="F4248" s="2">
        <v>2.96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</row>
    <row r="4249" spans="1:11" x14ac:dyDescent="0.2">
      <c r="A4249" s="1">
        <v>0.94930555555555596</v>
      </c>
      <c r="B4249" s="2">
        <v>6.21</v>
      </c>
      <c r="C4249" s="2">
        <v>3.87</v>
      </c>
      <c r="D4249" s="2">
        <v>4.9399999999999995</v>
      </c>
      <c r="E4249" s="2">
        <v>5.34</v>
      </c>
      <c r="F4249" s="2">
        <v>2.93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</row>
    <row r="4250" spans="1:11" x14ac:dyDescent="0.2">
      <c r="A4250" s="1">
        <v>0.95</v>
      </c>
      <c r="B4250" s="2">
        <v>6.18</v>
      </c>
      <c r="C4250" s="2">
        <v>3.8200000000000003</v>
      </c>
      <c r="D4250" s="2">
        <v>5.05</v>
      </c>
      <c r="E4250" s="2">
        <v>5.52</v>
      </c>
      <c r="F4250" s="2">
        <v>3.0100000000000002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</row>
    <row r="4251" spans="1:11" x14ac:dyDescent="0.2">
      <c r="A4251" s="1">
        <v>0.95069444444444495</v>
      </c>
      <c r="B4251" s="2">
        <v>6.37</v>
      </c>
      <c r="C4251" s="2">
        <v>3.9400000000000004</v>
      </c>
      <c r="D4251" s="2">
        <v>5.2399999999999993</v>
      </c>
      <c r="E4251" s="2">
        <v>5.39</v>
      </c>
      <c r="F4251" s="2">
        <v>2.9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</row>
    <row r="4252" spans="1:11" x14ac:dyDescent="0.2">
      <c r="A4252" s="1">
        <v>0.95138888888888895</v>
      </c>
      <c r="B4252" s="2">
        <v>6.19</v>
      </c>
      <c r="C4252" s="2">
        <v>3.8200000000000003</v>
      </c>
      <c r="D4252" s="2">
        <v>5.0299999999999994</v>
      </c>
      <c r="E4252" s="2">
        <v>5.6999999999999993</v>
      </c>
      <c r="F4252" s="2">
        <v>3.04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</row>
    <row r="4253" spans="1:11" x14ac:dyDescent="0.2">
      <c r="A4253" s="1">
        <v>0.95208333333333295</v>
      </c>
      <c r="B4253" s="2">
        <v>6.3100000000000005</v>
      </c>
      <c r="C4253" s="2">
        <v>3.68</v>
      </c>
      <c r="D4253" s="2">
        <v>5.0199999999999996</v>
      </c>
      <c r="E4253" s="2">
        <v>5.6</v>
      </c>
      <c r="F4253" s="2">
        <v>3.0100000000000002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</row>
    <row r="4254" spans="1:11" x14ac:dyDescent="0.2">
      <c r="A4254" s="1">
        <v>0.95277777777777795</v>
      </c>
      <c r="B4254" s="2">
        <v>6.18</v>
      </c>
      <c r="C4254" s="2">
        <v>3.8800000000000003</v>
      </c>
      <c r="D4254" s="2">
        <v>4.9899999999999993</v>
      </c>
      <c r="E4254" s="2">
        <v>5.51</v>
      </c>
      <c r="F4254" s="2">
        <v>2.98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</row>
    <row r="4255" spans="1:11" x14ac:dyDescent="0.2">
      <c r="A4255" s="1">
        <v>0.95347222222222205</v>
      </c>
      <c r="B4255" s="2">
        <v>6.25</v>
      </c>
      <c r="C4255" s="2">
        <v>3.69</v>
      </c>
      <c r="D4255" s="2">
        <v>5.01</v>
      </c>
      <c r="E4255" s="2">
        <v>5.27</v>
      </c>
      <c r="F4255" s="2">
        <v>2.97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</row>
    <row r="4256" spans="1:11" x14ac:dyDescent="0.2">
      <c r="A4256" s="1">
        <v>0.95416666666666705</v>
      </c>
      <c r="B4256" s="2">
        <v>6.16</v>
      </c>
      <c r="C4256" s="2">
        <v>3.74</v>
      </c>
      <c r="D4256" s="2">
        <v>5</v>
      </c>
      <c r="E4256" s="2">
        <v>5.35</v>
      </c>
      <c r="F4256" s="2">
        <v>2.97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</row>
    <row r="4257" spans="1:11" x14ac:dyDescent="0.2">
      <c r="A4257" s="1">
        <v>0.95486111111111105</v>
      </c>
      <c r="B4257" s="2">
        <v>6.3500000000000005</v>
      </c>
      <c r="C4257" s="2">
        <v>3.93</v>
      </c>
      <c r="D4257" s="2">
        <v>5.3199999999999994</v>
      </c>
      <c r="E4257" s="2">
        <v>5.63</v>
      </c>
      <c r="F4257" s="2">
        <v>3.4000000000000004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</row>
    <row r="4258" spans="1:11" x14ac:dyDescent="0.2">
      <c r="A4258" s="1">
        <v>0.95555555555555605</v>
      </c>
      <c r="B4258" s="2">
        <v>6.29</v>
      </c>
      <c r="C4258" s="2">
        <v>3.75</v>
      </c>
      <c r="D4258" s="2">
        <v>5.13</v>
      </c>
      <c r="E4258" s="2">
        <v>5.3199999999999994</v>
      </c>
      <c r="F4258" s="2">
        <v>2.92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</row>
    <row r="4259" spans="1:11" x14ac:dyDescent="0.2">
      <c r="A4259" s="1">
        <v>0.95625000000000004</v>
      </c>
      <c r="B4259" s="2">
        <v>6.33</v>
      </c>
      <c r="C4259" s="2">
        <v>3.72</v>
      </c>
      <c r="D4259" s="2">
        <v>5.18</v>
      </c>
      <c r="E4259" s="2">
        <v>5.6499999999999995</v>
      </c>
      <c r="F4259" s="2">
        <v>3.1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</row>
    <row r="4260" spans="1:11" x14ac:dyDescent="0.2">
      <c r="A4260" s="1">
        <v>0.95694444444444404</v>
      </c>
      <c r="B4260" s="2">
        <v>6.3100000000000005</v>
      </c>
      <c r="C4260" s="2">
        <v>3.69</v>
      </c>
      <c r="D4260" s="2">
        <v>5.35</v>
      </c>
      <c r="E4260" s="2">
        <v>5.54</v>
      </c>
      <c r="F4260" s="2">
        <v>3.4000000000000004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</row>
    <row r="4261" spans="1:11" x14ac:dyDescent="0.2">
      <c r="A4261" s="1">
        <v>0.95763888888888904</v>
      </c>
      <c r="B4261" s="2">
        <v>6.29</v>
      </c>
      <c r="C4261" s="2">
        <v>3.77</v>
      </c>
      <c r="D4261" s="2">
        <v>5.38</v>
      </c>
      <c r="E4261" s="2">
        <v>5.22</v>
      </c>
      <c r="F4261" s="2">
        <v>3.04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</row>
    <row r="4262" spans="1:11" x14ac:dyDescent="0.2">
      <c r="A4262" s="3">
        <v>0.95833333333333304</v>
      </c>
      <c r="B4262" s="2">
        <v>6.24</v>
      </c>
      <c r="C4262" s="2">
        <v>3.82</v>
      </c>
      <c r="D4262" s="2">
        <v>5.12</v>
      </c>
      <c r="E4262" s="2">
        <v>5.42</v>
      </c>
      <c r="F4262" s="2">
        <v>3.26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</row>
    <row r="4263" spans="1:11" x14ac:dyDescent="0.2">
      <c r="A4263" s="1">
        <v>0.95902777777777803</v>
      </c>
      <c r="B4263" s="2">
        <v>6.22</v>
      </c>
      <c r="C4263" s="2">
        <v>3.7800000000000002</v>
      </c>
      <c r="D4263" s="2">
        <v>5.33</v>
      </c>
      <c r="E4263" s="2">
        <v>5.68</v>
      </c>
      <c r="F4263" s="2">
        <v>3.02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</row>
    <row r="4264" spans="1:11" x14ac:dyDescent="0.2">
      <c r="A4264" s="1">
        <v>0.95972222222222203</v>
      </c>
      <c r="B4264" s="2">
        <v>6.37</v>
      </c>
      <c r="C4264" s="2">
        <v>3.7</v>
      </c>
      <c r="D4264" s="2">
        <v>5.31</v>
      </c>
      <c r="E4264" s="2">
        <v>5.3599999999999994</v>
      </c>
      <c r="F4264" s="2">
        <v>2.99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</row>
    <row r="4265" spans="1:11" x14ac:dyDescent="0.2">
      <c r="A4265" s="1">
        <v>0.96041666666666703</v>
      </c>
      <c r="B4265" s="2">
        <v>6.17</v>
      </c>
      <c r="C4265" s="2">
        <v>3.79</v>
      </c>
      <c r="D4265" s="2">
        <v>5.2299999999999995</v>
      </c>
      <c r="E4265" s="2">
        <v>5.59</v>
      </c>
      <c r="F4265" s="2">
        <v>3.35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</row>
    <row r="4266" spans="1:11" x14ac:dyDescent="0.2">
      <c r="A4266" s="1">
        <v>0.96111111111111103</v>
      </c>
      <c r="B4266" s="2">
        <v>6.37</v>
      </c>
      <c r="C4266" s="2">
        <v>3.91</v>
      </c>
      <c r="D4266" s="2">
        <v>5.09</v>
      </c>
      <c r="E4266" s="2">
        <v>5.6999999999999993</v>
      </c>
      <c r="F4266" s="2">
        <v>3.4000000000000004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</row>
    <row r="4267" spans="1:11" x14ac:dyDescent="0.2">
      <c r="A4267" s="1">
        <v>0.96180555555555602</v>
      </c>
      <c r="B4267" s="2">
        <v>6.15</v>
      </c>
      <c r="C4267" s="2">
        <v>3.81</v>
      </c>
      <c r="D4267" s="2">
        <v>5</v>
      </c>
      <c r="E4267" s="2">
        <v>5.1599999999999993</v>
      </c>
      <c r="F4267" s="2">
        <v>3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</row>
    <row r="4268" spans="1:11" x14ac:dyDescent="0.2">
      <c r="A4268" s="1">
        <v>0.96250000000000002</v>
      </c>
      <c r="B4268" s="2">
        <v>6.22</v>
      </c>
      <c r="C4268" s="2">
        <v>3.95</v>
      </c>
      <c r="D4268" s="2">
        <v>5.2399999999999993</v>
      </c>
      <c r="E4268" s="2">
        <v>5.67</v>
      </c>
      <c r="F4268" s="2">
        <v>3.41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</row>
    <row r="4269" spans="1:11" x14ac:dyDescent="0.2">
      <c r="A4269" s="1">
        <v>0.96319444444444402</v>
      </c>
      <c r="B4269" s="2">
        <v>6.28</v>
      </c>
      <c r="C4269" s="2">
        <v>3.87</v>
      </c>
      <c r="D4269" s="2">
        <v>5.18</v>
      </c>
      <c r="E4269" s="2">
        <v>5.2399999999999993</v>
      </c>
      <c r="F4269" s="2">
        <v>3.23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</row>
    <row r="4270" spans="1:11" x14ac:dyDescent="0.2">
      <c r="A4270" s="1">
        <v>0.96388888888888902</v>
      </c>
      <c r="B4270" s="2">
        <v>6.19</v>
      </c>
      <c r="C4270" s="2">
        <v>3.8600000000000003</v>
      </c>
      <c r="D4270" s="2">
        <v>5.17</v>
      </c>
      <c r="E4270" s="2">
        <v>5.18</v>
      </c>
      <c r="F4270" s="2">
        <v>3.13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</row>
    <row r="4271" spans="1:11" x14ac:dyDescent="0.2">
      <c r="A4271" s="1">
        <v>0.96458333333333302</v>
      </c>
      <c r="B4271" s="2">
        <v>6.33</v>
      </c>
      <c r="C4271" s="2">
        <v>3.77</v>
      </c>
      <c r="D4271" s="2">
        <v>5.0999999999999996</v>
      </c>
      <c r="E4271" s="2">
        <v>5.52</v>
      </c>
      <c r="F4271" s="2">
        <v>3.21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</row>
    <row r="4272" spans="1:11" x14ac:dyDescent="0.2">
      <c r="A4272" s="1">
        <v>0.96527777777777801</v>
      </c>
      <c r="B4272" s="2">
        <v>6.23</v>
      </c>
      <c r="C4272" s="2">
        <v>3.8800000000000003</v>
      </c>
      <c r="D4272" s="2">
        <v>5.09</v>
      </c>
      <c r="E4272" s="2">
        <v>5.6</v>
      </c>
      <c r="F4272" s="2">
        <v>3.22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</row>
    <row r="4273" spans="1:11" x14ac:dyDescent="0.2">
      <c r="A4273" s="1">
        <v>0.96597222222222201</v>
      </c>
      <c r="B4273" s="2">
        <v>6.16</v>
      </c>
      <c r="C4273" s="2">
        <v>3.89</v>
      </c>
      <c r="D4273" s="2">
        <v>5.39</v>
      </c>
      <c r="E4273" s="2">
        <v>5.1999999999999993</v>
      </c>
      <c r="F4273" s="2">
        <v>3.17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</row>
    <row r="4274" spans="1:11" x14ac:dyDescent="0.2">
      <c r="A4274" s="1">
        <v>0.96666666666666701</v>
      </c>
      <c r="B4274" s="2">
        <v>6.3500000000000005</v>
      </c>
      <c r="C4274" s="2">
        <v>3.87</v>
      </c>
      <c r="D4274" s="2">
        <v>4.8899999999999997</v>
      </c>
      <c r="E4274" s="2">
        <v>5.54</v>
      </c>
      <c r="F4274" s="2">
        <v>3.23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</row>
    <row r="4275" spans="1:11" x14ac:dyDescent="0.2">
      <c r="A4275" s="1">
        <v>0.96736111111111101</v>
      </c>
      <c r="B4275" s="2">
        <v>6.32</v>
      </c>
      <c r="C4275" s="2">
        <v>3.9000000000000004</v>
      </c>
      <c r="D4275" s="2">
        <v>4.9799999999999995</v>
      </c>
      <c r="E4275" s="2">
        <v>5.2299999999999995</v>
      </c>
      <c r="F4275" s="2">
        <v>3.3000000000000003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</row>
    <row r="4276" spans="1:11" x14ac:dyDescent="0.2">
      <c r="A4276" s="1">
        <v>0.968055555555556</v>
      </c>
      <c r="B4276" s="2">
        <v>6.3100000000000005</v>
      </c>
      <c r="C4276" s="2">
        <v>3.9000000000000004</v>
      </c>
      <c r="D4276" s="2">
        <v>5.3699999999999992</v>
      </c>
      <c r="E4276" s="2">
        <v>5.66</v>
      </c>
      <c r="F4276" s="2">
        <v>2.94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</row>
    <row r="4277" spans="1:11" x14ac:dyDescent="0.2">
      <c r="A4277" s="1">
        <v>0.96875</v>
      </c>
      <c r="B4277" s="2">
        <v>6.15</v>
      </c>
      <c r="C4277" s="2">
        <v>3.73</v>
      </c>
      <c r="D4277" s="2">
        <v>5.3699999999999992</v>
      </c>
      <c r="E4277" s="2">
        <v>5.68</v>
      </c>
      <c r="F4277" s="2">
        <v>3.1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</row>
    <row r="4278" spans="1:11" x14ac:dyDescent="0.2">
      <c r="A4278" s="1">
        <v>0.969444444444444</v>
      </c>
      <c r="B4278" s="2">
        <v>6.2700000000000005</v>
      </c>
      <c r="C4278" s="2">
        <v>3.8800000000000003</v>
      </c>
      <c r="D4278" s="2">
        <v>5.14</v>
      </c>
      <c r="E4278" s="2">
        <v>5.6899999999999995</v>
      </c>
      <c r="F4278" s="2">
        <v>3.12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</row>
    <row r="4279" spans="1:11" x14ac:dyDescent="0.2">
      <c r="A4279" s="1">
        <v>0.97013888888888899</v>
      </c>
      <c r="B4279" s="2">
        <v>6.36</v>
      </c>
      <c r="C4279" s="2">
        <v>3.9000000000000004</v>
      </c>
      <c r="D4279" s="2">
        <v>5.3199999999999994</v>
      </c>
      <c r="E4279" s="2">
        <v>5.56</v>
      </c>
      <c r="F4279" s="2">
        <v>3.1100000000000003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</row>
    <row r="4280" spans="1:11" x14ac:dyDescent="0.2">
      <c r="A4280" s="1">
        <v>0.97083333333333299</v>
      </c>
      <c r="B4280" s="2">
        <v>6.29</v>
      </c>
      <c r="C4280" s="2">
        <v>3.87</v>
      </c>
      <c r="D4280" s="2">
        <v>5.3</v>
      </c>
      <c r="E4280" s="2">
        <v>5.1999999999999993</v>
      </c>
      <c r="F4280" s="2">
        <v>3.1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</row>
    <row r="4281" spans="1:11" x14ac:dyDescent="0.2">
      <c r="A4281" s="1">
        <v>0.97152777777777799</v>
      </c>
      <c r="B4281" s="2">
        <v>6.23</v>
      </c>
      <c r="C4281" s="2">
        <v>3.73</v>
      </c>
      <c r="D4281" s="2">
        <v>4.9799999999999995</v>
      </c>
      <c r="E4281" s="2">
        <v>5.6199999999999992</v>
      </c>
      <c r="F4281" s="2">
        <v>2.9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</row>
    <row r="4282" spans="1:11" x14ac:dyDescent="0.2">
      <c r="A4282" s="1">
        <v>0.97222222222222199</v>
      </c>
      <c r="B4282" s="2">
        <v>6.29</v>
      </c>
      <c r="C4282" s="2">
        <v>3.89</v>
      </c>
      <c r="D4282" s="2">
        <v>5.22</v>
      </c>
      <c r="E4282" s="2">
        <v>5.64</v>
      </c>
      <c r="F4282" s="2">
        <v>2.95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</row>
    <row r="4283" spans="1:11" x14ac:dyDescent="0.2">
      <c r="A4283" s="1">
        <v>0.97291666666666698</v>
      </c>
      <c r="B4283" s="2">
        <v>6.16</v>
      </c>
      <c r="C4283" s="2">
        <v>3.87</v>
      </c>
      <c r="D4283" s="2">
        <v>4.96</v>
      </c>
      <c r="E4283" s="2">
        <v>5.17</v>
      </c>
      <c r="F4283" s="2">
        <v>3.37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</row>
    <row r="4284" spans="1:11" x14ac:dyDescent="0.2">
      <c r="A4284" s="1">
        <v>0.97361111111111098</v>
      </c>
      <c r="B4284" s="2">
        <v>6.34</v>
      </c>
      <c r="C4284" s="2">
        <v>3.73</v>
      </c>
      <c r="D4284" s="2">
        <v>5.38</v>
      </c>
      <c r="E4284" s="2">
        <v>5.46</v>
      </c>
      <c r="F4284" s="2">
        <v>3.13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</row>
    <row r="4285" spans="1:11" x14ac:dyDescent="0.2">
      <c r="A4285" s="1">
        <v>0.97430555555555598</v>
      </c>
      <c r="B4285" s="2">
        <v>6.19</v>
      </c>
      <c r="C4285" s="2">
        <v>3.7800000000000002</v>
      </c>
      <c r="D4285" s="2">
        <v>5.26</v>
      </c>
      <c r="E4285" s="2">
        <v>5.6999999999999993</v>
      </c>
      <c r="F4285" s="2">
        <v>3.16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</row>
    <row r="4286" spans="1:11" x14ac:dyDescent="0.2">
      <c r="A4286" s="1">
        <v>0.97499999999999998</v>
      </c>
      <c r="B4286" s="2">
        <v>6.16</v>
      </c>
      <c r="C4286" s="2">
        <v>3.8400000000000003</v>
      </c>
      <c r="D4286" s="2">
        <v>4.96</v>
      </c>
      <c r="E4286" s="2">
        <v>5.6</v>
      </c>
      <c r="F4286" s="2">
        <v>3.37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</row>
    <row r="4287" spans="1:11" x14ac:dyDescent="0.2">
      <c r="A4287" s="1">
        <v>0.97569444444444497</v>
      </c>
      <c r="B4287" s="2">
        <v>6.33</v>
      </c>
      <c r="C4287" s="2">
        <v>3.81</v>
      </c>
      <c r="D4287" s="2">
        <v>5.16</v>
      </c>
      <c r="E4287" s="2">
        <v>5.4799999999999995</v>
      </c>
      <c r="F4287" s="2">
        <v>3.41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</row>
    <row r="4288" spans="1:11" x14ac:dyDescent="0.2">
      <c r="A4288" s="1">
        <v>0.97638888888888897</v>
      </c>
      <c r="B4288" s="2">
        <v>6.3100000000000005</v>
      </c>
      <c r="C4288" s="2">
        <v>3.8200000000000003</v>
      </c>
      <c r="D4288" s="2">
        <v>5.0999999999999996</v>
      </c>
      <c r="E4288" s="2">
        <v>5.3999999999999995</v>
      </c>
      <c r="F4288" s="2">
        <v>2.95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</row>
    <row r="4289" spans="1:11" x14ac:dyDescent="0.2">
      <c r="A4289" s="1">
        <v>0.97708333333333297</v>
      </c>
      <c r="B4289" s="2">
        <v>6.21</v>
      </c>
      <c r="C4289" s="2">
        <v>3.8800000000000003</v>
      </c>
      <c r="D4289" s="2">
        <v>5.27</v>
      </c>
      <c r="E4289" s="2">
        <v>5.4399999999999995</v>
      </c>
      <c r="F4289" s="2">
        <v>2.96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</row>
    <row r="4290" spans="1:11" x14ac:dyDescent="0.2">
      <c r="A4290" s="1">
        <v>0.97777777777777797</v>
      </c>
      <c r="B4290" s="2">
        <v>6.33</v>
      </c>
      <c r="C4290" s="2">
        <v>3.89</v>
      </c>
      <c r="D4290" s="2">
        <v>5.04</v>
      </c>
      <c r="E4290" s="2">
        <v>5.2399999999999993</v>
      </c>
      <c r="F4290" s="2">
        <v>3.2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</row>
    <row r="4291" spans="1:11" x14ac:dyDescent="0.2">
      <c r="A4291" s="1">
        <v>0.97847222222222197</v>
      </c>
      <c r="B4291" s="2">
        <v>6.18</v>
      </c>
      <c r="C4291" s="2">
        <v>3.8600000000000003</v>
      </c>
      <c r="D4291" s="2">
        <v>5.1999999999999993</v>
      </c>
      <c r="E4291" s="2">
        <v>5.56</v>
      </c>
      <c r="F4291" s="2">
        <v>3.23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</row>
    <row r="4292" spans="1:11" x14ac:dyDescent="0.2">
      <c r="A4292" s="1">
        <v>0.97916666666666696</v>
      </c>
      <c r="B4292" s="2">
        <v>6.26</v>
      </c>
      <c r="C4292" s="2">
        <v>3.7</v>
      </c>
      <c r="D4292" s="2">
        <v>5.2399999999999993</v>
      </c>
      <c r="E4292" s="2">
        <v>5.6999999999999993</v>
      </c>
      <c r="F4292" s="2">
        <v>3.1500000000000004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</row>
    <row r="4293" spans="1:11" x14ac:dyDescent="0.2">
      <c r="A4293" s="1">
        <v>0.97986111111111096</v>
      </c>
      <c r="B4293" s="2">
        <v>6.16</v>
      </c>
      <c r="C4293" s="2">
        <v>3.92</v>
      </c>
      <c r="D4293" s="2">
        <v>5.1999999999999993</v>
      </c>
      <c r="E4293" s="2">
        <v>5.1499999999999995</v>
      </c>
      <c r="F4293" s="2">
        <v>3.0500000000000003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</row>
    <row r="4294" spans="1:11" x14ac:dyDescent="0.2">
      <c r="A4294" s="1">
        <v>0.98055555555555596</v>
      </c>
      <c r="B4294" s="2">
        <v>6.13</v>
      </c>
      <c r="C4294" s="2">
        <v>3.92</v>
      </c>
      <c r="D4294" s="2">
        <v>5.33</v>
      </c>
      <c r="E4294" s="2">
        <v>5.76</v>
      </c>
      <c r="F4294" s="2">
        <v>3.12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</row>
    <row r="4295" spans="1:11" x14ac:dyDescent="0.2">
      <c r="A4295" s="1">
        <v>0.98124999999999996</v>
      </c>
      <c r="B4295" s="2">
        <v>6.33</v>
      </c>
      <c r="C4295" s="2">
        <v>3.91</v>
      </c>
      <c r="D4295" s="2">
        <v>5.29</v>
      </c>
      <c r="E4295" s="2">
        <v>5.1599999999999993</v>
      </c>
      <c r="F4295" s="2">
        <v>3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</row>
    <row r="4296" spans="1:11" x14ac:dyDescent="0.2">
      <c r="A4296" s="1">
        <v>0.98194444444444495</v>
      </c>
      <c r="B4296" s="2">
        <v>6.2</v>
      </c>
      <c r="C4296" s="2">
        <v>3.74</v>
      </c>
      <c r="D4296" s="2">
        <v>5.33</v>
      </c>
      <c r="E4296" s="2">
        <v>5.6</v>
      </c>
      <c r="F4296" s="2">
        <v>3.2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</row>
    <row r="4297" spans="1:11" x14ac:dyDescent="0.2">
      <c r="A4297" s="1">
        <v>0.98263888888888895</v>
      </c>
      <c r="B4297" s="2">
        <v>6.26</v>
      </c>
      <c r="C4297" s="2">
        <v>3.87</v>
      </c>
      <c r="D4297" s="2">
        <v>4.9899999999999993</v>
      </c>
      <c r="E4297" s="2">
        <v>5.4799999999999995</v>
      </c>
      <c r="F4297" s="2">
        <v>3.3400000000000003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</row>
    <row r="4298" spans="1:11" x14ac:dyDescent="0.2">
      <c r="A4298" s="1">
        <v>0.98333333333333295</v>
      </c>
      <c r="B4298" s="2">
        <v>6.15</v>
      </c>
      <c r="C4298" s="2">
        <v>3.9400000000000004</v>
      </c>
      <c r="D4298" s="2">
        <v>5.3599999999999994</v>
      </c>
      <c r="E4298" s="2">
        <v>5.5</v>
      </c>
      <c r="F4298" s="2">
        <v>3.18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</row>
    <row r="4299" spans="1:11" x14ac:dyDescent="0.2">
      <c r="A4299" s="1">
        <v>0.98402777777777795</v>
      </c>
      <c r="B4299" s="2">
        <v>6.18</v>
      </c>
      <c r="C4299" s="2">
        <v>3.74</v>
      </c>
      <c r="D4299" s="2">
        <v>5.0299999999999994</v>
      </c>
      <c r="E4299" s="2">
        <v>5.3</v>
      </c>
      <c r="F4299" s="2">
        <v>3.33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</row>
    <row r="4300" spans="1:11" x14ac:dyDescent="0.2">
      <c r="A4300" s="1">
        <v>0.98472222222222205</v>
      </c>
      <c r="B4300" s="2">
        <v>6.22</v>
      </c>
      <c r="C4300" s="2">
        <v>3.75</v>
      </c>
      <c r="D4300" s="2">
        <v>5.21</v>
      </c>
      <c r="E4300" s="2">
        <v>5.2799999999999994</v>
      </c>
      <c r="F4300" s="2">
        <v>2.93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</row>
    <row r="4301" spans="1:11" x14ac:dyDescent="0.2">
      <c r="A4301" s="1">
        <v>0.98541666666666705</v>
      </c>
      <c r="B4301" s="2">
        <v>6.25</v>
      </c>
      <c r="C4301" s="2">
        <v>3.95</v>
      </c>
      <c r="D4301" s="2">
        <v>5.17</v>
      </c>
      <c r="E4301" s="2">
        <v>5.63</v>
      </c>
      <c r="F4301" s="2">
        <v>3.18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</row>
    <row r="4302" spans="1:11" x14ac:dyDescent="0.2">
      <c r="A4302" s="1">
        <v>0.98611111111111105</v>
      </c>
      <c r="B4302" s="2">
        <v>6.32</v>
      </c>
      <c r="C4302" s="2">
        <v>3.73</v>
      </c>
      <c r="D4302" s="2">
        <v>5.0299999999999994</v>
      </c>
      <c r="E4302" s="2">
        <v>5.6999999999999993</v>
      </c>
      <c r="F4302" s="2">
        <v>2.98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</row>
    <row r="4303" spans="1:11" x14ac:dyDescent="0.2">
      <c r="A4303" s="1">
        <v>0.98680555555555605</v>
      </c>
      <c r="B4303" s="2">
        <v>6.33</v>
      </c>
      <c r="C4303" s="2">
        <v>3.87</v>
      </c>
      <c r="D4303" s="2">
        <v>5.0299999999999994</v>
      </c>
      <c r="E4303" s="2">
        <v>5.64</v>
      </c>
      <c r="F4303" s="2">
        <v>2.91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</row>
    <row r="4304" spans="1:11" x14ac:dyDescent="0.2">
      <c r="A4304" s="1">
        <v>0.98750000000000004</v>
      </c>
      <c r="B4304" s="2">
        <v>6.13</v>
      </c>
      <c r="C4304" s="2">
        <v>3.93</v>
      </c>
      <c r="D4304" s="2">
        <v>5.2299999999999995</v>
      </c>
      <c r="E4304" s="2">
        <v>5.66</v>
      </c>
      <c r="F4304" s="2">
        <v>3.1100000000000003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</row>
    <row r="4305" spans="1:11" x14ac:dyDescent="0.2">
      <c r="A4305" s="1">
        <v>0.98819444444444404</v>
      </c>
      <c r="B4305" s="2">
        <v>6.21</v>
      </c>
      <c r="C4305" s="2">
        <v>3.81</v>
      </c>
      <c r="D4305" s="2">
        <v>5.1899999999999995</v>
      </c>
      <c r="E4305" s="2">
        <v>5.1899999999999995</v>
      </c>
      <c r="F4305" s="2">
        <v>3.35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</row>
    <row r="4306" spans="1:11" x14ac:dyDescent="0.2">
      <c r="A4306" s="1">
        <v>0.98888888888888904</v>
      </c>
      <c r="B4306" s="2">
        <v>6.37</v>
      </c>
      <c r="C4306" s="2">
        <v>3.9000000000000004</v>
      </c>
      <c r="D4306" s="2">
        <v>5.35</v>
      </c>
      <c r="E4306" s="2">
        <v>5.76</v>
      </c>
      <c r="F4306" s="2">
        <v>3.14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</row>
    <row r="4307" spans="1:11" x14ac:dyDescent="0.2">
      <c r="A4307" s="1">
        <v>0.98958333333333304</v>
      </c>
      <c r="B4307" s="2">
        <v>6.21</v>
      </c>
      <c r="C4307" s="2">
        <v>3.8600000000000003</v>
      </c>
      <c r="D4307" s="2">
        <v>5.0999999999999996</v>
      </c>
      <c r="E4307" s="2">
        <v>5.34</v>
      </c>
      <c r="F4307" s="2">
        <v>3.25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</row>
    <row r="4308" spans="1:11" x14ac:dyDescent="0.2">
      <c r="A4308" s="1">
        <v>0.99027777777777803</v>
      </c>
      <c r="B4308" s="2">
        <v>6.21</v>
      </c>
      <c r="C4308" s="2">
        <v>3.8800000000000003</v>
      </c>
      <c r="D4308" s="2">
        <v>5.08</v>
      </c>
      <c r="E4308" s="2">
        <v>5.75</v>
      </c>
      <c r="F4308" s="2">
        <v>2.97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</row>
    <row r="4309" spans="1:11" x14ac:dyDescent="0.2">
      <c r="A4309" s="1">
        <v>0.99097222222222203</v>
      </c>
      <c r="B4309" s="2">
        <v>6.37</v>
      </c>
      <c r="C4309" s="2">
        <v>3.73</v>
      </c>
      <c r="D4309" s="2">
        <v>5.0299999999999994</v>
      </c>
      <c r="E4309" s="2">
        <v>5.4799999999999995</v>
      </c>
      <c r="F4309" s="2">
        <v>3.41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</row>
    <row r="4310" spans="1:11" x14ac:dyDescent="0.2">
      <c r="A4310" s="1">
        <v>0.99166666666666703</v>
      </c>
      <c r="B4310" s="2">
        <v>6.34</v>
      </c>
      <c r="C4310" s="2">
        <v>3.8000000000000003</v>
      </c>
      <c r="D4310" s="2">
        <v>5.26</v>
      </c>
      <c r="E4310" s="2">
        <v>5.33</v>
      </c>
      <c r="F4310" s="2">
        <v>3.13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</row>
    <row r="4311" spans="1:11" x14ac:dyDescent="0.2">
      <c r="A4311" s="1">
        <v>0.99236111111111103</v>
      </c>
      <c r="B4311" s="2">
        <v>6.36</v>
      </c>
      <c r="C4311" s="2">
        <v>3.87</v>
      </c>
      <c r="D4311" s="2">
        <v>5.16</v>
      </c>
      <c r="E4311" s="2">
        <v>5.4799999999999995</v>
      </c>
      <c r="F4311" s="2">
        <v>2.9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</row>
    <row r="4312" spans="1:11" x14ac:dyDescent="0.2">
      <c r="A4312" s="1">
        <v>0.99305555555555602</v>
      </c>
      <c r="B4312" s="2">
        <v>6.2</v>
      </c>
      <c r="C4312" s="2">
        <v>3.7</v>
      </c>
      <c r="D4312" s="2">
        <v>5.21</v>
      </c>
      <c r="E4312" s="2">
        <v>5.55</v>
      </c>
      <c r="F4312" s="2">
        <v>3.1500000000000004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</row>
    <row r="4313" spans="1:11" x14ac:dyDescent="0.2">
      <c r="A4313" s="1">
        <v>0.99375000000000002</v>
      </c>
      <c r="B4313" s="2">
        <v>6.22</v>
      </c>
      <c r="C4313" s="2">
        <v>3.92</v>
      </c>
      <c r="D4313" s="2">
        <v>5.3699999999999992</v>
      </c>
      <c r="E4313" s="2">
        <v>5.6099999999999994</v>
      </c>
      <c r="F4313" s="2">
        <v>2.92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</row>
    <row r="4314" spans="1:11" x14ac:dyDescent="0.2">
      <c r="A4314" s="1">
        <v>0.99444444444444402</v>
      </c>
      <c r="B4314" s="2">
        <v>6.13</v>
      </c>
      <c r="C4314" s="2">
        <v>3.7800000000000002</v>
      </c>
      <c r="D4314" s="2">
        <v>5.1999999999999993</v>
      </c>
      <c r="E4314" s="2">
        <v>5.26</v>
      </c>
      <c r="F4314" s="2">
        <v>2.99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</row>
    <row r="4315" spans="1:11" x14ac:dyDescent="0.2">
      <c r="A4315" s="1">
        <v>0.99513888888888902</v>
      </c>
      <c r="B4315" s="2">
        <v>6.17</v>
      </c>
      <c r="C4315" s="2">
        <v>3.71</v>
      </c>
      <c r="D4315" s="2">
        <v>5.14</v>
      </c>
      <c r="E4315" s="2">
        <v>5.6</v>
      </c>
      <c r="F4315" s="2">
        <v>3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</row>
    <row r="4316" spans="1:11" x14ac:dyDescent="0.2">
      <c r="A4316" s="1">
        <v>0.99583333333333302</v>
      </c>
      <c r="B4316" s="2">
        <v>6.18</v>
      </c>
      <c r="C4316" s="2">
        <v>3.72</v>
      </c>
      <c r="D4316" s="2">
        <v>4.93</v>
      </c>
      <c r="E4316" s="2">
        <v>5.63</v>
      </c>
      <c r="F4316" s="2">
        <v>2.97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</row>
    <row r="4317" spans="1:11" x14ac:dyDescent="0.2">
      <c r="A4317" s="1">
        <v>0.99652777777777801</v>
      </c>
      <c r="B4317" s="2">
        <v>6.3</v>
      </c>
      <c r="C4317" s="2">
        <v>3.8800000000000003</v>
      </c>
      <c r="D4317" s="2">
        <v>5.3</v>
      </c>
      <c r="E4317" s="2">
        <v>5.5</v>
      </c>
      <c r="F4317" s="2">
        <v>3.29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</row>
    <row r="4318" spans="1:11" x14ac:dyDescent="0.2">
      <c r="A4318" s="1">
        <v>0.99722222222222201</v>
      </c>
      <c r="B4318" s="2">
        <v>6.16</v>
      </c>
      <c r="C4318" s="2">
        <v>3.81</v>
      </c>
      <c r="D4318" s="2">
        <v>5.2399999999999993</v>
      </c>
      <c r="E4318" s="2">
        <v>5.31</v>
      </c>
      <c r="F4318" s="2">
        <v>3.0100000000000002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</row>
    <row r="4319" spans="1:11" x14ac:dyDescent="0.2">
      <c r="A4319" s="1">
        <v>0.99791666666666701</v>
      </c>
      <c r="B4319" s="2">
        <v>6.34</v>
      </c>
      <c r="C4319" s="2">
        <v>3.91</v>
      </c>
      <c r="D4319" s="2">
        <v>5.16</v>
      </c>
      <c r="E4319" s="2">
        <v>5.75</v>
      </c>
      <c r="F4319" s="2">
        <v>3.31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</row>
    <row r="4320" spans="1:11" x14ac:dyDescent="0.2">
      <c r="A4320" s="1">
        <v>0.99861111111111101</v>
      </c>
      <c r="B4320" s="2">
        <v>6.23</v>
      </c>
      <c r="C4320" s="2">
        <v>3.77</v>
      </c>
      <c r="D4320" s="2">
        <v>5.09</v>
      </c>
      <c r="E4320" s="2">
        <v>5.7399999999999993</v>
      </c>
      <c r="F4320" s="2">
        <v>3.1100000000000003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</row>
    <row r="4321" spans="1:11" x14ac:dyDescent="0.2">
      <c r="A4321" s="1">
        <v>0.999305555555556</v>
      </c>
      <c r="B4321" s="2">
        <v>6.12</v>
      </c>
      <c r="C4321" s="2">
        <v>3.85</v>
      </c>
      <c r="D4321" s="2">
        <v>5.3199999999999994</v>
      </c>
      <c r="E4321" s="2">
        <v>5.68</v>
      </c>
      <c r="F4321" s="2">
        <v>2.9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</row>
  </sheetData>
  <sortState xmlns:xlrd2="http://schemas.microsoft.com/office/spreadsheetml/2017/richdata2" ref="K2553:K2561">
    <sortCondition descending="1" ref="K2553:K256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2024-09-15T06:52:30Z</dcterms:created>
  <dcterms:modified xsi:type="dcterms:W3CDTF">2024-09-22T16:23:27Z</dcterms:modified>
</cp:coreProperties>
</file>