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实验室\传感器物联网\0915\"/>
    </mc:Choice>
  </mc:AlternateContent>
  <xr:revisionPtr revIDLastSave="0" documentId="13_ncr:1_{1A53C3CF-D72C-4BC7-B01A-70E447970155}" xr6:coauthVersionLast="36" xr6:coauthVersionMax="47" xr10:uidLastSave="{00000000-0000-0000-0000-000000000000}"/>
  <bookViews>
    <workbookView xWindow="-120" yWindow="-120" windowWidth="38640" windowHeight="21840" activeTab="1" xr2:uid="{21614651-695F-42C5-A05A-888244EAE10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" i="2" l="1"/>
  <c r="AF1" i="2"/>
  <c r="Y1345" i="2"/>
  <c r="X1345" i="2"/>
  <c r="W1345" i="2"/>
  <c r="V1345" i="2"/>
  <c r="U1345" i="2"/>
  <c r="AE1345" i="2" s="1"/>
  <c r="T1345" i="2"/>
  <c r="AD1345" i="2" s="1"/>
  <c r="S1345" i="2"/>
  <c r="AC1345" i="2" s="1"/>
  <c r="R1345" i="2"/>
  <c r="AB1345" i="2" s="1"/>
  <c r="Q1345" i="2"/>
  <c r="AA1345" i="2" s="1"/>
  <c r="P1345" i="2"/>
  <c r="Z1345" i="2" s="1"/>
  <c r="O1345" i="2"/>
  <c r="N1345" i="2"/>
  <c r="M1345" i="2"/>
  <c r="L1345" i="2"/>
  <c r="AC1344" i="2"/>
  <c r="AB1344" i="2"/>
  <c r="AA1344" i="2"/>
  <c r="Z1344" i="2"/>
  <c r="Y1344" i="2"/>
  <c r="X1344" i="2"/>
  <c r="W1344" i="2"/>
  <c r="V1344" i="2"/>
  <c r="U1344" i="2"/>
  <c r="AE1344" i="2" s="1"/>
  <c r="T1344" i="2"/>
  <c r="AD1344" i="2" s="1"/>
  <c r="S1344" i="2"/>
  <c r="R1344" i="2"/>
  <c r="Q1344" i="2"/>
  <c r="P1344" i="2"/>
  <c r="O1344" i="2"/>
  <c r="N1344" i="2"/>
  <c r="M1344" i="2"/>
  <c r="L1344" i="2"/>
  <c r="AE1343" i="2"/>
  <c r="AD1343" i="2"/>
  <c r="AC1343" i="2"/>
  <c r="AB1343" i="2"/>
  <c r="AA1343" i="2"/>
  <c r="Z1343" i="2"/>
  <c r="Y1343" i="2"/>
  <c r="X1343" i="2"/>
  <c r="U1343" i="2"/>
  <c r="T1343" i="2"/>
  <c r="S1343" i="2"/>
  <c r="R1343" i="2"/>
  <c r="Q1343" i="2"/>
  <c r="P1343" i="2"/>
  <c r="O1343" i="2"/>
  <c r="N1343" i="2"/>
  <c r="M1343" i="2"/>
  <c r="W1343" i="2" s="1"/>
  <c r="L1343" i="2"/>
  <c r="V1343" i="2" s="1"/>
  <c r="AE1342" i="2"/>
  <c r="AD1342" i="2"/>
  <c r="AC1342" i="2"/>
  <c r="AB1342" i="2"/>
  <c r="U1342" i="2"/>
  <c r="T1342" i="2"/>
  <c r="S1342" i="2"/>
  <c r="R1342" i="2"/>
  <c r="Q1342" i="2"/>
  <c r="AA1342" i="2" s="1"/>
  <c r="P1342" i="2"/>
  <c r="Z1342" i="2" s="1"/>
  <c r="O1342" i="2"/>
  <c r="Y1342" i="2" s="1"/>
  <c r="N1342" i="2"/>
  <c r="X1342" i="2" s="1"/>
  <c r="M1342" i="2"/>
  <c r="W1342" i="2" s="1"/>
  <c r="L1342" i="2"/>
  <c r="V1342" i="2" s="1"/>
  <c r="Y1341" i="2"/>
  <c r="X1341" i="2"/>
  <c r="W1341" i="2"/>
  <c r="V1341" i="2"/>
  <c r="U1341" i="2"/>
  <c r="AE1341" i="2" s="1"/>
  <c r="T1341" i="2"/>
  <c r="AD1341" i="2" s="1"/>
  <c r="S1341" i="2"/>
  <c r="AC1341" i="2" s="1"/>
  <c r="R1341" i="2"/>
  <c r="AB1341" i="2" s="1"/>
  <c r="Q1341" i="2"/>
  <c r="AA1341" i="2" s="1"/>
  <c r="P1341" i="2"/>
  <c r="Z1341" i="2" s="1"/>
  <c r="O1341" i="2"/>
  <c r="N1341" i="2"/>
  <c r="M1341" i="2"/>
  <c r="L1341" i="2"/>
  <c r="AC1340" i="2"/>
  <c r="AB1340" i="2"/>
  <c r="AA1340" i="2"/>
  <c r="Z1340" i="2"/>
  <c r="Y1340" i="2"/>
  <c r="X1340" i="2"/>
  <c r="W1340" i="2"/>
  <c r="V1340" i="2"/>
  <c r="U1340" i="2"/>
  <c r="AE1340" i="2" s="1"/>
  <c r="T1340" i="2"/>
  <c r="AD1340" i="2" s="1"/>
  <c r="S1340" i="2"/>
  <c r="R1340" i="2"/>
  <c r="Q1340" i="2"/>
  <c r="P1340" i="2"/>
  <c r="O1340" i="2"/>
  <c r="N1340" i="2"/>
  <c r="M1340" i="2"/>
  <c r="L1340" i="2"/>
  <c r="AE1339" i="2"/>
  <c r="AD1339" i="2"/>
  <c r="AC1339" i="2"/>
  <c r="AB1339" i="2"/>
  <c r="AA1339" i="2"/>
  <c r="Z1339" i="2"/>
  <c r="Y1339" i="2"/>
  <c r="X1339" i="2"/>
  <c r="U1339" i="2"/>
  <c r="T1339" i="2"/>
  <c r="S1339" i="2"/>
  <c r="R1339" i="2"/>
  <c r="Q1339" i="2"/>
  <c r="P1339" i="2"/>
  <c r="O1339" i="2"/>
  <c r="N1339" i="2"/>
  <c r="M1339" i="2"/>
  <c r="W1339" i="2" s="1"/>
  <c r="L1339" i="2"/>
  <c r="V1339" i="2" s="1"/>
  <c r="AE1338" i="2"/>
  <c r="AD1338" i="2"/>
  <c r="AC1338" i="2"/>
  <c r="AB1338" i="2"/>
  <c r="U1338" i="2"/>
  <c r="T1338" i="2"/>
  <c r="S1338" i="2"/>
  <c r="R1338" i="2"/>
  <c r="Q1338" i="2"/>
  <c r="AA1338" i="2" s="1"/>
  <c r="P1338" i="2"/>
  <c r="Z1338" i="2" s="1"/>
  <c r="O1338" i="2"/>
  <c r="Y1338" i="2" s="1"/>
  <c r="N1338" i="2"/>
  <c r="X1338" i="2" s="1"/>
  <c r="M1338" i="2"/>
  <c r="W1338" i="2" s="1"/>
  <c r="L1338" i="2"/>
  <c r="V1338" i="2" s="1"/>
  <c r="Y1337" i="2"/>
  <c r="X1337" i="2"/>
  <c r="W1337" i="2"/>
  <c r="V1337" i="2"/>
  <c r="U1337" i="2"/>
  <c r="AE1337" i="2" s="1"/>
  <c r="T1337" i="2"/>
  <c r="AD1337" i="2" s="1"/>
  <c r="S1337" i="2"/>
  <c r="AC1337" i="2" s="1"/>
  <c r="R1337" i="2"/>
  <c r="AB1337" i="2" s="1"/>
  <c r="Q1337" i="2"/>
  <c r="AA1337" i="2" s="1"/>
  <c r="P1337" i="2"/>
  <c r="Z1337" i="2" s="1"/>
  <c r="O1337" i="2"/>
  <c r="N1337" i="2"/>
  <c r="M1337" i="2"/>
  <c r="L1337" i="2"/>
  <c r="AC1336" i="2"/>
  <c r="AB1336" i="2"/>
  <c r="AA1336" i="2"/>
  <c r="Z1336" i="2"/>
  <c r="Y1336" i="2"/>
  <c r="X1336" i="2"/>
  <c r="W1336" i="2"/>
  <c r="V1336" i="2"/>
  <c r="U1336" i="2"/>
  <c r="AE1336" i="2" s="1"/>
  <c r="T1336" i="2"/>
  <c r="AD1336" i="2" s="1"/>
  <c r="S1336" i="2"/>
  <c r="R1336" i="2"/>
  <c r="Q1336" i="2"/>
  <c r="P1336" i="2"/>
  <c r="O1336" i="2"/>
  <c r="N1336" i="2"/>
  <c r="M1336" i="2"/>
  <c r="L1336" i="2"/>
  <c r="AE1335" i="2"/>
  <c r="AD1335" i="2"/>
  <c r="AC1335" i="2"/>
  <c r="AB1335" i="2"/>
  <c r="AA1335" i="2"/>
  <c r="Z1335" i="2"/>
  <c r="Y1335" i="2"/>
  <c r="X1335" i="2"/>
  <c r="U1335" i="2"/>
  <c r="T1335" i="2"/>
  <c r="S1335" i="2"/>
  <c r="R1335" i="2"/>
  <c r="Q1335" i="2"/>
  <c r="P1335" i="2"/>
  <c r="O1335" i="2"/>
  <c r="N1335" i="2"/>
  <c r="M1335" i="2"/>
  <c r="W1335" i="2" s="1"/>
  <c r="L1335" i="2"/>
  <c r="V1335" i="2" s="1"/>
  <c r="AE1334" i="2"/>
  <c r="AD1334" i="2"/>
  <c r="AC1334" i="2"/>
  <c r="AB1334" i="2"/>
  <c r="U1334" i="2"/>
  <c r="T1334" i="2"/>
  <c r="S1334" i="2"/>
  <c r="R1334" i="2"/>
  <c r="Q1334" i="2"/>
  <c r="AA1334" i="2" s="1"/>
  <c r="P1334" i="2"/>
  <c r="Z1334" i="2" s="1"/>
  <c r="O1334" i="2"/>
  <c r="Y1334" i="2" s="1"/>
  <c r="N1334" i="2"/>
  <c r="X1334" i="2" s="1"/>
  <c r="M1334" i="2"/>
  <c r="W1334" i="2" s="1"/>
  <c r="L1334" i="2"/>
  <c r="V1334" i="2" s="1"/>
  <c r="Y1333" i="2"/>
  <c r="X1333" i="2"/>
  <c r="W1333" i="2"/>
  <c r="V1333" i="2"/>
  <c r="U1333" i="2"/>
  <c r="AE1333" i="2" s="1"/>
  <c r="T1333" i="2"/>
  <c r="AD1333" i="2" s="1"/>
  <c r="S1333" i="2"/>
  <c r="AC1333" i="2" s="1"/>
  <c r="R1333" i="2"/>
  <c r="AB1333" i="2" s="1"/>
  <c r="Q1333" i="2"/>
  <c r="AA1333" i="2" s="1"/>
  <c r="P1333" i="2"/>
  <c r="Z1333" i="2" s="1"/>
  <c r="O1333" i="2"/>
  <c r="N1333" i="2"/>
  <c r="M1333" i="2"/>
  <c r="L1333" i="2"/>
  <c r="AC1332" i="2"/>
  <c r="AB1332" i="2"/>
  <c r="AA1332" i="2"/>
  <c r="Z1332" i="2"/>
  <c r="Y1332" i="2"/>
  <c r="X1332" i="2"/>
  <c r="W1332" i="2"/>
  <c r="V1332" i="2"/>
  <c r="U1332" i="2"/>
  <c r="AE1332" i="2" s="1"/>
  <c r="T1332" i="2"/>
  <c r="AD1332" i="2" s="1"/>
  <c r="S1332" i="2"/>
  <c r="R1332" i="2"/>
  <c r="Q1332" i="2"/>
  <c r="P1332" i="2"/>
  <c r="O1332" i="2"/>
  <c r="N1332" i="2"/>
  <c r="M1332" i="2"/>
  <c r="L1332" i="2"/>
  <c r="AE1331" i="2"/>
  <c r="AD1331" i="2"/>
  <c r="AC1331" i="2"/>
  <c r="AB1331" i="2"/>
  <c r="AA1331" i="2"/>
  <c r="Z1331" i="2"/>
  <c r="Y1331" i="2"/>
  <c r="X1331" i="2"/>
  <c r="U1331" i="2"/>
  <c r="T1331" i="2"/>
  <c r="S1331" i="2"/>
  <c r="R1331" i="2"/>
  <c r="Q1331" i="2"/>
  <c r="P1331" i="2"/>
  <c r="O1331" i="2"/>
  <c r="N1331" i="2"/>
  <c r="M1331" i="2"/>
  <c r="W1331" i="2" s="1"/>
  <c r="L1331" i="2"/>
  <c r="V1331" i="2" s="1"/>
  <c r="AE1330" i="2"/>
  <c r="AD1330" i="2"/>
  <c r="AC1330" i="2"/>
  <c r="AB1330" i="2"/>
  <c r="U1330" i="2"/>
  <c r="T1330" i="2"/>
  <c r="S1330" i="2"/>
  <c r="R1330" i="2"/>
  <c r="Q1330" i="2"/>
  <c r="AA1330" i="2" s="1"/>
  <c r="P1330" i="2"/>
  <c r="Z1330" i="2" s="1"/>
  <c r="O1330" i="2"/>
  <c r="Y1330" i="2" s="1"/>
  <c r="N1330" i="2"/>
  <c r="X1330" i="2" s="1"/>
  <c r="M1330" i="2"/>
  <c r="W1330" i="2" s="1"/>
  <c r="L1330" i="2"/>
  <c r="V1330" i="2" s="1"/>
  <c r="Y1329" i="2"/>
  <c r="X1329" i="2"/>
  <c r="W1329" i="2"/>
  <c r="V1329" i="2"/>
  <c r="U1329" i="2"/>
  <c r="AE1329" i="2" s="1"/>
  <c r="T1329" i="2"/>
  <c r="AD1329" i="2" s="1"/>
  <c r="S1329" i="2"/>
  <c r="AC1329" i="2" s="1"/>
  <c r="R1329" i="2"/>
  <c r="AB1329" i="2" s="1"/>
  <c r="Q1329" i="2"/>
  <c r="AA1329" i="2" s="1"/>
  <c r="P1329" i="2"/>
  <c r="Z1329" i="2" s="1"/>
  <c r="O1329" i="2"/>
  <c r="N1329" i="2"/>
  <c r="M1329" i="2"/>
  <c r="L1329" i="2"/>
  <c r="AC1328" i="2"/>
  <c r="AB1328" i="2"/>
  <c r="AA1328" i="2"/>
  <c r="Z1328" i="2"/>
  <c r="Y1328" i="2"/>
  <c r="X1328" i="2"/>
  <c r="W1328" i="2"/>
  <c r="V1328" i="2"/>
  <c r="U1328" i="2"/>
  <c r="AE1328" i="2" s="1"/>
  <c r="T1328" i="2"/>
  <c r="AD1328" i="2" s="1"/>
  <c r="S1328" i="2"/>
  <c r="R1328" i="2"/>
  <c r="Q1328" i="2"/>
  <c r="P1328" i="2"/>
  <c r="O1328" i="2"/>
  <c r="N1328" i="2"/>
  <c r="M1328" i="2"/>
  <c r="L1328" i="2"/>
  <c r="AE1327" i="2"/>
  <c r="AD1327" i="2"/>
  <c r="AC1327" i="2"/>
  <c r="AB1327" i="2"/>
  <c r="AA1327" i="2"/>
  <c r="Z1327" i="2"/>
  <c r="Y1327" i="2"/>
  <c r="X1327" i="2"/>
  <c r="U1327" i="2"/>
  <c r="T1327" i="2"/>
  <c r="S1327" i="2"/>
  <c r="R1327" i="2"/>
  <c r="Q1327" i="2"/>
  <c r="P1327" i="2"/>
  <c r="O1327" i="2"/>
  <c r="N1327" i="2"/>
  <c r="M1327" i="2"/>
  <c r="W1327" i="2" s="1"/>
  <c r="L1327" i="2"/>
  <c r="V1327" i="2" s="1"/>
  <c r="AE1326" i="2"/>
  <c r="AD1326" i="2"/>
  <c r="AC1326" i="2"/>
  <c r="AB1326" i="2"/>
  <c r="U1326" i="2"/>
  <c r="T1326" i="2"/>
  <c r="S1326" i="2"/>
  <c r="R1326" i="2"/>
  <c r="Q1326" i="2"/>
  <c r="AA1326" i="2" s="1"/>
  <c r="P1326" i="2"/>
  <c r="Z1326" i="2" s="1"/>
  <c r="O1326" i="2"/>
  <c r="Y1326" i="2" s="1"/>
  <c r="N1326" i="2"/>
  <c r="X1326" i="2" s="1"/>
  <c r="M1326" i="2"/>
  <c r="W1326" i="2" s="1"/>
  <c r="L1326" i="2"/>
  <c r="V1326" i="2" s="1"/>
  <c r="Y1325" i="2"/>
  <c r="X1325" i="2"/>
  <c r="W1325" i="2"/>
  <c r="V1325" i="2"/>
  <c r="U1325" i="2"/>
  <c r="AE1325" i="2" s="1"/>
  <c r="T1325" i="2"/>
  <c r="AD1325" i="2" s="1"/>
  <c r="S1325" i="2"/>
  <c r="AC1325" i="2" s="1"/>
  <c r="R1325" i="2"/>
  <c r="AB1325" i="2" s="1"/>
  <c r="Q1325" i="2"/>
  <c r="AA1325" i="2" s="1"/>
  <c r="P1325" i="2"/>
  <c r="Z1325" i="2" s="1"/>
  <c r="O1325" i="2"/>
  <c r="N1325" i="2"/>
  <c r="M1325" i="2"/>
  <c r="L1325" i="2"/>
  <c r="AC1324" i="2"/>
  <c r="AB1324" i="2"/>
  <c r="AA1324" i="2"/>
  <c r="Z1324" i="2"/>
  <c r="Y1324" i="2"/>
  <c r="X1324" i="2"/>
  <c r="W1324" i="2"/>
  <c r="V1324" i="2"/>
  <c r="U1324" i="2"/>
  <c r="AE1324" i="2" s="1"/>
  <c r="T1324" i="2"/>
  <c r="AD1324" i="2" s="1"/>
  <c r="S1324" i="2"/>
  <c r="R1324" i="2"/>
  <c r="Q1324" i="2"/>
  <c r="P1324" i="2"/>
  <c r="O1324" i="2"/>
  <c r="N1324" i="2"/>
  <c r="M1324" i="2"/>
  <c r="L1324" i="2"/>
  <c r="AE1323" i="2"/>
  <c r="AD1323" i="2"/>
  <c r="AC1323" i="2"/>
  <c r="AB1323" i="2"/>
  <c r="AA1323" i="2"/>
  <c r="Z1323" i="2"/>
  <c r="Y1323" i="2"/>
  <c r="X1323" i="2"/>
  <c r="U1323" i="2"/>
  <c r="T1323" i="2"/>
  <c r="S1323" i="2"/>
  <c r="R1323" i="2"/>
  <c r="Q1323" i="2"/>
  <c r="P1323" i="2"/>
  <c r="O1323" i="2"/>
  <c r="N1323" i="2"/>
  <c r="M1323" i="2"/>
  <c r="W1323" i="2" s="1"/>
  <c r="L1323" i="2"/>
  <c r="V1323" i="2" s="1"/>
  <c r="AE1322" i="2"/>
  <c r="AD1322" i="2"/>
  <c r="AC1322" i="2"/>
  <c r="AB1322" i="2"/>
  <c r="U1322" i="2"/>
  <c r="T1322" i="2"/>
  <c r="S1322" i="2"/>
  <c r="R1322" i="2"/>
  <c r="Q1322" i="2"/>
  <c r="AA1322" i="2" s="1"/>
  <c r="P1322" i="2"/>
  <c r="Z1322" i="2" s="1"/>
  <c r="O1322" i="2"/>
  <c r="Y1322" i="2" s="1"/>
  <c r="N1322" i="2"/>
  <c r="X1322" i="2" s="1"/>
  <c r="M1322" i="2"/>
  <c r="W1322" i="2" s="1"/>
  <c r="L1322" i="2"/>
  <c r="V1322" i="2" s="1"/>
  <c r="Y1321" i="2"/>
  <c r="X1321" i="2"/>
  <c r="W1321" i="2"/>
  <c r="V1321" i="2"/>
  <c r="U1321" i="2"/>
  <c r="AE1321" i="2" s="1"/>
  <c r="T1321" i="2"/>
  <c r="AD1321" i="2" s="1"/>
  <c r="S1321" i="2"/>
  <c r="AC1321" i="2" s="1"/>
  <c r="R1321" i="2"/>
  <c r="AB1321" i="2" s="1"/>
  <c r="Q1321" i="2"/>
  <c r="AA1321" i="2" s="1"/>
  <c r="P1321" i="2"/>
  <c r="Z1321" i="2" s="1"/>
  <c r="O1321" i="2"/>
  <c r="N1321" i="2"/>
  <c r="M1321" i="2"/>
  <c r="L1321" i="2"/>
  <c r="AC1320" i="2"/>
  <c r="AB1320" i="2"/>
  <c r="AA1320" i="2"/>
  <c r="Z1320" i="2"/>
  <c r="Y1320" i="2"/>
  <c r="X1320" i="2"/>
  <c r="W1320" i="2"/>
  <c r="V1320" i="2"/>
  <c r="U1320" i="2"/>
  <c r="AE1320" i="2" s="1"/>
  <c r="T1320" i="2"/>
  <c r="AD1320" i="2" s="1"/>
  <c r="S1320" i="2"/>
  <c r="R1320" i="2"/>
  <c r="Q1320" i="2"/>
  <c r="P1320" i="2"/>
  <c r="O1320" i="2"/>
  <c r="N1320" i="2"/>
  <c r="M1320" i="2"/>
  <c r="L1320" i="2"/>
  <c r="AE1319" i="2"/>
  <c r="AD1319" i="2"/>
  <c r="AC1319" i="2"/>
  <c r="AB1319" i="2"/>
  <c r="AA1319" i="2"/>
  <c r="Z1319" i="2"/>
  <c r="Y1319" i="2"/>
  <c r="X1319" i="2"/>
  <c r="U1319" i="2"/>
  <c r="T1319" i="2"/>
  <c r="S1319" i="2"/>
  <c r="R1319" i="2"/>
  <c r="Q1319" i="2"/>
  <c r="P1319" i="2"/>
  <c r="O1319" i="2"/>
  <c r="N1319" i="2"/>
  <c r="M1319" i="2"/>
  <c r="W1319" i="2" s="1"/>
  <c r="L1319" i="2"/>
  <c r="V1319" i="2" s="1"/>
  <c r="AE1318" i="2"/>
  <c r="AD1318" i="2"/>
  <c r="AC1318" i="2"/>
  <c r="AB1318" i="2"/>
  <c r="U1318" i="2"/>
  <c r="T1318" i="2"/>
  <c r="S1318" i="2"/>
  <c r="R1318" i="2"/>
  <c r="Q1318" i="2"/>
  <c r="AA1318" i="2" s="1"/>
  <c r="P1318" i="2"/>
  <c r="Z1318" i="2" s="1"/>
  <c r="O1318" i="2"/>
  <c r="Y1318" i="2" s="1"/>
  <c r="N1318" i="2"/>
  <c r="X1318" i="2" s="1"/>
  <c r="M1318" i="2"/>
  <c r="W1318" i="2" s="1"/>
  <c r="L1318" i="2"/>
  <c r="V1318" i="2" s="1"/>
  <c r="Y1317" i="2"/>
  <c r="X1317" i="2"/>
  <c r="W1317" i="2"/>
  <c r="V1317" i="2"/>
  <c r="U1317" i="2"/>
  <c r="AE1317" i="2" s="1"/>
  <c r="T1317" i="2"/>
  <c r="AD1317" i="2" s="1"/>
  <c r="S1317" i="2"/>
  <c r="AC1317" i="2" s="1"/>
  <c r="R1317" i="2"/>
  <c r="AB1317" i="2" s="1"/>
  <c r="Q1317" i="2"/>
  <c r="AA1317" i="2" s="1"/>
  <c r="P1317" i="2"/>
  <c r="Z1317" i="2" s="1"/>
  <c r="O1317" i="2"/>
  <c r="N1317" i="2"/>
  <c r="M1317" i="2"/>
  <c r="L1317" i="2"/>
  <c r="AC1316" i="2"/>
  <c r="AB1316" i="2"/>
  <c r="AA1316" i="2"/>
  <c r="Z1316" i="2"/>
  <c r="Y1316" i="2"/>
  <c r="X1316" i="2"/>
  <c r="W1316" i="2"/>
  <c r="V1316" i="2"/>
  <c r="U1316" i="2"/>
  <c r="AE1316" i="2" s="1"/>
  <c r="T1316" i="2"/>
  <c r="AD1316" i="2" s="1"/>
  <c r="S1316" i="2"/>
  <c r="R1316" i="2"/>
  <c r="Q1316" i="2"/>
  <c r="P1316" i="2"/>
  <c r="O1316" i="2"/>
  <c r="N1316" i="2"/>
  <c r="M1316" i="2"/>
  <c r="L1316" i="2"/>
  <c r="AE1315" i="2"/>
  <c r="AD1315" i="2"/>
  <c r="AC1315" i="2"/>
  <c r="AB1315" i="2"/>
  <c r="AA1315" i="2"/>
  <c r="Z1315" i="2"/>
  <c r="Y1315" i="2"/>
  <c r="X1315" i="2"/>
  <c r="U1315" i="2"/>
  <c r="T1315" i="2"/>
  <c r="S1315" i="2"/>
  <c r="R1315" i="2"/>
  <c r="Q1315" i="2"/>
  <c r="P1315" i="2"/>
  <c r="O1315" i="2"/>
  <c r="N1315" i="2"/>
  <c r="M1315" i="2"/>
  <c r="W1315" i="2" s="1"/>
  <c r="L1315" i="2"/>
  <c r="V1315" i="2" s="1"/>
  <c r="AE1314" i="2"/>
  <c r="AD1314" i="2"/>
  <c r="AC1314" i="2"/>
  <c r="AB1314" i="2"/>
  <c r="U1314" i="2"/>
  <c r="T1314" i="2"/>
  <c r="S1314" i="2"/>
  <c r="R1314" i="2"/>
  <c r="Q1314" i="2"/>
  <c r="AA1314" i="2" s="1"/>
  <c r="P1314" i="2"/>
  <c r="Z1314" i="2" s="1"/>
  <c r="O1314" i="2"/>
  <c r="Y1314" i="2" s="1"/>
  <c r="N1314" i="2"/>
  <c r="X1314" i="2" s="1"/>
  <c r="M1314" i="2"/>
  <c r="W1314" i="2" s="1"/>
  <c r="L1314" i="2"/>
  <c r="V1314" i="2" s="1"/>
  <c r="Y1313" i="2"/>
  <c r="X1313" i="2"/>
  <c r="W1313" i="2"/>
  <c r="V1313" i="2"/>
  <c r="U1313" i="2"/>
  <c r="AE1313" i="2" s="1"/>
  <c r="T1313" i="2"/>
  <c r="AD1313" i="2" s="1"/>
  <c r="S1313" i="2"/>
  <c r="AC1313" i="2" s="1"/>
  <c r="R1313" i="2"/>
  <c r="AB1313" i="2" s="1"/>
  <c r="Q1313" i="2"/>
  <c r="AA1313" i="2" s="1"/>
  <c r="P1313" i="2"/>
  <c r="Z1313" i="2" s="1"/>
  <c r="O1313" i="2"/>
  <c r="N1313" i="2"/>
  <c r="M1313" i="2"/>
  <c r="L1313" i="2"/>
  <c r="AC1312" i="2"/>
  <c r="AB1312" i="2"/>
  <c r="AA1312" i="2"/>
  <c r="Z1312" i="2"/>
  <c r="Y1312" i="2"/>
  <c r="X1312" i="2"/>
  <c r="W1312" i="2"/>
  <c r="V1312" i="2"/>
  <c r="U1312" i="2"/>
  <c r="AE1312" i="2" s="1"/>
  <c r="T1312" i="2"/>
  <c r="AD1312" i="2" s="1"/>
  <c r="S1312" i="2"/>
  <c r="R1312" i="2"/>
  <c r="Q1312" i="2"/>
  <c r="P1312" i="2"/>
  <c r="O1312" i="2"/>
  <c r="N1312" i="2"/>
  <c r="M1312" i="2"/>
  <c r="L1312" i="2"/>
  <c r="AE1311" i="2"/>
  <c r="AD1311" i="2"/>
  <c r="AC1311" i="2"/>
  <c r="AB1311" i="2"/>
  <c r="AA1311" i="2"/>
  <c r="Z1311" i="2"/>
  <c r="Y1311" i="2"/>
  <c r="X1311" i="2"/>
  <c r="U1311" i="2"/>
  <c r="T1311" i="2"/>
  <c r="S1311" i="2"/>
  <c r="R1311" i="2"/>
  <c r="Q1311" i="2"/>
  <c r="P1311" i="2"/>
  <c r="O1311" i="2"/>
  <c r="N1311" i="2"/>
  <c r="M1311" i="2"/>
  <c r="W1311" i="2" s="1"/>
  <c r="L1311" i="2"/>
  <c r="V1311" i="2" s="1"/>
  <c r="AE1310" i="2"/>
  <c r="AD1310" i="2"/>
  <c r="AC1310" i="2"/>
  <c r="AB1310" i="2"/>
  <c r="U1310" i="2"/>
  <c r="T1310" i="2"/>
  <c r="S1310" i="2"/>
  <c r="R1310" i="2"/>
  <c r="Q1310" i="2"/>
  <c r="AA1310" i="2" s="1"/>
  <c r="P1310" i="2"/>
  <c r="Z1310" i="2" s="1"/>
  <c r="O1310" i="2"/>
  <c r="Y1310" i="2" s="1"/>
  <c r="N1310" i="2"/>
  <c r="X1310" i="2" s="1"/>
  <c r="M1310" i="2"/>
  <c r="W1310" i="2" s="1"/>
  <c r="L1310" i="2"/>
  <c r="V1310" i="2" s="1"/>
  <c r="Y1309" i="2"/>
  <c r="X1309" i="2"/>
  <c r="W1309" i="2"/>
  <c r="V1309" i="2"/>
  <c r="U1309" i="2"/>
  <c r="AE1309" i="2" s="1"/>
  <c r="T1309" i="2"/>
  <c r="AD1309" i="2" s="1"/>
  <c r="S1309" i="2"/>
  <c r="AC1309" i="2" s="1"/>
  <c r="R1309" i="2"/>
  <c r="AB1309" i="2" s="1"/>
  <c r="Q1309" i="2"/>
  <c r="AA1309" i="2" s="1"/>
  <c r="P1309" i="2"/>
  <c r="Z1309" i="2" s="1"/>
  <c r="O1309" i="2"/>
  <c r="N1309" i="2"/>
  <c r="M1309" i="2"/>
  <c r="L1309" i="2"/>
  <c r="AC1308" i="2"/>
  <c r="AB1308" i="2"/>
  <c r="AA1308" i="2"/>
  <c r="Z1308" i="2"/>
  <c r="Y1308" i="2"/>
  <c r="X1308" i="2"/>
  <c r="W1308" i="2"/>
  <c r="V1308" i="2"/>
  <c r="U1308" i="2"/>
  <c r="AE1308" i="2" s="1"/>
  <c r="T1308" i="2"/>
  <c r="AD1308" i="2" s="1"/>
  <c r="S1308" i="2"/>
  <c r="R1308" i="2"/>
  <c r="Q1308" i="2"/>
  <c r="P1308" i="2"/>
  <c r="O1308" i="2"/>
  <c r="N1308" i="2"/>
  <c r="M1308" i="2"/>
  <c r="L1308" i="2"/>
  <c r="AE1307" i="2"/>
  <c r="AD1307" i="2"/>
  <c r="AC1307" i="2"/>
  <c r="AB1307" i="2"/>
  <c r="AA1307" i="2"/>
  <c r="Z1307" i="2"/>
  <c r="Y1307" i="2"/>
  <c r="X1307" i="2"/>
  <c r="U1307" i="2"/>
  <c r="T1307" i="2"/>
  <c r="S1307" i="2"/>
  <c r="R1307" i="2"/>
  <c r="Q1307" i="2"/>
  <c r="P1307" i="2"/>
  <c r="O1307" i="2"/>
  <c r="N1307" i="2"/>
  <c r="M1307" i="2"/>
  <c r="W1307" i="2" s="1"/>
  <c r="L1307" i="2"/>
  <c r="V1307" i="2" s="1"/>
  <c r="AE1306" i="2"/>
  <c r="AD1306" i="2"/>
  <c r="AC1306" i="2"/>
  <c r="AB1306" i="2"/>
  <c r="U1306" i="2"/>
  <c r="T1306" i="2"/>
  <c r="S1306" i="2"/>
  <c r="R1306" i="2"/>
  <c r="Q1306" i="2"/>
  <c r="AA1306" i="2" s="1"/>
  <c r="P1306" i="2"/>
  <c r="Z1306" i="2" s="1"/>
  <c r="O1306" i="2"/>
  <c r="Y1306" i="2" s="1"/>
  <c r="N1306" i="2"/>
  <c r="X1306" i="2" s="1"/>
  <c r="M1306" i="2"/>
  <c r="W1306" i="2" s="1"/>
  <c r="L1306" i="2"/>
  <c r="V1306" i="2" s="1"/>
  <c r="Y1305" i="2"/>
  <c r="X1305" i="2"/>
  <c r="W1305" i="2"/>
  <c r="V1305" i="2"/>
  <c r="U1305" i="2"/>
  <c r="AE1305" i="2" s="1"/>
  <c r="T1305" i="2"/>
  <c r="AD1305" i="2" s="1"/>
  <c r="S1305" i="2"/>
  <c r="AC1305" i="2" s="1"/>
  <c r="R1305" i="2"/>
  <c r="AB1305" i="2" s="1"/>
  <c r="Q1305" i="2"/>
  <c r="AA1305" i="2" s="1"/>
  <c r="P1305" i="2"/>
  <c r="Z1305" i="2" s="1"/>
  <c r="O1305" i="2"/>
  <c r="N1305" i="2"/>
  <c r="M1305" i="2"/>
  <c r="L1305" i="2"/>
  <c r="AC1304" i="2"/>
  <c r="AB1304" i="2"/>
  <c r="AA1304" i="2"/>
  <c r="Z1304" i="2"/>
  <c r="Y1304" i="2"/>
  <c r="X1304" i="2"/>
  <c r="W1304" i="2"/>
  <c r="V1304" i="2"/>
  <c r="U1304" i="2"/>
  <c r="AE1304" i="2" s="1"/>
  <c r="T1304" i="2"/>
  <c r="AD1304" i="2" s="1"/>
  <c r="S1304" i="2"/>
  <c r="R1304" i="2"/>
  <c r="Q1304" i="2"/>
  <c r="P1304" i="2"/>
  <c r="O1304" i="2"/>
  <c r="N1304" i="2"/>
  <c r="M1304" i="2"/>
  <c r="L1304" i="2"/>
  <c r="AE1303" i="2"/>
  <c r="AD1303" i="2"/>
  <c r="AC1303" i="2"/>
  <c r="AB1303" i="2"/>
  <c r="AA1303" i="2"/>
  <c r="Z1303" i="2"/>
  <c r="Y1303" i="2"/>
  <c r="X1303" i="2"/>
  <c r="U1303" i="2"/>
  <c r="T1303" i="2"/>
  <c r="S1303" i="2"/>
  <c r="R1303" i="2"/>
  <c r="Q1303" i="2"/>
  <c r="P1303" i="2"/>
  <c r="O1303" i="2"/>
  <c r="N1303" i="2"/>
  <c r="M1303" i="2"/>
  <c r="W1303" i="2" s="1"/>
  <c r="L1303" i="2"/>
  <c r="V1303" i="2" s="1"/>
  <c r="AE1302" i="2"/>
  <c r="AD1302" i="2"/>
  <c r="AC1302" i="2"/>
  <c r="AB1302" i="2"/>
  <c r="U1302" i="2"/>
  <c r="T1302" i="2"/>
  <c r="S1302" i="2"/>
  <c r="R1302" i="2"/>
  <c r="Q1302" i="2"/>
  <c r="AA1302" i="2" s="1"/>
  <c r="P1302" i="2"/>
  <c r="Z1302" i="2" s="1"/>
  <c r="O1302" i="2"/>
  <c r="Y1302" i="2" s="1"/>
  <c r="N1302" i="2"/>
  <c r="X1302" i="2" s="1"/>
  <c r="M1302" i="2"/>
  <c r="W1302" i="2" s="1"/>
  <c r="L1302" i="2"/>
  <c r="V1302" i="2" s="1"/>
  <c r="Y1301" i="2"/>
  <c r="X1301" i="2"/>
  <c r="W1301" i="2"/>
  <c r="V1301" i="2"/>
  <c r="U1301" i="2"/>
  <c r="AE1301" i="2" s="1"/>
  <c r="T1301" i="2"/>
  <c r="AD1301" i="2" s="1"/>
  <c r="S1301" i="2"/>
  <c r="AC1301" i="2" s="1"/>
  <c r="R1301" i="2"/>
  <c r="AB1301" i="2" s="1"/>
  <c r="Q1301" i="2"/>
  <c r="AA1301" i="2" s="1"/>
  <c r="P1301" i="2"/>
  <c r="Z1301" i="2" s="1"/>
  <c r="O1301" i="2"/>
  <c r="N1301" i="2"/>
  <c r="M1301" i="2"/>
  <c r="L1301" i="2"/>
  <c r="AC1300" i="2"/>
  <c r="AB1300" i="2"/>
  <c r="AA1300" i="2"/>
  <c r="Z1300" i="2"/>
  <c r="Y1300" i="2"/>
  <c r="X1300" i="2"/>
  <c r="W1300" i="2"/>
  <c r="V1300" i="2"/>
  <c r="U1300" i="2"/>
  <c r="AE1300" i="2" s="1"/>
  <c r="T1300" i="2"/>
  <c r="AD1300" i="2" s="1"/>
  <c r="S1300" i="2"/>
  <c r="R1300" i="2"/>
  <c r="Q1300" i="2"/>
  <c r="P1300" i="2"/>
  <c r="O1300" i="2"/>
  <c r="N1300" i="2"/>
  <c r="M1300" i="2"/>
  <c r="L1300" i="2"/>
  <c r="AE1299" i="2"/>
  <c r="AD1299" i="2"/>
  <c r="AC1299" i="2"/>
  <c r="AB1299" i="2"/>
  <c r="AA1299" i="2"/>
  <c r="Z1299" i="2"/>
  <c r="Y1299" i="2"/>
  <c r="X1299" i="2"/>
  <c r="U1299" i="2"/>
  <c r="T1299" i="2"/>
  <c r="S1299" i="2"/>
  <c r="R1299" i="2"/>
  <c r="Q1299" i="2"/>
  <c r="P1299" i="2"/>
  <c r="O1299" i="2"/>
  <c r="N1299" i="2"/>
  <c r="M1299" i="2"/>
  <c r="W1299" i="2" s="1"/>
  <c r="L1299" i="2"/>
  <c r="V1299" i="2" s="1"/>
  <c r="AE1298" i="2"/>
  <c r="AD1298" i="2"/>
  <c r="AC1298" i="2"/>
  <c r="AB1298" i="2"/>
  <c r="U1298" i="2"/>
  <c r="T1298" i="2"/>
  <c r="S1298" i="2"/>
  <c r="R1298" i="2"/>
  <c r="Q1298" i="2"/>
  <c r="AA1298" i="2" s="1"/>
  <c r="P1298" i="2"/>
  <c r="Z1298" i="2" s="1"/>
  <c r="O1298" i="2"/>
  <c r="Y1298" i="2" s="1"/>
  <c r="N1298" i="2"/>
  <c r="X1298" i="2" s="1"/>
  <c r="M1298" i="2"/>
  <c r="W1298" i="2" s="1"/>
  <c r="L1298" i="2"/>
  <c r="V1298" i="2" s="1"/>
  <c r="Y1297" i="2"/>
  <c r="X1297" i="2"/>
  <c r="W1297" i="2"/>
  <c r="V1297" i="2"/>
  <c r="U1297" i="2"/>
  <c r="AE1297" i="2" s="1"/>
  <c r="T1297" i="2"/>
  <c r="AD1297" i="2" s="1"/>
  <c r="S1297" i="2"/>
  <c r="AC1297" i="2" s="1"/>
  <c r="R1297" i="2"/>
  <c r="AB1297" i="2" s="1"/>
  <c r="Q1297" i="2"/>
  <c r="AA1297" i="2" s="1"/>
  <c r="P1297" i="2"/>
  <c r="Z1297" i="2" s="1"/>
  <c r="O1297" i="2"/>
  <c r="N1297" i="2"/>
  <c r="M1297" i="2"/>
  <c r="L1297" i="2"/>
  <c r="AC1296" i="2"/>
  <c r="AB1296" i="2"/>
  <c r="AA1296" i="2"/>
  <c r="Z1296" i="2"/>
  <c r="Y1296" i="2"/>
  <c r="X1296" i="2"/>
  <c r="W1296" i="2"/>
  <c r="V1296" i="2"/>
  <c r="U1296" i="2"/>
  <c r="AE1296" i="2" s="1"/>
  <c r="T1296" i="2"/>
  <c r="AD1296" i="2" s="1"/>
  <c r="S1296" i="2"/>
  <c r="R1296" i="2"/>
  <c r="Q1296" i="2"/>
  <c r="P1296" i="2"/>
  <c r="O1296" i="2"/>
  <c r="N1296" i="2"/>
  <c r="M1296" i="2"/>
  <c r="L1296" i="2"/>
  <c r="AE1295" i="2"/>
  <c r="AD1295" i="2"/>
  <c r="AC1295" i="2"/>
  <c r="AB1295" i="2"/>
  <c r="AA1295" i="2"/>
  <c r="Z1295" i="2"/>
  <c r="Y1295" i="2"/>
  <c r="X1295" i="2"/>
  <c r="U1295" i="2"/>
  <c r="T1295" i="2"/>
  <c r="S1295" i="2"/>
  <c r="R1295" i="2"/>
  <c r="Q1295" i="2"/>
  <c r="P1295" i="2"/>
  <c r="O1295" i="2"/>
  <c r="N1295" i="2"/>
  <c r="M1295" i="2"/>
  <c r="W1295" i="2" s="1"/>
  <c r="L1295" i="2"/>
  <c r="V1295" i="2" s="1"/>
  <c r="AE1294" i="2"/>
  <c r="AD1294" i="2"/>
  <c r="AC1294" i="2"/>
  <c r="AB1294" i="2"/>
  <c r="U1294" i="2"/>
  <c r="T1294" i="2"/>
  <c r="S1294" i="2"/>
  <c r="R1294" i="2"/>
  <c r="Q1294" i="2"/>
  <c r="AA1294" i="2" s="1"/>
  <c r="P1294" i="2"/>
  <c r="Z1294" i="2" s="1"/>
  <c r="O1294" i="2"/>
  <c r="Y1294" i="2" s="1"/>
  <c r="N1294" i="2"/>
  <c r="X1294" i="2" s="1"/>
  <c r="M1294" i="2"/>
  <c r="W1294" i="2" s="1"/>
  <c r="L1294" i="2"/>
  <c r="V1294" i="2" s="1"/>
  <c r="Y1293" i="2"/>
  <c r="X1293" i="2"/>
  <c r="W1293" i="2"/>
  <c r="V1293" i="2"/>
  <c r="U1293" i="2"/>
  <c r="AE1293" i="2" s="1"/>
  <c r="T1293" i="2"/>
  <c r="AD1293" i="2" s="1"/>
  <c r="S1293" i="2"/>
  <c r="AC1293" i="2" s="1"/>
  <c r="R1293" i="2"/>
  <c r="AB1293" i="2" s="1"/>
  <c r="Q1293" i="2"/>
  <c r="AA1293" i="2" s="1"/>
  <c r="P1293" i="2"/>
  <c r="Z1293" i="2" s="1"/>
  <c r="O1293" i="2"/>
  <c r="N1293" i="2"/>
  <c r="M1293" i="2"/>
  <c r="L1293" i="2"/>
  <c r="AC1292" i="2"/>
  <c r="AB1292" i="2"/>
  <c r="AA1292" i="2"/>
  <c r="Z1292" i="2"/>
  <c r="Y1292" i="2"/>
  <c r="X1292" i="2"/>
  <c r="W1292" i="2"/>
  <c r="V1292" i="2"/>
  <c r="U1292" i="2"/>
  <c r="AE1292" i="2" s="1"/>
  <c r="T1292" i="2"/>
  <c r="AD1292" i="2" s="1"/>
  <c r="S1292" i="2"/>
  <c r="R1292" i="2"/>
  <c r="Q1292" i="2"/>
  <c r="P1292" i="2"/>
  <c r="O1292" i="2"/>
  <c r="N1292" i="2"/>
  <c r="M1292" i="2"/>
  <c r="L1292" i="2"/>
  <c r="AE1291" i="2"/>
  <c r="AD1291" i="2"/>
  <c r="AC1291" i="2"/>
  <c r="AB1291" i="2"/>
  <c r="AA1291" i="2"/>
  <c r="Z1291" i="2"/>
  <c r="Y1291" i="2"/>
  <c r="X1291" i="2"/>
  <c r="U1291" i="2"/>
  <c r="T1291" i="2"/>
  <c r="S1291" i="2"/>
  <c r="R1291" i="2"/>
  <c r="Q1291" i="2"/>
  <c r="P1291" i="2"/>
  <c r="O1291" i="2"/>
  <c r="N1291" i="2"/>
  <c r="M1291" i="2"/>
  <c r="W1291" i="2" s="1"/>
  <c r="L1291" i="2"/>
  <c r="V1291" i="2" s="1"/>
  <c r="AE1290" i="2"/>
  <c r="AD1290" i="2"/>
  <c r="AC1290" i="2"/>
  <c r="AB1290" i="2"/>
  <c r="U1290" i="2"/>
  <c r="T1290" i="2"/>
  <c r="S1290" i="2"/>
  <c r="R1290" i="2"/>
  <c r="Q1290" i="2"/>
  <c r="AA1290" i="2" s="1"/>
  <c r="P1290" i="2"/>
  <c r="Z1290" i="2" s="1"/>
  <c r="O1290" i="2"/>
  <c r="Y1290" i="2" s="1"/>
  <c r="N1290" i="2"/>
  <c r="X1290" i="2" s="1"/>
  <c r="M1290" i="2"/>
  <c r="W1290" i="2" s="1"/>
  <c r="L1290" i="2"/>
  <c r="V1290" i="2" s="1"/>
  <c r="Y1289" i="2"/>
  <c r="X1289" i="2"/>
  <c r="W1289" i="2"/>
  <c r="V1289" i="2"/>
  <c r="U1289" i="2"/>
  <c r="AE1289" i="2" s="1"/>
  <c r="T1289" i="2"/>
  <c r="AD1289" i="2" s="1"/>
  <c r="S1289" i="2"/>
  <c r="AC1289" i="2" s="1"/>
  <c r="R1289" i="2"/>
  <c r="AB1289" i="2" s="1"/>
  <c r="Q1289" i="2"/>
  <c r="AA1289" i="2" s="1"/>
  <c r="P1289" i="2"/>
  <c r="Z1289" i="2" s="1"/>
  <c r="O1289" i="2"/>
  <c r="N1289" i="2"/>
  <c r="M1289" i="2"/>
  <c r="L1289" i="2"/>
  <c r="AC1288" i="2"/>
  <c r="AB1288" i="2"/>
  <c r="AA1288" i="2"/>
  <c r="Z1288" i="2"/>
  <c r="Y1288" i="2"/>
  <c r="X1288" i="2"/>
  <c r="W1288" i="2"/>
  <c r="V1288" i="2"/>
  <c r="U1288" i="2"/>
  <c r="AE1288" i="2" s="1"/>
  <c r="T1288" i="2"/>
  <c r="AD1288" i="2" s="1"/>
  <c r="S1288" i="2"/>
  <c r="R1288" i="2"/>
  <c r="Q1288" i="2"/>
  <c r="P1288" i="2"/>
  <c r="O1288" i="2"/>
  <c r="N1288" i="2"/>
  <c r="M1288" i="2"/>
  <c r="L1288" i="2"/>
  <c r="AE1287" i="2"/>
  <c r="AD1287" i="2"/>
  <c r="AC1287" i="2"/>
  <c r="AB1287" i="2"/>
  <c r="AA1287" i="2"/>
  <c r="Z1287" i="2"/>
  <c r="Y1287" i="2"/>
  <c r="X1287" i="2"/>
  <c r="U1287" i="2"/>
  <c r="T1287" i="2"/>
  <c r="S1287" i="2"/>
  <c r="R1287" i="2"/>
  <c r="Q1287" i="2"/>
  <c r="P1287" i="2"/>
  <c r="O1287" i="2"/>
  <c r="N1287" i="2"/>
  <c r="M1287" i="2"/>
  <c r="W1287" i="2" s="1"/>
  <c r="L1287" i="2"/>
  <c r="V1287" i="2" s="1"/>
  <c r="AE1286" i="2"/>
  <c r="AD1286" i="2"/>
  <c r="AC1286" i="2"/>
  <c r="AB1286" i="2"/>
  <c r="U1286" i="2"/>
  <c r="T1286" i="2"/>
  <c r="S1286" i="2"/>
  <c r="R1286" i="2"/>
  <c r="Q1286" i="2"/>
  <c r="AA1286" i="2" s="1"/>
  <c r="P1286" i="2"/>
  <c r="Z1286" i="2" s="1"/>
  <c r="O1286" i="2"/>
  <c r="Y1286" i="2" s="1"/>
  <c r="N1286" i="2"/>
  <c r="X1286" i="2" s="1"/>
  <c r="M1286" i="2"/>
  <c r="W1286" i="2" s="1"/>
  <c r="L1286" i="2"/>
  <c r="V1286" i="2" s="1"/>
  <c r="Y1285" i="2"/>
  <c r="X1285" i="2"/>
  <c r="W1285" i="2"/>
  <c r="V1285" i="2"/>
  <c r="U1285" i="2"/>
  <c r="AE1285" i="2" s="1"/>
  <c r="T1285" i="2"/>
  <c r="AD1285" i="2" s="1"/>
  <c r="S1285" i="2"/>
  <c r="AC1285" i="2" s="1"/>
  <c r="R1285" i="2"/>
  <c r="AB1285" i="2" s="1"/>
  <c r="Q1285" i="2"/>
  <c r="AA1285" i="2" s="1"/>
  <c r="P1285" i="2"/>
  <c r="Z1285" i="2" s="1"/>
  <c r="O1285" i="2"/>
  <c r="N1285" i="2"/>
  <c r="M1285" i="2"/>
  <c r="L1285" i="2"/>
  <c r="AC1284" i="2"/>
  <c r="AB1284" i="2"/>
  <c r="AA1284" i="2"/>
  <c r="Z1284" i="2"/>
  <c r="Y1284" i="2"/>
  <c r="X1284" i="2"/>
  <c r="W1284" i="2"/>
  <c r="V1284" i="2"/>
  <c r="U1284" i="2"/>
  <c r="AE1284" i="2" s="1"/>
  <c r="T1284" i="2"/>
  <c r="AD1284" i="2" s="1"/>
  <c r="S1284" i="2"/>
  <c r="R1284" i="2"/>
  <c r="Q1284" i="2"/>
  <c r="P1284" i="2"/>
  <c r="O1284" i="2"/>
  <c r="N1284" i="2"/>
  <c r="M1284" i="2"/>
  <c r="L1284" i="2"/>
  <c r="AE1283" i="2"/>
  <c r="AD1283" i="2"/>
  <c r="AC1283" i="2"/>
  <c r="AB1283" i="2"/>
  <c r="AA1283" i="2"/>
  <c r="Z1283" i="2"/>
  <c r="Y1283" i="2"/>
  <c r="U1283" i="2"/>
  <c r="T1283" i="2"/>
  <c r="S1283" i="2"/>
  <c r="R1283" i="2"/>
  <c r="Q1283" i="2"/>
  <c r="P1283" i="2"/>
  <c r="O1283" i="2"/>
  <c r="N1283" i="2"/>
  <c r="X1283" i="2" s="1"/>
  <c r="M1283" i="2"/>
  <c r="W1283" i="2" s="1"/>
  <c r="L1283" i="2"/>
  <c r="V1283" i="2" s="1"/>
  <c r="AE1282" i="2"/>
  <c r="AD1282" i="2"/>
  <c r="AC1282" i="2"/>
  <c r="U1282" i="2"/>
  <c r="T1282" i="2"/>
  <c r="S1282" i="2"/>
  <c r="R1282" i="2"/>
  <c r="AB1282" i="2" s="1"/>
  <c r="Q1282" i="2"/>
  <c r="AA1282" i="2" s="1"/>
  <c r="P1282" i="2"/>
  <c r="Z1282" i="2" s="1"/>
  <c r="O1282" i="2"/>
  <c r="Y1282" i="2" s="1"/>
  <c r="N1282" i="2"/>
  <c r="X1282" i="2" s="1"/>
  <c r="M1282" i="2"/>
  <c r="W1282" i="2" s="1"/>
  <c r="L1282" i="2"/>
  <c r="V1282" i="2" s="1"/>
  <c r="X1281" i="2"/>
  <c r="W1281" i="2"/>
  <c r="V1281" i="2"/>
  <c r="U1281" i="2"/>
  <c r="AE1281" i="2" s="1"/>
  <c r="T1281" i="2"/>
  <c r="AD1281" i="2" s="1"/>
  <c r="S1281" i="2"/>
  <c r="AC1281" i="2" s="1"/>
  <c r="R1281" i="2"/>
  <c r="AB1281" i="2" s="1"/>
  <c r="Q1281" i="2"/>
  <c r="AA1281" i="2" s="1"/>
  <c r="P1281" i="2"/>
  <c r="Z1281" i="2" s="1"/>
  <c r="O1281" i="2"/>
  <c r="Y1281" i="2" s="1"/>
  <c r="N1281" i="2"/>
  <c r="M1281" i="2"/>
  <c r="L1281" i="2"/>
  <c r="AB1280" i="2"/>
  <c r="AA1280" i="2"/>
  <c r="Z1280" i="2"/>
  <c r="Y1280" i="2"/>
  <c r="X1280" i="2"/>
  <c r="W1280" i="2"/>
  <c r="V1280" i="2"/>
  <c r="U1280" i="2"/>
  <c r="AE1280" i="2" s="1"/>
  <c r="T1280" i="2"/>
  <c r="AD1280" i="2" s="1"/>
  <c r="S1280" i="2"/>
  <c r="AC1280" i="2" s="1"/>
  <c r="R1280" i="2"/>
  <c r="Q1280" i="2"/>
  <c r="P1280" i="2"/>
  <c r="O1280" i="2"/>
  <c r="N1280" i="2"/>
  <c r="M1280" i="2"/>
  <c r="L1280" i="2"/>
  <c r="AE1279" i="2"/>
  <c r="AD1279" i="2"/>
  <c r="AC1279" i="2"/>
  <c r="AB1279" i="2"/>
  <c r="AA1279" i="2"/>
  <c r="Z1279" i="2"/>
  <c r="Y1279" i="2"/>
  <c r="U1279" i="2"/>
  <c r="T1279" i="2"/>
  <c r="S1279" i="2"/>
  <c r="R1279" i="2"/>
  <c r="Q1279" i="2"/>
  <c r="P1279" i="2"/>
  <c r="O1279" i="2"/>
  <c r="N1279" i="2"/>
  <c r="X1279" i="2" s="1"/>
  <c r="M1279" i="2"/>
  <c r="W1279" i="2" s="1"/>
  <c r="L1279" i="2"/>
  <c r="V1279" i="2" s="1"/>
  <c r="AE1278" i="2"/>
  <c r="AD1278" i="2"/>
  <c r="AC1278" i="2"/>
  <c r="U1278" i="2"/>
  <c r="T1278" i="2"/>
  <c r="S1278" i="2"/>
  <c r="R1278" i="2"/>
  <c r="AB1278" i="2" s="1"/>
  <c r="Q1278" i="2"/>
  <c r="AA1278" i="2" s="1"/>
  <c r="P1278" i="2"/>
  <c r="Z1278" i="2" s="1"/>
  <c r="O1278" i="2"/>
  <c r="Y1278" i="2" s="1"/>
  <c r="N1278" i="2"/>
  <c r="X1278" i="2" s="1"/>
  <c r="M1278" i="2"/>
  <c r="W1278" i="2" s="1"/>
  <c r="L1278" i="2"/>
  <c r="V1278" i="2" s="1"/>
  <c r="X1277" i="2"/>
  <c r="W1277" i="2"/>
  <c r="V1277" i="2"/>
  <c r="U1277" i="2"/>
  <c r="AE1277" i="2" s="1"/>
  <c r="T1277" i="2"/>
  <c r="AD1277" i="2" s="1"/>
  <c r="S1277" i="2"/>
  <c r="AC1277" i="2" s="1"/>
  <c r="R1277" i="2"/>
  <c r="AB1277" i="2" s="1"/>
  <c r="Q1277" i="2"/>
  <c r="AA1277" i="2" s="1"/>
  <c r="P1277" i="2"/>
  <c r="Z1277" i="2" s="1"/>
  <c r="O1277" i="2"/>
  <c r="Y1277" i="2" s="1"/>
  <c r="N1277" i="2"/>
  <c r="M1277" i="2"/>
  <c r="L1277" i="2"/>
  <c r="AB1276" i="2"/>
  <c r="AA1276" i="2"/>
  <c r="Z1276" i="2"/>
  <c r="Y1276" i="2"/>
  <c r="X1276" i="2"/>
  <c r="W1276" i="2"/>
  <c r="V1276" i="2"/>
  <c r="U1276" i="2"/>
  <c r="AE1276" i="2" s="1"/>
  <c r="T1276" i="2"/>
  <c r="AD1276" i="2" s="1"/>
  <c r="S1276" i="2"/>
  <c r="AC1276" i="2" s="1"/>
  <c r="R1276" i="2"/>
  <c r="Q1276" i="2"/>
  <c r="P1276" i="2"/>
  <c r="O1276" i="2"/>
  <c r="N1276" i="2"/>
  <c r="M1276" i="2"/>
  <c r="L1276" i="2"/>
  <c r="AE1275" i="2"/>
  <c r="AD1275" i="2"/>
  <c r="AC1275" i="2"/>
  <c r="AB1275" i="2"/>
  <c r="AA1275" i="2"/>
  <c r="Z1275" i="2"/>
  <c r="Y1275" i="2"/>
  <c r="U1275" i="2"/>
  <c r="T1275" i="2"/>
  <c r="S1275" i="2"/>
  <c r="R1275" i="2"/>
  <c r="Q1275" i="2"/>
  <c r="P1275" i="2"/>
  <c r="O1275" i="2"/>
  <c r="N1275" i="2"/>
  <c r="X1275" i="2" s="1"/>
  <c r="M1275" i="2"/>
  <c r="W1275" i="2" s="1"/>
  <c r="L1275" i="2"/>
  <c r="V1275" i="2" s="1"/>
  <c r="AE1274" i="2"/>
  <c r="AD1274" i="2"/>
  <c r="AC1274" i="2"/>
  <c r="U1274" i="2"/>
  <c r="T1274" i="2"/>
  <c r="S1274" i="2"/>
  <c r="R1274" i="2"/>
  <c r="AB1274" i="2" s="1"/>
  <c r="Q1274" i="2"/>
  <c r="AA1274" i="2" s="1"/>
  <c r="P1274" i="2"/>
  <c r="Z1274" i="2" s="1"/>
  <c r="O1274" i="2"/>
  <c r="Y1274" i="2" s="1"/>
  <c r="N1274" i="2"/>
  <c r="X1274" i="2" s="1"/>
  <c r="M1274" i="2"/>
  <c r="W1274" i="2" s="1"/>
  <c r="L1274" i="2"/>
  <c r="V1274" i="2" s="1"/>
  <c r="X1273" i="2"/>
  <c r="W1273" i="2"/>
  <c r="V1273" i="2"/>
  <c r="U1273" i="2"/>
  <c r="AE1273" i="2" s="1"/>
  <c r="T1273" i="2"/>
  <c r="AD1273" i="2" s="1"/>
  <c r="S1273" i="2"/>
  <c r="AC1273" i="2" s="1"/>
  <c r="R1273" i="2"/>
  <c r="AB1273" i="2" s="1"/>
  <c r="Q1273" i="2"/>
  <c r="AA1273" i="2" s="1"/>
  <c r="P1273" i="2"/>
  <c r="Z1273" i="2" s="1"/>
  <c r="O1273" i="2"/>
  <c r="Y1273" i="2" s="1"/>
  <c r="N1273" i="2"/>
  <c r="M1273" i="2"/>
  <c r="L1273" i="2"/>
  <c r="AB1272" i="2"/>
  <c r="AA1272" i="2"/>
  <c r="Z1272" i="2"/>
  <c r="Y1272" i="2"/>
  <c r="X1272" i="2"/>
  <c r="W1272" i="2"/>
  <c r="V1272" i="2"/>
  <c r="U1272" i="2"/>
  <c r="AE1272" i="2" s="1"/>
  <c r="T1272" i="2"/>
  <c r="AD1272" i="2" s="1"/>
  <c r="S1272" i="2"/>
  <c r="AC1272" i="2" s="1"/>
  <c r="R1272" i="2"/>
  <c r="Q1272" i="2"/>
  <c r="P1272" i="2"/>
  <c r="O1272" i="2"/>
  <c r="N1272" i="2"/>
  <c r="M1272" i="2"/>
  <c r="L1272" i="2"/>
  <c r="AE1271" i="2"/>
  <c r="AD1271" i="2"/>
  <c r="AC1271" i="2"/>
  <c r="AB1271" i="2"/>
  <c r="AA1271" i="2"/>
  <c r="Z1271" i="2"/>
  <c r="Y1271" i="2"/>
  <c r="U1271" i="2"/>
  <c r="T1271" i="2"/>
  <c r="S1271" i="2"/>
  <c r="R1271" i="2"/>
  <c r="Q1271" i="2"/>
  <c r="P1271" i="2"/>
  <c r="O1271" i="2"/>
  <c r="N1271" i="2"/>
  <c r="X1271" i="2" s="1"/>
  <c r="M1271" i="2"/>
  <c r="W1271" i="2" s="1"/>
  <c r="L1271" i="2"/>
  <c r="V1271" i="2" s="1"/>
  <c r="AE1270" i="2"/>
  <c r="AD1270" i="2"/>
  <c r="AC1270" i="2"/>
  <c r="AB1270" i="2"/>
  <c r="U1270" i="2"/>
  <c r="T1270" i="2"/>
  <c r="S1270" i="2"/>
  <c r="R1270" i="2"/>
  <c r="Q1270" i="2"/>
  <c r="AA1270" i="2" s="1"/>
  <c r="P1270" i="2"/>
  <c r="Z1270" i="2" s="1"/>
  <c r="O1270" i="2"/>
  <c r="Y1270" i="2" s="1"/>
  <c r="N1270" i="2"/>
  <c r="X1270" i="2" s="1"/>
  <c r="M1270" i="2"/>
  <c r="W1270" i="2" s="1"/>
  <c r="L1270" i="2"/>
  <c r="V1270" i="2" s="1"/>
  <c r="X1269" i="2"/>
  <c r="W1269" i="2"/>
  <c r="V1269" i="2"/>
  <c r="U1269" i="2"/>
  <c r="AE1269" i="2" s="1"/>
  <c r="T1269" i="2"/>
  <c r="AD1269" i="2" s="1"/>
  <c r="S1269" i="2"/>
  <c r="AC1269" i="2" s="1"/>
  <c r="R1269" i="2"/>
  <c r="AB1269" i="2" s="1"/>
  <c r="Q1269" i="2"/>
  <c r="AA1269" i="2" s="1"/>
  <c r="P1269" i="2"/>
  <c r="Z1269" i="2" s="1"/>
  <c r="O1269" i="2"/>
  <c r="Y1269" i="2" s="1"/>
  <c r="N1269" i="2"/>
  <c r="M1269" i="2"/>
  <c r="L1269" i="2"/>
  <c r="AB1268" i="2"/>
  <c r="AA1268" i="2"/>
  <c r="Z1268" i="2"/>
  <c r="Y1268" i="2"/>
  <c r="X1268" i="2"/>
  <c r="W1268" i="2"/>
  <c r="V1268" i="2"/>
  <c r="U1268" i="2"/>
  <c r="AE1268" i="2" s="1"/>
  <c r="T1268" i="2"/>
  <c r="AD1268" i="2" s="1"/>
  <c r="S1268" i="2"/>
  <c r="AC1268" i="2" s="1"/>
  <c r="R1268" i="2"/>
  <c r="Q1268" i="2"/>
  <c r="P1268" i="2"/>
  <c r="O1268" i="2"/>
  <c r="N1268" i="2"/>
  <c r="M1268" i="2"/>
  <c r="L1268" i="2"/>
  <c r="AE1267" i="2"/>
  <c r="AD1267" i="2"/>
  <c r="AC1267" i="2"/>
  <c r="AB1267" i="2"/>
  <c r="AA1267" i="2"/>
  <c r="Z1267" i="2"/>
  <c r="Y1267" i="2"/>
  <c r="X1267" i="2"/>
  <c r="U1267" i="2"/>
  <c r="T1267" i="2"/>
  <c r="S1267" i="2"/>
  <c r="R1267" i="2"/>
  <c r="Q1267" i="2"/>
  <c r="P1267" i="2"/>
  <c r="O1267" i="2"/>
  <c r="N1267" i="2"/>
  <c r="M1267" i="2"/>
  <c r="W1267" i="2" s="1"/>
  <c r="L1267" i="2"/>
  <c r="V1267" i="2" s="1"/>
  <c r="AE1266" i="2"/>
  <c r="AD1266" i="2"/>
  <c r="AC1266" i="2"/>
  <c r="AB1266" i="2"/>
  <c r="U1266" i="2"/>
  <c r="T1266" i="2"/>
  <c r="S1266" i="2"/>
  <c r="R1266" i="2"/>
  <c r="Q1266" i="2"/>
  <c r="AA1266" i="2" s="1"/>
  <c r="P1266" i="2"/>
  <c r="Z1266" i="2" s="1"/>
  <c r="O1266" i="2"/>
  <c r="Y1266" i="2" s="1"/>
  <c r="N1266" i="2"/>
  <c r="X1266" i="2" s="1"/>
  <c r="M1266" i="2"/>
  <c r="W1266" i="2" s="1"/>
  <c r="L1266" i="2"/>
  <c r="V1266" i="2" s="1"/>
  <c r="X1265" i="2"/>
  <c r="W1265" i="2"/>
  <c r="V1265" i="2"/>
  <c r="U1265" i="2"/>
  <c r="AE1265" i="2" s="1"/>
  <c r="T1265" i="2"/>
  <c r="AD1265" i="2" s="1"/>
  <c r="S1265" i="2"/>
  <c r="AC1265" i="2" s="1"/>
  <c r="R1265" i="2"/>
  <c r="AB1265" i="2" s="1"/>
  <c r="Q1265" i="2"/>
  <c r="AA1265" i="2" s="1"/>
  <c r="P1265" i="2"/>
  <c r="Z1265" i="2" s="1"/>
  <c r="O1265" i="2"/>
  <c r="Y1265" i="2" s="1"/>
  <c r="N1265" i="2"/>
  <c r="M1265" i="2"/>
  <c r="L1265" i="2"/>
  <c r="AB1264" i="2"/>
  <c r="AA1264" i="2"/>
  <c r="Z1264" i="2"/>
  <c r="Y1264" i="2"/>
  <c r="X1264" i="2"/>
  <c r="W1264" i="2"/>
  <c r="V1264" i="2"/>
  <c r="U1264" i="2"/>
  <c r="AE1264" i="2" s="1"/>
  <c r="T1264" i="2"/>
  <c r="AD1264" i="2" s="1"/>
  <c r="S1264" i="2"/>
  <c r="AC1264" i="2" s="1"/>
  <c r="R1264" i="2"/>
  <c r="Q1264" i="2"/>
  <c r="P1264" i="2"/>
  <c r="O1264" i="2"/>
  <c r="N1264" i="2"/>
  <c r="M1264" i="2"/>
  <c r="L1264" i="2"/>
  <c r="AE1263" i="2"/>
  <c r="AD1263" i="2"/>
  <c r="AC1263" i="2"/>
  <c r="AB1263" i="2"/>
  <c r="AA1263" i="2"/>
  <c r="Z1263" i="2"/>
  <c r="Y1263" i="2"/>
  <c r="X1263" i="2"/>
  <c r="U1263" i="2"/>
  <c r="T1263" i="2"/>
  <c r="S1263" i="2"/>
  <c r="R1263" i="2"/>
  <c r="Q1263" i="2"/>
  <c r="P1263" i="2"/>
  <c r="O1263" i="2"/>
  <c r="N1263" i="2"/>
  <c r="M1263" i="2"/>
  <c r="W1263" i="2" s="1"/>
  <c r="L1263" i="2"/>
  <c r="V1263" i="2" s="1"/>
  <c r="AE1262" i="2"/>
  <c r="AD1262" i="2"/>
  <c r="AC1262" i="2"/>
  <c r="U1262" i="2"/>
  <c r="T1262" i="2"/>
  <c r="S1262" i="2"/>
  <c r="R1262" i="2"/>
  <c r="AB1262" i="2" s="1"/>
  <c r="Q1262" i="2"/>
  <c r="AA1262" i="2" s="1"/>
  <c r="P1262" i="2"/>
  <c r="Z1262" i="2" s="1"/>
  <c r="O1262" i="2"/>
  <c r="Y1262" i="2" s="1"/>
  <c r="N1262" i="2"/>
  <c r="X1262" i="2" s="1"/>
  <c r="M1262" i="2"/>
  <c r="W1262" i="2" s="1"/>
  <c r="L1262" i="2"/>
  <c r="V1262" i="2" s="1"/>
  <c r="X1261" i="2"/>
  <c r="W1261" i="2"/>
  <c r="V1261" i="2"/>
  <c r="U1261" i="2"/>
  <c r="AE1261" i="2" s="1"/>
  <c r="T1261" i="2"/>
  <c r="AD1261" i="2" s="1"/>
  <c r="S1261" i="2"/>
  <c r="AC1261" i="2" s="1"/>
  <c r="R1261" i="2"/>
  <c r="AB1261" i="2" s="1"/>
  <c r="Q1261" i="2"/>
  <c r="AA1261" i="2" s="1"/>
  <c r="P1261" i="2"/>
  <c r="Z1261" i="2" s="1"/>
  <c r="O1261" i="2"/>
  <c r="Y1261" i="2" s="1"/>
  <c r="N1261" i="2"/>
  <c r="M1261" i="2"/>
  <c r="L1261" i="2"/>
  <c r="AB1260" i="2"/>
  <c r="AA1260" i="2"/>
  <c r="Z1260" i="2"/>
  <c r="Y1260" i="2"/>
  <c r="X1260" i="2"/>
  <c r="W1260" i="2"/>
  <c r="V1260" i="2"/>
  <c r="U1260" i="2"/>
  <c r="AE1260" i="2" s="1"/>
  <c r="T1260" i="2"/>
  <c r="AD1260" i="2" s="1"/>
  <c r="S1260" i="2"/>
  <c r="AC1260" i="2" s="1"/>
  <c r="R1260" i="2"/>
  <c r="Q1260" i="2"/>
  <c r="P1260" i="2"/>
  <c r="O1260" i="2"/>
  <c r="N1260" i="2"/>
  <c r="M1260" i="2"/>
  <c r="L1260" i="2"/>
  <c r="AE1259" i="2"/>
  <c r="AD1259" i="2"/>
  <c r="AC1259" i="2"/>
  <c r="AB1259" i="2"/>
  <c r="AA1259" i="2"/>
  <c r="Z1259" i="2"/>
  <c r="Y1259" i="2"/>
  <c r="X1259" i="2"/>
  <c r="U1259" i="2"/>
  <c r="T1259" i="2"/>
  <c r="S1259" i="2"/>
  <c r="R1259" i="2"/>
  <c r="Q1259" i="2"/>
  <c r="P1259" i="2"/>
  <c r="O1259" i="2"/>
  <c r="N1259" i="2"/>
  <c r="M1259" i="2"/>
  <c r="W1259" i="2" s="1"/>
  <c r="L1259" i="2"/>
  <c r="V1259" i="2" s="1"/>
  <c r="AE1258" i="2"/>
  <c r="AD1258" i="2"/>
  <c r="AC1258" i="2"/>
  <c r="AB1258" i="2"/>
  <c r="U1258" i="2"/>
  <c r="T1258" i="2"/>
  <c r="S1258" i="2"/>
  <c r="R1258" i="2"/>
  <c r="Q1258" i="2"/>
  <c r="AA1258" i="2" s="1"/>
  <c r="P1258" i="2"/>
  <c r="Z1258" i="2" s="1"/>
  <c r="O1258" i="2"/>
  <c r="Y1258" i="2" s="1"/>
  <c r="N1258" i="2"/>
  <c r="X1258" i="2" s="1"/>
  <c r="M1258" i="2"/>
  <c r="W1258" i="2" s="1"/>
  <c r="L1258" i="2"/>
  <c r="V1258" i="2" s="1"/>
  <c r="X1257" i="2"/>
  <c r="W1257" i="2"/>
  <c r="V1257" i="2"/>
  <c r="U1257" i="2"/>
  <c r="AE1257" i="2" s="1"/>
  <c r="T1257" i="2"/>
  <c r="AD1257" i="2" s="1"/>
  <c r="S1257" i="2"/>
  <c r="AC1257" i="2" s="1"/>
  <c r="R1257" i="2"/>
  <c r="AB1257" i="2" s="1"/>
  <c r="Q1257" i="2"/>
  <c r="AA1257" i="2" s="1"/>
  <c r="P1257" i="2"/>
  <c r="Z1257" i="2" s="1"/>
  <c r="O1257" i="2"/>
  <c r="Y1257" i="2" s="1"/>
  <c r="N1257" i="2"/>
  <c r="M1257" i="2"/>
  <c r="L1257" i="2"/>
  <c r="AB1256" i="2"/>
  <c r="AA1256" i="2"/>
  <c r="Z1256" i="2"/>
  <c r="Y1256" i="2"/>
  <c r="X1256" i="2"/>
  <c r="W1256" i="2"/>
  <c r="V1256" i="2"/>
  <c r="U1256" i="2"/>
  <c r="AE1256" i="2" s="1"/>
  <c r="T1256" i="2"/>
  <c r="AD1256" i="2" s="1"/>
  <c r="S1256" i="2"/>
  <c r="AC1256" i="2" s="1"/>
  <c r="R1256" i="2"/>
  <c r="Q1256" i="2"/>
  <c r="P1256" i="2"/>
  <c r="O1256" i="2"/>
  <c r="N1256" i="2"/>
  <c r="M1256" i="2"/>
  <c r="L1256" i="2"/>
  <c r="AE1255" i="2"/>
  <c r="AD1255" i="2"/>
  <c r="AC1255" i="2"/>
  <c r="AB1255" i="2"/>
  <c r="AA1255" i="2"/>
  <c r="Z1255" i="2"/>
  <c r="Y1255" i="2"/>
  <c r="X1255" i="2"/>
  <c r="U1255" i="2"/>
  <c r="T1255" i="2"/>
  <c r="S1255" i="2"/>
  <c r="R1255" i="2"/>
  <c r="Q1255" i="2"/>
  <c r="P1255" i="2"/>
  <c r="O1255" i="2"/>
  <c r="N1255" i="2"/>
  <c r="M1255" i="2"/>
  <c r="W1255" i="2" s="1"/>
  <c r="L1255" i="2"/>
  <c r="V1255" i="2" s="1"/>
  <c r="AE1254" i="2"/>
  <c r="AD1254" i="2"/>
  <c r="AC1254" i="2"/>
  <c r="AB1254" i="2"/>
  <c r="U1254" i="2"/>
  <c r="T1254" i="2"/>
  <c r="S1254" i="2"/>
  <c r="R1254" i="2"/>
  <c r="Q1254" i="2"/>
  <c r="AA1254" i="2" s="1"/>
  <c r="P1254" i="2"/>
  <c r="Z1254" i="2" s="1"/>
  <c r="O1254" i="2"/>
  <c r="Y1254" i="2" s="1"/>
  <c r="N1254" i="2"/>
  <c r="X1254" i="2" s="1"/>
  <c r="M1254" i="2"/>
  <c r="W1254" i="2" s="1"/>
  <c r="L1254" i="2"/>
  <c r="V1254" i="2" s="1"/>
  <c r="X1253" i="2"/>
  <c r="W1253" i="2"/>
  <c r="V1253" i="2"/>
  <c r="U1253" i="2"/>
  <c r="AE1253" i="2" s="1"/>
  <c r="T1253" i="2"/>
  <c r="AD1253" i="2" s="1"/>
  <c r="S1253" i="2"/>
  <c r="AC1253" i="2" s="1"/>
  <c r="R1253" i="2"/>
  <c r="AB1253" i="2" s="1"/>
  <c r="Q1253" i="2"/>
  <c r="AA1253" i="2" s="1"/>
  <c r="P1253" i="2"/>
  <c r="Z1253" i="2" s="1"/>
  <c r="O1253" i="2"/>
  <c r="Y1253" i="2" s="1"/>
  <c r="N1253" i="2"/>
  <c r="M1253" i="2"/>
  <c r="L1253" i="2"/>
  <c r="AB1252" i="2"/>
  <c r="AA1252" i="2"/>
  <c r="Z1252" i="2"/>
  <c r="Y1252" i="2"/>
  <c r="X1252" i="2"/>
  <c r="W1252" i="2"/>
  <c r="V1252" i="2"/>
  <c r="U1252" i="2"/>
  <c r="AE1252" i="2" s="1"/>
  <c r="T1252" i="2"/>
  <c r="AD1252" i="2" s="1"/>
  <c r="S1252" i="2"/>
  <c r="AC1252" i="2" s="1"/>
  <c r="R1252" i="2"/>
  <c r="Q1252" i="2"/>
  <c r="P1252" i="2"/>
  <c r="O1252" i="2"/>
  <c r="N1252" i="2"/>
  <c r="M1252" i="2"/>
  <c r="L1252" i="2"/>
  <c r="AE1251" i="2"/>
  <c r="AD1251" i="2"/>
  <c r="AC1251" i="2"/>
  <c r="AB1251" i="2"/>
  <c r="AA1251" i="2"/>
  <c r="Z1251" i="2"/>
  <c r="Y1251" i="2"/>
  <c r="U1251" i="2"/>
  <c r="T1251" i="2"/>
  <c r="S1251" i="2"/>
  <c r="R1251" i="2"/>
  <c r="Q1251" i="2"/>
  <c r="P1251" i="2"/>
  <c r="O1251" i="2"/>
  <c r="N1251" i="2"/>
  <c r="X1251" i="2" s="1"/>
  <c r="M1251" i="2"/>
  <c r="W1251" i="2" s="1"/>
  <c r="L1251" i="2"/>
  <c r="V1251" i="2" s="1"/>
  <c r="AE1250" i="2"/>
  <c r="AD1250" i="2"/>
  <c r="AC1250" i="2"/>
  <c r="U1250" i="2"/>
  <c r="T1250" i="2"/>
  <c r="S1250" i="2"/>
  <c r="R1250" i="2"/>
  <c r="AB1250" i="2" s="1"/>
  <c r="Q1250" i="2"/>
  <c r="AA1250" i="2" s="1"/>
  <c r="P1250" i="2"/>
  <c r="Z1250" i="2" s="1"/>
  <c r="O1250" i="2"/>
  <c r="Y1250" i="2" s="1"/>
  <c r="N1250" i="2"/>
  <c r="X1250" i="2" s="1"/>
  <c r="M1250" i="2"/>
  <c r="W1250" i="2" s="1"/>
  <c r="L1250" i="2"/>
  <c r="V1250" i="2" s="1"/>
  <c r="X1249" i="2"/>
  <c r="W1249" i="2"/>
  <c r="V1249" i="2"/>
  <c r="U1249" i="2"/>
  <c r="AE1249" i="2" s="1"/>
  <c r="T1249" i="2"/>
  <c r="AD1249" i="2" s="1"/>
  <c r="S1249" i="2"/>
  <c r="AC1249" i="2" s="1"/>
  <c r="R1249" i="2"/>
  <c r="AB1249" i="2" s="1"/>
  <c r="Q1249" i="2"/>
  <c r="AA1249" i="2" s="1"/>
  <c r="P1249" i="2"/>
  <c r="Z1249" i="2" s="1"/>
  <c r="O1249" i="2"/>
  <c r="Y1249" i="2" s="1"/>
  <c r="N1249" i="2"/>
  <c r="M1249" i="2"/>
  <c r="L1249" i="2"/>
  <c r="AB1248" i="2"/>
  <c r="AA1248" i="2"/>
  <c r="Z1248" i="2"/>
  <c r="Y1248" i="2"/>
  <c r="X1248" i="2"/>
  <c r="W1248" i="2"/>
  <c r="V1248" i="2"/>
  <c r="U1248" i="2"/>
  <c r="AE1248" i="2" s="1"/>
  <c r="T1248" i="2"/>
  <c r="AD1248" i="2" s="1"/>
  <c r="S1248" i="2"/>
  <c r="AC1248" i="2" s="1"/>
  <c r="R1248" i="2"/>
  <c r="Q1248" i="2"/>
  <c r="P1248" i="2"/>
  <c r="O1248" i="2"/>
  <c r="N1248" i="2"/>
  <c r="M1248" i="2"/>
  <c r="L1248" i="2"/>
  <c r="AE1247" i="2"/>
  <c r="AD1247" i="2"/>
  <c r="AC1247" i="2"/>
  <c r="AB1247" i="2"/>
  <c r="AA1247" i="2"/>
  <c r="U1247" i="2"/>
  <c r="T1247" i="2"/>
  <c r="S1247" i="2"/>
  <c r="R1247" i="2"/>
  <c r="Q1247" i="2"/>
  <c r="P1247" i="2"/>
  <c r="Z1247" i="2" s="1"/>
  <c r="O1247" i="2"/>
  <c r="Y1247" i="2" s="1"/>
  <c r="N1247" i="2"/>
  <c r="X1247" i="2" s="1"/>
  <c r="M1247" i="2"/>
  <c r="W1247" i="2" s="1"/>
  <c r="L1247" i="2"/>
  <c r="V1247" i="2" s="1"/>
  <c r="AE1246" i="2"/>
  <c r="AA1246" i="2"/>
  <c r="U1246" i="2"/>
  <c r="T1246" i="2"/>
  <c r="AD1246" i="2" s="1"/>
  <c r="S1246" i="2"/>
  <c r="AC1246" i="2" s="1"/>
  <c r="R1246" i="2"/>
  <c r="AB1246" i="2" s="1"/>
  <c r="Q1246" i="2"/>
  <c r="P1246" i="2"/>
  <c r="Z1246" i="2" s="1"/>
  <c r="O1246" i="2"/>
  <c r="Y1246" i="2" s="1"/>
  <c r="N1246" i="2"/>
  <c r="X1246" i="2" s="1"/>
  <c r="M1246" i="2"/>
  <c r="W1246" i="2" s="1"/>
  <c r="L1246" i="2"/>
  <c r="V1246" i="2" s="1"/>
  <c r="X1245" i="2"/>
  <c r="W1245" i="2"/>
  <c r="V1245" i="2"/>
  <c r="U1245" i="2"/>
  <c r="AE1245" i="2" s="1"/>
  <c r="T1245" i="2"/>
  <c r="AD1245" i="2" s="1"/>
  <c r="S1245" i="2"/>
  <c r="AC1245" i="2" s="1"/>
  <c r="R1245" i="2"/>
  <c r="AB1245" i="2" s="1"/>
  <c r="Q1245" i="2"/>
  <c r="AA1245" i="2" s="1"/>
  <c r="P1245" i="2"/>
  <c r="Z1245" i="2" s="1"/>
  <c r="O1245" i="2"/>
  <c r="Y1245" i="2" s="1"/>
  <c r="N1245" i="2"/>
  <c r="M1245" i="2"/>
  <c r="L1245" i="2"/>
  <c r="AB1244" i="2"/>
  <c r="AA1244" i="2"/>
  <c r="Z1244" i="2"/>
  <c r="Y1244" i="2"/>
  <c r="X1244" i="2"/>
  <c r="W1244" i="2"/>
  <c r="U1244" i="2"/>
  <c r="AE1244" i="2" s="1"/>
  <c r="T1244" i="2"/>
  <c r="AD1244" i="2" s="1"/>
  <c r="S1244" i="2"/>
  <c r="AC1244" i="2" s="1"/>
  <c r="R1244" i="2"/>
  <c r="Q1244" i="2"/>
  <c r="P1244" i="2"/>
  <c r="O1244" i="2"/>
  <c r="N1244" i="2"/>
  <c r="M1244" i="2"/>
  <c r="L1244" i="2"/>
  <c r="V1244" i="2" s="1"/>
  <c r="AE1243" i="2"/>
  <c r="AD1243" i="2"/>
  <c r="AC1243" i="2"/>
  <c r="AB1243" i="2"/>
  <c r="AA1243" i="2"/>
  <c r="W1243" i="2"/>
  <c r="U1243" i="2"/>
  <c r="T1243" i="2"/>
  <c r="S1243" i="2"/>
  <c r="R1243" i="2"/>
  <c r="Q1243" i="2"/>
  <c r="P1243" i="2"/>
  <c r="Z1243" i="2" s="1"/>
  <c r="O1243" i="2"/>
  <c r="Y1243" i="2" s="1"/>
  <c r="N1243" i="2"/>
  <c r="X1243" i="2" s="1"/>
  <c r="M1243" i="2"/>
  <c r="L1243" i="2"/>
  <c r="V1243" i="2" s="1"/>
  <c r="AE1242" i="2"/>
  <c r="AB1242" i="2"/>
  <c r="AA1242" i="2"/>
  <c r="U1242" i="2"/>
  <c r="T1242" i="2"/>
  <c r="AD1242" i="2" s="1"/>
  <c r="S1242" i="2"/>
  <c r="AC1242" i="2" s="1"/>
  <c r="R1242" i="2"/>
  <c r="Q1242" i="2"/>
  <c r="P1242" i="2"/>
  <c r="Z1242" i="2" s="1"/>
  <c r="O1242" i="2"/>
  <c r="Y1242" i="2" s="1"/>
  <c r="N1242" i="2"/>
  <c r="X1242" i="2" s="1"/>
  <c r="M1242" i="2"/>
  <c r="W1242" i="2" s="1"/>
  <c r="L1242" i="2"/>
  <c r="V1242" i="2" s="1"/>
  <c r="X1241" i="2"/>
  <c r="W1241" i="2"/>
  <c r="V1241" i="2"/>
  <c r="U1241" i="2"/>
  <c r="AE1241" i="2" s="1"/>
  <c r="T1241" i="2"/>
  <c r="AD1241" i="2" s="1"/>
  <c r="S1241" i="2"/>
  <c r="AC1241" i="2" s="1"/>
  <c r="R1241" i="2"/>
  <c r="AB1241" i="2" s="1"/>
  <c r="Q1241" i="2"/>
  <c r="AA1241" i="2" s="1"/>
  <c r="P1241" i="2"/>
  <c r="Z1241" i="2" s="1"/>
  <c r="O1241" i="2"/>
  <c r="Y1241" i="2" s="1"/>
  <c r="N1241" i="2"/>
  <c r="M1241" i="2"/>
  <c r="L1241" i="2"/>
  <c r="AB1240" i="2"/>
  <c r="AA1240" i="2"/>
  <c r="Z1240" i="2"/>
  <c r="Y1240" i="2"/>
  <c r="X1240" i="2"/>
  <c r="W1240" i="2"/>
  <c r="U1240" i="2"/>
  <c r="AE1240" i="2" s="1"/>
  <c r="T1240" i="2"/>
  <c r="AD1240" i="2" s="1"/>
  <c r="S1240" i="2"/>
  <c r="AC1240" i="2" s="1"/>
  <c r="R1240" i="2"/>
  <c r="Q1240" i="2"/>
  <c r="P1240" i="2"/>
  <c r="O1240" i="2"/>
  <c r="N1240" i="2"/>
  <c r="M1240" i="2"/>
  <c r="L1240" i="2"/>
  <c r="V1240" i="2" s="1"/>
  <c r="AE1239" i="2"/>
  <c r="AD1239" i="2"/>
  <c r="AC1239" i="2"/>
  <c r="AB1239" i="2"/>
  <c r="AA1239" i="2"/>
  <c r="X1239" i="2"/>
  <c r="W1239" i="2"/>
  <c r="U1239" i="2"/>
  <c r="T1239" i="2"/>
  <c r="S1239" i="2"/>
  <c r="R1239" i="2"/>
  <c r="Q1239" i="2"/>
  <c r="P1239" i="2"/>
  <c r="Z1239" i="2" s="1"/>
  <c r="O1239" i="2"/>
  <c r="Y1239" i="2" s="1"/>
  <c r="N1239" i="2"/>
  <c r="M1239" i="2"/>
  <c r="L1239" i="2"/>
  <c r="V1239" i="2" s="1"/>
  <c r="AE1238" i="2"/>
  <c r="AC1238" i="2"/>
  <c r="AB1238" i="2"/>
  <c r="U1238" i="2"/>
  <c r="T1238" i="2"/>
  <c r="AD1238" i="2" s="1"/>
  <c r="S1238" i="2"/>
  <c r="R1238" i="2"/>
  <c r="Q1238" i="2"/>
  <c r="AA1238" i="2" s="1"/>
  <c r="P1238" i="2"/>
  <c r="Z1238" i="2" s="1"/>
  <c r="O1238" i="2"/>
  <c r="Y1238" i="2" s="1"/>
  <c r="N1238" i="2"/>
  <c r="X1238" i="2" s="1"/>
  <c r="M1238" i="2"/>
  <c r="W1238" i="2" s="1"/>
  <c r="L1238" i="2"/>
  <c r="V1238" i="2" s="1"/>
  <c r="X1237" i="2"/>
  <c r="W1237" i="2"/>
  <c r="V1237" i="2"/>
  <c r="U1237" i="2"/>
  <c r="AE1237" i="2" s="1"/>
  <c r="T1237" i="2"/>
  <c r="AD1237" i="2" s="1"/>
  <c r="S1237" i="2"/>
  <c r="AC1237" i="2" s="1"/>
  <c r="R1237" i="2"/>
  <c r="AB1237" i="2" s="1"/>
  <c r="Q1237" i="2"/>
  <c r="AA1237" i="2" s="1"/>
  <c r="P1237" i="2"/>
  <c r="Z1237" i="2" s="1"/>
  <c r="O1237" i="2"/>
  <c r="Y1237" i="2" s="1"/>
  <c r="N1237" i="2"/>
  <c r="M1237" i="2"/>
  <c r="L1237" i="2"/>
  <c r="AB1236" i="2"/>
  <c r="AA1236" i="2"/>
  <c r="Z1236" i="2"/>
  <c r="Y1236" i="2"/>
  <c r="X1236" i="2"/>
  <c r="W1236" i="2"/>
  <c r="V1236" i="2"/>
  <c r="U1236" i="2"/>
  <c r="AE1236" i="2" s="1"/>
  <c r="T1236" i="2"/>
  <c r="AD1236" i="2" s="1"/>
  <c r="S1236" i="2"/>
  <c r="AC1236" i="2" s="1"/>
  <c r="R1236" i="2"/>
  <c r="Q1236" i="2"/>
  <c r="P1236" i="2"/>
  <c r="O1236" i="2"/>
  <c r="N1236" i="2"/>
  <c r="M1236" i="2"/>
  <c r="L1236" i="2"/>
  <c r="AE1235" i="2"/>
  <c r="AD1235" i="2"/>
  <c r="AC1235" i="2"/>
  <c r="AB1235" i="2"/>
  <c r="Y1235" i="2"/>
  <c r="X1235" i="2"/>
  <c r="W1235" i="2"/>
  <c r="U1235" i="2"/>
  <c r="T1235" i="2"/>
  <c r="S1235" i="2"/>
  <c r="R1235" i="2"/>
  <c r="Q1235" i="2"/>
  <c r="AA1235" i="2" s="1"/>
  <c r="P1235" i="2"/>
  <c r="Z1235" i="2" s="1"/>
  <c r="O1235" i="2"/>
  <c r="N1235" i="2"/>
  <c r="M1235" i="2"/>
  <c r="L1235" i="2"/>
  <c r="V1235" i="2" s="1"/>
  <c r="AB1234" i="2"/>
  <c r="AA1234" i="2"/>
  <c r="Y1234" i="2"/>
  <c r="X1234" i="2"/>
  <c r="V1234" i="2"/>
  <c r="U1234" i="2"/>
  <c r="AE1234" i="2" s="1"/>
  <c r="T1234" i="2"/>
  <c r="AD1234" i="2" s="1"/>
  <c r="S1234" i="2"/>
  <c r="AC1234" i="2" s="1"/>
  <c r="R1234" i="2"/>
  <c r="Q1234" i="2"/>
  <c r="P1234" i="2"/>
  <c r="Z1234" i="2" s="1"/>
  <c r="O1234" i="2"/>
  <c r="N1234" i="2"/>
  <c r="M1234" i="2"/>
  <c r="W1234" i="2" s="1"/>
  <c r="L1234" i="2"/>
  <c r="AE1233" i="2"/>
  <c r="AC1233" i="2"/>
  <c r="AB1233" i="2"/>
  <c r="AA1233" i="2"/>
  <c r="Y1233" i="2"/>
  <c r="X1233" i="2"/>
  <c r="W1233" i="2"/>
  <c r="V1233" i="2"/>
  <c r="U1233" i="2"/>
  <c r="T1233" i="2"/>
  <c r="AD1233" i="2" s="1"/>
  <c r="S1233" i="2"/>
  <c r="R1233" i="2"/>
  <c r="Q1233" i="2"/>
  <c r="P1233" i="2"/>
  <c r="Z1233" i="2" s="1"/>
  <c r="O1233" i="2"/>
  <c r="N1233" i="2"/>
  <c r="M1233" i="2"/>
  <c r="L1233" i="2"/>
  <c r="AE1232" i="2"/>
  <c r="AC1232" i="2"/>
  <c r="AB1232" i="2"/>
  <c r="AA1232" i="2"/>
  <c r="Z1232" i="2"/>
  <c r="U1232" i="2"/>
  <c r="T1232" i="2"/>
  <c r="AD1232" i="2" s="1"/>
  <c r="S1232" i="2"/>
  <c r="R1232" i="2"/>
  <c r="Q1232" i="2"/>
  <c r="P1232" i="2"/>
  <c r="O1232" i="2"/>
  <c r="Y1232" i="2" s="1"/>
  <c r="N1232" i="2"/>
  <c r="X1232" i="2" s="1"/>
  <c r="M1232" i="2"/>
  <c r="W1232" i="2" s="1"/>
  <c r="L1232" i="2"/>
  <c r="V1232" i="2" s="1"/>
  <c r="AE1231" i="2"/>
  <c r="AD1231" i="2"/>
  <c r="W1231" i="2"/>
  <c r="V1231" i="2"/>
  <c r="U1231" i="2"/>
  <c r="T1231" i="2"/>
  <c r="S1231" i="2"/>
  <c r="AC1231" i="2" s="1"/>
  <c r="R1231" i="2"/>
  <c r="AB1231" i="2" s="1"/>
  <c r="Q1231" i="2"/>
  <c r="AA1231" i="2" s="1"/>
  <c r="P1231" i="2"/>
  <c r="Z1231" i="2" s="1"/>
  <c r="O1231" i="2"/>
  <c r="Y1231" i="2" s="1"/>
  <c r="N1231" i="2"/>
  <c r="X1231" i="2" s="1"/>
  <c r="M1231" i="2"/>
  <c r="L1231" i="2"/>
  <c r="AA1230" i="2"/>
  <c r="Z1230" i="2"/>
  <c r="Y1230" i="2"/>
  <c r="X1230" i="2"/>
  <c r="W1230" i="2"/>
  <c r="U1230" i="2"/>
  <c r="AE1230" i="2" s="1"/>
  <c r="T1230" i="2"/>
  <c r="AD1230" i="2" s="1"/>
  <c r="S1230" i="2"/>
  <c r="AC1230" i="2" s="1"/>
  <c r="R1230" i="2"/>
  <c r="AB1230" i="2" s="1"/>
  <c r="Q1230" i="2"/>
  <c r="P1230" i="2"/>
  <c r="O1230" i="2"/>
  <c r="N1230" i="2"/>
  <c r="M1230" i="2"/>
  <c r="L1230" i="2"/>
  <c r="V1230" i="2" s="1"/>
  <c r="AE1229" i="2"/>
  <c r="AD1229" i="2"/>
  <c r="AC1229" i="2"/>
  <c r="AB1229" i="2"/>
  <c r="AA1229" i="2"/>
  <c r="Y1229" i="2"/>
  <c r="X1229" i="2"/>
  <c r="W1229" i="2"/>
  <c r="V1229" i="2"/>
  <c r="U1229" i="2"/>
  <c r="T1229" i="2"/>
  <c r="S1229" i="2"/>
  <c r="R1229" i="2"/>
  <c r="Q1229" i="2"/>
  <c r="P1229" i="2"/>
  <c r="Z1229" i="2" s="1"/>
  <c r="O1229" i="2"/>
  <c r="N1229" i="2"/>
  <c r="M1229" i="2"/>
  <c r="L1229" i="2"/>
  <c r="AE1228" i="2"/>
  <c r="AC1228" i="2"/>
  <c r="AB1228" i="2"/>
  <c r="AA1228" i="2"/>
  <c r="Z1228" i="2"/>
  <c r="U1228" i="2"/>
  <c r="T1228" i="2"/>
  <c r="AD1228" i="2" s="1"/>
  <c r="S1228" i="2"/>
  <c r="R1228" i="2"/>
  <c r="Q1228" i="2"/>
  <c r="P1228" i="2"/>
  <c r="O1228" i="2"/>
  <c r="Y1228" i="2" s="1"/>
  <c r="N1228" i="2"/>
  <c r="X1228" i="2" s="1"/>
  <c r="M1228" i="2"/>
  <c r="W1228" i="2" s="1"/>
  <c r="L1228" i="2"/>
  <c r="V1228" i="2" s="1"/>
  <c r="AE1227" i="2"/>
  <c r="AD1227" i="2"/>
  <c r="W1227" i="2"/>
  <c r="V1227" i="2"/>
  <c r="U1227" i="2"/>
  <c r="T1227" i="2"/>
  <c r="S1227" i="2"/>
  <c r="AC1227" i="2" s="1"/>
  <c r="R1227" i="2"/>
  <c r="AB1227" i="2" s="1"/>
  <c r="Q1227" i="2"/>
  <c r="AA1227" i="2" s="1"/>
  <c r="P1227" i="2"/>
  <c r="Z1227" i="2" s="1"/>
  <c r="O1227" i="2"/>
  <c r="Y1227" i="2" s="1"/>
  <c r="N1227" i="2"/>
  <c r="X1227" i="2" s="1"/>
  <c r="M1227" i="2"/>
  <c r="L1227" i="2"/>
  <c r="AA1226" i="2"/>
  <c r="Z1226" i="2"/>
  <c r="Y1226" i="2"/>
  <c r="X1226" i="2"/>
  <c r="W1226" i="2"/>
  <c r="U1226" i="2"/>
  <c r="AE1226" i="2" s="1"/>
  <c r="T1226" i="2"/>
  <c r="AD1226" i="2" s="1"/>
  <c r="S1226" i="2"/>
  <c r="AC1226" i="2" s="1"/>
  <c r="R1226" i="2"/>
  <c r="AB1226" i="2" s="1"/>
  <c r="Q1226" i="2"/>
  <c r="P1226" i="2"/>
  <c r="O1226" i="2"/>
  <c r="N1226" i="2"/>
  <c r="M1226" i="2"/>
  <c r="L1226" i="2"/>
  <c r="V1226" i="2" s="1"/>
  <c r="AE1225" i="2"/>
  <c r="AD1225" i="2"/>
  <c r="AC1225" i="2"/>
  <c r="AB1225" i="2"/>
  <c r="AA1225" i="2"/>
  <c r="Y1225" i="2"/>
  <c r="X1225" i="2"/>
  <c r="W1225" i="2"/>
  <c r="V1225" i="2"/>
  <c r="U1225" i="2"/>
  <c r="T1225" i="2"/>
  <c r="S1225" i="2"/>
  <c r="R1225" i="2"/>
  <c r="Q1225" i="2"/>
  <c r="P1225" i="2"/>
  <c r="Z1225" i="2" s="1"/>
  <c r="O1225" i="2"/>
  <c r="N1225" i="2"/>
  <c r="M1225" i="2"/>
  <c r="L1225" i="2"/>
  <c r="AE1224" i="2"/>
  <c r="AC1224" i="2"/>
  <c r="AB1224" i="2"/>
  <c r="AA1224" i="2"/>
  <c r="Z1224" i="2"/>
  <c r="U1224" i="2"/>
  <c r="T1224" i="2"/>
  <c r="AD1224" i="2" s="1"/>
  <c r="S1224" i="2"/>
  <c r="R1224" i="2"/>
  <c r="Q1224" i="2"/>
  <c r="P1224" i="2"/>
  <c r="O1224" i="2"/>
  <c r="Y1224" i="2" s="1"/>
  <c r="N1224" i="2"/>
  <c r="X1224" i="2" s="1"/>
  <c r="M1224" i="2"/>
  <c r="W1224" i="2" s="1"/>
  <c r="L1224" i="2"/>
  <c r="V1224" i="2" s="1"/>
  <c r="AE1223" i="2"/>
  <c r="AD1223" i="2"/>
  <c r="W1223" i="2"/>
  <c r="V1223" i="2"/>
  <c r="U1223" i="2"/>
  <c r="T1223" i="2"/>
  <c r="S1223" i="2"/>
  <c r="AC1223" i="2" s="1"/>
  <c r="R1223" i="2"/>
  <c r="AB1223" i="2" s="1"/>
  <c r="Q1223" i="2"/>
  <c r="AA1223" i="2" s="1"/>
  <c r="P1223" i="2"/>
  <c r="Z1223" i="2" s="1"/>
  <c r="O1223" i="2"/>
  <c r="Y1223" i="2" s="1"/>
  <c r="N1223" i="2"/>
  <c r="X1223" i="2" s="1"/>
  <c r="M1223" i="2"/>
  <c r="L1223" i="2"/>
  <c r="AA1222" i="2"/>
  <c r="Z1222" i="2"/>
  <c r="Y1222" i="2"/>
  <c r="X1222" i="2"/>
  <c r="W1222" i="2"/>
  <c r="U1222" i="2"/>
  <c r="AE1222" i="2" s="1"/>
  <c r="T1222" i="2"/>
  <c r="AD1222" i="2" s="1"/>
  <c r="S1222" i="2"/>
  <c r="AC1222" i="2" s="1"/>
  <c r="R1222" i="2"/>
  <c r="AB1222" i="2" s="1"/>
  <c r="Q1222" i="2"/>
  <c r="P1222" i="2"/>
  <c r="O1222" i="2"/>
  <c r="N1222" i="2"/>
  <c r="M1222" i="2"/>
  <c r="L1222" i="2"/>
  <c r="V1222" i="2" s="1"/>
  <c r="AE1221" i="2"/>
  <c r="AD1221" i="2"/>
  <c r="AC1221" i="2"/>
  <c r="AB1221" i="2"/>
  <c r="AA1221" i="2"/>
  <c r="Y1221" i="2"/>
  <c r="X1221" i="2"/>
  <c r="W1221" i="2"/>
  <c r="V1221" i="2"/>
  <c r="U1221" i="2"/>
  <c r="T1221" i="2"/>
  <c r="S1221" i="2"/>
  <c r="R1221" i="2"/>
  <c r="Q1221" i="2"/>
  <c r="P1221" i="2"/>
  <c r="Z1221" i="2" s="1"/>
  <c r="O1221" i="2"/>
  <c r="N1221" i="2"/>
  <c r="M1221" i="2"/>
  <c r="L1221" i="2"/>
  <c r="AE1220" i="2"/>
  <c r="AC1220" i="2"/>
  <c r="AB1220" i="2"/>
  <c r="AA1220" i="2"/>
  <c r="Z1220" i="2"/>
  <c r="U1220" i="2"/>
  <c r="T1220" i="2"/>
  <c r="AD1220" i="2" s="1"/>
  <c r="S1220" i="2"/>
  <c r="R1220" i="2"/>
  <c r="Q1220" i="2"/>
  <c r="P1220" i="2"/>
  <c r="O1220" i="2"/>
  <c r="Y1220" i="2" s="1"/>
  <c r="N1220" i="2"/>
  <c r="X1220" i="2" s="1"/>
  <c r="M1220" i="2"/>
  <c r="W1220" i="2" s="1"/>
  <c r="L1220" i="2"/>
  <c r="V1220" i="2" s="1"/>
  <c r="AE1219" i="2"/>
  <c r="AD1219" i="2"/>
  <c r="W1219" i="2"/>
  <c r="V1219" i="2"/>
  <c r="U1219" i="2"/>
  <c r="T1219" i="2"/>
  <c r="S1219" i="2"/>
  <c r="AC1219" i="2" s="1"/>
  <c r="R1219" i="2"/>
  <c r="AB1219" i="2" s="1"/>
  <c r="Q1219" i="2"/>
  <c r="AA1219" i="2" s="1"/>
  <c r="P1219" i="2"/>
  <c r="Z1219" i="2" s="1"/>
  <c r="O1219" i="2"/>
  <c r="Y1219" i="2" s="1"/>
  <c r="N1219" i="2"/>
  <c r="X1219" i="2" s="1"/>
  <c r="M1219" i="2"/>
  <c r="L1219" i="2"/>
  <c r="AA1218" i="2"/>
  <c r="Z1218" i="2"/>
  <c r="Y1218" i="2"/>
  <c r="X1218" i="2"/>
  <c r="W1218" i="2"/>
  <c r="U1218" i="2"/>
  <c r="AE1218" i="2" s="1"/>
  <c r="T1218" i="2"/>
  <c r="AD1218" i="2" s="1"/>
  <c r="S1218" i="2"/>
  <c r="AC1218" i="2" s="1"/>
  <c r="R1218" i="2"/>
  <c r="AB1218" i="2" s="1"/>
  <c r="Q1218" i="2"/>
  <c r="P1218" i="2"/>
  <c r="O1218" i="2"/>
  <c r="N1218" i="2"/>
  <c r="M1218" i="2"/>
  <c r="L1218" i="2"/>
  <c r="V1218" i="2" s="1"/>
  <c r="AE1217" i="2"/>
  <c r="AD1217" i="2"/>
  <c r="AC1217" i="2"/>
  <c r="AB1217" i="2"/>
  <c r="AA1217" i="2"/>
  <c r="Y1217" i="2"/>
  <c r="X1217" i="2"/>
  <c r="W1217" i="2"/>
  <c r="V1217" i="2"/>
  <c r="U1217" i="2"/>
  <c r="T1217" i="2"/>
  <c r="S1217" i="2"/>
  <c r="R1217" i="2"/>
  <c r="Q1217" i="2"/>
  <c r="P1217" i="2"/>
  <c r="Z1217" i="2" s="1"/>
  <c r="O1217" i="2"/>
  <c r="N1217" i="2"/>
  <c r="M1217" i="2"/>
  <c r="L1217" i="2"/>
  <c r="AE1216" i="2"/>
  <c r="AC1216" i="2"/>
  <c r="AB1216" i="2"/>
  <c r="AA1216" i="2"/>
  <c r="Z1216" i="2"/>
  <c r="U1216" i="2"/>
  <c r="T1216" i="2"/>
  <c r="AD1216" i="2" s="1"/>
  <c r="S1216" i="2"/>
  <c r="R1216" i="2"/>
  <c r="Q1216" i="2"/>
  <c r="P1216" i="2"/>
  <c r="O1216" i="2"/>
  <c r="Y1216" i="2" s="1"/>
  <c r="N1216" i="2"/>
  <c r="X1216" i="2" s="1"/>
  <c r="M1216" i="2"/>
  <c r="W1216" i="2" s="1"/>
  <c r="L1216" i="2"/>
  <c r="V1216" i="2" s="1"/>
  <c r="AE1215" i="2"/>
  <c r="AD1215" i="2"/>
  <c r="W1215" i="2"/>
  <c r="V1215" i="2"/>
  <c r="U1215" i="2"/>
  <c r="T1215" i="2"/>
  <c r="S1215" i="2"/>
  <c r="AC1215" i="2" s="1"/>
  <c r="R1215" i="2"/>
  <c r="AB1215" i="2" s="1"/>
  <c r="Q1215" i="2"/>
  <c r="AA1215" i="2" s="1"/>
  <c r="P1215" i="2"/>
  <c r="Z1215" i="2" s="1"/>
  <c r="O1215" i="2"/>
  <c r="Y1215" i="2" s="1"/>
  <c r="N1215" i="2"/>
  <c r="X1215" i="2" s="1"/>
  <c r="M1215" i="2"/>
  <c r="L1215" i="2"/>
  <c r="AA1214" i="2"/>
  <c r="Z1214" i="2"/>
  <c r="Y1214" i="2"/>
  <c r="X1214" i="2"/>
  <c r="W1214" i="2"/>
  <c r="U1214" i="2"/>
  <c r="AE1214" i="2" s="1"/>
  <c r="T1214" i="2"/>
  <c r="AD1214" i="2" s="1"/>
  <c r="S1214" i="2"/>
  <c r="AC1214" i="2" s="1"/>
  <c r="R1214" i="2"/>
  <c r="AB1214" i="2" s="1"/>
  <c r="Q1214" i="2"/>
  <c r="P1214" i="2"/>
  <c r="O1214" i="2"/>
  <c r="N1214" i="2"/>
  <c r="M1214" i="2"/>
  <c r="L1214" i="2"/>
  <c r="V1214" i="2" s="1"/>
  <c r="AE1213" i="2"/>
  <c r="AD1213" i="2"/>
  <c r="AC1213" i="2"/>
  <c r="AB1213" i="2"/>
  <c r="AA1213" i="2"/>
  <c r="X1213" i="2"/>
  <c r="W1213" i="2"/>
  <c r="V1213" i="2"/>
  <c r="U1213" i="2"/>
  <c r="T1213" i="2"/>
  <c r="S1213" i="2"/>
  <c r="R1213" i="2"/>
  <c r="Q1213" i="2"/>
  <c r="P1213" i="2"/>
  <c r="Z1213" i="2" s="1"/>
  <c r="O1213" i="2"/>
  <c r="Y1213" i="2" s="1"/>
  <c r="N1213" i="2"/>
  <c r="M1213" i="2"/>
  <c r="L1213" i="2"/>
  <c r="AE1212" i="2"/>
  <c r="AB1212" i="2"/>
  <c r="AA1212" i="2"/>
  <c r="Z1212" i="2"/>
  <c r="U1212" i="2"/>
  <c r="T1212" i="2"/>
  <c r="AD1212" i="2" s="1"/>
  <c r="S1212" i="2"/>
  <c r="AC1212" i="2" s="1"/>
  <c r="R1212" i="2"/>
  <c r="Q1212" i="2"/>
  <c r="P1212" i="2"/>
  <c r="O1212" i="2"/>
  <c r="Y1212" i="2" s="1"/>
  <c r="N1212" i="2"/>
  <c r="X1212" i="2" s="1"/>
  <c r="M1212" i="2"/>
  <c r="W1212" i="2" s="1"/>
  <c r="L1212" i="2"/>
  <c r="V1212" i="2" s="1"/>
  <c r="AE1211" i="2"/>
  <c r="AD1211" i="2"/>
  <c r="W1211" i="2"/>
  <c r="V1211" i="2"/>
  <c r="U1211" i="2"/>
  <c r="T1211" i="2"/>
  <c r="S1211" i="2"/>
  <c r="AC1211" i="2" s="1"/>
  <c r="R1211" i="2"/>
  <c r="AB1211" i="2" s="1"/>
  <c r="Q1211" i="2"/>
  <c r="AA1211" i="2" s="1"/>
  <c r="P1211" i="2"/>
  <c r="Z1211" i="2" s="1"/>
  <c r="O1211" i="2"/>
  <c r="Y1211" i="2" s="1"/>
  <c r="N1211" i="2"/>
  <c r="X1211" i="2" s="1"/>
  <c r="M1211" i="2"/>
  <c r="L1211" i="2"/>
  <c r="AA1210" i="2"/>
  <c r="Z1210" i="2"/>
  <c r="Y1210" i="2"/>
  <c r="X1210" i="2"/>
  <c r="W1210" i="2"/>
  <c r="U1210" i="2"/>
  <c r="AE1210" i="2" s="1"/>
  <c r="T1210" i="2"/>
  <c r="AD1210" i="2" s="1"/>
  <c r="S1210" i="2"/>
  <c r="AC1210" i="2" s="1"/>
  <c r="R1210" i="2"/>
  <c r="AB1210" i="2" s="1"/>
  <c r="Q1210" i="2"/>
  <c r="P1210" i="2"/>
  <c r="O1210" i="2"/>
  <c r="N1210" i="2"/>
  <c r="M1210" i="2"/>
  <c r="L1210" i="2"/>
  <c r="V1210" i="2" s="1"/>
  <c r="AE1209" i="2"/>
  <c r="AD1209" i="2"/>
  <c r="AC1209" i="2"/>
  <c r="AB1209" i="2"/>
  <c r="AA1209" i="2"/>
  <c r="X1209" i="2"/>
  <c r="W1209" i="2"/>
  <c r="V1209" i="2"/>
  <c r="U1209" i="2"/>
  <c r="T1209" i="2"/>
  <c r="S1209" i="2"/>
  <c r="R1209" i="2"/>
  <c r="Q1209" i="2"/>
  <c r="P1209" i="2"/>
  <c r="Z1209" i="2" s="1"/>
  <c r="O1209" i="2"/>
  <c r="Y1209" i="2" s="1"/>
  <c r="N1209" i="2"/>
  <c r="M1209" i="2"/>
  <c r="L1209" i="2"/>
  <c r="AE1208" i="2"/>
  <c r="AC1208" i="2"/>
  <c r="AB1208" i="2"/>
  <c r="AA1208" i="2"/>
  <c r="Z1208" i="2"/>
  <c r="U1208" i="2"/>
  <c r="T1208" i="2"/>
  <c r="AD1208" i="2" s="1"/>
  <c r="S1208" i="2"/>
  <c r="R1208" i="2"/>
  <c r="Q1208" i="2"/>
  <c r="P1208" i="2"/>
  <c r="O1208" i="2"/>
  <c r="Y1208" i="2" s="1"/>
  <c r="N1208" i="2"/>
  <c r="X1208" i="2" s="1"/>
  <c r="M1208" i="2"/>
  <c r="W1208" i="2" s="1"/>
  <c r="L1208" i="2"/>
  <c r="V1208" i="2" s="1"/>
  <c r="AE1207" i="2"/>
  <c r="AD1207" i="2"/>
  <c r="W1207" i="2"/>
  <c r="V1207" i="2"/>
  <c r="U1207" i="2"/>
  <c r="T1207" i="2"/>
  <c r="S1207" i="2"/>
  <c r="AC1207" i="2" s="1"/>
  <c r="R1207" i="2"/>
  <c r="AB1207" i="2" s="1"/>
  <c r="Q1207" i="2"/>
  <c r="AA1207" i="2" s="1"/>
  <c r="P1207" i="2"/>
  <c r="Z1207" i="2" s="1"/>
  <c r="O1207" i="2"/>
  <c r="Y1207" i="2" s="1"/>
  <c r="N1207" i="2"/>
  <c r="X1207" i="2" s="1"/>
  <c r="M1207" i="2"/>
  <c r="L1207" i="2"/>
  <c r="AA1206" i="2"/>
  <c r="Z1206" i="2"/>
  <c r="Y1206" i="2"/>
  <c r="X1206" i="2"/>
  <c r="W1206" i="2"/>
  <c r="U1206" i="2"/>
  <c r="AE1206" i="2" s="1"/>
  <c r="T1206" i="2"/>
  <c r="AD1206" i="2" s="1"/>
  <c r="S1206" i="2"/>
  <c r="AC1206" i="2" s="1"/>
  <c r="R1206" i="2"/>
  <c r="AB1206" i="2" s="1"/>
  <c r="Q1206" i="2"/>
  <c r="P1206" i="2"/>
  <c r="O1206" i="2"/>
  <c r="N1206" i="2"/>
  <c r="M1206" i="2"/>
  <c r="L1206" i="2"/>
  <c r="V1206" i="2" s="1"/>
  <c r="AE1205" i="2"/>
  <c r="AD1205" i="2"/>
  <c r="AC1205" i="2"/>
  <c r="AB1205" i="2"/>
  <c r="AA1205" i="2"/>
  <c r="Y1205" i="2"/>
  <c r="X1205" i="2"/>
  <c r="W1205" i="2"/>
  <c r="V1205" i="2"/>
  <c r="U1205" i="2"/>
  <c r="T1205" i="2"/>
  <c r="S1205" i="2"/>
  <c r="R1205" i="2"/>
  <c r="Q1205" i="2"/>
  <c r="P1205" i="2"/>
  <c r="Z1205" i="2" s="1"/>
  <c r="O1205" i="2"/>
  <c r="N1205" i="2"/>
  <c r="M1205" i="2"/>
  <c r="L1205" i="2"/>
  <c r="AE1204" i="2"/>
  <c r="AC1204" i="2"/>
  <c r="AB1204" i="2"/>
  <c r="AA1204" i="2"/>
  <c r="Z1204" i="2"/>
  <c r="U1204" i="2"/>
  <c r="T1204" i="2"/>
  <c r="AD1204" i="2" s="1"/>
  <c r="S1204" i="2"/>
  <c r="R1204" i="2"/>
  <c r="Q1204" i="2"/>
  <c r="P1204" i="2"/>
  <c r="O1204" i="2"/>
  <c r="Y1204" i="2" s="1"/>
  <c r="N1204" i="2"/>
  <c r="X1204" i="2" s="1"/>
  <c r="M1204" i="2"/>
  <c r="W1204" i="2" s="1"/>
  <c r="L1204" i="2"/>
  <c r="V1204" i="2" s="1"/>
  <c r="AE1203" i="2"/>
  <c r="AD1203" i="2"/>
  <c r="W1203" i="2"/>
  <c r="V1203" i="2"/>
  <c r="U1203" i="2"/>
  <c r="T1203" i="2"/>
  <c r="S1203" i="2"/>
  <c r="AC1203" i="2" s="1"/>
  <c r="R1203" i="2"/>
  <c r="AB1203" i="2" s="1"/>
  <c r="Q1203" i="2"/>
  <c r="AA1203" i="2" s="1"/>
  <c r="P1203" i="2"/>
  <c r="Z1203" i="2" s="1"/>
  <c r="O1203" i="2"/>
  <c r="Y1203" i="2" s="1"/>
  <c r="N1203" i="2"/>
  <c r="X1203" i="2" s="1"/>
  <c r="M1203" i="2"/>
  <c r="L1203" i="2"/>
  <c r="AA1202" i="2"/>
  <c r="Z1202" i="2"/>
  <c r="Y1202" i="2"/>
  <c r="X1202" i="2"/>
  <c r="W1202" i="2"/>
  <c r="U1202" i="2"/>
  <c r="AE1202" i="2" s="1"/>
  <c r="T1202" i="2"/>
  <c r="AD1202" i="2" s="1"/>
  <c r="S1202" i="2"/>
  <c r="AC1202" i="2" s="1"/>
  <c r="R1202" i="2"/>
  <c r="AB1202" i="2" s="1"/>
  <c r="Q1202" i="2"/>
  <c r="P1202" i="2"/>
  <c r="O1202" i="2"/>
  <c r="N1202" i="2"/>
  <c r="M1202" i="2"/>
  <c r="L1202" i="2"/>
  <c r="V1202" i="2" s="1"/>
  <c r="AE1201" i="2"/>
  <c r="AD1201" i="2"/>
  <c r="AC1201" i="2"/>
  <c r="AB1201" i="2"/>
  <c r="AA1201" i="2"/>
  <c r="Y1201" i="2"/>
  <c r="X1201" i="2"/>
  <c r="W1201" i="2"/>
  <c r="V1201" i="2"/>
  <c r="U1201" i="2"/>
  <c r="T1201" i="2"/>
  <c r="S1201" i="2"/>
  <c r="R1201" i="2"/>
  <c r="Q1201" i="2"/>
  <c r="P1201" i="2"/>
  <c r="Z1201" i="2" s="1"/>
  <c r="O1201" i="2"/>
  <c r="N1201" i="2"/>
  <c r="M1201" i="2"/>
  <c r="L1201" i="2"/>
  <c r="AE1200" i="2"/>
  <c r="AC1200" i="2"/>
  <c r="AB1200" i="2"/>
  <c r="AA1200" i="2"/>
  <c r="Z1200" i="2"/>
  <c r="U1200" i="2"/>
  <c r="T1200" i="2"/>
  <c r="AD1200" i="2" s="1"/>
  <c r="S1200" i="2"/>
  <c r="R1200" i="2"/>
  <c r="Q1200" i="2"/>
  <c r="P1200" i="2"/>
  <c r="O1200" i="2"/>
  <c r="Y1200" i="2" s="1"/>
  <c r="N1200" i="2"/>
  <c r="X1200" i="2" s="1"/>
  <c r="M1200" i="2"/>
  <c r="W1200" i="2" s="1"/>
  <c r="L1200" i="2"/>
  <c r="V1200" i="2" s="1"/>
  <c r="AE1199" i="2"/>
  <c r="AD1199" i="2"/>
  <c r="W1199" i="2"/>
  <c r="V1199" i="2"/>
  <c r="U1199" i="2"/>
  <c r="T1199" i="2"/>
  <c r="S1199" i="2"/>
  <c r="AC1199" i="2" s="1"/>
  <c r="R1199" i="2"/>
  <c r="AB1199" i="2" s="1"/>
  <c r="Q1199" i="2"/>
  <c r="AA1199" i="2" s="1"/>
  <c r="P1199" i="2"/>
  <c r="Z1199" i="2" s="1"/>
  <c r="O1199" i="2"/>
  <c r="Y1199" i="2" s="1"/>
  <c r="N1199" i="2"/>
  <c r="X1199" i="2" s="1"/>
  <c r="M1199" i="2"/>
  <c r="L1199" i="2"/>
  <c r="AA1198" i="2"/>
  <c r="Z1198" i="2"/>
  <c r="Y1198" i="2"/>
  <c r="X1198" i="2"/>
  <c r="W1198" i="2"/>
  <c r="U1198" i="2"/>
  <c r="AE1198" i="2" s="1"/>
  <c r="T1198" i="2"/>
  <c r="AD1198" i="2" s="1"/>
  <c r="S1198" i="2"/>
  <c r="AC1198" i="2" s="1"/>
  <c r="R1198" i="2"/>
  <c r="AB1198" i="2" s="1"/>
  <c r="Q1198" i="2"/>
  <c r="P1198" i="2"/>
  <c r="O1198" i="2"/>
  <c r="N1198" i="2"/>
  <c r="M1198" i="2"/>
  <c r="L1198" i="2"/>
  <c r="V1198" i="2" s="1"/>
  <c r="AE1197" i="2"/>
  <c r="AD1197" i="2"/>
  <c r="AC1197" i="2"/>
  <c r="AB1197" i="2"/>
  <c r="AA1197" i="2"/>
  <c r="Y1197" i="2"/>
  <c r="X1197" i="2"/>
  <c r="W1197" i="2"/>
  <c r="V1197" i="2"/>
  <c r="U1197" i="2"/>
  <c r="T1197" i="2"/>
  <c r="S1197" i="2"/>
  <c r="R1197" i="2"/>
  <c r="Q1197" i="2"/>
  <c r="P1197" i="2"/>
  <c r="Z1197" i="2" s="1"/>
  <c r="O1197" i="2"/>
  <c r="N1197" i="2"/>
  <c r="M1197" i="2"/>
  <c r="L1197" i="2"/>
  <c r="AE1196" i="2"/>
  <c r="AC1196" i="2"/>
  <c r="AB1196" i="2"/>
  <c r="AA1196" i="2"/>
  <c r="Z1196" i="2"/>
  <c r="U1196" i="2"/>
  <c r="T1196" i="2"/>
  <c r="AD1196" i="2" s="1"/>
  <c r="S1196" i="2"/>
  <c r="R1196" i="2"/>
  <c r="Q1196" i="2"/>
  <c r="P1196" i="2"/>
  <c r="O1196" i="2"/>
  <c r="Y1196" i="2" s="1"/>
  <c r="N1196" i="2"/>
  <c r="X1196" i="2" s="1"/>
  <c r="M1196" i="2"/>
  <c r="W1196" i="2" s="1"/>
  <c r="L1196" i="2"/>
  <c r="V1196" i="2" s="1"/>
  <c r="AE1195" i="2"/>
  <c r="AD1195" i="2"/>
  <c r="W1195" i="2"/>
  <c r="V1195" i="2"/>
  <c r="U1195" i="2"/>
  <c r="T1195" i="2"/>
  <c r="S1195" i="2"/>
  <c r="AC1195" i="2" s="1"/>
  <c r="R1195" i="2"/>
  <c r="AB1195" i="2" s="1"/>
  <c r="Q1195" i="2"/>
  <c r="AA1195" i="2" s="1"/>
  <c r="P1195" i="2"/>
  <c r="Z1195" i="2" s="1"/>
  <c r="O1195" i="2"/>
  <c r="Y1195" i="2" s="1"/>
  <c r="N1195" i="2"/>
  <c r="X1195" i="2" s="1"/>
  <c r="M1195" i="2"/>
  <c r="L1195" i="2"/>
  <c r="AA1194" i="2"/>
  <c r="Z1194" i="2"/>
  <c r="Y1194" i="2"/>
  <c r="X1194" i="2"/>
  <c r="W1194" i="2"/>
  <c r="U1194" i="2"/>
  <c r="AE1194" i="2" s="1"/>
  <c r="T1194" i="2"/>
  <c r="AD1194" i="2" s="1"/>
  <c r="S1194" i="2"/>
  <c r="AC1194" i="2" s="1"/>
  <c r="R1194" i="2"/>
  <c r="AB1194" i="2" s="1"/>
  <c r="Q1194" i="2"/>
  <c r="P1194" i="2"/>
  <c r="O1194" i="2"/>
  <c r="N1194" i="2"/>
  <c r="M1194" i="2"/>
  <c r="L1194" i="2"/>
  <c r="V1194" i="2" s="1"/>
  <c r="AE1193" i="2"/>
  <c r="AD1193" i="2"/>
  <c r="AC1193" i="2"/>
  <c r="AB1193" i="2"/>
  <c r="AA1193" i="2"/>
  <c r="Y1193" i="2"/>
  <c r="X1193" i="2"/>
  <c r="W1193" i="2"/>
  <c r="V1193" i="2"/>
  <c r="U1193" i="2"/>
  <c r="T1193" i="2"/>
  <c r="S1193" i="2"/>
  <c r="R1193" i="2"/>
  <c r="Q1193" i="2"/>
  <c r="P1193" i="2"/>
  <c r="Z1193" i="2" s="1"/>
  <c r="O1193" i="2"/>
  <c r="N1193" i="2"/>
  <c r="M1193" i="2"/>
  <c r="L1193" i="2"/>
  <c r="AE1192" i="2"/>
  <c r="AC1192" i="2"/>
  <c r="AB1192" i="2"/>
  <c r="AA1192" i="2"/>
  <c r="Z1192" i="2"/>
  <c r="U1192" i="2"/>
  <c r="T1192" i="2"/>
  <c r="AD1192" i="2" s="1"/>
  <c r="S1192" i="2"/>
  <c r="R1192" i="2"/>
  <c r="Q1192" i="2"/>
  <c r="P1192" i="2"/>
  <c r="O1192" i="2"/>
  <c r="Y1192" i="2" s="1"/>
  <c r="N1192" i="2"/>
  <c r="X1192" i="2" s="1"/>
  <c r="M1192" i="2"/>
  <c r="W1192" i="2" s="1"/>
  <c r="L1192" i="2"/>
  <c r="V1192" i="2" s="1"/>
  <c r="AE1191" i="2"/>
  <c r="AD1191" i="2"/>
  <c r="W1191" i="2"/>
  <c r="V1191" i="2"/>
  <c r="U1191" i="2"/>
  <c r="T1191" i="2"/>
  <c r="S1191" i="2"/>
  <c r="AC1191" i="2" s="1"/>
  <c r="R1191" i="2"/>
  <c r="AB1191" i="2" s="1"/>
  <c r="Q1191" i="2"/>
  <c r="AA1191" i="2" s="1"/>
  <c r="P1191" i="2"/>
  <c r="Z1191" i="2" s="1"/>
  <c r="O1191" i="2"/>
  <c r="Y1191" i="2" s="1"/>
  <c r="N1191" i="2"/>
  <c r="X1191" i="2" s="1"/>
  <c r="M1191" i="2"/>
  <c r="L1191" i="2"/>
  <c r="AA1190" i="2"/>
  <c r="Z1190" i="2"/>
  <c r="Y1190" i="2"/>
  <c r="X1190" i="2"/>
  <c r="W1190" i="2"/>
  <c r="U1190" i="2"/>
  <c r="AE1190" i="2" s="1"/>
  <c r="T1190" i="2"/>
  <c r="AD1190" i="2" s="1"/>
  <c r="S1190" i="2"/>
  <c r="AC1190" i="2" s="1"/>
  <c r="R1190" i="2"/>
  <c r="AB1190" i="2" s="1"/>
  <c r="Q1190" i="2"/>
  <c r="P1190" i="2"/>
  <c r="O1190" i="2"/>
  <c r="N1190" i="2"/>
  <c r="M1190" i="2"/>
  <c r="L1190" i="2"/>
  <c r="V1190" i="2" s="1"/>
  <c r="AE1189" i="2"/>
  <c r="AD1189" i="2"/>
  <c r="AC1189" i="2"/>
  <c r="AB1189" i="2"/>
  <c r="AA1189" i="2"/>
  <c r="Y1189" i="2"/>
  <c r="X1189" i="2"/>
  <c r="W1189" i="2"/>
  <c r="V1189" i="2"/>
  <c r="U1189" i="2"/>
  <c r="T1189" i="2"/>
  <c r="S1189" i="2"/>
  <c r="R1189" i="2"/>
  <c r="Q1189" i="2"/>
  <c r="P1189" i="2"/>
  <c r="Z1189" i="2" s="1"/>
  <c r="O1189" i="2"/>
  <c r="N1189" i="2"/>
  <c r="M1189" i="2"/>
  <c r="L1189" i="2"/>
  <c r="AE1188" i="2"/>
  <c r="AC1188" i="2"/>
  <c r="AB1188" i="2"/>
  <c r="AA1188" i="2"/>
  <c r="Z1188" i="2"/>
  <c r="U1188" i="2"/>
  <c r="T1188" i="2"/>
  <c r="AD1188" i="2" s="1"/>
  <c r="S1188" i="2"/>
  <c r="R1188" i="2"/>
  <c r="Q1188" i="2"/>
  <c r="P1188" i="2"/>
  <c r="O1188" i="2"/>
  <c r="Y1188" i="2" s="1"/>
  <c r="N1188" i="2"/>
  <c r="X1188" i="2" s="1"/>
  <c r="M1188" i="2"/>
  <c r="W1188" i="2" s="1"/>
  <c r="L1188" i="2"/>
  <c r="V1188" i="2" s="1"/>
  <c r="AE1187" i="2"/>
  <c r="AD1187" i="2"/>
  <c r="W1187" i="2"/>
  <c r="V1187" i="2"/>
  <c r="U1187" i="2"/>
  <c r="T1187" i="2"/>
  <c r="S1187" i="2"/>
  <c r="AC1187" i="2" s="1"/>
  <c r="R1187" i="2"/>
  <c r="AB1187" i="2" s="1"/>
  <c r="Q1187" i="2"/>
  <c r="AA1187" i="2" s="1"/>
  <c r="P1187" i="2"/>
  <c r="Z1187" i="2" s="1"/>
  <c r="O1187" i="2"/>
  <c r="Y1187" i="2" s="1"/>
  <c r="N1187" i="2"/>
  <c r="X1187" i="2" s="1"/>
  <c r="M1187" i="2"/>
  <c r="L1187" i="2"/>
  <c r="AA1186" i="2"/>
  <c r="Z1186" i="2"/>
  <c r="Y1186" i="2"/>
  <c r="X1186" i="2"/>
  <c r="W1186" i="2"/>
  <c r="U1186" i="2"/>
  <c r="AE1186" i="2" s="1"/>
  <c r="T1186" i="2"/>
  <c r="AD1186" i="2" s="1"/>
  <c r="S1186" i="2"/>
  <c r="AC1186" i="2" s="1"/>
  <c r="R1186" i="2"/>
  <c r="AB1186" i="2" s="1"/>
  <c r="Q1186" i="2"/>
  <c r="P1186" i="2"/>
  <c r="O1186" i="2"/>
  <c r="N1186" i="2"/>
  <c r="M1186" i="2"/>
  <c r="L1186" i="2"/>
  <c r="V1186" i="2" s="1"/>
  <c r="AE1185" i="2"/>
  <c r="AD1185" i="2"/>
  <c r="AC1185" i="2"/>
  <c r="AB1185" i="2"/>
  <c r="AA1185" i="2"/>
  <c r="Y1185" i="2"/>
  <c r="X1185" i="2"/>
  <c r="W1185" i="2"/>
  <c r="V1185" i="2"/>
  <c r="U1185" i="2"/>
  <c r="T1185" i="2"/>
  <c r="S1185" i="2"/>
  <c r="R1185" i="2"/>
  <c r="Q1185" i="2"/>
  <c r="P1185" i="2"/>
  <c r="Z1185" i="2" s="1"/>
  <c r="O1185" i="2"/>
  <c r="N1185" i="2"/>
  <c r="M1185" i="2"/>
  <c r="L1185" i="2"/>
  <c r="AE1184" i="2"/>
  <c r="AB1184" i="2"/>
  <c r="AA1184" i="2"/>
  <c r="Z1184" i="2"/>
  <c r="U1184" i="2"/>
  <c r="T1184" i="2"/>
  <c r="AD1184" i="2" s="1"/>
  <c r="S1184" i="2"/>
  <c r="AC1184" i="2" s="1"/>
  <c r="R1184" i="2"/>
  <c r="Q1184" i="2"/>
  <c r="P1184" i="2"/>
  <c r="O1184" i="2"/>
  <c r="Y1184" i="2" s="1"/>
  <c r="N1184" i="2"/>
  <c r="X1184" i="2" s="1"/>
  <c r="M1184" i="2"/>
  <c r="W1184" i="2" s="1"/>
  <c r="L1184" i="2"/>
  <c r="V1184" i="2" s="1"/>
  <c r="AE1183" i="2"/>
  <c r="AD1183" i="2"/>
  <c r="W1183" i="2"/>
  <c r="V1183" i="2"/>
  <c r="U1183" i="2"/>
  <c r="T1183" i="2"/>
  <c r="S1183" i="2"/>
  <c r="AC1183" i="2" s="1"/>
  <c r="R1183" i="2"/>
  <c r="AB1183" i="2" s="1"/>
  <c r="Q1183" i="2"/>
  <c r="AA1183" i="2" s="1"/>
  <c r="P1183" i="2"/>
  <c r="Z1183" i="2" s="1"/>
  <c r="O1183" i="2"/>
  <c r="Y1183" i="2" s="1"/>
  <c r="N1183" i="2"/>
  <c r="X1183" i="2" s="1"/>
  <c r="M1183" i="2"/>
  <c r="L1183" i="2"/>
  <c r="AA1182" i="2"/>
  <c r="Z1182" i="2"/>
  <c r="Y1182" i="2"/>
  <c r="X1182" i="2"/>
  <c r="W1182" i="2"/>
  <c r="U1182" i="2"/>
  <c r="AE1182" i="2" s="1"/>
  <c r="T1182" i="2"/>
  <c r="AD1182" i="2" s="1"/>
  <c r="S1182" i="2"/>
  <c r="AC1182" i="2" s="1"/>
  <c r="R1182" i="2"/>
  <c r="AB1182" i="2" s="1"/>
  <c r="Q1182" i="2"/>
  <c r="P1182" i="2"/>
  <c r="O1182" i="2"/>
  <c r="N1182" i="2"/>
  <c r="M1182" i="2"/>
  <c r="L1182" i="2"/>
  <c r="V1182" i="2" s="1"/>
  <c r="AE1181" i="2"/>
  <c r="AD1181" i="2"/>
  <c r="AC1181" i="2"/>
  <c r="AB1181" i="2"/>
  <c r="AA1181" i="2"/>
  <c r="Y1181" i="2"/>
  <c r="X1181" i="2"/>
  <c r="W1181" i="2"/>
  <c r="V1181" i="2"/>
  <c r="U1181" i="2"/>
  <c r="T1181" i="2"/>
  <c r="S1181" i="2"/>
  <c r="R1181" i="2"/>
  <c r="Q1181" i="2"/>
  <c r="P1181" i="2"/>
  <c r="Z1181" i="2" s="1"/>
  <c r="O1181" i="2"/>
  <c r="N1181" i="2"/>
  <c r="M1181" i="2"/>
  <c r="L1181" i="2"/>
  <c r="AE1180" i="2"/>
  <c r="AB1180" i="2"/>
  <c r="AA1180" i="2"/>
  <c r="Z1180" i="2"/>
  <c r="U1180" i="2"/>
  <c r="T1180" i="2"/>
  <c r="AD1180" i="2" s="1"/>
  <c r="S1180" i="2"/>
  <c r="AC1180" i="2" s="1"/>
  <c r="R1180" i="2"/>
  <c r="Q1180" i="2"/>
  <c r="P1180" i="2"/>
  <c r="O1180" i="2"/>
  <c r="Y1180" i="2" s="1"/>
  <c r="N1180" i="2"/>
  <c r="X1180" i="2" s="1"/>
  <c r="M1180" i="2"/>
  <c r="W1180" i="2" s="1"/>
  <c r="L1180" i="2"/>
  <c r="V1180" i="2" s="1"/>
  <c r="AE1179" i="2"/>
  <c r="W1179" i="2"/>
  <c r="V1179" i="2"/>
  <c r="U1179" i="2"/>
  <c r="T1179" i="2"/>
  <c r="AD1179" i="2" s="1"/>
  <c r="S1179" i="2"/>
  <c r="AC1179" i="2" s="1"/>
  <c r="R1179" i="2"/>
  <c r="AB1179" i="2" s="1"/>
  <c r="Q1179" i="2"/>
  <c r="AA1179" i="2" s="1"/>
  <c r="P1179" i="2"/>
  <c r="Z1179" i="2" s="1"/>
  <c r="O1179" i="2"/>
  <c r="Y1179" i="2" s="1"/>
  <c r="N1179" i="2"/>
  <c r="X1179" i="2" s="1"/>
  <c r="M1179" i="2"/>
  <c r="L1179" i="2"/>
  <c r="AA1178" i="2"/>
  <c r="Z1178" i="2"/>
  <c r="Y1178" i="2"/>
  <c r="X1178" i="2"/>
  <c r="W1178" i="2"/>
  <c r="U1178" i="2"/>
  <c r="AE1178" i="2" s="1"/>
  <c r="T1178" i="2"/>
  <c r="AD1178" i="2" s="1"/>
  <c r="S1178" i="2"/>
  <c r="AC1178" i="2" s="1"/>
  <c r="R1178" i="2"/>
  <c r="AB1178" i="2" s="1"/>
  <c r="Q1178" i="2"/>
  <c r="P1178" i="2"/>
  <c r="O1178" i="2"/>
  <c r="N1178" i="2"/>
  <c r="M1178" i="2"/>
  <c r="L1178" i="2"/>
  <c r="V1178" i="2" s="1"/>
  <c r="AE1177" i="2"/>
  <c r="AD1177" i="2"/>
  <c r="AC1177" i="2"/>
  <c r="AB1177" i="2"/>
  <c r="AA1177" i="2"/>
  <c r="Y1177" i="2"/>
  <c r="X1177" i="2"/>
  <c r="W1177" i="2"/>
  <c r="V1177" i="2"/>
  <c r="U1177" i="2"/>
  <c r="T1177" i="2"/>
  <c r="S1177" i="2"/>
  <c r="R1177" i="2"/>
  <c r="Q1177" i="2"/>
  <c r="P1177" i="2"/>
  <c r="Z1177" i="2" s="1"/>
  <c r="O1177" i="2"/>
  <c r="N1177" i="2"/>
  <c r="M1177" i="2"/>
  <c r="L1177" i="2"/>
  <c r="AE1176" i="2"/>
  <c r="AB1176" i="2"/>
  <c r="AA1176" i="2"/>
  <c r="Z1176" i="2"/>
  <c r="U1176" i="2"/>
  <c r="T1176" i="2"/>
  <c r="AD1176" i="2" s="1"/>
  <c r="S1176" i="2"/>
  <c r="AC1176" i="2" s="1"/>
  <c r="R1176" i="2"/>
  <c r="Q1176" i="2"/>
  <c r="P1176" i="2"/>
  <c r="O1176" i="2"/>
  <c r="Y1176" i="2" s="1"/>
  <c r="N1176" i="2"/>
  <c r="X1176" i="2" s="1"/>
  <c r="M1176" i="2"/>
  <c r="W1176" i="2" s="1"/>
  <c r="L1176" i="2"/>
  <c r="V1176" i="2" s="1"/>
  <c r="AE1175" i="2"/>
  <c r="W1175" i="2"/>
  <c r="V1175" i="2"/>
  <c r="U1175" i="2"/>
  <c r="T1175" i="2"/>
  <c r="AD1175" i="2" s="1"/>
  <c r="S1175" i="2"/>
  <c r="AC1175" i="2" s="1"/>
  <c r="R1175" i="2"/>
  <c r="AB1175" i="2" s="1"/>
  <c r="Q1175" i="2"/>
  <c r="AA1175" i="2" s="1"/>
  <c r="P1175" i="2"/>
  <c r="Z1175" i="2" s="1"/>
  <c r="O1175" i="2"/>
  <c r="Y1175" i="2" s="1"/>
  <c r="N1175" i="2"/>
  <c r="X1175" i="2" s="1"/>
  <c r="M1175" i="2"/>
  <c r="L1175" i="2"/>
  <c r="AA1174" i="2"/>
  <c r="Z1174" i="2"/>
  <c r="Y1174" i="2"/>
  <c r="X1174" i="2"/>
  <c r="W1174" i="2"/>
  <c r="U1174" i="2"/>
  <c r="AE1174" i="2" s="1"/>
  <c r="T1174" i="2"/>
  <c r="AD1174" i="2" s="1"/>
  <c r="S1174" i="2"/>
  <c r="AC1174" i="2" s="1"/>
  <c r="R1174" i="2"/>
  <c r="AB1174" i="2" s="1"/>
  <c r="Q1174" i="2"/>
  <c r="P1174" i="2"/>
  <c r="O1174" i="2"/>
  <c r="N1174" i="2"/>
  <c r="M1174" i="2"/>
  <c r="L1174" i="2"/>
  <c r="V1174" i="2" s="1"/>
  <c r="AE1173" i="2"/>
  <c r="AD1173" i="2"/>
  <c r="AC1173" i="2"/>
  <c r="AB1173" i="2"/>
  <c r="AA1173" i="2"/>
  <c r="Y1173" i="2"/>
  <c r="X1173" i="2"/>
  <c r="W1173" i="2"/>
  <c r="V1173" i="2"/>
  <c r="U1173" i="2"/>
  <c r="T1173" i="2"/>
  <c r="S1173" i="2"/>
  <c r="R1173" i="2"/>
  <c r="Q1173" i="2"/>
  <c r="P1173" i="2"/>
  <c r="Z1173" i="2" s="1"/>
  <c r="O1173" i="2"/>
  <c r="N1173" i="2"/>
  <c r="M1173" i="2"/>
  <c r="L1173" i="2"/>
  <c r="AE1172" i="2"/>
  <c r="AB1172" i="2"/>
  <c r="AA1172" i="2"/>
  <c r="U1172" i="2"/>
  <c r="T1172" i="2"/>
  <c r="AD1172" i="2" s="1"/>
  <c r="S1172" i="2"/>
  <c r="AC1172" i="2" s="1"/>
  <c r="R1172" i="2"/>
  <c r="Q1172" i="2"/>
  <c r="P1172" i="2"/>
  <c r="Z1172" i="2" s="1"/>
  <c r="O1172" i="2"/>
  <c r="Y1172" i="2" s="1"/>
  <c r="N1172" i="2"/>
  <c r="X1172" i="2" s="1"/>
  <c r="M1172" i="2"/>
  <c r="W1172" i="2" s="1"/>
  <c r="L1172" i="2"/>
  <c r="V1172" i="2" s="1"/>
  <c r="AE1171" i="2"/>
  <c r="W1171" i="2"/>
  <c r="V1171" i="2"/>
  <c r="U1171" i="2"/>
  <c r="T1171" i="2"/>
  <c r="AD1171" i="2" s="1"/>
  <c r="S1171" i="2"/>
  <c r="AC1171" i="2" s="1"/>
  <c r="R1171" i="2"/>
  <c r="AB1171" i="2" s="1"/>
  <c r="Q1171" i="2"/>
  <c r="AA1171" i="2" s="1"/>
  <c r="P1171" i="2"/>
  <c r="Z1171" i="2" s="1"/>
  <c r="O1171" i="2"/>
  <c r="Y1171" i="2" s="1"/>
  <c r="N1171" i="2"/>
  <c r="X1171" i="2" s="1"/>
  <c r="M1171" i="2"/>
  <c r="L1171" i="2"/>
  <c r="AA1170" i="2"/>
  <c r="Z1170" i="2"/>
  <c r="Y1170" i="2"/>
  <c r="X1170" i="2"/>
  <c r="W1170" i="2"/>
  <c r="U1170" i="2"/>
  <c r="AE1170" i="2" s="1"/>
  <c r="T1170" i="2"/>
  <c r="AD1170" i="2" s="1"/>
  <c r="S1170" i="2"/>
  <c r="AC1170" i="2" s="1"/>
  <c r="R1170" i="2"/>
  <c r="AB1170" i="2" s="1"/>
  <c r="Q1170" i="2"/>
  <c r="P1170" i="2"/>
  <c r="O1170" i="2"/>
  <c r="N1170" i="2"/>
  <c r="M1170" i="2"/>
  <c r="L1170" i="2"/>
  <c r="V1170" i="2" s="1"/>
  <c r="AE1169" i="2"/>
  <c r="AD1169" i="2"/>
  <c r="AC1169" i="2"/>
  <c r="AB1169" i="2"/>
  <c r="AA1169" i="2"/>
  <c r="Y1169" i="2"/>
  <c r="X1169" i="2"/>
  <c r="W1169" i="2"/>
  <c r="V1169" i="2"/>
  <c r="U1169" i="2"/>
  <c r="T1169" i="2"/>
  <c r="S1169" i="2"/>
  <c r="R1169" i="2"/>
  <c r="Q1169" i="2"/>
  <c r="P1169" i="2"/>
  <c r="Z1169" i="2" s="1"/>
  <c r="O1169" i="2"/>
  <c r="N1169" i="2"/>
  <c r="M1169" i="2"/>
  <c r="L1169" i="2"/>
  <c r="AE1168" i="2"/>
  <c r="AB1168" i="2"/>
  <c r="AA1168" i="2"/>
  <c r="U1168" i="2"/>
  <c r="T1168" i="2"/>
  <c r="AD1168" i="2" s="1"/>
  <c r="S1168" i="2"/>
  <c r="AC1168" i="2" s="1"/>
  <c r="R1168" i="2"/>
  <c r="Q1168" i="2"/>
  <c r="P1168" i="2"/>
  <c r="Z1168" i="2" s="1"/>
  <c r="O1168" i="2"/>
  <c r="Y1168" i="2" s="1"/>
  <c r="N1168" i="2"/>
  <c r="X1168" i="2" s="1"/>
  <c r="M1168" i="2"/>
  <c r="W1168" i="2" s="1"/>
  <c r="L1168" i="2"/>
  <c r="V1168" i="2" s="1"/>
  <c r="AE1167" i="2"/>
  <c r="W1167" i="2"/>
  <c r="V1167" i="2"/>
  <c r="U1167" i="2"/>
  <c r="T1167" i="2"/>
  <c r="AD1167" i="2" s="1"/>
  <c r="S1167" i="2"/>
  <c r="AC1167" i="2" s="1"/>
  <c r="R1167" i="2"/>
  <c r="AB1167" i="2" s="1"/>
  <c r="Q1167" i="2"/>
  <c r="AA1167" i="2" s="1"/>
  <c r="P1167" i="2"/>
  <c r="Z1167" i="2" s="1"/>
  <c r="O1167" i="2"/>
  <c r="Y1167" i="2" s="1"/>
  <c r="N1167" i="2"/>
  <c r="X1167" i="2" s="1"/>
  <c r="M1167" i="2"/>
  <c r="L1167" i="2"/>
  <c r="AA1166" i="2"/>
  <c r="Z1166" i="2"/>
  <c r="Y1166" i="2"/>
  <c r="X1166" i="2"/>
  <c r="W1166" i="2"/>
  <c r="U1166" i="2"/>
  <c r="AE1166" i="2" s="1"/>
  <c r="T1166" i="2"/>
  <c r="AD1166" i="2" s="1"/>
  <c r="S1166" i="2"/>
  <c r="AC1166" i="2" s="1"/>
  <c r="R1166" i="2"/>
  <c r="AB1166" i="2" s="1"/>
  <c r="Q1166" i="2"/>
  <c r="P1166" i="2"/>
  <c r="O1166" i="2"/>
  <c r="N1166" i="2"/>
  <c r="M1166" i="2"/>
  <c r="L1166" i="2"/>
  <c r="V1166" i="2" s="1"/>
  <c r="AE1165" i="2"/>
  <c r="AD1165" i="2"/>
  <c r="AC1165" i="2"/>
  <c r="AB1165" i="2"/>
  <c r="AA1165" i="2"/>
  <c r="X1165" i="2"/>
  <c r="W1165" i="2"/>
  <c r="V1165" i="2"/>
  <c r="U1165" i="2"/>
  <c r="T1165" i="2"/>
  <c r="S1165" i="2"/>
  <c r="R1165" i="2"/>
  <c r="Q1165" i="2"/>
  <c r="P1165" i="2"/>
  <c r="Z1165" i="2" s="1"/>
  <c r="O1165" i="2"/>
  <c r="Y1165" i="2" s="1"/>
  <c r="N1165" i="2"/>
  <c r="M1165" i="2"/>
  <c r="L1165" i="2"/>
  <c r="AE1164" i="2"/>
  <c r="AB1164" i="2"/>
  <c r="AA1164" i="2"/>
  <c r="U1164" i="2"/>
  <c r="T1164" i="2"/>
  <c r="AD1164" i="2" s="1"/>
  <c r="S1164" i="2"/>
  <c r="AC1164" i="2" s="1"/>
  <c r="R1164" i="2"/>
  <c r="Q1164" i="2"/>
  <c r="P1164" i="2"/>
  <c r="Z1164" i="2" s="1"/>
  <c r="O1164" i="2"/>
  <c r="Y1164" i="2" s="1"/>
  <c r="N1164" i="2"/>
  <c r="X1164" i="2" s="1"/>
  <c r="M1164" i="2"/>
  <c r="W1164" i="2" s="1"/>
  <c r="L1164" i="2"/>
  <c r="V1164" i="2" s="1"/>
  <c r="AE1163" i="2"/>
  <c r="W1163" i="2"/>
  <c r="V1163" i="2"/>
  <c r="U1163" i="2"/>
  <c r="T1163" i="2"/>
  <c r="AD1163" i="2" s="1"/>
  <c r="S1163" i="2"/>
  <c r="AC1163" i="2" s="1"/>
  <c r="R1163" i="2"/>
  <c r="AB1163" i="2" s="1"/>
  <c r="Q1163" i="2"/>
  <c r="AA1163" i="2" s="1"/>
  <c r="P1163" i="2"/>
  <c r="Z1163" i="2" s="1"/>
  <c r="O1163" i="2"/>
  <c r="Y1163" i="2" s="1"/>
  <c r="N1163" i="2"/>
  <c r="X1163" i="2" s="1"/>
  <c r="M1163" i="2"/>
  <c r="L1163" i="2"/>
  <c r="AA1162" i="2"/>
  <c r="Z1162" i="2"/>
  <c r="Y1162" i="2"/>
  <c r="X1162" i="2"/>
  <c r="W1162" i="2"/>
  <c r="U1162" i="2"/>
  <c r="AE1162" i="2" s="1"/>
  <c r="T1162" i="2"/>
  <c r="AD1162" i="2" s="1"/>
  <c r="S1162" i="2"/>
  <c r="AC1162" i="2" s="1"/>
  <c r="R1162" i="2"/>
  <c r="AB1162" i="2" s="1"/>
  <c r="Q1162" i="2"/>
  <c r="P1162" i="2"/>
  <c r="O1162" i="2"/>
  <c r="N1162" i="2"/>
  <c r="M1162" i="2"/>
  <c r="L1162" i="2"/>
  <c r="V1162" i="2" s="1"/>
  <c r="AE1161" i="2"/>
  <c r="AD1161" i="2"/>
  <c r="AC1161" i="2"/>
  <c r="AB1161" i="2"/>
  <c r="AA1161" i="2"/>
  <c r="X1161" i="2"/>
  <c r="W1161" i="2"/>
  <c r="V1161" i="2"/>
  <c r="U1161" i="2"/>
  <c r="T1161" i="2"/>
  <c r="S1161" i="2"/>
  <c r="R1161" i="2"/>
  <c r="Q1161" i="2"/>
  <c r="P1161" i="2"/>
  <c r="Z1161" i="2" s="1"/>
  <c r="O1161" i="2"/>
  <c r="Y1161" i="2" s="1"/>
  <c r="N1161" i="2"/>
  <c r="M1161" i="2"/>
  <c r="L1161" i="2"/>
  <c r="AE1160" i="2"/>
  <c r="AB1160" i="2"/>
  <c r="AA1160" i="2"/>
  <c r="U1160" i="2"/>
  <c r="T1160" i="2"/>
  <c r="AD1160" i="2" s="1"/>
  <c r="S1160" i="2"/>
  <c r="AC1160" i="2" s="1"/>
  <c r="R1160" i="2"/>
  <c r="Q1160" i="2"/>
  <c r="P1160" i="2"/>
  <c r="Z1160" i="2" s="1"/>
  <c r="O1160" i="2"/>
  <c r="Y1160" i="2" s="1"/>
  <c r="N1160" i="2"/>
  <c r="X1160" i="2" s="1"/>
  <c r="M1160" i="2"/>
  <c r="W1160" i="2" s="1"/>
  <c r="L1160" i="2"/>
  <c r="V1160" i="2" s="1"/>
  <c r="AE1159" i="2"/>
  <c r="W1159" i="2"/>
  <c r="V1159" i="2"/>
  <c r="U1159" i="2"/>
  <c r="T1159" i="2"/>
  <c r="AD1159" i="2" s="1"/>
  <c r="S1159" i="2"/>
  <c r="AC1159" i="2" s="1"/>
  <c r="R1159" i="2"/>
  <c r="AB1159" i="2" s="1"/>
  <c r="Q1159" i="2"/>
  <c r="AA1159" i="2" s="1"/>
  <c r="P1159" i="2"/>
  <c r="Z1159" i="2" s="1"/>
  <c r="O1159" i="2"/>
  <c r="Y1159" i="2" s="1"/>
  <c r="N1159" i="2"/>
  <c r="X1159" i="2" s="1"/>
  <c r="M1159" i="2"/>
  <c r="L1159" i="2"/>
  <c r="AA1158" i="2"/>
  <c r="Z1158" i="2"/>
  <c r="Y1158" i="2"/>
  <c r="X1158" i="2"/>
  <c r="W1158" i="2"/>
  <c r="U1158" i="2"/>
  <c r="AE1158" i="2" s="1"/>
  <c r="T1158" i="2"/>
  <c r="AD1158" i="2" s="1"/>
  <c r="S1158" i="2"/>
  <c r="AC1158" i="2" s="1"/>
  <c r="R1158" i="2"/>
  <c r="AB1158" i="2" s="1"/>
  <c r="Q1158" i="2"/>
  <c r="P1158" i="2"/>
  <c r="O1158" i="2"/>
  <c r="N1158" i="2"/>
  <c r="M1158" i="2"/>
  <c r="L1158" i="2"/>
  <c r="V1158" i="2" s="1"/>
  <c r="AE1157" i="2"/>
  <c r="AD1157" i="2"/>
  <c r="AC1157" i="2"/>
  <c r="AB1157" i="2"/>
  <c r="AA1157" i="2"/>
  <c r="X1157" i="2"/>
  <c r="W1157" i="2"/>
  <c r="V1157" i="2"/>
  <c r="U1157" i="2"/>
  <c r="T1157" i="2"/>
  <c r="S1157" i="2"/>
  <c r="R1157" i="2"/>
  <c r="Q1157" i="2"/>
  <c r="P1157" i="2"/>
  <c r="Z1157" i="2" s="1"/>
  <c r="O1157" i="2"/>
  <c r="Y1157" i="2" s="1"/>
  <c r="N1157" i="2"/>
  <c r="M1157" i="2"/>
  <c r="L1157" i="2"/>
  <c r="AE1156" i="2"/>
  <c r="AB1156" i="2"/>
  <c r="AA1156" i="2"/>
  <c r="U1156" i="2"/>
  <c r="T1156" i="2"/>
  <c r="AD1156" i="2" s="1"/>
  <c r="S1156" i="2"/>
  <c r="AC1156" i="2" s="1"/>
  <c r="R1156" i="2"/>
  <c r="Q1156" i="2"/>
  <c r="P1156" i="2"/>
  <c r="Z1156" i="2" s="1"/>
  <c r="O1156" i="2"/>
  <c r="Y1156" i="2" s="1"/>
  <c r="N1156" i="2"/>
  <c r="X1156" i="2" s="1"/>
  <c r="M1156" i="2"/>
  <c r="W1156" i="2" s="1"/>
  <c r="L1156" i="2"/>
  <c r="V1156" i="2" s="1"/>
  <c r="AE1155" i="2"/>
  <c r="W1155" i="2"/>
  <c r="V1155" i="2"/>
  <c r="U1155" i="2"/>
  <c r="T1155" i="2"/>
  <c r="AD1155" i="2" s="1"/>
  <c r="S1155" i="2"/>
  <c r="AC1155" i="2" s="1"/>
  <c r="R1155" i="2"/>
  <c r="AB1155" i="2" s="1"/>
  <c r="Q1155" i="2"/>
  <c r="AA1155" i="2" s="1"/>
  <c r="P1155" i="2"/>
  <c r="Z1155" i="2" s="1"/>
  <c r="O1155" i="2"/>
  <c r="Y1155" i="2" s="1"/>
  <c r="N1155" i="2"/>
  <c r="X1155" i="2" s="1"/>
  <c r="M1155" i="2"/>
  <c r="L1155" i="2"/>
  <c r="AA1154" i="2"/>
  <c r="Z1154" i="2"/>
  <c r="Y1154" i="2"/>
  <c r="X1154" i="2"/>
  <c r="W1154" i="2"/>
  <c r="U1154" i="2"/>
  <c r="AE1154" i="2" s="1"/>
  <c r="T1154" i="2"/>
  <c r="AD1154" i="2" s="1"/>
  <c r="S1154" i="2"/>
  <c r="AC1154" i="2" s="1"/>
  <c r="R1154" i="2"/>
  <c r="AB1154" i="2" s="1"/>
  <c r="Q1154" i="2"/>
  <c r="P1154" i="2"/>
  <c r="O1154" i="2"/>
  <c r="N1154" i="2"/>
  <c r="M1154" i="2"/>
  <c r="L1154" i="2"/>
  <c r="V1154" i="2" s="1"/>
  <c r="AE1153" i="2"/>
  <c r="AD1153" i="2"/>
  <c r="AC1153" i="2"/>
  <c r="AB1153" i="2"/>
  <c r="AA1153" i="2"/>
  <c r="X1153" i="2"/>
  <c r="W1153" i="2"/>
  <c r="U1153" i="2"/>
  <c r="T1153" i="2"/>
  <c r="S1153" i="2"/>
  <c r="R1153" i="2"/>
  <c r="Q1153" i="2"/>
  <c r="P1153" i="2"/>
  <c r="Z1153" i="2" s="1"/>
  <c r="O1153" i="2"/>
  <c r="Y1153" i="2" s="1"/>
  <c r="N1153" i="2"/>
  <c r="M1153" i="2"/>
  <c r="L1153" i="2"/>
  <c r="V1153" i="2" s="1"/>
  <c r="AE1152" i="2"/>
  <c r="AB1152" i="2"/>
  <c r="AA1152" i="2"/>
  <c r="U1152" i="2"/>
  <c r="T1152" i="2"/>
  <c r="AD1152" i="2" s="1"/>
  <c r="S1152" i="2"/>
  <c r="AC1152" i="2" s="1"/>
  <c r="R1152" i="2"/>
  <c r="Q1152" i="2"/>
  <c r="P1152" i="2"/>
  <c r="Z1152" i="2" s="1"/>
  <c r="O1152" i="2"/>
  <c r="Y1152" i="2" s="1"/>
  <c r="N1152" i="2"/>
  <c r="X1152" i="2" s="1"/>
  <c r="M1152" i="2"/>
  <c r="W1152" i="2" s="1"/>
  <c r="L1152" i="2"/>
  <c r="V1152" i="2" s="1"/>
  <c r="AE1151" i="2"/>
  <c r="W1151" i="2"/>
  <c r="V1151" i="2"/>
  <c r="U1151" i="2"/>
  <c r="T1151" i="2"/>
  <c r="AD1151" i="2" s="1"/>
  <c r="S1151" i="2"/>
  <c r="AC1151" i="2" s="1"/>
  <c r="R1151" i="2"/>
  <c r="AB1151" i="2" s="1"/>
  <c r="Q1151" i="2"/>
  <c r="AA1151" i="2" s="1"/>
  <c r="P1151" i="2"/>
  <c r="Z1151" i="2" s="1"/>
  <c r="O1151" i="2"/>
  <c r="Y1151" i="2" s="1"/>
  <c r="N1151" i="2"/>
  <c r="X1151" i="2" s="1"/>
  <c r="M1151" i="2"/>
  <c r="L1151" i="2"/>
  <c r="AA1150" i="2"/>
  <c r="Z1150" i="2"/>
  <c r="Y1150" i="2"/>
  <c r="X1150" i="2"/>
  <c r="W1150" i="2"/>
  <c r="U1150" i="2"/>
  <c r="AE1150" i="2" s="1"/>
  <c r="T1150" i="2"/>
  <c r="AD1150" i="2" s="1"/>
  <c r="S1150" i="2"/>
  <c r="AC1150" i="2" s="1"/>
  <c r="R1150" i="2"/>
  <c r="AB1150" i="2" s="1"/>
  <c r="Q1150" i="2"/>
  <c r="P1150" i="2"/>
  <c r="O1150" i="2"/>
  <c r="N1150" i="2"/>
  <c r="M1150" i="2"/>
  <c r="L1150" i="2"/>
  <c r="V1150" i="2" s="1"/>
  <c r="AE1149" i="2"/>
  <c r="AD1149" i="2"/>
  <c r="AC1149" i="2"/>
  <c r="AB1149" i="2"/>
  <c r="AA1149" i="2"/>
  <c r="X1149" i="2"/>
  <c r="W1149" i="2"/>
  <c r="U1149" i="2"/>
  <c r="T1149" i="2"/>
  <c r="S1149" i="2"/>
  <c r="R1149" i="2"/>
  <c r="Q1149" i="2"/>
  <c r="P1149" i="2"/>
  <c r="Z1149" i="2" s="1"/>
  <c r="O1149" i="2"/>
  <c r="Y1149" i="2" s="1"/>
  <c r="N1149" i="2"/>
  <c r="M1149" i="2"/>
  <c r="L1149" i="2"/>
  <c r="V1149" i="2" s="1"/>
  <c r="AE1148" i="2"/>
  <c r="AB1148" i="2"/>
  <c r="AA1148" i="2"/>
  <c r="U1148" i="2"/>
  <c r="T1148" i="2"/>
  <c r="AD1148" i="2" s="1"/>
  <c r="S1148" i="2"/>
  <c r="AC1148" i="2" s="1"/>
  <c r="R1148" i="2"/>
  <c r="Q1148" i="2"/>
  <c r="P1148" i="2"/>
  <c r="Z1148" i="2" s="1"/>
  <c r="O1148" i="2"/>
  <c r="Y1148" i="2" s="1"/>
  <c r="N1148" i="2"/>
  <c r="X1148" i="2" s="1"/>
  <c r="M1148" i="2"/>
  <c r="W1148" i="2" s="1"/>
  <c r="L1148" i="2"/>
  <c r="V1148" i="2" s="1"/>
  <c r="AE1147" i="2"/>
  <c r="AD1147" i="2"/>
  <c r="W1147" i="2"/>
  <c r="V1147" i="2"/>
  <c r="U1147" i="2"/>
  <c r="T1147" i="2"/>
  <c r="S1147" i="2"/>
  <c r="AC1147" i="2" s="1"/>
  <c r="R1147" i="2"/>
  <c r="AB1147" i="2" s="1"/>
  <c r="Q1147" i="2"/>
  <c r="AA1147" i="2" s="1"/>
  <c r="P1147" i="2"/>
  <c r="Z1147" i="2" s="1"/>
  <c r="O1147" i="2"/>
  <c r="Y1147" i="2" s="1"/>
  <c r="N1147" i="2"/>
  <c r="X1147" i="2" s="1"/>
  <c r="M1147" i="2"/>
  <c r="L1147" i="2"/>
  <c r="AA1146" i="2"/>
  <c r="Z1146" i="2"/>
  <c r="Y1146" i="2"/>
  <c r="X1146" i="2"/>
  <c r="W1146" i="2"/>
  <c r="U1146" i="2"/>
  <c r="AE1146" i="2" s="1"/>
  <c r="T1146" i="2"/>
  <c r="AD1146" i="2" s="1"/>
  <c r="S1146" i="2"/>
  <c r="AC1146" i="2" s="1"/>
  <c r="R1146" i="2"/>
  <c r="AB1146" i="2" s="1"/>
  <c r="Q1146" i="2"/>
  <c r="P1146" i="2"/>
  <c r="O1146" i="2"/>
  <c r="N1146" i="2"/>
  <c r="M1146" i="2"/>
  <c r="L1146" i="2"/>
  <c r="V1146" i="2" s="1"/>
  <c r="AE1145" i="2"/>
  <c r="AD1145" i="2"/>
  <c r="AC1145" i="2"/>
  <c r="AB1145" i="2"/>
  <c r="AA1145" i="2"/>
  <c r="X1145" i="2"/>
  <c r="W1145" i="2"/>
  <c r="U1145" i="2"/>
  <c r="T1145" i="2"/>
  <c r="S1145" i="2"/>
  <c r="R1145" i="2"/>
  <c r="Q1145" i="2"/>
  <c r="P1145" i="2"/>
  <c r="Z1145" i="2" s="1"/>
  <c r="O1145" i="2"/>
  <c r="Y1145" i="2" s="1"/>
  <c r="N1145" i="2"/>
  <c r="M1145" i="2"/>
  <c r="L1145" i="2"/>
  <c r="V1145" i="2" s="1"/>
  <c r="AE1144" i="2"/>
  <c r="AC1144" i="2"/>
  <c r="AA1144" i="2"/>
  <c r="U1144" i="2"/>
  <c r="T1144" i="2"/>
  <c r="AD1144" i="2" s="1"/>
  <c r="S1144" i="2"/>
  <c r="R1144" i="2"/>
  <c r="AB1144" i="2" s="1"/>
  <c r="Q1144" i="2"/>
  <c r="P1144" i="2"/>
  <c r="Z1144" i="2" s="1"/>
  <c r="O1144" i="2"/>
  <c r="Y1144" i="2" s="1"/>
  <c r="N1144" i="2"/>
  <c r="X1144" i="2" s="1"/>
  <c r="M1144" i="2"/>
  <c r="W1144" i="2" s="1"/>
  <c r="L1144" i="2"/>
  <c r="V1144" i="2" s="1"/>
  <c r="AE1143" i="2"/>
  <c r="AD1143" i="2"/>
  <c r="W1143" i="2"/>
  <c r="V1143" i="2"/>
  <c r="U1143" i="2"/>
  <c r="T1143" i="2"/>
  <c r="S1143" i="2"/>
  <c r="AC1143" i="2" s="1"/>
  <c r="R1143" i="2"/>
  <c r="AB1143" i="2" s="1"/>
  <c r="Q1143" i="2"/>
  <c r="AA1143" i="2" s="1"/>
  <c r="P1143" i="2"/>
  <c r="Z1143" i="2" s="1"/>
  <c r="O1143" i="2"/>
  <c r="Y1143" i="2" s="1"/>
  <c r="N1143" i="2"/>
  <c r="X1143" i="2" s="1"/>
  <c r="M1143" i="2"/>
  <c r="L1143" i="2"/>
  <c r="AA1142" i="2"/>
  <c r="Z1142" i="2"/>
  <c r="Y1142" i="2"/>
  <c r="X1142" i="2"/>
  <c r="W1142" i="2"/>
  <c r="U1142" i="2"/>
  <c r="AE1142" i="2" s="1"/>
  <c r="T1142" i="2"/>
  <c r="AD1142" i="2" s="1"/>
  <c r="S1142" i="2"/>
  <c r="AC1142" i="2" s="1"/>
  <c r="R1142" i="2"/>
  <c r="AB1142" i="2" s="1"/>
  <c r="Q1142" i="2"/>
  <c r="P1142" i="2"/>
  <c r="O1142" i="2"/>
  <c r="N1142" i="2"/>
  <c r="M1142" i="2"/>
  <c r="L1142" i="2"/>
  <c r="V1142" i="2" s="1"/>
  <c r="AE1141" i="2"/>
  <c r="AD1141" i="2"/>
  <c r="AC1141" i="2"/>
  <c r="AB1141" i="2"/>
  <c r="AA1141" i="2"/>
  <c r="Y1141" i="2"/>
  <c r="W1141" i="2"/>
  <c r="U1141" i="2"/>
  <c r="T1141" i="2"/>
  <c r="S1141" i="2"/>
  <c r="R1141" i="2"/>
  <c r="Q1141" i="2"/>
  <c r="P1141" i="2"/>
  <c r="Z1141" i="2" s="1"/>
  <c r="O1141" i="2"/>
  <c r="N1141" i="2"/>
  <c r="X1141" i="2" s="1"/>
  <c r="M1141" i="2"/>
  <c r="L1141" i="2"/>
  <c r="V1141" i="2" s="1"/>
  <c r="AE1140" i="2"/>
  <c r="AC1140" i="2"/>
  <c r="AB1140" i="2"/>
  <c r="AA1140" i="2"/>
  <c r="U1140" i="2"/>
  <c r="T1140" i="2"/>
  <c r="AD1140" i="2" s="1"/>
  <c r="S1140" i="2"/>
  <c r="R1140" i="2"/>
  <c r="Q1140" i="2"/>
  <c r="P1140" i="2"/>
  <c r="Z1140" i="2" s="1"/>
  <c r="O1140" i="2"/>
  <c r="Y1140" i="2" s="1"/>
  <c r="N1140" i="2"/>
  <c r="X1140" i="2" s="1"/>
  <c r="M1140" i="2"/>
  <c r="W1140" i="2" s="1"/>
  <c r="L1140" i="2"/>
  <c r="V1140" i="2" s="1"/>
  <c r="AE1139" i="2"/>
  <c r="AD1139" i="2"/>
  <c r="W1139" i="2"/>
  <c r="V1139" i="2"/>
  <c r="U1139" i="2"/>
  <c r="T1139" i="2"/>
  <c r="S1139" i="2"/>
  <c r="AC1139" i="2" s="1"/>
  <c r="R1139" i="2"/>
  <c r="AB1139" i="2" s="1"/>
  <c r="Q1139" i="2"/>
  <c r="AA1139" i="2" s="1"/>
  <c r="P1139" i="2"/>
  <c r="Z1139" i="2" s="1"/>
  <c r="O1139" i="2"/>
  <c r="Y1139" i="2" s="1"/>
  <c r="N1139" i="2"/>
  <c r="X1139" i="2" s="1"/>
  <c r="M1139" i="2"/>
  <c r="L1139" i="2"/>
  <c r="AA1138" i="2"/>
  <c r="Z1138" i="2"/>
  <c r="Y1138" i="2"/>
  <c r="X1138" i="2"/>
  <c r="W1138" i="2"/>
  <c r="U1138" i="2"/>
  <c r="AE1138" i="2" s="1"/>
  <c r="T1138" i="2"/>
  <c r="AD1138" i="2" s="1"/>
  <c r="S1138" i="2"/>
  <c r="AC1138" i="2" s="1"/>
  <c r="R1138" i="2"/>
  <c r="AB1138" i="2" s="1"/>
  <c r="Q1138" i="2"/>
  <c r="P1138" i="2"/>
  <c r="O1138" i="2"/>
  <c r="N1138" i="2"/>
  <c r="M1138" i="2"/>
  <c r="L1138" i="2"/>
  <c r="V1138" i="2" s="1"/>
  <c r="AE1137" i="2"/>
  <c r="AD1137" i="2"/>
  <c r="AC1137" i="2"/>
  <c r="AB1137" i="2"/>
  <c r="AA1137" i="2"/>
  <c r="Y1137" i="2"/>
  <c r="X1137" i="2"/>
  <c r="W1137" i="2"/>
  <c r="U1137" i="2"/>
  <c r="T1137" i="2"/>
  <c r="S1137" i="2"/>
  <c r="R1137" i="2"/>
  <c r="Q1137" i="2"/>
  <c r="P1137" i="2"/>
  <c r="Z1137" i="2" s="1"/>
  <c r="O1137" i="2"/>
  <c r="N1137" i="2"/>
  <c r="M1137" i="2"/>
  <c r="L1137" i="2"/>
  <c r="V1137" i="2" s="1"/>
  <c r="AE1136" i="2"/>
  <c r="AC1136" i="2"/>
  <c r="AB1136" i="2"/>
  <c r="AA1136" i="2"/>
  <c r="U1136" i="2"/>
  <c r="T1136" i="2"/>
  <c r="AD1136" i="2" s="1"/>
  <c r="S1136" i="2"/>
  <c r="R1136" i="2"/>
  <c r="Q1136" i="2"/>
  <c r="P1136" i="2"/>
  <c r="Z1136" i="2" s="1"/>
  <c r="O1136" i="2"/>
  <c r="Y1136" i="2" s="1"/>
  <c r="N1136" i="2"/>
  <c r="X1136" i="2" s="1"/>
  <c r="M1136" i="2"/>
  <c r="W1136" i="2" s="1"/>
  <c r="L1136" i="2"/>
  <c r="V1136" i="2" s="1"/>
  <c r="AD1135" i="2"/>
  <c r="W1135" i="2"/>
  <c r="V1135" i="2"/>
  <c r="U1135" i="2"/>
  <c r="AE1135" i="2" s="1"/>
  <c r="T1135" i="2"/>
  <c r="S1135" i="2"/>
  <c r="AC1135" i="2" s="1"/>
  <c r="R1135" i="2"/>
  <c r="AB1135" i="2" s="1"/>
  <c r="Q1135" i="2"/>
  <c r="AA1135" i="2" s="1"/>
  <c r="P1135" i="2"/>
  <c r="Z1135" i="2" s="1"/>
  <c r="O1135" i="2"/>
  <c r="Y1135" i="2" s="1"/>
  <c r="N1135" i="2"/>
  <c r="X1135" i="2" s="1"/>
  <c r="M1135" i="2"/>
  <c r="L1135" i="2"/>
  <c r="AA1134" i="2"/>
  <c r="Z1134" i="2"/>
  <c r="Y1134" i="2"/>
  <c r="X1134" i="2"/>
  <c r="W1134" i="2"/>
  <c r="U1134" i="2"/>
  <c r="AE1134" i="2" s="1"/>
  <c r="T1134" i="2"/>
  <c r="AD1134" i="2" s="1"/>
  <c r="S1134" i="2"/>
  <c r="AC1134" i="2" s="1"/>
  <c r="R1134" i="2"/>
  <c r="AB1134" i="2" s="1"/>
  <c r="Q1134" i="2"/>
  <c r="P1134" i="2"/>
  <c r="O1134" i="2"/>
  <c r="N1134" i="2"/>
  <c r="M1134" i="2"/>
  <c r="L1134" i="2"/>
  <c r="V1134" i="2" s="1"/>
  <c r="AE1133" i="2"/>
  <c r="AD1133" i="2"/>
  <c r="AC1133" i="2"/>
  <c r="AB1133" i="2"/>
  <c r="AA1133" i="2"/>
  <c r="Z1133" i="2"/>
  <c r="Y1133" i="2"/>
  <c r="X1133" i="2"/>
  <c r="U1133" i="2"/>
  <c r="T1133" i="2"/>
  <c r="S1133" i="2"/>
  <c r="R1133" i="2"/>
  <c r="Q1133" i="2"/>
  <c r="P1133" i="2"/>
  <c r="O1133" i="2"/>
  <c r="N1133" i="2"/>
  <c r="M1133" i="2"/>
  <c r="W1133" i="2" s="1"/>
  <c r="L1133" i="2"/>
  <c r="V1133" i="2" s="1"/>
  <c r="AE1132" i="2"/>
  <c r="AD1132" i="2"/>
  <c r="AC1132" i="2"/>
  <c r="AB1132" i="2"/>
  <c r="U1132" i="2"/>
  <c r="T1132" i="2"/>
  <c r="S1132" i="2"/>
  <c r="R1132" i="2"/>
  <c r="Q1132" i="2"/>
  <c r="AA1132" i="2" s="1"/>
  <c r="P1132" i="2"/>
  <c r="Z1132" i="2" s="1"/>
  <c r="O1132" i="2"/>
  <c r="Y1132" i="2" s="1"/>
  <c r="N1132" i="2"/>
  <c r="X1132" i="2" s="1"/>
  <c r="M1132" i="2"/>
  <c r="W1132" i="2" s="1"/>
  <c r="L1132" i="2"/>
  <c r="V1132" i="2" s="1"/>
  <c r="AE1131" i="2"/>
  <c r="AD1131" i="2"/>
  <c r="X1131" i="2"/>
  <c r="W1131" i="2"/>
  <c r="V1131" i="2"/>
  <c r="U1131" i="2"/>
  <c r="T1131" i="2"/>
  <c r="S1131" i="2"/>
  <c r="AC1131" i="2" s="1"/>
  <c r="R1131" i="2"/>
  <c r="AB1131" i="2" s="1"/>
  <c r="Q1131" i="2"/>
  <c r="AA1131" i="2" s="1"/>
  <c r="P1131" i="2"/>
  <c r="Z1131" i="2" s="1"/>
  <c r="O1131" i="2"/>
  <c r="Y1131" i="2" s="1"/>
  <c r="N1131" i="2"/>
  <c r="M1131" i="2"/>
  <c r="L1131" i="2"/>
  <c r="AB1130" i="2"/>
  <c r="AA1130" i="2"/>
  <c r="Z1130" i="2"/>
  <c r="Y1130" i="2"/>
  <c r="X1130" i="2"/>
  <c r="W1130" i="2"/>
  <c r="U1130" i="2"/>
  <c r="AE1130" i="2" s="1"/>
  <c r="T1130" i="2"/>
  <c r="AD1130" i="2" s="1"/>
  <c r="S1130" i="2"/>
  <c r="AC1130" i="2" s="1"/>
  <c r="R1130" i="2"/>
  <c r="Q1130" i="2"/>
  <c r="P1130" i="2"/>
  <c r="O1130" i="2"/>
  <c r="N1130" i="2"/>
  <c r="M1130" i="2"/>
  <c r="L1130" i="2"/>
  <c r="V1130" i="2" s="1"/>
  <c r="AE1129" i="2"/>
  <c r="AD1129" i="2"/>
  <c r="AC1129" i="2"/>
  <c r="AB1129" i="2"/>
  <c r="AA1129" i="2"/>
  <c r="U1129" i="2"/>
  <c r="T1129" i="2"/>
  <c r="S1129" i="2"/>
  <c r="R1129" i="2"/>
  <c r="Q1129" i="2"/>
  <c r="P1129" i="2"/>
  <c r="Z1129" i="2" s="1"/>
  <c r="O1129" i="2"/>
  <c r="Y1129" i="2" s="1"/>
  <c r="N1129" i="2"/>
  <c r="X1129" i="2" s="1"/>
  <c r="M1129" i="2"/>
  <c r="W1129" i="2" s="1"/>
  <c r="L1129" i="2"/>
  <c r="V1129" i="2" s="1"/>
  <c r="AE1128" i="2"/>
  <c r="U1128" i="2"/>
  <c r="T1128" i="2"/>
  <c r="AD1128" i="2" s="1"/>
  <c r="S1128" i="2"/>
  <c r="AC1128" i="2" s="1"/>
  <c r="R1128" i="2"/>
  <c r="AB1128" i="2" s="1"/>
  <c r="Q1128" i="2"/>
  <c r="AA1128" i="2" s="1"/>
  <c r="P1128" i="2"/>
  <c r="Z1128" i="2" s="1"/>
  <c r="O1128" i="2"/>
  <c r="Y1128" i="2" s="1"/>
  <c r="N1128" i="2"/>
  <c r="X1128" i="2" s="1"/>
  <c r="M1128" i="2"/>
  <c r="W1128" i="2" s="1"/>
  <c r="L1128" i="2"/>
  <c r="V1128" i="2" s="1"/>
  <c r="U1127" i="2"/>
  <c r="AE1127" i="2" s="1"/>
  <c r="T1127" i="2"/>
  <c r="AD1127" i="2" s="1"/>
  <c r="S1127" i="2"/>
  <c r="AC1127" i="2" s="1"/>
  <c r="R1127" i="2"/>
  <c r="AB1127" i="2" s="1"/>
  <c r="Q1127" i="2"/>
  <c r="AA1127" i="2" s="1"/>
  <c r="P1127" i="2"/>
  <c r="Z1127" i="2" s="1"/>
  <c r="O1127" i="2"/>
  <c r="Y1127" i="2" s="1"/>
  <c r="N1127" i="2"/>
  <c r="X1127" i="2" s="1"/>
  <c r="M1127" i="2"/>
  <c r="W1127" i="2" s="1"/>
  <c r="L1127" i="2"/>
  <c r="V1127" i="2" s="1"/>
  <c r="AD1126" i="2"/>
  <c r="V1126" i="2"/>
  <c r="U1126" i="2"/>
  <c r="AE1126" i="2" s="1"/>
  <c r="T1126" i="2"/>
  <c r="S1126" i="2"/>
  <c r="AC1126" i="2" s="1"/>
  <c r="R1126" i="2"/>
  <c r="AB1126" i="2" s="1"/>
  <c r="Q1126" i="2"/>
  <c r="AA1126" i="2" s="1"/>
  <c r="P1126" i="2"/>
  <c r="Z1126" i="2" s="1"/>
  <c r="O1126" i="2"/>
  <c r="Y1126" i="2" s="1"/>
  <c r="N1126" i="2"/>
  <c r="X1126" i="2" s="1"/>
  <c r="M1126" i="2"/>
  <c r="W1126" i="2" s="1"/>
  <c r="L1126" i="2"/>
  <c r="Y1125" i="2"/>
  <c r="X1125" i="2"/>
  <c r="W1125" i="2"/>
  <c r="V1125" i="2"/>
  <c r="U1125" i="2"/>
  <c r="AE1125" i="2" s="1"/>
  <c r="T1125" i="2"/>
  <c r="AD1125" i="2" s="1"/>
  <c r="S1125" i="2"/>
  <c r="AC1125" i="2" s="1"/>
  <c r="R1125" i="2"/>
  <c r="AB1125" i="2" s="1"/>
  <c r="Q1125" i="2"/>
  <c r="AA1125" i="2" s="1"/>
  <c r="P1125" i="2"/>
  <c r="Z1125" i="2" s="1"/>
  <c r="O1125" i="2"/>
  <c r="N1125" i="2"/>
  <c r="M1125" i="2"/>
  <c r="L1125" i="2"/>
  <c r="AC1124" i="2"/>
  <c r="AB1124" i="2"/>
  <c r="AA1124" i="2"/>
  <c r="Z1124" i="2"/>
  <c r="Y1124" i="2"/>
  <c r="X1124" i="2"/>
  <c r="W1124" i="2"/>
  <c r="V1124" i="2"/>
  <c r="U1124" i="2"/>
  <c r="AE1124" i="2" s="1"/>
  <c r="T1124" i="2"/>
  <c r="AD1124" i="2" s="1"/>
  <c r="S1124" i="2"/>
  <c r="R1124" i="2"/>
  <c r="Q1124" i="2"/>
  <c r="P1124" i="2"/>
  <c r="O1124" i="2"/>
  <c r="N1124" i="2"/>
  <c r="M1124" i="2"/>
  <c r="L1124" i="2"/>
  <c r="AE1123" i="2"/>
  <c r="AD1123" i="2"/>
  <c r="AC1123" i="2"/>
  <c r="AB1123" i="2"/>
  <c r="AA1123" i="2"/>
  <c r="Z1123" i="2"/>
  <c r="Y1123" i="2"/>
  <c r="X1123" i="2"/>
  <c r="U1123" i="2"/>
  <c r="T1123" i="2"/>
  <c r="S1123" i="2"/>
  <c r="R1123" i="2"/>
  <c r="Q1123" i="2"/>
  <c r="P1123" i="2"/>
  <c r="O1123" i="2"/>
  <c r="N1123" i="2"/>
  <c r="M1123" i="2"/>
  <c r="W1123" i="2" s="1"/>
  <c r="L1123" i="2"/>
  <c r="V1123" i="2" s="1"/>
  <c r="AE1122" i="2"/>
  <c r="AD1122" i="2"/>
  <c r="AC1122" i="2"/>
  <c r="AB1122" i="2"/>
  <c r="U1122" i="2"/>
  <c r="T1122" i="2"/>
  <c r="S1122" i="2"/>
  <c r="R1122" i="2"/>
  <c r="Q1122" i="2"/>
  <c r="AA1122" i="2" s="1"/>
  <c r="P1122" i="2"/>
  <c r="Z1122" i="2" s="1"/>
  <c r="O1122" i="2"/>
  <c r="Y1122" i="2" s="1"/>
  <c r="N1122" i="2"/>
  <c r="X1122" i="2" s="1"/>
  <c r="M1122" i="2"/>
  <c r="W1122" i="2" s="1"/>
  <c r="L1122" i="2"/>
  <c r="V1122" i="2" s="1"/>
  <c r="Y1121" i="2"/>
  <c r="X1121" i="2"/>
  <c r="W1121" i="2"/>
  <c r="V1121" i="2"/>
  <c r="U1121" i="2"/>
  <c r="AE1121" i="2" s="1"/>
  <c r="T1121" i="2"/>
  <c r="AD1121" i="2" s="1"/>
  <c r="S1121" i="2"/>
  <c r="AC1121" i="2" s="1"/>
  <c r="R1121" i="2"/>
  <c r="AB1121" i="2" s="1"/>
  <c r="Q1121" i="2"/>
  <c r="AA1121" i="2" s="1"/>
  <c r="P1121" i="2"/>
  <c r="Z1121" i="2" s="1"/>
  <c r="O1121" i="2"/>
  <c r="N1121" i="2"/>
  <c r="M1121" i="2"/>
  <c r="L1121" i="2"/>
  <c r="AC1120" i="2"/>
  <c r="AB1120" i="2"/>
  <c r="AA1120" i="2"/>
  <c r="Z1120" i="2"/>
  <c r="Y1120" i="2"/>
  <c r="X1120" i="2"/>
  <c r="W1120" i="2"/>
  <c r="V1120" i="2"/>
  <c r="U1120" i="2"/>
  <c r="AE1120" i="2" s="1"/>
  <c r="T1120" i="2"/>
  <c r="AD1120" i="2" s="1"/>
  <c r="S1120" i="2"/>
  <c r="R1120" i="2"/>
  <c r="Q1120" i="2"/>
  <c r="P1120" i="2"/>
  <c r="O1120" i="2"/>
  <c r="N1120" i="2"/>
  <c r="M1120" i="2"/>
  <c r="L1120" i="2"/>
  <c r="AE1119" i="2"/>
  <c r="AD1119" i="2"/>
  <c r="AC1119" i="2"/>
  <c r="AB1119" i="2"/>
  <c r="AA1119" i="2"/>
  <c r="Z1119" i="2"/>
  <c r="Y1119" i="2"/>
  <c r="X1119" i="2"/>
  <c r="U1119" i="2"/>
  <c r="T1119" i="2"/>
  <c r="S1119" i="2"/>
  <c r="R1119" i="2"/>
  <c r="Q1119" i="2"/>
  <c r="P1119" i="2"/>
  <c r="O1119" i="2"/>
  <c r="N1119" i="2"/>
  <c r="M1119" i="2"/>
  <c r="W1119" i="2" s="1"/>
  <c r="L1119" i="2"/>
  <c r="V1119" i="2" s="1"/>
  <c r="AE1118" i="2"/>
  <c r="AD1118" i="2"/>
  <c r="AC1118" i="2"/>
  <c r="AB1118" i="2"/>
  <c r="U1118" i="2"/>
  <c r="T1118" i="2"/>
  <c r="S1118" i="2"/>
  <c r="R1118" i="2"/>
  <c r="Q1118" i="2"/>
  <c r="AA1118" i="2" s="1"/>
  <c r="P1118" i="2"/>
  <c r="Z1118" i="2" s="1"/>
  <c r="O1118" i="2"/>
  <c r="Y1118" i="2" s="1"/>
  <c r="N1118" i="2"/>
  <c r="X1118" i="2" s="1"/>
  <c r="M1118" i="2"/>
  <c r="W1118" i="2" s="1"/>
  <c r="L1118" i="2"/>
  <c r="V1118" i="2" s="1"/>
  <c r="Y1117" i="2"/>
  <c r="X1117" i="2"/>
  <c r="W1117" i="2"/>
  <c r="V1117" i="2"/>
  <c r="U1117" i="2"/>
  <c r="AE1117" i="2" s="1"/>
  <c r="T1117" i="2"/>
  <c r="AD1117" i="2" s="1"/>
  <c r="S1117" i="2"/>
  <c r="AC1117" i="2" s="1"/>
  <c r="R1117" i="2"/>
  <c r="AB1117" i="2" s="1"/>
  <c r="Q1117" i="2"/>
  <c r="AA1117" i="2" s="1"/>
  <c r="P1117" i="2"/>
  <c r="Z1117" i="2" s="1"/>
  <c r="O1117" i="2"/>
  <c r="N1117" i="2"/>
  <c r="M1117" i="2"/>
  <c r="L1117" i="2"/>
  <c r="AC1116" i="2"/>
  <c r="AB1116" i="2"/>
  <c r="AA1116" i="2"/>
  <c r="Z1116" i="2"/>
  <c r="Y1116" i="2"/>
  <c r="X1116" i="2"/>
  <c r="W1116" i="2"/>
  <c r="V1116" i="2"/>
  <c r="U1116" i="2"/>
  <c r="AE1116" i="2" s="1"/>
  <c r="T1116" i="2"/>
  <c r="AD1116" i="2" s="1"/>
  <c r="S1116" i="2"/>
  <c r="R1116" i="2"/>
  <c r="Q1116" i="2"/>
  <c r="P1116" i="2"/>
  <c r="O1116" i="2"/>
  <c r="N1116" i="2"/>
  <c r="M1116" i="2"/>
  <c r="L1116" i="2"/>
  <c r="AE1115" i="2"/>
  <c r="AD1115" i="2"/>
  <c r="AC1115" i="2"/>
  <c r="AB1115" i="2"/>
  <c r="AA1115" i="2"/>
  <c r="Z1115" i="2"/>
  <c r="Y1115" i="2"/>
  <c r="X1115" i="2"/>
  <c r="U1115" i="2"/>
  <c r="T1115" i="2"/>
  <c r="S1115" i="2"/>
  <c r="R1115" i="2"/>
  <c r="Q1115" i="2"/>
  <c r="P1115" i="2"/>
  <c r="O1115" i="2"/>
  <c r="N1115" i="2"/>
  <c r="M1115" i="2"/>
  <c r="W1115" i="2" s="1"/>
  <c r="L1115" i="2"/>
  <c r="V1115" i="2" s="1"/>
  <c r="AE1114" i="2"/>
  <c r="AD1114" i="2"/>
  <c r="AC1114" i="2"/>
  <c r="AB1114" i="2"/>
  <c r="U1114" i="2"/>
  <c r="T1114" i="2"/>
  <c r="S1114" i="2"/>
  <c r="R1114" i="2"/>
  <c r="Q1114" i="2"/>
  <c r="AA1114" i="2" s="1"/>
  <c r="P1114" i="2"/>
  <c r="Z1114" i="2" s="1"/>
  <c r="O1114" i="2"/>
  <c r="Y1114" i="2" s="1"/>
  <c r="N1114" i="2"/>
  <c r="X1114" i="2" s="1"/>
  <c r="M1114" i="2"/>
  <c r="W1114" i="2" s="1"/>
  <c r="L1114" i="2"/>
  <c r="V1114" i="2" s="1"/>
  <c r="Y1113" i="2"/>
  <c r="X1113" i="2"/>
  <c r="W1113" i="2"/>
  <c r="V1113" i="2"/>
  <c r="U1113" i="2"/>
  <c r="AE1113" i="2" s="1"/>
  <c r="T1113" i="2"/>
  <c r="AD1113" i="2" s="1"/>
  <c r="S1113" i="2"/>
  <c r="AC1113" i="2" s="1"/>
  <c r="R1113" i="2"/>
  <c r="AB1113" i="2" s="1"/>
  <c r="Q1113" i="2"/>
  <c r="AA1113" i="2" s="1"/>
  <c r="P1113" i="2"/>
  <c r="Z1113" i="2" s="1"/>
  <c r="O1113" i="2"/>
  <c r="N1113" i="2"/>
  <c r="M1113" i="2"/>
  <c r="L1113" i="2"/>
  <c r="AC1112" i="2"/>
  <c r="AB1112" i="2"/>
  <c r="AA1112" i="2"/>
  <c r="Z1112" i="2"/>
  <c r="Y1112" i="2"/>
  <c r="X1112" i="2"/>
  <c r="W1112" i="2"/>
  <c r="V1112" i="2"/>
  <c r="U1112" i="2"/>
  <c r="AE1112" i="2" s="1"/>
  <c r="T1112" i="2"/>
  <c r="AD1112" i="2" s="1"/>
  <c r="S1112" i="2"/>
  <c r="R1112" i="2"/>
  <c r="Q1112" i="2"/>
  <c r="P1112" i="2"/>
  <c r="O1112" i="2"/>
  <c r="N1112" i="2"/>
  <c r="M1112" i="2"/>
  <c r="L1112" i="2"/>
  <c r="AE1111" i="2"/>
  <c r="AD1111" i="2"/>
  <c r="AC1111" i="2"/>
  <c r="AB1111" i="2"/>
  <c r="AA1111" i="2"/>
  <c r="Z1111" i="2"/>
  <c r="Y1111" i="2"/>
  <c r="X1111" i="2"/>
  <c r="U1111" i="2"/>
  <c r="T1111" i="2"/>
  <c r="S1111" i="2"/>
  <c r="R1111" i="2"/>
  <c r="Q1111" i="2"/>
  <c r="P1111" i="2"/>
  <c r="O1111" i="2"/>
  <c r="N1111" i="2"/>
  <c r="M1111" i="2"/>
  <c r="W1111" i="2" s="1"/>
  <c r="L1111" i="2"/>
  <c r="V1111" i="2" s="1"/>
  <c r="AE1110" i="2"/>
  <c r="AD1110" i="2"/>
  <c r="AC1110" i="2"/>
  <c r="AB1110" i="2"/>
  <c r="U1110" i="2"/>
  <c r="T1110" i="2"/>
  <c r="S1110" i="2"/>
  <c r="R1110" i="2"/>
  <c r="Q1110" i="2"/>
  <c r="AA1110" i="2" s="1"/>
  <c r="P1110" i="2"/>
  <c r="Z1110" i="2" s="1"/>
  <c r="O1110" i="2"/>
  <c r="Y1110" i="2" s="1"/>
  <c r="N1110" i="2"/>
  <c r="X1110" i="2" s="1"/>
  <c r="M1110" i="2"/>
  <c r="W1110" i="2" s="1"/>
  <c r="L1110" i="2"/>
  <c r="V1110" i="2" s="1"/>
  <c r="Y1109" i="2"/>
  <c r="X1109" i="2"/>
  <c r="W1109" i="2"/>
  <c r="V1109" i="2"/>
  <c r="U1109" i="2"/>
  <c r="AE1109" i="2" s="1"/>
  <c r="T1109" i="2"/>
  <c r="AD1109" i="2" s="1"/>
  <c r="S1109" i="2"/>
  <c r="AC1109" i="2" s="1"/>
  <c r="R1109" i="2"/>
  <c r="AB1109" i="2" s="1"/>
  <c r="Q1109" i="2"/>
  <c r="AA1109" i="2" s="1"/>
  <c r="P1109" i="2"/>
  <c r="Z1109" i="2" s="1"/>
  <c r="O1109" i="2"/>
  <c r="N1109" i="2"/>
  <c r="M1109" i="2"/>
  <c r="L1109" i="2"/>
  <c r="AC1108" i="2"/>
  <c r="AB1108" i="2"/>
  <c r="AA1108" i="2"/>
  <c r="Z1108" i="2"/>
  <c r="Y1108" i="2"/>
  <c r="X1108" i="2"/>
  <c r="W1108" i="2"/>
  <c r="V1108" i="2"/>
  <c r="U1108" i="2"/>
  <c r="AE1108" i="2" s="1"/>
  <c r="T1108" i="2"/>
  <c r="AD1108" i="2" s="1"/>
  <c r="S1108" i="2"/>
  <c r="R1108" i="2"/>
  <c r="Q1108" i="2"/>
  <c r="P1108" i="2"/>
  <c r="O1108" i="2"/>
  <c r="N1108" i="2"/>
  <c r="M1108" i="2"/>
  <c r="L1108" i="2"/>
  <c r="AE1107" i="2"/>
  <c r="AD1107" i="2"/>
  <c r="AC1107" i="2"/>
  <c r="AB1107" i="2"/>
  <c r="AA1107" i="2"/>
  <c r="Z1107" i="2"/>
  <c r="Y1107" i="2"/>
  <c r="X1107" i="2"/>
  <c r="U1107" i="2"/>
  <c r="T1107" i="2"/>
  <c r="S1107" i="2"/>
  <c r="R1107" i="2"/>
  <c r="Q1107" i="2"/>
  <c r="P1107" i="2"/>
  <c r="O1107" i="2"/>
  <c r="N1107" i="2"/>
  <c r="M1107" i="2"/>
  <c r="W1107" i="2" s="1"/>
  <c r="L1107" i="2"/>
  <c r="V1107" i="2" s="1"/>
  <c r="AE1106" i="2"/>
  <c r="AD1106" i="2"/>
  <c r="AC1106" i="2"/>
  <c r="AB1106" i="2"/>
  <c r="U1106" i="2"/>
  <c r="T1106" i="2"/>
  <c r="S1106" i="2"/>
  <c r="R1106" i="2"/>
  <c r="Q1106" i="2"/>
  <c r="AA1106" i="2" s="1"/>
  <c r="P1106" i="2"/>
  <c r="Z1106" i="2" s="1"/>
  <c r="O1106" i="2"/>
  <c r="Y1106" i="2" s="1"/>
  <c r="N1106" i="2"/>
  <c r="X1106" i="2" s="1"/>
  <c r="M1106" i="2"/>
  <c r="W1106" i="2" s="1"/>
  <c r="L1106" i="2"/>
  <c r="V1106" i="2" s="1"/>
  <c r="Y1105" i="2"/>
  <c r="X1105" i="2"/>
  <c r="W1105" i="2"/>
  <c r="V1105" i="2"/>
  <c r="U1105" i="2"/>
  <c r="AE1105" i="2" s="1"/>
  <c r="T1105" i="2"/>
  <c r="AD1105" i="2" s="1"/>
  <c r="S1105" i="2"/>
  <c r="AC1105" i="2" s="1"/>
  <c r="R1105" i="2"/>
  <c r="AB1105" i="2" s="1"/>
  <c r="Q1105" i="2"/>
  <c r="AA1105" i="2" s="1"/>
  <c r="P1105" i="2"/>
  <c r="Z1105" i="2" s="1"/>
  <c r="O1105" i="2"/>
  <c r="N1105" i="2"/>
  <c r="M1105" i="2"/>
  <c r="L1105" i="2"/>
  <c r="AC1104" i="2"/>
  <c r="AB1104" i="2"/>
  <c r="AA1104" i="2"/>
  <c r="Z1104" i="2"/>
  <c r="Y1104" i="2"/>
  <c r="X1104" i="2"/>
  <c r="W1104" i="2"/>
  <c r="V1104" i="2"/>
  <c r="U1104" i="2"/>
  <c r="AE1104" i="2" s="1"/>
  <c r="T1104" i="2"/>
  <c r="AD1104" i="2" s="1"/>
  <c r="S1104" i="2"/>
  <c r="R1104" i="2"/>
  <c r="Q1104" i="2"/>
  <c r="P1104" i="2"/>
  <c r="O1104" i="2"/>
  <c r="N1104" i="2"/>
  <c r="M1104" i="2"/>
  <c r="L1104" i="2"/>
  <c r="AE1103" i="2"/>
  <c r="AD1103" i="2"/>
  <c r="AC1103" i="2"/>
  <c r="AB1103" i="2"/>
  <c r="AA1103" i="2"/>
  <c r="Z1103" i="2"/>
  <c r="Y1103" i="2"/>
  <c r="X1103" i="2"/>
  <c r="U1103" i="2"/>
  <c r="T1103" i="2"/>
  <c r="S1103" i="2"/>
  <c r="R1103" i="2"/>
  <c r="Q1103" i="2"/>
  <c r="P1103" i="2"/>
  <c r="O1103" i="2"/>
  <c r="N1103" i="2"/>
  <c r="M1103" i="2"/>
  <c r="W1103" i="2" s="1"/>
  <c r="L1103" i="2"/>
  <c r="V1103" i="2" s="1"/>
  <c r="AE1102" i="2"/>
  <c r="AD1102" i="2"/>
  <c r="AC1102" i="2"/>
  <c r="AB1102" i="2"/>
  <c r="U1102" i="2"/>
  <c r="T1102" i="2"/>
  <c r="S1102" i="2"/>
  <c r="R1102" i="2"/>
  <c r="Q1102" i="2"/>
  <c r="AA1102" i="2" s="1"/>
  <c r="P1102" i="2"/>
  <c r="Z1102" i="2" s="1"/>
  <c r="O1102" i="2"/>
  <c r="Y1102" i="2" s="1"/>
  <c r="N1102" i="2"/>
  <c r="X1102" i="2" s="1"/>
  <c r="M1102" i="2"/>
  <c r="W1102" i="2" s="1"/>
  <c r="L1102" i="2"/>
  <c r="V1102" i="2" s="1"/>
  <c r="Y1101" i="2"/>
  <c r="X1101" i="2"/>
  <c r="W1101" i="2"/>
  <c r="V1101" i="2"/>
  <c r="U1101" i="2"/>
  <c r="AE1101" i="2" s="1"/>
  <c r="T1101" i="2"/>
  <c r="AD1101" i="2" s="1"/>
  <c r="S1101" i="2"/>
  <c r="AC1101" i="2" s="1"/>
  <c r="R1101" i="2"/>
  <c r="AB1101" i="2" s="1"/>
  <c r="Q1101" i="2"/>
  <c r="AA1101" i="2" s="1"/>
  <c r="P1101" i="2"/>
  <c r="Z1101" i="2" s="1"/>
  <c r="O1101" i="2"/>
  <c r="N1101" i="2"/>
  <c r="M1101" i="2"/>
  <c r="L1101" i="2"/>
  <c r="AC1100" i="2"/>
  <c r="AB1100" i="2"/>
  <c r="AA1100" i="2"/>
  <c r="Z1100" i="2"/>
  <c r="Y1100" i="2"/>
  <c r="X1100" i="2"/>
  <c r="W1100" i="2"/>
  <c r="V1100" i="2"/>
  <c r="U1100" i="2"/>
  <c r="AE1100" i="2" s="1"/>
  <c r="T1100" i="2"/>
  <c r="AD1100" i="2" s="1"/>
  <c r="S1100" i="2"/>
  <c r="R1100" i="2"/>
  <c r="Q1100" i="2"/>
  <c r="P1100" i="2"/>
  <c r="O1100" i="2"/>
  <c r="N1100" i="2"/>
  <c r="M1100" i="2"/>
  <c r="L1100" i="2"/>
  <c r="AE1099" i="2"/>
  <c r="AD1099" i="2"/>
  <c r="AC1099" i="2"/>
  <c r="AB1099" i="2"/>
  <c r="AA1099" i="2"/>
  <c r="Z1099" i="2"/>
  <c r="Y1099" i="2"/>
  <c r="X1099" i="2"/>
  <c r="U1099" i="2"/>
  <c r="T1099" i="2"/>
  <c r="S1099" i="2"/>
  <c r="R1099" i="2"/>
  <c r="Q1099" i="2"/>
  <c r="P1099" i="2"/>
  <c r="O1099" i="2"/>
  <c r="N1099" i="2"/>
  <c r="M1099" i="2"/>
  <c r="W1099" i="2" s="1"/>
  <c r="L1099" i="2"/>
  <c r="V1099" i="2" s="1"/>
  <c r="AE1098" i="2"/>
  <c r="AD1098" i="2"/>
  <c r="AC1098" i="2"/>
  <c r="AB1098" i="2"/>
  <c r="U1098" i="2"/>
  <c r="T1098" i="2"/>
  <c r="S1098" i="2"/>
  <c r="R1098" i="2"/>
  <c r="Q1098" i="2"/>
  <c r="AA1098" i="2" s="1"/>
  <c r="P1098" i="2"/>
  <c r="Z1098" i="2" s="1"/>
  <c r="O1098" i="2"/>
  <c r="Y1098" i="2" s="1"/>
  <c r="N1098" i="2"/>
  <c r="X1098" i="2" s="1"/>
  <c r="M1098" i="2"/>
  <c r="W1098" i="2" s="1"/>
  <c r="L1098" i="2"/>
  <c r="V1098" i="2" s="1"/>
  <c r="Y1097" i="2"/>
  <c r="X1097" i="2"/>
  <c r="W1097" i="2"/>
  <c r="V1097" i="2"/>
  <c r="U1097" i="2"/>
  <c r="AE1097" i="2" s="1"/>
  <c r="T1097" i="2"/>
  <c r="AD1097" i="2" s="1"/>
  <c r="S1097" i="2"/>
  <c r="AC1097" i="2" s="1"/>
  <c r="R1097" i="2"/>
  <c r="AB1097" i="2" s="1"/>
  <c r="Q1097" i="2"/>
  <c r="AA1097" i="2" s="1"/>
  <c r="P1097" i="2"/>
  <c r="Z1097" i="2" s="1"/>
  <c r="O1097" i="2"/>
  <c r="N1097" i="2"/>
  <c r="M1097" i="2"/>
  <c r="L1097" i="2"/>
  <c r="AC1096" i="2"/>
  <c r="AB1096" i="2"/>
  <c r="AA1096" i="2"/>
  <c r="Z1096" i="2"/>
  <c r="Y1096" i="2"/>
  <c r="X1096" i="2"/>
  <c r="W1096" i="2"/>
  <c r="V1096" i="2"/>
  <c r="U1096" i="2"/>
  <c r="AE1096" i="2" s="1"/>
  <c r="T1096" i="2"/>
  <c r="AD1096" i="2" s="1"/>
  <c r="S1096" i="2"/>
  <c r="R1096" i="2"/>
  <c r="Q1096" i="2"/>
  <c r="P1096" i="2"/>
  <c r="O1096" i="2"/>
  <c r="N1096" i="2"/>
  <c r="M1096" i="2"/>
  <c r="L1096" i="2"/>
  <c r="AE1095" i="2"/>
  <c r="AD1095" i="2"/>
  <c r="AC1095" i="2"/>
  <c r="AB1095" i="2"/>
  <c r="AA1095" i="2"/>
  <c r="Z1095" i="2"/>
  <c r="Y1095" i="2"/>
  <c r="X1095" i="2"/>
  <c r="U1095" i="2"/>
  <c r="T1095" i="2"/>
  <c r="S1095" i="2"/>
  <c r="R1095" i="2"/>
  <c r="Q1095" i="2"/>
  <c r="P1095" i="2"/>
  <c r="O1095" i="2"/>
  <c r="N1095" i="2"/>
  <c r="M1095" i="2"/>
  <c r="W1095" i="2" s="1"/>
  <c r="L1095" i="2"/>
  <c r="V1095" i="2" s="1"/>
  <c r="AE1094" i="2"/>
  <c r="AD1094" i="2"/>
  <c r="AC1094" i="2"/>
  <c r="AB1094" i="2"/>
  <c r="U1094" i="2"/>
  <c r="T1094" i="2"/>
  <c r="S1094" i="2"/>
  <c r="R1094" i="2"/>
  <c r="Q1094" i="2"/>
  <c r="AA1094" i="2" s="1"/>
  <c r="P1094" i="2"/>
  <c r="Z1094" i="2" s="1"/>
  <c r="O1094" i="2"/>
  <c r="Y1094" i="2" s="1"/>
  <c r="N1094" i="2"/>
  <c r="X1094" i="2" s="1"/>
  <c r="M1094" i="2"/>
  <c r="W1094" i="2" s="1"/>
  <c r="L1094" i="2"/>
  <c r="V1094" i="2" s="1"/>
  <c r="Y1093" i="2"/>
  <c r="X1093" i="2"/>
  <c r="W1093" i="2"/>
  <c r="V1093" i="2"/>
  <c r="U1093" i="2"/>
  <c r="AE1093" i="2" s="1"/>
  <c r="T1093" i="2"/>
  <c r="AD1093" i="2" s="1"/>
  <c r="S1093" i="2"/>
  <c r="AC1093" i="2" s="1"/>
  <c r="R1093" i="2"/>
  <c r="AB1093" i="2" s="1"/>
  <c r="Q1093" i="2"/>
  <c r="AA1093" i="2" s="1"/>
  <c r="P1093" i="2"/>
  <c r="Z1093" i="2" s="1"/>
  <c r="O1093" i="2"/>
  <c r="N1093" i="2"/>
  <c r="M1093" i="2"/>
  <c r="L1093" i="2"/>
  <c r="AC1092" i="2"/>
  <c r="AB1092" i="2"/>
  <c r="AA1092" i="2"/>
  <c r="Z1092" i="2"/>
  <c r="Y1092" i="2"/>
  <c r="X1092" i="2"/>
  <c r="W1092" i="2"/>
  <c r="V1092" i="2"/>
  <c r="U1092" i="2"/>
  <c r="AE1092" i="2" s="1"/>
  <c r="T1092" i="2"/>
  <c r="AD1092" i="2" s="1"/>
  <c r="S1092" i="2"/>
  <c r="R1092" i="2"/>
  <c r="Q1092" i="2"/>
  <c r="P1092" i="2"/>
  <c r="O1092" i="2"/>
  <c r="N1092" i="2"/>
  <c r="M1092" i="2"/>
  <c r="L1092" i="2"/>
  <c r="AE1091" i="2"/>
  <c r="AD1091" i="2"/>
  <c r="AC1091" i="2"/>
  <c r="AB1091" i="2"/>
  <c r="AA1091" i="2"/>
  <c r="Z1091" i="2"/>
  <c r="Y1091" i="2"/>
  <c r="X1091" i="2"/>
  <c r="U1091" i="2"/>
  <c r="T1091" i="2"/>
  <c r="S1091" i="2"/>
  <c r="R1091" i="2"/>
  <c r="Q1091" i="2"/>
  <c r="P1091" i="2"/>
  <c r="O1091" i="2"/>
  <c r="N1091" i="2"/>
  <c r="M1091" i="2"/>
  <c r="W1091" i="2" s="1"/>
  <c r="L1091" i="2"/>
  <c r="V1091" i="2" s="1"/>
  <c r="AE1090" i="2"/>
  <c r="AD1090" i="2"/>
  <c r="AC1090" i="2"/>
  <c r="AB1090" i="2"/>
  <c r="U1090" i="2"/>
  <c r="T1090" i="2"/>
  <c r="S1090" i="2"/>
  <c r="R1090" i="2"/>
  <c r="Q1090" i="2"/>
  <c r="AA1090" i="2" s="1"/>
  <c r="P1090" i="2"/>
  <c r="Z1090" i="2" s="1"/>
  <c r="O1090" i="2"/>
  <c r="Y1090" i="2" s="1"/>
  <c r="N1090" i="2"/>
  <c r="X1090" i="2" s="1"/>
  <c r="M1090" i="2"/>
  <c r="W1090" i="2" s="1"/>
  <c r="L1090" i="2"/>
  <c r="V1090" i="2" s="1"/>
  <c r="Y1089" i="2"/>
  <c r="X1089" i="2"/>
  <c r="W1089" i="2"/>
  <c r="V1089" i="2"/>
  <c r="U1089" i="2"/>
  <c r="AE1089" i="2" s="1"/>
  <c r="T1089" i="2"/>
  <c r="AD1089" i="2" s="1"/>
  <c r="S1089" i="2"/>
  <c r="AC1089" i="2" s="1"/>
  <c r="R1089" i="2"/>
  <c r="AB1089" i="2" s="1"/>
  <c r="Q1089" i="2"/>
  <c r="AA1089" i="2" s="1"/>
  <c r="P1089" i="2"/>
  <c r="Z1089" i="2" s="1"/>
  <c r="O1089" i="2"/>
  <c r="N1089" i="2"/>
  <c r="M1089" i="2"/>
  <c r="L1089" i="2"/>
  <c r="AC1088" i="2"/>
  <c r="AB1088" i="2"/>
  <c r="AA1088" i="2"/>
  <c r="Z1088" i="2"/>
  <c r="Y1088" i="2"/>
  <c r="X1088" i="2"/>
  <c r="W1088" i="2"/>
  <c r="V1088" i="2"/>
  <c r="U1088" i="2"/>
  <c r="AE1088" i="2" s="1"/>
  <c r="T1088" i="2"/>
  <c r="AD1088" i="2" s="1"/>
  <c r="S1088" i="2"/>
  <c r="R1088" i="2"/>
  <c r="Q1088" i="2"/>
  <c r="P1088" i="2"/>
  <c r="O1088" i="2"/>
  <c r="N1088" i="2"/>
  <c r="M1088" i="2"/>
  <c r="L1088" i="2"/>
  <c r="AE1087" i="2"/>
  <c r="AD1087" i="2"/>
  <c r="AC1087" i="2"/>
  <c r="AB1087" i="2"/>
  <c r="AA1087" i="2"/>
  <c r="Z1087" i="2"/>
  <c r="Y1087" i="2"/>
  <c r="X1087" i="2"/>
  <c r="U1087" i="2"/>
  <c r="T1087" i="2"/>
  <c r="S1087" i="2"/>
  <c r="R1087" i="2"/>
  <c r="Q1087" i="2"/>
  <c r="P1087" i="2"/>
  <c r="O1087" i="2"/>
  <c r="N1087" i="2"/>
  <c r="M1087" i="2"/>
  <c r="W1087" i="2" s="1"/>
  <c r="L1087" i="2"/>
  <c r="V1087" i="2" s="1"/>
  <c r="AE1086" i="2"/>
  <c r="AD1086" i="2"/>
  <c r="AC1086" i="2"/>
  <c r="AB1086" i="2"/>
  <c r="U1086" i="2"/>
  <c r="T1086" i="2"/>
  <c r="S1086" i="2"/>
  <c r="R1086" i="2"/>
  <c r="Q1086" i="2"/>
  <c r="AA1086" i="2" s="1"/>
  <c r="P1086" i="2"/>
  <c r="Z1086" i="2" s="1"/>
  <c r="O1086" i="2"/>
  <c r="Y1086" i="2" s="1"/>
  <c r="N1086" i="2"/>
  <c r="X1086" i="2" s="1"/>
  <c r="M1086" i="2"/>
  <c r="W1086" i="2" s="1"/>
  <c r="L1086" i="2"/>
  <c r="V1086" i="2" s="1"/>
  <c r="Y1085" i="2"/>
  <c r="X1085" i="2"/>
  <c r="W1085" i="2"/>
  <c r="V1085" i="2"/>
  <c r="U1085" i="2"/>
  <c r="AE1085" i="2" s="1"/>
  <c r="T1085" i="2"/>
  <c r="AD1085" i="2" s="1"/>
  <c r="S1085" i="2"/>
  <c r="AC1085" i="2" s="1"/>
  <c r="R1085" i="2"/>
  <c r="AB1085" i="2" s="1"/>
  <c r="Q1085" i="2"/>
  <c r="AA1085" i="2" s="1"/>
  <c r="P1085" i="2"/>
  <c r="Z1085" i="2" s="1"/>
  <c r="O1085" i="2"/>
  <c r="N1085" i="2"/>
  <c r="M1085" i="2"/>
  <c r="L1085" i="2"/>
  <c r="AC1084" i="2"/>
  <c r="AB1084" i="2"/>
  <c r="AA1084" i="2"/>
  <c r="Z1084" i="2"/>
  <c r="Y1084" i="2"/>
  <c r="X1084" i="2"/>
  <c r="W1084" i="2"/>
  <c r="V1084" i="2"/>
  <c r="U1084" i="2"/>
  <c r="AE1084" i="2" s="1"/>
  <c r="T1084" i="2"/>
  <c r="AD1084" i="2" s="1"/>
  <c r="S1084" i="2"/>
  <c r="R1084" i="2"/>
  <c r="Q1084" i="2"/>
  <c r="P1084" i="2"/>
  <c r="O1084" i="2"/>
  <c r="N1084" i="2"/>
  <c r="M1084" i="2"/>
  <c r="L1084" i="2"/>
  <c r="AE1083" i="2"/>
  <c r="AD1083" i="2"/>
  <c r="AC1083" i="2"/>
  <c r="AB1083" i="2"/>
  <c r="AA1083" i="2"/>
  <c r="Z1083" i="2"/>
  <c r="Y1083" i="2"/>
  <c r="X1083" i="2"/>
  <c r="U1083" i="2"/>
  <c r="T1083" i="2"/>
  <c r="S1083" i="2"/>
  <c r="R1083" i="2"/>
  <c r="Q1083" i="2"/>
  <c r="P1083" i="2"/>
  <c r="O1083" i="2"/>
  <c r="N1083" i="2"/>
  <c r="M1083" i="2"/>
  <c r="W1083" i="2" s="1"/>
  <c r="L1083" i="2"/>
  <c r="V1083" i="2" s="1"/>
  <c r="AE1082" i="2"/>
  <c r="AD1082" i="2"/>
  <c r="AC1082" i="2"/>
  <c r="AB1082" i="2"/>
  <c r="U1082" i="2"/>
  <c r="T1082" i="2"/>
  <c r="S1082" i="2"/>
  <c r="R1082" i="2"/>
  <c r="Q1082" i="2"/>
  <c r="AA1082" i="2" s="1"/>
  <c r="P1082" i="2"/>
  <c r="Z1082" i="2" s="1"/>
  <c r="O1082" i="2"/>
  <c r="Y1082" i="2" s="1"/>
  <c r="N1082" i="2"/>
  <c r="X1082" i="2" s="1"/>
  <c r="M1082" i="2"/>
  <c r="W1082" i="2" s="1"/>
  <c r="L1082" i="2"/>
  <c r="V1082" i="2" s="1"/>
  <c r="Y1081" i="2"/>
  <c r="X1081" i="2"/>
  <c r="W1081" i="2"/>
  <c r="V1081" i="2"/>
  <c r="U1081" i="2"/>
  <c r="AE1081" i="2" s="1"/>
  <c r="T1081" i="2"/>
  <c r="AD1081" i="2" s="1"/>
  <c r="S1081" i="2"/>
  <c r="AC1081" i="2" s="1"/>
  <c r="R1081" i="2"/>
  <c r="AB1081" i="2" s="1"/>
  <c r="Q1081" i="2"/>
  <c r="AA1081" i="2" s="1"/>
  <c r="P1081" i="2"/>
  <c r="Z1081" i="2" s="1"/>
  <c r="O1081" i="2"/>
  <c r="N1081" i="2"/>
  <c r="M1081" i="2"/>
  <c r="L1081" i="2"/>
  <c r="AC1080" i="2"/>
  <c r="AB1080" i="2"/>
  <c r="AA1080" i="2"/>
  <c r="Z1080" i="2"/>
  <c r="Y1080" i="2"/>
  <c r="X1080" i="2"/>
  <c r="W1080" i="2"/>
  <c r="V1080" i="2"/>
  <c r="U1080" i="2"/>
  <c r="AE1080" i="2" s="1"/>
  <c r="T1080" i="2"/>
  <c r="AD1080" i="2" s="1"/>
  <c r="S1080" i="2"/>
  <c r="R1080" i="2"/>
  <c r="Q1080" i="2"/>
  <c r="P1080" i="2"/>
  <c r="O1080" i="2"/>
  <c r="N1080" i="2"/>
  <c r="M1080" i="2"/>
  <c r="L1080" i="2"/>
  <c r="AE1079" i="2"/>
  <c r="AD1079" i="2"/>
  <c r="AC1079" i="2"/>
  <c r="AB1079" i="2"/>
  <c r="AA1079" i="2"/>
  <c r="Z1079" i="2"/>
  <c r="Y1079" i="2"/>
  <c r="X1079" i="2"/>
  <c r="U1079" i="2"/>
  <c r="T1079" i="2"/>
  <c r="S1079" i="2"/>
  <c r="R1079" i="2"/>
  <c r="Q1079" i="2"/>
  <c r="P1079" i="2"/>
  <c r="O1079" i="2"/>
  <c r="N1079" i="2"/>
  <c r="M1079" i="2"/>
  <c r="W1079" i="2" s="1"/>
  <c r="L1079" i="2"/>
  <c r="V1079" i="2" s="1"/>
  <c r="AE1078" i="2"/>
  <c r="AD1078" i="2"/>
  <c r="AC1078" i="2"/>
  <c r="AB1078" i="2"/>
  <c r="U1078" i="2"/>
  <c r="T1078" i="2"/>
  <c r="S1078" i="2"/>
  <c r="R1078" i="2"/>
  <c r="Q1078" i="2"/>
  <c r="AA1078" i="2" s="1"/>
  <c r="P1078" i="2"/>
  <c r="Z1078" i="2" s="1"/>
  <c r="O1078" i="2"/>
  <c r="Y1078" i="2" s="1"/>
  <c r="N1078" i="2"/>
  <c r="X1078" i="2" s="1"/>
  <c r="M1078" i="2"/>
  <c r="W1078" i="2" s="1"/>
  <c r="L1078" i="2"/>
  <c r="V1078" i="2" s="1"/>
  <c r="Y1077" i="2"/>
  <c r="X1077" i="2"/>
  <c r="W1077" i="2"/>
  <c r="V1077" i="2"/>
  <c r="U1077" i="2"/>
  <c r="AE1077" i="2" s="1"/>
  <c r="T1077" i="2"/>
  <c r="AD1077" i="2" s="1"/>
  <c r="S1077" i="2"/>
  <c r="AC1077" i="2" s="1"/>
  <c r="R1077" i="2"/>
  <c r="AB1077" i="2" s="1"/>
  <c r="Q1077" i="2"/>
  <c r="AA1077" i="2" s="1"/>
  <c r="P1077" i="2"/>
  <c r="Z1077" i="2" s="1"/>
  <c r="O1077" i="2"/>
  <c r="N1077" i="2"/>
  <c r="M1077" i="2"/>
  <c r="L1077" i="2"/>
  <c r="AC1076" i="2"/>
  <c r="AB1076" i="2"/>
  <c r="AA1076" i="2"/>
  <c r="Z1076" i="2"/>
  <c r="Y1076" i="2"/>
  <c r="X1076" i="2"/>
  <c r="W1076" i="2"/>
  <c r="V1076" i="2"/>
  <c r="U1076" i="2"/>
  <c r="AE1076" i="2" s="1"/>
  <c r="T1076" i="2"/>
  <c r="AD1076" i="2" s="1"/>
  <c r="S1076" i="2"/>
  <c r="R1076" i="2"/>
  <c r="Q1076" i="2"/>
  <c r="P1076" i="2"/>
  <c r="O1076" i="2"/>
  <c r="N1076" i="2"/>
  <c r="M1076" i="2"/>
  <c r="L1076" i="2"/>
  <c r="AE1075" i="2"/>
  <c r="AD1075" i="2"/>
  <c r="AC1075" i="2"/>
  <c r="AB1075" i="2"/>
  <c r="AA1075" i="2"/>
  <c r="Z1075" i="2"/>
  <c r="X1075" i="2"/>
  <c r="U1075" i="2"/>
  <c r="T1075" i="2"/>
  <c r="S1075" i="2"/>
  <c r="R1075" i="2"/>
  <c r="Q1075" i="2"/>
  <c r="P1075" i="2"/>
  <c r="O1075" i="2"/>
  <c r="Y1075" i="2" s="1"/>
  <c r="N1075" i="2"/>
  <c r="M1075" i="2"/>
  <c r="W1075" i="2" s="1"/>
  <c r="L1075" i="2"/>
  <c r="V1075" i="2" s="1"/>
  <c r="AE1074" i="2"/>
  <c r="AD1074" i="2"/>
  <c r="AC1074" i="2"/>
  <c r="AB1074" i="2"/>
  <c r="U1074" i="2"/>
  <c r="T1074" i="2"/>
  <c r="S1074" i="2"/>
  <c r="R1074" i="2"/>
  <c r="Q1074" i="2"/>
  <c r="AA1074" i="2" s="1"/>
  <c r="P1074" i="2"/>
  <c r="Z1074" i="2" s="1"/>
  <c r="O1074" i="2"/>
  <c r="Y1074" i="2" s="1"/>
  <c r="N1074" i="2"/>
  <c r="X1074" i="2" s="1"/>
  <c r="M1074" i="2"/>
  <c r="W1074" i="2" s="1"/>
  <c r="L1074" i="2"/>
  <c r="V1074" i="2" s="1"/>
  <c r="Y1073" i="2"/>
  <c r="X1073" i="2"/>
  <c r="W1073" i="2"/>
  <c r="V1073" i="2"/>
  <c r="U1073" i="2"/>
  <c r="AE1073" i="2" s="1"/>
  <c r="T1073" i="2"/>
  <c r="AD1073" i="2" s="1"/>
  <c r="S1073" i="2"/>
  <c r="AC1073" i="2" s="1"/>
  <c r="R1073" i="2"/>
  <c r="AB1073" i="2" s="1"/>
  <c r="Q1073" i="2"/>
  <c r="AA1073" i="2" s="1"/>
  <c r="P1073" i="2"/>
  <c r="Z1073" i="2" s="1"/>
  <c r="O1073" i="2"/>
  <c r="N1073" i="2"/>
  <c r="M1073" i="2"/>
  <c r="L1073" i="2"/>
  <c r="AC1072" i="2"/>
  <c r="AB1072" i="2"/>
  <c r="AA1072" i="2"/>
  <c r="Z1072" i="2"/>
  <c r="Y1072" i="2"/>
  <c r="X1072" i="2"/>
  <c r="W1072" i="2"/>
  <c r="V1072" i="2"/>
  <c r="U1072" i="2"/>
  <c r="AE1072" i="2" s="1"/>
  <c r="T1072" i="2"/>
  <c r="AD1072" i="2" s="1"/>
  <c r="S1072" i="2"/>
  <c r="R1072" i="2"/>
  <c r="Q1072" i="2"/>
  <c r="P1072" i="2"/>
  <c r="O1072" i="2"/>
  <c r="N1072" i="2"/>
  <c r="M1072" i="2"/>
  <c r="L1072" i="2"/>
  <c r="AE1071" i="2"/>
  <c r="AD1071" i="2"/>
  <c r="AC1071" i="2"/>
  <c r="AB1071" i="2"/>
  <c r="AA1071" i="2"/>
  <c r="Z1071" i="2"/>
  <c r="X1071" i="2"/>
  <c r="U1071" i="2"/>
  <c r="T1071" i="2"/>
  <c r="S1071" i="2"/>
  <c r="R1071" i="2"/>
  <c r="Q1071" i="2"/>
  <c r="P1071" i="2"/>
  <c r="O1071" i="2"/>
  <c r="Y1071" i="2" s="1"/>
  <c r="N1071" i="2"/>
  <c r="M1071" i="2"/>
  <c r="W1071" i="2" s="1"/>
  <c r="L1071" i="2"/>
  <c r="V1071" i="2" s="1"/>
  <c r="AE1070" i="2"/>
  <c r="AD1070" i="2"/>
  <c r="AC1070" i="2"/>
  <c r="AB1070" i="2"/>
  <c r="U1070" i="2"/>
  <c r="T1070" i="2"/>
  <c r="S1070" i="2"/>
  <c r="R1070" i="2"/>
  <c r="Q1070" i="2"/>
  <c r="AA1070" i="2" s="1"/>
  <c r="P1070" i="2"/>
  <c r="Z1070" i="2" s="1"/>
  <c r="O1070" i="2"/>
  <c r="Y1070" i="2" s="1"/>
  <c r="N1070" i="2"/>
  <c r="X1070" i="2" s="1"/>
  <c r="M1070" i="2"/>
  <c r="W1070" i="2" s="1"/>
  <c r="L1070" i="2"/>
  <c r="V1070" i="2" s="1"/>
  <c r="Y1069" i="2"/>
  <c r="X1069" i="2"/>
  <c r="W1069" i="2"/>
  <c r="V1069" i="2"/>
  <c r="U1069" i="2"/>
  <c r="AE1069" i="2" s="1"/>
  <c r="T1069" i="2"/>
  <c r="AD1069" i="2" s="1"/>
  <c r="S1069" i="2"/>
  <c r="AC1069" i="2" s="1"/>
  <c r="R1069" i="2"/>
  <c r="AB1069" i="2" s="1"/>
  <c r="Q1069" i="2"/>
  <c r="AA1069" i="2" s="1"/>
  <c r="P1069" i="2"/>
  <c r="Z1069" i="2" s="1"/>
  <c r="O1069" i="2"/>
  <c r="N1069" i="2"/>
  <c r="M1069" i="2"/>
  <c r="L1069" i="2"/>
  <c r="AC1068" i="2"/>
  <c r="AB1068" i="2"/>
  <c r="AA1068" i="2"/>
  <c r="Z1068" i="2"/>
  <c r="Y1068" i="2"/>
  <c r="X1068" i="2"/>
  <c r="W1068" i="2"/>
  <c r="V1068" i="2"/>
  <c r="U1068" i="2"/>
  <c r="AE1068" i="2" s="1"/>
  <c r="T1068" i="2"/>
  <c r="AD1068" i="2" s="1"/>
  <c r="S1068" i="2"/>
  <c r="R1068" i="2"/>
  <c r="Q1068" i="2"/>
  <c r="P1068" i="2"/>
  <c r="O1068" i="2"/>
  <c r="N1068" i="2"/>
  <c r="M1068" i="2"/>
  <c r="L1068" i="2"/>
  <c r="AE1067" i="2"/>
  <c r="AD1067" i="2"/>
  <c r="AC1067" i="2"/>
  <c r="AB1067" i="2"/>
  <c r="AA1067" i="2"/>
  <c r="Z1067" i="2"/>
  <c r="X1067" i="2"/>
  <c r="U1067" i="2"/>
  <c r="T1067" i="2"/>
  <c r="S1067" i="2"/>
  <c r="R1067" i="2"/>
  <c r="Q1067" i="2"/>
  <c r="P1067" i="2"/>
  <c r="O1067" i="2"/>
  <c r="Y1067" i="2" s="1"/>
  <c r="N1067" i="2"/>
  <c r="M1067" i="2"/>
  <c r="W1067" i="2" s="1"/>
  <c r="L1067" i="2"/>
  <c r="V1067" i="2" s="1"/>
  <c r="AE1066" i="2"/>
  <c r="AD1066" i="2"/>
  <c r="AC1066" i="2"/>
  <c r="AB1066" i="2"/>
  <c r="U1066" i="2"/>
  <c r="T1066" i="2"/>
  <c r="S1066" i="2"/>
  <c r="R1066" i="2"/>
  <c r="Q1066" i="2"/>
  <c r="AA1066" i="2" s="1"/>
  <c r="P1066" i="2"/>
  <c r="Z1066" i="2" s="1"/>
  <c r="O1066" i="2"/>
  <c r="Y1066" i="2" s="1"/>
  <c r="N1066" i="2"/>
  <c r="X1066" i="2" s="1"/>
  <c r="M1066" i="2"/>
  <c r="W1066" i="2" s="1"/>
  <c r="L1066" i="2"/>
  <c r="V1066" i="2" s="1"/>
  <c r="Y1065" i="2"/>
  <c r="X1065" i="2"/>
  <c r="W1065" i="2"/>
  <c r="V1065" i="2"/>
  <c r="U1065" i="2"/>
  <c r="AE1065" i="2" s="1"/>
  <c r="T1065" i="2"/>
  <c r="AD1065" i="2" s="1"/>
  <c r="S1065" i="2"/>
  <c r="AC1065" i="2" s="1"/>
  <c r="R1065" i="2"/>
  <c r="AB1065" i="2" s="1"/>
  <c r="Q1065" i="2"/>
  <c r="AA1065" i="2" s="1"/>
  <c r="P1065" i="2"/>
  <c r="Z1065" i="2" s="1"/>
  <c r="O1065" i="2"/>
  <c r="N1065" i="2"/>
  <c r="M1065" i="2"/>
  <c r="L1065" i="2"/>
  <c r="AC1064" i="2"/>
  <c r="AB1064" i="2"/>
  <c r="AA1064" i="2"/>
  <c r="Z1064" i="2"/>
  <c r="Y1064" i="2"/>
  <c r="X1064" i="2"/>
  <c r="W1064" i="2"/>
  <c r="V1064" i="2"/>
  <c r="U1064" i="2"/>
  <c r="AE1064" i="2" s="1"/>
  <c r="T1064" i="2"/>
  <c r="AD1064" i="2" s="1"/>
  <c r="S1064" i="2"/>
  <c r="R1064" i="2"/>
  <c r="Q1064" i="2"/>
  <c r="P1064" i="2"/>
  <c r="O1064" i="2"/>
  <c r="N1064" i="2"/>
  <c r="M1064" i="2"/>
  <c r="L1064" i="2"/>
  <c r="AE1063" i="2"/>
  <c r="AD1063" i="2"/>
  <c r="AC1063" i="2"/>
  <c r="AB1063" i="2"/>
  <c r="AA1063" i="2"/>
  <c r="Z1063" i="2"/>
  <c r="X1063" i="2"/>
  <c r="U1063" i="2"/>
  <c r="T1063" i="2"/>
  <c r="S1063" i="2"/>
  <c r="R1063" i="2"/>
  <c r="Q1063" i="2"/>
  <c r="P1063" i="2"/>
  <c r="O1063" i="2"/>
  <c r="Y1063" i="2" s="1"/>
  <c r="N1063" i="2"/>
  <c r="M1063" i="2"/>
  <c r="W1063" i="2" s="1"/>
  <c r="L1063" i="2"/>
  <c r="V1063" i="2" s="1"/>
  <c r="AE1062" i="2"/>
  <c r="AD1062" i="2"/>
  <c r="AC1062" i="2"/>
  <c r="AB1062" i="2"/>
  <c r="U1062" i="2"/>
  <c r="T1062" i="2"/>
  <c r="S1062" i="2"/>
  <c r="R1062" i="2"/>
  <c r="Q1062" i="2"/>
  <c r="AA1062" i="2" s="1"/>
  <c r="P1062" i="2"/>
  <c r="Z1062" i="2" s="1"/>
  <c r="O1062" i="2"/>
  <c r="Y1062" i="2" s="1"/>
  <c r="N1062" i="2"/>
  <c r="X1062" i="2" s="1"/>
  <c r="M1062" i="2"/>
  <c r="W1062" i="2" s="1"/>
  <c r="L1062" i="2"/>
  <c r="V1062" i="2" s="1"/>
  <c r="Y1061" i="2"/>
  <c r="X1061" i="2"/>
  <c r="W1061" i="2"/>
  <c r="V1061" i="2"/>
  <c r="U1061" i="2"/>
  <c r="AE1061" i="2" s="1"/>
  <c r="T1061" i="2"/>
  <c r="AD1061" i="2" s="1"/>
  <c r="S1061" i="2"/>
  <c r="AC1061" i="2" s="1"/>
  <c r="R1061" i="2"/>
  <c r="AB1061" i="2" s="1"/>
  <c r="Q1061" i="2"/>
  <c r="AA1061" i="2" s="1"/>
  <c r="P1061" i="2"/>
  <c r="Z1061" i="2" s="1"/>
  <c r="O1061" i="2"/>
  <c r="N1061" i="2"/>
  <c r="M1061" i="2"/>
  <c r="L1061" i="2"/>
  <c r="AC1060" i="2"/>
  <c r="AB1060" i="2"/>
  <c r="AA1060" i="2"/>
  <c r="Z1060" i="2"/>
  <c r="Y1060" i="2"/>
  <c r="X1060" i="2"/>
  <c r="V1060" i="2"/>
  <c r="U1060" i="2"/>
  <c r="AE1060" i="2" s="1"/>
  <c r="T1060" i="2"/>
  <c r="AD1060" i="2" s="1"/>
  <c r="S1060" i="2"/>
  <c r="R1060" i="2"/>
  <c r="Q1060" i="2"/>
  <c r="P1060" i="2"/>
  <c r="O1060" i="2"/>
  <c r="N1060" i="2"/>
  <c r="M1060" i="2"/>
  <c r="W1060" i="2" s="1"/>
  <c r="L1060" i="2"/>
  <c r="AE1059" i="2"/>
  <c r="AD1059" i="2"/>
  <c r="AC1059" i="2"/>
  <c r="AB1059" i="2"/>
  <c r="AA1059" i="2"/>
  <c r="Z1059" i="2"/>
  <c r="Y1059" i="2"/>
  <c r="X1059" i="2"/>
  <c r="U1059" i="2"/>
  <c r="T1059" i="2"/>
  <c r="S1059" i="2"/>
  <c r="R1059" i="2"/>
  <c r="Q1059" i="2"/>
  <c r="P1059" i="2"/>
  <c r="O1059" i="2"/>
  <c r="N1059" i="2"/>
  <c r="M1059" i="2"/>
  <c r="W1059" i="2" s="1"/>
  <c r="L1059" i="2"/>
  <c r="V1059" i="2" s="1"/>
  <c r="AD1058" i="2"/>
  <c r="AC1058" i="2"/>
  <c r="AB1058" i="2"/>
  <c r="U1058" i="2"/>
  <c r="AE1058" i="2" s="1"/>
  <c r="T1058" i="2"/>
  <c r="S1058" i="2"/>
  <c r="R1058" i="2"/>
  <c r="Q1058" i="2"/>
  <c r="AA1058" i="2" s="1"/>
  <c r="P1058" i="2"/>
  <c r="Z1058" i="2" s="1"/>
  <c r="O1058" i="2"/>
  <c r="Y1058" i="2" s="1"/>
  <c r="N1058" i="2"/>
  <c r="X1058" i="2" s="1"/>
  <c r="M1058" i="2"/>
  <c r="W1058" i="2" s="1"/>
  <c r="L1058" i="2"/>
  <c r="V1058" i="2" s="1"/>
  <c r="Y1057" i="2"/>
  <c r="X1057" i="2"/>
  <c r="W1057" i="2"/>
  <c r="V1057" i="2"/>
  <c r="U1057" i="2"/>
  <c r="AE1057" i="2" s="1"/>
  <c r="T1057" i="2"/>
  <c r="AD1057" i="2" s="1"/>
  <c r="S1057" i="2"/>
  <c r="AC1057" i="2" s="1"/>
  <c r="R1057" i="2"/>
  <c r="AB1057" i="2" s="1"/>
  <c r="Q1057" i="2"/>
  <c r="AA1057" i="2" s="1"/>
  <c r="P1057" i="2"/>
  <c r="Z1057" i="2" s="1"/>
  <c r="O1057" i="2"/>
  <c r="N1057" i="2"/>
  <c r="M1057" i="2"/>
  <c r="L1057" i="2"/>
  <c r="AC1056" i="2"/>
  <c r="AB1056" i="2"/>
  <c r="AA1056" i="2"/>
  <c r="Z1056" i="2"/>
  <c r="Y1056" i="2"/>
  <c r="X1056" i="2"/>
  <c r="V1056" i="2"/>
  <c r="U1056" i="2"/>
  <c r="AE1056" i="2" s="1"/>
  <c r="T1056" i="2"/>
  <c r="AD1056" i="2" s="1"/>
  <c r="S1056" i="2"/>
  <c r="R1056" i="2"/>
  <c r="Q1056" i="2"/>
  <c r="P1056" i="2"/>
  <c r="O1056" i="2"/>
  <c r="N1056" i="2"/>
  <c r="M1056" i="2"/>
  <c r="W1056" i="2" s="1"/>
  <c r="L1056" i="2"/>
  <c r="AE1055" i="2"/>
  <c r="AD1055" i="2"/>
  <c r="AC1055" i="2"/>
  <c r="AB1055" i="2"/>
  <c r="Z1055" i="2"/>
  <c r="Y1055" i="2"/>
  <c r="X1055" i="2"/>
  <c r="U1055" i="2"/>
  <c r="T1055" i="2"/>
  <c r="S1055" i="2"/>
  <c r="R1055" i="2"/>
  <c r="Q1055" i="2"/>
  <c r="AA1055" i="2" s="1"/>
  <c r="P1055" i="2"/>
  <c r="O1055" i="2"/>
  <c r="N1055" i="2"/>
  <c r="M1055" i="2"/>
  <c r="W1055" i="2" s="1"/>
  <c r="L1055" i="2"/>
  <c r="V1055" i="2" s="1"/>
  <c r="AD1054" i="2"/>
  <c r="AB1054" i="2"/>
  <c r="U1054" i="2"/>
  <c r="AE1054" i="2" s="1"/>
  <c r="T1054" i="2"/>
  <c r="S1054" i="2"/>
  <c r="AC1054" i="2" s="1"/>
  <c r="R1054" i="2"/>
  <c r="Q1054" i="2"/>
  <c r="AA1054" i="2" s="1"/>
  <c r="P1054" i="2"/>
  <c r="Z1054" i="2" s="1"/>
  <c r="O1054" i="2"/>
  <c r="Y1054" i="2" s="1"/>
  <c r="N1054" i="2"/>
  <c r="X1054" i="2" s="1"/>
  <c r="M1054" i="2"/>
  <c r="W1054" i="2" s="1"/>
  <c r="L1054" i="2"/>
  <c r="V1054" i="2" s="1"/>
  <c r="Y1053" i="2"/>
  <c r="X1053" i="2"/>
  <c r="W1053" i="2"/>
  <c r="V1053" i="2"/>
  <c r="U1053" i="2"/>
  <c r="AE1053" i="2" s="1"/>
  <c r="T1053" i="2"/>
  <c r="AD1053" i="2" s="1"/>
  <c r="S1053" i="2"/>
  <c r="AC1053" i="2" s="1"/>
  <c r="R1053" i="2"/>
  <c r="AB1053" i="2" s="1"/>
  <c r="Q1053" i="2"/>
  <c r="AA1053" i="2" s="1"/>
  <c r="P1053" i="2"/>
  <c r="Z1053" i="2" s="1"/>
  <c r="O1053" i="2"/>
  <c r="N1053" i="2"/>
  <c r="M1053" i="2"/>
  <c r="L1053" i="2"/>
  <c r="AC1052" i="2"/>
  <c r="AB1052" i="2"/>
  <c r="AA1052" i="2"/>
  <c r="Z1052" i="2"/>
  <c r="Y1052" i="2"/>
  <c r="X1052" i="2"/>
  <c r="V1052" i="2"/>
  <c r="U1052" i="2"/>
  <c r="AE1052" i="2" s="1"/>
  <c r="T1052" i="2"/>
  <c r="AD1052" i="2" s="1"/>
  <c r="S1052" i="2"/>
  <c r="R1052" i="2"/>
  <c r="Q1052" i="2"/>
  <c r="P1052" i="2"/>
  <c r="O1052" i="2"/>
  <c r="N1052" i="2"/>
  <c r="M1052" i="2"/>
  <c r="W1052" i="2" s="1"/>
  <c r="L1052" i="2"/>
  <c r="AE1051" i="2"/>
  <c r="AD1051" i="2"/>
  <c r="AC1051" i="2"/>
  <c r="AB1051" i="2"/>
  <c r="Z1051" i="2"/>
  <c r="Y1051" i="2"/>
  <c r="X1051" i="2"/>
  <c r="U1051" i="2"/>
  <c r="T1051" i="2"/>
  <c r="S1051" i="2"/>
  <c r="R1051" i="2"/>
  <c r="Q1051" i="2"/>
  <c r="AA1051" i="2" s="1"/>
  <c r="P1051" i="2"/>
  <c r="O1051" i="2"/>
  <c r="N1051" i="2"/>
  <c r="M1051" i="2"/>
  <c r="W1051" i="2" s="1"/>
  <c r="L1051" i="2"/>
  <c r="V1051" i="2" s="1"/>
  <c r="AD1050" i="2"/>
  <c r="AB1050" i="2"/>
  <c r="U1050" i="2"/>
  <c r="AE1050" i="2" s="1"/>
  <c r="T1050" i="2"/>
  <c r="S1050" i="2"/>
  <c r="AC1050" i="2" s="1"/>
  <c r="R1050" i="2"/>
  <c r="Q1050" i="2"/>
  <c r="AA1050" i="2" s="1"/>
  <c r="P1050" i="2"/>
  <c r="Z1050" i="2" s="1"/>
  <c r="O1050" i="2"/>
  <c r="Y1050" i="2" s="1"/>
  <c r="N1050" i="2"/>
  <c r="X1050" i="2" s="1"/>
  <c r="M1050" i="2"/>
  <c r="W1050" i="2" s="1"/>
  <c r="L1050" i="2"/>
  <c r="V1050" i="2" s="1"/>
  <c r="Y1049" i="2"/>
  <c r="X1049" i="2"/>
  <c r="W1049" i="2"/>
  <c r="V1049" i="2"/>
  <c r="U1049" i="2"/>
  <c r="AE1049" i="2" s="1"/>
  <c r="T1049" i="2"/>
  <c r="AD1049" i="2" s="1"/>
  <c r="S1049" i="2"/>
  <c r="AC1049" i="2" s="1"/>
  <c r="R1049" i="2"/>
  <c r="AB1049" i="2" s="1"/>
  <c r="Q1049" i="2"/>
  <c r="AA1049" i="2" s="1"/>
  <c r="P1049" i="2"/>
  <c r="Z1049" i="2" s="1"/>
  <c r="O1049" i="2"/>
  <c r="N1049" i="2"/>
  <c r="M1049" i="2"/>
  <c r="L1049" i="2"/>
  <c r="AC1048" i="2"/>
  <c r="AB1048" i="2"/>
  <c r="AA1048" i="2"/>
  <c r="Z1048" i="2"/>
  <c r="Y1048" i="2"/>
  <c r="X1048" i="2"/>
  <c r="V1048" i="2"/>
  <c r="U1048" i="2"/>
  <c r="AE1048" i="2" s="1"/>
  <c r="T1048" i="2"/>
  <c r="AD1048" i="2" s="1"/>
  <c r="S1048" i="2"/>
  <c r="R1048" i="2"/>
  <c r="Q1048" i="2"/>
  <c r="P1048" i="2"/>
  <c r="O1048" i="2"/>
  <c r="N1048" i="2"/>
  <c r="M1048" i="2"/>
  <c r="W1048" i="2" s="1"/>
  <c r="L1048" i="2"/>
  <c r="AE1047" i="2"/>
  <c r="AD1047" i="2"/>
  <c r="AC1047" i="2"/>
  <c r="AB1047" i="2"/>
  <c r="Z1047" i="2"/>
  <c r="X1047" i="2"/>
  <c r="U1047" i="2"/>
  <c r="T1047" i="2"/>
  <c r="S1047" i="2"/>
  <c r="R1047" i="2"/>
  <c r="Q1047" i="2"/>
  <c r="AA1047" i="2" s="1"/>
  <c r="P1047" i="2"/>
  <c r="O1047" i="2"/>
  <c r="Y1047" i="2" s="1"/>
  <c r="N1047" i="2"/>
  <c r="M1047" i="2"/>
  <c r="W1047" i="2" s="1"/>
  <c r="L1047" i="2"/>
  <c r="V1047" i="2" s="1"/>
  <c r="AD1046" i="2"/>
  <c r="AB1046" i="2"/>
  <c r="U1046" i="2"/>
  <c r="AE1046" i="2" s="1"/>
  <c r="T1046" i="2"/>
  <c r="S1046" i="2"/>
  <c r="AC1046" i="2" s="1"/>
  <c r="R1046" i="2"/>
  <c r="Q1046" i="2"/>
  <c r="AA1046" i="2" s="1"/>
  <c r="P1046" i="2"/>
  <c r="Z1046" i="2" s="1"/>
  <c r="O1046" i="2"/>
  <c r="Y1046" i="2" s="1"/>
  <c r="N1046" i="2"/>
  <c r="X1046" i="2" s="1"/>
  <c r="M1046" i="2"/>
  <c r="W1046" i="2" s="1"/>
  <c r="L1046" i="2"/>
  <c r="V1046" i="2" s="1"/>
  <c r="Y1045" i="2"/>
  <c r="X1045" i="2"/>
  <c r="W1045" i="2"/>
  <c r="V1045" i="2"/>
  <c r="U1045" i="2"/>
  <c r="AE1045" i="2" s="1"/>
  <c r="T1045" i="2"/>
  <c r="AD1045" i="2" s="1"/>
  <c r="S1045" i="2"/>
  <c r="AC1045" i="2" s="1"/>
  <c r="R1045" i="2"/>
  <c r="AB1045" i="2" s="1"/>
  <c r="Q1045" i="2"/>
  <c r="AA1045" i="2" s="1"/>
  <c r="P1045" i="2"/>
  <c r="Z1045" i="2" s="1"/>
  <c r="O1045" i="2"/>
  <c r="N1045" i="2"/>
  <c r="M1045" i="2"/>
  <c r="L1045" i="2"/>
  <c r="AC1044" i="2"/>
  <c r="AB1044" i="2"/>
  <c r="AA1044" i="2"/>
  <c r="Z1044" i="2"/>
  <c r="Y1044" i="2"/>
  <c r="X1044" i="2"/>
  <c r="V1044" i="2"/>
  <c r="U1044" i="2"/>
  <c r="AE1044" i="2" s="1"/>
  <c r="T1044" i="2"/>
  <c r="AD1044" i="2" s="1"/>
  <c r="S1044" i="2"/>
  <c r="R1044" i="2"/>
  <c r="Q1044" i="2"/>
  <c r="P1044" i="2"/>
  <c r="O1044" i="2"/>
  <c r="N1044" i="2"/>
  <c r="M1044" i="2"/>
  <c r="W1044" i="2" s="1"/>
  <c r="L1044" i="2"/>
  <c r="AE1043" i="2"/>
  <c r="AD1043" i="2"/>
  <c r="AC1043" i="2"/>
  <c r="AB1043" i="2"/>
  <c r="Z1043" i="2"/>
  <c r="X1043" i="2"/>
  <c r="U1043" i="2"/>
  <c r="T1043" i="2"/>
  <c r="S1043" i="2"/>
  <c r="R1043" i="2"/>
  <c r="Q1043" i="2"/>
  <c r="AA1043" i="2" s="1"/>
  <c r="P1043" i="2"/>
  <c r="O1043" i="2"/>
  <c r="Y1043" i="2" s="1"/>
  <c r="N1043" i="2"/>
  <c r="M1043" i="2"/>
  <c r="W1043" i="2" s="1"/>
  <c r="L1043" i="2"/>
  <c r="V1043" i="2" s="1"/>
  <c r="AD1042" i="2"/>
  <c r="AC1042" i="2"/>
  <c r="AB1042" i="2"/>
  <c r="U1042" i="2"/>
  <c r="AE1042" i="2" s="1"/>
  <c r="T1042" i="2"/>
  <c r="S1042" i="2"/>
  <c r="R1042" i="2"/>
  <c r="Q1042" i="2"/>
  <c r="AA1042" i="2" s="1"/>
  <c r="P1042" i="2"/>
  <c r="Z1042" i="2" s="1"/>
  <c r="O1042" i="2"/>
  <c r="Y1042" i="2" s="1"/>
  <c r="N1042" i="2"/>
  <c r="X1042" i="2" s="1"/>
  <c r="M1042" i="2"/>
  <c r="W1042" i="2" s="1"/>
  <c r="L1042" i="2"/>
  <c r="V1042" i="2" s="1"/>
  <c r="Y1041" i="2"/>
  <c r="X1041" i="2"/>
  <c r="W1041" i="2"/>
  <c r="V1041" i="2"/>
  <c r="U1041" i="2"/>
  <c r="AE1041" i="2" s="1"/>
  <c r="T1041" i="2"/>
  <c r="AD1041" i="2" s="1"/>
  <c r="S1041" i="2"/>
  <c r="AC1041" i="2" s="1"/>
  <c r="R1041" i="2"/>
  <c r="AB1041" i="2" s="1"/>
  <c r="Q1041" i="2"/>
  <c r="AA1041" i="2" s="1"/>
  <c r="P1041" i="2"/>
  <c r="Z1041" i="2" s="1"/>
  <c r="O1041" i="2"/>
  <c r="N1041" i="2"/>
  <c r="M1041" i="2"/>
  <c r="L1041" i="2"/>
  <c r="AC1040" i="2"/>
  <c r="AB1040" i="2"/>
  <c r="AA1040" i="2"/>
  <c r="Z1040" i="2"/>
  <c r="Y1040" i="2"/>
  <c r="X1040" i="2"/>
  <c r="V1040" i="2"/>
  <c r="U1040" i="2"/>
  <c r="AE1040" i="2" s="1"/>
  <c r="T1040" i="2"/>
  <c r="AD1040" i="2" s="1"/>
  <c r="S1040" i="2"/>
  <c r="R1040" i="2"/>
  <c r="Q1040" i="2"/>
  <c r="P1040" i="2"/>
  <c r="O1040" i="2"/>
  <c r="N1040" i="2"/>
  <c r="M1040" i="2"/>
  <c r="W1040" i="2" s="1"/>
  <c r="L1040" i="2"/>
  <c r="AE1039" i="2"/>
  <c r="AD1039" i="2"/>
  <c r="AC1039" i="2"/>
  <c r="AB1039" i="2"/>
  <c r="Z1039" i="2"/>
  <c r="X1039" i="2"/>
  <c r="U1039" i="2"/>
  <c r="T1039" i="2"/>
  <c r="S1039" i="2"/>
  <c r="R1039" i="2"/>
  <c r="Q1039" i="2"/>
  <c r="AA1039" i="2" s="1"/>
  <c r="P1039" i="2"/>
  <c r="O1039" i="2"/>
  <c r="Y1039" i="2" s="1"/>
  <c r="N1039" i="2"/>
  <c r="M1039" i="2"/>
  <c r="W1039" i="2" s="1"/>
  <c r="L1039" i="2"/>
  <c r="V1039" i="2" s="1"/>
  <c r="AD1038" i="2"/>
  <c r="AC1038" i="2"/>
  <c r="AB1038" i="2"/>
  <c r="U1038" i="2"/>
  <c r="AE1038" i="2" s="1"/>
  <c r="T1038" i="2"/>
  <c r="S1038" i="2"/>
  <c r="R1038" i="2"/>
  <c r="Q1038" i="2"/>
  <c r="AA1038" i="2" s="1"/>
  <c r="P1038" i="2"/>
  <c r="Z1038" i="2" s="1"/>
  <c r="O1038" i="2"/>
  <c r="Y1038" i="2" s="1"/>
  <c r="N1038" i="2"/>
  <c r="X1038" i="2" s="1"/>
  <c r="M1038" i="2"/>
  <c r="W1038" i="2" s="1"/>
  <c r="L1038" i="2"/>
  <c r="V1038" i="2" s="1"/>
  <c r="Y1037" i="2"/>
  <c r="X1037" i="2"/>
  <c r="W1037" i="2"/>
  <c r="V1037" i="2"/>
  <c r="U1037" i="2"/>
  <c r="AE1037" i="2" s="1"/>
  <c r="T1037" i="2"/>
  <c r="AD1037" i="2" s="1"/>
  <c r="S1037" i="2"/>
  <c r="AC1037" i="2" s="1"/>
  <c r="R1037" i="2"/>
  <c r="AB1037" i="2" s="1"/>
  <c r="Q1037" i="2"/>
  <c r="AA1037" i="2" s="1"/>
  <c r="P1037" i="2"/>
  <c r="Z1037" i="2" s="1"/>
  <c r="O1037" i="2"/>
  <c r="N1037" i="2"/>
  <c r="M1037" i="2"/>
  <c r="L1037" i="2"/>
  <c r="AC1036" i="2"/>
  <c r="AB1036" i="2"/>
  <c r="AA1036" i="2"/>
  <c r="Z1036" i="2"/>
  <c r="Y1036" i="2"/>
  <c r="X1036" i="2"/>
  <c r="V1036" i="2"/>
  <c r="U1036" i="2"/>
  <c r="AE1036" i="2" s="1"/>
  <c r="T1036" i="2"/>
  <c r="AD1036" i="2" s="1"/>
  <c r="S1036" i="2"/>
  <c r="R1036" i="2"/>
  <c r="Q1036" i="2"/>
  <c r="P1036" i="2"/>
  <c r="O1036" i="2"/>
  <c r="N1036" i="2"/>
  <c r="M1036" i="2"/>
  <c r="W1036" i="2" s="1"/>
  <c r="L1036" i="2"/>
  <c r="AE1035" i="2"/>
  <c r="AD1035" i="2"/>
  <c r="AC1035" i="2"/>
  <c r="AB1035" i="2"/>
  <c r="Z1035" i="2"/>
  <c r="Y1035" i="2"/>
  <c r="X1035" i="2"/>
  <c r="U1035" i="2"/>
  <c r="T1035" i="2"/>
  <c r="S1035" i="2"/>
  <c r="R1035" i="2"/>
  <c r="Q1035" i="2"/>
  <c r="AA1035" i="2" s="1"/>
  <c r="P1035" i="2"/>
  <c r="O1035" i="2"/>
  <c r="N1035" i="2"/>
  <c r="M1035" i="2"/>
  <c r="W1035" i="2" s="1"/>
  <c r="L1035" i="2"/>
  <c r="V1035" i="2" s="1"/>
  <c r="AD1034" i="2"/>
  <c r="AB1034" i="2"/>
  <c r="U1034" i="2"/>
  <c r="AE1034" i="2" s="1"/>
  <c r="T1034" i="2"/>
  <c r="S1034" i="2"/>
  <c r="AC1034" i="2" s="1"/>
  <c r="R1034" i="2"/>
  <c r="Q1034" i="2"/>
  <c r="AA1034" i="2" s="1"/>
  <c r="P1034" i="2"/>
  <c r="Z1034" i="2" s="1"/>
  <c r="O1034" i="2"/>
  <c r="Y1034" i="2" s="1"/>
  <c r="N1034" i="2"/>
  <c r="X1034" i="2" s="1"/>
  <c r="M1034" i="2"/>
  <c r="W1034" i="2" s="1"/>
  <c r="L1034" i="2"/>
  <c r="V1034" i="2" s="1"/>
  <c r="Y1033" i="2"/>
  <c r="X1033" i="2"/>
  <c r="W1033" i="2"/>
  <c r="V1033" i="2"/>
  <c r="U1033" i="2"/>
  <c r="AE1033" i="2" s="1"/>
  <c r="T1033" i="2"/>
  <c r="AD1033" i="2" s="1"/>
  <c r="S1033" i="2"/>
  <c r="AC1033" i="2" s="1"/>
  <c r="R1033" i="2"/>
  <c r="AB1033" i="2" s="1"/>
  <c r="Q1033" i="2"/>
  <c r="AA1033" i="2" s="1"/>
  <c r="P1033" i="2"/>
  <c r="Z1033" i="2" s="1"/>
  <c r="O1033" i="2"/>
  <c r="N1033" i="2"/>
  <c r="M1033" i="2"/>
  <c r="L1033" i="2"/>
  <c r="AC1032" i="2"/>
  <c r="AB1032" i="2"/>
  <c r="AA1032" i="2"/>
  <c r="Z1032" i="2"/>
  <c r="Y1032" i="2"/>
  <c r="X1032" i="2"/>
  <c r="V1032" i="2"/>
  <c r="U1032" i="2"/>
  <c r="AE1032" i="2" s="1"/>
  <c r="T1032" i="2"/>
  <c r="AD1032" i="2" s="1"/>
  <c r="S1032" i="2"/>
  <c r="R1032" i="2"/>
  <c r="Q1032" i="2"/>
  <c r="P1032" i="2"/>
  <c r="O1032" i="2"/>
  <c r="N1032" i="2"/>
  <c r="M1032" i="2"/>
  <c r="W1032" i="2" s="1"/>
  <c r="L1032" i="2"/>
  <c r="AE1031" i="2"/>
  <c r="AD1031" i="2"/>
  <c r="AC1031" i="2"/>
  <c r="AB1031" i="2"/>
  <c r="Z1031" i="2"/>
  <c r="Y1031" i="2"/>
  <c r="X1031" i="2"/>
  <c r="U1031" i="2"/>
  <c r="T1031" i="2"/>
  <c r="S1031" i="2"/>
  <c r="R1031" i="2"/>
  <c r="Q1031" i="2"/>
  <c r="AA1031" i="2" s="1"/>
  <c r="P1031" i="2"/>
  <c r="O1031" i="2"/>
  <c r="N1031" i="2"/>
  <c r="M1031" i="2"/>
  <c r="W1031" i="2" s="1"/>
  <c r="L1031" i="2"/>
  <c r="V1031" i="2" s="1"/>
  <c r="AB1030" i="2"/>
  <c r="U1030" i="2"/>
  <c r="AE1030" i="2" s="1"/>
  <c r="T1030" i="2"/>
  <c r="AD1030" i="2" s="1"/>
  <c r="S1030" i="2"/>
  <c r="AC1030" i="2" s="1"/>
  <c r="R1030" i="2"/>
  <c r="Q1030" i="2"/>
  <c r="AA1030" i="2" s="1"/>
  <c r="P1030" i="2"/>
  <c r="Z1030" i="2" s="1"/>
  <c r="O1030" i="2"/>
  <c r="Y1030" i="2" s="1"/>
  <c r="N1030" i="2"/>
  <c r="X1030" i="2" s="1"/>
  <c r="M1030" i="2"/>
  <c r="W1030" i="2" s="1"/>
  <c r="L1030" i="2"/>
  <c r="V1030" i="2" s="1"/>
  <c r="Y1029" i="2"/>
  <c r="X1029" i="2"/>
  <c r="W1029" i="2"/>
  <c r="V1029" i="2"/>
  <c r="U1029" i="2"/>
  <c r="AE1029" i="2" s="1"/>
  <c r="T1029" i="2"/>
  <c r="AD1029" i="2" s="1"/>
  <c r="S1029" i="2"/>
  <c r="AC1029" i="2" s="1"/>
  <c r="R1029" i="2"/>
  <c r="AB1029" i="2" s="1"/>
  <c r="Q1029" i="2"/>
  <c r="AA1029" i="2" s="1"/>
  <c r="P1029" i="2"/>
  <c r="Z1029" i="2" s="1"/>
  <c r="O1029" i="2"/>
  <c r="N1029" i="2"/>
  <c r="M1029" i="2"/>
  <c r="L1029" i="2"/>
  <c r="AC1028" i="2"/>
  <c r="AB1028" i="2"/>
  <c r="AA1028" i="2"/>
  <c r="Z1028" i="2"/>
  <c r="Y1028" i="2"/>
  <c r="X1028" i="2"/>
  <c r="V1028" i="2"/>
  <c r="U1028" i="2"/>
  <c r="AE1028" i="2" s="1"/>
  <c r="T1028" i="2"/>
  <c r="AD1028" i="2" s="1"/>
  <c r="S1028" i="2"/>
  <c r="R1028" i="2"/>
  <c r="Q1028" i="2"/>
  <c r="P1028" i="2"/>
  <c r="O1028" i="2"/>
  <c r="N1028" i="2"/>
  <c r="M1028" i="2"/>
  <c r="W1028" i="2" s="1"/>
  <c r="L1028" i="2"/>
  <c r="AE1027" i="2"/>
  <c r="AD1027" i="2"/>
  <c r="AC1027" i="2"/>
  <c r="AB1027" i="2"/>
  <c r="X1027" i="2"/>
  <c r="U1027" i="2"/>
  <c r="T1027" i="2"/>
  <c r="S1027" i="2"/>
  <c r="R1027" i="2"/>
  <c r="Q1027" i="2"/>
  <c r="AA1027" i="2" s="1"/>
  <c r="P1027" i="2"/>
  <c r="Z1027" i="2" s="1"/>
  <c r="O1027" i="2"/>
  <c r="Y1027" i="2" s="1"/>
  <c r="N1027" i="2"/>
  <c r="M1027" i="2"/>
  <c r="W1027" i="2" s="1"/>
  <c r="L1027" i="2"/>
  <c r="V1027" i="2" s="1"/>
  <c r="U1026" i="2"/>
  <c r="AE1026" i="2" s="1"/>
  <c r="T1026" i="2"/>
  <c r="AD1026" i="2" s="1"/>
  <c r="S1026" i="2"/>
  <c r="AC1026" i="2" s="1"/>
  <c r="R1026" i="2"/>
  <c r="AB1026" i="2" s="1"/>
  <c r="Q1026" i="2"/>
  <c r="AA1026" i="2" s="1"/>
  <c r="P1026" i="2"/>
  <c r="Z1026" i="2" s="1"/>
  <c r="O1026" i="2"/>
  <c r="Y1026" i="2" s="1"/>
  <c r="N1026" i="2"/>
  <c r="X1026" i="2" s="1"/>
  <c r="M1026" i="2"/>
  <c r="W1026" i="2" s="1"/>
  <c r="L1026" i="2"/>
  <c r="V1026" i="2" s="1"/>
  <c r="U1025" i="2"/>
  <c r="AE1025" i="2" s="1"/>
  <c r="T1025" i="2"/>
  <c r="AD1025" i="2" s="1"/>
  <c r="S1025" i="2"/>
  <c r="AC1025" i="2" s="1"/>
  <c r="R1025" i="2"/>
  <c r="AB1025" i="2" s="1"/>
  <c r="Q1025" i="2"/>
  <c r="AA1025" i="2" s="1"/>
  <c r="P1025" i="2"/>
  <c r="Z1025" i="2" s="1"/>
  <c r="O1025" i="2"/>
  <c r="Y1025" i="2" s="1"/>
  <c r="N1025" i="2"/>
  <c r="X1025" i="2" s="1"/>
  <c r="M1025" i="2"/>
  <c r="W1025" i="2" s="1"/>
  <c r="L1025" i="2"/>
  <c r="V1025" i="2" s="1"/>
  <c r="AC1024" i="2"/>
  <c r="X1024" i="2"/>
  <c r="U1024" i="2"/>
  <c r="AE1024" i="2" s="1"/>
  <c r="T1024" i="2"/>
  <c r="AD1024" i="2" s="1"/>
  <c r="S1024" i="2"/>
  <c r="R1024" i="2"/>
  <c r="AB1024" i="2" s="1"/>
  <c r="Q1024" i="2"/>
  <c r="AA1024" i="2" s="1"/>
  <c r="P1024" i="2"/>
  <c r="Z1024" i="2" s="1"/>
  <c r="O1024" i="2"/>
  <c r="Y1024" i="2" s="1"/>
  <c r="N1024" i="2"/>
  <c r="M1024" i="2"/>
  <c r="W1024" i="2" s="1"/>
  <c r="L1024" i="2"/>
  <c r="V1024" i="2" s="1"/>
  <c r="Y1023" i="2"/>
  <c r="X1023" i="2"/>
  <c r="W1023" i="2"/>
  <c r="V1023" i="2"/>
  <c r="U1023" i="2"/>
  <c r="AE1023" i="2" s="1"/>
  <c r="T1023" i="2"/>
  <c r="AD1023" i="2" s="1"/>
  <c r="S1023" i="2"/>
  <c r="AC1023" i="2" s="1"/>
  <c r="R1023" i="2"/>
  <c r="AB1023" i="2" s="1"/>
  <c r="Q1023" i="2"/>
  <c r="AA1023" i="2" s="1"/>
  <c r="P1023" i="2"/>
  <c r="Z1023" i="2" s="1"/>
  <c r="O1023" i="2"/>
  <c r="N1023" i="2"/>
  <c r="M1023" i="2"/>
  <c r="L1023" i="2"/>
  <c r="AC1022" i="2"/>
  <c r="AB1022" i="2"/>
  <c r="AA1022" i="2"/>
  <c r="Z1022" i="2"/>
  <c r="Y1022" i="2"/>
  <c r="X1022" i="2"/>
  <c r="W1022" i="2"/>
  <c r="U1022" i="2"/>
  <c r="AE1022" i="2" s="1"/>
  <c r="T1022" i="2"/>
  <c r="AD1022" i="2" s="1"/>
  <c r="S1022" i="2"/>
  <c r="R1022" i="2"/>
  <c r="Q1022" i="2"/>
  <c r="P1022" i="2"/>
  <c r="O1022" i="2"/>
  <c r="N1022" i="2"/>
  <c r="M1022" i="2"/>
  <c r="L1022" i="2"/>
  <c r="V1022" i="2" s="1"/>
  <c r="AE1021" i="2"/>
  <c r="AD1021" i="2"/>
  <c r="AC1021" i="2"/>
  <c r="AB1021" i="2"/>
  <c r="AA1021" i="2"/>
  <c r="Y1021" i="2"/>
  <c r="U1021" i="2"/>
  <c r="T1021" i="2"/>
  <c r="S1021" i="2"/>
  <c r="R1021" i="2"/>
  <c r="Q1021" i="2"/>
  <c r="P1021" i="2"/>
  <c r="Z1021" i="2" s="1"/>
  <c r="O1021" i="2"/>
  <c r="N1021" i="2"/>
  <c r="X1021" i="2" s="1"/>
  <c r="M1021" i="2"/>
  <c r="W1021" i="2" s="1"/>
  <c r="L1021" i="2"/>
  <c r="V1021" i="2" s="1"/>
  <c r="AE1020" i="2"/>
  <c r="AC1020" i="2"/>
  <c r="U1020" i="2"/>
  <c r="T1020" i="2"/>
  <c r="AD1020" i="2" s="1"/>
  <c r="S1020" i="2"/>
  <c r="R1020" i="2"/>
  <c r="AB1020" i="2" s="1"/>
  <c r="Q1020" i="2"/>
  <c r="AA1020" i="2" s="1"/>
  <c r="P1020" i="2"/>
  <c r="Z1020" i="2" s="1"/>
  <c r="O1020" i="2"/>
  <c r="Y1020" i="2" s="1"/>
  <c r="N1020" i="2"/>
  <c r="X1020" i="2" s="1"/>
  <c r="M1020" i="2"/>
  <c r="W1020" i="2" s="1"/>
  <c r="L1020" i="2"/>
  <c r="V1020" i="2" s="1"/>
  <c r="Y1019" i="2"/>
  <c r="X1019" i="2"/>
  <c r="W1019" i="2"/>
  <c r="V1019" i="2"/>
  <c r="U1019" i="2"/>
  <c r="AE1019" i="2" s="1"/>
  <c r="T1019" i="2"/>
  <c r="AD1019" i="2" s="1"/>
  <c r="S1019" i="2"/>
  <c r="AC1019" i="2" s="1"/>
  <c r="R1019" i="2"/>
  <c r="AB1019" i="2" s="1"/>
  <c r="Q1019" i="2"/>
  <c r="AA1019" i="2" s="1"/>
  <c r="P1019" i="2"/>
  <c r="Z1019" i="2" s="1"/>
  <c r="O1019" i="2"/>
  <c r="N1019" i="2"/>
  <c r="M1019" i="2"/>
  <c r="L1019" i="2"/>
  <c r="AC1018" i="2"/>
  <c r="AB1018" i="2"/>
  <c r="AA1018" i="2"/>
  <c r="Z1018" i="2"/>
  <c r="Y1018" i="2"/>
  <c r="X1018" i="2"/>
  <c r="W1018" i="2"/>
  <c r="U1018" i="2"/>
  <c r="AE1018" i="2" s="1"/>
  <c r="T1018" i="2"/>
  <c r="AD1018" i="2" s="1"/>
  <c r="S1018" i="2"/>
  <c r="R1018" i="2"/>
  <c r="Q1018" i="2"/>
  <c r="P1018" i="2"/>
  <c r="O1018" i="2"/>
  <c r="N1018" i="2"/>
  <c r="M1018" i="2"/>
  <c r="L1018" i="2"/>
  <c r="V1018" i="2" s="1"/>
  <c r="AE1017" i="2"/>
  <c r="AD1017" i="2"/>
  <c r="AC1017" i="2"/>
  <c r="AB1017" i="2"/>
  <c r="AA1017" i="2"/>
  <c r="Y1017" i="2"/>
  <c r="U1017" i="2"/>
  <c r="T1017" i="2"/>
  <c r="S1017" i="2"/>
  <c r="R1017" i="2"/>
  <c r="Q1017" i="2"/>
  <c r="P1017" i="2"/>
  <c r="Z1017" i="2" s="1"/>
  <c r="O1017" i="2"/>
  <c r="N1017" i="2"/>
  <c r="X1017" i="2" s="1"/>
  <c r="M1017" i="2"/>
  <c r="W1017" i="2" s="1"/>
  <c r="L1017" i="2"/>
  <c r="V1017" i="2" s="1"/>
  <c r="AE1016" i="2"/>
  <c r="AC1016" i="2"/>
  <c r="U1016" i="2"/>
  <c r="T1016" i="2"/>
  <c r="AD1016" i="2" s="1"/>
  <c r="S1016" i="2"/>
  <c r="R1016" i="2"/>
  <c r="AB1016" i="2" s="1"/>
  <c r="Q1016" i="2"/>
  <c r="AA1016" i="2" s="1"/>
  <c r="P1016" i="2"/>
  <c r="Z1016" i="2" s="1"/>
  <c r="O1016" i="2"/>
  <c r="Y1016" i="2" s="1"/>
  <c r="N1016" i="2"/>
  <c r="X1016" i="2" s="1"/>
  <c r="M1016" i="2"/>
  <c r="W1016" i="2" s="1"/>
  <c r="L1016" i="2"/>
  <c r="V1016" i="2" s="1"/>
  <c r="Y1015" i="2"/>
  <c r="X1015" i="2"/>
  <c r="W1015" i="2"/>
  <c r="V1015" i="2"/>
  <c r="U1015" i="2"/>
  <c r="AE1015" i="2" s="1"/>
  <c r="T1015" i="2"/>
  <c r="AD1015" i="2" s="1"/>
  <c r="S1015" i="2"/>
  <c r="AC1015" i="2" s="1"/>
  <c r="R1015" i="2"/>
  <c r="AB1015" i="2" s="1"/>
  <c r="Q1015" i="2"/>
  <c r="AA1015" i="2" s="1"/>
  <c r="P1015" i="2"/>
  <c r="Z1015" i="2" s="1"/>
  <c r="O1015" i="2"/>
  <c r="N1015" i="2"/>
  <c r="M1015" i="2"/>
  <c r="L1015" i="2"/>
  <c r="AC1014" i="2"/>
  <c r="AB1014" i="2"/>
  <c r="AA1014" i="2"/>
  <c r="Z1014" i="2"/>
  <c r="Y1014" i="2"/>
  <c r="X1014" i="2"/>
  <c r="W1014" i="2"/>
  <c r="U1014" i="2"/>
  <c r="AE1014" i="2" s="1"/>
  <c r="T1014" i="2"/>
  <c r="AD1014" i="2" s="1"/>
  <c r="S1014" i="2"/>
  <c r="R1014" i="2"/>
  <c r="Q1014" i="2"/>
  <c r="P1014" i="2"/>
  <c r="O1014" i="2"/>
  <c r="N1014" i="2"/>
  <c r="M1014" i="2"/>
  <c r="L1014" i="2"/>
  <c r="V1014" i="2" s="1"/>
  <c r="AE1013" i="2"/>
  <c r="AD1013" i="2"/>
  <c r="AC1013" i="2"/>
  <c r="AB1013" i="2"/>
  <c r="AA1013" i="2"/>
  <c r="Y1013" i="2"/>
  <c r="U1013" i="2"/>
  <c r="T1013" i="2"/>
  <c r="S1013" i="2"/>
  <c r="R1013" i="2"/>
  <c r="Q1013" i="2"/>
  <c r="P1013" i="2"/>
  <c r="Z1013" i="2" s="1"/>
  <c r="O1013" i="2"/>
  <c r="N1013" i="2"/>
  <c r="X1013" i="2" s="1"/>
  <c r="M1013" i="2"/>
  <c r="W1013" i="2" s="1"/>
  <c r="L1013" i="2"/>
  <c r="V1013" i="2" s="1"/>
  <c r="AE1012" i="2"/>
  <c r="AC1012" i="2"/>
  <c r="U1012" i="2"/>
  <c r="T1012" i="2"/>
  <c r="AD1012" i="2" s="1"/>
  <c r="S1012" i="2"/>
  <c r="R1012" i="2"/>
  <c r="AB1012" i="2" s="1"/>
  <c r="Q1012" i="2"/>
  <c r="AA1012" i="2" s="1"/>
  <c r="P1012" i="2"/>
  <c r="Z1012" i="2" s="1"/>
  <c r="O1012" i="2"/>
  <c r="Y1012" i="2" s="1"/>
  <c r="N1012" i="2"/>
  <c r="X1012" i="2" s="1"/>
  <c r="M1012" i="2"/>
  <c r="W1012" i="2" s="1"/>
  <c r="L1012" i="2"/>
  <c r="V1012" i="2" s="1"/>
  <c r="Y1011" i="2"/>
  <c r="X1011" i="2"/>
  <c r="W1011" i="2"/>
  <c r="V1011" i="2"/>
  <c r="U1011" i="2"/>
  <c r="AE1011" i="2" s="1"/>
  <c r="T1011" i="2"/>
  <c r="AD1011" i="2" s="1"/>
  <c r="S1011" i="2"/>
  <c r="AC1011" i="2" s="1"/>
  <c r="R1011" i="2"/>
  <c r="AB1011" i="2" s="1"/>
  <c r="Q1011" i="2"/>
  <c r="AA1011" i="2" s="1"/>
  <c r="P1011" i="2"/>
  <c r="Z1011" i="2" s="1"/>
  <c r="O1011" i="2"/>
  <c r="N1011" i="2"/>
  <c r="M1011" i="2"/>
  <c r="L1011" i="2"/>
  <c r="AC1010" i="2"/>
  <c r="AB1010" i="2"/>
  <c r="AA1010" i="2"/>
  <c r="Z1010" i="2"/>
  <c r="Y1010" i="2"/>
  <c r="X1010" i="2"/>
  <c r="W1010" i="2"/>
  <c r="U1010" i="2"/>
  <c r="AE1010" i="2" s="1"/>
  <c r="T1010" i="2"/>
  <c r="AD1010" i="2" s="1"/>
  <c r="S1010" i="2"/>
  <c r="R1010" i="2"/>
  <c r="Q1010" i="2"/>
  <c r="P1010" i="2"/>
  <c r="O1010" i="2"/>
  <c r="N1010" i="2"/>
  <c r="M1010" i="2"/>
  <c r="L1010" i="2"/>
  <c r="V1010" i="2" s="1"/>
  <c r="AE1009" i="2"/>
  <c r="AD1009" i="2"/>
  <c r="AC1009" i="2"/>
  <c r="AB1009" i="2"/>
  <c r="AA1009" i="2"/>
  <c r="Y1009" i="2"/>
  <c r="U1009" i="2"/>
  <c r="T1009" i="2"/>
  <c r="S1009" i="2"/>
  <c r="R1009" i="2"/>
  <c r="Q1009" i="2"/>
  <c r="P1009" i="2"/>
  <c r="Z1009" i="2" s="1"/>
  <c r="O1009" i="2"/>
  <c r="N1009" i="2"/>
  <c r="X1009" i="2" s="1"/>
  <c r="M1009" i="2"/>
  <c r="W1009" i="2" s="1"/>
  <c r="L1009" i="2"/>
  <c r="V1009" i="2" s="1"/>
  <c r="AE1008" i="2"/>
  <c r="AC1008" i="2"/>
  <c r="U1008" i="2"/>
  <c r="T1008" i="2"/>
  <c r="AD1008" i="2" s="1"/>
  <c r="S1008" i="2"/>
  <c r="R1008" i="2"/>
  <c r="AB1008" i="2" s="1"/>
  <c r="Q1008" i="2"/>
  <c r="AA1008" i="2" s="1"/>
  <c r="P1008" i="2"/>
  <c r="Z1008" i="2" s="1"/>
  <c r="O1008" i="2"/>
  <c r="Y1008" i="2" s="1"/>
  <c r="N1008" i="2"/>
  <c r="X1008" i="2" s="1"/>
  <c r="M1008" i="2"/>
  <c r="W1008" i="2" s="1"/>
  <c r="L1008" i="2"/>
  <c r="V1008" i="2" s="1"/>
  <c r="Y1007" i="2"/>
  <c r="X1007" i="2"/>
  <c r="W1007" i="2"/>
  <c r="V1007" i="2"/>
  <c r="U1007" i="2"/>
  <c r="AE1007" i="2" s="1"/>
  <c r="T1007" i="2"/>
  <c r="AD1007" i="2" s="1"/>
  <c r="S1007" i="2"/>
  <c r="AC1007" i="2" s="1"/>
  <c r="R1007" i="2"/>
  <c r="AB1007" i="2" s="1"/>
  <c r="Q1007" i="2"/>
  <c r="AA1007" i="2" s="1"/>
  <c r="P1007" i="2"/>
  <c r="Z1007" i="2" s="1"/>
  <c r="O1007" i="2"/>
  <c r="N1007" i="2"/>
  <c r="M1007" i="2"/>
  <c r="L1007" i="2"/>
  <c r="AC1006" i="2"/>
  <c r="AB1006" i="2"/>
  <c r="AA1006" i="2"/>
  <c r="Z1006" i="2"/>
  <c r="Y1006" i="2"/>
  <c r="X1006" i="2"/>
  <c r="W1006" i="2"/>
  <c r="U1006" i="2"/>
  <c r="AE1006" i="2" s="1"/>
  <c r="T1006" i="2"/>
  <c r="AD1006" i="2" s="1"/>
  <c r="S1006" i="2"/>
  <c r="R1006" i="2"/>
  <c r="Q1006" i="2"/>
  <c r="P1006" i="2"/>
  <c r="O1006" i="2"/>
  <c r="N1006" i="2"/>
  <c r="M1006" i="2"/>
  <c r="L1006" i="2"/>
  <c r="V1006" i="2" s="1"/>
  <c r="AE1005" i="2"/>
  <c r="AD1005" i="2"/>
  <c r="AC1005" i="2"/>
  <c r="AB1005" i="2"/>
  <c r="AA1005" i="2"/>
  <c r="Y1005" i="2"/>
  <c r="U1005" i="2"/>
  <c r="T1005" i="2"/>
  <c r="S1005" i="2"/>
  <c r="R1005" i="2"/>
  <c r="Q1005" i="2"/>
  <c r="P1005" i="2"/>
  <c r="Z1005" i="2" s="1"/>
  <c r="O1005" i="2"/>
  <c r="N1005" i="2"/>
  <c r="X1005" i="2" s="1"/>
  <c r="M1005" i="2"/>
  <c r="W1005" i="2" s="1"/>
  <c r="L1005" i="2"/>
  <c r="V1005" i="2" s="1"/>
  <c r="AE1004" i="2"/>
  <c r="AC1004" i="2"/>
  <c r="U1004" i="2"/>
  <c r="T1004" i="2"/>
  <c r="AD1004" i="2" s="1"/>
  <c r="S1004" i="2"/>
  <c r="R1004" i="2"/>
  <c r="AB1004" i="2" s="1"/>
  <c r="Q1004" i="2"/>
  <c r="AA1004" i="2" s="1"/>
  <c r="P1004" i="2"/>
  <c r="Z1004" i="2" s="1"/>
  <c r="O1004" i="2"/>
  <c r="Y1004" i="2" s="1"/>
  <c r="N1004" i="2"/>
  <c r="X1004" i="2" s="1"/>
  <c r="M1004" i="2"/>
  <c r="W1004" i="2" s="1"/>
  <c r="L1004" i="2"/>
  <c r="V1004" i="2" s="1"/>
  <c r="Y1003" i="2"/>
  <c r="X1003" i="2"/>
  <c r="W1003" i="2"/>
  <c r="V1003" i="2"/>
  <c r="U1003" i="2"/>
  <c r="AE1003" i="2" s="1"/>
  <c r="T1003" i="2"/>
  <c r="AD1003" i="2" s="1"/>
  <c r="S1003" i="2"/>
  <c r="AC1003" i="2" s="1"/>
  <c r="R1003" i="2"/>
  <c r="AB1003" i="2" s="1"/>
  <c r="Q1003" i="2"/>
  <c r="AA1003" i="2" s="1"/>
  <c r="P1003" i="2"/>
  <c r="Z1003" i="2" s="1"/>
  <c r="O1003" i="2"/>
  <c r="N1003" i="2"/>
  <c r="M1003" i="2"/>
  <c r="L1003" i="2"/>
  <c r="AC1002" i="2"/>
  <c r="AB1002" i="2"/>
  <c r="AA1002" i="2"/>
  <c r="Z1002" i="2"/>
  <c r="Y1002" i="2"/>
  <c r="X1002" i="2"/>
  <c r="W1002" i="2"/>
  <c r="U1002" i="2"/>
  <c r="AE1002" i="2" s="1"/>
  <c r="T1002" i="2"/>
  <c r="AD1002" i="2" s="1"/>
  <c r="S1002" i="2"/>
  <c r="R1002" i="2"/>
  <c r="Q1002" i="2"/>
  <c r="P1002" i="2"/>
  <c r="O1002" i="2"/>
  <c r="N1002" i="2"/>
  <c r="M1002" i="2"/>
  <c r="L1002" i="2"/>
  <c r="V1002" i="2" s="1"/>
  <c r="AE1001" i="2"/>
  <c r="AD1001" i="2"/>
  <c r="AC1001" i="2"/>
  <c r="AB1001" i="2"/>
  <c r="AA1001" i="2"/>
  <c r="Y1001" i="2"/>
  <c r="U1001" i="2"/>
  <c r="T1001" i="2"/>
  <c r="S1001" i="2"/>
  <c r="R1001" i="2"/>
  <c r="Q1001" i="2"/>
  <c r="P1001" i="2"/>
  <c r="Z1001" i="2" s="1"/>
  <c r="O1001" i="2"/>
  <c r="N1001" i="2"/>
  <c r="X1001" i="2" s="1"/>
  <c r="M1001" i="2"/>
  <c r="W1001" i="2" s="1"/>
  <c r="L1001" i="2"/>
  <c r="V1001" i="2" s="1"/>
  <c r="AE1000" i="2"/>
  <c r="AC1000" i="2"/>
  <c r="V1000" i="2"/>
  <c r="U1000" i="2"/>
  <c r="T1000" i="2"/>
  <c r="AD1000" i="2" s="1"/>
  <c r="S1000" i="2"/>
  <c r="R1000" i="2"/>
  <c r="AB1000" i="2" s="1"/>
  <c r="Q1000" i="2"/>
  <c r="AA1000" i="2" s="1"/>
  <c r="P1000" i="2"/>
  <c r="Z1000" i="2" s="1"/>
  <c r="O1000" i="2"/>
  <c r="Y1000" i="2" s="1"/>
  <c r="N1000" i="2"/>
  <c r="X1000" i="2" s="1"/>
  <c r="M1000" i="2"/>
  <c r="W1000" i="2" s="1"/>
  <c r="L1000" i="2"/>
  <c r="Z999" i="2"/>
  <c r="Y999" i="2"/>
  <c r="X999" i="2"/>
  <c r="W999" i="2"/>
  <c r="V999" i="2"/>
  <c r="U999" i="2"/>
  <c r="AE999" i="2" s="1"/>
  <c r="T999" i="2"/>
  <c r="AD999" i="2" s="1"/>
  <c r="S999" i="2"/>
  <c r="AC999" i="2" s="1"/>
  <c r="R999" i="2"/>
  <c r="AB999" i="2" s="1"/>
  <c r="Q999" i="2"/>
  <c r="AA999" i="2" s="1"/>
  <c r="P999" i="2"/>
  <c r="O999" i="2"/>
  <c r="N999" i="2"/>
  <c r="M999" i="2"/>
  <c r="L999" i="2"/>
  <c r="AD998" i="2"/>
  <c r="AC998" i="2"/>
  <c r="AB998" i="2"/>
  <c r="AA998" i="2"/>
  <c r="Z998" i="2"/>
  <c r="Y998" i="2"/>
  <c r="X998" i="2"/>
  <c r="W998" i="2"/>
  <c r="U998" i="2"/>
  <c r="AE998" i="2" s="1"/>
  <c r="T998" i="2"/>
  <c r="S998" i="2"/>
  <c r="R998" i="2"/>
  <c r="Q998" i="2"/>
  <c r="P998" i="2"/>
  <c r="O998" i="2"/>
  <c r="N998" i="2"/>
  <c r="M998" i="2"/>
  <c r="L998" i="2"/>
  <c r="V998" i="2" s="1"/>
  <c r="AE997" i="2"/>
  <c r="AD997" i="2"/>
  <c r="AC997" i="2"/>
  <c r="AB997" i="2"/>
  <c r="AA997" i="2"/>
  <c r="Y997" i="2"/>
  <c r="U997" i="2"/>
  <c r="T997" i="2"/>
  <c r="S997" i="2"/>
  <c r="R997" i="2"/>
  <c r="Q997" i="2"/>
  <c r="P997" i="2"/>
  <c r="Z997" i="2" s="1"/>
  <c r="O997" i="2"/>
  <c r="N997" i="2"/>
  <c r="X997" i="2" s="1"/>
  <c r="M997" i="2"/>
  <c r="W997" i="2" s="1"/>
  <c r="L997" i="2"/>
  <c r="V997" i="2" s="1"/>
  <c r="AE996" i="2"/>
  <c r="AC996" i="2"/>
  <c r="V996" i="2"/>
  <c r="U996" i="2"/>
  <c r="T996" i="2"/>
  <c r="AD996" i="2" s="1"/>
  <c r="S996" i="2"/>
  <c r="R996" i="2"/>
  <c r="AB996" i="2" s="1"/>
  <c r="Q996" i="2"/>
  <c r="AA996" i="2" s="1"/>
  <c r="P996" i="2"/>
  <c r="Z996" i="2" s="1"/>
  <c r="O996" i="2"/>
  <c r="Y996" i="2" s="1"/>
  <c r="N996" i="2"/>
  <c r="X996" i="2" s="1"/>
  <c r="M996" i="2"/>
  <c r="W996" i="2" s="1"/>
  <c r="L996" i="2"/>
  <c r="Z995" i="2"/>
  <c r="Y995" i="2"/>
  <c r="X995" i="2"/>
  <c r="W995" i="2"/>
  <c r="V995" i="2"/>
  <c r="U995" i="2"/>
  <c r="AE995" i="2" s="1"/>
  <c r="T995" i="2"/>
  <c r="AD995" i="2" s="1"/>
  <c r="S995" i="2"/>
  <c r="AC995" i="2" s="1"/>
  <c r="R995" i="2"/>
  <c r="AB995" i="2" s="1"/>
  <c r="Q995" i="2"/>
  <c r="AA995" i="2" s="1"/>
  <c r="P995" i="2"/>
  <c r="O995" i="2"/>
  <c r="N995" i="2"/>
  <c r="M995" i="2"/>
  <c r="L995" i="2"/>
  <c r="AD994" i="2"/>
  <c r="AC994" i="2"/>
  <c r="AB994" i="2"/>
  <c r="AA994" i="2"/>
  <c r="Z994" i="2"/>
  <c r="Y994" i="2"/>
  <c r="X994" i="2"/>
  <c r="W994" i="2"/>
  <c r="U994" i="2"/>
  <c r="AE994" i="2" s="1"/>
  <c r="T994" i="2"/>
  <c r="S994" i="2"/>
  <c r="R994" i="2"/>
  <c r="Q994" i="2"/>
  <c r="P994" i="2"/>
  <c r="O994" i="2"/>
  <c r="N994" i="2"/>
  <c r="M994" i="2"/>
  <c r="L994" i="2"/>
  <c r="V994" i="2" s="1"/>
  <c r="AE993" i="2"/>
  <c r="AD993" i="2"/>
  <c r="AC993" i="2"/>
  <c r="AB993" i="2"/>
  <c r="AA993" i="2"/>
  <c r="Y993" i="2"/>
  <c r="U993" i="2"/>
  <c r="T993" i="2"/>
  <c r="S993" i="2"/>
  <c r="R993" i="2"/>
  <c r="Q993" i="2"/>
  <c r="P993" i="2"/>
  <c r="Z993" i="2" s="1"/>
  <c r="O993" i="2"/>
  <c r="N993" i="2"/>
  <c r="X993" i="2" s="1"/>
  <c r="M993" i="2"/>
  <c r="W993" i="2" s="1"/>
  <c r="L993" i="2"/>
  <c r="V993" i="2" s="1"/>
  <c r="AE992" i="2"/>
  <c r="AC992" i="2"/>
  <c r="V992" i="2"/>
  <c r="U992" i="2"/>
  <c r="T992" i="2"/>
  <c r="AD992" i="2" s="1"/>
  <c r="S992" i="2"/>
  <c r="R992" i="2"/>
  <c r="AB992" i="2" s="1"/>
  <c r="Q992" i="2"/>
  <c r="AA992" i="2" s="1"/>
  <c r="P992" i="2"/>
  <c r="Z992" i="2" s="1"/>
  <c r="O992" i="2"/>
  <c r="Y992" i="2" s="1"/>
  <c r="N992" i="2"/>
  <c r="X992" i="2" s="1"/>
  <c r="M992" i="2"/>
  <c r="W992" i="2" s="1"/>
  <c r="L992" i="2"/>
  <c r="Z991" i="2"/>
  <c r="Y991" i="2"/>
  <c r="X991" i="2"/>
  <c r="W991" i="2"/>
  <c r="V991" i="2"/>
  <c r="U991" i="2"/>
  <c r="AE991" i="2" s="1"/>
  <c r="T991" i="2"/>
  <c r="AD991" i="2" s="1"/>
  <c r="S991" i="2"/>
  <c r="AC991" i="2" s="1"/>
  <c r="R991" i="2"/>
  <c r="AB991" i="2" s="1"/>
  <c r="Q991" i="2"/>
  <c r="AA991" i="2" s="1"/>
  <c r="P991" i="2"/>
  <c r="O991" i="2"/>
  <c r="N991" i="2"/>
  <c r="M991" i="2"/>
  <c r="L991" i="2"/>
  <c r="AD990" i="2"/>
  <c r="AC990" i="2"/>
  <c r="AB990" i="2"/>
  <c r="AA990" i="2"/>
  <c r="Z990" i="2"/>
  <c r="Y990" i="2"/>
  <c r="X990" i="2"/>
  <c r="W990" i="2"/>
  <c r="U990" i="2"/>
  <c r="AE990" i="2" s="1"/>
  <c r="T990" i="2"/>
  <c r="S990" i="2"/>
  <c r="R990" i="2"/>
  <c r="Q990" i="2"/>
  <c r="P990" i="2"/>
  <c r="O990" i="2"/>
  <c r="N990" i="2"/>
  <c r="M990" i="2"/>
  <c r="L990" i="2"/>
  <c r="V990" i="2" s="1"/>
  <c r="AE989" i="2"/>
  <c r="AD989" i="2"/>
  <c r="AC989" i="2"/>
  <c r="AB989" i="2"/>
  <c r="AA989" i="2"/>
  <c r="Y989" i="2"/>
  <c r="U989" i="2"/>
  <c r="T989" i="2"/>
  <c r="S989" i="2"/>
  <c r="R989" i="2"/>
  <c r="Q989" i="2"/>
  <c r="P989" i="2"/>
  <c r="Z989" i="2" s="1"/>
  <c r="O989" i="2"/>
  <c r="N989" i="2"/>
  <c r="X989" i="2" s="1"/>
  <c r="M989" i="2"/>
  <c r="W989" i="2" s="1"/>
  <c r="L989" i="2"/>
  <c r="V989" i="2" s="1"/>
  <c r="AE988" i="2"/>
  <c r="AC988" i="2"/>
  <c r="V988" i="2"/>
  <c r="U988" i="2"/>
  <c r="T988" i="2"/>
  <c r="AD988" i="2" s="1"/>
  <c r="S988" i="2"/>
  <c r="R988" i="2"/>
  <c r="AB988" i="2" s="1"/>
  <c r="Q988" i="2"/>
  <c r="AA988" i="2" s="1"/>
  <c r="P988" i="2"/>
  <c r="Z988" i="2" s="1"/>
  <c r="O988" i="2"/>
  <c r="Y988" i="2" s="1"/>
  <c r="N988" i="2"/>
  <c r="X988" i="2" s="1"/>
  <c r="M988" i="2"/>
  <c r="W988" i="2" s="1"/>
  <c r="L988" i="2"/>
  <c r="Z987" i="2"/>
  <c r="Y987" i="2"/>
  <c r="X987" i="2"/>
  <c r="W987" i="2"/>
  <c r="V987" i="2"/>
  <c r="U987" i="2"/>
  <c r="AE987" i="2" s="1"/>
  <c r="T987" i="2"/>
  <c r="AD987" i="2" s="1"/>
  <c r="S987" i="2"/>
  <c r="AC987" i="2" s="1"/>
  <c r="R987" i="2"/>
  <c r="AB987" i="2" s="1"/>
  <c r="Q987" i="2"/>
  <c r="AA987" i="2" s="1"/>
  <c r="P987" i="2"/>
  <c r="O987" i="2"/>
  <c r="N987" i="2"/>
  <c r="M987" i="2"/>
  <c r="L987" i="2"/>
  <c r="AC986" i="2"/>
  <c r="AB986" i="2"/>
  <c r="AA986" i="2"/>
  <c r="Z986" i="2"/>
  <c r="Y986" i="2"/>
  <c r="X986" i="2"/>
  <c r="W986" i="2"/>
  <c r="U986" i="2"/>
  <c r="AE986" i="2" s="1"/>
  <c r="T986" i="2"/>
  <c r="AD986" i="2" s="1"/>
  <c r="S986" i="2"/>
  <c r="R986" i="2"/>
  <c r="Q986" i="2"/>
  <c r="P986" i="2"/>
  <c r="O986" i="2"/>
  <c r="N986" i="2"/>
  <c r="M986" i="2"/>
  <c r="L986" i="2"/>
  <c r="V986" i="2" s="1"/>
  <c r="AE985" i="2"/>
  <c r="AD985" i="2"/>
  <c r="AC985" i="2"/>
  <c r="AB985" i="2"/>
  <c r="AA985" i="2"/>
  <c r="Y985" i="2"/>
  <c r="U985" i="2"/>
  <c r="T985" i="2"/>
  <c r="S985" i="2"/>
  <c r="R985" i="2"/>
  <c r="Q985" i="2"/>
  <c r="P985" i="2"/>
  <c r="Z985" i="2" s="1"/>
  <c r="O985" i="2"/>
  <c r="N985" i="2"/>
  <c r="X985" i="2" s="1"/>
  <c r="M985" i="2"/>
  <c r="W985" i="2" s="1"/>
  <c r="L985" i="2"/>
  <c r="V985" i="2" s="1"/>
  <c r="AE984" i="2"/>
  <c r="AC984" i="2"/>
  <c r="V984" i="2"/>
  <c r="U984" i="2"/>
  <c r="T984" i="2"/>
  <c r="AD984" i="2" s="1"/>
  <c r="S984" i="2"/>
  <c r="R984" i="2"/>
  <c r="AB984" i="2" s="1"/>
  <c r="Q984" i="2"/>
  <c r="AA984" i="2" s="1"/>
  <c r="P984" i="2"/>
  <c r="Z984" i="2" s="1"/>
  <c r="O984" i="2"/>
  <c r="Y984" i="2" s="1"/>
  <c r="N984" i="2"/>
  <c r="X984" i="2" s="1"/>
  <c r="M984" i="2"/>
  <c r="W984" i="2" s="1"/>
  <c r="L984" i="2"/>
  <c r="Z983" i="2"/>
  <c r="Y983" i="2"/>
  <c r="X983" i="2"/>
  <c r="W983" i="2"/>
  <c r="V983" i="2"/>
  <c r="U983" i="2"/>
  <c r="AE983" i="2" s="1"/>
  <c r="T983" i="2"/>
  <c r="AD983" i="2" s="1"/>
  <c r="S983" i="2"/>
  <c r="AC983" i="2" s="1"/>
  <c r="R983" i="2"/>
  <c r="AB983" i="2" s="1"/>
  <c r="Q983" i="2"/>
  <c r="AA983" i="2" s="1"/>
  <c r="P983" i="2"/>
  <c r="O983" i="2"/>
  <c r="N983" i="2"/>
  <c r="M983" i="2"/>
  <c r="L983" i="2"/>
  <c r="AD982" i="2"/>
  <c r="AC982" i="2"/>
  <c r="AB982" i="2"/>
  <c r="AA982" i="2"/>
  <c r="Z982" i="2"/>
  <c r="Y982" i="2"/>
  <c r="X982" i="2"/>
  <c r="W982" i="2"/>
  <c r="U982" i="2"/>
  <c r="AE982" i="2" s="1"/>
  <c r="T982" i="2"/>
  <c r="S982" i="2"/>
  <c r="R982" i="2"/>
  <c r="Q982" i="2"/>
  <c r="P982" i="2"/>
  <c r="O982" i="2"/>
  <c r="N982" i="2"/>
  <c r="M982" i="2"/>
  <c r="L982" i="2"/>
  <c r="V982" i="2" s="1"/>
  <c r="AE981" i="2"/>
  <c r="AD981" i="2"/>
  <c r="AC981" i="2"/>
  <c r="AB981" i="2"/>
  <c r="AA981" i="2"/>
  <c r="Y981" i="2"/>
  <c r="U981" i="2"/>
  <c r="T981" i="2"/>
  <c r="S981" i="2"/>
  <c r="R981" i="2"/>
  <c r="Q981" i="2"/>
  <c r="P981" i="2"/>
  <c r="Z981" i="2" s="1"/>
  <c r="O981" i="2"/>
  <c r="N981" i="2"/>
  <c r="X981" i="2" s="1"/>
  <c r="M981" i="2"/>
  <c r="W981" i="2" s="1"/>
  <c r="L981" i="2"/>
  <c r="V981" i="2" s="1"/>
  <c r="AE980" i="2"/>
  <c r="AC980" i="2"/>
  <c r="U980" i="2"/>
  <c r="T980" i="2"/>
  <c r="AD980" i="2" s="1"/>
  <c r="S980" i="2"/>
  <c r="R980" i="2"/>
  <c r="AB980" i="2" s="1"/>
  <c r="Q980" i="2"/>
  <c r="AA980" i="2" s="1"/>
  <c r="P980" i="2"/>
  <c r="Z980" i="2" s="1"/>
  <c r="O980" i="2"/>
  <c r="Y980" i="2" s="1"/>
  <c r="N980" i="2"/>
  <c r="X980" i="2" s="1"/>
  <c r="M980" i="2"/>
  <c r="W980" i="2" s="1"/>
  <c r="L980" i="2"/>
  <c r="V980" i="2" s="1"/>
  <c r="Y979" i="2"/>
  <c r="X979" i="2"/>
  <c r="W979" i="2"/>
  <c r="V979" i="2"/>
  <c r="U979" i="2"/>
  <c r="AE979" i="2" s="1"/>
  <c r="T979" i="2"/>
  <c r="AD979" i="2" s="1"/>
  <c r="S979" i="2"/>
  <c r="AC979" i="2" s="1"/>
  <c r="R979" i="2"/>
  <c r="AB979" i="2" s="1"/>
  <c r="Q979" i="2"/>
  <c r="AA979" i="2" s="1"/>
  <c r="P979" i="2"/>
  <c r="Z979" i="2" s="1"/>
  <c r="O979" i="2"/>
  <c r="N979" i="2"/>
  <c r="M979" i="2"/>
  <c r="L979" i="2"/>
  <c r="AC978" i="2"/>
  <c r="AB978" i="2"/>
  <c r="AA978" i="2"/>
  <c r="Z978" i="2"/>
  <c r="Y978" i="2"/>
  <c r="X978" i="2"/>
  <c r="W978" i="2"/>
  <c r="U978" i="2"/>
  <c r="AE978" i="2" s="1"/>
  <c r="T978" i="2"/>
  <c r="AD978" i="2" s="1"/>
  <c r="S978" i="2"/>
  <c r="R978" i="2"/>
  <c r="Q978" i="2"/>
  <c r="P978" i="2"/>
  <c r="O978" i="2"/>
  <c r="N978" i="2"/>
  <c r="M978" i="2"/>
  <c r="L978" i="2"/>
  <c r="V978" i="2" s="1"/>
  <c r="AE977" i="2"/>
  <c r="AD977" i="2"/>
  <c r="AC977" i="2"/>
  <c r="AB977" i="2"/>
  <c r="AA977" i="2"/>
  <c r="Y977" i="2"/>
  <c r="U977" i="2"/>
  <c r="T977" i="2"/>
  <c r="S977" i="2"/>
  <c r="R977" i="2"/>
  <c r="Q977" i="2"/>
  <c r="P977" i="2"/>
  <c r="Z977" i="2" s="1"/>
  <c r="O977" i="2"/>
  <c r="N977" i="2"/>
  <c r="X977" i="2" s="1"/>
  <c r="M977" i="2"/>
  <c r="W977" i="2" s="1"/>
  <c r="L977" i="2"/>
  <c r="V977" i="2" s="1"/>
  <c r="AE976" i="2"/>
  <c r="AC976" i="2"/>
  <c r="U976" i="2"/>
  <c r="T976" i="2"/>
  <c r="AD976" i="2" s="1"/>
  <c r="S976" i="2"/>
  <c r="R976" i="2"/>
  <c r="AB976" i="2" s="1"/>
  <c r="Q976" i="2"/>
  <c r="AA976" i="2" s="1"/>
  <c r="P976" i="2"/>
  <c r="Z976" i="2" s="1"/>
  <c r="O976" i="2"/>
  <c r="Y976" i="2" s="1"/>
  <c r="N976" i="2"/>
  <c r="X976" i="2" s="1"/>
  <c r="M976" i="2"/>
  <c r="W976" i="2" s="1"/>
  <c r="L976" i="2"/>
  <c r="V976" i="2" s="1"/>
  <c r="Y975" i="2"/>
  <c r="X975" i="2"/>
  <c r="W975" i="2"/>
  <c r="V975" i="2"/>
  <c r="U975" i="2"/>
  <c r="AE975" i="2" s="1"/>
  <c r="T975" i="2"/>
  <c r="AD975" i="2" s="1"/>
  <c r="S975" i="2"/>
  <c r="AC975" i="2" s="1"/>
  <c r="R975" i="2"/>
  <c r="AB975" i="2" s="1"/>
  <c r="Q975" i="2"/>
  <c r="AA975" i="2" s="1"/>
  <c r="P975" i="2"/>
  <c r="Z975" i="2" s="1"/>
  <c r="O975" i="2"/>
  <c r="N975" i="2"/>
  <c r="M975" i="2"/>
  <c r="L975" i="2"/>
  <c r="AC974" i="2"/>
  <c r="AB974" i="2"/>
  <c r="AA974" i="2"/>
  <c r="Z974" i="2"/>
  <c r="Y974" i="2"/>
  <c r="X974" i="2"/>
  <c r="W974" i="2"/>
  <c r="U974" i="2"/>
  <c r="AE974" i="2" s="1"/>
  <c r="T974" i="2"/>
  <c r="AD974" i="2" s="1"/>
  <c r="S974" i="2"/>
  <c r="R974" i="2"/>
  <c r="Q974" i="2"/>
  <c r="P974" i="2"/>
  <c r="O974" i="2"/>
  <c r="N974" i="2"/>
  <c r="M974" i="2"/>
  <c r="L974" i="2"/>
  <c r="V974" i="2" s="1"/>
  <c r="AE973" i="2"/>
  <c r="AD973" i="2"/>
  <c r="AC973" i="2"/>
  <c r="AB973" i="2"/>
  <c r="AA973" i="2"/>
  <c r="Y973" i="2"/>
  <c r="U973" i="2"/>
  <c r="T973" i="2"/>
  <c r="S973" i="2"/>
  <c r="R973" i="2"/>
  <c r="Q973" i="2"/>
  <c r="P973" i="2"/>
  <c r="Z973" i="2" s="1"/>
  <c r="O973" i="2"/>
  <c r="N973" i="2"/>
  <c r="X973" i="2" s="1"/>
  <c r="M973" i="2"/>
  <c r="W973" i="2" s="1"/>
  <c r="L973" i="2"/>
  <c r="V973" i="2" s="1"/>
  <c r="AE972" i="2"/>
  <c r="AC972" i="2"/>
  <c r="U972" i="2"/>
  <c r="T972" i="2"/>
  <c r="AD972" i="2" s="1"/>
  <c r="S972" i="2"/>
  <c r="R972" i="2"/>
  <c r="AB972" i="2" s="1"/>
  <c r="Q972" i="2"/>
  <c r="AA972" i="2" s="1"/>
  <c r="P972" i="2"/>
  <c r="Z972" i="2" s="1"/>
  <c r="O972" i="2"/>
  <c r="Y972" i="2" s="1"/>
  <c r="N972" i="2"/>
  <c r="X972" i="2" s="1"/>
  <c r="M972" i="2"/>
  <c r="W972" i="2" s="1"/>
  <c r="L972" i="2"/>
  <c r="V972" i="2" s="1"/>
  <c r="Y971" i="2"/>
  <c r="X971" i="2"/>
  <c r="W971" i="2"/>
  <c r="V971" i="2"/>
  <c r="U971" i="2"/>
  <c r="AE971" i="2" s="1"/>
  <c r="T971" i="2"/>
  <c r="AD971" i="2" s="1"/>
  <c r="S971" i="2"/>
  <c r="AC971" i="2" s="1"/>
  <c r="R971" i="2"/>
  <c r="AB971" i="2" s="1"/>
  <c r="Q971" i="2"/>
  <c r="AA971" i="2" s="1"/>
  <c r="P971" i="2"/>
  <c r="Z971" i="2" s="1"/>
  <c r="O971" i="2"/>
  <c r="N971" i="2"/>
  <c r="M971" i="2"/>
  <c r="L971" i="2"/>
  <c r="AC970" i="2"/>
  <c r="AB970" i="2"/>
  <c r="AA970" i="2"/>
  <c r="Z970" i="2"/>
  <c r="Y970" i="2"/>
  <c r="X970" i="2"/>
  <c r="W970" i="2"/>
  <c r="U970" i="2"/>
  <c r="AE970" i="2" s="1"/>
  <c r="T970" i="2"/>
  <c r="AD970" i="2" s="1"/>
  <c r="S970" i="2"/>
  <c r="R970" i="2"/>
  <c r="Q970" i="2"/>
  <c r="P970" i="2"/>
  <c r="O970" i="2"/>
  <c r="N970" i="2"/>
  <c r="M970" i="2"/>
  <c r="L970" i="2"/>
  <c r="V970" i="2" s="1"/>
  <c r="AE969" i="2"/>
  <c r="AD969" i="2"/>
  <c r="AC969" i="2"/>
  <c r="AB969" i="2"/>
  <c r="AA969" i="2"/>
  <c r="Y969" i="2"/>
  <c r="U969" i="2"/>
  <c r="T969" i="2"/>
  <c r="S969" i="2"/>
  <c r="R969" i="2"/>
  <c r="Q969" i="2"/>
  <c r="P969" i="2"/>
  <c r="Z969" i="2" s="1"/>
  <c r="O969" i="2"/>
  <c r="N969" i="2"/>
  <c r="X969" i="2" s="1"/>
  <c r="M969" i="2"/>
  <c r="W969" i="2" s="1"/>
  <c r="L969" i="2"/>
  <c r="V969" i="2" s="1"/>
  <c r="AE968" i="2"/>
  <c r="AC968" i="2"/>
  <c r="U968" i="2"/>
  <c r="T968" i="2"/>
  <c r="AD968" i="2" s="1"/>
  <c r="S968" i="2"/>
  <c r="R968" i="2"/>
  <c r="AB968" i="2" s="1"/>
  <c r="Q968" i="2"/>
  <c r="AA968" i="2" s="1"/>
  <c r="P968" i="2"/>
  <c r="Z968" i="2" s="1"/>
  <c r="O968" i="2"/>
  <c r="Y968" i="2" s="1"/>
  <c r="N968" i="2"/>
  <c r="X968" i="2" s="1"/>
  <c r="M968" i="2"/>
  <c r="W968" i="2" s="1"/>
  <c r="L968" i="2"/>
  <c r="V968" i="2" s="1"/>
  <c r="Y967" i="2"/>
  <c r="X967" i="2"/>
  <c r="W967" i="2"/>
  <c r="V967" i="2"/>
  <c r="U967" i="2"/>
  <c r="AE967" i="2" s="1"/>
  <c r="T967" i="2"/>
  <c r="AD967" i="2" s="1"/>
  <c r="S967" i="2"/>
  <c r="AC967" i="2" s="1"/>
  <c r="R967" i="2"/>
  <c r="AB967" i="2" s="1"/>
  <c r="Q967" i="2"/>
  <c r="AA967" i="2" s="1"/>
  <c r="P967" i="2"/>
  <c r="Z967" i="2" s="1"/>
  <c r="O967" i="2"/>
  <c r="N967" i="2"/>
  <c r="M967" i="2"/>
  <c r="L967" i="2"/>
  <c r="AC966" i="2"/>
  <c r="AB966" i="2"/>
  <c r="AA966" i="2"/>
  <c r="Z966" i="2"/>
  <c r="Y966" i="2"/>
  <c r="X966" i="2"/>
  <c r="W966" i="2"/>
  <c r="U966" i="2"/>
  <c r="AE966" i="2" s="1"/>
  <c r="T966" i="2"/>
  <c r="AD966" i="2" s="1"/>
  <c r="S966" i="2"/>
  <c r="R966" i="2"/>
  <c r="Q966" i="2"/>
  <c r="P966" i="2"/>
  <c r="O966" i="2"/>
  <c r="N966" i="2"/>
  <c r="M966" i="2"/>
  <c r="L966" i="2"/>
  <c r="V966" i="2" s="1"/>
  <c r="AE965" i="2"/>
  <c r="AD965" i="2"/>
  <c r="AC965" i="2"/>
  <c r="AB965" i="2"/>
  <c r="AA965" i="2"/>
  <c r="Y965" i="2"/>
  <c r="U965" i="2"/>
  <c r="T965" i="2"/>
  <c r="S965" i="2"/>
  <c r="R965" i="2"/>
  <c r="Q965" i="2"/>
  <c r="P965" i="2"/>
  <c r="Z965" i="2" s="1"/>
  <c r="O965" i="2"/>
  <c r="N965" i="2"/>
  <c r="X965" i="2" s="1"/>
  <c r="M965" i="2"/>
  <c r="W965" i="2" s="1"/>
  <c r="L965" i="2"/>
  <c r="V965" i="2" s="1"/>
  <c r="AE964" i="2"/>
  <c r="AC964" i="2"/>
  <c r="U964" i="2"/>
  <c r="T964" i="2"/>
  <c r="AD964" i="2" s="1"/>
  <c r="S964" i="2"/>
  <c r="R964" i="2"/>
  <c r="AB964" i="2" s="1"/>
  <c r="Q964" i="2"/>
  <c r="AA964" i="2" s="1"/>
  <c r="P964" i="2"/>
  <c r="Z964" i="2" s="1"/>
  <c r="O964" i="2"/>
  <c r="Y964" i="2" s="1"/>
  <c r="N964" i="2"/>
  <c r="X964" i="2" s="1"/>
  <c r="M964" i="2"/>
  <c r="W964" i="2" s="1"/>
  <c r="L964" i="2"/>
  <c r="V964" i="2" s="1"/>
  <c r="Y963" i="2"/>
  <c r="X963" i="2"/>
  <c r="W963" i="2"/>
  <c r="V963" i="2"/>
  <c r="U963" i="2"/>
  <c r="AE963" i="2" s="1"/>
  <c r="T963" i="2"/>
  <c r="AD963" i="2" s="1"/>
  <c r="S963" i="2"/>
  <c r="AC963" i="2" s="1"/>
  <c r="R963" i="2"/>
  <c r="AB963" i="2" s="1"/>
  <c r="Q963" i="2"/>
  <c r="AA963" i="2" s="1"/>
  <c r="P963" i="2"/>
  <c r="Z963" i="2" s="1"/>
  <c r="O963" i="2"/>
  <c r="N963" i="2"/>
  <c r="M963" i="2"/>
  <c r="L963" i="2"/>
  <c r="AC962" i="2"/>
  <c r="AB962" i="2"/>
  <c r="AA962" i="2"/>
  <c r="Z962" i="2"/>
  <c r="Y962" i="2"/>
  <c r="X962" i="2"/>
  <c r="W962" i="2"/>
  <c r="U962" i="2"/>
  <c r="AE962" i="2" s="1"/>
  <c r="T962" i="2"/>
  <c r="AD962" i="2" s="1"/>
  <c r="S962" i="2"/>
  <c r="R962" i="2"/>
  <c r="Q962" i="2"/>
  <c r="P962" i="2"/>
  <c r="O962" i="2"/>
  <c r="N962" i="2"/>
  <c r="M962" i="2"/>
  <c r="L962" i="2"/>
  <c r="V962" i="2" s="1"/>
  <c r="AE961" i="2"/>
  <c r="AD961" i="2"/>
  <c r="AC961" i="2"/>
  <c r="AB961" i="2"/>
  <c r="AA961" i="2"/>
  <c r="Y961" i="2"/>
  <c r="U961" i="2"/>
  <c r="T961" i="2"/>
  <c r="S961" i="2"/>
  <c r="R961" i="2"/>
  <c r="Q961" i="2"/>
  <c r="P961" i="2"/>
  <c r="Z961" i="2" s="1"/>
  <c r="O961" i="2"/>
  <c r="N961" i="2"/>
  <c r="X961" i="2" s="1"/>
  <c r="M961" i="2"/>
  <c r="W961" i="2" s="1"/>
  <c r="L961" i="2"/>
  <c r="V961" i="2" s="1"/>
  <c r="AE960" i="2"/>
  <c r="AC960" i="2"/>
  <c r="U960" i="2"/>
  <c r="T960" i="2"/>
  <c r="AD960" i="2" s="1"/>
  <c r="S960" i="2"/>
  <c r="R960" i="2"/>
  <c r="AB960" i="2" s="1"/>
  <c r="Q960" i="2"/>
  <c r="AA960" i="2" s="1"/>
  <c r="P960" i="2"/>
  <c r="Z960" i="2" s="1"/>
  <c r="O960" i="2"/>
  <c r="Y960" i="2" s="1"/>
  <c r="N960" i="2"/>
  <c r="X960" i="2" s="1"/>
  <c r="M960" i="2"/>
  <c r="W960" i="2" s="1"/>
  <c r="L960" i="2"/>
  <c r="V960" i="2" s="1"/>
  <c r="Y959" i="2"/>
  <c r="X959" i="2"/>
  <c r="W959" i="2"/>
  <c r="V959" i="2"/>
  <c r="U959" i="2"/>
  <c r="AE959" i="2" s="1"/>
  <c r="T959" i="2"/>
  <c r="AD959" i="2" s="1"/>
  <c r="S959" i="2"/>
  <c r="AC959" i="2" s="1"/>
  <c r="R959" i="2"/>
  <c r="AB959" i="2" s="1"/>
  <c r="Q959" i="2"/>
  <c r="AA959" i="2" s="1"/>
  <c r="P959" i="2"/>
  <c r="Z959" i="2" s="1"/>
  <c r="O959" i="2"/>
  <c r="N959" i="2"/>
  <c r="M959" i="2"/>
  <c r="L959" i="2"/>
  <c r="AC958" i="2"/>
  <c r="AB958" i="2"/>
  <c r="AA958" i="2"/>
  <c r="Z958" i="2"/>
  <c r="Y958" i="2"/>
  <c r="X958" i="2"/>
  <c r="W958" i="2"/>
  <c r="U958" i="2"/>
  <c r="AE958" i="2" s="1"/>
  <c r="T958" i="2"/>
  <c r="AD958" i="2" s="1"/>
  <c r="S958" i="2"/>
  <c r="R958" i="2"/>
  <c r="Q958" i="2"/>
  <c r="P958" i="2"/>
  <c r="O958" i="2"/>
  <c r="N958" i="2"/>
  <c r="M958" i="2"/>
  <c r="L958" i="2"/>
  <c r="V958" i="2" s="1"/>
  <c r="AE957" i="2"/>
  <c r="AD957" i="2"/>
  <c r="AC957" i="2"/>
  <c r="AB957" i="2"/>
  <c r="AA957" i="2"/>
  <c r="Y957" i="2"/>
  <c r="U957" i="2"/>
  <c r="T957" i="2"/>
  <c r="S957" i="2"/>
  <c r="R957" i="2"/>
  <c r="Q957" i="2"/>
  <c r="P957" i="2"/>
  <c r="Z957" i="2" s="1"/>
  <c r="O957" i="2"/>
  <c r="N957" i="2"/>
  <c r="X957" i="2" s="1"/>
  <c r="M957" i="2"/>
  <c r="W957" i="2" s="1"/>
  <c r="L957" i="2"/>
  <c r="V957" i="2" s="1"/>
  <c r="AE956" i="2"/>
  <c r="AC956" i="2"/>
  <c r="U956" i="2"/>
  <c r="T956" i="2"/>
  <c r="AD956" i="2" s="1"/>
  <c r="S956" i="2"/>
  <c r="R956" i="2"/>
  <c r="AB956" i="2" s="1"/>
  <c r="Q956" i="2"/>
  <c r="AA956" i="2" s="1"/>
  <c r="P956" i="2"/>
  <c r="Z956" i="2" s="1"/>
  <c r="O956" i="2"/>
  <c r="Y956" i="2" s="1"/>
  <c r="N956" i="2"/>
  <c r="X956" i="2" s="1"/>
  <c r="M956" i="2"/>
  <c r="W956" i="2" s="1"/>
  <c r="L956" i="2"/>
  <c r="V956" i="2" s="1"/>
  <c r="Y955" i="2"/>
  <c r="X955" i="2"/>
  <c r="W955" i="2"/>
  <c r="V955" i="2"/>
  <c r="U955" i="2"/>
  <c r="AE955" i="2" s="1"/>
  <c r="T955" i="2"/>
  <c r="AD955" i="2" s="1"/>
  <c r="S955" i="2"/>
  <c r="AC955" i="2" s="1"/>
  <c r="R955" i="2"/>
  <c r="AB955" i="2" s="1"/>
  <c r="Q955" i="2"/>
  <c r="AA955" i="2" s="1"/>
  <c r="P955" i="2"/>
  <c r="Z955" i="2" s="1"/>
  <c r="O955" i="2"/>
  <c r="N955" i="2"/>
  <c r="M955" i="2"/>
  <c r="L955" i="2"/>
  <c r="AC954" i="2"/>
  <c r="AB954" i="2"/>
  <c r="AA954" i="2"/>
  <c r="Z954" i="2"/>
  <c r="Y954" i="2"/>
  <c r="X954" i="2"/>
  <c r="W954" i="2"/>
  <c r="U954" i="2"/>
  <c r="AE954" i="2" s="1"/>
  <c r="T954" i="2"/>
  <c r="AD954" i="2" s="1"/>
  <c r="S954" i="2"/>
  <c r="R954" i="2"/>
  <c r="Q954" i="2"/>
  <c r="P954" i="2"/>
  <c r="O954" i="2"/>
  <c r="N954" i="2"/>
  <c r="M954" i="2"/>
  <c r="L954" i="2"/>
  <c r="V954" i="2" s="1"/>
  <c r="AE953" i="2"/>
  <c r="AD953" i="2"/>
  <c r="AC953" i="2"/>
  <c r="AB953" i="2"/>
  <c r="AA953" i="2"/>
  <c r="Y953" i="2"/>
  <c r="U953" i="2"/>
  <c r="T953" i="2"/>
  <c r="S953" i="2"/>
  <c r="R953" i="2"/>
  <c r="Q953" i="2"/>
  <c r="P953" i="2"/>
  <c r="Z953" i="2" s="1"/>
  <c r="O953" i="2"/>
  <c r="N953" i="2"/>
  <c r="X953" i="2" s="1"/>
  <c r="M953" i="2"/>
  <c r="W953" i="2" s="1"/>
  <c r="L953" i="2"/>
  <c r="V953" i="2" s="1"/>
  <c r="AE952" i="2"/>
  <c r="AC952" i="2"/>
  <c r="U952" i="2"/>
  <c r="T952" i="2"/>
  <c r="AD952" i="2" s="1"/>
  <c r="S952" i="2"/>
  <c r="R952" i="2"/>
  <c r="AB952" i="2" s="1"/>
  <c r="Q952" i="2"/>
  <c r="AA952" i="2" s="1"/>
  <c r="P952" i="2"/>
  <c r="Z952" i="2" s="1"/>
  <c r="O952" i="2"/>
  <c r="Y952" i="2" s="1"/>
  <c r="N952" i="2"/>
  <c r="X952" i="2" s="1"/>
  <c r="M952" i="2"/>
  <c r="W952" i="2" s="1"/>
  <c r="L952" i="2"/>
  <c r="V952" i="2" s="1"/>
  <c r="Y951" i="2"/>
  <c r="X951" i="2"/>
  <c r="W951" i="2"/>
  <c r="V951" i="2"/>
  <c r="U951" i="2"/>
  <c r="AE951" i="2" s="1"/>
  <c r="T951" i="2"/>
  <c r="AD951" i="2" s="1"/>
  <c r="S951" i="2"/>
  <c r="AC951" i="2" s="1"/>
  <c r="R951" i="2"/>
  <c r="AB951" i="2" s="1"/>
  <c r="Q951" i="2"/>
  <c r="AA951" i="2" s="1"/>
  <c r="P951" i="2"/>
  <c r="Z951" i="2" s="1"/>
  <c r="O951" i="2"/>
  <c r="N951" i="2"/>
  <c r="M951" i="2"/>
  <c r="L951" i="2"/>
  <c r="AC950" i="2"/>
  <c r="AB950" i="2"/>
  <c r="AA950" i="2"/>
  <c r="Z950" i="2"/>
  <c r="Y950" i="2"/>
  <c r="X950" i="2"/>
  <c r="W950" i="2"/>
  <c r="U950" i="2"/>
  <c r="AE950" i="2" s="1"/>
  <c r="T950" i="2"/>
  <c r="AD950" i="2" s="1"/>
  <c r="S950" i="2"/>
  <c r="R950" i="2"/>
  <c r="Q950" i="2"/>
  <c r="P950" i="2"/>
  <c r="O950" i="2"/>
  <c r="N950" i="2"/>
  <c r="M950" i="2"/>
  <c r="L950" i="2"/>
  <c r="V950" i="2" s="1"/>
  <c r="AE949" i="2"/>
  <c r="AD949" i="2"/>
  <c r="AC949" i="2"/>
  <c r="AB949" i="2"/>
  <c r="AA949" i="2"/>
  <c r="Y949" i="2"/>
  <c r="U949" i="2"/>
  <c r="T949" i="2"/>
  <c r="S949" i="2"/>
  <c r="R949" i="2"/>
  <c r="Q949" i="2"/>
  <c r="P949" i="2"/>
  <c r="Z949" i="2" s="1"/>
  <c r="O949" i="2"/>
  <c r="N949" i="2"/>
  <c r="X949" i="2" s="1"/>
  <c r="M949" i="2"/>
  <c r="W949" i="2" s="1"/>
  <c r="L949" i="2"/>
  <c r="V949" i="2" s="1"/>
  <c r="AE948" i="2"/>
  <c r="AC948" i="2"/>
  <c r="U948" i="2"/>
  <c r="T948" i="2"/>
  <c r="AD948" i="2" s="1"/>
  <c r="S948" i="2"/>
  <c r="R948" i="2"/>
  <c r="AB948" i="2" s="1"/>
  <c r="Q948" i="2"/>
  <c r="AA948" i="2" s="1"/>
  <c r="P948" i="2"/>
  <c r="Z948" i="2" s="1"/>
  <c r="O948" i="2"/>
  <c r="Y948" i="2" s="1"/>
  <c r="N948" i="2"/>
  <c r="X948" i="2" s="1"/>
  <c r="M948" i="2"/>
  <c r="W948" i="2" s="1"/>
  <c r="L948" i="2"/>
  <c r="V948" i="2" s="1"/>
  <c r="Y947" i="2"/>
  <c r="X947" i="2"/>
  <c r="W947" i="2"/>
  <c r="V947" i="2"/>
  <c r="U947" i="2"/>
  <c r="AE947" i="2" s="1"/>
  <c r="T947" i="2"/>
  <c r="AD947" i="2" s="1"/>
  <c r="S947" i="2"/>
  <c r="AC947" i="2" s="1"/>
  <c r="R947" i="2"/>
  <c r="AB947" i="2" s="1"/>
  <c r="Q947" i="2"/>
  <c r="AA947" i="2" s="1"/>
  <c r="P947" i="2"/>
  <c r="Z947" i="2" s="1"/>
  <c r="O947" i="2"/>
  <c r="N947" i="2"/>
  <c r="M947" i="2"/>
  <c r="L947" i="2"/>
  <c r="AC946" i="2"/>
  <c r="AB946" i="2"/>
  <c r="AA946" i="2"/>
  <c r="Z946" i="2"/>
  <c r="Y946" i="2"/>
  <c r="X946" i="2"/>
  <c r="W946" i="2"/>
  <c r="U946" i="2"/>
  <c r="AE946" i="2" s="1"/>
  <c r="T946" i="2"/>
  <c r="AD946" i="2" s="1"/>
  <c r="S946" i="2"/>
  <c r="R946" i="2"/>
  <c r="Q946" i="2"/>
  <c r="P946" i="2"/>
  <c r="O946" i="2"/>
  <c r="N946" i="2"/>
  <c r="M946" i="2"/>
  <c r="L946" i="2"/>
  <c r="V946" i="2" s="1"/>
  <c r="AD945" i="2"/>
  <c r="AC945" i="2"/>
  <c r="AB945" i="2"/>
  <c r="AA945" i="2"/>
  <c r="Y945" i="2"/>
  <c r="U945" i="2"/>
  <c r="AE945" i="2" s="1"/>
  <c r="T945" i="2"/>
  <c r="S945" i="2"/>
  <c r="R945" i="2"/>
  <c r="Q945" i="2"/>
  <c r="P945" i="2"/>
  <c r="Z945" i="2" s="1"/>
  <c r="O945" i="2"/>
  <c r="N945" i="2"/>
  <c r="X945" i="2" s="1"/>
  <c r="M945" i="2"/>
  <c r="W945" i="2" s="1"/>
  <c r="L945" i="2"/>
  <c r="V945" i="2" s="1"/>
  <c r="AE944" i="2"/>
  <c r="AC944" i="2"/>
  <c r="U944" i="2"/>
  <c r="T944" i="2"/>
  <c r="AD944" i="2" s="1"/>
  <c r="S944" i="2"/>
  <c r="R944" i="2"/>
  <c r="AB944" i="2" s="1"/>
  <c r="Q944" i="2"/>
  <c r="AA944" i="2" s="1"/>
  <c r="P944" i="2"/>
  <c r="Z944" i="2" s="1"/>
  <c r="O944" i="2"/>
  <c r="Y944" i="2" s="1"/>
  <c r="N944" i="2"/>
  <c r="X944" i="2" s="1"/>
  <c r="M944" i="2"/>
  <c r="W944" i="2" s="1"/>
  <c r="L944" i="2"/>
  <c r="V944" i="2" s="1"/>
  <c r="Y943" i="2"/>
  <c r="X943" i="2"/>
  <c r="V943" i="2"/>
  <c r="U943" i="2"/>
  <c r="AE943" i="2" s="1"/>
  <c r="T943" i="2"/>
  <c r="AD943" i="2" s="1"/>
  <c r="S943" i="2"/>
  <c r="AC943" i="2" s="1"/>
  <c r="R943" i="2"/>
  <c r="AB943" i="2" s="1"/>
  <c r="Q943" i="2"/>
  <c r="AA943" i="2" s="1"/>
  <c r="P943" i="2"/>
  <c r="Z943" i="2" s="1"/>
  <c r="O943" i="2"/>
  <c r="N943" i="2"/>
  <c r="M943" i="2"/>
  <c r="W943" i="2" s="1"/>
  <c r="L943" i="2"/>
  <c r="AC942" i="2"/>
  <c r="AB942" i="2"/>
  <c r="Z942" i="2"/>
  <c r="Y942" i="2"/>
  <c r="X942" i="2"/>
  <c r="W942" i="2"/>
  <c r="U942" i="2"/>
  <c r="AE942" i="2" s="1"/>
  <c r="T942" i="2"/>
  <c r="AD942" i="2" s="1"/>
  <c r="S942" i="2"/>
  <c r="R942" i="2"/>
  <c r="Q942" i="2"/>
  <c r="AA942" i="2" s="1"/>
  <c r="P942" i="2"/>
  <c r="O942" i="2"/>
  <c r="N942" i="2"/>
  <c r="M942" i="2"/>
  <c r="L942" i="2"/>
  <c r="V942" i="2" s="1"/>
  <c r="AD941" i="2"/>
  <c r="AC941" i="2"/>
  <c r="AB941" i="2"/>
  <c r="AA941" i="2"/>
  <c r="Y941" i="2"/>
  <c r="U941" i="2"/>
  <c r="AE941" i="2" s="1"/>
  <c r="T941" i="2"/>
  <c r="S941" i="2"/>
  <c r="R941" i="2"/>
  <c r="Q941" i="2"/>
  <c r="P941" i="2"/>
  <c r="Z941" i="2" s="1"/>
  <c r="O941" i="2"/>
  <c r="N941" i="2"/>
  <c r="X941" i="2" s="1"/>
  <c r="M941" i="2"/>
  <c r="W941" i="2" s="1"/>
  <c r="L941" i="2"/>
  <c r="V941" i="2" s="1"/>
  <c r="AE940" i="2"/>
  <c r="AC940" i="2"/>
  <c r="U940" i="2"/>
  <c r="T940" i="2"/>
  <c r="AD940" i="2" s="1"/>
  <c r="S940" i="2"/>
  <c r="R940" i="2"/>
  <c r="AB940" i="2" s="1"/>
  <c r="Q940" i="2"/>
  <c r="AA940" i="2" s="1"/>
  <c r="P940" i="2"/>
  <c r="Z940" i="2" s="1"/>
  <c r="O940" i="2"/>
  <c r="Y940" i="2" s="1"/>
  <c r="N940" i="2"/>
  <c r="X940" i="2" s="1"/>
  <c r="M940" i="2"/>
  <c r="W940" i="2" s="1"/>
  <c r="L940" i="2"/>
  <c r="V940" i="2" s="1"/>
  <c r="Y939" i="2"/>
  <c r="X939" i="2"/>
  <c r="V939" i="2"/>
  <c r="U939" i="2"/>
  <c r="AE939" i="2" s="1"/>
  <c r="T939" i="2"/>
  <c r="AD939" i="2" s="1"/>
  <c r="S939" i="2"/>
  <c r="AC939" i="2" s="1"/>
  <c r="R939" i="2"/>
  <c r="AB939" i="2" s="1"/>
  <c r="Q939" i="2"/>
  <c r="AA939" i="2" s="1"/>
  <c r="P939" i="2"/>
  <c r="Z939" i="2" s="1"/>
  <c r="O939" i="2"/>
  <c r="N939" i="2"/>
  <c r="M939" i="2"/>
  <c r="W939" i="2" s="1"/>
  <c r="L939" i="2"/>
  <c r="AC938" i="2"/>
  <c r="AB938" i="2"/>
  <c r="Z938" i="2"/>
  <c r="Y938" i="2"/>
  <c r="X938" i="2"/>
  <c r="W938" i="2"/>
  <c r="U938" i="2"/>
  <c r="AE938" i="2" s="1"/>
  <c r="T938" i="2"/>
  <c r="AD938" i="2" s="1"/>
  <c r="S938" i="2"/>
  <c r="R938" i="2"/>
  <c r="Q938" i="2"/>
  <c r="AA938" i="2" s="1"/>
  <c r="P938" i="2"/>
  <c r="O938" i="2"/>
  <c r="N938" i="2"/>
  <c r="M938" i="2"/>
  <c r="L938" i="2"/>
  <c r="V938" i="2" s="1"/>
  <c r="AD937" i="2"/>
  <c r="AC937" i="2"/>
  <c r="AB937" i="2"/>
  <c r="AA937" i="2"/>
  <c r="Y937" i="2"/>
  <c r="U937" i="2"/>
  <c r="AE937" i="2" s="1"/>
  <c r="T937" i="2"/>
  <c r="S937" i="2"/>
  <c r="R937" i="2"/>
  <c r="Q937" i="2"/>
  <c r="P937" i="2"/>
  <c r="Z937" i="2" s="1"/>
  <c r="O937" i="2"/>
  <c r="N937" i="2"/>
  <c r="X937" i="2" s="1"/>
  <c r="M937" i="2"/>
  <c r="W937" i="2" s="1"/>
  <c r="L937" i="2"/>
  <c r="V937" i="2" s="1"/>
  <c r="AE936" i="2"/>
  <c r="AC936" i="2"/>
  <c r="U936" i="2"/>
  <c r="T936" i="2"/>
  <c r="AD936" i="2" s="1"/>
  <c r="S936" i="2"/>
  <c r="R936" i="2"/>
  <c r="AB936" i="2" s="1"/>
  <c r="Q936" i="2"/>
  <c r="AA936" i="2" s="1"/>
  <c r="P936" i="2"/>
  <c r="Z936" i="2" s="1"/>
  <c r="O936" i="2"/>
  <c r="Y936" i="2" s="1"/>
  <c r="N936" i="2"/>
  <c r="X936" i="2" s="1"/>
  <c r="M936" i="2"/>
  <c r="W936" i="2" s="1"/>
  <c r="L936" i="2"/>
  <c r="V936" i="2" s="1"/>
  <c r="Y935" i="2"/>
  <c r="X935" i="2"/>
  <c r="V935" i="2"/>
  <c r="U935" i="2"/>
  <c r="AE935" i="2" s="1"/>
  <c r="T935" i="2"/>
  <c r="AD935" i="2" s="1"/>
  <c r="S935" i="2"/>
  <c r="AC935" i="2" s="1"/>
  <c r="R935" i="2"/>
  <c r="AB935" i="2" s="1"/>
  <c r="Q935" i="2"/>
  <c r="AA935" i="2" s="1"/>
  <c r="P935" i="2"/>
  <c r="Z935" i="2" s="1"/>
  <c r="O935" i="2"/>
  <c r="N935" i="2"/>
  <c r="M935" i="2"/>
  <c r="W935" i="2" s="1"/>
  <c r="L935" i="2"/>
  <c r="AC934" i="2"/>
  <c r="AB934" i="2"/>
  <c r="Z934" i="2"/>
  <c r="Y934" i="2"/>
  <c r="X934" i="2"/>
  <c r="W934" i="2"/>
  <c r="U934" i="2"/>
  <c r="AE934" i="2" s="1"/>
  <c r="T934" i="2"/>
  <c r="AD934" i="2" s="1"/>
  <c r="S934" i="2"/>
  <c r="R934" i="2"/>
  <c r="Q934" i="2"/>
  <c r="AA934" i="2" s="1"/>
  <c r="P934" i="2"/>
  <c r="O934" i="2"/>
  <c r="N934" i="2"/>
  <c r="M934" i="2"/>
  <c r="L934" i="2"/>
  <c r="V934" i="2" s="1"/>
  <c r="AD933" i="2"/>
  <c r="AC933" i="2"/>
  <c r="AB933" i="2"/>
  <c r="AA933" i="2"/>
  <c r="Y933" i="2"/>
  <c r="U933" i="2"/>
  <c r="AE933" i="2" s="1"/>
  <c r="T933" i="2"/>
  <c r="S933" i="2"/>
  <c r="R933" i="2"/>
  <c r="Q933" i="2"/>
  <c r="P933" i="2"/>
  <c r="Z933" i="2" s="1"/>
  <c r="O933" i="2"/>
  <c r="N933" i="2"/>
  <c r="X933" i="2" s="1"/>
  <c r="M933" i="2"/>
  <c r="W933" i="2" s="1"/>
  <c r="L933" i="2"/>
  <c r="V933" i="2" s="1"/>
  <c r="AE932" i="2"/>
  <c r="AC932" i="2"/>
  <c r="U932" i="2"/>
  <c r="T932" i="2"/>
  <c r="AD932" i="2" s="1"/>
  <c r="S932" i="2"/>
  <c r="R932" i="2"/>
  <c r="AB932" i="2" s="1"/>
  <c r="Q932" i="2"/>
  <c r="AA932" i="2" s="1"/>
  <c r="P932" i="2"/>
  <c r="Z932" i="2" s="1"/>
  <c r="O932" i="2"/>
  <c r="Y932" i="2" s="1"/>
  <c r="N932" i="2"/>
  <c r="X932" i="2" s="1"/>
  <c r="M932" i="2"/>
  <c r="W932" i="2" s="1"/>
  <c r="L932" i="2"/>
  <c r="V932" i="2" s="1"/>
  <c r="Y931" i="2"/>
  <c r="X931" i="2"/>
  <c r="V931" i="2"/>
  <c r="U931" i="2"/>
  <c r="AE931" i="2" s="1"/>
  <c r="T931" i="2"/>
  <c r="AD931" i="2" s="1"/>
  <c r="S931" i="2"/>
  <c r="AC931" i="2" s="1"/>
  <c r="R931" i="2"/>
  <c r="AB931" i="2" s="1"/>
  <c r="Q931" i="2"/>
  <c r="AA931" i="2" s="1"/>
  <c r="P931" i="2"/>
  <c r="Z931" i="2" s="1"/>
  <c r="O931" i="2"/>
  <c r="N931" i="2"/>
  <c r="M931" i="2"/>
  <c r="W931" i="2" s="1"/>
  <c r="L931" i="2"/>
  <c r="AC930" i="2"/>
  <c r="AB930" i="2"/>
  <c r="Z930" i="2"/>
  <c r="Y930" i="2"/>
  <c r="X930" i="2"/>
  <c r="W930" i="2"/>
  <c r="U930" i="2"/>
  <c r="AE930" i="2" s="1"/>
  <c r="T930" i="2"/>
  <c r="AD930" i="2" s="1"/>
  <c r="S930" i="2"/>
  <c r="R930" i="2"/>
  <c r="Q930" i="2"/>
  <c r="AA930" i="2" s="1"/>
  <c r="P930" i="2"/>
  <c r="O930" i="2"/>
  <c r="N930" i="2"/>
  <c r="M930" i="2"/>
  <c r="L930" i="2"/>
  <c r="V930" i="2" s="1"/>
  <c r="AD929" i="2"/>
  <c r="AC929" i="2"/>
  <c r="AB929" i="2"/>
  <c r="AA929" i="2"/>
  <c r="Y929" i="2"/>
  <c r="U929" i="2"/>
  <c r="AE929" i="2" s="1"/>
  <c r="T929" i="2"/>
  <c r="S929" i="2"/>
  <c r="R929" i="2"/>
  <c r="Q929" i="2"/>
  <c r="P929" i="2"/>
  <c r="Z929" i="2" s="1"/>
  <c r="O929" i="2"/>
  <c r="N929" i="2"/>
  <c r="X929" i="2" s="1"/>
  <c r="M929" i="2"/>
  <c r="W929" i="2" s="1"/>
  <c r="L929" i="2"/>
  <c r="V929" i="2" s="1"/>
  <c r="AE928" i="2"/>
  <c r="AC928" i="2"/>
  <c r="U928" i="2"/>
  <c r="T928" i="2"/>
  <c r="AD928" i="2" s="1"/>
  <c r="S928" i="2"/>
  <c r="R928" i="2"/>
  <c r="AB928" i="2" s="1"/>
  <c r="Q928" i="2"/>
  <c r="AA928" i="2" s="1"/>
  <c r="P928" i="2"/>
  <c r="Z928" i="2" s="1"/>
  <c r="O928" i="2"/>
  <c r="Y928" i="2" s="1"/>
  <c r="N928" i="2"/>
  <c r="X928" i="2" s="1"/>
  <c r="M928" i="2"/>
  <c r="W928" i="2" s="1"/>
  <c r="L928" i="2"/>
  <c r="V928" i="2" s="1"/>
  <c r="Y927" i="2"/>
  <c r="X927" i="2"/>
  <c r="V927" i="2"/>
  <c r="U927" i="2"/>
  <c r="AE927" i="2" s="1"/>
  <c r="T927" i="2"/>
  <c r="AD927" i="2" s="1"/>
  <c r="S927" i="2"/>
  <c r="AC927" i="2" s="1"/>
  <c r="R927" i="2"/>
  <c r="AB927" i="2" s="1"/>
  <c r="Q927" i="2"/>
  <c r="AA927" i="2" s="1"/>
  <c r="P927" i="2"/>
  <c r="Z927" i="2" s="1"/>
  <c r="O927" i="2"/>
  <c r="N927" i="2"/>
  <c r="M927" i="2"/>
  <c r="W927" i="2" s="1"/>
  <c r="L927" i="2"/>
  <c r="AC926" i="2"/>
  <c r="AB926" i="2"/>
  <c r="Z926" i="2"/>
  <c r="Y926" i="2"/>
  <c r="X926" i="2"/>
  <c r="W926" i="2"/>
  <c r="U926" i="2"/>
  <c r="AE926" i="2" s="1"/>
  <c r="T926" i="2"/>
  <c r="AD926" i="2" s="1"/>
  <c r="S926" i="2"/>
  <c r="R926" i="2"/>
  <c r="Q926" i="2"/>
  <c r="AA926" i="2" s="1"/>
  <c r="P926" i="2"/>
  <c r="O926" i="2"/>
  <c r="N926" i="2"/>
  <c r="M926" i="2"/>
  <c r="L926" i="2"/>
  <c r="V926" i="2" s="1"/>
  <c r="AD925" i="2"/>
  <c r="AC925" i="2"/>
  <c r="AB925" i="2"/>
  <c r="AA925" i="2"/>
  <c r="Y925" i="2"/>
  <c r="U925" i="2"/>
  <c r="AE925" i="2" s="1"/>
  <c r="T925" i="2"/>
  <c r="S925" i="2"/>
  <c r="R925" i="2"/>
  <c r="Q925" i="2"/>
  <c r="P925" i="2"/>
  <c r="Z925" i="2" s="1"/>
  <c r="O925" i="2"/>
  <c r="N925" i="2"/>
  <c r="X925" i="2" s="1"/>
  <c r="M925" i="2"/>
  <c r="W925" i="2" s="1"/>
  <c r="L925" i="2"/>
  <c r="V925" i="2" s="1"/>
  <c r="AE924" i="2"/>
  <c r="AC924" i="2"/>
  <c r="U924" i="2"/>
  <c r="T924" i="2"/>
  <c r="AD924" i="2" s="1"/>
  <c r="S924" i="2"/>
  <c r="R924" i="2"/>
  <c r="AB924" i="2" s="1"/>
  <c r="Q924" i="2"/>
  <c r="AA924" i="2" s="1"/>
  <c r="P924" i="2"/>
  <c r="Z924" i="2" s="1"/>
  <c r="O924" i="2"/>
  <c r="Y924" i="2" s="1"/>
  <c r="N924" i="2"/>
  <c r="X924" i="2" s="1"/>
  <c r="M924" i="2"/>
  <c r="W924" i="2" s="1"/>
  <c r="L924" i="2"/>
  <c r="V924" i="2" s="1"/>
  <c r="Y923" i="2"/>
  <c r="X923" i="2"/>
  <c r="V923" i="2"/>
  <c r="U923" i="2"/>
  <c r="AE923" i="2" s="1"/>
  <c r="T923" i="2"/>
  <c r="AD923" i="2" s="1"/>
  <c r="S923" i="2"/>
  <c r="AC923" i="2" s="1"/>
  <c r="R923" i="2"/>
  <c r="AB923" i="2" s="1"/>
  <c r="Q923" i="2"/>
  <c r="AA923" i="2" s="1"/>
  <c r="P923" i="2"/>
  <c r="Z923" i="2" s="1"/>
  <c r="O923" i="2"/>
  <c r="N923" i="2"/>
  <c r="M923" i="2"/>
  <c r="W923" i="2" s="1"/>
  <c r="L923" i="2"/>
  <c r="AC922" i="2"/>
  <c r="AB922" i="2"/>
  <c r="Z922" i="2"/>
  <c r="Y922" i="2"/>
  <c r="X922" i="2"/>
  <c r="W922" i="2"/>
  <c r="V922" i="2"/>
  <c r="U922" i="2"/>
  <c r="AE922" i="2" s="1"/>
  <c r="T922" i="2"/>
  <c r="AD922" i="2" s="1"/>
  <c r="S922" i="2"/>
  <c r="R922" i="2"/>
  <c r="Q922" i="2"/>
  <c r="AA922" i="2" s="1"/>
  <c r="P922" i="2"/>
  <c r="O922" i="2"/>
  <c r="N922" i="2"/>
  <c r="M922" i="2"/>
  <c r="L922" i="2"/>
  <c r="AD921" i="2"/>
  <c r="AC921" i="2"/>
  <c r="AB921" i="2"/>
  <c r="AA921" i="2"/>
  <c r="Y921" i="2"/>
  <c r="U921" i="2"/>
  <c r="AE921" i="2" s="1"/>
  <c r="T921" i="2"/>
  <c r="S921" i="2"/>
  <c r="R921" i="2"/>
  <c r="Q921" i="2"/>
  <c r="P921" i="2"/>
  <c r="Z921" i="2" s="1"/>
  <c r="O921" i="2"/>
  <c r="N921" i="2"/>
  <c r="X921" i="2" s="1"/>
  <c r="M921" i="2"/>
  <c r="W921" i="2" s="1"/>
  <c r="L921" i="2"/>
  <c r="V921" i="2" s="1"/>
  <c r="AE920" i="2"/>
  <c r="AD920" i="2"/>
  <c r="AC920" i="2"/>
  <c r="U920" i="2"/>
  <c r="T920" i="2"/>
  <c r="S920" i="2"/>
  <c r="R920" i="2"/>
  <c r="AB920" i="2" s="1"/>
  <c r="Q920" i="2"/>
  <c r="AA920" i="2" s="1"/>
  <c r="P920" i="2"/>
  <c r="Z920" i="2" s="1"/>
  <c r="O920" i="2"/>
  <c r="Y920" i="2" s="1"/>
  <c r="N920" i="2"/>
  <c r="X920" i="2" s="1"/>
  <c r="M920" i="2"/>
  <c r="W920" i="2" s="1"/>
  <c r="L920" i="2"/>
  <c r="V920" i="2" s="1"/>
  <c r="Y919" i="2"/>
  <c r="X919" i="2"/>
  <c r="V919" i="2"/>
  <c r="U919" i="2"/>
  <c r="AE919" i="2" s="1"/>
  <c r="T919" i="2"/>
  <c r="AD919" i="2" s="1"/>
  <c r="S919" i="2"/>
  <c r="AC919" i="2" s="1"/>
  <c r="R919" i="2"/>
  <c r="AB919" i="2" s="1"/>
  <c r="Q919" i="2"/>
  <c r="AA919" i="2" s="1"/>
  <c r="P919" i="2"/>
  <c r="Z919" i="2" s="1"/>
  <c r="O919" i="2"/>
  <c r="N919" i="2"/>
  <c r="M919" i="2"/>
  <c r="W919" i="2" s="1"/>
  <c r="L919" i="2"/>
  <c r="AC918" i="2"/>
  <c r="AB918" i="2"/>
  <c r="Z918" i="2"/>
  <c r="Y918" i="2"/>
  <c r="X918" i="2"/>
  <c r="U918" i="2"/>
  <c r="AE918" i="2" s="1"/>
  <c r="T918" i="2"/>
  <c r="AD918" i="2" s="1"/>
  <c r="S918" i="2"/>
  <c r="R918" i="2"/>
  <c r="Q918" i="2"/>
  <c r="AA918" i="2" s="1"/>
  <c r="P918" i="2"/>
  <c r="O918" i="2"/>
  <c r="N918" i="2"/>
  <c r="M918" i="2"/>
  <c r="W918" i="2" s="1"/>
  <c r="L918" i="2"/>
  <c r="V918" i="2" s="1"/>
  <c r="AD917" i="2"/>
  <c r="AC917" i="2"/>
  <c r="AB917" i="2"/>
  <c r="AA917" i="2"/>
  <c r="Y917" i="2"/>
  <c r="U917" i="2"/>
  <c r="AE917" i="2" s="1"/>
  <c r="T917" i="2"/>
  <c r="S917" i="2"/>
  <c r="R917" i="2"/>
  <c r="Q917" i="2"/>
  <c r="P917" i="2"/>
  <c r="Z917" i="2" s="1"/>
  <c r="O917" i="2"/>
  <c r="N917" i="2"/>
  <c r="X917" i="2" s="1"/>
  <c r="M917" i="2"/>
  <c r="W917" i="2" s="1"/>
  <c r="L917" i="2"/>
  <c r="V917" i="2" s="1"/>
  <c r="AE916" i="2"/>
  <c r="AD916" i="2"/>
  <c r="AC916" i="2"/>
  <c r="U916" i="2"/>
  <c r="T916" i="2"/>
  <c r="S916" i="2"/>
  <c r="R916" i="2"/>
  <c r="AB916" i="2" s="1"/>
  <c r="Q916" i="2"/>
  <c r="AA916" i="2" s="1"/>
  <c r="P916" i="2"/>
  <c r="Z916" i="2" s="1"/>
  <c r="O916" i="2"/>
  <c r="Y916" i="2" s="1"/>
  <c r="N916" i="2"/>
  <c r="X916" i="2" s="1"/>
  <c r="M916" i="2"/>
  <c r="W916" i="2" s="1"/>
  <c r="L916" i="2"/>
  <c r="V916" i="2" s="1"/>
  <c r="Y915" i="2"/>
  <c r="X915" i="2"/>
  <c r="V915" i="2"/>
  <c r="U915" i="2"/>
  <c r="AE915" i="2" s="1"/>
  <c r="T915" i="2"/>
  <c r="AD915" i="2" s="1"/>
  <c r="S915" i="2"/>
  <c r="AC915" i="2" s="1"/>
  <c r="R915" i="2"/>
  <c r="AB915" i="2" s="1"/>
  <c r="Q915" i="2"/>
  <c r="AA915" i="2" s="1"/>
  <c r="P915" i="2"/>
  <c r="Z915" i="2" s="1"/>
  <c r="O915" i="2"/>
  <c r="N915" i="2"/>
  <c r="M915" i="2"/>
  <c r="W915" i="2" s="1"/>
  <c r="L915" i="2"/>
  <c r="AC914" i="2"/>
  <c r="AB914" i="2"/>
  <c r="Z914" i="2"/>
  <c r="Y914" i="2"/>
  <c r="X914" i="2"/>
  <c r="W914" i="2"/>
  <c r="V914" i="2"/>
  <c r="U914" i="2"/>
  <c r="AE914" i="2" s="1"/>
  <c r="T914" i="2"/>
  <c r="AD914" i="2" s="1"/>
  <c r="S914" i="2"/>
  <c r="R914" i="2"/>
  <c r="Q914" i="2"/>
  <c r="AA914" i="2" s="1"/>
  <c r="P914" i="2"/>
  <c r="O914" i="2"/>
  <c r="N914" i="2"/>
  <c r="M914" i="2"/>
  <c r="L914" i="2"/>
  <c r="AD913" i="2"/>
  <c r="AC913" i="2"/>
  <c r="AB913" i="2"/>
  <c r="AA913" i="2"/>
  <c r="Z913" i="2"/>
  <c r="Y913" i="2"/>
  <c r="U913" i="2"/>
  <c r="AE913" i="2" s="1"/>
  <c r="T913" i="2"/>
  <c r="S913" i="2"/>
  <c r="R913" i="2"/>
  <c r="Q913" i="2"/>
  <c r="P913" i="2"/>
  <c r="O913" i="2"/>
  <c r="N913" i="2"/>
  <c r="X913" i="2" s="1"/>
  <c r="M913" i="2"/>
  <c r="W913" i="2" s="1"/>
  <c r="L913" i="2"/>
  <c r="V913" i="2" s="1"/>
  <c r="AD912" i="2"/>
  <c r="AC912" i="2"/>
  <c r="AB912" i="2"/>
  <c r="Z912" i="2"/>
  <c r="Y912" i="2"/>
  <c r="U912" i="2"/>
  <c r="AE912" i="2" s="1"/>
  <c r="T912" i="2"/>
  <c r="S912" i="2"/>
  <c r="R912" i="2"/>
  <c r="Q912" i="2"/>
  <c r="AA912" i="2" s="1"/>
  <c r="P912" i="2"/>
  <c r="O912" i="2"/>
  <c r="N912" i="2"/>
  <c r="X912" i="2" s="1"/>
  <c r="M912" i="2"/>
  <c r="W912" i="2" s="1"/>
  <c r="L912" i="2"/>
  <c r="V912" i="2" s="1"/>
  <c r="AE911" i="2"/>
  <c r="AD911" i="2"/>
  <c r="AC911" i="2"/>
  <c r="AB911" i="2"/>
  <c r="AA911" i="2"/>
  <c r="Z911" i="2"/>
  <c r="Y911" i="2"/>
  <c r="W911" i="2"/>
  <c r="U911" i="2"/>
  <c r="T911" i="2"/>
  <c r="S911" i="2"/>
  <c r="R911" i="2"/>
  <c r="Q911" i="2"/>
  <c r="P911" i="2"/>
  <c r="O911" i="2"/>
  <c r="N911" i="2"/>
  <c r="X911" i="2" s="1"/>
  <c r="M911" i="2"/>
  <c r="L911" i="2"/>
  <c r="V911" i="2" s="1"/>
  <c r="AE910" i="2"/>
  <c r="AD910" i="2"/>
  <c r="AC910" i="2"/>
  <c r="AA910" i="2"/>
  <c r="V910" i="2"/>
  <c r="U910" i="2"/>
  <c r="T910" i="2"/>
  <c r="S910" i="2"/>
  <c r="R910" i="2"/>
  <c r="AB910" i="2" s="1"/>
  <c r="Q910" i="2"/>
  <c r="P910" i="2"/>
  <c r="Z910" i="2" s="1"/>
  <c r="O910" i="2"/>
  <c r="Y910" i="2" s="1"/>
  <c r="N910" i="2"/>
  <c r="X910" i="2" s="1"/>
  <c r="M910" i="2"/>
  <c r="W910" i="2" s="1"/>
  <c r="L910" i="2"/>
  <c r="AE909" i="2"/>
  <c r="Z909" i="2"/>
  <c r="X909" i="2"/>
  <c r="W909" i="2"/>
  <c r="V909" i="2"/>
  <c r="U909" i="2"/>
  <c r="T909" i="2"/>
  <c r="AD909" i="2" s="1"/>
  <c r="S909" i="2"/>
  <c r="AC909" i="2" s="1"/>
  <c r="R909" i="2"/>
  <c r="AB909" i="2" s="1"/>
  <c r="Q909" i="2"/>
  <c r="AA909" i="2" s="1"/>
  <c r="P909" i="2"/>
  <c r="O909" i="2"/>
  <c r="Y909" i="2" s="1"/>
  <c r="N909" i="2"/>
  <c r="M909" i="2"/>
  <c r="L909" i="2"/>
  <c r="AD908" i="2"/>
  <c r="AB908" i="2"/>
  <c r="AA908" i="2"/>
  <c r="Z908" i="2"/>
  <c r="Y908" i="2"/>
  <c r="X908" i="2"/>
  <c r="W908" i="2"/>
  <c r="V908" i="2"/>
  <c r="U908" i="2"/>
  <c r="AE908" i="2" s="1"/>
  <c r="T908" i="2"/>
  <c r="S908" i="2"/>
  <c r="AC908" i="2" s="1"/>
  <c r="R908" i="2"/>
  <c r="Q908" i="2"/>
  <c r="P908" i="2"/>
  <c r="O908" i="2"/>
  <c r="N908" i="2"/>
  <c r="M908" i="2"/>
  <c r="L908" i="2"/>
  <c r="AE907" i="2"/>
  <c r="AD907" i="2"/>
  <c r="AC907" i="2"/>
  <c r="AB907" i="2"/>
  <c r="AA907" i="2"/>
  <c r="Z907" i="2"/>
  <c r="Y907" i="2"/>
  <c r="W907" i="2"/>
  <c r="U907" i="2"/>
  <c r="T907" i="2"/>
  <c r="S907" i="2"/>
  <c r="R907" i="2"/>
  <c r="Q907" i="2"/>
  <c r="P907" i="2"/>
  <c r="O907" i="2"/>
  <c r="N907" i="2"/>
  <c r="X907" i="2" s="1"/>
  <c r="M907" i="2"/>
  <c r="L907" i="2"/>
  <c r="V907" i="2" s="1"/>
  <c r="AE906" i="2"/>
  <c r="AD906" i="2"/>
  <c r="AC906" i="2"/>
  <c r="AA906" i="2"/>
  <c r="V906" i="2"/>
  <c r="U906" i="2"/>
  <c r="T906" i="2"/>
  <c r="S906" i="2"/>
  <c r="R906" i="2"/>
  <c r="AB906" i="2" s="1"/>
  <c r="Q906" i="2"/>
  <c r="P906" i="2"/>
  <c r="Z906" i="2" s="1"/>
  <c r="O906" i="2"/>
  <c r="Y906" i="2" s="1"/>
  <c r="N906" i="2"/>
  <c r="X906" i="2" s="1"/>
  <c r="M906" i="2"/>
  <c r="W906" i="2" s="1"/>
  <c r="L906" i="2"/>
  <c r="AE905" i="2"/>
  <c r="Z905" i="2"/>
  <c r="X905" i="2"/>
  <c r="W905" i="2"/>
  <c r="V905" i="2"/>
  <c r="U905" i="2"/>
  <c r="T905" i="2"/>
  <c r="AD905" i="2" s="1"/>
  <c r="S905" i="2"/>
  <c r="AC905" i="2" s="1"/>
  <c r="R905" i="2"/>
  <c r="AB905" i="2" s="1"/>
  <c r="Q905" i="2"/>
  <c r="AA905" i="2" s="1"/>
  <c r="P905" i="2"/>
  <c r="O905" i="2"/>
  <c r="Y905" i="2" s="1"/>
  <c r="N905" i="2"/>
  <c r="M905" i="2"/>
  <c r="L905" i="2"/>
  <c r="AD904" i="2"/>
  <c r="AB904" i="2"/>
  <c r="AA904" i="2"/>
  <c r="Z904" i="2"/>
  <c r="Y904" i="2"/>
  <c r="X904" i="2"/>
  <c r="W904" i="2"/>
  <c r="V904" i="2"/>
  <c r="U904" i="2"/>
  <c r="AE904" i="2" s="1"/>
  <c r="T904" i="2"/>
  <c r="S904" i="2"/>
  <c r="AC904" i="2" s="1"/>
  <c r="R904" i="2"/>
  <c r="Q904" i="2"/>
  <c r="P904" i="2"/>
  <c r="O904" i="2"/>
  <c r="N904" i="2"/>
  <c r="M904" i="2"/>
  <c r="L904" i="2"/>
  <c r="AE903" i="2"/>
  <c r="AD903" i="2"/>
  <c r="AC903" i="2"/>
  <c r="AB903" i="2"/>
  <c r="AA903" i="2"/>
  <c r="Z903" i="2"/>
  <c r="Y903" i="2"/>
  <c r="W903" i="2"/>
  <c r="U903" i="2"/>
  <c r="T903" i="2"/>
  <c r="S903" i="2"/>
  <c r="R903" i="2"/>
  <c r="Q903" i="2"/>
  <c r="P903" i="2"/>
  <c r="O903" i="2"/>
  <c r="N903" i="2"/>
  <c r="X903" i="2" s="1"/>
  <c r="M903" i="2"/>
  <c r="L903" i="2"/>
  <c r="V903" i="2" s="1"/>
  <c r="AE902" i="2"/>
  <c r="AD902" i="2"/>
  <c r="AC902" i="2"/>
  <c r="AA902" i="2"/>
  <c r="V902" i="2"/>
  <c r="U902" i="2"/>
  <c r="T902" i="2"/>
  <c r="S902" i="2"/>
  <c r="R902" i="2"/>
  <c r="AB902" i="2" s="1"/>
  <c r="Q902" i="2"/>
  <c r="P902" i="2"/>
  <c r="Z902" i="2" s="1"/>
  <c r="O902" i="2"/>
  <c r="Y902" i="2" s="1"/>
  <c r="N902" i="2"/>
  <c r="X902" i="2" s="1"/>
  <c r="M902" i="2"/>
  <c r="W902" i="2" s="1"/>
  <c r="L902" i="2"/>
  <c r="AE901" i="2"/>
  <c r="Z901" i="2"/>
  <c r="X901" i="2"/>
  <c r="W901" i="2"/>
  <c r="V901" i="2"/>
  <c r="U901" i="2"/>
  <c r="T901" i="2"/>
  <c r="AD901" i="2" s="1"/>
  <c r="S901" i="2"/>
  <c r="AC901" i="2" s="1"/>
  <c r="R901" i="2"/>
  <c r="AB901" i="2" s="1"/>
  <c r="Q901" i="2"/>
  <c r="AA901" i="2" s="1"/>
  <c r="P901" i="2"/>
  <c r="O901" i="2"/>
  <c r="Y901" i="2" s="1"/>
  <c r="N901" i="2"/>
  <c r="M901" i="2"/>
  <c r="L901" i="2"/>
  <c r="AD900" i="2"/>
  <c r="AB900" i="2"/>
  <c r="AA900" i="2"/>
  <c r="Z900" i="2"/>
  <c r="Y900" i="2"/>
  <c r="X900" i="2"/>
  <c r="W900" i="2"/>
  <c r="V900" i="2"/>
  <c r="U900" i="2"/>
  <c r="AE900" i="2" s="1"/>
  <c r="T900" i="2"/>
  <c r="S900" i="2"/>
  <c r="AC900" i="2" s="1"/>
  <c r="R900" i="2"/>
  <c r="Q900" i="2"/>
  <c r="P900" i="2"/>
  <c r="O900" i="2"/>
  <c r="N900" i="2"/>
  <c r="M900" i="2"/>
  <c r="L900" i="2"/>
  <c r="AE899" i="2"/>
  <c r="AD899" i="2"/>
  <c r="AC899" i="2"/>
  <c r="AB899" i="2"/>
  <c r="AA899" i="2"/>
  <c r="Z899" i="2"/>
  <c r="Y899" i="2"/>
  <c r="W899" i="2"/>
  <c r="U899" i="2"/>
  <c r="T899" i="2"/>
  <c r="S899" i="2"/>
  <c r="R899" i="2"/>
  <c r="Q899" i="2"/>
  <c r="P899" i="2"/>
  <c r="O899" i="2"/>
  <c r="N899" i="2"/>
  <c r="X899" i="2" s="1"/>
  <c r="M899" i="2"/>
  <c r="L899" i="2"/>
  <c r="V899" i="2" s="1"/>
  <c r="AE898" i="2"/>
  <c r="AD898" i="2"/>
  <c r="AC898" i="2"/>
  <c r="AA898" i="2"/>
  <c r="V898" i="2"/>
  <c r="U898" i="2"/>
  <c r="T898" i="2"/>
  <c r="S898" i="2"/>
  <c r="R898" i="2"/>
  <c r="AB898" i="2" s="1"/>
  <c r="Q898" i="2"/>
  <c r="P898" i="2"/>
  <c r="Z898" i="2" s="1"/>
  <c r="O898" i="2"/>
  <c r="Y898" i="2" s="1"/>
  <c r="N898" i="2"/>
  <c r="X898" i="2" s="1"/>
  <c r="M898" i="2"/>
  <c r="W898" i="2" s="1"/>
  <c r="L898" i="2"/>
  <c r="AE897" i="2"/>
  <c r="Z897" i="2"/>
  <c r="X897" i="2"/>
  <c r="W897" i="2"/>
  <c r="V897" i="2"/>
  <c r="U897" i="2"/>
  <c r="T897" i="2"/>
  <c r="AD897" i="2" s="1"/>
  <c r="S897" i="2"/>
  <c r="AC897" i="2" s="1"/>
  <c r="R897" i="2"/>
  <c r="AB897" i="2" s="1"/>
  <c r="Q897" i="2"/>
  <c r="AA897" i="2" s="1"/>
  <c r="P897" i="2"/>
  <c r="O897" i="2"/>
  <c r="Y897" i="2" s="1"/>
  <c r="N897" i="2"/>
  <c r="M897" i="2"/>
  <c r="L897" i="2"/>
  <c r="AD896" i="2"/>
  <c r="AB896" i="2"/>
  <c r="AA896" i="2"/>
  <c r="Z896" i="2"/>
  <c r="Y896" i="2"/>
  <c r="X896" i="2"/>
  <c r="W896" i="2"/>
  <c r="V896" i="2"/>
  <c r="U896" i="2"/>
  <c r="AE896" i="2" s="1"/>
  <c r="T896" i="2"/>
  <c r="S896" i="2"/>
  <c r="AC896" i="2" s="1"/>
  <c r="R896" i="2"/>
  <c r="Q896" i="2"/>
  <c r="P896" i="2"/>
  <c r="O896" i="2"/>
  <c r="N896" i="2"/>
  <c r="M896" i="2"/>
  <c r="L896" i="2"/>
  <c r="AE895" i="2"/>
  <c r="AD895" i="2"/>
  <c r="AC895" i="2"/>
  <c r="AB895" i="2"/>
  <c r="AA895" i="2"/>
  <c r="Z895" i="2"/>
  <c r="Y895" i="2"/>
  <c r="W895" i="2"/>
  <c r="U895" i="2"/>
  <c r="T895" i="2"/>
  <c r="S895" i="2"/>
  <c r="R895" i="2"/>
  <c r="Q895" i="2"/>
  <c r="P895" i="2"/>
  <c r="O895" i="2"/>
  <c r="N895" i="2"/>
  <c r="X895" i="2" s="1"/>
  <c r="M895" i="2"/>
  <c r="L895" i="2"/>
  <c r="V895" i="2" s="1"/>
  <c r="AE894" i="2"/>
  <c r="AD894" i="2"/>
  <c r="AC894" i="2"/>
  <c r="AA894" i="2"/>
  <c r="V894" i="2"/>
  <c r="U894" i="2"/>
  <c r="T894" i="2"/>
  <c r="S894" i="2"/>
  <c r="R894" i="2"/>
  <c r="AB894" i="2" s="1"/>
  <c r="Q894" i="2"/>
  <c r="P894" i="2"/>
  <c r="Z894" i="2" s="1"/>
  <c r="O894" i="2"/>
  <c r="Y894" i="2" s="1"/>
  <c r="N894" i="2"/>
  <c r="X894" i="2" s="1"/>
  <c r="M894" i="2"/>
  <c r="W894" i="2" s="1"/>
  <c r="L894" i="2"/>
  <c r="AE893" i="2"/>
  <c r="Z893" i="2"/>
  <c r="X893" i="2"/>
  <c r="W893" i="2"/>
  <c r="V893" i="2"/>
  <c r="U893" i="2"/>
  <c r="T893" i="2"/>
  <c r="AD893" i="2" s="1"/>
  <c r="S893" i="2"/>
  <c r="AC893" i="2" s="1"/>
  <c r="R893" i="2"/>
  <c r="AB893" i="2" s="1"/>
  <c r="Q893" i="2"/>
  <c r="AA893" i="2" s="1"/>
  <c r="P893" i="2"/>
  <c r="O893" i="2"/>
  <c r="Y893" i="2" s="1"/>
  <c r="N893" i="2"/>
  <c r="M893" i="2"/>
  <c r="L893" i="2"/>
  <c r="AD892" i="2"/>
  <c r="AB892" i="2"/>
  <c r="AA892" i="2"/>
  <c r="Z892" i="2"/>
  <c r="Y892" i="2"/>
  <c r="X892" i="2"/>
  <c r="W892" i="2"/>
  <c r="V892" i="2"/>
  <c r="U892" i="2"/>
  <c r="AE892" i="2" s="1"/>
  <c r="T892" i="2"/>
  <c r="S892" i="2"/>
  <c r="AC892" i="2" s="1"/>
  <c r="R892" i="2"/>
  <c r="Q892" i="2"/>
  <c r="P892" i="2"/>
  <c r="O892" i="2"/>
  <c r="N892" i="2"/>
  <c r="M892" i="2"/>
  <c r="L892" i="2"/>
  <c r="AE891" i="2"/>
  <c r="AD891" i="2"/>
  <c r="AC891" i="2"/>
  <c r="AB891" i="2"/>
  <c r="AA891" i="2"/>
  <c r="Z891" i="2"/>
  <c r="Y891" i="2"/>
  <c r="W891" i="2"/>
  <c r="U891" i="2"/>
  <c r="T891" i="2"/>
  <c r="S891" i="2"/>
  <c r="R891" i="2"/>
  <c r="Q891" i="2"/>
  <c r="P891" i="2"/>
  <c r="O891" i="2"/>
  <c r="N891" i="2"/>
  <c r="X891" i="2" s="1"/>
  <c r="M891" i="2"/>
  <c r="L891" i="2"/>
  <c r="V891" i="2" s="1"/>
  <c r="AE890" i="2"/>
  <c r="AD890" i="2"/>
  <c r="AC890" i="2"/>
  <c r="AA890" i="2"/>
  <c r="V890" i="2"/>
  <c r="U890" i="2"/>
  <c r="T890" i="2"/>
  <c r="S890" i="2"/>
  <c r="R890" i="2"/>
  <c r="AB890" i="2" s="1"/>
  <c r="Q890" i="2"/>
  <c r="P890" i="2"/>
  <c r="Z890" i="2" s="1"/>
  <c r="O890" i="2"/>
  <c r="Y890" i="2" s="1"/>
  <c r="N890" i="2"/>
  <c r="X890" i="2" s="1"/>
  <c r="M890" i="2"/>
  <c r="W890" i="2" s="1"/>
  <c r="L890" i="2"/>
  <c r="AE889" i="2"/>
  <c r="Z889" i="2"/>
  <c r="X889" i="2"/>
  <c r="W889" i="2"/>
  <c r="V889" i="2"/>
  <c r="U889" i="2"/>
  <c r="T889" i="2"/>
  <c r="AD889" i="2" s="1"/>
  <c r="S889" i="2"/>
  <c r="AC889" i="2" s="1"/>
  <c r="R889" i="2"/>
  <c r="AB889" i="2" s="1"/>
  <c r="Q889" i="2"/>
  <c r="AA889" i="2" s="1"/>
  <c r="P889" i="2"/>
  <c r="O889" i="2"/>
  <c r="Y889" i="2" s="1"/>
  <c r="N889" i="2"/>
  <c r="M889" i="2"/>
  <c r="L889" i="2"/>
  <c r="AD888" i="2"/>
  <c r="AB888" i="2"/>
  <c r="AA888" i="2"/>
  <c r="Z888" i="2"/>
  <c r="Y888" i="2"/>
  <c r="X888" i="2"/>
  <c r="W888" i="2"/>
  <c r="V888" i="2"/>
  <c r="U888" i="2"/>
  <c r="AE888" i="2" s="1"/>
  <c r="T888" i="2"/>
  <c r="S888" i="2"/>
  <c r="AC888" i="2" s="1"/>
  <c r="R888" i="2"/>
  <c r="Q888" i="2"/>
  <c r="P888" i="2"/>
  <c r="O888" i="2"/>
  <c r="N888" i="2"/>
  <c r="M888" i="2"/>
  <c r="L888" i="2"/>
  <c r="AE887" i="2"/>
  <c r="AD887" i="2"/>
  <c r="AC887" i="2"/>
  <c r="AB887" i="2"/>
  <c r="AA887" i="2"/>
  <c r="Z887" i="2"/>
  <c r="Y887" i="2"/>
  <c r="W887" i="2"/>
  <c r="U887" i="2"/>
  <c r="T887" i="2"/>
  <c r="S887" i="2"/>
  <c r="R887" i="2"/>
  <c r="Q887" i="2"/>
  <c r="P887" i="2"/>
  <c r="O887" i="2"/>
  <c r="N887" i="2"/>
  <c r="X887" i="2" s="1"/>
  <c r="M887" i="2"/>
  <c r="L887" i="2"/>
  <c r="V887" i="2" s="1"/>
  <c r="AE886" i="2"/>
  <c r="AD886" i="2"/>
  <c r="AC886" i="2"/>
  <c r="AA886" i="2"/>
  <c r="V886" i="2"/>
  <c r="U886" i="2"/>
  <c r="T886" i="2"/>
  <c r="S886" i="2"/>
  <c r="R886" i="2"/>
  <c r="AB886" i="2" s="1"/>
  <c r="Q886" i="2"/>
  <c r="P886" i="2"/>
  <c r="Z886" i="2" s="1"/>
  <c r="O886" i="2"/>
  <c r="Y886" i="2" s="1"/>
  <c r="N886" i="2"/>
  <c r="X886" i="2" s="1"/>
  <c r="M886" i="2"/>
  <c r="W886" i="2" s="1"/>
  <c r="L886" i="2"/>
  <c r="AE885" i="2"/>
  <c r="Z885" i="2"/>
  <c r="X885" i="2"/>
  <c r="W885" i="2"/>
  <c r="V885" i="2"/>
  <c r="U885" i="2"/>
  <c r="T885" i="2"/>
  <c r="AD885" i="2" s="1"/>
  <c r="S885" i="2"/>
  <c r="AC885" i="2" s="1"/>
  <c r="R885" i="2"/>
  <c r="AB885" i="2" s="1"/>
  <c r="Q885" i="2"/>
  <c r="AA885" i="2" s="1"/>
  <c r="P885" i="2"/>
  <c r="O885" i="2"/>
  <c r="Y885" i="2" s="1"/>
  <c r="N885" i="2"/>
  <c r="M885" i="2"/>
  <c r="L885" i="2"/>
  <c r="AD884" i="2"/>
  <c r="AB884" i="2"/>
  <c r="AA884" i="2"/>
  <c r="Z884" i="2"/>
  <c r="Y884" i="2"/>
  <c r="X884" i="2"/>
  <c r="W884" i="2"/>
  <c r="V884" i="2"/>
  <c r="U884" i="2"/>
  <c r="AE884" i="2" s="1"/>
  <c r="T884" i="2"/>
  <c r="S884" i="2"/>
  <c r="AC884" i="2" s="1"/>
  <c r="R884" i="2"/>
  <c r="Q884" i="2"/>
  <c r="P884" i="2"/>
  <c r="O884" i="2"/>
  <c r="N884" i="2"/>
  <c r="M884" i="2"/>
  <c r="L884" i="2"/>
  <c r="AE883" i="2"/>
  <c r="AD883" i="2"/>
  <c r="AC883" i="2"/>
  <c r="AB883" i="2"/>
  <c r="AA883" i="2"/>
  <c r="Z883" i="2"/>
  <c r="Y883" i="2"/>
  <c r="W883" i="2"/>
  <c r="U883" i="2"/>
  <c r="T883" i="2"/>
  <c r="S883" i="2"/>
  <c r="R883" i="2"/>
  <c r="Q883" i="2"/>
  <c r="P883" i="2"/>
  <c r="O883" i="2"/>
  <c r="N883" i="2"/>
  <c r="X883" i="2" s="1"/>
  <c r="M883" i="2"/>
  <c r="L883" i="2"/>
  <c r="V883" i="2" s="1"/>
  <c r="AE882" i="2"/>
  <c r="AD882" i="2"/>
  <c r="AC882" i="2"/>
  <c r="AA882" i="2"/>
  <c r="V882" i="2"/>
  <c r="U882" i="2"/>
  <c r="T882" i="2"/>
  <c r="S882" i="2"/>
  <c r="R882" i="2"/>
  <c r="AB882" i="2" s="1"/>
  <c r="Q882" i="2"/>
  <c r="P882" i="2"/>
  <c r="Z882" i="2" s="1"/>
  <c r="O882" i="2"/>
  <c r="Y882" i="2" s="1"/>
  <c r="N882" i="2"/>
  <c r="X882" i="2" s="1"/>
  <c r="M882" i="2"/>
  <c r="W882" i="2" s="1"/>
  <c r="L882" i="2"/>
  <c r="AE881" i="2"/>
  <c r="Z881" i="2"/>
  <c r="X881" i="2"/>
  <c r="W881" i="2"/>
  <c r="V881" i="2"/>
  <c r="U881" i="2"/>
  <c r="T881" i="2"/>
  <c r="AD881" i="2" s="1"/>
  <c r="S881" i="2"/>
  <c r="AC881" i="2" s="1"/>
  <c r="R881" i="2"/>
  <c r="AB881" i="2" s="1"/>
  <c r="Q881" i="2"/>
  <c r="AA881" i="2" s="1"/>
  <c r="P881" i="2"/>
  <c r="O881" i="2"/>
  <c r="Y881" i="2" s="1"/>
  <c r="N881" i="2"/>
  <c r="M881" i="2"/>
  <c r="L881" i="2"/>
  <c r="AD880" i="2"/>
  <c r="AB880" i="2"/>
  <c r="AA880" i="2"/>
  <c r="Z880" i="2"/>
  <c r="Y880" i="2"/>
  <c r="X880" i="2"/>
  <c r="W880" i="2"/>
  <c r="V880" i="2"/>
  <c r="U880" i="2"/>
  <c r="AE880" i="2" s="1"/>
  <c r="T880" i="2"/>
  <c r="S880" i="2"/>
  <c r="AC880" i="2" s="1"/>
  <c r="R880" i="2"/>
  <c r="Q880" i="2"/>
  <c r="P880" i="2"/>
  <c r="O880" i="2"/>
  <c r="N880" i="2"/>
  <c r="M880" i="2"/>
  <c r="L880" i="2"/>
  <c r="AE879" i="2"/>
  <c r="AD879" i="2"/>
  <c r="AC879" i="2"/>
  <c r="AB879" i="2"/>
  <c r="AA879" i="2"/>
  <c r="Z879" i="2"/>
  <c r="Y879" i="2"/>
  <c r="W879" i="2"/>
  <c r="U879" i="2"/>
  <c r="T879" i="2"/>
  <c r="S879" i="2"/>
  <c r="R879" i="2"/>
  <c r="Q879" i="2"/>
  <c r="P879" i="2"/>
  <c r="O879" i="2"/>
  <c r="N879" i="2"/>
  <c r="X879" i="2" s="1"/>
  <c r="M879" i="2"/>
  <c r="L879" i="2"/>
  <c r="V879" i="2" s="1"/>
  <c r="AE878" i="2"/>
  <c r="AD878" i="2"/>
  <c r="AC878" i="2"/>
  <c r="AA878" i="2"/>
  <c r="V878" i="2"/>
  <c r="U878" i="2"/>
  <c r="T878" i="2"/>
  <c r="S878" i="2"/>
  <c r="R878" i="2"/>
  <c r="AB878" i="2" s="1"/>
  <c r="Q878" i="2"/>
  <c r="P878" i="2"/>
  <c r="Z878" i="2" s="1"/>
  <c r="O878" i="2"/>
  <c r="Y878" i="2" s="1"/>
  <c r="N878" i="2"/>
  <c r="X878" i="2" s="1"/>
  <c r="M878" i="2"/>
  <c r="W878" i="2" s="1"/>
  <c r="L878" i="2"/>
  <c r="AE877" i="2"/>
  <c r="Z877" i="2"/>
  <c r="X877" i="2"/>
  <c r="W877" i="2"/>
  <c r="V877" i="2"/>
  <c r="U877" i="2"/>
  <c r="T877" i="2"/>
  <c r="AD877" i="2" s="1"/>
  <c r="S877" i="2"/>
  <c r="AC877" i="2" s="1"/>
  <c r="R877" i="2"/>
  <c r="AB877" i="2" s="1"/>
  <c r="Q877" i="2"/>
  <c r="AA877" i="2" s="1"/>
  <c r="P877" i="2"/>
  <c r="O877" i="2"/>
  <c r="Y877" i="2" s="1"/>
  <c r="N877" i="2"/>
  <c r="M877" i="2"/>
  <c r="L877" i="2"/>
  <c r="AD876" i="2"/>
  <c r="AB876" i="2"/>
  <c r="AA876" i="2"/>
  <c r="Z876" i="2"/>
  <c r="Y876" i="2"/>
  <c r="X876" i="2"/>
  <c r="W876" i="2"/>
  <c r="V876" i="2"/>
  <c r="U876" i="2"/>
  <c r="AE876" i="2" s="1"/>
  <c r="T876" i="2"/>
  <c r="S876" i="2"/>
  <c r="AC876" i="2" s="1"/>
  <c r="R876" i="2"/>
  <c r="Q876" i="2"/>
  <c r="P876" i="2"/>
  <c r="O876" i="2"/>
  <c r="N876" i="2"/>
  <c r="M876" i="2"/>
  <c r="L876" i="2"/>
  <c r="AE875" i="2"/>
  <c r="AD875" i="2"/>
  <c r="AC875" i="2"/>
  <c r="AB875" i="2"/>
  <c r="AA875" i="2"/>
  <c r="Z875" i="2"/>
  <c r="Y875" i="2"/>
  <c r="W875" i="2"/>
  <c r="U875" i="2"/>
  <c r="T875" i="2"/>
  <c r="S875" i="2"/>
  <c r="R875" i="2"/>
  <c r="Q875" i="2"/>
  <c r="P875" i="2"/>
  <c r="O875" i="2"/>
  <c r="N875" i="2"/>
  <c r="X875" i="2" s="1"/>
  <c r="M875" i="2"/>
  <c r="L875" i="2"/>
  <c r="V875" i="2" s="1"/>
  <c r="AE874" i="2"/>
  <c r="AD874" i="2"/>
  <c r="AC874" i="2"/>
  <c r="AA874" i="2"/>
  <c r="V874" i="2"/>
  <c r="U874" i="2"/>
  <c r="T874" i="2"/>
  <c r="S874" i="2"/>
  <c r="R874" i="2"/>
  <c r="AB874" i="2" s="1"/>
  <c r="Q874" i="2"/>
  <c r="P874" i="2"/>
  <c r="Z874" i="2" s="1"/>
  <c r="O874" i="2"/>
  <c r="Y874" i="2" s="1"/>
  <c r="N874" i="2"/>
  <c r="X874" i="2" s="1"/>
  <c r="M874" i="2"/>
  <c r="W874" i="2" s="1"/>
  <c r="L874" i="2"/>
  <c r="AE873" i="2"/>
  <c r="Z873" i="2"/>
  <c r="X873" i="2"/>
  <c r="W873" i="2"/>
  <c r="V873" i="2"/>
  <c r="U873" i="2"/>
  <c r="T873" i="2"/>
  <c r="AD873" i="2" s="1"/>
  <c r="S873" i="2"/>
  <c r="AC873" i="2" s="1"/>
  <c r="R873" i="2"/>
  <c r="AB873" i="2" s="1"/>
  <c r="Q873" i="2"/>
  <c r="AA873" i="2" s="1"/>
  <c r="P873" i="2"/>
  <c r="O873" i="2"/>
  <c r="Y873" i="2" s="1"/>
  <c r="N873" i="2"/>
  <c r="M873" i="2"/>
  <c r="L873" i="2"/>
  <c r="AD872" i="2"/>
  <c r="AB872" i="2"/>
  <c r="AA872" i="2"/>
  <c r="Z872" i="2"/>
  <c r="Y872" i="2"/>
  <c r="X872" i="2"/>
  <c r="W872" i="2"/>
  <c r="V872" i="2"/>
  <c r="U872" i="2"/>
  <c r="AE872" i="2" s="1"/>
  <c r="T872" i="2"/>
  <c r="S872" i="2"/>
  <c r="AC872" i="2" s="1"/>
  <c r="R872" i="2"/>
  <c r="Q872" i="2"/>
  <c r="P872" i="2"/>
  <c r="O872" i="2"/>
  <c r="N872" i="2"/>
  <c r="M872" i="2"/>
  <c r="L872" i="2"/>
  <c r="AE871" i="2"/>
  <c r="AD871" i="2"/>
  <c r="AC871" i="2"/>
  <c r="AB871" i="2"/>
  <c r="AA871" i="2"/>
  <c r="Z871" i="2"/>
  <c r="Y871" i="2"/>
  <c r="W871" i="2"/>
  <c r="U871" i="2"/>
  <c r="T871" i="2"/>
  <c r="S871" i="2"/>
  <c r="R871" i="2"/>
  <c r="Q871" i="2"/>
  <c r="P871" i="2"/>
  <c r="O871" i="2"/>
  <c r="N871" i="2"/>
  <c r="X871" i="2" s="1"/>
  <c r="M871" i="2"/>
  <c r="L871" i="2"/>
  <c r="V871" i="2" s="1"/>
  <c r="AE870" i="2"/>
  <c r="AD870" i="2"/>
  <c r="AC870" i="2"/>
  <c r="AA870" i="2"/>
  <c r="V870" i="2"/>
  <c r="U870" i="2"/>
  <c r="T870" i="2"/>
  <c r="S870" i="2"/>
  <c r="R870" i="2"/>
  <c r="AB870" i="2" s="1"/>
  <c r="Q870" i="2"/>
  <c r="P870" i="2"/>
  <c r="Z870" i="2" s="1"/>
  <c r="O870" i="2"/>
  <c r="Y870" i="2" s="1"/>
  <c r="N870" i="2"/>
  <c r="X870" i="2" s="1"/>
  <c r="M870" i="2"/>
  <c r="W870" i="2" s="1"/>
  <c r="L870" i="2"/>
  <c r="AE869" i="2"/>
  <c r="Z869" i="2"/>
  <c r="X869" i="2"/>
  <c r="W869" i="2"/>
  <c r="V869" i="2"/>
  <c r="U869" i="2"/>
  <c r="T869" i="2"/>
  <c r="AD869" i="2" s="1"/>
  <c r="S869" i="2"/>
  <c r="AC869" i="2" s="1"/>
  <c r="R869" i="2"/>
  <c r="AB869" i="2" s="1"/>
  <c r="Q869" i="2"/>
  <c r="AA869" i="2" s="1"/>
  <c r="P869" i="2"/>
  <c r="O869" i="2"/>
  <c r="Y869" i="2" s="1"/>
  <c r="N869" i="2"/>
  <c r="M869" i="2"/>
  <c r="L869" i="2"/>
  <c r="AD868" i="2"/>
  <c r="AB868" i="2"/>
  <c r="AA868" i="2"/>
  <c r="Z868" i="2"/>
  <c r="Y868" i="2"/>
  <c r="X868" i="2"/>
  <c r="W868" i="2"/>
  <c r="V868" i="2"/>
  <c r="U868" i="2"/>
  <c r="AE868" i="2" s="1"/>
  <c r="T868" i="2"/>
  <c r="S868" i="2"/>
  <c r="AC868" i="2" s="1"/>
  <c r="R868" i="2"/>
  <c r="Q868" i="2"/>
  <c r="P868" i="2"/>
  <c r="O868" i="2"/>
  <c r="N868" i="2"/>
  <c r="M868" i="2"/>
  <c r="L868" i="2"/>
  <c r="AE867" i="2"/>
  <c r="AD867" i="2"/>
  <c r="AC867" i="2"/>
  <c r="AB867" i="2"/>
  <c r="AA867" i="2"/>
  <c r="Z867" i="2"/>
  <c r="Y867" i="2"/>
  <c r="W867" i="2"/>
  <c r="U867" i="2"/>
  <c r="T867" i="2"/>
  <c r="S867" i="2"/>
  <c r="R867" i="2"/>
  <c r="Q867" i="2"/>
  <c r="P867" i="2"/>
  <c r="O867" i="2"/>
  <c r="N867" i="2"/>
  <c r="X867" i="2" s="1"/>
  <c r="M867" i="2"/>
  <c r="L867" i="2"/>
  <c r="V867" i="2" s="1"/>
  <c r="AE866" i="2"/>
  <c r="AD866" i="2"/>
  <c r="AC866" i="2"/>
  <c r="AA866" i="2"/>
  <c r="V866" i="2"/>
  <c r="U866" i="2"/>
  <c r="T866" i="2"/>
  <c r="S866" i="2"/>
  <c r="R866" i="2"/>
  <c r="AB866" i="2" s="1"/>
  <c r="Q866" i="2"/>
  <c r="P866" i="2"/>
  <c r="Z866" i="2" s="1"/>
  <c r="O866" i="2"/>
  <c r="Y866" i="2" s="1"/>
  <c r="N866" i="2"/>
  <c r="X866" i="2" s="1"/>
  <c r="M866" i="2"/>
  <c r="W866" i="2" s="1"/>
  <c r="L866" i="2"/>
  <c r="AE865" i="2"/>
  <c r="Z865" i="2"/>
  <c r="X865" i="2"/>
  <c r="W865" i="2"/>
  <c r="V865" i="2"/>
  <c r="U865" i="2"/>
  <c r="T865" i="2"/>
  <c r="AD865" i="2" s="1"/>
  <c r="S865" i="2"/>
  <c r="AC865" i="2" s="1"/>
  <c r="R865" i="2"/>
  <c r="AB865" i="2" s="1"/>
  <c r="Q865" i="2"/>
  <c r="AA865" i="2" s="1"/>
  <c r="P865" i="2"/>
  <c r="O865" i="2"/>
  <c r="Y865" i="2" s="1"/>
  <c r="N865" i="2"/>
  <c r="M865" i="2"/>
  <c r="L865" i="2"/>
  <c r="AD864" i="2"/>
  <c r="AB864" i="2"/>
  <c r="AA864" i="2"/>
  <c r="Z864" i="2"/>
  <c r="Y864" i="2"/>
  <c r="X864" i="2"/>
  <c r="W864" i="2"/>
  <c r="V864" i="2"/>
  <c r="U864" i="2"/>
  <c r="AE864" i="2" s="1"/>
  <c r="T864" i="2"/>
  <c r="S864" i="2"/>
  <c r="AC864" i="2" s="1"/>
  <c r="R864" i="2"/>
  <c r="Q864" i="2"/>
  <c r="P864" i="2"/>
  <c r="O864" i="2"/>
  <c r="N864" i="2"/>
  <c r="M864" i="2"/>
  <c r="L864" i="2"/>
  <c r="AE863" i="2"/>
  <c r="AD863" i="2"/>
  <c r="AC863" i="2"/>
  <c r="AB863" i="2"/>
  <c r="AA863" i="2"/>
  <c r="Z863" i="2"/>
  <c r="Y863" i="2"/>
  <c r="W863" i="2"/>
  <c r="U863" i="2"/>
  <c r="T863" i="2"/>
  <c r="S863" i="2"/>
  <c r="R863" i="2"/>
  <c r="Q863" i="2"/>
  <c r="P863" i="2"/>
  <c r="O863" i="2"/>
  <c r="N863" i="2"/>
  <c r="X863" i="2" s="1"/>
  <c r="M863" i="2"/>
  <c r="L863" i="2"/>
  <c r="V863" i="2" s="1"/>
  <c r="AE862" i="2"/>
  <c r="AD862" i="2"/>
  <c r="AC862" i="2"/>
  <c r="AA862" i="2"/>
  <c r="V862" i="2"/>
  <c r="U862" i="2"/>
  <c r="T862" i="2"/>
  <c r="S862" i="2"/>
  <c r="R862" i="2"/>
  <c r="AB862" i="2" s="1"/>
  <c r="Q862" i="2"/>
  <c r="P862" i="2"/>
  <c r="Z862" i="2" s="1"/>
  <c r="O862" i="2"/>
  <c r="Y862" i="2" s="1"/>
  <c r="N862" i="2"/>
  <c r="X862" i="2" s="1"/>
  <c r="M862" i="2"/>
  <c r="W862" i="2" s="1"/>
  <c r="L862" i="2"/>
  <c r="AE861" i="2"/>
  <c r="Z861" i="2"/>
  <c r="X861" i="2"/>
  <c r="W861" i="2"/>
  <c r="V861" i="2"/>
  <c r="U861" i="2"/>
  <c r="T861" i="2"/>
  <c r="AD861" i="2" s="1"/>
  <c r="S861" i="2"/>
  <c r="AC861" i="2" s="1"/>
  <c r="R861" i="2"/>
  <c r="AB861" i="2" s="1"/>
  <c r="Q861" i="2"/>
  <c r="AA861" i="2" s="1"/>
  <c r="P861" i="2"/>
  <c r="O861" i="2"/>
  <c r="Y861" i="2" s="1"/>
  <c r="N861" i="2"/>
  <c r="M861" i="2"/>
  <c r="L861" i="2"/>
  <c r="AD860" i="2"/>
  <c r="AB860" i="2"/>
  <c r="AA860" i="2"/>
  <c r="Z860" i="2"/>
  <c r="Y860" i="2"/>
  <c r="X860" i="2"/>
  <c r="W860" i="2"/>
  <c r="V860" i="2"/>
  <c r="U860" i="2"/>
  <c r="AE860" i="2" s="1"/>
  <c r="T860" i="2"/>
  <c r="S860" i="2"/>
  <c r="AC860" i="2" s="1"/>
  <c r="R860" i="2"/>
  <c r="Q860" i="2"/>
  <c r="P860" i="2"/>
  <c r="O860" i="2"/>
  <c r="N860" i="2"/>
  <c r="M860" i="2"/>
  <c r="L860" i="2"/>
  <c r="AE859" i="2"/>
  <c r="AD859" i="2"/>
  <c r="AC859" i="2"/>
  <c r="AB859" i="2"/>
  <c r="AA859" i="2"/>
  <c r="Z859" i="2"/>
  <c r="Y859" i="2"/>
  <c r="W859" i="2"/>
  <c r="U859" i="2"/>
  <c r="T859" i="2"/>
  <c r="S859" i="2"/>
  <c r="R859" i="2"/>
  <c r="Q859" i="2"/>
  <c r="P859" i="2"/>
  <c r="O859" i="2"/>
  <c r="N859" i="2"/>
  <c r="X859" i="2" s="1"/>
  <c r="M859" i="2"/>
  <c r="L859" i="2"/>
  <c r="V859" i="2" s="1"/>
  <c r="AE858" i="2"/>
  <c r="AD858" i="2"/>
  <c r="AC858" i="2"/>
  <c r="AA858" i="2"/>
  <c r="V858" i="2"/>
  <c r="U858" i="2"/>
  <c r="T858" i="2"/>
  <c r="S858" i="2"/>
  <c r="R858" i="2"/>
  <c r="AB858" i="2" s="1"/>
  <c r="Q858" i="2"/>
  <c r="P858" i="2"/>
  <c r="Z858" i="2" s="1"/>
  <c r="O858" i="2"/>
  <c r="Y858" i="2" s="1"/>
  <c r="N858" i="2"/>
  <c r="X858" i="2" s="1"/>
  <c r="M858" i="2"/>
  <c r="W858" i="2" s="1"/>
  <c r="L858" i="2"/>
  <c r="AE857" i="2"/>
  <c r="Z857" i="2"/>
  <c r="X857" i="2"/>
  <c r="W857" i="2"/>
  <c r="V857" i="2"/>
  <c r="U857" i="2"/>
  <c r="T857" i="2"/>
  <c r="AD857" i="2" s="1"/>
  <c r="S857" i="2"/>
  <c r="AC857" i="2" s="1"/>
  <c r="R857" i="2"/>
  <c r="AB857" i="2" s="1"/>
  <c r="Q857" i="2"/>
  <c r="AA857" i="2" s="1"/>
  <c r="P857" i="2"/>
  <c r="O857" i="2"/>
  <c r="Y857" i="2" s="1"/>
  <c r="N857" i="2"/>
  <c r="M857" i="2"/>
  <c r="L857" i="2"/>
  <c r="AD856" i="2"/>
  <c r="AB856" i="2"/>
  <c r="AA856" i="2"/>
  <c r="Z856" i="2"/>
  <c r="Y856" i="2"/>
  <c r="X856" i="2"/>
  <c r="W856" i="2"/>
  <c r="V856" i="2"/>
  <c r="U856" i="2"/>
  <c r="AE856" i="2" s="1"/>
  <c r="T856" i="2"/>
  <c r="S856" i="2"/>
  <c r="AC856" i="2" s="1"/>
  <c r="R856" i="2"/>
  <c r="Q856" i="2"/>
  <c r="P856" i="2"/>
  <c r="O856" i="2"/>
  <c r="N856" i="2"/>
  <c r="M856" i="2"/>
  <c r="L856" i="2"/>
  <c r="AE855" i="2"/>
  <c r="AD855" i="2"/>
  <c r="AC855" i="2"/>
  <c r="AB855" i="2"/>
  <c r="AA855" i="2"/>
  <c r="Z855" i="2"/>
  <c r="Y855" i="2"/>
  <c r="W855" i="2"/>
  <c r="U855" i="2"/>
  <c r="T855" i="2"/>
  <c r="S855" i="2"/>
  <c r="R855" i="2"/>
  <c r="Q855" i="2"/>
  <c r="P855" i="2"/>
  <c r="O855" i="2"/>
  <c r="N855" i="2"/>
  <c r="X855" i="2" s="1"/>
  <c r="M855" i="2"/>
  <c r="L855" i="2"/>
  <c r="V855" i="2" s="1"/>
  <c r="AE854" i="2"/>
  <c r="AD854" i="2"/>
  <c r="AC854" i="2"/>
  <c r="AA854" i="2"/>
  <c r="V854" i="2"/>
  <c r="U854" i="2"/>
  <c r="T854" i="2"/>
  <c r="S854" i="2"/>
  <c r="R854" i="2"/>
  <c r="AB854" i="2" s="1"/>
  <c r="Q854" i="2"/>
  <c r="P854" i="2"/>
  <c r="Z854" i="2" s="1"/>
  <c r="O854" i="2"/>
  <c r="Y854" i="2" s="1"/>
  <c r="N854" i="2"/>
  <c r="X854" i="2" s="1"/>
  <c r="M854" i="2"/>
  <c r="W854" i="2" s="1"/>
  <c r="L854" i="2"/>
  <c r="AE853" i="2"/>
  <c r="Z853" i="2"/>
  <c r="X853" i="2"/>
  <c r="W853" i="2"/>
  <c r="V853" i="2"/>
  <c r="U853" i="2"/>
  <c r="T853" i="2"/>
  <c r="AD853" i="2" s="1"/>
  <c r="S853" i="2"/>
  <c r="AC853" i="2" s="1"/>
  <c r="R853" i="2"/>
  <c r="AB853" i="2" s="1"/>
  <c r="Q853" i="2"/>
  <c r="AA853" i="2" s="1"/>
  <c r="P853" i="2"/>
  <c r="O853" i="2"/>
  <c r="Y853" i="2" s="1"/>
  <c r="N853" i="2"/>
  <c r="M853" i="2"/>
  <c r="L853" i="2"/>
  <c r="AD852" i="2"/>
  <c r="AB852" i="2"/>
  <c r="AA852" i="2"/>
  <c r="Z852" i="2"/>
  <c r="Y852" i="2"/>
  <c r="X852" i="2"/>
  <c r="W852" i="2"/>
  <c r="V852" i="2"/>
  <c r="U852" i="2"/>
  <c r="AE852" i="2" s="1"/>
  <c r="T852" i="2"/>
  <c r="S852" i="2"/>
  <c r="AC852" i="2" s="1"/>
  <c r="R852" i="2"/>
  <c r="Q852" i="2"/>
  <c r="P852" i="2"/>
  <c r="O852" i="2"/>
  <c r="N852" i="2"/>
  <c r="M852" i="2"/>
  <c r="L852" i="2"/>
  <c r="AE851" i="2"/>
  <c r="AD851" i="2"/>
  <c r="AC851" i="2"/>
  <c r="AB851" i="2"/>
  <c r="AA851" i="2"/>
  <c r="Z851" i="2"/>
  <c r="Y851" i="2"/>
  <c r="W851" i="2"/>
  <c r="U851" i="2"/>
  <c r="T851" i="2"/>
  <c r="S851" i="2"/>
  <c r="R851" i="2"/>
  <c r="Q851" i="2"/>
  <c r="P851" i="2"/>
  <c r="O851" i="2"/>
  <c r="N851" i="2"/>
  <c r="X851" i="2" s="1"/>
  <c r="M851" i="2"/>
  <c r="L851" i="2"/>
  <c r="V851" i="2" s="1"/>
  <c r="AE850" i="2"/>
  <c r="AD850" i="2"/>
  <c r="AC850" i="2"/>
  <c r="AA850" i="2"/>
  <c r="V850" i="2"/>
  <c r="U850" i="2"/>
  <c r="T850" i="2"/>
  <c r="S850" i="2"/>
  <c r="R850" i="2"/>
  <c r="AB850" i="2" s="1"/>
  <c r="Q850" i="2"/>
  <c r="P850" i="2"/>
  <c r="Z850" i="2" s="1"/>
  <c r="O850" i="2"/>
  <c r="Y850" i="2" s="1"/>
  <c r="N850" i="2"/>
  <c r="X850" i="2" s="1"/>
  <c r="M850" i="2"/>
  <c r="W850" i="2" s="1"/>
  <c r="L850" i="2"/>
  <c r="AE849" i="2"/>
  <c r="Z849" i="2"/>
  <c r="X849" i="2"/>
  <c r="W849" i="2"/>
  <c r="V849" i="2"/>
  <c r="U849" i="2"/>
  <c r="T849" i="2"/>
  <c r="AD849" i="2" s="1"/>
  <c r="S849" i="2"/>
  <c r="AC849" i="2" s="1"/>
  <c r="R849" i="2"/>
  <c r="AB849" i="2" s="1"/>
  <c r="Q849" i="2"/>
  <c r="AA849" i="2" s="1"/>
  <c r="P849" i="2"/>
  <c r="O849" i="2"/>
  <c r="Y849" i="2" s="1"/>
  <c r="N849" i="2"/>
  <c r="M849" i="2"/>
  <c r="L849" i="2"/>
  <c r="AD848" i="2"/>
  <c r="AB848" i="2"/>
  <c r="AA848" i="2"/>
  <c r="Z848" i="2"/>
  <c r="Y848" i="2"/>
  <c r="X848" i="2"/>
  <c r="W848" i="2"/>
  <c r="V848" i="2"/>
  <c r="U848" i="2"/>
  <c r="AE848" i="2" s="1"/>
  <c r="T848" i="2"/>
  <c r="S848" i="2"/>
  <c r="AC848" i="2" s="1"/>
  <c r="R848" i="2"/>
  <c r="Q848" i="2"/>
  <c r="P848" i="2"/>
  <c r="O848" i="2"/>
  <c r="N848" i="2"/>
  <c r="M848" i="2"/>
  <c r="L848" i="2"/>
  <c r="AE847" i="2"/>
  <c r="AD847" i="2"/>
  <c r="AC847" i="2"/>
  <c r="AB847" i="2"/>
  <c r="AA847" i="2"/>
  <c r="Z847" i="2"/>
  <c r="Y847" i="2"/>
  <c r="W847" i="2"/>
  <c r="U847" i="2"/>
  <c r="T847" i="2"/>
  <c r="S847" i="2"/>
  <c r="R847" i="2"/>
  <c r="Q847" i="2"/>
  <c r="P847" i="2"/>
  <c r="O847" i="2"/>
  <c r="N847" i="2"/>
  <c r="X847" i="2" s="1"/>
  <c r="M847" i="2"/>
  <c r="L847" i="2"/>
  <c r="V847" i="2" s="1"/>
  <c r="AE846" i="2"/>
  <c r="AD846" i="2"/>
  <c r="AC846" i="2"/>
  <c r="AA846" i="2"/>
  <c r="V846" i="2"/>
  <c r="U846" i="2"/>
  <c r="T846" i="2"/>
  <c r="S846" i="2"/>
  <c r="R846" i="2"/>
  <c r="AB846" i="2" s="1"/>
  <c r="Q846" i="2"/>
  <c r="P846" i="2"/>
  <c r="Z846" i="2" s="1"/>
  <c r="O846" i="2"/>
  <c r="Y846" i="2" s="1"/>
  <c r="N846" i="2"/>
  <c r="X846" i="2" s="1"/>
  <c r="M846" i="2"/>
  <c r="W846" i="2" s="1"/>
  <c r="L846" i="2"/>
  <c r="AE845" i="2"/>
  <c r="Z845" i="2"/>
  <c r="X845" i="2"/>
  <c r="W845" i="2"/>
  <c r="V845" i="2"/>
  <c r="U845" i="2"/>
  <c r="T845" i="2"/>
  <c r="AD845" i="2" s="1"/>
  <c r="S845" i="2"/>
  <c r="AC845" i="2" s="1"/>
  <c r="R845" i="2"/>
  <c r="AB845" i="2" s="1"/>
  <c r="Q845" i="2"/>
  <c r="AA845" i="2" s="1"/>
  <c r="P845" i="2"/>
  <c r="O845" i="2"/>
  <c r="Y845" i="2" s="1"/>
  <c r="N845" i="2"/>
  <c r="M845" i="2"/>
  <c r="L845" i="2"/>
  <c r="AD844" i="2"/>
  <c r="AB844" i="2"/>
  <c r="AA844" i="2"/>
  <c r="Z844" i="2"/>
  <c r="Y844" i="2"/>
  <c r="X844" i="2"/>
  <c r="W844" i="2"/>
  <c r="V844" i="2"/>
  <c r="U844" i="2"/>
  <c r="AE844" i="2" s="1"/>
  <c r="T844" i="2"/>
  <c r="S844" i="2"/>
  <c r="AC844" i="2" s="1"/>
  <c r="R844" i="2"/>
  <c r="Q844" i="2"/>
  <c r="P844" i="2"/>
  <c r="O844" i="2"/>
  <c r="N844" i="2"/>
  <c r="M844" i="2"/>
  <c r="L844" i="2"/>
  <c r="AE843" i="2"/>
  <c r="AD843" i="2"/>
  <c r="AC843" i="2"/>
  <c r="AB843" i="2"/>
  <c r="AA843" i="2"/>
  <c r="Z843" i="2"/>
  <c r="Y843" i="2"/>
  <c r="W843" i="2"/>
  <c r="U843" i="2"/>
  <c r="T843" i="2"/>
  <c r="S843" i="2"/>
  <c r="R843" i="2"/>
  <c r="Q843" i="2"/>
  <c r="P843" i="2"/>
  <c r="O843" i="2"/>
  <c r="N843" i="2"/>
  <c r="X843" i="2" s="1"/>
  <c r="M843" i="2"/>
  <c r="L843" i="2"/>
  <c r="V843" i="2" s="1"/>
  <c r="AE842" i="2"/>
  <c r="AD842" i="2"/>
  <c r="AC842" i="2"/>
  <c r="AA842" i="2"/>
  <c r="V842" i="2"/>
  <c r="U842" i="2"/>
  <c r="T842" i="2"/>
  <c r="S842" i="2"/>
  <c r="R842" i="2"/>
  <c r="AB842" i="2" s="1"/>
  <c r="Q842" i="2"/>
  <c r="P842" i="2"/>
  <c r="Z842" i="2" s="1"/>
  <c r="O842" i="2"/>
  <c r="Y842" i="2" s="1"/>
  <c r="N842" i="2"/>
  <c r="X842" i="2" s="1"/>
  <c r="M842" i="2"/>
  <c r="W842" i="2" s="1"/>
  <c r="L842" i="2"/>
  <c r="AE841" i="2"/>
  <c r="Z841" i="2"/>
  <c r="X841" i="2"/>
  <c r="W841" i="2"/>
  <c r="V841" i="2"/>
  <c r="U841" i="2"/>
  <c r="T841" i="2"/>
  <c r="AD841" i="2" s="1"/>
  <c r="S841" i="2"/>
  <c r="AC841" i="2" s="1"/>
  <c r="R841" i="2"/>
  <c r="AB841" i="2" s="1"/>
  <c r="Q841" i="2"/>
  <c r="AA841" i="2" s="1"/>
  <c r="P841" i="2"/>
  <c r="O841" i="2"/>
  <c r="Y841" i="2" s="1"/>
  <c r="N841" i="2"/>
  <c r="M841" i="2"/>
  <c r="L841" i="2"/>
  <c r="AD840" i="2"/>
  <c r="AB840" i="2"/>
  <c r="AA840" i="2"/>
  <c r="Z840" i="2"/>
  <c r="Y840" i="2"/>
  <c r="X840" i="2"/>
  <c r="W840" i="2"/>
  <c r="V840" i="2"/>
  <c r="U840" i="2"/>
  <c r="AE840" i="2" s="1"/>
  <c r="T840" i="2"/>
  <c r="S840" i="2"/>
  <c r="AC840" i="2" s="1"/>
  <c r="R840" i="2"/>
  <c r="Q840" i="2"/>
  <c r="P840" i="2"/>
  <c r="O840" i="2"/>
  <c r="N840" i="2"/>
  <c r="M840" i="2"/>
  <c r="L840" i="2"/>
  <c r="AE839" i="2"/>
  <c r="AD839" i="2"/>
  <c r="AC839" i="2"/>
  <c r="AB839" i="2"/>
  <c r="AA839" i="2"/>
  <c r="Z839" i="2"/>
  <c r="Y839" i="2"/>
  <c r="W839" i="2"/>
  <c r="U839" i="2"/>
  <c r="T839" i="2"/>
  <c r="S839" i="2"/>
  <c r="R839" i="2"/>
  <c r="Q839" i="2"/>
  <c r="P839" i="2"/>
  <c r="O839" i="2"/>
  <c r="N839" i="2"/>
  <c r="X839" i="2" s="1"/>
  <c r="M839" i="2"/>
  <c r="L839" i="2"/>
  <c r="V839" i="2" s="1"/>
  <c r="AE838" i="2"/>
  <c r="AD838" i="2"/>
  <c r="AC838" i="2"/>
  <c r="AA838" i="2"/>
  <c r="V838" i="2"/>
  <c r="U838" i="2"/>
  <c r="T838" i="2"/>
  <c r="S838" i="2"/>
  <c r="R838" i="2"/>
  <c r="AB838" i="2" s="1"/>
  <c r="Q838" i="2"/>
  <c r="P838" i="2"/>
  <c r="Z838" i="2" s="1"/>
  <c r="O838" i="2"/>
  <c r="Y838" i="2" s="1"/>
  <c r="N838" i="2"/>
  <c r="X838" i="2" s="1"/>
  <c r="M838" i="2"/>
  <c r="W838" i="2" s="1"/>
  <c r="L838" i="2"/>
  <c r="AE837" i="2"/>
  <c r="Z837" i="2"/>
  <c r="X837" i="2"/>
  <c r="W837" i="2"/>
  <c r="V837" i="2"/>
  <c r="U837" i="2"/>
  <c r="T837" i="2"/>
  <c r="AD837" i="2" s="1"/>
  <c r="S837" i="2"/>
  <c r="AC837" i="2" s="1"/>
  <c r="R837" i="2"/>
  <c r="AB837" i="2" s="1"/>
  <c r="Q837" i="2"/>
  <c r="AA837" i="2" s="1"/>
  <c r="P837" i="2"/>
  <c r="O837" i="2"/>
  <c r="Y837" i="2" s="1"/>
  <c r="N837" i="2"/>
  <c r="M837" i="2"/>
  <c r="L837" i="2"/>
  <c r="AD836" i="2"/>
  <c r="AB836" i="2"/>
  <c r="AA836" i="2"/>
  <c r="Z836" i="2"/>
  <c r="Y836" i="2"/>
  <c r="X836" i="2"/>
  <c r="W836" i="2"/>
  <c r="V836" i="2"/>
  <c r="U836" i="2"/>
  <c r="AE836" i="2" s="1"/>
  <c r="T836" i="2"/>
  <c r="S836" i="2"/>
  <c r="AC836" i="2" s="1"/>
  <c r="R836" i="2"/>
  <c r="Q836" i="2"/>
  <c r="P836" i="2"/>
  <c r="O836" i="2"/>
  <c r="N836" i="2"/>
  <c r="M836" i="2"/>
  <c r="L836" i="2"/>
  <c r="AE835" i="2"/>
  <c r="AD835" i="2"/>
  <c r="AC835" i="2"/>
  <c r="AB835" i="2"/>
  <c r="AA835" i="2"/>
  <c r="Z835" i="2"/>
  <c r="Y835" i="2"/>
  <c r="W835" i="2"/>
  <c r="U835" i="2"/>
  <c r="T835" i="2"/>
  <c r="S835" i="2"/>
  <c r="R835" i="2"/>
  <c r="Q835" i="2"/>
  <c r="P835" i="2"/>
  <c r="O835" i="2"/>
  <c r="N835" i="2"/>
  <c r="X835" i="2" s="1"/>
  <c r="M835" i="2"/>
  <c r="L835" i="2"/>
  <c r="V835" i="2" s="1"/>
  <c r="AE834" i="2"/>
  <c r="AD834" i="2"/>
  <c r="AC834" i="2"/>
  <c r="AA834" i="2"/>
  <c r="V834" i="2"/>
  <c r="U834" i="2"/>
  <c r="T834" i="2"/>
  <c r="S834" i="2"/>
  <c r="R834" i="2"/>
  <c r="AB834" i="2" s="1"/>
  <c r="Q834" i="2"/>
  <c r="P834" i="2"/>
  <c r="Z834" i="2" s="1"/>
  <c r="O834" i="2"/>
  <c r="Y834" i="2" s="1"/>
  <c r="N834" i="2"/>
  <c r="X834" i="2" s="1"/>
  <c r="M834" i="2"/>
  <c r="W834" i="2" s="1"/>
  <c r="L834" i="2"/>
  <c r="AE833" i="2"/>
  <c r="Z833" i="2"/>
  <c r="X833" i="2"/>
  <c r="W833" i="2"/>
  <c r="V833" i="2"/>
  <c r="U833" i="2"/>
  <c r="T833" i="2"/>
  <c r="AD833" i="2" s="1"/>
  <c r="S833" i="2"/>
  <c r="AC833" i="2" s="1"/>
  <c r="R833" i="2"/>
  <c r="AB833" i="2" s="1"/>
  <c r="Q833" i="2"/>
  <c r="AA833" i="2" s="1"/>
  <c r="P833" i="2"/>
  <c r="O833" i="2"/>
  <c r="Y833" i="2" s="1"/>
  <c r="N833" i="2"/>
  <c r="M833" i="2"/>
  <c r="L833" i="2"/>
  <c r="AD832" i="2"/>
  <c r="AB832" i="2"/>
  <c r="AA832" i="2"/>
  <c r="Z832" i="2"/>
  <c r="Y832" i="2"/>
  <c r="X832" i="2"/>
  <c r="W832" i="2"/>
  <c r="V832" i="2"/>
  <c r="U832" i="2"/>
  <c r="AE832" i="2" s="1"/>
  <c r="T832" i="2"/>
  <c r="S832" i="2"/>
  <c r="AC832" i="2" s="1"/>
  <c r="R832" i="2"/>
  <c r="Q832" i="2"/>
  <c r="P832" i="2"/>
  <c r="O832" i="2"/>
  <c r="N832" i="2"/>
  <c r="M832" i="2"/>
  <c r="L832" i="2"/>
  <c r="AE831" i="2"/>
  <c r="AC831" i="2"/>
  <c r="AB831" i="2"/>
  <c r="AA831" i="2"/>
  <c r="Z831" i="2"/>
  <c r="Y831" i="2"/>
  <c r="W831" i="2"/>
  <c r="U831" i="2"/>
  <c r="T831" i="2"/>
  <c r="AD831" i="2" s="1"/>
  <c r="S831" i="2"/>
  <c r="R831" i="2"/>
  <c r="Q831" i="2"/>
  <c r="P831" i="2"/>
  <c r="O831" i="2"/>
  <c r="N831" i="2"/>
  <c r="X831" i="2" s="1"/>
  <c r="M831" i="2"/>
  <c r="L831" i="2"/>
  <c r="V831" i="2" s="1"/>
  <c r="AE830" i="2"/>
  <c r="AD830" i="2"/>
  <c r="AC830" i="2"/>
  <c r="AA830" i="2"/>
  <c r="V830" i="2"/>
  <c r="U830" i="2"/>
  <c r="T830" i="2"/>
  <c r="S830" i="2"/>
  <c r="R830" i="2"/>
  <c r="AB830" i="2" s="1"/>
  <c r="Q830" i="2"/>
  <c r="P830" i="2"/>
  <c r="Z830" i="2" s="1"/>
  <c r="O830" i="2"/>
  <c r="Y830" i="2" s="1"/>
  <c r="N830" i="2"/>
  <c r="X830" i="2" s="1"/>
  <c r="M830" i="2"/>
  <c r="W830" i="2" s="1"/>
  <c r="L830" i="2"/>
  <c r="AE829" i="2"/>
  <c r="Z829" i="2"/>
  <c r="X829" i="2"/>
  <c r="W829" i="2"/>
  <c r="V829" i="2"/>
  <c r="U829" i="2"/>
  <c r="T829" i="2"/>
  <c r="AD829" i="2" s="1"/>
  <c r="S829" i="2"/>
  <c r="AC829" i="2" s="1"/>
  <c r="R829" i="2"/>
  <c r="AB829" i="2" s="1"/>
  <c r="Q829" i="2"/>
  <c r="AA829" i="2" s="1"/>
  <c r="P829" i="2"/>
  <c r="O829" i="2"/>
  <c r="Y829" i="2" s="1"/>
  <c r="N829" i="2"/>
  <c r="M829" i="2"/>
  <c r="L829" i="2"/>
  <c r="AD828" i="2"/>
  <c r="AB828" i="2"/>
  <c r="AA828" i="2"/>
  <c r="Z828" i="2"/>
  <c r="Y828" i="2"/>
  <c r="X828" i="2"/>
  <c r="W828" i="2"/>
  <c r="V828" i="2"/>
  <c r="U828" i="2"/>
  <c r="AE828" i="2" s="1"/>
  <c r="T828" i="2"/>
  <c r="S828" i="2"/>
  <c r="AC828" i="2" s="1"/>
  <c r="R828" i="2"/>
  <c r="Q828" i="2"/>
  <c r="P828" i="2"/>
  <c r="O828" i="2"/>
  <c r="N828" i="2"/>
  <c r="M828" i="2"/>
  <c r="L828" i="2"/>
  <c r="AE827" i="2"/>
  <c r="AC827" i="2"/>
  <c r="AB827" i="2"/>
  <c r="AA827" i="2"/>
  <c r="Z827" i="2"/>
  <c r="Y827" i="2"/>
  <c r="W827" i="2"/>
  <c r="U827" i="2"/>
  <c r="T827" i="2"/>
  <c r="AD827" i="2" s="1"/>
  <c r="S827" i="2"/>
  <c r="R827" i="2"/>
  <c r="Q827" i="2"/>
  <c r="P827" i="2"/>
  <c r="O827" i="2"/>
  <c r="N827" i="2"/>
  <c r="X827" i="2" s="1"/>
  <c r="M827" i="2"/>
  <c r="L827" i="2"/>
  <c r="V827" i="2" s="1"/>
  <c r="AE826" i="2"/>
  <c r="AD826" i="2"/>
  <c r="AC826" i="2"/>
  <c r="AA826" i="2"/>
  <c r="V826" i="2"/>
  <c r="U826" i="2"/>
  <c r="T826" i="2"/>
  <c r="S826" i="2"/>
  <c r="R826" i="2"/>
  <c r="AB826" i="2" s="1"/>
  <c r="Q826" i="2"/>
  <c r="P826" i="2"/>
  <c r="Z826" i="2" s="1"/>
  <c r="O826" i="2"/>
  <c r="Y826" i="2" s="1"/>
  <c r="N826" i="2"/>
  <c r="X826" i="2" s="1"/>
  <c r="M826" i="2"/>
  <c r="W826" i="2" s="1"/>
  <c r="L826" i="2"/>
  <c r="AE825" i="2"/>
  <c r="Z825" i="2"/>
  <c r="X825" i="2"/>
  <c r="W825" i="2"/>
  <c r="V825" i="2"/>
  <c r="U825" i="2"/>
  <c r="T825" i="2"/>
  <c r="AD825" i="2" s="1"/>
  <c r="S825" i="2"/>
  <c r="AC825" i="2" s="1"/>
  <c r="R825" i="2"/>
  <c r="AB825" i="2" s="1"/>
  <c r="Q825" i="2"/>
  <c r="AA825" i="2" s="1"/>
  <c r="P825" i="2"/>
  <c r="O825" i="2"/>
  <c r="Y825" i="2" s="1"/>
  <c r="N825" i="2"/>
  <c r="M825" i="2"/>
  <c r="L825" i="2"/>
  <c r="AD824" i="2"/>
  <c r="AB824" i="2"/>
  <c r="Z824" i="2"/>
  <c r="Y824" i="2"/>
  <c r="X824" i="2"/>
  <c r="W824" i="2"/>
  <c r="V824" i="2"/>
  <c r="U824" i="2"/>
  <c r="AE824" i="2" s="1"/>
  <c r="T824" i="2"/>
  <c r="S824" i="2"/>
  <c r="AC824" i="2" s="1"/>
  <c r="R824" i="2"/>
  <c r="Q824" i="2"/>
  <c r="AA824" i="2" s="1"/>
  <c r="P824" i="2"/>
  <c r="O824" i="2"/>
  <c r="N824" i="2"/>
  <c r="M824" i="2"/>
  <c r="L824" i="2"/>
  <c r="AD823" i="2"/>
  <c r="AC823" i="2"/>
  <c r="AB823" i="2"/>
  <c r="AA823" i="2"/>
  <c r="Z823" i="2"/>
  <c r="Y823" i="2"/>
  <c r="W823" i="2"/>
  <c r="U823" i="2"/>
  <c r="AE823" i="2" s="1"/>
  <c r="T823" i="2"/>
  <c r="S823" i="2"/>
  <c r="R823" i="2"/>
  <c r="Q823" i="2"/>
  <c r="P823" i="2"/>
  <c r="O823" i="2"/>
  <c r="N823" i="2"/>
  <c r="X823" i="2" s="1"/>
  <c r="M823" i="2"/>
  <c r="L823" i="2"/>
  <c r="V823" i="2" s="1"/>
  <c r="AE822" i="2"/>
  <c r="AD822" i="2"/>
  <c r="AC822" i="2"/>
  <c r="AA822" i="2"/>
  <c r="V822" i="2"/>
  <c r="U822" i="2"/>
  <c r="T822" i="2"/>
  <c r="S822" i="2"/>
  <c r="R822" i="2"/>
  <c r="AB822" i="2" s="1"/>
  <c r="Q822" i="2"/>
  <c r="P822" i="2"/>
  <c r="Z822" i="2" s="1"/>
  <c r="O822" i="2"/>
  <c r="Y822" i="2" s="1"/>
  <c r="N822" i="2"/>
  <c r="X822" i="2" s="1"/>
  <c r="M822" i="2"/>
  <c r="W822" i="2" s="1"/>
  <c r="L822" i="2"/>
  <c r="AE821" i="2"/>
  <c r="Z821" i="2"/>
  <c r="X821" i="2"/>
  <c r="W821" i="2"/>
  <c r="V821" i="2"/>
  <c r="U821" i="2"/>
  <c r="T821" i="2"/>
  <c r="AD821" i="2" s="1"/>
  <c r="S821" i="2"/>
  <c r="AC821" i="2" s="1"/>
  <c r="R821" i="2"/>
  <c r="AB821" i="2" s="1"/>
  <c r="Q821" i="2"/>
  <c r="AA821" i="2" s="1"/>
  <c r="P821" i="2"/>
  <c r="O821" i="2"/>
  <c r="Y821" i="2" s="1"/>
  <c r="N821" i="2"/>
  <c r="M821" i="2"/>
  <c r="L821" i="2"/>
  <c r="AD820" i="2"/>
  <c r="AB820" i="2"/>
  <c r="AA820" i="2"/>
  <c r="Z820" i="2"/>
  <c r="Y820" i="2"/>
  <c r="X820" i="2"/>
  <c r="W820" i="2"/>
  <c r="V820" i="2"/>
  <c r="U820" i="2"/>
  <c r="AE820" i="2" s="1"/>
  <c r="T820" i="2"/>
  <c r="S820" i="2"/>
  <c r="AC820" i="2" s="1"/>
  <c r="R820" i="2"/>
  <c r="Q820" i="2"/>
  <c r="P820" i="2"/>
  <c r="O820" i="2"/>
  <c r="N820" i="2"/>
  <c r="M820" i="2"/>
  <c r="L820" i="2"/>
  <c r="AE819" i="2"/>
  <c r="AD819" i="2"/>
  <c r="AC819" i="2"/>
  <c r="AB819" i="2"/>
  <c r="AA819" i="2"/>
  <c r="Z819" i="2"/>
  <c r="Y819" i="2"/>
  <c r="W819" i="2"/>
  <c r="U819" i="2"/>
  <c r="T819" i="2"/>
  <c r="S819" i="2"/>
  <c r="R819" i="2"/>
  <c r="Q819" i="2"/>
  <c r="P819" i="2"/>
  <c r="O819" i="2"/>
  <c r="N819" i="2"/>
  <c r="X819" i="2" s="1"/>
  <c r="M819" i="2"/>
  <c r="L819" i="2"/>
  <c r="V819" i="2" s="1"/>
  <c r="AE818" i="2"/>
  <c r="AD818" i="2"/>
  <c r="AC818" i="2"/>
  <c r="AA818" i="2"/>
  <c r="V818" i="2"/>
  <c r="U818" i="2"/>
  <c r="T818" i="2"/>
  <c r="S818" i="2"/>
  <c r="R818" i="2"/>
  <c r="AB818" i="2" s="1"/>
  <c r="Q818" i="2"/>
  <c r="P818" i="2"/>
  <c r="Z818" i="2" s="1"/>
  <c r="O818" i="2"/>
  <c r="Y818" i="2" s="1"/>
  <c r="N818" i="2"/>
  <c r="X818" i="2" s="1"/>
  <c r="M818" i="2"/>
  <c r="W818" i="2" s="1"/>
  <c r="L818" i="2"/>
  <c r="AE817" i="2"/>
  <c r="Z817" i="2"/>
  <c r="X817" i="2"/>
  <c r="W817" i="2"/>
  <c r="V817" i="2"/>
  <c r="U817" i="2"/>
  <c r="T817" i="2"/>
  <c r="AD817" i="2" s="1"/>
  <c r="S817" i="2"/>
  <c r="AC817" i="2" s="1"/>
  <c r="R817" i="2"/>
  <c r="AB817" i="2" s="1"/>
  <c r="Q817" i="2"/>
  <c r="AA817" i="2" s="1"/>
  <c r="P817" i="2"/>
  <c r="O817" i="2"/>
  <c r="Y817" i="2" s="1"/>
  <c r="N817" i="2"/>
  <c r="M817" i="2"/>
  <c r="L817" i="2"/>
  <c r="AD816" i="2"/>
  <c r="AB816" i="2"/>
  <c r="AA816" i="2"/>
  <c r="Z816" i="2"/>
  <c r="Y816" i="2"/>
  <c r="X816" i="2"/>
  <c r="W816" i="2"/>
  <c r="V816" i="2"/>
  <c r="U816" i="2"/>
  <c r="AE816" i="2" s="1"/>
  <c r="T816" i="2"/>
  <c r="S816" i="2"/>
  <c r="AC816" i="2" s="1"/>
  <c r="R816" i="2"/>
  <c r="Q816" i="2"/>
  <c r="P816" i="2"/>
  <c r="O816" i="2"/>
  <c r="N816" i="2"/>
  <c r="M816" i="2"/>
  <c r="L816" i="2"/>
  <c r="AE815" i="2"/>
  <c r="AD815" i="2"/>
  <c r="AC815" i="2"/>
  <c r="AB815" i="2"/>
  <c r="AA815" i="2"/>
  <c r="Z815" i="2"/>
  <c r="Y815" i="2"/>
  <c r="W815" i="2"/>
  <c r="U815" i="2"/>
  <c r="T815" i="2"/>
  <c r="S815" i="2"/>
  <c r="R815" i="2"/>
  <c r="Q815" i="2"/>
  <c r="P815" i="2"/>
  <c r="O815" i="2"/>
  <c r="N815" i="2"/>
  <c r="X815" i="2" s="1"/>
  <c r="M815" i="2"/>
  <c r="L815" i="2"/>
  <c r="V815" i="2" s="1"/>
  <c r="AE814" i="2"/>
  <c r="AD814" i="2"/>
  <c r="AC814" i="2"/>
  <c r="AA814" i="2"/>
  <c r="V814" i="2"/>
  <c r="U814" i="2"/>
  <c r="T814" i="2"/>
  <c r="S814" i="2"/>
  <c r="R814" i="2"/>
  <c r="AB814" i="2" s="1"/>
  <c r="Q814" i="2"/>
  <c r="P814" i="2"/>
  <c r="Z814" i="2" s="1"/>
  <c r="O814" i="2"/>
  <c r="Y814" i="2" s="1"/>
  <c r="N814" i="2"/>
  <c r="X814" i="2" s="1"/>
  <c r="M814" i="2"/>
  <c r="W814" i="2" s="1"/>
  <c r="L814" i="2"/>
  <c r="AE813" i="2"/>
  <c r="Z813" i="2"/>
  <c r="X813" i="2"/>
  <c r="W813" i="2"/>
  <c r="V813" i="2"/>
  <c r="U813" i="2"/>
  <c r="T813" i="2"/>
  <c r="AD813" i="2" s="1"/>
  <c r="S813" i="2"/>
  <c r="AC813" i="2" s="1"/>
  <c r="R813" i="2"/>
  <c r="AB813" i="2" s="1"/>
  <c r="Q813" i="2"/>
  <c r="AA813" i="2" s="1"/>
  <c r="P813" i="2"/>
  <c r="O813" i="2"/>
  <c r="Y813" i="2" s="1"/>
  <c r="N813" i="2"/>
  <c r="M813" i="2"/>
  <c r="L813" i="2"/>
  <c r="AD812" i="2"/>
  <c r="AB812" i="2"/>
  <c r="AA812" i="2"/>
  <c r="Z812" i="2"/>
  <c r="Y812" i="2"/>
  <c r="X812" i="2"/>
  <c r="W812" i="2"/>
  <c r="V812" i="2"/>
  <c r="U812" i="2"/>
  <c r="AE812" i="2" s="1"/>
  <c r="T812" i="2"/>
  <c r="S812" i="2"/>
  <c r="AC812" i="2" s="1"/>
  <c r="R812" i="2"/>
  <c r="Q812" i="2"/>
  <c r="P812" i="2"/>
  <c r="O812" i="2"/>
  <c r="N812" i="2"/>
  <c r="M812" i="2"/>
  <c r="L812" i="2"/>
  <c r="AE811" i="2"/>
  <c r="AD811" i="2"/>
  <c r="AC811" i="2"/>
  <c r="AB811" i="2"/>
  <c r="AA811" i="2"/>
  <c r="Z811" i="2"/>
  <c r="Y811" i="2"/>
  <c r="W811" i="2"/>
  <c r="U811" i="2"/>
  <c r="T811" i="2"/>
  <c r="S811" i="2"/>
  <c r="R811" i="2"/>
  <c r="Q811" i="2"/>
  <c r="P811" i="2"/>
  <c r="O811" i="2"/>
  <c r="N811" i="2"/>
  <c r="X811" i="2" s="1"/>
  <c r="M811" i="2"/>
  <c r="L811" i="2"/>
  <c r="V811" i="2" s="1"/>
  <c r="AE810" i="2"/>
  <c r="AD810" i="2"/>
  <c r="AC810" i="2"/>
  <c r="AA810" i="2"/>
  <c r="V810" i="2"/>
  <c r="U810" i="2"/>
  <c r="T810" i="2"/>
  <c r="S810" i="2"/>
  <c r="R810" i="2"/>
  <c r="AB810" i="2" s="1"/>
  <c r="Q810" i="2"/>
  <c r="P810" i="2"/>
  <c r="Z810" i="2" s="1"/>
  <c r="O810" i="2"/>
  <c r="Y810" i="2" s="1"/>
  <c r="N810" i="2"/>
  <c r="X810" i="2" s="1"/>
  <c r="M810" i="2"/>
  <c r="W810" i="2" s="1"/>
  <c r="L810" i="2"/>
  <c r="AE809" i="2"/>
  <c r="Z809" i="2"/>
  <c r="X809" i="2"/>
  <c r="W809" i="2"/>
  <c r="V809" i="2"/>
  <c r="U809" i="2"/>
  <c r="T809" i="2"/>
  <c r="AD809" i="2" s="1"/>
  <c r="S809" i="2"/>
  <c r="AC809" i="2" s="1"/>
  <c r="R809" i="2"/>
  <c r="AB809" i="2" s="1"/>
  <c r="Q809" i="2"/>
  <c r="AA809" i="2" s="1"/>
  <c r="P809" i="2"/>
  <c r="O809" i="2"/>
  <c r="Y809" i="2" s="1"/>
  <c r="N809" i="2"/>
  <c r="M809" i="2"/>
  <c r="L809" i="2"/>
  <c r="AD808" i="2"/>
  <c r="AB808" i="2"/>
  <c r="AA808" i="2"/>
  <c r="Z808" i="2"/>
  <c r="Y808" i="2"/>
  <c r="X808" i="2"/>
  <c r="W808" i="2"/>
  <c r="V808" i="2"/>
  <c r="U808" i="2"/>
  <c r="AE808" i="2" s="1"/>
  <c r="T808" i="2"/>
  <c r="S808" i="2"/>
  <c r="AC808" i="2" s="1"/>
  <c r="R808" i="2"/>
  <c r="Q808" i="2"/>
  <c r="P808" i="2"/>
  <c r="O808" i="2"/>
  <c r="N808" i="2"/>
  <c r="M808" i="2"/>
  <c r="L808" i="2"/>
  <c r="AE807" i="2"/>
  <c r="AD807" i="2"/>
  <c r="AC807" i="2"/>
  <c r="AB807" i="2"/>
  <c r="AA807" i="2"/>
  <c r="Z807" i="2"/>
  <c r="Y807" i="2"/>
  <c r="W807" i="2"/>
  <c r="U807" i="2"/>
  <c r="T807" i="2"/>
  <c r="S807" i="2"/>
  <c r="R807" i="2"/>
  <c r="Q807" i="2"/>
  <c r="P807" i="2"/>
  <c r="O807" i="2"/>
  <c r="N807" i="2"/>
  <c r="X807" i="2" s="1"/>
  <c r="M807" i="2"/>
  <c r="L807" i="2"/>
  <c r="V807" i="2" s="1"/>
  <c r="AE806" i="2"/>
  <c r="AD806" i="2"/>
  <c r="AC806" i="2"/>
  <c r="AA806" i="2"/>
  <c r="V806" i="2"/>
  <c r="U806" i="2"/>
  <c r="T806" i="2"/>
  <c r="S806" i="2"/>
  <c r="R806" i="2"/>
  <c r="AB806" i="2" s="1"/>
  <c r="Q806" i="2"/>
  <c r="P806" i="2"/>
  <c r="Z806" i="2" s="1"/>
  <c r="O806" i="2"/>
  <c r="Y806" i="2" s="1"/>
  <c r="N806" i="2"/>
  <c r="X806" i="2" s="1"/>
  <c r="M806" i="2"/>
  <c r="W806" i="2" s="1"/>
  <c r="L806" i="2"/>
  <c r="AE805" i="2"/>
  <c r="Z805" i="2"/>
  <c r="X805" i="2"/>
  <c r="W805" i="2"/>
  <c r="V805" i="2"/>
  <c r="U805" i="2"/>
  <c r="T805" i="2"/>
  <c r="AD805" i="2" s="1"/>
  <c r="S805" i="2"/>
  <c r="AC805" i="2" s="1"/>
  <c r="R805" i="2"/>
  <c r="AB805" i="2" s="1"/>
  <c r="Q805" i="2"/>
  <c r="AA805" i="2" s="1"/>
  <c r="P805" i="2"/>
  <c r="O805" i="2"/>
  <c r="Y805" i="2" s="1"/>
  <c r="N805" i="2"/>
  <c r="M805" i="2"/>
  <c r="L805" i="2"/>
  <c r="AD804" i="2"/>
  <c r="AB804" i="2"/>
  <c r="AA804" i="2"/>
  <c r="Z804" i="2"/>
  <c r="Y804" i="2"/>
  <c r="X804" i="2"/>
  <c r="W804" i="2"/>
  <c r="V804" i="2"/>
  <c r="U804" i="2"/>
  <c r="AE804" i="2" s="1"/>
  <c r="T804" i="2"/>
  <c r="S804" i="2"/>
  <c r="AC804" i="2" s="1"/>
  <c r="R804" i="2"/>
  <c r="Q804" i="2"/>
  <c r="P804" i="2"/>
  <c r="O804" i="2"/>
  <c r="N804" i="2"/>
  <c r="M804" i="2"/>
  <c r="L804" i="2"/>
  <c r="AE803" i="2"/>
  <c r="AD803" i="2"/>
  <c r="AC803" i="2"/>
  <c r="AB803" i="2"/>
  <c r="AA803" i="2"/>
  <c r="Z803" i="2"/>
  <c r="Y803" i="2"/>
  <c r="W803" i="2"/>
  <c r="U803" i="2"/>
  <c r="T803" i="2"/>
  <c r="S803" i="2"/>
  <c r="R803" i="2"/>
  <c r="Q803" i="2"/>
  <c r="P803" i="2"/>
  <c r="O803" i="2"/>
  <c r="N803" i="2"/>
  <c r="X803" i="2" s="1"/>
  <c r="M803" i="2"/>
  <c r="L803" i="2"/>
  <c r="V803" i="2" s="1"/>
  <c r="AE802" i="2"/>
  <c r="AD802" i="2"/>
  <c r="AC802" i="2"/>
  <c r="AA802" i="2"/>
  <c r="V802" i="2"/>
  <c r="U802" i="2"/>
  <c r="T802" i="2"/>
  <c r="S802" i="2"/>
  <c r="R802" i="2"/>
  <c r="AB802" i="2" s="1"/>
  <c r="Q802" i="2"/>
  <c r="P802" i="2"/>
  <c r="Z802" i="2" s="1"/>
  <c r="O802" i="2"/>
  <c r="Y802" i="2" s="1"/>
  <c r="N802" i="2"/>
  <c r="X802" i="2" s="1"/>
  <c r="M802" i="2"/>
  <c r="W802" i="2" s="1"/>
  <c r="L802" i="2"/>
  <c r="AE801" i="2"/>
  <c r="Z801" i="2"/>
  <c r="X801" i="2"/>
  <c r="W801" i="2"/>
  <c r="V801" i="2"/>
  <c r="U801" i="2"/>
  <c r="T801" i="2"/>
  <c r="AD801" i="2" s="1"/>
  <c r="S801" i="2"/>
  <c r="AC801" i="2" s="1"/>
  <c r="R801" i="2"/>
  <c r="AB801" i="2" s="1"/>
  <c r="Q801" i="2"/>
  <c r="AA801" i="2" s="1"/>
  <c r="P801" i="2"/>
  <c r="O801" i="2"/>
  <c r="Y801" i="2" s="1"/>
  <c r="N801" i="2"/>
  <c r="M801" i="2"/>
  <c r="L801" i="2"/>
  <c r="AD800" i="2"/>
  <c r="AB800" i="2"/>
  <c r="AA800" i="2"/>
  <c r="Z800" i="2"/>
  <c r="Y800" i="2"/>
  <c r="W800" i="2"/>
  <c r="V800" i="2"/>
  <c r="U800" i="2"/>
  <c r="AE800" i="2" s="1"/>
  <c r="T800" i="2"/>
  <c r="S800" i="2"/>
  <c r="AC800" i="2" s="1"/>
  <c r="R800" i="2"/>
  <c r="Q800" i="2"/>
  <c r="P800" i="2"/>
  <c r="O800" i="2"/>
  <c r="N800" i="2"/>
  <c r="X800" i="2" s="1"/>
  <c r="M800" i="2"/>
  <c r="L800" i="2"/>
  <c r="AE799" i="2"/>
  <c r="AD799" i="2"/>
  <c r="AC799" i="2"/>
  <c r="AA799" i="2"/>
  <c r="Z799" i="2"/>
  <c r="Y799" i="2"/>
  <c r="W799" i="2"/>
  <c r="U799" i="2"/>
  <c r="T799" i="2"/>
  <c r="S799" i="2"/>
  <c r="R799" i="2"/>
  <c r="AB799" i="2" s="1"/>
  <c r="Q799" i="2"/>
  <c r="P799" i="2"/>
  <c r="O799" i="2"/>
  <c r="N799" i="2"/>
  <c r="X799" i="2" s="1"/>
  <c r="M799" i="2"/>
  <c r="L799" i="2"/>
  <c r="V799" i="2" s="1"/>
  <c r="AE798" i="2"/>
  <c r="AD798" i="2"/>
  <c r="AC798" i="2"/>
  <c r="AA798" i="2"/>
  <c r="V798" i="2"/>
  <c r="U798" i="2"/>
  <c r="T798" i="2"/>
  <c r="S798" i="2"/>
  <c r="R798" i="2"/>
  <c r="AB798" i="2" s="1"/>
  <c r="Q798" i="2"/>
  <c r="P798" i="2"/>
  <c r="Z798" i="2" s="1"/>
  <c r="O798" i="2"/>
  <c r="Y798" i="2" s="1"/>
  <c r="N798" i="2"/>
  <c r="X798" i="2" s="1"/>
  <c r="M798" i="2"/>
  <c r="W798" i="2" s="1"/>
  <c r="L798" i="2"/>
  <c r="AE797" i="2"/>
  <c r="Z797" i="2"/>
  <c r="X797" i="2"/>
  <c r="W797" i="2"/>
  <c r="V797" i="2"/>
  <c r="U797" i="2"/>
  <c r="T797" i="2"/>
  <c r="AD797" i="2" s="1"/>
  <c r="S797" i="2"/>
  <c r="AC797" i="2" s="1"/>
  <c r="R797" i="2"/>
  <c r="AB797" i="2" s="1"/>
  <c r="Q797" i="2"/>
  <c r="AA797" i="2" s="1"/>
  <c r="P797" i="2"/>
  <c r="O797" i="2"/>
  <c r="Y797" i="2" s="1"/>
  <c r="N797" i="2"/>
  <c r="M797" i="2"/>
  <c r="L797" i="2"/>
  <c r="AD796" i="2"/>
  <c r="AB796" i="2"/>
  <c r="AA796" i="2"/>
  <c r="Z796" i="2"/>
  <c r="Y796" i="2"/>
  <c r="W796" i="2"/>
  <c r="V796" i="2"/>
  <c r="U796" i="2"/>
  <c r="AE796" i="2" s="1"/>
  <c r="T796" i="2"/>
  <c r="S796" i="2"/>
  <c r="AC796" i="2" s="1"/>
  <c r="R796" i="2"/>
  <c r="Q796" i="2"/>
  <c r="P796" i="2"/>
  <c r="O796" i="2"/>
  <c r="N796" i="2"/>
  <c r="X796" i="2" s="1"/>
  <c r="M796" i="2"/>
  <c r="L796" i="2"/>
  <c r="AE795" i="2"/>
  <c r="AD795" i="2"/>
  <c r="AC795" i="2"/>
  <c r="AA795" i="2"/>
  <c r="Z795" i="2"/>
  <c r="Y795" i="2"/>
  <c r="W795" i="2"/>
  <c r="U795" i="2"/>
  <c r="T795" i="2"/>
  <c r="S795" i="2"/>
  <c r="R795" i="2"/>
  <c r="AB795" i="2" s="1"/>
  <c r="Q795" i="2"/>
  <c r="P795" i="2"/>
  <c r="O795" i="2"/>
  <c r="N795" i="2"/>
  <c r="X795" i="2" s="1"/>
  <c r="M795" i="2"/>
  <c r="L795" i="2"/>
  <c r="V795" i="2" s="1"/>
  <c r="AE794" i="2"/>
  <c r="AD794" i="2"/>
  <c r="AC794" i="2"/>
  <c r="AA794" i="2"/>
  <c r="V794" i="2"/>
  <c r="U794" i="2"/>
  <c r="T794" i="2"/>
  <c r="S794" i="2"/>
  <c r="R794" i="2"/>
  <c r="AB794" i="2" s="1"/>
  <c r="Q794" i="2"/>
  <c r="P794" i="2"/>
  <c r="Z794" i="2" s="1"/>
  <c r="O794" i="2"/>
  <c r="Y794" i="2" s="1"/>
  <c r="N794" i="2"/>
  <c r="X794" i="2" s="1"/>
  <c r="M794" i="2"/>
  <c r="W794" i="2" s="1"/>
  <c r="L794" i="2"/>
  <c r="AE793" i="2"/>
  <c r="Z793" i="2"/>
  <c r="X793" i="2"/>
  <c r="W793" i="2"/>
  <c r="V793" i="2"/>
  <c r="U793" i="2"/>
  <c r="T793" i="2"/>
  <c r="AD793" i="2" s="1"/>
  <c r="S793" i="2"/>
  <c r="AC793" i="2" s="1"/>
  <c r="R793" i="2"/>
  <c r="AB793" i="2" s="1"/>
  <c r="Q793" i="2"/>
  <c r="AA793" i="2" s="1"/>
  <c r="P793" i="2"/>
  <c r="O793" i="2"/>
  <c r="Y793" i="2" s="1"/>
  <c r="N793" i="2"/>
  <c r="M793" i="2"/>
  <c r="L793" i="2"/>
  <c r="AD792" i="2"/>
  <c r="AB792" i="2"/>
  <c r="Z792" i="2"/>
  <c r="Y792" i="2"/>
  <c r="W792" i="2"/>
  <c r="V792" i="2"/>
  <c r="U792" i="2"/>
  <c r="AE792" i="2" s="1"/>
  <c r="T792" i="2"/>
  <c r="S792" i="2"/>
  <c r="AC792" i="2" s="1"/>
  <c r="R792" i="2"/>
  <c r="Q792" i="2"/>
  <c r="AA792" i="2" s="1"/>
  <c r="P792" i="2"/>
  <c r="O792" i="2"/>
  <c r="N792" i="2"/>
  <c r="X792" i="2" s="1"/>
  <c r="M792" i="2"/>
  <c r="L792" i="2"/>
  <c r="AD791" i="2"/>
  <c r="AC791" i="2"/>
  <c r="AA791" i="2"/>
  <c r="Z791" i="2"/>
  <c r="Y791" i="2"/>
  <c r="W791" i="2"/>
  <c r="U791" i="2"/>
  <c r="AE791" i="2" s="1"/>
  <c r="T791" i="2"/>
  <c r="S791" i="2"/>
  <c r="R791" i="2"/>
  <c r="AB791" i="2" s="1"/>
  <c r="Q791" i="2"/>
  <c r="P791" i="2"/>
  <c r="O791" i="2"/>
  <c r="N791" i="2"/>
  <c r="X791" i="2" s="1"/>
  <c r="M791" i="2"/>
  <c r="L791" i="2"/>
  <c r="V791" i="2" s="1"/>
  <c r="AE790" i="2"/>
  <c r="AD790" i="2"/>
  <c r="AC790" i="2"/>
  <c r="AA790" i="2"/>
  <c r="V790" i="2"/>
  <c r="U790" i="2"/>
  <c r="T790" i="2"/>
  <c r="S790" i="2"/>
  <c r="R790" i="2"/>
  <c r="AB790" i="2" s="1"/>
  <c r="Q790" i="2"/>
  <c r="P790" i="2"/>
  <c r="Z790" i="2" s="1"/>
  <c r="O790" i="2"/>
  <c r="Y790" i="2" s="1"/>
  <c r="N790" i="2"/>
  <c r="X790" i="2" s="1"/>
  <c r="M790" i="2"/>
  <c r="W790" i="2" s="1"/>
  <c r="L790" i="2"/>
  <c r="AE789" i="2"/>
  <c r="Z789" i="2"/>
  <c r="X789" i="2"/>
  <c r="V789" i="2"/>
  <c r="U789" i="2"/>
  <c r="T789" i="2"/>
  <c r="AD789" i="2" s="1"/>
  <c r="S789" i="2"/>
  <c r="AC789" i="2" s="1"/>
  <c r="R789" i="2"/>
  <c r="AB789" i="2" s="1"/>
  <c r="Q789" i="2"/>
  <c r="AA789" i="2" s="1"/>
  <c r="P789" i="2"/>
  <c r="O789" i="2"/>
  <c r="Y789" i="2" s="1"/>
  <c r="N789" i="2"/>
  <c r="M789" i="2"/>
  <c r="W789" i="2" s="1"/>
  <c r="L789" i="2"/>
  <c r="AD788" i="2"/>
  <c r="AB788" i="2"/>
  <c r="Z788" i="2"/>
  <c r="Y788" i="2"/>
  <c r="W788" i="2"/>
  <c r="V788" i="2"/>
  <c r="U788" i="2"/>
  <c r="AE788" i="2" s="1"/>
  <c r="T788" i="2"/>
  <c r="S788" i="2"/>
  <c r="AC788" i="2" s="1"/>
  <c r="R788" i="2"/>
  <c r="Q788" i="2"/>
  <c r="AA788" i="2" s="1"/>
  <c r="P788" i="2"/>
  <c r="O788" i="2"/>
  <c r="N788" i="2"/>
  <c r="X788" i="2" s="1"/>
  <c r="M788" i="2"/>
  <c r="L788" i="2"/>
  <c r="AC787" i="2"/>
  <c r="AA787" i="2"/>
  <c r="Z787" i="2"/>
  <c r="Y787" i="2"/>
  <c r="W787" i="2"/>
  <c r="U787" i="2"/>
  <c r="AE787" i="2" s="1"/>
  <c r="T787" i="2"/>
  <c r="AD787" i="2" s="1"/>
  <c r="S787" i="2"/>
  <c r="R787" i="2"/>
  <c r="AB787" i="2" s="1"/>
  <c r="Q787" i="2"/>
  <c r="P787" i="2"/>
  <c r="O787" i="2"/>
  <c r="N787" i="2"/>
  <c r="X787" i="2" s="1"/>
  <c r="M787" i="2"/>
  <c r="L787" i="2"/>
  <c r="V787" i="2" s="1"/>
  <c r="AE786" i="2"/>
  <c r="AD786" i="2"/>
  <c r="AC786" i="2"/>
  <c r="AA786" i="2"/>
  <c r="V786" i="2"/>
  <c r="U786" i="2"/>
  <c r="T786" i="2"/>
  <c r="S786" i="2"/>
  <c r="R786" i="2"/>
  <c r="AB786" i="2" s="1"/>
  <c r="Q786" i="2"/>
  <c r="P786" i="2"/>
  <c r="Z786" i="2" s="1"/>
  <c r="O786" i="2"/>
  <c r="Y786" i="2" s="1"/>
  <c r="N786" i="2"/>
  <c r="X786" i="2" s="1"/>
  <c r="M786" i="2"/>
  <c r="W786" i="2" s="1"/>
  <c r="L786" i="2"/>
  <c r="AE785" i="2"/>
  <c r="Z785" i="2"/>
  <c r="X785" i="2"/>
  <c r="U785" i="2"/>
  <c r="T785" i="2"/>
  <c r="AD785" i="2" s="1"/>
  <c r="S785" i="2"/>
  <c r="AC785" i="2" s="1"/>
  <c r="R785" i="2"/>
  <c r="AB785" i="2" s="1"/>
  <c r="Q785" i="2"/>
  <c r="AA785" i="2" s="1"/>
  <c r="P785" i="2"/>
  <c r="O785" i="2"/>
  <c r="Y785" i="2" s="1"/>
  <c r="N785" i="2"/>
  <c r="M785" i="2"/>
  <c r="W785" i="2" s="1"/>
  <c r="L785" i="2"/>
  <c r="V785" i="2" s="1"/>
  <c r="AD784" i="2"/>
  <c r="AB784" i="2"/>
  <c r="Y784" i="2"/>
  <c r="W784" i="2"/>
  <c r="V784" i="2"/>
  <c r="U784" i="2"/>
  <c r="AE784" i="2" s="1"/>
  <c r="T784" i="2"/>
  <c r="S784" i="2"/>
  <c r="AC784" i="2" s="1"/>
  <c r="R784" i="2"/>
  <c r="Q784" i="2"/>
  <c r="AA784" i="2" s="1"/>
  <c r="P784" i="2"/>
  <c r="Z784" i="2" s="1"/>
  <c r="O784" i="2"/>
  <c r="N784" i="2"/>
  <c r="X784" i="2" s="1"/>
  <c r="M784" i="2"/>
  <c r="L784" i="2"/>
  <c r="AC783" i="2"/>
  <c r="AA783" i="2"/>
  <c r="Z783" i="2"/>
  <c r="Y783" i="2"/>
  <c r="W783" i="2"/>
  <c r="U783" i="2"/>
  <c r="AE783" i="2" s="1"/>
  <c r="T783" i="2"/>
  <c r="AD783" i="2" s="1"/>
  <c r="S783" i="2"/>
  <c r="R783" i="2"/>
  <c r="AB783" i="2" s="1"/>
  <c r="Q783" i="2"/>
  <c r="P783" i="2"/>
  <c r="O783" i="2"/>
  <c r="N783" i="2"/>
  <c r="X783" i="2" s="1"/>
  <c r="M783" i="2"/>
  <c r="L783" i="2"/>
  <c r="V783" i="2" s="1"/>
  <c r="AE782" i="2"/>
  <c r="AD782" i="2"/>
  <c r="AC782" i="2"/>
  <c r="AA782" i="2"/>
  <c r="V782" i="2"/>
  <c r="U782" i="2"/>
  <c r="T782" i="2"/>
  <c r="S782" i="2"/>
  <c r="R782" i="2"/>
  <c r="AB782" i="2" s="1"/>
  <c r="Q782" i="2"/>
  <c r="P782" i="2"/>
  <c r="Z782" i="2" s="1"/>
  <c r="O782" i="2"/>
  <c r="Y782" i="2" s="1"/>
  <c r="N782" i="2"/>
  <c r="X782" i="2" s="1"/>
  <c r="M782" i="2"/>
  <c r="W782" i="2" s="1"/>
  <c r="L782" i="2"/>
  <c r="AE781" i="2"/>
  <c r="Z781" i="2"/>
  <c r="X781" i="2"/>
  <c r="U781" i="2"/>
  <c r="T781" i="2"/>
  <c r="AD781" i="2" s="1"/>
  <c r="S781" i="2"/>
  <c r="AC781" i="2" s="1"/>
  <c r="R781" i="2"/>
  <c r="AB781" i="2" s="1"/>
  <c r="Q781" i="2"/>
  <c r="AA781" i="2" s="1"/>
  <c r="P781" i="2"/>
  <c r="O781" i="2"/>
  <c r="Y781" i="2" s="1"/>
  <c r="N781" i="2"/>
  <c r="M781" i="2"/>
  <c r="W781" i="2" s="1"/>
  <c r="L781" i="2"/>
  <c r="V781" i="2" s="1"/>
  <c r="AD780" i="2"/>
  <c r="AB780" i="2"/>
  <c r="Y780" i="2"/>
  <c r="W780" i="2"/>
  <c r="V780" i="2"/>
  <c r="U780" i="2"/>
  <c r="AE780" i="2" s="1"/>
  <c r="T780" i="2"/>
  <c r="S780" i="2"/>
  <c r="AC780" i="2" s="1"/>
  <c r="R780" i="2"/>
  <c r="Q780" i="2"/>
  <c r="AA780" i="2" s="1"/>
  <c r="P780" i="2"/>
  <c r="Z780" i="2" s="1"/>
  <c r="O780" i="2"/>
  <c r="N780" i="2"/>
  <c r="X780" i="2" s="1"/>
  <c r="M780" i="2"/>
  <c r="L780" i="2"/>
  <c r="AC779" i="2"/>
  <c r="AA779" i="2"/>
  <c r="Z779" i="2"/>
  <c r="Y779" i="2"/>
  <c r="W779" i="2"/>
  <c r="U779" i="2"/>
  <c r="AE779" i="2" s="1"/>
  <c r="T779" i="2"/>
  <c r="AD779" i="2" s="1"/>
  <c r="S779" i="2"/>
  <c r="R779" i="2"/>
  <c r="AB779" i="2" s="1"/>
  <c r="Q779" i="2"/>
  <c r="P779" i="2"/>
  <c r="O779" i="2"/>
  <c r="N779" i="2"/>
  <c r="X779" i="2" s="1"/>
  <c r="M779" i="2"/>
  <c r="L779" i="2"/>
  <c r="V779" i="2" s="1"/>
  <c r="AE778" i="2"/>
  <c r="AD778" i="2"/>
  <c r="AC778" i="2"/>
  <c r="AA778" i="2"/>
  <c r="V778" i="2"/>
  <c r="U778" i="2"/>
  <c r="T778" i="2"/>
  <c r="S778" i="2"/>
  <c r="R778" i="2"/>
  <c r="AB778" i="2" s="1"/>
  <c r="Q778" i="2"/>
  <c r="P778" i="2"/>
  <c r="Z778" i="2" s="1"/>
  <c r="O778" i="2"/>
  <c r="Y778" i="2" s="1"/>
  <c r="N778" i="2"/>
  <c r="X778" i="2" s="1"/>
  <c r="M778" i="2"/>
  <c r="W778" i="2" s="1"/>
  <c r="L778" i="2"/>
  <c r="AE777" i="2"/>
  <c r="Z777" i="2"/>
  <c r="X777" i="2"/>
  <c r="U777" i="2"/>
  <c r="T777" i="2"/>
  <c r="AD777" i="2" s="1"/>
  <c r="S777" i="2"/>
  <c r="AC777" i="2" s="1"/>
  <c r="R777" i="2"/>
  <c r="AB777" i="2" s="1"/>
  <c r="Q777" i="2"/>
  <c r="AA777" i="2" s="1"/>
  <c r="P777" i="2"/>
  <c r="O777" i="2"/>
  <c r="Y777" i="2" s="1"/>
  <c r="N777" i="2"/>
  <c r="M777" i="2"/>
  <c r="W777" i="2" s="1"/>
  <c r="L777" i="2"/>
  <c r="V777" i="2" s="1"/>
  <c r="AD776" i="2"/>
  <c r="AB776" i="2"/>
  <c r="Y776" i="2"/>
  <c r="W776" i="2"/>
  <c r="V776" i="2"/>
  <c r="U776" i="2"/>
  <c r="AE776" i="2" s="1"/>
  <c r="T776" i="2"/>
  <c r="S776" i="2"/>
  <c r="AC776" i="2" s="1"/>
  <c r="R776" i="2"/>
  <c r="Q776" i="2"/>
  <c r="AA776" i="2" s="1"/>
  <c r="P776" i="2"/>
  <c r="Z776" i="2" s="1"/>
  <c r="O776" i="2"/>
  <c r="N776" i="2"/>
  <c r="X776" i="2" s="1"/>
  <c r="M776" i="2"/>
  <c r="L776" i="2"/>
  <c r="AC775" i="2"/>
  <c r="AA775" i="2"/>
  <c r="Z775" i="2"/>
  <c r="Y775" i="2"/>
  <c r="W775" i="2"/>
  <c r="U775" i="2"/>
  <c r="AE775" i="2" s="1"/>
  <c r="T775" i="2"/>
  <c r="AD775" i="2" s="1"/>
  <c r="S775" i="2"/>
  <c r="R775" i="2"/>
  <c r="AB775" i="2" s="1"/>
  <c r="Q775" i="2"/>
  <c r="P775" i="2"/>
  <c r="O775" i="2"/>
  <c r="N775" i="2"/>
  <c r="X775" i="2" s="1"/>
  <c r="M775" i="2"/>
  <c r="L775" i="2"/>
  <c r="V775" i="2" s="1"/>
  <c r="AE774" i="2"/>
  <c r="AD774" i="2"/>
  <c r="AC774" i="2"/>
  <c r="AA774" i="2"/>
  <c r="V774" i="2"/>
  <c r="U774" i="2"/>
  <c r="T774" i="2"/>
  <c r="S774" i="2"/>
  <c r="R774" i="2"/>
  <c r="AB774" i="2" s="1"/>
  <c r="Q774" i="2"/>
  <c r="P774" i="2"/>
  <c r="Z774" i="2" s="1"/>
  <c r="O774" i="2"/>
  <c r="Y774" i="2" s="1"/>
  <c r="N774" i="2"/>
  <c r="X774" i="2" s="1"/>
  <c r="M774" i="2"/>
  <c r="W774" i="2" s="1"/>
  <c r="L774" i="2"/>
  <c r="AE773" i="2"/>
  <c r="Z773" i="2"/>
  <c r="X773" i="2"/>
  <c r="U773" i="2"/>
  <c r="T773" i="2"/>
  <c r="AD773" i="2" s="1"/>
  <c r="S773" i="2"/>
  <c r="AC773" i="2" s="1"/>
  <c r="R773" i="2"/>
  <c r="AB773" i="2" s="1"/>
  <c r="Q773" i="2"/>
  <c r="AA773" i="2" s="1"/>
  <c r="P773" i="2"/>
  <c r="O773" i="2"/>
  <c r="Y773" i="2" s="1"/>
  <c r="N773" i="2"/>
  <c r="M773" i="2"/>
  <c r="W773" i="2" s="1"/>
  <c r="L773" i="2"/>
  <c r="V773" i="2" s="1"/>
  <c r="AD772" i="2"/>
  <c r="AB772" i="2"/>
  <c r="Y772" i="2"/>
  <c r="W772" i="2"/>
  <c r="V772" i="2"/>
  <c r="U772" i="2"/>
  <c r="AE772" i="2" s="1"/>
  <c r="T772" i="2"/>
  <c r="S772" i="2"/>
  <c r="AC772" i="2" s="1"/>
  <c r="R772" i="2"/>
  <c r="Q772" i="2"/>
  <c r="AA772" i="2" s="1"/>
  <c r="P772" i="2"/>
  <c r="Z772" i="2" s="1"/>
  <c r="O772" i="2"/>
  <c r="N772" i="2"/>
  <c r="X772" i="2" s="1"/>
  <c r="M772" i="2"/>
  <c r="L772" i="2"/>
  <c r="AC771" i="2"/>
  <c r="AA771" i="2"/>
  <c r="Z771" i="2"/>
  <c r="Y771" i="2"/>
  <c r="X771" i="2"/>
  <c r="W771" i="2"/>
  <c r="U771" i="2"/>
  <c r="AE771" i="2" s="1"/>
  <c r="T771" i="2"/>
  <c r="AD771" i="2" s="1"/>
  <c r="S771" i="2"/>
  <c r="R771" i="2"/>
  <c r="AB771" i="2" s="1"/>
  <c r="Q771" i="2"/>
  <c r="P771" i="2"/>
  <c r="O771" i="2"/>
  <c r="N771" i="2"/>
  <c r="M771" i="2"/>
  <c r="L771" i="2"/>
  <c r="V771" i="2" s="1"/>
  <c r="AE770" i="2"/>
  <c r="AD770" i="2"/>
  <c r="AC770" i="2"/>
  <c r="AB770" i="2"/>
  <c r="AA770" i="2"/>
  <c r="V770" i="2"/>
  <c r="U770" i="2"/>
  <c r="T770" i="2"/>
  <c r="S770" i="2"/>
  <c r="R770" i="2"/>
  <c r="Q770" i="2"/>
  <c r="P770" i="2"/>
  <c r="Z770" i="2" s="1"/>
  <c r="O770" i="2"/>
  <c r="Y770" i="2" s="1"/>
  <c r="N770" i="2"/>
  <c r="X770" i="2" s="1"/>
  <c r="M770" i="2"/>
  <c r="W770" i="2" s="1"/>
  <c r="L770" i="2"/>
  <c r="AE769" i="2"/>
  <c r="Z769" i="2"/>
  <c r="X769" i="2"/>
  <c r="U769" i="2"/>
  <c r="T769" i="2"/>
  <c r="AD769" i="2" s="1"/>
  <c r="S769" i="2"/>
  <c r="AC769" i="2" s="1"/>
  <c r="R769" i="2"/>
  <c r="AB769" i="2" s="1"/>
  <c r="Q769" i="2"/>
  <c r="AA769" i="2" s="1"/>
  <c r="P769" i="2"/>
  <c r="O769" i="2"/>
  <c r="Y769" i="2" s="1"/>
  <c r="N769" i="2"/>
  <c r="M769" i="2"/>
  <c r="W769" i="2" s="1"/>
  <c r="L769" i="2"/>
  <c r="V769" i="2" s="1"/>
  <c r="AD768" i="2"/>
  <c r="AB768" i="2"/>
  <c r="Y768" i="2"/>
  <c r="W768" i="2"/>
  <c r="V768" i="2"/>
  <c r="U768" i="2"/>
  <c r="AE768" i="2" s="1"/>
  <c r="T768" i="2"/>
  <c r="S768" i="2"/>
  <c r="AC768" i="2" s="1"/>
  <c r="R768" i="2"/>
  <c r="Q768" i="2"/>
  <c r="AA768" i="2" s="1"/>
  <c r="P768" i="2"/>
  <c r="Z768" i="2" s="1"/>
  <c r="O768" i="2"/>
  <c r="N768" i="2"/>
  <c r="X768" i="2" s="1"/>
  <c r="M768" i="2"/>
  <c r="L768" i="2"/>
  <c r="AC767" i="2"/>
  <c r="AA767" i="2"/>
  <c r="Z767" i="2"/>
  <c r="Y767" i="2"/>
  <c r="X767" i="2"/>
  <c r="W767" i="2"/>
  <c r="U767" i="2"/>
  <c r="AE767" i="2" s="1"/>
  <c r="T767" i="2"/>
  <c r="AD767" i="2" s="1"/>
  <c r="S767" i="2"/>
  <c r="R767" i="2"/>
  <c r="AB767" i="2" s="1"/>
  <c r="Q767" i="2"/>
  <c r="P767" i="2"/>
  <c r="O767" i="2"/>
  <c r="N767" i="2"/>
  <c r="M767" i="2"/>
  <c r="L767" i="2"/>
  <c r="V767" i="2" s="1"/>
  <c r="AE766" i="2"/>
  <c r="AD766" i="2"/>
  <c r="AC766" i="2"/>
  <c r="AB766" i="2"/>
  <c r="AA766" i="2"/>
  <c r="V766" i="2"/>
  <c r="U766" i="2"/>
  <c r="T766" i="2"/>
  <c r="S766" i="2"/>
  <c r="R766" i="2"/>
  <c r="Q766" i="2"/>
  <c r="P766" i="2"/>
  <c r="Z766" i="2" s="1"/>
  <c r="O766" i="2"/>
  <c r="Y766" i="2" s="1"/>
  <c r="N766" i="2"/>
  <c r="X766" i="2" s="1"/>
  <c r="M766" i="2"/>
  <c r="W766" i="2" s="1"/>
  <c r="L766" i="2"/>
  <c r="AE765" i="2"/>
  <c r="Z765" i="2"/>
  <c r="U765" i="2"/>
  <c r="T765" i="2"/>
  <c r="AD765" i="2" s="1"/>
  <c r="S765" i="2"/>
  <c r="AC765" i="2" s="1"/>
  <c r="R765" i="2"/>
  <c r="AB765" i="2" s="1"/>
  <c r="Q765" i="2"/>
  <c r="AA765" i="2" s="1"/>
  <c r="P765" i="2"/>
  <c r="O765" i="2"/>
  <c r="Y765" i="2" s="1"/>
  <c r="N765" i="2"/>
  <c r="X765" i="2" s="1"/>
  <c r="M765" i="2"/>
  <c r="W765" i="2" s="1"/>
  <c r="L765" i="2"/>
  <c r="V765" i="2" s="1"/>
  <c r="AD764" i="2"/>
  <c r="Y764" i="2"/>
  <c r="W764" i="2"/>
  <c r="V764" i="2"/>
  <c r="U764" i="2"/>
  <c r="AE764" i="2" s="1"/>
  <c r="T764" i="2"/>
  <c r="S764" i="2"/>
  <c r="AC764" i="2" s="1"/>
  <c r="R764" i="2"/>
  <c r="AB764" i="2" s="1"/>
  <c r="Q764" i="2"/>
  <c r="AA764" i="2" s="1"/>
  <c r="P764" i="2"/>
  <c r="Z764" i="2" s="1"/>
  <c r="O764" i="2"/>
  <c r="N764" i="2"/>
  <c r="X764" i="2" s="1"/>
  <c r="M764" i="2"/>
  <c r="L764" i="2"/>
  <c r="AC763" i="2"/>
  <c r="AA763" i="2"/>
  <c r="Z763" i="2"/>
  <c r="Y763" i="2"/>
  <c r="X763" i="2"/>
  <c r="W763" i="2"/>
  <c r="U763" i="2"/>
  <c r="AE763" i="2" s="1"/>
  <c r="T763" i="2"/>
  <c r="AD763" i="2" s="1"/>
  <c r="S763" i="2"/>
  <c r="R763" i="2"/>
  <c r="AB763" i="2" s="1"/>
  <c r="Q763" i="2"/>
  <c r="P763" i="2"/>
  <c r="O763" i="2"/>
  <c r="N763" i="2"/>
  <c r="M763" i="2"/>
  <c r="L763" i="2"/>
  <c r="V763" i="2" s="1"/>
  <c r="AE762" i="2"/>
  <c r="AD762" i="2"/>
  <c r="AC762" i="2"/>
  <c r="AB762" i="2"/>
  <c r="AA762" i="2"/>
  <c r="V762" i="2"/>
  <c r="U762" i="2"/>
  <c r="T762" i="2"/>
  <c r="S762" i="2"/>
  <c r="R762" i="2"/>
  <c r="Q762" i="2"/>
  <c r="P762" i="2"/>
  <c r="Z762" i="2" s="1"/>
  <c r="O762" i="2"/>
  <c r="Y762" i="2" s="1"/>
  <c r="N762" i="2"/>
  <c r="X762" i="2" s="1"/>
  <c r="M762" i="2"/>
  <c r="W762" i="2" s="1"/>
  <c r="L762" i="2"/>
  <c r="AE761" i="2"/>
  <c r="Z761" i="2"/>
  <c r="X761" i="2"/>
  <c r="U761" i="2"/>
  <c r="T761" i="2"/>
  <c r="AD761" i="2" s="1"/>
  <c r="S761" i="2"/>
  <c r="AC761" i="2" s="1"/>
  <c r="R761" i="2"/>
  <c r="AB761" i="2" s="1"/>
  <c r="Q761" i="2"/>
  <c r="AA761" i="2" s="1"/>
  <c r="P761" i="2"/>
  <c r="O761" i="2"/>
  <c r="Y761" i="2" s="1"/>
  <c r="N761" i="2"/>
  <c r="M761" i="2"/>
  <c r="W761" i="2" s="1"/>
  <c r="L761" i="2"/>
  <c r="V761" i="2" s="1"/>
  <c r="AD760" i="2"/>
  <c r="AB760" i="2"/>
  <c r="Y760" i="2"/>
  <c r="W760" i="2"/>
  <c r="V760" i="2"/>
  <c r="U760" i="2"/>
  <c r="AE760" i="2" s="1"/>
  <c r="T760" i="2"/>
  <c r="S760" i="2"/>
  <c r="AC760" i="2" s="1"/>
  <c r="R760" i="2"/>
  <c r="Q760" i="2"/>
  <c r="AA760" i="2" s="1"/>
  <c r="P760" i="2"/>
  <c r="Z760" i="2" s="1"/>
  <c r="O760" i="2"/>
  <c r="N760" i="2"/>
  <c r="X760" i="2" s="1"/>
  <c r="M760" i="2"/>
  <c r="L760" i="2"/>
  <c r="AC759" i="2"/>
  <c r="AA759" i="2"/>
  <c r="Z759" i="2"/>
  <c r="Y759" i="2"/>
  <c r="X759" i="2"/>
  <c r="W759" i="2"/>
  <c r="U759" i="2"/>
  <c r="AE759" i="2" s="1"/>
  <c r="T759" i="2"/>
  <c r="AD759" i="2" s="1"/>
  <c r="S759" i="2"/>
  <c r="R759" i="2"/>
  <c r="AB759" i="2" s="1"/>
  <c r="Q759" i="2"/>
  <c r="P759" i="2"/>
  <c r="O759" i="2"/>
  <c r="N759" i="2"/>
  <c r="M759" i="2"/>
  <c r="L759" i="2"/>
  <c r="V759" i="2" s="1"/>
  <c r="AE758" i="2"/>
  <c r="AD758" i="2"/>
  <c r="AC758" i="2"/>
  <c r="AB758" i="2"/>
  <c r="AA758" i="2"/>
  <c r="V758" i="2"/>
  <c r="U758" i="2"/>
  <c r="T758" i="2"/>
  <c r="S758" i="2"/>
  <c r="R758" i="2"/>
  <c r="Q758" i="2"/>
  <c r="P758" i="2"/>
  <c r="Z758" i="2" s="1"/>
  <c r="O758" i="2"/>
  <c r="Y758" i="2" s="1"/>
  <c r="N758" i="2"/>
  <c r="X758" i="2" s="1"/>
  <c r="M758" i="2"/>
  <c r="W758" i="2" s="1"/>
  <c r="L758" i="2"/>
  <c r="AE757" i="2"/>
  <c r="Z757" i="2"/>
  <c r="X757" i="2"/>
  <c r="U757" i="2"/>
  <c r="T757" i="2"/>
  <c r="AD757" i="2" s="1"/>
  <c r="S757" i="2"/>
  <c r="AC757" i="2" s="1"/>
  <c r="R757" i="2"/>
  <c r="AB757" i="2" s="1"/>
  <c r="Q757" i="2"/>
  <c r="AA757" i="2" s="1"/>
  <c r="P757" i="2"/>
  <c r="O757" i="2"/>
  <c r="Y757" i="2" s="1"/>
  <c r="N757" i="2"/>
  <c r="M757" i="2"/>
  <c r="W757" i="2" s="1"/>
  <c r="L757" i="2"/>
  <c r="V757" i="2" s="1"/>
  <c r="AD756" i="2"/>
  <c r="AB756" i="2"/>
  <c r="Y756" i="2"/>
  <c r="W756" i="2"/>
  <c r="V756" i="2"/>
  <c r="U756" i="2"/>
  <c r="AE756" i="2" s="1"/>
  <c r="T756" i="2"/>
  <c r="S756" i="2"/>
  <c r="AC756" i="2" s="1"/>
  <c r="R756" i="2"/>
  <c r="Q756" i="2"/>
  <c r="AA756" i="2" s="1"/>
  <c r="P756" i="2"/>
  <c r="Z756" i="2" s="1"/>
  <c r="O756" i="2"/>
  <c r="N756" i="2"/>
  <c r="X756" i="2" s="1"/>
  <c r="M756" i="2"/>
  <c r="L756" i="2"/>
  <c r="AC755" i="2"/>
  <c r="AA755" i="2"/>
  <c r="Z755" i="2"/>
  <c r="Y755" i="2"/>
  <c r="X755" i="2"/>
  <c r="W755" i="2"/>
  <c r="U755" i="2"/>
  <c r="AE755" i="2" s="1"/>
  <c r="T755" i="2"/>
  <c r="AD755" i="2" s="1"/>
  <c r="S755" i="2"/>
  <c r="R755" i="2"/>
  <c r="AB755" i="2" s="1"/>
  <c r="Q755" i="2"/>
  <c r="P755" i="2"/>
  <c r="O755" i="2"/>
  <c r="N755" i="2"/>
  <c r="M755" i="2"/>
  <c r="L755" i="2"/>
  <c r="V755" i="2" s="1"/>
  <c r="AE754" i="2"/>
  <c r="AD754" i="2"/>
  <c r="AC754" i="2"/>
  <c r="AB754" i="2"/>
  <c r="AA754" i="2"/>
  <c r="V754" i="2"/>
  <c r="U754" i="2"/>
  <c r="T754" i="2"/>
  <c r="S754" i="2"/>
  <c r="R754" i="2"/>
  <c r="Q754" i="2"/>
  <c r="P754" i="2"/>
  <c r="Z754" i="2" s="1"/>
  <c r="O754" i="2"/>
  <c r="Y754" i="2" s="1"/>
  <c r="N754" i="2"/>
  <c r="X754" i="2" s="1"/>
  <c r="M754" i="2"/>
  <c r="W754" i="2" s="1"/>
  <c r="L754" i="2"/>
  <c r="AE753" i="2"/>
  <c r="Z753" i="2"/>
  <c r="X753" i="2"/>
  <c r="U753" i="2"/>
  <c r="T753" i="2"/>
  <c r="AD753" i="2" s="1"/>
  <c r="S753" i="2"/>
  <c r="AC753" i="2" s="1"/>
  <c r="R753" i="2"/>
  <c r="AB753" i="2" s="1"/>
  <c r="Q753" i="2"/>
  <c r="AA753" i="2" s="1"/>
  <c r="P753" i="2"/>
  <c r="O753" i="2"/>
  <c r="Y753" i="2" s="1"/>
  <c r="N753" i="2"/>
  <c r="M753" i="2"/>
  <c r="W753" i="2" s="1"/>
  <c r="L753" i="2"/>
  <c r="V753" i="2" s="1"/>
  <c r="AD752" i="2"/>
  <c r="AB752" i="2"/>
  <c r="Y752" i="2"/>
  <c r="W752" i="2"/>
  <c r="V752" i="2"/>
  <c r="U752" i="2"/>
  <c r="AE752" i="2" s="1"/>
  <c r="T752" i="2"/>
  <c r="S752" i="2"/>
  <c r="AC752" i="2" s="1"/>
  <c r="R752" i="2"/>
  <c r="Q752" i="2"/>
  <c r="AA752" i="2" s="1"/>
  <c r="P752" i="2"/>
  <c r="Z752" i="2" s="1"/>
  <c r="O752" i="2"/>
  <c r="N752" i="2"/>
  <c r="X752" i="2" s="1"/>
  <c r="M752" i="2"/>
  <c r="L752" i="2"/>
  <c r="AC751" i="2"/>
  <c r="AA751" i="2"/>
  <c r="Z751" i="2"/>
  <c r="Y751" i="2"/>
  <c r="X751" i="2"/>
  <c r="W751" i="2"/>
  <c r="U751" i="2"/>
  <c r="AE751" i="2" s="1"/>
  <c r="T751" i="2"/>
  <c r="AD751" i="2" s="1"/>
  <c r="S751" i="2"/>
  <c r="R751" i="2"/>
  <c r="AB751" i="2" s="1"/>
  <c r="Q751" i="2"/>
  <c r="P751" i="2"/>
  <c r="O751" i="2"/>
  <c r="N751" i="2"/>
  <c r="M751" i="2"/>
  <c r="L751" i="2"/>
  <c r="V751" i="2" s="1"/>
  <c r="AE750" i="2"/>
  <c r="AD750" i="2"/>
  <c r="AC750" i="2"/>
  <c r="AB750" i="2"/>
  <c r="AA750" i="2"/>
  <c r="V750" i="2"/>
  <c r="U750" i="2"/>
  <c r="T750" i="2"/>
  <c r="S750" i="2"/>
  <c r="R750" i="2"/>
  <c r="Q750" i="2"/>
  <c r="P750" i="2"/>
  <c r="Z750" i="2" s="1"/>
  <c r="O750" i="2"/>
  <c r="Y750" i="2" s="1"/>
  <c r="N750" i="2"/>
  <c r="X750" i="2" s="1"/>
  <c r="M750" i="2"/>
  <c r="W750" i="2" s="1"/>
  <c r="L750" i="2"/>
  <c r="AE749" i="2"/>
  <c r="Z749" i="2"/>
  <c r="X749" i="2"/>
  <c r="U749" i="2"/>
  <c r="T749" i="2"/>
  <c r="AD749" i="2" s="1"/>
  <c r="S749" i="2"/>
  <c r="AC749" i="2" s="1"/>
  <c r="R749" i="2"/>
  <c r="AB749" i="2" s="1"/>
  <c r="Q749" i="2"/>
  <c r="AA749" i="2" s="1"/>
  <c r="P749" i="2"/>
  <c r="O749" i="2"/>
  <c r="Y749" i="2" s="1"/>
  <c r="N749" i="2"/>
  <c r="M749" i="2"/>
  <c r="W749" i="2" s="1"/>
  <c r="L749" i="2"/>
  <c r="V749" i="2" s="1"/>
  <c r="AD748" i="2"/>
  <c r="AB748" i="2"/>
  <c r="Y748" i="2"/>
  <c r="W748" i="2"/>
  <c r="V748" i="2"/>
  <c r="U748" i="2"/>
  <c r="AE748" i="2" s="1"/>
  <c r="T748" i="2"/>
  <c r="S748" i="2"/>
  <c r="AC748" i="2" s="1"/>
  <c r="R748" i="2"/>
  <c r="Q748" i="2"/>
  <c r="AA748" i="2" s="1"/>
  <c r="P748" i="2"/>
  <c r="Z748" i="2" s="1"/>
  <c r="O748" i="2"/>
  <c r="N748" i="2"/>
  <c r="X748" i="2" s="1"/>
  <c r="M748" i="2"/>
  <c r="L748" i="2"/>
  <c r="AA747" i="2"/>
  <c r="Y747" i="2"/>
  <c r="X747" i="2"/>
  <c r="U747" i="2"/>
  <c r="AE747" i="2" s="1"/>
  <c r="T747" i="2"/>
  <c r="AD747" i="2" s="1"/>
  <c r="S747" i="2"/>
  <c r="AC747" i="2" s="1"/>
  <c r="R747" i="2"/>
  <c r="AB747" i="2" s="1"/>
  <c r="Q747" i="2"/>
  <c r="P747" i="2"/>
  <c r="Z747" i="2" s="1"/>
  <c r="O747" i="2"/>
  <c r="N747" i="2"/>
  <c r="M747" i="2"/>
  <c r="W747" i="2" s="1"/>
  <c r="L747" i="2"/>
  <c r="V747" i="2" s="1"/>
  <c r="AE746" i="2"/>
  <c r="AC746" i="2"/>
  <c r="AB746" i="2"/>
  <c r="V746" i="2"/>
  <c r="U746" i="2"/>
  <c r="T746" i="2"/>
  <c r="AD746" i="2" s="1"/>
  <c r="S746" i="2"/>
  <c r="R746" i="2"/>
  <c r="Q746" i="2"/>
  <c r="AA746" i="2" s="1"/>
  <c r="P746" i="2"/>
  <c r="Z746" i="2" s="1"/>
  <c r="O746" i="2"/>
  <c r="Y746" i="2" s="1"/>
  <c r="N746" i="2"/>
  <c r="X746" i="2" s="1"/>
  <c r="M746" i="2"/>
  <c r="W746" i="2" s="1"/>
  <c r="L746" i="2"/>
  <c r="AE745" i="2"/>
  <c r="X745" i="2"/>
  <c r="U745" i="2"/>
  <c r="T745" i="2"/>
  <c r="AD745" i="2" s="1"/>
  <c r="S745" i="2"/>
  <c r="AC745" i="2" s="1"/>
  <c r="R745" i="2"/>
  <c r="AB745" i="2" s="1"/>
  <c r="Q745" i="2"/>
  <c r="AA745" i="2" s="1"/>
  <c r="P745" i="2"/>
  <c r="Z745" i="2" s="1"/>
  <c r="O745" i="2"/>
  <c r="Y745" i="2" s="1"/>
  <c r="N745" i="2"/>
  <c r="M745" i="2"/>
  <c r="W745" i="2" s="1"/>
  <c r="L745" i="2"/>
  <c r="V745" i="2" s="1"/>
  <c r="AB744" i="2"/>
  <c r="W744" i="2"/>
  <c r="U744" i="2"/>
  <c r="AE744" i="2" s="1"/>
  <c r="T744" i="2"/>
  <c r="AD744" i="2" s="1"/>
  <c r="S744" i="2"/>
  <c r="AC744" i="2" s="1"/>
  <c r="R744" i="2"/>
  <c r="Q744" i="2"/>
  <c r="AA744" i="2" s="1"/>
  <c r="P744" i="2"/>
  <c r="Z744" i="2" s="1"/>
  <c r="O744" i="2"/>
  <c r="Y744" i="2" s="1"/>
  <c r="N744" i="2"/>
  <c r="X744" i="2" s="1"/>
  <c r="M744" i="2"/>
  <c r="L744" i="2"/>
  <c r="V744" i="2" s="1"/>
  <c r="Y743" i="2"/>
  <c r="W743" i="2"/>
  <c r="V743" i="2"/>
  <c r="U743" i="2"/>
  <c r="AE743" i="2" s="1"/>
  <c r="T743" i="2"/>
  <c r="AD743" i="2" s="1"/>
  <c r="S743" i="2"/>
  <c r="AC743" i="2" s="1"/>
  <c r="R743" i="2"/>
  <c r="AB743" i="2" s="1"/>
  <c r="Q743" i="2"/>
  <c r="AA743" i="2" s="1"/>
  <c r="P743" i="2"/>
  <c r="Z743" i="2" s="1"/>
  <c r="O743" i="2"/>
  <c r="N743" i="2"/>
  <c r="X743" i="2" s="1"/>
  <c r="M743" i="2"/>
  <c r="L743" i="2"/>
  <c r="AC742" i="2"/>
  <c r="AA742" i="2"/>
  <c r="Z742" i="2"/>
  <c r="Y742" i="2"/>
  <c r="X742" i="2"/>
  <c r="V742" i="2"/>
  <c r="U742" i="2"/>
  <c r="AE742" i="2" s="1"/>
  <c r="T742" i="2"/>
  <c r="AD742" i="2" s="1"/>
  <c r="S742" i="2"/>
  <c r="R742" i="2"/>
  <c r="AB742" i="2" s="1"/>
  <c r="Q742" i="2"/>
  <c r="P742" i="2"/>
  <c r="O742" i="2"/>
  <c r="N742" i="2"/>
  <c r="M742" i="2"/>
  <c r="W742" i="2" s="1"/>
  <c r="L742" i="2"/>
  <c r="AE741" i="2"/>
  <c r="AD741" i="2"/>
  <c r="AC741" i="2"/>
  <c r="AB741" i="2"/>
  <c r="Z741" i="2"/>
  <c r="Y741" i="2"/>
  <c r="X741" i="2"/>
  <c r="U741" i="2"/>
  <c r="T741" i="2"/>
  <c r="S741" i="2"/>
  <c r="R741" i="2"/>
  <c r="Q741" i="2"/>
  <c r="AA741" i="2" s="1"/>
  <c r="P741" i="2"/>
  <c r="O741" i="2"/>
  <c r="N741" i="2"/>
  <c r="M741" i="2"/>
  <c r="W741" i="2" s="1"/>
  <c r="L741" i="2"/>
  <c r="V741" i="2" s="1"/>
  <c r="AD740" i="2"/>
  <c r="AC740" i="2"/>
  <c r="AB740" i="2"/>
  <c r="U740" i="2"/>
  <c r="AE740" i="2" s="1"/>
  <c r="T740" i="2"/>
  <c r="S740" i="2"/>
  <c r="R740" i="2"/>
  <c r="Q740" i="2"/>
  <c r="AA740" i="2" s="1"/>
  <c r="P740" i="2"/>
  <c r="Z740" i="2" s="1"/>
  <c r="O740" i="2"/>
  <c r="Y740" i="2" s="1"/>
  <c r="N740" i="2"/>
  <c r="X740" i="2" s="1"/>
  <c r="M740" i="2"/>
  <c r="W740" i="2" s="1"/>
  <c r="L740" i="2"/>
  <c r="V740" i="2" s="1"/>
  <c r="Y739" i="2"/>
  <c r="W739" i="2"/>
  <c r="V739" i="2"/>
  <c r="U739" i="2"/>
  <c r="AE739" i="2" s="1"/>
  <c r="T739" i="2"/>
  <c r="AD739" i="2" s="1"/>
  <c r="S739" i="2"/>
  <c r="AC739" i="2" s="1"/>
  <c r="R739" i="2"/>
  <c r="AB739" i="2" s="1"/>
  <c r="Q739" i="2"/>
  <c r="AA739" i="2" s="1"/>
  <c r="P739" i="2"/>
  <c r="Z739" i="2" s="1"/>
  <c r="O739" i="2"/>
  <c r="N739" i="2"/>
  <c r="X739" i="2" s="1"/>
  <c r="M739" i="2"/>
  <c r="L739" i="2"/>
  <c r="AC738" i="2"/>
  <c r="AA738" i="2"/>
  <c r="Z738" i="2"/>
  <c r="Y738" i="2"/>
  <c r="X738" i="2"/>
  <c r="V738" i="2"/>
  <c r="U738" i="2"/>
  <c r="AE738" i="2" s="1"/>
  <c r="T738" i="2"/>
  <c r="AD738" i="2" s="1"/>
  <c r="S738" i="2"/>
  <c r="R738" i="2"/>
  <c r="AB738" i="2" s="1"/>
  <c r="Q738" i="2"/>
  <c r="P738" i="2"/>
  <c r="O738" i="2"/>
  <c r="N738" i="2"/>
  <c r="M738" i="2"/>
  <c r="W738" i="2" s="1"/>
  <c r="L738" i="2"/>
  <c r="AE737" i="2"/>
  <c r="AD737" i="2"/>
  <c r="AC737" i="2"/>
  <c r="AB737" i="2"/>
  <c r="Z737" i="2"/>
  <c r="Y737" i="2"/>
  <c r="X737" i="2"/>
  <c r="U737" i="2"/>
  <c r="T737" i="2"/>
  <c r="S737" i="2"/>
  <c r="R737" i="2"/>
  <c r="Q737" i="2"/>
  <c r="AA737" i="2" s="1"/>
  <c r="P737" i="2"/>
  <c r="O737" i="2"/>
  <c r="N737" i="2"/>
  <c r="M737" i="2"/>
  <c r="W737" i="2" s="1"/>
  <c r="L737" i="2"/>
  <c r="V737" i="2" s="1"/>
  <c r="AD736" i="2"/>
  <c r="AC736" i="2"/>
  <c r="AB736" i="2"/>
  <c r="U736" i="2"/>
  <c r="AE736" i="2" s="1"/>
  <c r="T736" i="2"/>
  <c r="S736" i="2"/>
  <c r="R736" i="2"/>
  <c r="Q736" i="2"/>
  <c r="AA736" i="2" s="1"/>
  <c r="P736" i="2"/>
  <c r="Z736" i="2" s="1"/>
  <c r="O736" i="2"/>
  <c r="Y736" i="2" s="1"/>
  <c r="N736" i="2"/>
  <c r="X736" i="2" s="1"/>
  <c r="M736" i="2"/>
  <c r="W736" i="2" s="1"/>
  <c r="L736" i="2"/>
  <c r="V736" i="2" s="1"/>
  <c r="Y735" i="2"/>
  <c r="W735" i="2"/>
  <c r="V735" i="2"/>
  <c r="U735" i="2"/>
  <c r="AE735" i="2" s="1"/>
  <c r="T735" i="2"/>
  <c r="AD735" i="2" s="1"/>
  <c r="S735" i="2"/>
  <c r="AC735" i="2" s="1"/>
  <c r="R735" i="2"/>
  <c r="AB735" i="2" s="1"/>
  <c r="Q735" i="2"/>
  <c r="AA735" i="2" s="1"/>
  <c r="P735" i="2"/>
  <c r="Z735" i="2" s="1"/>
  <c r="O735" i="2"/>
  <c r="N735" i="2"/>
  <c r="X735" i="2" s="1"/>
  <c r="M735" i="2"/>
  <c r="L735" i="2"/>
  <c r="AC734" i="2"/>
  <c r="AA734" i="2"/>
  <c r="Z734" i="2"/>
  <c r="Y734" i="2"/>
  <c r="X734" i="2"/>
  <c r="V734" i="2"/>
  <c r="U734" i="2"/>
  <c r="AE734" i="2" s="1"/>
  <c r="T734" i="2"/>
  <c r="AD734" i="2" s="1"/>
  <c r="S734" i="2"/>
  <c r="R734" i="2"/>
  <c r="AB734" i="2" s="1"/>
  <c r="Q734" i="2"/>
  <c r="P734" i="2"/>
  <c r="O734" i="2"/>
  <c r="N734" i="2"/>
  <c r="M734" i="2"/>
  <c r="W734" i="2" s="1"/>
  <c r="L734" i="2"/>
  <c r="AE733" i="2"/>
  <c r="AD733" i="2"/>
  <c r="AC733" i="2"/>
  <c r="AB733" i="2"/>
  <c r="Z733" i="2"/>
  <c r="Y733" i="2"/>
  <c r="X733" i="2"/>
  <c r="U733" i="2"/>
  <c r="T733" i="2"/>
  <c r="S733" i="2"/>
  <c r="R733" i="2"/>
  <c r="Q733" i="2"/>
  <c r="AA733" i="2" s="1"/>
  <c r="P733" i="2"/>
  <c r="O733" i="2"/>
  <c r="N733" i="2"/>
  <c r="M733" i="2"/>
  <c r="W733" i="2" s="1"/>
  <c r="L733" i="2"/>
  <c r="V733" i="2" s="1"/>
  <c r="AD732" i="2"/>
  <c r="AB732" i="2"/>
  <c r="U732" i="2"/>
  <c r="AE732" i="2" s="1"/>
  <c r="T732" i="2"/>
  <c r="S732" i="2"/>
  <c r="AC732" i="2" s="1"/>
  <c r="R732" i="2"/>
  <c r="Q732" i="2"/>
  <c r="AA732" i="2" s="1"/>
  <c r="P732" i="2"/>
  <c r="Z732" i="2" s="1"/>
  <c r="O732" i="2"/>
  <c r="Y732" i="2" s="1"/>
  <c r="N732" i="2"/>
  <c r="X732" i="2" s="1"/>
  <c r="M732" i="2"/>
  <c r="W732" i="2" s="1"/>
  <c r="L732" i="2"/>
  <c r="V732" i="2" s="1"/>
  <c r="Y731" i="2"/>
  <c r="W731" i="2"/>
  <c r="V731" i="2"/>
  <c r="U731" i="2"/>
  <c r="AE731" i="2" s="1"/>
  <c r="T731" i="2"/>
  <c r="AD731" i="2" s="1"/>
  <c r="S731" i="2"/>
  <c r="AC731" i="2" s="1"/>
  <c r="R731" i="2"/>
  <c r="AB731" i="2" s="1"/>
  <c r="Q731" i="2"/>
  <c r="AA731" i="2" s="1"/>
  <c r="P731" i="2"/>
  <c r="Z731" i="2" s="1"/>
  <c r="O731" i="2"/>
  <c r="N731" i="2"/>
  <c r="X731" i="2" s="1"/>
  <c r="M731" i="2"/>
  <c r="L731" i="2"/>
  <c r="AC730" i="2"/>
  <c r="AA730" i="2"/>
  <c r="Z730" i="2"/>
  <c r="Y730" i="2"/>
  <c r="X730" i="2"/>
  <c r="V730" i="2"/>
  <c r="U730" i="2"/>
  <c r="AE730" i="2" s="1"/>
  <c r="T730" i="2"/>
  <c r="AD730" i="2" s="1"/>
  <c r="S730" i="2"/>
  <c r="R730" i="2"/>
  <c r="AB730" i="2" s="1"/>
  <c r="Q730" i="2"/>
  <c r="P730" i="2"/>
  <c r="O730" i="2"/>
  <c r="N730" i="2"/>
  <c r="M730" i="2"/>
  <c r="W730" i="2" s="1"/>
  <c r="L730" i="2"/>
  <c r="AE729" i="2"/>
  <c r="AD729" i="2"/>
  <c r="AC729" i="2"/>
  <c r="AB729" i="2"/>
  <c r="Z729" i="2"/>
  <c r="X729" i="2"/>
  <c r="U729" i="2"/>
  <c r="T729" i="2"/>
  <c r="S729" i="2"/>
  <c r="R729" i="2"/>
  <c r="Q729" i="2"/>
  <c r="AA729" i="2" s="1"/>
  <c r="P729" i="2"/>
  <c r="O729" i="2"/>
  <c r="Y729" i="2" s="1"/>
  <c r="N729" i="2"/>
  <c r="M729" i="2"/>
  <c r="W729" i="2" s="1"/>
  <c r="L729" i="2"/>
  <c r="V729" i="2" s="1"/>
  <c r="AD728" i="2"/>
  <c r="AB728" i="2"/>
  <c r="U728" i="2"/>
  <c r="AE728" i="2" s="1"/>
  <c r="T728" i="2"/>
  <c r="S728" i="2"/>
  <c r="AC728" i="2" s="1"/>
  <c r="R728" i="2"/>
  <c r="Q728" i="2"/>
  <c r="AA728" i="2" s="1"/>
  <c r="P728" i="2"/>
  <c r="Z728" i="2" s="1"/>
  <c r="O728" i="2"/>
  <c r="Y728" i="2" s="1"/>
  <c r="N728" i="2"/>
  <c r="X728" i="2" s="1"/>
  <c r="M728" i="2"/>
  <c r="W728" i="2" s="1"/>
  <c r="L728" i="2"/>
  <c r="V728" i="2" s="1"/>
  <c r="Y727" i="2"/>
  <c r="W727" i="2"/>
  <c r="V727" i="2"/>
  <c r="U727" i="2"/>
  <c r="AE727" i="2" s="1"/>
  <c r="T727" i="2"/>
  <c r="AD727" i="2" s="1"/>
  <c r="S727" i="2"/>
  <c r="AC727" i="2" s="1"/>
  <c r="R727" i="2"/>
  <c r="AB727" i="2" s="1"/>
  <c r="Q727" i="2"/>
  <c r="AA727" i="2" s="1"/>
  <c r="P727" i="2"/>
  <c r="Z727" i="2" s="1"/>
  <c r="O727" i="2"/>
  <c r="N727" i="2"/>
  <c r="X727" i="2" s="1"/>
  <c r="M727" i="2"/>
  <c r="L727" i="2"/>
  <c r="AC726" i="2"/>
  <c r="AA726" i="2"/>
  <c r="Z726" i="2"/>
  <c r="Y726" i="2"/>
  <c r="X726" i="2"/>
  <c r="V726" i="2"/>
  <c r="U726" i="2"/>
  <c r="AE726" i="2" s="1"/>
  <c r="T726" i="2"/>
  <c r="AD726" i="2" s="1"/>
  <c r="S726" i="2"/>
  <c r="R726" i="2"/>
  <c r="AB726" i="2" s="1"/>
  <c r="Q726" i="2"/>
  <c r="P726" i="2"/>
  <c r="O726" i="2"/>
  <c r="N726" i="2"/>
  <c r="M726" i="2"/>
  <c r="W726" i="2" s="1"/>
  <c r="L726" i="2"/>
  <c r="AE725" i="2"/>
  <c r="AD725" i="2"/>
  <c r="AC725" i="2"/>
  <c r="AB725" i="2"/>
  <c r="Z725" i="2"/>
  <c r="X725" i="2"/>
  <c r="U725" i="2"/>
  <c r="T725" i="2"/>
  <c r="S725" i="2"/>
  <c r="R725" i="2"/>
  <c r="Q725" i="2"/>
  <c r="AA725" i="2" s="1"/>
  <c r="P725" i="2"/>
  <c r="O725" i="2"/>
  <c r="Y725" i="2" s="1"/>
  <c r="N725" i="2"/>
  <c r="M725" i="2"/>
  <c r="W725" i="2" s="1"/>
  <c r="L725" i="2"/>
  <c r="V725" i="2" s="1"/>
  <c r="AD724" i="2"/>
  <c r="AC724" i="2"/>
  <c r="AB724" i="2"/>
  <c r="U724" i="2"/>
  <c r="AE724" i="2" s="1"/>
  <c r="T724" i="2"/>
  <c r="S724" i="2"/>
  <c r="R724" i="2"/>
  <c r="Q724" i="2"/>
  <c r="AA724" i="2" s="1"/>
  <c r="P724" i="2"/>
  <c r="Z724" i="2" s="1"/>
  <c r="O724" i="2"/>
  <c r="Y724" i="2" s="1"/>
  <c r="N724" i="2"/>
  <c r="X724" i="2" s="1"/>
  <c r="M724" i="2"/>
  <c r="W724" i="2" s="1"/>
  <c r="L724" i="2"/>
  <c r="V724" i="2" s="1"/>
  <c r="Y723" i="2"/>
  <c r="W723" i="2"/>
  <c r="V723" i="2"/>
  <c r="U723" i="2"/>
  <c r="AE723" i="2" s="1"/>
  <c r="T723" i="2"/>
  <c r="AD723" i="2" s="1"/>
  <c r="S723" i="2"/>
  <c r="AC723" i="2" s="1"/>
  <c r="R723" i="2"/>
  <c r="AB723" i="2" s="1"/>
  <c r="Q723" i="2"/>
  <c r="AA723" i="2" s="1"/>
  <c r="P723" i="2"/>
  <c r="Z723" i="2" s="1"/>
  <c r="O723" i="2"/>
  <c r="N723" i="2"/>
  <c r="X723" i="2" s="1"/>
  <c r="M723" i="2"/>
  <c r="L723" i="2"/>
  <c r="AC722" i="2"/>
  <c r="AA722" i="2"/>
  <c r="Z722" i="2"/>
  <c r="Y722" i="2"/>
  <c r="X722" i="2"/>
  <c r="V722" i="2"/>
  <c r="U722" i="2"/>
  <c r="AE722" i="2" s="1"/>
  <c r="T722" i="2"/>
  <c r="AD722" i="2" s="1"/>
  <c r="S722" i="2"/>
  <c r="R722" i="2"/>
  <c r="AB722" i="2" s="1"/>
  <c r="Q722" i="2"/>
  <c r="P722" i="2"/>
  <c r="O722" i="2"/>
  <c r="N722" i="2"/>
  <c r="M722" i="2"/>
  <c r="W722" i="2" s="1"/>
  <c r="L722" i="2"/>
  <c r="AE721" i="2"/>
  <c r="AD721" i="2"/>
  <c r="AC721" i="2"/>
  <c r="AB721" i="2"/>
  <c r="Z721" i="2"/>
  <c r="Y721" i="2"/>
  <c r="X721" i="2"/>
  <c r="U721" i="2"/>
  <c r="T721" i="2"/>
  <c r="S721" i="2"/>
  <c r="R721" i="2"/>
  <c r="Q721" i="2"/>
  <c r="AA721" i="2" s="1"/>
  <c r="P721" i="2"/>
  <c r="O721" i="2"/>
  <c r="N721" i="2"/>
  <c r="M721" i="2"/>
  <c r="W721" i="2" s="1"/>
  <c r="L721" i="2"/>
  <c r="V721" i="2" s="1"/>
  <c r="AD720" i="2"/>
  <c r="U720" i="2"/>
  <c r="AE720" i="2" s="1"/>
  <c r="T720" i="2"/>
  <c r="S720" i="2"/>
  <c r="AC720" i="2" s="1"/>
  <c r="R720" i="2"/>
  <c r="AB720" i="2" s="1"/>
  <c r="Q720" i="2"/>
  <c r="AA720" i="2" s="1"/>
  <c r="P720" i="2"/>
  <c r="Z720" i="2" s="1"/>
  <c r="O720" i="2"/>
  <c r="Y720" i="2" s="1"/>
  <c r="N720" i="2"/>
  <c r="X720" i="2" s="1"/>
  <c r="M720" i="2"/>
  <c r="W720" i="2" s="1"/>
  <c r="L720" i="2"/>
  <c r="V720" i="2" s="1"/>
  <c r="Y719" i="2"/>
  <c r="W719" i="2"/>
  <c r="V719" i="2"/>
  <c r="U719" i="2"/>
  <c r="AE719" i="2" s="1"/>
  <c r="T719" i="2"/>
  <c r="AD719" i="2" s="1"/>
  <c r="S719" i="2"/>
  <c r="AC719" i="2" s="1"/>
  <c r="R719" i="2"/>
  <c r="AB719" i="2" s="1"/>
  <c r="Q719" i="2"/>
  <c r="AA719" i="2" s="1"/>
  <c r="P719" i="2"/>
  <c r="Z719" i="2" s="1"/>
  <c r="O719" i="2"/>
  <c r="N719" i="2"/>
  <c r="X719" i="2" s="1"/>
  <c r="M719" i="2"/>
  <c r="L719" i="2"/>
  <c r="AC718" i="2"/>
  <c r="AA718" i="2"/>
  <c r="Z718" i="2"/>
  <c r="Y718" i="2"/>
  <c r="X718" i="2"/>
  <c r="V718" i="2"/>
  <c r="U718" i="2"/>
  <c r="AE718" i="2" s="1"/>
  <c r="T718" i="2"/>
  <c r="AD718" i="2" s="1"/>
  <c r="S718" i="2"/>
  <c r="R718" i="2"/>
  <c r="AB718" i="2" s="1"/>
  <c r="Q718" i="2"/>
  <c r="P718" i="2"/>
  <c r="O718" i="2"/>
  <c r="N718" i="2"/>
  <c r="M718" i="2"/>
  <c r="W718" i="2" s="1"/>
  <c r="L718" i="2"/>
  <c r="AE717" i="2"/>
  <c r="AD717" i="2"/>
  <c r="AC717" i="2"/>
  <c r="AB717" i="2"/>
  <c r="Z717" i="2"/>
  <c r="Y717" i="2"/>
  <c r="X717" i="2"/>
  <c r="U717" i="2"/>
  <c r="T717" i="2"/>
  <c r="S717" i="2"/>
  <c r="R717" i="2"/>
  <c r="Q717" i="2"/>
  <c r="AA717" i="2" s="1"/>
  <c r="P717" i="2"/>
  <c r="O717" i="2"/>
  <c r="N717" i="2"/>
  <c r="M717" i="2"/>
  <c r="W717" i="2" s="1"/>
  <c r="L717" i="2"/>
  <c r="V717" i="2" s="1"/>
  <c r="AD716" i="2"/>
  <c r="U716" i="2"/>
  <c r="AE716" i="2" s="1"/>
  <c r="T716" i="2"/>
  <c r="S716" i="2"/>
  <c r="AC716" i="2" s="1"/>
  <c r="R716" i="2"/>
  <c r="AB716" i="2" s="1"/>
  <c r="Q716" i="2"/>
  <c r="AA716" i="2" s="1"/>
  <c r="P716" i="2"/>
  <c r="Z716" i="2" s="1"/>
  <c r="O716" i="2"/>
  <c r="Y716" i="2" s="1"/>
  <c r="N716" i="2"/>
  <c r="X716" i="2" s="1"/>
  <c r="M716" i="2"/>
  <c r="W716" i="2" s="1"/>
  <c r="L716" i="2"/>
  <c r="V716" i="2" s="1"/>
  <c r="Y715" i="2"/>
  <c r="W715" i="2"/>
  <c r="V715" i="2"/>
  <c r="U715" i="2"/>
  <c r="AE715" i="2" s="1"/>
  <c r="T715" i="2"/>
  <c r="AD715" i="2" s="1"/>
  <c r="S715" i="2"/>
  <c r="AC715" i="2" s="1"/>
  <c r="R715" i="2"/>
  <c r="AB715" i="2" s="1"/>
  <c r="Q715" i="2"/>
  <c r="AA715" i="2" s="1"/>
  <c r="P715" i="2"/>
  <c r="Z715" i="2" s="1"/>
  <c r="O715" i="2"/>
  <c r="N715" i="2"/>
  <c r="X715" i="2" s="1"/>
  <c r="M715" i="2"/>
  <c r="L715" i="2"/>
  <c r="AC714" i="2"/>
  <c r="AA714" i="2"/>
  <c r="Z714" i="2"/>
  <c r="Y714" i="2"/>
  <c r="X714" i="2"/>
  <c r="V714" i="2"/>
  <c r="U714" i="2"/>
  <c r="AE714" i="2" s="1"/>
  <c r="T714" i="2"/>
  <c r="AD714" i="2" s="1"/>
  <c r="S714" i="2"/>
  <c r="R714" i="2"/>
  <c r="AB714" i="2" s="1"/>
  <c r="Q714" i="2"/>
  <c r="P714" i="2"/>
  <c r="O714" i="2"/>
  <c r="N714" i="2"/>
  <c r="M714" i="2"/>
  <c r="W714" i="2" s="1"/>
  <c r="L714" i="2"/>
  <c r="AE713" i="2"/>
  <c r="AD713" i="2"/>
  <c r="AC713" i="2"/>
  <c r="AB713" i="2"/>
  <c r="Z713" i="2"/>
  <c r="U713" i="2"/>
  <c r="T713" i="2"/>
  <c r="S713" i="2"/>
  <c r="R713" i="2"/>
  <c r="Q713" i="2"/>
  <c r="AA713" i="2" s="1"/>
  <c r="P713" i="2"/>
  <c r="O713" i="2"/>
  <c r="Y713" i="2" s="1"/>
  <c r="N713" i="2"/>
  <c r="X713" i="2" s="1"/>
  <c r="M713" i="2"/>
  <c r="W713" i="2" s="1"/>
  <c r="L713" i="2"/>
  <c r="V713" i="2" s="1"/>
  <c r="AD712" i="2"/>
  <c r="AB712" i="2"/>
  <c r="U712" i="2"/>
  <c r="AE712" i="2" s="1"/>
  <c r="T712" i="2"/>
  <c r="S712" i="2"/>
  <c r="AC712" i="2" s="1"/>
  <c r="R712" i="2"/>
  <c r="Q712" i="2"/>
  <c r="AA712" i="2" s="1"/>
  <c r="P712" i="2"/>
  <c r="Z712" i="2" s="1"/>
  <c r="O712" i="2"/>
  <c r="Y712" i="2" s="1"/>
  <c r="N712" i="2"/>
  <c r="X712" i="2" s="1"/>
  <c r="M712" i="2"/>
  <c r="W712" i="2" s="1"/>
  <c r="L712" i="2"/>
  <c r="V712" i="2" s="1"/>
  <c r="Y711" i="2"/>
  <c r="W711" i="2"/>
  <c r="V711" i="2"/>
  <c r="U711" i="2"/>
  <c r="AE711" i="2" s="1"/>
  <c r="T711" i="2"/>
  <c r="AD711" i="2" s="1"/>
  <c r="S711" i="2"/>
  <c r="AC711" i="2" s="1"/>
  <c r="R711" i="2"/>
  <c r="AB711" i="2" s="1"/>
  <c r="Q711" i="2"/>
  <c r="AA711" i="2" s="1"/>
  <c r="P711" i="2"/>
  <c r="Z711" i="2" s="1"/>
  <c r="O711" i="2"/>
  <c r="N711" i="2"/>
  <c r="X711" i="2" s="1"/>
  <c r="M711" i="2"/>
  <c r="L711" i="2"/>
  <c r="AC710" i="2"/>
  <c r="AA710" i="2"/>
  <c r="Z710" i="2"/>
  <c r="Y710" i="2"/>
  <c r="X710" i="2"/>
  <c r="V710" i="2"/>
  <c r="U710" i="2"/>
  <c r="AE710" i="2" s="1"/>
  <c r="T710" i="2"/>
  <c r="AD710" i="2" s="1"/>
  <c r="S710" i="2"/>
  <c r="R710" i="2"/>
  <c r="AB710" i="2" s="1"/>
  <c r="Q710" i="2"/>
  <c r="P710" i="2"/>
  <c r="O710" i="2"/>
  <c r="N710" i="2"/>
  <c r="M710" i="2"/>
  <c r="W710" i="2" s="1"/>
  <c r="L710" i="2"/>
  <c r="AE709" i="2"/>
  <c r="AD709" i="2"/>
  <c r="AC709" i="2"/>
  <c r="AB709" i="2"/>
  <c r="Z709" i="2"/>
  <c r="Y709" i="2"/>
  <c r="X709" i="2"/>
  <c r="U709" i="2"/>
  <c r="T709" i="2"/>
  <c r="S709" i="2"/>
  <c r="R709" i="2"/>
  <c r="Q709" i="2"/>
  <c r="AA709" i="2" s="1"/>
  <c r="P709" i="2"/>
  <c r="O709" i="2"/>
  <c r="N709" i="2"/>
  <c r="M709" i="2"/>
  <c r="W709" i="2" s="1"/>
  <c r="L709" i="2"/>
  <c r="V709" i="2" s="1"/>
  <c r="AD708" i="2"/>
  <c r="AB708" i="2"/>
  <c r="U708" i="2"/>
  <c r="AE708" i="2" s="1"/>
  <c r="T708" i="2"/>
  <c r="S708" i="2"/>
  <c r="AC708" i="2" s="1"/>
  <c r="R708" i="2"/>
  <c r="Q708" i="2"/>
  <c r="AA708" i="2" s="1"/>
  <c r="P708" i="2"/>
  <c r="Z708" i="2" s="1"/>
  <c r="O708" i="2"/>
  <c r="Y708" i="2" s="1"/>
  <c r="N708" i="2"/>
  <c r="X708" i="2" s="1"/>
  <c r="M708" i="2"/>
  <c r="W708" i="2" s="1"/>
  <c r="L708" i="2"/>
  <c r="V708" i="2" s="1"/>
  <c r="Y707" i="2"/>
  <c r="W707" i="2"/>
  <c r="V707" i="2"/>
  <c r="U707" i="2"/>
  <c r="AE707" i="2" s="1"/>
  <c r="T707" i="2"/>
  <c r="AD707" i="2" s="1"/>
  <c r="S707" i="2"/>
  <c r="AC707" i="2" s="1"/>
  <c r="R707" i="2"/>
  <c r="AB707" i="2" s="1"/>
  <c r="Q707" i="2"/>
  <c r="AA707" i="2" s="1"/>
  <c r="P707" i="2"/>
  <c r="Z707" i="2" s="1"/>
  <c r="O707" i="2"/>
  <c r="N707" i="2"/>
  <c r="X707" i="2" s="1"/>
  <c r="M707" i="2"/>
  <c r="L707" i="2"/>
  <c r="AC706" i="2"/>
  <c r="AA706" i="2"/>
  <c r="Z706" i="2"/>
  <c r="Y706" i="2"/>
  <c r="X706" i="2"/>
  <c r="V706" i="2"/>
  <c r="U706" i="2"/>
  <c r="AE706" i="2" s="1"/>
  <c r="T706" i="2"/>
  <c r="AD706" i="2" s="1"/>
  <c r="S706" i="2"/>
  <c r="R706" i="2"/>
  <c r="AB706" i="2" s="1"/>
  <c r="Q706" i="2"/>
  <c r="P706" i="2"/>
  <c r="O706" i="2"/>
  <c r="N706" i="2"/>
  <c r="M706" i="2"/>
  <c r="W706" i="2" s="1"/>
  <c r="L706" i="2"/>
  <c r="AE705" i="2"/>
  <c r="AD705" i="2"/>
  <c r="AC705" i="2"/>
  <c r="AB705" i="2"/>
  <c r="Z705" i="2"/>
  <c r="Y705" i="2"/>
  <c r="X705" i="2"/>
  <c r="U705" i="2"/>
  <c r="T705" i="2"/>
  <c r="S705" i="2"/>
  <c r="R705" i="2"/>
  <c r="Q705" i="2"/>
  <c r="AA705" i="2" s="1"/>
  <c r="P705" i="2"/>
  <c r="O705" i="2"/>
  <c r="N705" i="2"/>
  <c r="M705" i="2"/>
  <c r="W705" i="2" s="1"/>
  <c r="L705" i="2"/>
  <c r="V705" i="2" s="1"/>
  <c r="AD704" i="2"/>
  <c r="U704" i="2"/>
  <c r="AE704" i="2" s="1"/>
  <c r="T704" i="2"/>
  <c r="S704" i="2"/>
  <c r="AC704" i="2" s="1"/>
  <c r="R704" i="2"/>
  <c r="AB704" i="2" s="1"/>
  <c r="Q704" i="2"/>
  <c r="AA704" i="2" s="1"/>
  <c r="P704" i="2"/>
  <c r="Z704" i="2" s="1"/>
  <c r="O704" i="2"/>
  <c r="Y704" i="2" s="1"/>
  <c r="N704" i="2"/>
  <c r="X704" i="2" s="1"/>
  <c r="M704" i="2"/>
  <c r="W704" i="2" s="1"/>
  <c r="L704" i="2"/>
  <c r="V704" i="2" s="1"/>
  <c r="Y703" i="2"/>
  <c r="W703" i="2"/>
  <c r="V703" i="2"/>
  <c r="U703" i="2"/>
  <c r="AE703" i="2" s="1"/>
  <c r="T703" i="2"/>
  <c r="AD703" i="2" s="1"/>
  <c r="S703" i="2"/>
  <c r="AC703" i="2" s="1"/>
  <c r="R703" i="2"/>
  <c r="AB703" i="2" s="1"/>
  <c r="Q703" i="2"/>
  <c r="AA703" i="2" s="1"/>
  <c r="P703" i="2"/>
  <c r="Z703" i="2" s="1"/>
  <c r="O703" i="2"/>
  <c r="N703" i="2"/>
  <c r="X703" i="2" s="1"/>
  <c r="M703" i="2"/>
  <c r="L703" i="2"/>
  <c r="AC702" i="2"/>
  <c r="AA702" i="2"/>
  <c r="Z702" i="2"/>
  <c r="Y702" i="2"/>
  <c r="X702" i="2"/>
  <c r="V702" i="2"/>
  <c r="U702" i="2"/>
  <c r="AE702" i="2" s="1"/>
  <c r="T702" i="2"/>
  <c r="AD702" i="2" s="1"/>
  <c r="S702" i="2"/>
  <c r="R702" i="2"/>
  <c r="AB702" i="2" s="1"/>
  <c r="Q702" i="2"/>
  <c r="P702" i="2"/>
  <c r="O702" i="2"/>
  <c r="N702" i="2"/>
  <c r="M702" i="2"/>
  <c r="W702" i="2" s="1"/>
  <c r="L702" i="2"/>
  <c r="AE701" i="2"/>
  <c r="AD701" i="2"/>
  <c r="AC701" i="2"/>
  <c r="AB701" i="2"/>
  <c r="Z701" i="2"/>
  <c r="U701" i="2"/>
  <c r="T701" i="2"/>
  <c r="S701" i="2"/>
  <c r="R701" i="2"/>
  <c r="Q701" i="2"/>
  <c r="AA701" i="2" s="1"/>
  <c r="P701" i="2"/>
  <c r="O701" i="2"/>
  <c r="Y701" i="2" s="1"/>
  <c r="N701" i="2"/>
  <c r="X701" i="2" s="1"/>
  <c r="M701" i="2"/>
  <c r="W701" i="2" s="1"/>
  <c r="L701" i="2"/>
  <c r="V701" i="2" s="1"/>
  <c r="AD700" i="2"/>
  <c r="AC700" i="2"/>
  <c r="U700" i="2"/>
  <c r="AE700" i="2" s="1"/>
  <c r="T700" i="2"/>
  <c r="S700" i="2"/>
  <c r="R700" i="2"/>
  <c r="AB700" i="2" s="1"/>
  <c r="Q700" i="2"/>
  <c r="AA700" i="2" s="1"/>
  <c r="P700" i="2"/>
  <c r="Z700" i="2" s="1"/>
  <c r="O700" i="2"/>
  <c r="Y700" i="2" s="1"/>
  <c r="N700" i="2"/>
  <c r="X700" i="2" s="1"/>
  <c r="M700" i="2"/>
  <c r="W700" i="2" s="1"/>
  <c r="L700" i="2"/>
  <c r="V700" i="2" s="1"/>
  <c r="Y699" i="2"/>
  <c r="W699" i="2"/>
  <c r="V699" i="2"/>
  <c r="U699" i="2"/>
  <c r="AE699" i="2" s="1"/>
  <c r="T699" i="2"/>
  <c r="AD699" i="2" s="1"/>
  <c r="S699" i="2"/>
  <c r="AC699" i="2" s="1"/>
  <c r="R699" i="2"/>
  <c r="AB699" i="2" s="1"/>
  <c r="Q699" i="2"/>
  <c r="AA699" i="2" s="1"/>
  <c r="P699" i="2"/>
  <c r="Z699" i="2" s="1"/>
  <c r="O699" i="2"/>
  <c r="N699" i="2"/>
  <c r="X699" i="2" s="1"/>
  <c r="M699" i="2"/>
  <c r="L699" i="2"/>
  <c r="AC698" i="2"/>
  <c r="AA698" i="2"/>
  <c r="Z698" i="2"/>
  <c r="Y698" i="2"/>
  <c r="X698" i="2"/>
  <c r="V698" i="2"/>
  <c r="U698" i="2"/>
  <c r="AE698" i="2" s="1"/>
  <c r="T698" i="2"/>
  <c r="AD698" i="2" s="1"/>
  <c r="S698" i="2"/>
  <c r="R698" i="2"/>
  <c r="AB698" i="2" s="1"/>
  <c r="Q698" i="2"/>
  <c r="P698" i="2"/>
  <c r="O698" i="2"/>
  <c r="N698" i="2"/>
  <c r="M698" i="2"/>
  <c r="W698" i="2" s="1"/>
  <c r="L698" i="2"/>
  <c r="AE697" i="2"/>
  <c r="AD697" i="2"/>
  <c r="AC697" i="2"/>
  <c r="AB697" i="2"/>
  <c r="Z697" i="2"/>
  <c r="Y697" i="2"/>
  <c r="U697" i="2"/>
  <c r="T697" i="2"/>
  <c r="S697" i="2"/>
  <c r="R697" i="2"/>
  <c r="Q697" i="2"/>
  <c r="AA697" i="2" s="1"/>
  <c r="P697" i="2"/>
  <c r="O697" i="2"/>
  <c r="N697" i="2"/>
  <c r="X697" i="2" s="1"/>
  <c r="M697" i="2"/>
  <c r="W697" i="2" s="1"/>
  <c r="L697" i="2"/>
  <c r="V697" i="2" s="1"/>
  <c r="AD696" i="2"/>
  <c r="AC696" i="2"/>
  <c r="AB696" i="2"/>
  <c r="U696" i="2"/>
  <c r="AE696" i="2" s="1"/>
  <c r="T696" i="2"/>
  <c r="S696" i="2"/>
  <c r="R696" i="2"/>
  <c r="Q696" i="2"/>
  <c r="AA696" i="2" s="1"/>
  <c r="P696" i="2"/>
  <c r="Z696" i="2" s="1"/>
  <c r="O696" i="2"/>
  <c r="Y696" i="2" s="1"/>
  <c r="N696" i="2"/>
  <c r="X696" i="2" s="1"/>
  <c r="M696" i="2"/>
  <c r="W696" i="2" s="1"/>
  <c r="L696" i="2"/>
  <c r="V696" i="2" s="1"/>
  <c r="Y695" i="2"/>
  <c r="W695" i="2"/>
  <c r="V695" i="2"/>
  <c r="U695" i="2"/>
  <c r="AE695" i="2" s="1"/>
  <c r="T695" i="2"/>
  <c r="AD695" i="2" s="1"/>
  <c r="S695" i="2"/>
  <c r="AC695" i="2" s="1"/>
  <c r="R695" i="2"/>
  <c r="AB695" i="2" s="1"/>
  <c r="Q695" i="2"/>
  <c r="AA695" i="2" s="1"/>
  <c r="P695" i="2"/>
  <c r="Z695" i="2" s="1"/>
  <c r="O695" i="2"/>
  <c r="N695" i="2"/>
  <c r="X695" i="2" s="1"/>
  <c r="M695" i="2"/>
  <c r="L695" i="2"/>
  <c r="AC694" i="2"/>
  <c r="AA694" i="2"/>
  <c r="Z694" i="2"/>
  <c r="Y694" i="2"/>
  <c r="X694" i="2"/>
  <c r="V694" i="2"/>
  <c r="U694" i="2"/>
  <c r="AE694" i="2" s="1"/>
  <c r="T694" i="2"/>
  <c r="AD694" i="2" s="1"/>
  <c r="S694" i="2"/>
  <c r="R694" i="2"/>
  <c r="AB694" i="2" s="1"/>
  <c r="Q694" i="2"/>
  <c r="P694" i="2"/>
  <c r="O694" i="2"/>
  <c r="N694" i="2"/>
  <c r="M694" i="2"/>
  <c r="W694" i="2" s="1"/>
  <c r="L694" i="2"/>
  <c r="AE693" i="2"/>
  <c r="AD693" i="2"/>
  <c r="AC693" i="2"/>
  <c r="AB693" i="2"/>
  <c r="Z693" i="2"/>
  <c r="Y693" i="2"/>
  <c r="X693" i="2"/>
  <c r="U693" i="2"/>
  <c r="T693" i="2"/>
  <c r="S693" i="2"/>
  <c r="R693" i="2"/>
  <c r="Q693" i="2"/>
  <c r="AA693" i="2" s="1"/>
  <c r="P693" i="2"/>
  <c r="O693" i="2"/>
  <c r="N693" i="2"/>
  <c r="M693" i="2"/>
  <c r="W693" i="2" s="1"/>
  <c r="L693" i="2"/>
  <c r="V693" i="2" s="1"/>
  <c r="AD692" i="2"/>
  <c r="U692" i="2"/>
  <c r="AE692" i="2" s="1"/>
  <c r="T692" i="2"/>
  <c r="S692" i="2"/>
  <c r="AC692" i="2" s="1"/>
  <c r="R692" i="2"/>
  <c r="AB692" i="2" s="1"/>
  <c r="Q692" i="2"/>
  <c r="AA692" i="2" s="1"/>
  <c r="P692" i="2"/>
  <c r="Z692" i="2" s="1"/>
  <c r="O692" i="2"/>
  <c r="Y692" i="2" s="1"/>
  <c r="N692" i="2"/>
  <c r="X692" i="2" s="1"/>
  <c r="M692" i="2"/>
  <c r="W692" i="2" s="1"/>
  <c r="L692" i="2"/>
  <c r="V692" i="2" s="1"/>
  <c r="Y691" i="2"/>
  <c r="W691" i="2"/>
  <c r="V691" i="2"/>
  <c r="U691" i="2"/>
  <c r="AE691" i="2" s="1"/>
  <c r="T691" i="2"/>
  <c r="AD691" i="2" s="1"/>
  <c r="S691" i="2"/>
  <c r="AC691" i="2" s="1"/>
  <c r="R691" i="2"/>
  <c r="AB691" i="2" s="1"/>
  <c r="Q691" i="2"/>
  <c r="AA691" i="2" s="1"/>
  <c r="P691" i="2"/>
  <c r="Z691" i="2" s="1"/>
  <c r="O691" i="2"/>
  <c r="N691" i="2"/>
  <c r="X691" i="2" s="1"/>
  <c r="M691" i="2"/>
  <c r="L691" i="2"/>
  <c r="AC690" i="2"/>
  <c r="AA690" i="2"/>
  <c r="Z690" i="2"/>
  <c r="Y690" i="2"/>
  <c r="X690" i="2"/>
  <c r="V690" i="2"/>
  <c r="U690" i="2"/>
  <c r="AE690" i="2" s="1"/>
  <c r="T690" i="2"/>
  <c r="AD690" i="2" s="1"/>
  <c r="S690" i="2"/>
  <c r="R690" i="2"/>
  <c r="AB690" i="2" s="1"/>
  <c r="Q690" i="2"/>
  <c r="P690" i="2"/>
  <c r="O690" i="2"/>
  <c r="N690" i="2"/>
  <c r="M690" i="2"/>
  <c r="W690" i="2" s="1"/>
  <c r="L690" i="2"/>
  <c r="AE689" i="2"/>
  <c r="AD689" i="2"/>
  <c r="AC689" i="2"/>
  <c r="AB689" i="2"/>
  <c r="Z689" i="2"/>
  <c r="U689" i="2"/>
  <c r="T689" i="2"/>
  <c r="S689" i="2"/>
  <c r="R689" i="2"/>
  <c r="Q689" i="2"/>
  <c r="AA689" i="2" s="1"/>
  <c r="P689" i="2"/>
  <c r="O689" i="2"/>
  <c r="Y689" i="2" s="1"/>
  <c r="N689" i="2"/>
  <c r="X689" i="2" s="1"/>
  <c r="M689" i="2"/>
  <c r="W689" i="2" s="1"/>
  <c r="L689" i="2"/>
  <c r="V689" i="2" s="1"/>
  <c r="AD688" i="2"/>
  <c r="U688" i="2"/>
  <c r="AE688" i="2" s="1"/>
  <c r="T688" i="2"/>
  <c r="S688" i="2"/>
  <c r="AC688" i="2" s="1"/>
  <c r="R688" i="2"/>
  <c r="AB688" i="2" s="1"/>
  <c r="Q688" i="2"/>
  <c r="AA688" i="2" s="1"/>
  <c r="P688" i="2"/>
  <c r="Z688" i="2" s="1"/>
  <c r="O688" i="2"/>
  <c r="Y688" i="2" s="1"/>
  <c r="N688" i="2"/>
  <c r="X688" i="2" s="1"/>
  <c r="M688" i="2"/>
  <c r="W688" i="2" s="1"/>
  <c r="L688" i="2"/>
  <c r="V688" i="2" s="1"/>
  <c r="Y687" i="2"/>
  <c r="W687" i="2"/>
  <c r="V687" i="2"/>
  <c r="U687" i="2"/>
  <c r="AE687" i="2" s="1"/>
  <c r="T687" i="2"/>
  <c r="AD687" i="2" s="1"/>
  <c r="S687" i="2"/>
  <c r="AC687" i="2" s="1"/>
  <c r="R687" i="2"/>
  <c r="AB687" i="2" s="1"/>
  <c r="Q687" i="2"/>
  <c r="AA687" i="2" s="1"/>
  <c r="P687" i="2"/>
  <c r="Z687" i="2" s="1"/>
  <c r="O687" i="2"/>
  <c r="N687" i="2"/>
  <c r="X687" i="2" s="1"/>
  <c r="M687" i="2"/>
  <c r="L687" i="2"/>
  <c r="AC686" i="2"/>
  <c r="AA686" i="2"/>
  <c r="Z686" i="2"/>
  <c r="Y686" i="2"/>
  <c r="X686" i="2"/>
  <c r="V686" i="2"/>
  <c r="U686" i="2"/>
  <c r="AE686" i="2" s="1"/>
  <c r="T686" i="2"/>
  <c r="AD686" i="2" s="1"/>
  <c r="S686" i="2"/>
  <c r="R686" i="2"/>
  <c r="AB686" i="2" s="1"/>
  <c r="Q686" i="2"/>
  <c r="P686" i="2"/>
  <c r="O686" i="2"/>
  <c r="N686" i="2"/>
  <c r="M686" i="2"/>
  <c r="W686" i="2" s="1"/>
  <c r="L686" i="2"/>
  <c r="AE685" i="2"/>
  <c r="AD685" i="2"/>
  <c r="AC685" i="2"/>
  <c r="AB685" i="2"/>
  <c r="Z685" i="2"/>
  <c r="U685" i="2"/>
  <c r="T685" i="2"/>
  <c r="S685" i="2"/>
  <c r="R685" i="2"/>
  <c r="Q685" i="2"/>
  <c r="AA685" i="2" s="1"/>
  <c r="P685" i="2"/>
  <c r="O685" i="2"/>
  <c r="Y685" i="2" s="1"/>
  <c r="N685" i="2"/>
  <c r="X685" i="2" s="1"/>
  <c r="M685" i="2"/>
  <c r="W685" i="2" s="1"/>
  <c r="L685" i="2"/>
  <c r="V685" i="2" s="1"/>
  <c r="AD684" i="2"/>
  <c r="AC684" i="2"/>
  <c r="AB684" i="2"/>
  <c r="U684" i="2"/>
  <c r="AE684" i="2" s="1"/>
  <c r="T684" i="2"/>
  <c r="S684" i="2"/>
  <c r="R684" i="2"/>
  <c r="Q684" i="2"/>
  <c r="AA684" i="2" s="1"/>
  <c r="P684" i="2"/>
  <c r="Z684" i="2" s="1"/>
  <c r="O684" i="2"/>
  <c r="Y684" i="2" s="1"/>
  <c r="N684" i="2"/>
  <c r="X684" i="2" s="1"/>
  <c r="M684" i="2"/>
  <c r="W684" i="2" s="1"/>
  <c r="L684" i="2"/>
  <c r="V684" i="2" s="1"/>
  <c r="Y683" i="2"/>
  <c r="W683" i="2"/>
  <c r="V683" i="2"/>
  <c r="U683" i="2"/>
  <c r="AE683" i="2" s="1"/>
  <c r="T683" i="2"/>
  <c r="AD683" i="2" s="1"/>
  <c r="S683" i="2"/>
  <c r="AC683" i="2" s="1"/>
  <c r="R683" i="2"/>
  <c r="AB683" i="2" s="1"/>
  <c r="Q683" i="2"/>
  <c r="AA683" i="2" s="1"/>
  <c r="P683" i="2"/>
  <c r="Z683" i="2" s="1"/>
  <c r="O683" i="2"/>
  <c r="N683" i="2"/>
  <c r="X683" i="2" s="1"/>
  <c r="M683" i="2"/>
  <c r="L683" i="2"/>
  <c r="AC682" i="2"/>
  <c r="AA682" i="2"/>
  <c r="Z682" i="2"/>
  <c r="Y682" i="2"/>
  <c r="X682" i="2"/>
  <c r="V682" i="2"/>
  <c r="U682" i="2"/>
  <c r="AE682" i="2" s="1"/>
  <c r="T682" i="2"/>
  <c r="AD682" i="2" s="1"/>
  <c r="S682" i="2"/>
  <c r="R682" i="2"/>
  <c r="AB682" i="2" s="1"/>
  <c r="Q682" i="2"/>
  <c r="P682" i="2"/>
  <c r="O682" i="2"/>
  <c r="N682" i="2"/>
  <c r="M682" i="2"/>
  <c r="W682" i="2" s="1"/>
  <c r="L682" i="2"/>
  <c r="AE681" i="2"/>
  <c r="AD681" i="2"/>
  <c r="AC681" i="2"/>
  <c r="AB681" i="2"/>
  <c r="Z681" i="2"/>
  <c r="X681" i="2"/>
  <c r="V681" i="2"/>
  <c r="U681" i="2"/>
  <c r="T681" i="2"/>
  <c r="S681" i="2"/>
  <c r="R681" i="2"/>
  <c r="Q681" i="2"/>
  <c r="AA681" i="2" s="1"/>
  <c r="P681" i="2"/>
  <c r="O681" i="2"/>
  <c r="Y681" i="2" s="1"/>
  <c r="N681" i="2"/>
  <c r="M681" i="2"/>
  <c r="W681" i="2" s="1"/>
  <c r="L681" i="2"/>
  <c r="AD680" i="2"/>
  <c r="Z680" i="2"/>
  <c r="U680" i="2"/>
  <c r="AE680" i="2" s="1"/>
  <c r="T680" i="2"/>
  <c r="S680" i="2"/>
  <c r="AC680" i="2" s="1"/>
  <c r="R680" i="2"/>
  <c r="AB680" i="2" s="1"/>
  <c r="Q680" i="2"/>
  <c r="AA680" i="2" s="1"/>
  <c r="P680" i="2"/>
  <c r="O680" i="2"/>
  <c r="Y680" i="2" s="1"/>
  <c r="N680" i="2"/>
  <c r="X680" i="2" s="1"/>
  <c r="M680" i="2"/>
  <c r="W680" i="2" s="1"/>
  <c r="L680" i="2"/>
  <c r="V680" i="2" s="1"/>
  <c r="AD679" i="2"/>
  <c r="Y679" i="2"/>
  <c r="W679" i="2"/>
  <c r="V679" i="2"/>
  <c r="U679" i="2"/>
  <c r="AE679" i="2" s="1"/>
  <c r="T679" i="2"/>
  <c r="S679" i="2"/>
  <c r="AC679" i="2" s="1"/>
  <c r="R679" i="2"/>
  <c r="AB679" i="2" s="1"/>
  <c r="Q679" i="2"/>
  <c r="AA679" i="2" s="1"/>
  <c r="P679" i="2"/>
  <c r="Z679" i="2" s="1"/>
  <c r="O679" i="2"/>
  <c r="N679" i="2"/>
  <c r="X679" i="2" s="1"/>
  <c r="M679" i="2"/>
  <c r="L679" i="2"/>
  <c r="AC678" i="2"/>
  <c r="AA678" i="2"/>
  <c r="Z678" i="2"/>
  <c r="Y678" i="2"/>
  <c r="X678" i="2"/>
  <c r="V678" i="2"/>
  <c r="U678" i="2"/>
  <c r="AE678" i="2" s="1"/>
  <c r="T678" i="2"/>
  <c r="AD678" i="2" s="1"/>
  <c r="S678" i="2"/>
  <c r="R678" i="2"/>
  <c r="AB678" i="2" s="1"/>
  <c r="Q678" i="2"/>
  <c r="P678" i="2"/>
  <c r="O678" i="2"/>
  <c r="N678" i="2"/>
  <c r="M678" i="2"/>
  <c r="W678" i="2" s="1"/>
  <c r="L678" i="2"/>
  <c r="AE677" i="2"/>
  <c r="AD677" i="2"/>
  <c r="AC677" i="2"/>
  <c r="AB677" i="2"/>
  <c r="Z677" i="2"/>
  <c r="Y677" i="2"/>
  <c r="X677" i="2"/>
  <c r="V677" i="2"/>
  <c r="U677" i="2"/>
  <c r="T677" i="2"/>
  <c r="S677" i="2"/>
  <c r="R677" i="2"/>
  <c r="Q677" i="2"/>
  <c r="AA677" i="2" s="1"/>
  <c r="P677" i="2"/>
  <c r="O677" i="2"/>
  <c r="N677" i="2"/>
  <c r="M677" i="2"/>
  <c r="W677" i="2" s="1"/>
  <c r="L677" i="2"/>
  <c r="AD676" i="2"/>
  <c r="Z676" i="2"/>
  <c r="U676" i="2"/>
  <c r="AE676" i="2" s="1"/>
  <c r="T676" i="2"/>
  <c r="S676" i="2"/>
  <c r="AC676" i="2" s="1"/>
  <c r="R676" i="2"/>
  <c r="AB676" i="2" s="1"/>
  <c r="Q676" i="2"/>
  <c r="AA676" i="2" s="1"/>
  <c r="P676" i="2"/>
  <c r="O676" i="2"/>
  <c r="Y676" i="2" s="1"/>
  <c r="N676" i="2"/>
  <c r="X676" i="2" s="1"/>
  <c r="M676" i="2"/>
  <c r="W676" i="2" s="1"/>
  <c r="L676" i="2"/>
  <c r="V676" i="2" s="1"/>
  <c r="AD675" i="2"/>
  <c r="Y675" i="2"/>
  <c r="W675" i="2"/>
  <c r="V675" i="2"/>
  <c r="U675" i="2"/>
  <c r="AE675" i="2" s="1"/>
  <c r="T675" i="2"/>
  <c r="S675" i="2"/>
  <c r="AC675" i="2" s="1"/>
  <c r="R675" i="2"/>
  <c r="AB675" i="2" s="1"/>
  <c r="Q675" i="2"/>
  <c r="AA675" i="2" s="1"/>
  <c r="P675" i="2"/>
  <c r="Z675" i="2" s="1"/>
  <c r="O675" i="2"/>
  <c r="N675" i="2"/>
  <c r="X675" i="2" s="1"/>
  <c r="M675" i="2"/>
  <c r="L675" i="2"/>
  <c r="AC674" i="2"/>
  <c r="AA674" i="2"/>
  <c r="Z674" i="2"/>
  <c r="Y674" i="2"/>
  <c r="X674" i="2"/>
  <c r="V674" i="2"/>
  <c r="U674" i="2"/>
  <c r="AE674" i="2" s="1"/>
  <c r="T674" i="2"/>
  <c r="AD674" i="2" s="1"/>
  <c r="S674" i="2"/>
  <c r="R674" i="2"/>
  <c r="AB674" i="2" s="1"/>
  <c r="Q674" i="2"/>
  <c r="P674" i="2"/>
  <c r="O674" i="2"/>
  <c r="N674" i="2"/>
  <c r="M674" i="2"/>
  <c r="W674" i="2" s="1"/>
  <c r="L674" i="2"/>
  <c r="AE673" i="2"/>
  <c r="AD673" i="2"/>
  <c r="AC673" i="2"/>
  <c r="AB673" i="2"/>
  <c r="Z673" i="2"/>
  <c r="Y673" i="2"/>
  <c r="V673" i="2"/>
  <c r="U673" i="2"/>
  <c r="T673" i="2"/>
  <c r="S673" i="2"/>
  <c r="R673" i="2"/>
  <c r="Q673" i="2"/>
  <c r="AA673" i="2" s="1"/>
  <c r="P673" i="2"/>
  <c r="O673" i="2"/>
  <c r="N673" i="2"/>
  <c r="X673" i="2" s="1"/>
  <c r="M673" i="2"/>
  <c r="W673" i="2" s="1"/>
  <c r="L673" i="2"/>
  <c r="AD672" i="2"/>
  <c r="AB672" i="2"/>
  <c r="Z672" i="2"/>
  <c r="U672" i="2"/>
  <c r="AE672" i="2" s="1"/>
  <c r="T672" i="2"/>
  <c r="S672" i="2"/>
  <c r="AC672" i="2" s="1"/>
  <c r="R672" i="2"/>
  <c r="Q672" i="2"/>
  <c r="AA672" i="2" s="1"/>
  <c r="P672" i="2"/>
  <c r="O672" i="2"/>
  <c r="Y672" i="2" s="1"/>
  <c r="N672" i="2"/>
  <c r="X672" i="2" s="1"/>
  <c r="M672" i="2"/>
  <c r="W672" i="2" s="1"/>
  <c r="L672" i="2"/>
  <c r="V672" i="2" s="1"/>
  <c r="AD671" i="2"/>
  <c r="Y671" i="2"/>
  <c r="W671" i="2"/>
  <c r="V671" i="2"/>
  <c r="U671" i="2"/>
  <c r="AE671" i="2" s="1"/>
  <c r="T671" i="2"/>
  <c r="S671" i="2"/>
  <c r="AC671" i="2" s="1"/>
  <c r="R671" i="2"/>
  <c r="AB671" i="2" s="1"/>
  <c r="Q671" i="2"/>
  <c r="AA671" i="2" s="1"/>
  <c r="P671" i="2"/>
  <c r="Z671" i="2" s="1"/>
  <c r="O671" i="2"/>
  <c r="N671" i="2"/>
  <c r="X671" i="2" s="1"/>
  <c r="M671" i="2"/>
  <c r="L671" i="2"/>
  <c r="AC670" i="2"/>
  <c r="AA670" i="2"/>
  <c r="Z670" i="2"/>
  <c r="Y670" i="2"/>
  <c r="X670" i="2"/>
  <c r="V670" i="2"/>
  <c r="U670" i="2"/>
  <c r="AE670" i="2" s="1"/>
  <c r="T670" i="2"/>
  <c r="AD670" i="2" s="1"/>
  <c r="S670" i="2"/>
  <c r="R670" i="2"/>
  <c r="AB670" i="2" s="1"/>
  <c r="Q670" i="2"/>
  <c r="P670" i="2"/>
  <c r="O670" i="2"/>
  <c r="N670" i="2"/>
  <c r="M670" i="2"/>
  <c r="W670" i="2" s="1"/>
  <c r="L670" i="2"/>
  <c r="AE669" i="2"/>
  <c r="AD669" i="2"/>
  <c r="AC669" i="2"/>
  <c r="AB669" i="2"/>
  <c r="Z669" i="2"/>
  <c r="X669" i="2"/>
  <c r="V669" i="2"/>
  <c r="U669" i="2"/>
  <c r="T669" i="2"/>
  <c r="S669" i="2"/>
  <c r="R669" i="2"/>
  <c r="Q669" i="2"/>
  <c r="AA669" i="2" s="1"/>
  <c r="P669" i="2"/>
  <c r="O669" i="2"/>
  <c r="Y669" i="2" s="1"/>
  <c r="N669" i="2"/>
  <c r="M669" i="2"/>
  <c r="W669" i="2" s="1"/>
  <c r="L669" i="2"/>
  <c r="AD668" i="2"/>
  <c r="AB668" i="2"/>
  <c r="U668" i="2"/>
  <c r="AE668" i="2" s="1"/>
  <c r="T668" i="2"/>
  <c r="S668" i="2"/>
  <c r="AC668" i="2" s="1"/>
  <c r="R668" i="2"/>
  <c r="Q668" i="2"/>
  <c r="AA668" i="2" s="1"/>
  <c r="P668" i="2"/>
  <c r="Z668" i="2" s="1"/>
  <c r="O668" i="2"/>
  <c r="Y668" i="2" s="1"/>
  <c r="N668" i="2"/>
  <c r="X668" i="2" s="1"/>
  <c r="M668" i="2"/>
  <c r="W668" i="2" s="1"/>
  <c r="L668" i="2"/>
  <c r="V668" i="2" s="1"/>
  <c r="Y667" i="2"/>
  <c r="W667" i="2"/>
  <c r="V667" i="2"/>
  <c r="U667" i="2"/>
  <c r="AE667" i="2" s="1"/>
  <c r="T667" i="2"/>
  <c r="AD667" i="2" s="1"/>
  <c r="S667" i="2"/>
  <c r="AC667" i="2" s="1"/>
  <c r="R667" i="2"/>
  <c r="AB667" i="2" s="1"/>
  <c r="Q667" i="2"/>
  <c r="AA667" i="2" s="1"/>
  <c r="P667" i="2"/>
  <c r="Z667" i="2" s="1"/>
  <c r="O667" i="2"/>
  <c r="N667" i="2"/>
  <c r="X667" i="2" s="1"/>
  <c r="M667" i="2"/>
  <c r="L667" i="2"/>
  <c r="AC666" i="2"/>
  <c r="AA666" i="2"/>
  <c r="Z666" i="2"/>
  <c r="Y666" i="2"/>
  <c r="X666" i="2"/>
  <c r="V666" i="2"/>
  <c r="U666" i="2"/>
  <c r="AE666" i="2" s="1"/>
  <c r="T666" i="2"/>
  <c r="AD666" i="2" s="1"/>
  <c r="S666" i="2"/>
  <c r="R666" i="2"/>
  <c r="AB666" i="2" s="1"/>
  <c r="Q666" i="2"/>
  <c r="P666" i="2"/>
  <c r="O666" i="2"/>
  <c r="N666" i="2"/>
  <c r="M666" i="2"/>
  <c r="W666" i="2" s="1"/>
  <c r="L666" i="2"/>
  <c r="AE665" i="2"/>
  <c r="AD665" i="2"/>
  <c r="AC665" i="2"/>
  <c r="AB665" i="2"/>
  <c r="Z665" i="2"/>
  <c r="Y665" i="2"/>
  <c r="V665" i="2"/>
  <c r="U665" i="2"/>
  <c r="T665" i="2"/>
  <c r="S665" i="2"/>
  <c r="R665" i="2"/>
  <c r="Q665" i="2"/>
  <c r="AA665" i="2" s="1"/>
  <c r="P665" i="2"/>
  <c r="O665" i="2"/>
  <c r="N665" i="2"/>
  <c r="X665" i="2" s="1"/>
  <c r="M665" i="2"/>
  <c r="W665" i="2" s="1"/>
  <c r="L665" i="2"/>
  <c r="AD664" i="2"/>
  <c r="AC664" i="2"/>
  <c r="U664" i="2"/>
  <c r="AE664" i="2" s="1"/>
  <c r="T664" i="2"/>
  <c r="S664" i="2"/>
  <c r="R664" i="2"/>
  <c r="AB664" i="2" s="1"/>
  <c r="Q664" i="2"/>
  <c r="AA664" i="2" s="1"/>
  <c r="P664" i="2"/>
  <c r="Z664" i="2" s="1"/>
  <c r="O664" i="2"/>
  <c r="Y664" i="2" s="1"/>
  <c r="N664" i="2"/>
  <c r="X664" i="2" s="1"/>
  <c r="M664" i="2"/>
  <c r="W664" i="2" s="1"/>
  <c r="L664" i="2"/>
  <c r="V664" i="2" s="1"/>
  <c r="Y663" i="2"/>
  <c r="W663" i="2"/>
  <c r="V663" i="2"/>
  <c r="U663" i="2"/>
  <c r="AE663" i="2" s="1"/>
  <c r="T663" i="2"/>
  <c r="AD663" i="2" s="1"/>
  <c r="S663" i="2"/>
  <c r="AC663" i="2" s="1"/>
  <c r="R663" i="2"/>
  <c r="AB663" i="2" s="1"/>
  <c r="Q663" i="2"/>
  <c r="AA663" i="2" s="1"/>
  <c r="P663" i="2"/>
  <c r="Z663" i="2" s="1"/>
  <c r="O663" i="2"/>
  <c r="N663" i="2"/>
  <c r="X663" i="2" s="1"/>
  <c r="M663" i="2"/>
  <c r="L663" i="2"/>
  <c r="AC662" i="2"/>
  <c r="AA662" i="2"/>
  <c r="Z662" i="2"/>
  <c r="Y662" i="2"/>
  <c r="X662" i="2"/>
  <c r="W662" i="2"/>
  <c r="V662" i="2"/>
  <c r="U662" i="2"/>
  <c r="AE662" i="2" s="1"/>
  <c r="T662" i="2"/>
  <c r="AD662" i="2" s="1"/>
  <c r="S662" i="2"/>
  <c r="R662" i="2"/>
  <c r="AB662" i="2" s="1"/>
  <c r="Q662" i="2"/>
  <c r="P662" i="2"/>
  <c r="O662" i="2"/>
  <c r="N662" i="2"/>
  <c r="M662" i="2"/>
  <c r="L662" i="2"/>
  <c r="AE661" i="2"/>
  <c r="AD661" i="2"/>
  <c r="AC661" i="2"/>
  <c r="AB661" i="2"/>
  <c r="Z661" i="2"/>
  <c r="X661" i="2"/>
  <c r="V661" i="2"/>
  <c r="U661" i="2"/>
  <c r="T661" i="2"/>
  <c r="S661" i="2"/>
  <c r="R661" i="2"/>
  <c r="Q661" i="2"/>
  <c r="AA661" i="2" s="1"/>
  <c r="P661" i="2"/>
  <c r="O661" i="2"/>
  <c r="Y661" i="2" s="1"/>
  <c r="N661" i="2"/>
  <c r="M661" i="2"/>
  <c r="W661" i="2" s="1"/>
  <c r="L661" i="2"/>
  <c r="AD660" i="2"/>
  <c r="U660" i="2"/>
  <c r="AE660" i="2" s="1"/>
  <c r="T660" i="2"/>
  <c r="S660" i="2"/>
  <c r="AC660" i="2" s="1"/>
  <c r="R660" i="2"/>
  <c r="AB660" i="2" s="1"/>
  <c r="Q660" i="2"/>
  <c r="AA660" i="2" s="1"/>
  <c r="P660" i="2"/>
  <c r="Z660" i="2" s="1"/>
  <c r="O660" i="2"/>
  <c r="Y660" i="2" s="1"/>
  <c r="N660" i="2"/>
  <c r="X660" i="2" s="1"/>
  <c r="M660" i="2"/>
  <c r="W660" i="2" s="1"/>
  <c r="L660" i="2"/>
  <c r="V660" i="2" s="1"/>
  <c r="Y659" i="2"/>
  <c r="W659" i="2"/>
  <c r="V659" i="2"/>
  <c r="U659" i="2"/>
  <c r="AE659" i="2" s="1"/>
  <c r="T659" i="2"/>
  <c r="AD659" i="2" s="1"/>
  <c r="S659" i="2"/>
  <c r="AC659" i="2" s="1"/>
  <c r="R659" i="2"/>
  <c r="AB659" i="2" s="1"/>
  <c r="Q659" i="2"/>
  <c r="AA659" i="2" s="1"/>
  <c r="P659" i="2"/>
  <c r="Z659" i="2" s="1"/>
  <c r="O659" i="2"/>
  <c r="N659" i="2"/>
  <c r="X659" i="2" s="1"/>
  <c r="M659" i="2"/>
  <c r="L659" i="2"/>
  <c r="AC658" i="2"/>
  <c r="AA658" i="2"/>
  <c r="Z658" i="2"/>
  <c r="Y658" i="2"/>
  <c r="X658" i="2"/>
  <c r="V658" i="2"/>
  <c r="U658" i="2"/>
  <c r="AE658" i="2" s="1"/>
  <c r="T658" i="2"/>
  <c r="AD658" i="2" s="1"/>
  <c r="S658" i="2"/>
  <c r="R658" i="2"/>
  <c r="AB658" i="2" s="1"/>
  <c r="Q658" i="2"/>
  <c r="P658" i="2"/>
  <c r="O658" i="2"/>
  <c r="N658" i="2"/>
  <c r="M658" i="2"/>
  <c r="W658" i="2" s="1"/>
  <c r="L658" i="2"/>
  <c r="AE657" i="2"/>
  <c r="AD657" i="2"/>
  <c r="AC657" i="2"/>
  <c r="AB657" i="2"/>
  <c r="AA657" i="2"/>
  <c r="Z657" i="2"/>
  <c r="Y657" i="2"/>
  <c r="X657" i="2"/>
  <c r="V657" i="2"/>
  <c r="U657" i="2"/>
  <c r="T657" i="2"/>
  <c r="S657" i="2"/>
  <c r="R657" i="2"/>
  <c r="Q657" i="2"/>
  <c r="P657" i="2"/>
  <c r="O657" i="2"/>
  <c r="N657" i="2"/>
  <c r="M657" i="2"/>
  <c r="W657" i="2" s="1"/>
  <c r="L657" i="2"/>
  <c r="AE656" i="2"/>
  <c r="AD656" i="2"/>
  <c r="Z656" i="2"/>
  <c r="U656" i="2"/>
  <c r="T656" i="2"/>
  <c r="S656" i="2"/>
  <c r="AC656" i="2" s="1"/>
  <c r="R656" i="2"/>
  <c r="AB656" i="2" s="1"/>
  <c r="Q656" i="2"/>
  <c r="AA656" i="2" s="1"/>
  <c r="P656" i="2"/>
  <c r="O656" i="2"/>
  <c r="Y656" i="2" s="1"/>
  <c r="N656" i="2"/>
  <c r="X656" i="2" s="1"/>
  <c r="M656" i="2"/>
  <c r="W656" i="2" s="1"/>
  <c r="L656" i="2"/>
  <c r="V656" i="2" s="1"/>
  <c r="Y655" i="2"/>
  <c r="W655" i="2"/>
  <c r="V655" i="2"/>
  <c r="U655" i="2"/>
  <c r="AE655" i="2" s="1"/>
  <c r="T655" i="2"/>
  <c r="AD655" i="2" s="1"/>
  <c r="S655" i="2"/>
  <c r="AC655" i="2" s="1"/>
  <c r="R655" i="2"/>
  <c r="AB655" i="2" s="1"/>
  <c r="Q655" i="2"/>
  <c r="AA655" i="2" s="1"/>
  <c r="P655" i="2"/>
  <c r="Z655" i="2" s="1"/>
  <c r="O655" i="2"/>
  <c r="N655" i="2"/>
  <c r="X655" i="2" s="1"/>
  <c r="M655" i="2"/>
  <c r="L655" i="2"/>
  <c r="AC654" i="2"/>
  <c r="AA654" i="2"/>
  <c r="Z654" i="2"/>
  <c r="Y654" i="2"/>
  <c r="X654" i="2"/>
  <c r="W654" i="2"/>
  <c r="V654" i="2"/>
  <c r="U654" i="2"/>
  <c r="AE654" i="2" s="1"/>
  <c r="T654" i="2"/>
  <c r="AD654" i="2" s="1"/>
  <c r="S654" i="2"/>
  <c r="R654" i="2"/>
  <c r="AB654" i="2" s="1"/>
  <c r="Q654" i="2"/>
  <c r="P654" i="2"/>
  <c r="O654" i="2"/>
  <c r="N654" i="2"/>
  <c r="M654" i="2"/>
  <c r="L654" i="2"/>
  <c r="AE653" i="2"/>
  <c r="AD653" i="2"/>
  <c r="AC653" i="2"/>
  <c r="AB653" i="2"/>
  <c r="Z653" i="2"/>
  <c r="Y653" i="2"/>
  <c r="U653" i="2"/>
  <c r="T653" i="2"/>
  <c r="S653" i="2"/>
  <c r="R653" i="2"/>
  <c r="Q653" i="2"/>
  <c r="AA653" i="2" s="1"/>
  <c r="P653" i="2"/>
  <c r="O653" i="2"/>
  <c r="N653" i="2"/>
  <c r="X653" i="2" s="1"/>
  <c r="M653" i="2"/>
  <c r="W653" i="2" s="1"/>
  <c r="L653" i="2"/>
  <c r="V653" i="2" s="1"/>
  <c r="AD652" i="2"/>
  <c r="U652" i="2"/>
  <c r="AE652" i="2" s="1"/>
  <c r="T652" i="2"/>
  <c r="S652" i="2"/>
  <c r="AC652" i="2" s="1"/>
  <c r="R652" i="2"/>
  <c r="AB652" i="2" s="1"/>
  <c r="Q652" i="2"/>
  <c r="AA652" i="2" s="1"/>
  <c r="P652" i="2"/>
  <c r="Z652" i="2" s="1"/>
  <c r="O652" i="2"/>
  <c r="Y652" i="2" s="1"/>
  <c r="N652" i="2"/>
  <c r="X652" i="2" s="1"/>
  <c r="M652" i="2"/>
  <c r="W652" i="2" s="1"/>
  <c r="L652" i="2"/>
  <c r="V652" i="2" s="1"/>
  <c r="AD651" i="2"/>
  <c r="Y651" i="2"/>
  <c r="W651" i="2"/>
  <c r="V651" i="2"/>
  <c r="U651" i="2"/>
  <c r="AE651" i="2" s="1"/>
  <c r="T651" i="2"/>
  <c r="S651" i="2"/>
  <c r="AC651" i="2" s="1"/>
  <c r="R651" i="2"/>
  <c r="AB651" i="2" s="1"/>
  <c r="Q651" i="2"/>
  <c r="AA651" i="2" s="1"/>
  <c r="P651" i="2"/>
  <c r="Z651" i="2" s="1"/>
  <c r="O651" i="2"/>
  <c r="N651" i="2"/>
  <c r="X651" i="2" s="1"/>
  <c r="M651" i="2"/>
  <c r="L651" i="2"/>
  <c r="AC650" i="2"/>
  <c r="AA650" i="2"/>
  <c r="Z650" i="2"/>
  <c r="Y650" i="2"/>
  <c r="X650" i="2"/>
  <c r="W650" i="2"/>
  <c r="V650" i="2"/>
  <c r="U650" i="2"/>
  <c r="AE650" i="2" s="1"/>
  <c r="T650" i="2"/>
  <c r="AD650" i="2" s="1"/>
  <c r="S650" i="2"/>
  <c r="R650" i="2"/>
  <c r="AB650" i="2" s="1"/>
  <c r="Q650" i="2"/>
  <c r="P650" i="2"/>
  <c r="O650" i="2"/>
  <c r="N650" i="2"/>
  <c r="M650" i="2"/>
  <c r="L650" i="2"/>
  <c r="AE649" i="2"/>
  <c r="AD649" i="2"/>
  <c r="AC649" i="2"/>
  <c r="AB649" i="2"/>
  <c r="AA649" i="2"/>
  <c r="Z649" i="2"/>
  <c r="X649" i="2"/>
  <c r="V649" i="2"/>
  <c r="U649" i="2"/>
  <c r="T649" i="2"/>
  <c r="S649" i="2"/>
  <c r="R649" i="2"/>
  <c r="Q649" i="2"/>
  <c r="P649" i="2"/>
  <c r="O649" i="2"/>
  <c r="Y649" i="2" s="1"/>
  <c r="N649" i="2"/>
  <c r="M649" i="2"/>
  <c r="W649" i="2" s="1"/>
  <c r="L649" i="2"/>
  <c r="AD648" i="2"/>
  <c r="AB648" i="2"/>
  <c r="Z648" i="2"/>
  <c r="U648" i="2"/>
  <c r="AE648" i="2" s="1"/>
  <c r="T648" i="2"/>
  <c r="S648" i="2"/>
  <c r="AC648" i="2" s="1"/>
  <c r="R648" i="2"/>
  <c r="Q648" i="2"/>
  <c r="AA648" i="2" s="1"/>
  <c r="P648" i="2"/>
  <c r="O648" i="2"/>
  <c r="Y648" i="2" s="1"/>
  <c r="N648" i="2"/>
  <c r="X648" i="2" s="1"/>
  <c r="M648" i="2"/>
  <c r="W648" i="2" s="1"/>
  <c r="L648" i="2"/>
  <c r="V648" i="2" s="1"/>
  <c r="Y647" i="2"/>
  <c r="W647" i="2"/>
  <c r="V647" i="2"/>
  <c r="U647" i="2"/>
  <c r="AE647" i="2" s="1"/>
  <c r="T647" i="2"/>
  <c r="AD647" i="2" s="1"/>
  <c r="S647" i="2"/>
  <c r="AC647" i="2" s="1"/>
  <c r="R647" i="2"/>
  <c r="AB647" i="2" s="1"/>
  <c r="Q647" i="2"/>
  <c r="AA647" i="2" s="1"/>
  <c r="P647" i="2"/>
  <c r="Z647" i="2" s="1"/>
  <c r="O647" i="2"/>
  <c r="N647" i="2"/>
  <c r="X647" i="2" s="1"/>
  <c r="M647" i="2"/>
  <c r="L647" i="2"/>
  <c r="AA646" i="2"/>
  <c r="Z646" i="2"/>
  <c r="Y646" i="2"/>
  <c r="X646" i="2"/>
  <c r="W646" i="2"/>
  <c r="V646" i="2"/>
  <c r="U646" i="2"/>
  <c r="AE646" i="2" s="1"/>
  <c r="T646" i="2"/>
  <c r="AD646" i="2" s="1"/>
  <c r="S646" i="2"/>
  <c r="AC646" i="2" s="1"/>
  <c r="R646" i="2"/>
  <c r="AB646" i="2" s="1"/>
  <c r="Q646" i="2"/>
  <c r="P646" i="2"/>
  <c r="O646" i="2"/>
  <c r="N646" i="2"/>
  <c r="M646" i="2"/>
  <c r="L646" i="2"/>
  <c r="AE645" i="2"/>
  <c r="AD645" i="2"/>
  <c r="AC645" i="2"/>
  <c r="AB645" i="2"/>
  <c r="AA645" i="2"/>
  <c r="Z645" i="2"/>
  <c r="Y645" i="2"/>
  <c r="X645" i="2"/>
  <c r="W645" i="2"/>
  <c r="U645" i="2"/>
  <c r="T645" i="2"/>
  <c r="S645" i="2"/>
  <c r="R645" i="2"/>
  <c r="Q645" i="2"/>
  <c r="P645" i="2"/>
  <c r="O645" i="2"/>
  <c r="N645" i="2"/>
  <c r="M645" i="2"/>
  <c r="L645" i="2"/>
  <c r="V645" i="2" s="1"/>
  <c r="AD644" i="2"/>
  <c r="AC644" i="2"/>
  <c r="AB644" i="2"/>
  <c r="AA644" i="2"/>
  <c r="U644" i="2"/>
  <c r="AE644" i="2" s="1"/>
  <c r="T644" i="2"/>
  <c r="S644" i="2"/>
  <c r="R644" i="2"/>
  <c r="Q644" i="2"/>
  <c r="P644" i="2"/>
  <c r="Z644" i="2" s="1"/>
  <c r="O644" i="2"/>
  <c r="Y644" i="2" s="1"/>
  <c r="N644" i="2"/>
  <c r="X644" i="2" s="1"/>
  <c r="M644" i="2"/>
  <c r="W644" i="2" s="1"/>
  <c r="L644" i="2"/>
  <c r="V644" i="2" s="1"/>
  <c r="AE643" i="2"/>
  <c r="Y643" i="2"/>
  <c r="W643" i="2"/>
  <c r="V643" i="2"/>
  <c r="U643" i="2"/>
  <c r="T643" i="2"/>
  <c r="AD643" i="2" s="1"/>
  <c r="S643" i="2"/>
  <c r="AC643" i="2" s="1"/>
  <c r="R643" i="2"/>
  <c r="AB643" i="2" s="1"/>
  <c r="Q643" i="2"/>
  <c r="AA643" i="2" s="1"/>
  <c r="P643" i="2"/>
  <c r="Z643" i="2" s="1"/>
  <c r="O643" i="2"/>
  <c r="N643" i="2"/>
  <c r="X643" i="2" s="1"/>
  <c r="M643" i="2"/>
  <c r="L643" i="2"/>
  <c r="AC642" i="2"/>
  <c r="AA642" i="2"/>
  <c r="Z642" i="2"/>
  <c r="Y642" i="2"/>
  <c r="X642" i="2"/>
  <c r="W642" i="2"/>
  <c r="V642" i="2"/>
  <c r="U642" i="2"/>
  <c r="AE642" i="2" s="1"/>
  <c r="T642" i="2"/>
  <c r="AD642" i="2" s="1"/>
  <c r="S642" i="2"/>
  <c r="R642" i="2"/>
  <c r="AB642" i="2" s="1"/>
  <c r="Q642" i="2"/>
  <c r="P642" i="2"/>
  <c r="O642" i="2"/>
  <c r="N642" i="2"/>
  <c r="M642" i="2"/>
  <c r="L642" i="2"/>
  <c r="AE641" i="2"/>
  <c r="AD641" i="2"/>
  <c r="AC641" i="2"/>
  <c r="AB641" i="2"/>
  <c r="AA641" i="2"/>
  <c r="Z641" i="2"/>
  <c r="Y641" i="2"/>
  <c r="U641" i="2"/>
  <c r="T641" i="2"/>
  <c r="S641" i="2"/>
  <c r="R641" i="2"/>
  <c r="Q641" i="2"/>
  <c r="P641" i="2"/>
  <c r="O641" i="2"/>
  <c r="N641" i="2"/>
  <c r="X641" i="2" s="1"/>
  <c r="M641" i="2"/>
  <c r="W641" i="2" s="1"/>
  <c r="L641" i="2"/>
  <c r="V641" i="2" s="1"/>
  <c r="AE640" i="2"/>
  <c r="AD640" i="2"/>
  <c r="AC640" i="2"/>
  <c r="Z640" i="2"/>
  <c r="U640" i="2"/>
  <c r="T640" i="2"/>
  <c r="S640" i="2"/>
  <c r="R640" i="2"/>
  <c r="AB640" i="2" s="1"/>
  <c r="Q640" i="2"/>
  <c r="AA640" i="2" s="1"/>
  <c r="P640" i="2"/>
  <c r="O640" i="2"/>
  <c r="Y640" i="2" s="1"/>
  <c r="N640" i="2"/>
  <c r="X640" i="2" s="1"/>
  <c r="M640" i="2"/>
  <c r="W640" i="2" s="1"/>
  <c r="L640" i="2"/>
  <c r="V640" i="2" s="1"/>
  <c r="AD639" i="2"/>
  <c r="V639" i="2"/>
  <c r="U639" i="2"/>
  <c r="AE639" i="2" s="1"/>
  <c r="T639" i="2"/>
  <c r="S639" i="2"/>
  <c r="AC639" i="2" s="1"/>
  <c r="R639" i="2"/>
  <c r="AB639" i="2" s="1"/>
  <c r="Q639" i="2"/>
  <c r="AA639" i="2" s="1"/>
  <c r="P639" i="2"/>
  <c r="Z639" i="2" s="1"/>
  <c r="O639" i="2"/>
  <c r="Y639" i="2" s="1"/>
  <c r="N639" i="2"/>
  <c r="X639" i="2" s="1"/>
  <c r="M639" i="2"/>
  <c r="W639" i="2" s="1"/>
  <c r="L639" i="2"/>
  <c r="AA638" i="2"/>
  <c r="Z638" i="2"/>
  <c r="Y638" i="2"/>
  <c r="X638" i="2"/>
  <c r="V638" i="2"/>
  <c r="U638" i="2"/>
  <c r="AE638" i="2" s="1"/>
  <c r="T638" i="2"/>
  <c r="AD638" i="2" s="1"/>
  <c r="S638" i="2"/>
  <c r="AC638" i="2" s="1"/>
  <c r="R638" i="2"/>
  <c r="AB638" i="2" s="1"/>
  <c r="Q638" i="2"/>
  <c r="P638" i="2"/>
  <c r="O638" i="2"/>
  <c r="N638" i="2"/>
  <c r="M638" i="2"/>
  <c r="W638" i="2" s="1"/>
  <c r="L638" i="2"/>
  <c r="AE637" i="2"/>
  <c r="AD637" i="2"/>
  <c r="AC637" i="2"/>
  <c r="AB637" i="2"/>
  <c r="Z637" i="2"/>
  <c r="X637" i="2"/>
  <c r="W637" i="2"/>
  <c r="V637" i="2"/>
  <c r="U637" i="2"/>
  <c r="T637" i="2"/>
  <c r="S637" i="2"/>
  <c r="R637" i="2"/>
  <c r="Q637" i="2"/>
  <c r="AA637" i="2" s="1"/>
  <c r="P637" i="2"/>
  <c r="O637" i="2"/>
  <c r="Y637" i="2" s="1"/>
  <c r="N637" i="2"/>
  <c r="M637" i="2"/>
  <c r="L637" i="2"/>
  <c r="AD636" i="2"/>
  <c r="AA636" i="2"/>
  <c r="Y636" i="2"/>
  <c r="U636" i="2"/>
  <c r="AE636" i="2" s="1"/>
  <c r="T636" i="2"/>
  <c r="S636" i="2"/>
  <c r="AC636" i="2" s="1"/>
  <c r="R636" i="2"/>
  <c r="AB636" i="2" s="1"/>
  <c r="Q636" i="2"/>
  <c r="P636" i="2"/>
  <c r="Z636" i="2" s="1"/>
  <c r="O636" i="2"/>
  <c r="N636" i="2"/>
  <c r="X636" i="2" s="1"/>
  <c r="M636" i="2"/>
  <c r="W636" i="2" s="1"/>
  <c r="L636" i="2"/>
  <c r="V636" i="2" s="1"/>
  <c r="AE635" i="2"/>
  <c r="Y635" i="2"/>
  <c r="W635" i="2"/>
  <c r="V635" i="2"/>
  <c r="U635" i="2"/>
  <c r="T635" i="2"/>
  <c r="AD635" i="2" s="1"/>
  <c r="S635" i="2"/>
  <c r="AC635" i="2" s="1"/>
  <c r="R635" i="2"/>
  <c r="AB635" i="2" s="1"/>
  <c r="Q635" i="2"/>
  <c r="AA635" i="2" s="1"/>
  <c r="P635" i="2"/>
  <c r="Z635" i="2" s="1"/>
  <c r="O635" i="2"/>
  <c r="N635" i="2"/>
  <c r="X635" i="2" s="1"/>
  <c r="M635" i="2"/>
  <c r="L635" i="2"/>
  <c r="AC634" i="2"/>
  <c r="AA634" i="2"/>
  <c r="Z634" i="2"/>
  <c r="Y634" i="2"/>
  <c r="X634" i="2"/>
  <c r="V634" i="2"/>
  <c r="U634" i="2"/>
  <c r="AE634" i="2" s="1"/>
  <c r="T634" i="2"/>
  <c r="AD634" i="2" s="1"/>
  <c r="S634" i="2"/>
  <c r="R634" i="2"/>
  <c r="AB634" i="2" s="1"/>
  <c r="Q634" i="2"/>
  <c r="P634" i="2"/>
  <c r="O634" i="2"/>
  <c r="N634" i="2"/>
  <c r="M634" i="2"/>
  <c r="W634" i="2" s="1"/>
  <c r="L634" i="2"/>
  <c r="AE633" i="2"/>
  <c r="AD633" i="2"/>
  <c r="AC633" i="2"/>
  <c r="AB633" i="2"/>
  <c r="Z633" i="2"/>
  <c r="Y633" i="2"/>
  <c r="X633" i="2"/>
  <c r="V633" i="2"/>
  <c r="U633" i="2"/>
  <c r="T633" i="2"/>
  <c r="S633" i="2"/>
  <c r="R633" i="2"/>
  <c r="Q633" i="2"/>
  <c r="AA633" i="2" s="1"/>
  <c r="P633" i="2"/>
  <c r="O633" i="2"/>
  <c r="N633" i="2"/>
  <c r="M633" i="2"/>
  <c r="W633" i="2" s="1"/>
  <c r="L633" i="2"/>
  <c r="AE632" i="2"/>
  <c r="AD632" i="2"/>
  <c r="AC632" i="2"/>
  <c r="AB632" i="2"/>
  <c r="U632" i="2"/>
  <c r="T632" i="2"/>
  <c r="S632" i="2"/>
  <c r="R632" i="2"/>
  <c r="Q632" i="2"/>
  <c r="AA632" i="2" s="1"/>
  <c r="P632" i="2"/>
  <c r="Z632" i="2" s="1"/>
  <c r="O632" i="2"/>
  <c r="Y632" i="2" s="1"/>
  <c r="N632" i="2"/>
  <c r="X632" i="2" s="1"/>
  <c r="M632" i="2"/>
  <c r="W632" i="2" s="1"/>
  <c r="L632" i="2"/>
  <c r="V632" i="2" s="1"/>
  <c r="AE631" i="2"/>
  <c r="AD631" i="2"/>
  <c r="V631" i="2"/>
  <c r="U631" i="2"/>
  <c r="T631" i="2"/>
  <c r="S631" i="2"/>
  <c r="AC631" i="2" s="1"/>
  <c r="R631" i="2"/>
  <c r="AB631" i="2" s="1"/>
  <c r="Q631" i="2"/>
  <c r="AA631" i="2" s="1"/>
  <c r="P631" i="2"/>
  <c r="Z631" i="2" s="1"/>
  <c r="O631" i="2"/>
  <c r="Y631" i="2" s="1"/>
  <c r="N631" i="2"/>
  <c r="X631" i="2" s="1"/>
  <c r="M631" i="2"/>
  <c r="W631" i="2" s="1"/>
  <c r="L631" i="2"/>
  <c r="AE630" i="2"/>
  <c r="AC630" i="2"/>
  <c r="W630" i="2"/>
  <c r="U630" i="2"/>
  <c r="T630" i="2"/>
  <c r="AD630" i="2" s="1"/>
  <c r="S630" i="2"/>
  <c r="R630" i="2"/>
  <c r="AB630" i="2" s="1"/>
  <c r="Q630" i="2"/>
  <c r="AA630" i="2" s="1"/>
  <c r="P630" i="2"/>
  <c r="Z630" i="2" s="1"/>
  <c r="O630" i="2"/>
  <c r="Y630" i="2" s="1"/>
  <c r="N630" i="2"/>
  <c r="X630" i="2" s="1"/>
  <c r="M630" i="2"/>
  <c r="L630" i="2"/>
  <c r="V630" i="2" s="1"/>
  <c r="AA629" i="2"/>
  <c r="Y629" i="2"/>
  <c r="X629" i="2"/>
  <c r="W629" i="2"/>
  <c r="V629" i="2"/>
  <c r="U629" i="2"/>
  <c r="AE629" i="2" s="1"/>
  <c r="T629" i="2"/>
  <c r="AD629" i="2" s="1"/>
  <c r="S629" i="2"/>
  <c r="AC629" i="2" s="1"/>
  <c r="R629" i="2"/>
  <c r="AB629" i="2" s="1"/>
  <c r="Q629" i="2"/>
  <c r="P629" i="2"/>
  <c r="Z629" i="2" s="1"/>
  <c r="O629" i="2"/>
  <c r="N629" i="2"/>
  <c r="M629" i="2"/>
  <c r="L629" i="2"/>
  <c r="AE628" i="2"/>
  <c r="AC628" i="2"/>
  <c r="AB628" i="2"/>
  <c r="AA628" i="2"/>
  <c r="Z628" i="2"/>
  <c r="X628" i="2"/>
  <c r="W628" i="2"/>
  <c r="V628" i="2"/>
  <c r="U628" i="2"/>
  <c r="T628" i="2"/>
  <c r="AD628" i="2" s="1"/>
  <c r="S628" i="2"/>
  <c r="R628" i="2"/>
  <c r="Q628" i="2"/>
  <c r="P628" i="2"/>
  <c r="O628" i="2"/>
  <c r="Y628" i="2" s="1"/>
  <c r="N628" i="2"/>
  <c r="M628" i="2"/>
  <c r="L628" i="2"/>
  <c r="AE627" i="2"/>
  <c r="AD627" i="2"/>
  <c r="AB627" i="2"/>
  <c r="AA627" i="2"/>
  <c r="Z627" i="2"/>
  <c r="X627" i="2"/>
  <c r="U627" i="2"/>
  <c r="T627" i="2"/>
  <c r="S627" i="2"/>
  <c r="AC627" i="2" s="1"/>
  <c r="R627" i="2"/>
  <c r="Q627" i="2"/>
  <c r="P627" i="2"/>
  <c r="O627" i="2"/>
  <c r="Y627" i="2" s="1"/>
  <c r="N627" i="2"/>
  <c r="M627" i="2"/>
  <c r="W627" i="2" s="1"/>
  <c r="L627" i="2"/>
  <c r="V627" i="2" s="1"/>
  <c r="AE626" i="2"/>
  <c r="AD626" i="2"/>
  <c r="AB626" i="2"/>
  <c r="W626" i="2"/>
  <c r="U626" i="2"/>
  <c r="T626" i="2"/>
  <c r="S626" i="2"/>
  <c r="AC626" i="2" s="1"/>
  <c r="R626" i="2"/>
  <c r="Q626" i="2"/>
  <c r="AA626" i="2" s="1"/>
  <c r="P626" i="2"/>
  <c r="Z626" i="2" s="1"/>
  <c r="O626" i="2"/>
  <c r="Y626" i="2" s="1"/>
  <c r="N626" i="2"/>
  <c r="X626" i="2" s="1"/>
  <c r="M626" i="2"/>
  <c r="L626" i="2"/>
  <c r="V626" i="2" s="1"/>
  <c r="AA625" i="2"/>
  <c r="Y625" i="2"/>
  <c r="X625" i="2"/>
  <c r="W625" i="2"/>
  <c r="V625" i="2"/>
  <c r="U625" i="2"/>
  <c r="AE625" i="2" s="1"/>
  <c r="T625" i="2"/>
  <c r="AD625" i="2" s="1"/>
  <c r="S625" i="2"/>
  <c r="AC625" i="2" s="1"/>
  <c r="R625" i="2"/>
  <c r="AB625" i="2" s="1"/>
  <c r="Q625" i="2"/>
  <c r="P625" i="2"/>
  <c r="Z625" i="2" s="1"/>
  <c r="O625" i="2"/>
  <c r="N625" i="2"/>
  <c r="M625" i="2"/>
  <c r="L625" i="2"/>
  <c r="AE624" i="2"/>
  <c r="AC624" i="2"/>
  <c r="AB624" i="2"/>
  <c r="AA624" i="2"/>
  <c r="Z624" i="2"/>
  <c r="X624" i="2"/>
  <c r="W624" i="2"/>
  <c r="V624" i="2"/>
  <c r="U624" i="2"/>
  <c r="T624" i="2"/>
  <c r="AD624" i="2" s="1"/>
  <c r="S624" i="2"/>
  <c r="R624" i="2"/>
  <c r="Q624" i="2"/>
  <c r="P624" i="2"/>
  <c r="O624" i="2"/>
  <c r="Y624" i="2" s="1"/>
  <c r="N624" i="2"/>
  <c r="M624" i="2"/>
  <c r="L624" i="2"/>
  <c r="AE623" i="2"/>
  <c r="AD623" i="2"/>
  <c r="AB623" i="2"/>
  <c r="AA623" i="2"/>
  <c r="Z623" i="2"/>
  <c r="X623" i="2"/>
  <c r="U623" i="2"/>
  <c r="T623" i="2"/>
  <c r="S623" i="2"/>
  <c r="AC623" i="2" s="1"/>
  <c r="R623" i="2"/>
  <c r="Q623" i="2"/>
  <c r="P623" i="2"/>
  <c r="O623" i="2"/>
  <c r="Y623" i="2" s="1"/>
  <c r="N623" i="2"/>
  <c r="M623" i="2"/>
  <c r="W623" i="2" s="1"/>
  <c r="L623" i="2"/>
  <c r="V623" i="2" s="1"/>
  <c r="AE622" i="2"/>
  <c r="AD622" i="2"/>
  <c r="AB622" i="2"/>
  <c r="W622" i="2"/>
  <c r="U622" i="2"/>
  <c r="T622" i="2"/>
  <c r="S622" i="2"/>
  <c r="AC622" i="2" s="1"/>
  <c r="R622" i="2"/>
  <c r="Q622" i="2"/>
  <c r="AA622" i="2" s="1"/>
  <c r="P622" i="2"/>
  <c r="Z622" i="2" s="1"/>
  <c r="O622" i="2"/>
  <c r="Y622" i="2" s="1"/>
  <c r="N622" i="2"/>
  <c r="X622" i="2" s="1"/>
  <c r="M622" i="2"/>
  <c r="L622" i="2"/>
  <c r="V622" i="2" s="1"/>
  <c r="AA621" i="2"/>
  <c r="Y621" i="2"/>
  <c r="X621" i="2"/>
  <c r="W621" i="2"/>
  <c r="V621" i="2"/>
  <c r="U621" i="2"/>
  <c r="AE621" i="2" s="1"/>
  <c r="T621" i="2"/>
  <c r="AD621" i="2" s="1"/>
  <c r="S621" i="2"/>
  <c r="AC621" i="2" s="1"/>
  <c r="R621" i="2"/>
  <c r="AB621" i="2" s="1"/>
  <c r="Q621" i="2"/>
  <c r="P621" i="2"/>
  <c r="Z621" i="2" s="1"/>
  <c r="O621" i="2"/>
  <c r="N621" i="2"/>
  <c r="M621" i="2"/>
  <c r="L621" i="2"/>
  <c r="AE620" i="2"/>
  <c r="AC620" i="2"/>
  <c r="AB620" i="2"/>
  <c r="AA620" i="2"/>
  <c r="Z620" i="2"/>
  <c r="X620" i="2"/>
  <c r="W620" i="2"/>
  <c r="V620" i="2"/>
  <c r="U620" i="2"/>
  <c r="T620" i="2"/>
  <c r="AD620" i="2" s="1"/>
  <c r="S620" i="2"/>
  <c r="R620" i="2"/>
  <c r="Q620" i="2"/>
  <c r="P620" i="2"/>
  <c r="O620" i="2"/>
  <c r="Y620" i="2" s="1"/>
  <c r="N620" i="2"/>
  <c r="M620" i="2"/>
  <c r="L620" i="2"/>
  <c r="AE619" i="2"/>
  <c r="AD619" i="2"/>
  <c r="AB619" i="2"/>
  <c r="AA619" i="2"/>
  <c r="Z619" i="2"/>
  <c r="X619" i="2"/>
  <c r="U619" i="2"/>
  <c r="T619" i="2"/>
  <c r="S619" i="2"/>
  <c r="AC619" i="2" s="1"/>
  <c r="R619" i="2"/>
  <c r="Q619" i="2"/>
  <c r="P619" i="2"/>
  <c r="O619" i="2"/>
  <c r="Y619" i="2" s="1"/>
  <c r="N619" i="2"/>
  <c r="M619" i="2"/>
  <c r="W619" i="2" s="1"/>
  <c r="L619" i="2"/>
  <c r="V619" i="2" s="1"/>
  <c r="AE618" i="2"/>
  <c r="AD618" i="2"/>
  <c r="AB618" i="2"/>
  <c r="W618" i="2"/>
  <c r="U618" i="2"/>
  <c r="T618" i="2"/>
  <c r="S618" i="2"/>
  <c r="AC618" i="2" s="1"/>
  <c r="R618" i="2"/>
  <c r="Q618" i="2"/>
  <c r="AA618" i="2" s="1"/>
  <c r="P618" i="2"/>
  <c r="Z618" i="2" s="1"/>
  <c r="O618" i="2"/>
  <c r="Y618" i="2" s="1"/>
  <c r="N618" i="2"/>
  <c r="X618" i="2" s="1"/>
  <c r="M618" i="2"/>
  <c r="L618" i="2"/>
  <c r="V618" i="2" s="1"/>
  <c r="AA617" i="2"/>
  <c r="Y617" i="2"/>
  <c r="X617" i="2"/>
  <c r="W617" i="2"/>
  <c r="V617" i="2"/>
  <c r="U617" i="2"/>
  <c r="AE617" i="2" s="1"/>
  <c r="T617" i="2"/>
  <c r="AD617" i="2" s="1"/>
  <c r="S617" i="2"/>
  <c r="AC617" i="2" s="1"/>
  <c r="R617" i="2"/>
  <c r="AB617" i="2" s="1"/>
  <c r="Q617" i="2"/>
  <c r="P617" i="2"/>
  <c r="Z617" i="2" s="1"/>
  <c r="O617" i="2"/>
  <c r="N617" i="2"/>
  <c r="M617" i="2"/>
  <c r="L617" i="2"/>
  <c r="AE616" i="2"/>
  <c r="AC616" i="2"/>
  <c r="AB616" i="2"/>
  <c r="AA616" i="2"/>
  <c r="Z616" i="2"/>
  <c r="X616" i="2"/>
  <c r="W616" i="2"/>
  <c r="V616" i="2"/>
  <c r="U616" i="2"/>
  <c r="T616" i="2"/>
  <c r="AD616" i="2" s="1"/>
  <c r="S616" i="2"/>
  <c r="R616" i="2"/>
  <c r="Q616" i="2"/>
  <c r="P616" i="2"/>
  <c r="O616" i="2"/>
  <c r="Y616" i="2" s="1"/>
  <c r="N616" i="2"/>
  <c r="M616" i="2"/>
  <c r="L616" i="2"/>
  <c r="AE615" i="2"/>
  <c r="AD615" i="2"/>
  <c r="AB615" i="2"/>
  <c r="AA615" i="2"/>
  <c r="Z615" i="2"/>
  <c r="X615" i="2"/>
  <c r="U615" i="2"/>
  <c r="T615" i="2"/>
  <c r="S615" i="2"/>
  <c r="AC615" i="2" s="1"/>
  <c r="R615" i="2"/>
  <c r="Q615" i="2"/>
  <c r="P615" i="2"/>
  <c r="O615" i="2"/>
  <c r="Y615" i="2" s="1"/>
  <c r="N615" i="2"/>
  <c r="M615" i="2"/>
  <c r="W615" i="2" s="1"/>
  <c r="L615" i="2"/>
  <c r="V615" i="2" s="1"/>
  <c r="AE614" i="2"/>
  <c r="AD614" i="2"/>
  <c r="AB614" i="2"/>
  <c r="W614" i="2"/>
  <c r="U614" i="2"/>
  <c r="T614" i="2"/>
  <c r="S614" i="2"/>
  <c r="AC614" i="2" s="1"/>
  <c r="R614" i="2"/>
  <c r="Q614" i="2"/>
  <c r="AA614" i="2" s="1"/>
  <c r="P614" i="2"/>
  <c r="Z614" i="2" s="1"/>
  <c r="O614" i="2"/>
  <c r="Y614" i="2" s="1"/>
  <c r="N614" i="2"/>
  <c r="X614" i="2" s="1"/>
  <c r="M614" i="2"/>
  <c r="L614" i="2"/>
  <c r="V614" i="2" s="1"/>
  <c r="AA613" i="2"/>
  <c r="Y613" i="2"/>
  <c r="X613" i="2"/>
  <c r="W613" i="2"/>
  <c r="V613" i="2"/>
  <c r="U613" i="2"/>
  <c r="AE613" i="2" s="1"/>
  <c r="T613" i="2"/>
  <c r="AD613" i="2" s="1"/>
  <c r="S613" i="2"/>
  <c r="AC613" i="2" s="1"/>
  <c r="R613" i="2"/>
  <c r="AB613" i="2" s="1"/>
  <c r="Q613" i="2"/>
  <c r="P613" i="2"/>
  <c r="Z613" i="2" s="1"/>
  <c r="O613" i="2"/>
  <c r="N613" i="2"/>
  <c r="M613" i="2"/>
  <c r="L613" i="2"/>
  <c r="AE612" i="2"/>
  <c r="AC612" i="2"/>
  <c r="AB612" i="2"/>
  <c r="AA612" i="2"/>
  <c r="Z612" i="2"/>
  <c r="X612" i="2"/>
  <c r="W612" i="2"/>
  <c r="V612" i="2"/>
  <c r="U612" i="2"/>
  <c r="T612" i="2"/>
  <c r="AD612" i="2" s="1"/>
  <c r="S612" i="2"/>
  <c r="R612" i="2"/>
  <c r="Q612" i="2"/>
  <c r="P612" i="2"/>
  <c r="O612" i="2"/>
  <c r="Y612" i="2" s="1"/>
  <c r="N612" i="2"/>
  <c r="M612" i="2"/>
  <c r="L612" i="2"/>
  <c r="AE611" i="2"/>
  <c r="AD611" i="2"/>
  <c r="AB611" i="2"/>
  <c r="AA611" i="2"/>
  <c r="Z611" i="2"/>
  <c r="X611" i="2"/>
  <c r="U611" i="2"/>
  <c r="T611" i="2"/>
  <c r="S611" i="2"/>
  <c r="AC611" i="2" s="1"/>
  <c r="R611" i="2"/>
  <c r="Q611" i="2"/>
  <c r="P611" i="2"/>
  <c r="O611" i="2"/>
  <c r="Y611" i="2" s="1"/>
  <c r="N611" i="2"/>
  <c r="M611" i="2"/>
  <c r="W611" i="2" s="1"/>
  <c r="L611" i="2"/>
  <c r="V611" i="2" s="1"/>
  <c r="AE610" i="2"/>
  <c r="AD610" i="2"/>
  <c r="AB610" i="2"/>
  <c r="W610" i="2"/>
  <c r="U610" i="2"/>
  <c r="T610" i="2"/>
  <c r="S610" i="2"/>
  <c r="AC610" i="2" s="1"/>
  <c r="R610" i="2"/>
  <c r="Q610" i="2"/>
  <c r="AA610" i="2" s="1"/>
  <c r="P610" i="2"/>
  <c r="Z610" i="2" s="1"/>
  <c r="O610" i="2"/>
  <c r="Y610" i="2" s="1"/>
  <c r="N610" i="2"/>
  <c r="X610" i="2" s="1"/>
  <c r="M610" i="2"/>
  <c r="L610" i="2"/>
  <c r="V610" i="2" s="1"/>
  <c r="AA609" i="2"/>
  <c r="Y609" i="2"/>
  <c r="X609" i="2"/>
  <c r="W609" i="2"/>
  <c r="V609" i="2"/>
  <c r="U609" i="2"/>
  <c r="AE609" i="2" s="1"/>
  <c r="T609" i="2"/>
  <c r="AD609" i="2" s="1"/>
  <c r="S609" i="2"/>
  <c r="AC609" i="2" s="1"/>
  <c r="R609" i="2"/>
  <c r="AB609" i="2" s="1"/>
  <c r="Q609" i="2"/>
  <c r="P609" i="2"/>
  <c r="Z609" i="2" s="1"/>
  <c r="O609" i="2"/>
  <c r="N609" i="2"/>
  <c r="M609" i="2"/>
  <c r="L609" i="2"/>
  <c r="AE608" i="2"/>
  <c r="AC608" i="2"/>
  <c r="AB608" i="2"/>
  <c r="AA608" i="2"/>
  <c r="Z608" i="2"/>
  <c r="X608" i="2"/>
  <c r="W608" i="2"/>
  <c r="V608" i="2"/>
  <c r="U608" i="2"/>
  <c r="T608" i="2"/>
  <c r="AD608" i="2" s="1"/>
  <c r="S608" i="2"/>
  <c r="R608" i="2"/>
  <c r="Q608" i="2"/>
  <c r="P608" i="2"/>
  <c r="O608" i="2"/>
  <c r="Y608" i="2" s="1"/>
  <c r="N608" i="2"/>
  <c r="M608" i="2"/>
  <c r="L608" i="2"/>
  <c r="AE607" i="2"/>
  <c r="AD607" i="2"/>
  <c r="AB607" i="2"/>
  <c r="AA607" i="2"/>
  <c r="Z607" i="2"/>
  <c r="X607" i="2"/>
  <c r="U607" i="2"/>
  <c r="T607" i="2"/>
  <c r="S607" i="2"/>
  <c r="AC607" i="2" s="1"/>
  <c r="R607" i="2"/>
  <c r="Q607" i="2"/>
  <c r="P607" i="2"/>
  <c r="O607" i="2"/>
  <c r="Y607" i="2" s="1"/>
  <c r="N607" i="2"/>
  <c r="M607" i="2"/>
  <c r="W607" i="2" s="1"/>
  <c r="L607" i="2"/>
  <c r="V607" i="2" s="1"/>
  <c r="AE606" i="2"/>
  <c r="AD606" i="2"/>
  <c r="AB606" i="2"/>
  <c r="W606" i="2"/>
  <c r="U606" i="2"/>
  <c r="T606" i="2"/>
  <c r="S606" i="2"/>
  <c r="AC606" i="2" s="1"/>
  <c r="R606" i="2"/>
  <c r="Q606" i="2"/>
  <c r="AA606" i="2" s="1"/>
  <c r="P606" i="2"/>
  <c r="Z606" i="2" s="1"/>
  <c r="O606" i="2"/>
  <c r="Y606" i="2" s="1"/>
  <c r="N606" i="2"/>
  <c r="X606" i="2" s="1"/>
  <c r="M606" i="2"/>
  <c r="L606" i="2"/>
  <c r="V606" i="2" s="1"/>
  <c r="AA605" i="2"/>
  <c r="Y605" i="2"/>
  <c r="X605" i="2"/>
  <c r="W605" i="2"/>
  <c r="V605" i="2"/>
  <c r="U605" i="2"/>
  <c r="AE605" i="2" s="1"/>
  <c r="T605" i="2"/>
  <c r="AD605" i="2" s="1"/>
  <c r="S605" i="2"/>
  <c r="AC605" i="2" s="1"/>
  <c r="R605" i="2"/>
  <c r="AB605" i="2" s="1"/>
  <c r="Q605" i="2"/>
  <c r="P605" i="2"/>
  <c r="Z605" i="2" s="1"/>
  <c r="O605" i="2"/>
  <c r="N605" i="2"/>
  <c r="M605" i="2"/>
  <c r="L605" i="2"/>
  <c r="AE604" i="2"/>
  <c r="AC604" i="2"/>
  <c r="AB604" i="2"/>
  <c r="AA604" i="2"/>
  <c r="Z604" i="2"/>
  <c r="X604" i="2"/>
  <c r="W604" i="2"/>
  <c r="V604" i="2"/>
  <c r="U604" i="2"/>
  <c r="T604" i="2"/>
  <c r="AD604" i="2" s="1"/>
  <c r="S604" i="2"/>
  <c r="R604" i="2"/>
  <c r="Q604" i="2"/>
  <c r="P604" i="2"/>
  <c r="O604" i="2"/>
  <c r="Y604" i="2" s="1"/>
  <c r="N604" i="2"/>
  <c r="M604" i="2"/>
  <c r="L604" i="2"/>
  <c r="AE603" i="2"/>
  <c r="AD603" i="2"/>
  <c r="AB603" i="2"/>
  <c r="AA603" i="2"/>
  <c r="Z603" i="2"/>
  <c r="X603" i="2"/>
  <c r="U603" i="2"/>
  <c r="T603" i="2"/>
  <c r="S603" i="2"/>
  <c r="AC603" i="2" s="1"/>
  <c r="R603" i="2"/>
  <c r="Q603" i="2"/>
  <c r="P603" i="2"/>
  <c r="O603" i="2"/>
  <c r="Y603" i="2" s="1"/>
  <c r="N603" i="2"/>
  <c r="M603" i="2"/>
  <c r="W603" i="2" s="1"/>
  <c r="L603" i="2"/>
  <c r="V603" i="2" s="1"/>
  <c r="AE602" i="2"/>
  <c r="AD602" i="2"/>
  <c r="AB602" i="2"/>
  <c r="W602" i="2"/>
  <c r="U602" i="2"/>
  <c r="T602" i="2"/>
  <c r="S602" i="2"/>
  <c r="AC602" i="2" s="1"/>
  <c r="R602" i="2"/>
  <c r="Q602" i="2"/>
  <c r="AA602" i="2" s="1"/>
  <c r="P602" i="2"/>
  <c r="Z602" i="2" s="1"/>
  <c r="O602" i="2"/>
  <c r="Y602" i="2" s="1"/>
  <c r="N602" i="2"/>
  <c r="X602" i="2" s="1"/>
  <c r="M602" i="2"/>
  <c r="L602" i="2"/>
  <c r="V602" i="2" s="1"/>
  <c r="AA601" i="2"/>
  <c r="Y601" i="2"/>
  <c r="X601" i="2"/>
  <c r="W601" i="2"/>
  <c r="V601" i="2"/>
  <c r="U601" i="2"/>
  <c r="AE601" i="2" s="1"/>
  <c r="T601" i="2"/>
  <c r="AD601" i="2" s="1"/>
  <c r="S601" i="2"/>
  <c r="AC601" i="2" s="1"/>
  <c r="R601" i="2"/>
  <c r="AB601" i="2" s="1"/>
  <c r="Q601" i="2"/>
  <c r="P601" i="2"/>
  <c r="Z601" i="2" s="1"/>
  <c r="O601" i="2"/>
  <c r="N601" i="2"/>
  <c r="M601" i="2"/>
  <c r="L601" i="2"/>
  <c r="AE600" i="2"/>
  <c r="AC600" i="2"/>
  <c r="AB600" i="2"/>
  <c r="AA600" i="2"/>
  <c r="Z600" i="2"/>
  <c r="X600" i="2"/>
  <c r="W600" i="2"/>
  <c r="V600" i="2"/>
  <c r="U600" i="2"/>
  <c r="T600" i="2"/>
  <c r="AD600" i="2" s="1"/>
  <c r="S600" i="2"/>
  <c r="R600" i="2"/>
  <c r="Q600" i="2"/>
  <c r="P600" i="2"/>
  <c r="O600" i="2"/>
  <c r="Y600" i="2" s="1"/>
  <c r="N600" i="2"/>
  <c r="M600" i="2"/>
  <c r="L600" i="2"/>
  <c r="AE599" i="2"/>
  <c r="AD599" i="2"/>
  <c r="AB599" i="2"/>
  <c r="AA599" i="2"/>
  <c r="Z599" i="2"/>
  <c r="X599" i="2"/>
  <c r="U599" i="2"/>
  <c r="T599" i="2"/>
  <c r="S599" i="2"/>
  <c r="AC599" i="2" s="1"/>
  <c r="R599" i="2"/>
  <c r="Q599" i="2"/>
  <c r="P599" i="2"/>
  <c r="O599" i="2"/>
  <c r="Y599" i="2" s="1"/>
  <c r="N599" i="2"/>
  <c r="M599" i="2"/>
  <c r="W599" i="2" s="1"/>
  <c r="L599" i="2"/>
  <c r="V599" i="2" s="1"/>
  <c r="AE598" i="2"/>
  <c r="AD598" i="2"/>
  <c r="AB598" i="2"/>
  <c r="W598" i="2"/>
  <c r="U598" i="2"/>
  <c r="T598" i="2"/>
  <c r="S598" i="2"/>
  <c r="AC598" i="2" s="1"/>
  <c r="R598" i="2"/>
  <c r="Q598" i="2"/>
  <c r="AA598" i="2" s="1"/>
  <c r="P598" i="2"/>
  <c r="Z598" i="2" s="1"/>
  <c r="O598" i="2"/>
  <c r="Y598" i="2" s="1"/>
  <c r="N598" i="2"/>
  <c r="X598" i="2" s="1"/>
  <c r="M598" i="2"/>
  <c r="L598" i="2"/>
  <c r="V598" i="2" s="1"/>
  <c r="AA597" i="2"/>
  <c r="Y597" i="2"/>
  <c r="X597" i="2"/>
  <c r="W597" i="2"/>
  <c r="V597" i="2"/>
  <c r="U597" i="2"/>
  <c r="AE597" i="2" s="1"/>
  <c r="T597" i="2"/>
  <c r="AD597" i="2" s="1"/>
  <c r="S597" i="2"/>
  <c r="AC597" i="2" s="1"/>
  <c r="R597" i="2"/>
  <c r="AB597" i="2" s="1"/>
  <c r="Q597" i="2"/>
  <c r="P597" i="2"/>
  <c r="Z597" i="2" s="1"/>
  <c r="O597" i="2"/>
  <c r="N597" i="2"/>
  <c r="M597" i="2"/>
  <c r="L597" i="2"/>
  <c r="AE596" i="2"/>
  <c r="AC596" i="2"/>
  <c r="AB596" i="2"/>
  <c r="AA596" i="2"/>
  <c r="Z596" i="2"/>
  <c r="X596" i="2"/>
  <c r="W596" i="2"/>
  <c r="V596" i="2"/>
  <c r="U596" i="2"/>
  <c r="T596" i="2"/>
  <c r="AD596" i="2" s="1"/>
  <c r="S596" i="2"/>
  <c r="R596" i="2"/>
  <c r="Q596" i="2"/>
  <c r="P596" i="2"/>
  <c r="O596" i="2"/>
  <c r="Y596" i="2" s="1"/>
  <c r="N596" i="2"/>
  <c r="M596" i="2"/>
  <c r="L596" i="2"/>
  <c r="AE595" i="2"/>
  <c r="AD595" i="2"/>
  <c r="AB595" i="2"/>
  <c r="AA595" i="2"/>
  <c r="Z595" i="2"/>
  <c r="X595" i="2"/>
  <c r="U595" i="2"/>
  <c r="T595" i="2"/>
  <c r="S595" i="2"/>
  <c r="AC595" i="2" s="1"/>
  <c r="R595" i="2"/>
  <c r="Q595" i="2"/>
  <c r="P595" i="2"/>
  <c r="O595" i="2"/>
  <c r="Y595" i="2" s="1"/>
  <c r="N595" i="2"/>
  <c r="M595" i="2"/>
  <c r="W595" i="2" s="1"/>
  <c r="L595" i="2"/>
  <c r="V595" i="2" s="1"/>
  <c r="AE594" i="2"/>
  <c r="AD594" i="2"/>
  <c r="AB594" i="2"/>
  <c r="W594" i="2"/>
  <c r="U594" i="2"/>
  <c r="T594" i="2"/>
  <c r="S594" i="2"/>
  <c r="AC594" i="2" s="1"/>
  <c r="R594" i="2"/>
  <c r="Q594" i="2"/>
  <c r="AA594" i="2" s="1"/>
  <c r="P594" i="2"/>
  <c r="Z594" i="2" s="1"/>
  <c r="O594" i="2"/>
  <c r="Y594" i="2" s="1"/>
  <c r="N594" i="2"/>
  <c r="X594" i="2" s="1"/>
  <c r="M594" i="2"/>
  <c r="L594" i="2"/>
  <c r="V594" i="2" s="1"/>
  <c r="AA593" i="2"/>
  <c r="Y593" i="2"/>
  <c r="X593" i="2"/>
  <c r="W593" i="2"/>
  <c r="V593" i="2"/>
  <c r="U593" i="2"/>
  <c r="AE593" i="2" s="1"/>
  <c r="T593" i="2"/>
  <c r="AD593" i="2" s="1"/>
  <c r="S593" i="2"/>
  <c r="AC593" i="2" s="1"/>
  <c r="R593" i="2"/>
  <c r="AB593" i="2" s="1"/>
  <c r="Q593" i="2"/>
  <c r="P593" i="2"/>
  <c r="Z593" i="2" s="1"/>
  <c r="O593" i="2"/>
  <c r="N593" i="2"/>
  <c r="M593" i="2"/>
  <c r="L593" i="2"/>
  <c r="AE592" i="2"/>
  <c r="AC592" i="2"/>
  <c r="AB592" i="2"/>
  <c r="AA592" i="2"/>
  <c r="Z592" i="2"/>
  <c r="X592" i="2"/>
  <c r="W592" i="2"/>
  <c r="V592" i="2"/>
  <c r="U592" i="2"/>
  <c r="T592" i="2"/>
  <c r="AD592" i="2" s="1"/>
  <c r="S592" i="2"/>
  <c r="R592" i="2"/>
  <c r="Q592" i="2"/>
  <c r="P592" i="2"/>
  <c r="O592" i="2"/>
  <c r="Y592" i="2" s="1"/>
  <c r="N592" i="2"/>
  <c r="M592" i="2"/>
  <c r="L592" i="2"/>
  <c r="AE591" i="2"/>
  <c r="AD591" i="2"/>
  <c r="AB591" i="2"/>
  <c r="AA591" i="2"/>
  <c r="Z591" i="2"/>
  <c r="X591" i="2"/>
  <c r="U591" i="2"/>
  <c r="T591" i="2"/>
  <c r="S591" i="2"/>
  <c r="AC591" i="2" s="1"/>
  <c r="R591" i="2"/>
  <c r="Q591" i="2"/>
  <c r="P591" i="2"/>
  <c r="O591" i="2"/>
  <c r="Y591" i="2" s="1"/>
  <c r="N591" i="2"/>
  <c r="M591" i="2"/>
  <c r="W591" i="2" s="1"/>
  <c r="L591" i="2"/>
  <c r="V591" i="2" s="1"/>
  <c r="AE590" i="2"/>
  <c r="AD590" i="2"/>
  <c r="AB590" i="2"/>
  <c r="W590" i="2"/>
  <c r="U590" i="2"/>
  <c r="T590" i="2"/>
  <c r="S590" i="2"/>
  <c r="AC590" i="2" s="1"/>
  <c r="R590" i="2"/>
  <c r="Q590" i="2"/>
  <c r="AA590" i="2" s="1"/>
  <c r="P590" i="2"/>
  <c r="Z590" i="2" s="1"/>
  <c r="O590" i="2"/>
  <c r="Y590" i="2" s="1"/>
  <c r="N590" i="2"/>
  <c r="X590" i="2" s="1"/>
  <c r="M590" i="2"/>
  <c r="L590" i="2"/>
  <c r="V590" i="2" s="1"/>
  <c r="AA589" i="2"/>
  <c r="Y589" i="2"/>
  <c r="X589" i="2"/>
  <c r="W589" i="2"/>
  <c r="V589" i="2"/>
  <c r="U589" i="2"/>
  <c r="AE589" i="2" s="1"/>
  <c r="T589" i="2"/>
  <c r="AD589" i="2" s="1"/>
  <c r="S589" i="2"/>
  <c r="AC589" i="2" s="1"/>
  <c r="R589" i="2"/>
  <c r="AB589" i="2" s="1"/>
  <c r="Q589" i="2"/>
  <c r="P589" i="2"/>
  <c r="Z589" i="2" s="1"/>
  <c r="O589" i="2"/>
  <c r="N589" i="2"/>
  <c r="M589" i="2"/>
  <c r="L589" i="2"/>
  <c r="AE588" i="2"/>
  <c r="AC588" i="2"/>
  <c r="AB588" i="2"/>
  <c r="AA588" i="2"/>
  <c r="Z588" i="2"/>
  <c r="X588" i="2"/>
  <c r="W588" i="2"/>
  <c r="V588" i="2"/>
  <c r="U588" i="2"/>
  <c r="T588" i="2"/>
  <c r="AD588" i="2" s="1"/>
  <c r="S588" i="2"/>
  <c r="R588" i="2"/>
  <c r="Q588" i="2"/>
  <c r="P588" i="2"/>
  <c r="O588" i="2"/>
  <c r="Y588" i="2" s="1"/>
  <c r="N588" i="2"/>
  <c r="M588" i="2"/>
  <c r="L588" i="2"/>
  <c r="AE587" i="2"/>
  <c r="AD587" i="2"/>
  <c r="AB587" i="2"/>
  <c r="AA587" i="2"/>
  <c r="Z587" i="2"/>
  <c r="X587" i="2"/>
  <c r="U587" i="2"/>
  <c r="T587" i="2"/>
  <c r="S587" i="2"/>
  <c r="AC587" i="2" s="1"/>
  <c r="R587" i="2"/>
  <c r="Q587" i="2"/>
  <c r="P587" i="2"/>
  <c r="O587" i="2"/>
  <c r="Y587" i="2" s="1"/>
  <c r="N587" i="2"/>
  <c r="M587" i="2"/>
  <c r="W587" i="2" s="1"/>
  <c r="L587" i="2"/>
  <c r="V587" i="2" s="1"/>
  <c r="AE586" i="2"/>
  <c r="AD586" i="2"/>
  <c r="AB586" i="2"/>
  <c r="W586" i="2"/>
  <c r="U586" i="2"/>
  <c r="T586" i="2"/>
  <c r="S586" i="2"/>
  <c r="AC586" i="2" s="1"/>
  <c r="R586" i="2"/>
  <c r="Q586" i="2"/>
  <c r="AA586" i="2" s="1"/>
  <c r="P586" i="2"/>
  <c r="Z586" i="2" s="1"/>
  <c r="O586" i="2"/>
  <c r="Y586" i="2" s="1"/>
  <c r="N586" i="2"/>
  <c r="X586" i="2" s="1"/>
  <c r="M586" i="2"/>
  <c r="L586" i="2"/>
  <c r="V586" i="2" s="1"/>
  <c r="AA585" i="2"/>
  <c r="Y585" i="2"/>
  <c r="X585" i="2"/>
  <c r="W585" i="2"/>
  <c r="V585" i="2"/>
  <c r="U585" i="2"/>
  <c r="AE585" i="2" s="1"/>
  <c r="T585" i="2"/>
  <c r="AD585" i="2" s="1"/>
  <c r="S585" i="2"/>
  <c r="AC585" i="2" s="1"/>
  <c r="R585" i="2"/>
  <c r="AB585" i="2" s="1"/>
  <c r="Q585" i="2"/>
  <c r="P585" i="2"/>
  <c r="Z585" i="2" s="1"/>
  <c r="O585" i="2"/>
  <c r="N585" i="2"/>
  <c r="M585" i="2"/>
  <c r="L585" i="2"/>
  <c r="AE584" i="2"/>
  <c r="AC584" i="2"/>
  <c r="AB584" i="2"/>
  <c r="AA584" i="2"/>
  <c r="Z584" i="2"/>
  <c r="X584" i="2"/>
  <c r="W584" i="2"/>
  <c r="V584" i="2"/>
  <c r="U584" i="2"/>
  <c r="T584" i="2"/>
  <c r="AD584" i="2" s="1"/>
  <c r="S584" i="2"/>
  <c r="R584" i="2"/>
  <c r="Q584" i="2"/>
  <c r="P584" i="2"/>
  <c r="O584" i="2"/>
  <c r="Y584" i="2" s="1"/>
  <c r="N584" i="2"/>
  <c r="M584" i="2"/>
  <c r="L584" i="2"/>
  <c r="AE583" i="2"/>
  <c r="AD583" i="2"/>
  <c r="AB583" i="2"/>
  <c r="AA583" i="2"/>
  <c r="Z583" i="2"/>
  <c r="X583" i="2"/>
  <c r="U583" i="2"/>
  <c r="T583" i="2"/>
  <c r="S583" i="2"/>
  <c r="AC583" i="2" s="1"/>
  <c r="R583" i="2"/>
  <c r="Q583" i="2"/>
  <c r="P583" i="2"/>
  <c r="O583" i="2"/>
  <c r="Y583" i="2" s="1"/>
  <c r="N583" i="2"/>
  <c r="M583" i="2"/>
  <c r="W583" i="2" s="1"/>
  <c r="L583" i="2"/>
  <c r="V583" i="2" s="1"/>
  <c r="AE582" i="2"/>
  <c r="AD582" i="2"/>
  <c r="AB582" i="2"/>
  <c r="W582" i="2"/>
  <c r="U582" i="2"/>
  <c r="T582" i="2"/>
  <c r="S582" i="2"/>
  <c r="AC582" i="2" s="1"/>
  <c r="R582" i="2"/>
  <c r="Q582" i="2"/>
  <c r="AA582" i="2" s="1"/>
  <c r="P582" i="2"/>
  <c r="Z582" i="2" s="1"/>
  <c r="O582" i="2"/>
  <c r="Y582" i="2" s="1"/>
  <c r="N582" i="2"/>
  <c r="X582" i="2" s="1"/>
  <c r="M582" i="2"/>
  <c r="L582" i="2"/>
  <c r="V582" i="2" s="1"/>
  <c r="AA581" i="2"/>
  <c r="Y581" i="2"/>
  <c r="X581" i="2"/>
  <c r="W581" i="2"/>
  <c r="V581" i="2"/>
  <c r="U581" i="2"/>
  <c r="AE581" i="2" s="1"/>
  <c r="T581" i="2"/>
  <c r="AD581" i="2" s="1"/>
  <c r="S581" i="2"/>
  <c r="AC581" i="2" s="1"/>
  <c r="R581" i="2"/>
  <c r="AB581" i="2" s="1"/>
  <c r="Q581" i="2"/>
  <c r="P581" i="2"/>
  <c r="Z581" i="2" s="1"/>
  <c r="O581" i="2"/>
  <c r="N581" i="2"/>
  <c r="M581" i="2"/>
  <c r="L581" i="2"/>
  <c r="AE580" i="2"/>
  <c r="AC580" i="2"/>
  <c r="AB580" i="2"/>
  <c r="AA580" i="2"/>
  <c r="Z580" i="2"/>
  <c r="X580" i="2"/>
  <c r="W580" i="2"/>
  <c r="V580" i="2"/>
  <c r="U580" i="2"/>
  <c r="T580" i="2"/>
  <c r="AD580" i="2" s="1"/>
  <c r="S580" i="2"/>
  <c r="R580" i="2"/>
  <c r="Q580" i="2"/>
  <c r="P580" i="2"/>
  <c r="O580" i="2"/>
  <c r="Y580" i="2" s="1"/>
  <c r="N580" i="2"/>
  <c r="M580" i="2"/>
  <c r="L580" i="2"/>
  <c r="AE579" i="2"/>
  <c r="AD579" i="2"/>
  <c r="AB579" i="2"/>
  <c r="AA579" i="2"/>
  <c r="Z579" i="2"/>
  <c r="X579" i="2"/>
  <c r="U579" i="2"/>
  <c r="T579" i="2"/>
  <c r="S579" i="2"/>
  <c r="AC579" i="2" s="1"/>
  <c r="R579" i="2"/>
  <c r="Q579" i="2"/>
  <c r="P579" i="2"/>
  <c r="O579" i="2"/>
  <c r="Y579" i="2" s="1"/>
  <c r="N579" i="2"/>
  <c r="M579" i="2"/>
  <c r="W579" i="2" s="1"/>
  <c r="L579" i="2"/>
  <c r="V579" i="2" s="1"/>
  <c r="AE578" i="2"/>
  <c r="AD578" i="2"/>
  <c r="AB578" i="2"/>
  <c r="W578" i="2"/>
  <c r="U578" i="2"/>
  <c r="T578" i="2"/>
  <c r="S578" i="2"/>
  <c r="AC578" i="2" s="1"/>
  <c r="R578" i="2"/>
  <c r="Q578" i="2"/>
  <c r="AA578" i="2" s="1"/>
  <c r="P578" i="2"/>
  <c r="Z578" i="2" s="1"/>
  <c r="O578" i="2"/>
  <c r="Y578" i="2" s="1"/>
  <c r="N578" i="2"/>
  <c r="X578" i="2" s="1"/>
  <c r="M578" i="2"/>
  <c r="L578" i="2"/>
  <c r="V578" i="2" s="1"/>
  <c r="AA577" i="2"/>
  <c r="Y577" i="2"/>
  <c r="X577" i="2"/>
  <c r="W577" i="2"/>
  <c r="V577" i="2"/>
  <c r="U577" i="2"/>
  <c r="AE577" i="2" s="1"/>
  <c r="T577" i="2"/>
  <c r="AD577" i="2" s="1"/>
  <c r="S577" i="2"/>
  <c r="AC577" i="2" s="1"/>
  <c r="R577" i="2"/>
  <c r="AB577" i="2" s="1"/>
  <c r="Q577" i="2"/>
  <c r="P577" i="2"/>
  <c r="Z577" i="2" s="1"/>
  <c r="O577" i="2"/>
  <c r="N577" i="2"/>
  <c r="M577" i="2"/>
  <c r="L577" i="2"/>
  <c r="AE576" i="2"/>
  <c r="AC576" i="2"/>
  <c r="AB576" i="2"/>
  <c r="AA576" i="2"/>
  <c r="Z576" i="2"/>
  <c r="X576" i="2"/>
  <c r="W576" i="2"/>
  <c r="V576" i="2"/>
  <c r="U576" i="2"/>
  <c r="T576" i="2"/>
  <c r="AD576" i="2" s="1"/>
  <c r="S576" i="2"/>
  <c r="R576" i="2"/>
  <c r="Q576" i="2"/>
  <c r="P576" i="2"/>
  <c r="O576" i="2"/>
  <c r="Y576" i="2" s="1"/>
  <c r="N576" i="2"/>
  <c r="M576" i="2"/>
  <c r="L576" i="2"/>
  <c r="AE575" i="2"/>
  <c r="AD575" i="2"/>
  <c r="AB575" i="2"/>
  <c r="AA575" i="2"/>
  <c r="Z575" i="2"/>
  <c r="X575" i="2"/>
  <c r="U575" i="2"/>
  <c r="T575" i="2"/>
  <c r="S575" i="2"/>
  <c r="AC575" i="2" s="1"/>
  <c r="R575" i="2"/>
  <c r="Q575" i="2"/>
  <c r="P575" i="2"/>
  <c r="O575" i="2"/>
  <c r="Y575" i="2" s="1"/>
  <c r="N575" i="2"/>
  <c r="M575" i="2"/>
  <c r="W575" i="2" s="1"/>
  <c r="L575" i="2"/>
  <c r="V575" i="2" s="1"/>
  <c r="AE574" i="2"/>
  <c r="AD574" i="2"/>
  <c r="AB574" i="2"/>
  <c r="W574" i="2"/>
  <c r="U574" i="2"/>
  <c r="T574" i="2"/>
  <c r="S574" i="2"/>
  <c r="AC574" i="2" s="1"/>
  <c r="R574" i="2"/>
  <c r="Q574" i="2"/>
  <c r="AA574" i="2" s="1"/>
  <c r="P574" i="2"/>
  <c r="Z574" i="2" s="1"/>
  <c r="O574" i="2"/>
  <c r="Y574" i="2" s="1"/>
  <c r="N574" i="2"/>
  <c r="X574" i="2" s="1"/>
  <c r="M574" i="2"/>
  <c r="L574" i="2"/>
  <c r="V574" i="2" s="1"/>
  <c r="AA573" i="2"/>
  <c r="Y573" i="2"/>
  <c r="X573" i="2"/>
  <c r="W573" i="2"/>
  <c r="V573" i="2"/>
  <c r="U573" i="2"/>
  <c r="AE573" i="2" s="1"/>
  <c r="T573" i="2"/>
  <c r="AD573" i="2" s="1"/>
  <c r="S573" i="2"/>
  <c r="AC573" i="2" s="1"/>
  <c r="R573" i="2"/>
  <c r="AB573" i="2" s="1"/>
  <c r="Q573" i="2"/>
  <c r="P573" i="2"/>
  <c r="Z573" i="2" s="1"/>
  <c r="O573" i="2"/>
  <c r="N573" i="2"/>
  <c r="M573" i="2"/>
  <c r="L573" i="2"/>
  <c r="AE572" i="2"/>
  <c r="AC572" i="2"/>
  <c r="AB572" i="2"/>
  <c r="AA572" i="2"/>
  <c r="Z572" i="2"/>
  <c r="X572" i="2"/>
  <c r="W572" i="2"/>
  <c r="V572" i="2"/>
  <c r="U572" i="2"/>
  <c r="T572" i="2"/>
  <c r="AD572" i="2" s="1"/>
  <c r="S572" i="2"/>
  <c r="R572" i="2"/>
  <c r="Q572" i="2"/>
  <c r="P572" i="2"/>
  <c r="O572" i="2"/>
  <c r="Y572" i="2" s="1"/>
  <c r="N572" i="2"/>
  <c r="M572" i="2"/>
  <c r="L572" i="2"/>
  <c r="AE571" i="2"/>
  <c r="AD571" i="2"/>
  <c r="AB571" i="2"/>
  <c r="AA571" i="2"/>
  <c r="Z571" i="2"/>
  <c r="X571" i="2"/>
  <c r="U571" i="2"/>
  <c r="T571" i="2"/>
  <c r="S571" i="2"/>
  <c r="AC571" i="2" s="1"/>
  <c r="R571" i="2"/>
  <c r="Q571" i="2"/>
  <c r="P571" i="2"/>
  <c r="O571" i="2"/>
  <c r="Y571" i="2" s="1"/>
  <c r="N571" i="2"/>
  <c r="M571" i="2"/>
  <c r="W571" i="2" s="1"/>
  <c r="L571" i="2"/>
  <c r="V571" i="2" s="1"/>
  <c r="AE570" i="2"/>
  <c r="AD570" i="2"/>
  <c r="AB570" i="2"/>
  <c r="W570" i="2"/>
  <c r="U570" i="2"/>
  <c r="T570" i="2"/>
  <c r="S570" i="2"/>
  <c r="AC570" i="2" s="1"/>
  <c r="R570" i="2"/>
  <c r="Q570" i="2"/>
  <c r="AA570" i="2" s="1"/>
  <c r="P570" i="2"/>
  <c r="Z570" i="2" s="1"/>
  <c r="O570" i="2"/>
  <c r="Y570" i="2" s="1"/>
  <c r="N570" i="2"/>
  <c r="X570" i="2" s="1"/>
  <c r="M570" i="2"/>
  <c r="L570" i="2"/>
  <c r="V570" i="2" s="1"/>
  <c r="AA569" i="2"/>
  <c r="Y569" i="2"/>
  <c r="X569" i="2"/>
  <c r="W569" i="2"/>
  <c r="V569" i="2"/>
  <c r="U569" i="2"/>
  <c r="AE569" i="2" s="1"/>
  <c r="T569" i="2"/>
  <c r="AD569" i="2" s="1"/>
  <c r="S569" i="2"/>
  <c r="AC569" i="2" s="1"/>
  <c r="R569" i="2"/>
  <c r="AB569" i="2" s="1"/>
  <c r="Q569" i="2"/>
  <c r="P569" i="2"/>
  <c r="Z569" i="2" s="1"/>
  <c r="O569" i="2"/>
  <c r="N569" i="2"/>
  <c r="M569" i="2"/>
  <c r="L569" i="2"/>
  <c r="AE568" i="2"/>
  <c r="AC568" i="2"/>
  <c r="AB568" i="2"/>
  <c r="AA568" i="2"/>
  <c r="X568" i="2"/>
  <c r="W568" i="2"/>
  <c r="V568" i="2"/>
  <c r="U568" i="2"/>
  <c r="T568" i="2"/>
  <c r="AD568" i="2" s="1"/>
  <c r="S568" i="2"/>
  <c r="R568" i="2"/>
  <c r="Q568" i="2"/>
  <c r="P568" i="2"/>
  <c r="Z568" i="2" s="1"/>
  <c r="O568" i="2"/>
  <c r="Y568" i="2" s="1"/>
  <c r="N568" i="2"/>
  <c r="M568" i="2"/>
  <c r="L568" i="2"/>
  <c r="AE567" i="2"/>
  <c r="AB567" i="2"/>
  <c r="AA567" i="2"/>
  <c r="Z567" i="2"/>
  <c r="X567" i="2"/>
  <c r="U567" i="2"/>
  <c r="T567" i="2"/>
  <c r="AD567" i="2" s="1"/>
  <c r="S567" i="2"/>
  <c r="AC567" i="2" s="1"/>
  <c r="R567" i="2"/>
  <c r="Q567" i="2"/>
  <c r="P567" i="2"/>
  <c r="O567" i="2"/>
  <c r="Y567" i="2" s="1"/>
  <c r="N567" i="2"/>
  <c r="M567" i="2"/>
  <c r="W567" i="2" s="1"/>
  <c r="L567" i="2"/>
  <c r="V567" i="2" s="1"/>
  <c r="AE566" i="2"/>
  <c r="AD566" i="2"/>
  <c r="AB566" i="2"/>
  <c r="W566" i="2"/>
  <c r="U566" i="2"/>
  <c r="T566" i="2"/>
  <c r="S566" i="2"/>
  <c r="AC566" i="2" s="1"/>
  <c r="R566" i="2"/>
  <c r="Q566" i="2"/>
  <c r="AA566" i="2" s="1"/>
  <c r="P566" i="2"/>
  <c r="Z566" i="2" s="1"/>
  <c r="O566" i="2"/>
  <c r="Y566" i="2" s="1"/>
  <c r="N566" i="2"/>
  <c r="X566" i="2" s="1"/>
  <c r="M566" i="2"/>
  <c r="L566" i="2"/>
  <c r="V566" i="2" s="1"/>
  <c r="AA565" i="2"/>
  <c r="Y565" i="2"/>
  <c r="X565" i="2"/>
  <c r="W565" i="2"/>
  <c r="U565" i="2"/>
  <c r="AE565" i="2" s="1"/>
  <c r="T565" i="2"/>
  <c r="AD565" i="2" s="1"/>
  <c r="S565" i="2"/>
  <c r="AC565" i="2" s="1"/>
  <c r="R565" i="2"/>
  <c r="AB565" i="2" s="1"/>
  <c r="Q565" i="2"/>
  <c r="P565" i="2"/>
  <c r="Z565" i="2" s="1"/>
  <c r="O565" i="2"/>
  <c r="N565" i="2"/>
  <c r="M565" i="2"/>
  <c r="L565" i="2"/>
  <c r="V565" i="2" s="1"/>
  <c r="AE564" i="2"/>
  <c r="AC564" i="2"/>
  <c r="AB564" i="2"/>
  <c r="AA564" i="2"/>
  <c r="X564" i="2"/>
  <c r="W564" i="2"/>
  <c r="V564" i="2"/>
  <c r="U564" i="2"/>
  <c r="T564" i="2"/>
  <c r="AD564" i="2" s="1"/>
  <c r="S564" i="2"/>
  <c r="R564" i="2"/>
  <c r="Q564" i="2"/>
  <c r="P564" i="2"/>
  <c r="Z564" i="2" s="1"/>
  <c r="O564" i="2"/>
  <c r="Y564" i="2" s="1"/>
  <c r="N564" i="2"/>
  <c r="M564" i="2"/>
  <c r="L564" i="2"/>
  <c r="AE563" i="2"/>
  <c r="AB563" i="2"/>
  <c r="AA563" i="2"/>
  <c r="Z563" i="2"/>
  <c r="X563" i="2"/>
  <c r="U563" i="2"/>
  <c r="T563" i="2"/>
  <c r="AD563" i="2" s="1"/>
  <c r="S563" i="2"/>
  <c r="AC563" i="2" s="1"/>
  <c r="R563" i="2"/>
  <c r="Q563" i="2"/>
  <c r="P563" i="2"/>
  <c r="O563" i="2"/>
  <c r="Y563" i="2" s="1"/>
  <c r="N563" i="2"/>
  <c r="M563" i="2"/>
  <c r="W563" i="2" s="1"/>
  <c r="L563" i="2"/>
  <c r="V563" i="2" s="1"/>
  <c r="AE562" i="2"/>
  <c r="AD562" i="2"/>
  <c r="AB562" i="2"/>
  <c r="W562" i="2"/>
  <c r="U562" i="2"/>
  <c r="T562" i="2"/>
  <c r="S562" i="2"/>
  <c r="AC562" i="2" s="1"/>
  <c r="R562" i="2"/>
  <c r="Q562" i="2"/>
  <c r="AA562" i="2" s="1"/>
  <c r="P562" i="2"/>
  <c r="Z562" i="2" s="1"/>
  <c r="O562" i="2"/>
  <c r="Y562" i="2" s="1"/>
  <c r="N562" i="2"/>
  <c r="X562" i="2" s="1"/>
  <c r="M562" i="2"/>
  <c r="L562" i="2"/>
  <c r="V562" i="2" s="1"/>
  <c r="AA561" i="2"/>
  <c r="Y561" i="2"/>
  <c r="X561" i="2"/>
  <c r="W561" i="2"/>
  <c r="U561" i="2"/>
  <c r="AE561" i="2" s="1"/>
  <c r="T561" i="2"/>
  <c r="AD561" i="2" s="1"/>
  <c r="S561" i="2"/>
  <c r="AC561" i="2" s="1"/>
  <c r="R561" i="2"/>
  <c r="AB561" i="2" s="1"/>
  <c r="Q561" i="2"/>
  <c r="P561" i="2"/>
  <c r="Z561" i="2" s="1"/>
  <c r="O561" i="2"/>
  <c r="N561" i="2"/>
  <c r="M561" i="2"/>
  <c r="L561" i="2"/>
  <c r="V561" i="2" s="1"/>
  <c r="AE560" i="2"/>
  <c r="AC560" i="2"/>
  <c r="AB560" i="2"/>
  <c r="AA560" i="2"/>
  <c r="X560" i="2"/>
  <c r="W560" i="2"/>
  <c r="V560" i="2"/>
  <c r="U560" i="2"/>
  <c r="T560" i="2"/>
  <c r="AD560" i="2" s="1"/>
  <c r="S560" i="2"/>
  <c r="R560" i="2"/>
  <c r="Q560" i="2"/>
  <c r="P560" i="2"/>
  <c r="Z560" i="2" s="1"/>
  <c r="O560" i="2"/>
  <c r="Y560" i="2" s="1"/>
  <c r="N560" i="2"/>
  <c r="M560" i="2"/>
  <c r="L560" i="2"/>
  <c r="AE559" i="2"/>
  <c r="AB559" i="2"/>
  <c r="AA559" i="2"/>
  <c r="Z559" i="2"/>
  <c r="X559" i="2"/>
  <c r="U559" i="2"/>
  <c r="T559" i="2"/>
  <c r="AD559" i="2" s="1"/>
  <c r="S559" i="2"/>
  <c r="AC559" i="2" s="1"/>
  <c r="R559" i="2"/>
  <c r="Q559" i="2"/>
  <c r="P559" i="2"/>
  <c r="O559" i="2"/>
  <c r="Y559" i="2" s="1"/>
  <c r="N559" i="2"/>
  <c r="M559" i="2"/>
  <c r="W559" i="2" s="1"/>
  <c r="L559" i="2"/>
  <c r="V559" i="2" s="1"/>
  <c r="AE558" i="2"/>
  <c r="AB558" i="2"/>
  <c r="W558" i="2"/>
  <c r="U558" i="2"/>
  <c r="T558" i="2"/>
  <c r="AD558" i="2" s="1"/>
  <c r="S558" i="2"/>
  <c r="AC558" i="2" s="1"/>
  <c r="R558" i="2"/>
  <c r="Q558" i="2"/>
  <c r="AA558" i="2" s="1"/>
  <c r="P558" i="2"/>
  <c r="Z558" i="2" s="1"/>
  <c r="O558" i="2"/>
  <c r="Y558" i="2" s="1"/>
  <c r="N558" i="2"/>
  <c r="X558" i="2" s="1"/>
  <c r="M558" i="2"/>
  <c r="L558" i="2"/>
  <c r="V558" i="2" s="1"/>
  <c r="AA557" i="2"/>
  <c r="Y557" i="2"/>
  <c r="X557" i="2"/>
  <c r="W557" i="2"/>
  <c r="U557" i="2"/>
  <c r="AE557" i="2" s="1"/>
  <c r="T557" i="2"/>
  <c r="AD557" i="2" s="1"/>
  <c r="S557" i="2"/>
  <c r="AC557" i="2" s="1"/>
  <c r="R557" i="2"/>
  <c r="AB557" i="2" s="1"/>
  <c r="Q557" i="2"/>
  <c r="P557" i="2"/>
  <c r="Z557" i="2" s="1"/>
  <c r="O557" i="2"/>
  <c r="N557" i="2"/>
  <c r="M557" i="2"/>
  <c r="L557" i="2"/>
  <c r="V557" i="2" s="1"/>
  <c r="AE556" i="2"/>
  <c r="AC556" i="2"/>
  <c r="AB556" i="2"/>
  <c r="AA556" i="2"/>
  <c r="X556" i="2"/>
  <c r="W556" i="2"/>
  <c r="V556" i="2"/>
  <c r="U556" i="2"/>
  <c r="T556" i="2"/>
  <c r="AD556" i="2" s="1"/>
  <c r="S556" i="2"/>
  <c r="R556" i="2"/>
  <c r="Q556" i="2"/>
  <c r="P556" i="2"/>
  <c r="Z556" i="2" s="1"/>
  <c r="O556" i="2"/>
  <c r="Y556" i="2" s="1"/>
  <c r="N556" i="2"/>
  <c r="M556" i="2"/>
  <c r="L556" i="2"/>
  <c r="AE555" i="2"/>
  <c r="AB555" i="2"/>
  <c r="AA555" i="2"/>
  <c r="Z555" i="2"/>
  <c r="X555" i="2"/>
  <c r="U555" i="2"/>
  <c r="T555" i="2"/>
  <c r="AD555" i="2" s="1"/>
  <c r="S555" i="2"/>
  <c r="AC555" i="2" s="1"/>
  <c r="R555" i="2"/>
  <c r="Q555" i="2"/>
  <c r="P555" i="2"/>
  <c r="O555" i="2"/>
  <c r="Y555" i="2" s="1"/>
  <c r="N555" i="2"/>
  <c r="M555" i="2"/>
  <c r="W555" i="2" s="1"/>
  <c r="L555" i="2"/>
  <c r="V555" i="2" s="1"/>
  <c r="AE554" i="2"/>
  <c r="AB554" i="2"/>
  <c r="W554" i="2"/>
  <c r="U554" i="2"/>
  <c r="T554" i="2"/>
  <c r="AD554" i="2" s="1"/>
  <c r="S554" i="2"/>
  <c r="AC554" i="2" s="1"/>
  <c r="R554" i="2"/>
  <c r="Q554" i="2"/>
  <c r="AA554" i="2" s="1"/>
  <c r="P554" i="2"/>
  <c r="Z554" i="2" s="1"/>
  <c r="O554" i="2"/>
  <c r="Y554" i="2" s="1"/>
  <c r="N554" i="2"/>
  <c r="X554" i="2" s="1"/>
  <c r="M554" i="2"/>
  <c r="L554" i="2"/>
  <c r="V554" i="2" s="1"/>
  <c r="AA553" i="2"/>
  <c r="Y553" i="2"/>
  <c r="X553" i="2"/>
  <c r="W553" i="2"/>
  <c r="U553" i="2"/>
  <c r="AE553" i="2" s="1"/>
  <c r="T553" i="2"/>
  <c r="AD553" i="2" s="1"/>
  <c r="S553" i="2"/>
  <c r="AC553" i="2" s="1"/>
  <c r="R553" i="2"/>
  <c r="AB553" i="2" s="1"/>
  <c r="Q553" i="2"/>
  <c r="P553" i="2"/>
  <c r="Z553" i="2" s="1"/>
  <c r="O553" i="2"/>
  <c r="N553" i="2"/>
  <c r="M553" i="2"/>
  <c r="L553" i="2"/>
  <c r="V553" i="2" s="1"/>
  <c r="AE552" i="2"/>
  <c r="AC552" i="2"/>
  <c r="AB552" i="2"/>
  <c r="AA552" i="2"/>
  <c r="X552" i="2"/>
  <c r="W552" i="2"/>
  <c r="V552" i="2"/>
  <c r="U552" i="2"/>
  <c r="T552" i="2"/>
  <c r="AD552" i="2" s="1"/>
  <c r="S552" i="2"/>
  <c r="R552" i="2"/>
  <c r="Q552" i="2"/>
  <c r="P552" i="2"/>
  <c r="Z552" i="2" s="1"/>
  <c r="O552" i="2"/>
  <c r="Y552" i="2" s="1"/>
  <c r="N552" i="2"/>
  <c r="M552" i="2"/>
  <c r="L552" i="2"/>
  <c r="AE551" i="2"/>
  <c r="AB551" i="2"/>
  <c r="AA551" i="2"/>
  <c r="X551" i="2"/>
  <c r="U551" i="2"/>
  <c r="T551" i="2"/>
  <c r="AD551" i="2" s="1"/>
  <c r="S551" i="2"/>
  <c r="AC551" i="2" s="1"/>
  <c r="R551" i="2"/>
  <c r="Q551" i="2"/>
  <c r="P551" i="2"/>
  <c r="Z551" i="2" s="1"/>
  <c r="O551" i="2"/>
  <c r="Y551" i="2" s="1"/>
  <c r="N551" i="2"/>
  <c r="M551" i="2"/>
  <c r="W551" i="2" s="1"/>
  <c r="L551" i="2"/>
  <c r="V551" i="2" s="1"/>
  <c r="AE550" i="2"/>
  <c r="AB550" i="2"/>
  <c r="W550" i="2"/>
  <c r="U550" i="2"/>
  <c r="T550" i="2"/>
  <c r="AD550" i="2" s="1"/>
  <c r="S550" i="2"/>
  <c r="AC550" i="2" s="1"/>
  <c r="R550" i="2"/>
  <c r="Q550" i="2"/>
  <c r="AA550" i="2" s="1"/>
  <c r="P550" i="2"/>
  <c r="Z550" i="2" s="1"/>
  <c r="O550" i="2"/>
  <c r="Y550" i="2" s="1"/>
  <c r="N550" i="2"/>
  <c r="X550" i="2" s="1"/>
  <c r="M550" i="2"/>
  <c r="L550" i="2"/>
  <c r="V550" i="2" s="1"/>
  <c r="AA549" i="2"/>
  <c r="Y549" i="2"/>
  <c r="X549" i="2"/>
  <c r="W549" i="2"/>
  <c r="U549" i="2"/>
  <c r="AE549" i="2" s="1"/>
  <c r="T549" i="2"/>
  <c r="AD549" i="2" s="1"/>
  <c r="S549" i="2"/>
  <c r="AC549" i="2" s="1"/>
  <c r="R549" i="2"/>
  <c r="AB549" i="2" s="1"/>
  <c r="Q549" i="2"/>
  <c r="P549" i="2"/>
  <c r="Z549" i="2" s="1"/>
  <c r="O549" i="2"/>
  <c r="N549" i="2"/>
  <c r="M549" i="2"/>
  <c r="L549" i="2"/>
  <c r="V549" i="2" s="1"/>
  <c r="AE548" i="2"/>
  <c r="AC548" i="2"/>
  <c r="AB548" i="2"/>
  <c r="AA548" i="2"/>
  <c r="X548" i="2"/>
  <c r="W548" i="2"/>
  <c r="U548" i="2"/>
  <c r="T548" i="2"/>
  <c r="AD548" i="2" s="1"/>
  <c r="S548" i="2"/>
  <c r="R548" i="2"/>
  <c r="Q548" i="2"/>
  <c r="P548" i="2"/>
  <c r="Z548" i="2" s="1"/>
  <c r="O548" i="2"/>
  <c r="Y548" i="2" s="1"/>
  <c r="N548" i="2"/>
  <c r="M548" i="2"/>
  <c r="L548" i="2"/>
  <c r="V548" i="2" s="1"/>
  <c r="AE547" i="2"/>
  <c r="AB547" i="2"/>
  <c r="AA547" i="2"/>
  <c r="Z547" i="2"/>
  <c r="X547" i="2"/>
  <c r="U547" i="2"/>
  <c r="T547" i="2"/>
  <c r="AD547" i="2" s="1"/>
  <c r="S547" i="2"/>
  <c r="AC547" i="2" s="1"/>
  <c r="R547" i="2"/>
  <c r="Q547" i="2"/>
  <c r="P547" i="2"/>
  <c r="O547" i="2"/>
  <c r="Y547" i="2" s="1"/>
  <c r="N547" i="2"/>
  <c r="M547" i="2"/>
  <c r="W547" i="2" s="1"/>
  <c r="L547" i="2"/>
  <c r="V547" i="2" s="1"/>
  <c r="AE546" i="2"/>
  <c r="AD546" i="2"/>
  <c r="AB546" i="2"/>
  <c r="W546" i="2"/>
  <c r="U546" i="2"/>
  <c r="T546" i="2"/>
  <c r="S546" i="2"/>
  <c r="AC546" i="2" s="1"/>
  <c r="R546" i="2"/>
  <c r="Q546" i="2"/>
  <c r="AA546" i="2" s="1"/>
  <c r="P546" i="2"/>
  <c r="Z546" i="2" s="1"/>
  <c r="O546" i="2"/>
  <c r="Y546" i="2" s="1"/>
  <c r="N546" i="2"/>
  <c r="X546" i="2" s="1"/>
  <c r="M546" i="2"/>
  <c r="L546" i="2"/>
  <c r="V546" i="2" s="1"/>
  <c r="AA545" i="2"/>
  <c r="Y545" i="2"/>
  <c r="X545" i="2"/>
  <c r="W545" i="2"/>
  <c r="U545" i="2"/>
  <c r="AE545" i="2" s="1"/>
  <c r="T545" i="2"/>
  <c r="AD545" i="2" s="1"/>
  <c r="S545" i="2"/>
  <c r="AC545" i="2" s="1"/>
  <c r="R545" i="2"/>
  <c r="AB545" i="2" s="1"/>
  <c r="Q545" i="2"/>
  <c r="P545" i="2"/>
  <c r="Z545" i="2" s="1"/>
  <c r="O545" i="2"/>
  <c r="N545" i="2"/>
  <c r="M545" i="2"/>
  <c r="L545" i="2"/>
  <c r="V545" i="2" s="1"/>
  <c r="AE544" i="2"/>
  <c r="AC544" i="2"/>
  <c r="AB544" i="2"/>
  <c r="AA544" i="2"/>
  <c r="X544" i="2"/>
  <c r="W544" i="2"/>
  <c r="U544" i="2"/>
  <c r="T544" i="2"/>
  <c r="AD544" i="2" s="1"/>
  <c r="S544" i="2"/>
  <c r="R544" i="2"/>
  <c r="Q544" i="2"/>
  <c r="P544" i="2"/>
  <c r="Z544" i="2" s="1"/>
  <c r="O544" i="2"/>
  <c r="Y544" i="2" s="1"/>
  <c r="N544" i="2"/>
  <c r="M544" i="2"/>
  <c r="L544" i="2"/>
  <c r="V544" i="2" s="1"/>
  <c r="AE543" i="2"/>
  <c r="AB543" i="2"/>
  <c r="AA543" i="2"/>
  <c r="Z543" i="2"/>
  <c r="X543" i="2"/>
  <c r="U543" i="2"/>
  <c r="T543" i="2"/>
  <c r="AD543" i="2" s="1"/>
  <c r="S543" i="2"/>
  <c r="AC543" i="2" s="1"/>
  <c r="R543" i="2"/>
  <c r="Q543" i="2"/>
  <c r="P543" i="2"/>
  <c r="O543" i="2"/>
  <c r="Y543" i="2" s="1"/>
  <c r="N543" i="2"/>
  <c r="M543" i="2"/>
  <c r="W543" i="2" s="1"/>
  <c r="L543" i="2"/>
  <c r="V543" i="2" s="1"/>
  <c r="AE542" i="2"/>
  <c r="AB542" i="2"/>
  <c r="W542" i="2"/>
  <c r="U542" i="2"/>
  <c r="T542" i="2"/>
  <c r="AD542" i="2" s="1"/>
  <c r="S542" i="2"/>
  <c r="AC542" i="2" s="1"/>
  <c r="R542" i="2"/>
  <c r="Q542" i="2"/>
  <c r="AA542" i="2" s="1"/>
  <c r="P542" i="2"/>
  <c r="Z542" i="2" s="1"/>
  <c r="O542" i="2"/>
  <c r="Y542" i="2" s="1"/>
  <c r="N542" i="2"/>
  <c r="X542" i="2" s="1"/>
  <c r="M542" i="2"/>
  <c r="L542" i="2"/>
  <c r="V542" i="2" s="1"/>
  <c r="AA541" i="2"/>
  <c r="Y541" i="2"/>
  <c r="X541" i="2"/>
  <c r="W541" i="2"/>
  <c r="U541" i="2"/>
  <c r="AE541" i="2" s="1"/>
  <c r="T541" i="2"/>
  <c r="AD541" i="2" s="1"/>
  <c r="S541" i="2"/>
  <c r="AC541" i="2" s="1"/>
  <c r="R541" i="2"/>
  <c r="AB541" i="2" s="1"/>
  <c r="Q541" i="2"/>
  <c r="P541" i="2"/>
  <c r="Z541" i="2" s="1"/>
  <c r="O541" i="2"/>
  <c r="N541" i="2"/>
  <c r="M541" i="2"/>
  <c r="L541" i="2"/>
  <c r="V541" i="2" s="1"/>
  <c r="AE540" i="2"/>
  <c r="AC540" i="2"/>
  <c r="AB540" i="2"/>
  <c r="AA540" i="2"/>
  <c r="X540" i="2"/>
  <c r="W540" i="2"/>
  <c r="V540" i="2"/>
  <c r="U540" i="2"/>
  <c r="T540" i="2"/>
  <c r="AD540" i="2" s="1"/>
  <c r="S540" i="2"/>
  <c r="R540" i="2"/>
  <c r="Q540" i="2"/>
  <c r="P540" i="2"/>
  <c r="Z540" i="2" s="1"/>
  <c r="O540" i="2"/>
  <c r="Y540" i="2" s="1"/>
  <c r="N540" i="2"/>
  <c r="M540" i="2"/>
  <c r="L540" i="2"/>
  <c r="AE539" i="2"/>
  <c r="AB539" i="2"/>
  <c r="AA539" i="2"/>
  <c r="Z539" i="2"/>
  <c r="X539" i="2"/>
  <c r="U539" i="2"/>
  <c r="T539" i="2"/>
  <c r="AD539" i="2" s="1"/>
  <c r="S539" i="2"/>
  <c r="AC539" i="2" s="1"/>
  <c r="R539" i="2"/>
  <c r="Q539" i="2"/>
  <c r="P539" i="2"/>
  <c r="O539" i="2"/>
  <c r="Y539" i="2" s="1"/>
  <c r="N539" i="2"/>
  <c r="M539" i="2"/>
  <c r="W539" i="2" s="1"/>
  <c r="L539" i="2"/>
  <c r="V539" i="2" s="1"/>
  <c r="AE538" i="2"/>
  <c r="AB538" i="2"/>
  <c r="W538" i="2"/>
  <c r="U538" i="2"/>
  <c r="T538" i="2"/>
  <c r="AD538" i="2" s="1"/>
  <c r="S538" i="2"/>
  <c r="AC538" i="2" s="1"/>
  <c r="R538" i="2"/>
  <c r="Q538" i="2"/>
  <c r="AA538" i="2" s="1"/>
  <c r="P538" i="2"/>
  <c r="Z538" i="2" s="1"/>
  <c r="O538" i="2"/>
  <c r="Y538" i="2" s="1"/>
  <c r="N538" i="2"/>
  <c r="X538" i="2" s="1"/>
  <c r="M538" i="2"/>
  <c r="L538" i="2"/>
  <c r="V538" i="2" s="1"/>
  <c r="AA537" i="2"/>
  <c r="Y537" i="2"/>
  <c r="X537" i="2"/>
  <c r="W537" i="2"/>
  <c r="U537" i="2"/>
  <c r="AE537" i="2" s="1"/>
  <c r="T537" i="2"/>
  <c r="AD537" i="2" s="1"/>
  <c r="S537" i="2"/>
  <c r="AC537" i="2" s="1"/>
  <c r="R537" i="2"/>
  <c r="AB537" i="2" s="1"/>
  <c r="Q537" i="2"/>
  <c r="P537" i="2"/>
  <c r="Z537" i="2" s="1"/>
  <c r="O537" i="2"/>
  <c r="N537" i="2"/>
  <c r="M537" i="2"/>
  <c r="L537" i="2"/>
  <c r="V537" i="2" s="1"/>
  <c r="AE536" i="2"/>
  <c r="AC536" i="2"/>
  <c r="AB536" i="2"/>
  <c r="AA536" i="2"/>
  <c r="X536" i="2"/>
  <c r="W536" i="2"/>
  <c r="V536" i="2"/>
  <c r="U536" i="2"/>
  <c r="T536" i="2"/>
  <c r="AD536" i="2" s="1"/>
  <c r="S536" i="2"/>
  <c r="R536" i="2"/>
  <c r="Q536" i="2"/>
  <c r="P536" i="2"/>
  <c r="Z536" i="2" s="1"/>
  <c r="O536" i="2"/>
  <c r="Y536" i="2" s="1"/>
  <c r="N536" i="2"/>
  <c r="M536" i="2"/>
  <c r="L536" i="2"/>
  <c r="AE535" i="2"/>
  <c r="AB535" i="2"/>
  <c r="AA535" i="2"/>
  <c r="X535" i="2"/>
  <c r="U535" i="2"/>
  <c r="T535" i="2"/>
  <c r="AD535" i="2" s="1"/>
  <c r="S535" i="2"/>
  <c r="AC535" i="2" s="1"/>
  <c r="R535" i="2"/>
  <c r="Q535" i="2"/>
  <c r="P535" i="2"/>
  <c r="Z535" i="2" s="1"/>
  <c r="O535" i="2"/>
  <c r="Y535" i="2" s="1"/>
  <c r="N535" i="2"/>
  <c r="M535" i="2"/>
  <c r="W535" i="2" s="1"/>
  <c r="L535" i="2"/>
  <c r="V535" i="2" s="1"/>
  <c r="AE534" i="2"/>
  <c r="AB534" i="2"/>
  <c r="W534" i="2"/>
  <c r="U534" i="2"/>
  <c r="T534" i="2"/>
  <c r="AD534" i="2" s="1"/>
  <c r="S534" i="2"/>
  <c r="AC534" i="2" s="1"/>
  <c r="R534" i="2"/>
  <c r="Q534" i="2"/>
  <c r="AA534" i="2" s="1"/>
  <c r="P534" i="2"/>
  <c r="Z534" i="2" s="1"/>
  <c r="O534" i="2"/>
  <c r="Y534" i="2" s="1"/>
  <c r="N534" i="2"/>
  <c r="X534" i="2" s="1"/>
  <c r="M534" i="2"/>
  <c r="L534" i="2"/>
  <c r="V534" i="2" s="1"/>
  <c r="AA533" i="2"/>
  <c r="Y533" i="2"/>
  <c r="X533" i="2"/>
  <c r="W533" i="2"/>
  <c r="U533" i="2"/>
  <c r="AE533" i="2" s="1"/>
  <c r="T533" i="2"/>
  <c r="AD533" i="2" s="1"/>
  <c r="S533" i="2"/>
  <c r="AC533" i="2" s="1"/>
  <c r="R533" i="2"/>
  <c r="AB533" i="2" s="1"/>
  <c r="Q533" i="2"/>
  <c r="P533" i="2"/>
  <c r="Z533" i="2" s="1"/>
  <c r="O533" i="2"/>
  <c r="N533" i="2"/>
  <c r="M533" i="2"/>
  <c r="L533" i="2"/>
  <c r="V533" i="2" s="1"/>
  <c r="AE532" i="2"/>
  <c r="AC532" i="2"/>
  <c r="AB532" i="2"/>
  <c r="AA532" i="2"/>
  <c r="X532" i="2"/>
  <c r="W532" i="2"/>
  <c r="U532" i="2"/>
  <c r="T532" i="2"/>
  <c r="AD532" i="2" s="1"/>
  <c r="S532" i="2"/>
  <c r="R532" i="2"/>
  <c r="Q532" i="2"/>
  <c r="P532" i="2"/>
  <c r="Z532" i="2" s="1"/>
  <c r="O532" i="2"/>
  <c r="Y532" i="2" s="1"/>
  <c r="N532" i="2"/>
  <c r="M532" i="2"/>
  <c r="L532" i="2"/>
  <c r="V532" i="2" s="1"/>
  <c r="AE531" i="2"/>
  <c r="AB531" i="2"/>
  <c r="AA531" i="2"/>
  <c r="Z531" i="2"/>
  <c r="X531" i="2"/>
  <c r="U531" i="2"/>
  <c r="T531" i="2"/>
  <c r="AD531" i="2" s="1"/>
  <c r="S531" i="2"/>
  <c r="AC531" i="2" s="1"/>
  <c r="R531" i="2"/>
  <c r="Q531" i="2"/>
  <c r="P531" i="2"/>
  <c r="O531" i="2"/>
  <c r="Y531" i="2" s="1"/>
  <c r="N531" i="2"/>
  <c r="M531" i="2"/>
  <c r="W531" i="2" s="1"/>
  <c r="L531" i="2"/>
  <c r="V531" i="2" s="1"/>
  <c r="AE530" i="2"/>
  <c r="AD530" i="2"/>
  <c r="AB530" i="2"/>
  <c r="W530" i="2"/>
  <c r="U530" i="2"/>
  <c r="T530" i="2"/>
  <c r="S530" i="2"/>
  <c r="AC530" i="2" s="1"/>
  <c r="R530" i="2"/>
  <c r="Q530" i="2"/>
  <c r="AA530" i="2" s="1"/>
  <c r="P530" i="2"/>
  <c r="Z530" i="2" s="1"/>
  <c r="O530" i="2"/>
  <c r="Y530" i="2" s="1"/>
  <c r="N530" i="2"/>
  <c r="X530" i="2" s="1"/>
  <c r="M530" i="2"/>
  <c r="L530" i="2"/>
  <c r="V530" i="2" s="1"/>
  <c r="AA529" i="2"/>
  <c r="Y529" i="2"/>
  <c r="X529" i="2"/>
  <c r="W529" i="2"/>
  <c r="U529" i="2"/>
  <c r="AE529" i="2" s="1"/>
  <c r="T529" i="2"/>
  <c r="AD529" i="2" s="1"/>
  <c r="S529" i="2"/>
  <c r="AC529" i="2" s="1"/>
  <c r="R529" i="2"/>
  <c r="AB529" i="2" s="1"/>
  <c r="Q529" i="2"/>
  <c r="P529" i="2"/>
  <c r="Z529" i="2" s="1"/>
  <c r="O529" i="2"/>
  <c r="N529" i="2"/>
  <c r="M529" i="2"/>
  <c r="L529" i="2"/>
  <c r="V529" i="2" s="1"/>
  <c r="AE528" i="2"/>
  <c r="AC528" i="2"/>
  <c r="AB528" i="2"/>
  <c r="AA528" i="2"/>
  <c r="X528" i="2"/>
  <c r="W528" i="2"/>
  <c r="U528" i="2"/>
  <c r="T528" i="2"/>
  <c r="AD528" i="2" s="1"/>
  <c r="S528" i="2"/>
  <c r="R528" i="2"/>
  <c r="Q528" i="2"/>
  <c r="P528" i="2"/>
  <c r="Z528" i="2" s="1"/>
  <c r="O528" i="2"/>
  <c r="Y528" i="2" s="1"/>
  <c r="N528" i="2"/>
  <c r="M528" i="2"/>
  <c r="L528" i="2"/>
  <c r="V528" i="2" s="1"/>
  <c r="AE527" i="2"/>
  <c r="AB527" i="2"/>
  <c r="AA527" i="2"/>
  <c r="Z527" i="2"/>
  <c r="X527" i="2"/>
  <c r="U527" i="2"/>
  <c r="T527" i="2"/>
  <c r="AD527" i="2" s="1"/>
  <c r="S527" i="2"/>
  <c r="AC527" i="2" s="1"/>
  <c r="R527" i="2"/>
  <c r="Q527" i="2"/>
  <c r="P527" i="2"/>
  <c r="O527" i="2"/>
  <c r="Y527" i="2" s="1"/>
  <c r="N527" i="2"/>
  <c r="M527" i="2"/>
  <c r="W527" i="2" s="1"/>
  <c r="L527" i="2"/>
  <c r="V527" i="2" s="1"/>
  <c r="AE526" i="2"/>
  <c r="AB526" i="2"/>
  <c r="W526" i="2"/>
  <c r="U526" i="2"/>
  <c r="T526" i="2"/>
  <c r="AD526" i="2" s="1"/>
  <c r="S526" i="2"/>
  <c r="AC526" i="2" s="1"/>
  <c r="R526" i="2"/>
  <c r="Q526" i="2"/>
  <c r="AA526" i="2" s="1"/>
  <c r="P526" i="2"/>
  <c r="Z526" i="2" s="1"/>
  <c r="O526" i="2"/>
  <c r="Y526" i="2" s="1"/>
  <c r="N526" i="2"/>
  <c r="X526" i="2" s="1"/>
  <c r="M526" i="2"/>
  <c r="L526" i="2"/>
  <c r="V526" i="2" s="1"/>
  <c r="AA525" i="2"/>
  <c r="Y525" i="2"/>
  <c r="X525" i="2"/>
  <c r="W525" i="2"/>
  <c r="U525" i="2"/>
  <c r="AE525" i="2" s="1"/>
  <c r="T525" i="2"/>
  <c r="AD525" i="2" s="1"/>
  <c r="S525" i="2"/>
  <c r="AC525" i="2" s="1"/>
  <c r="R525" i="2"/>
  <c r="AB525" i="2" s="1"/>
  <c r="Q525" i="2"/>
  <c r="P525" i="2"/>
  <c r="Z525" i="2" s="1"/>
  <c r="O525" i="2"/>
  <c r="N525" i="2"/>
  <c r="M525" i="2"/>
  <c r="L525" i="2"/>
  <c r="V525" i="2" s="1"/>
  <c r="AE524" i="2"/>
  <c r="AC524" i="2"/>
  <c r="AB524" i="2"/>
  <c r="AA524" i="2"/>
  <c r="X524" i="2"/>
  <c r="W524" i="2"/>
  <c r="V524" i="2"/>
  <c r="U524" i="2"/>
  <c r="T524" i="2"/>
  <c r="AD524" i="2" s="1"/>
  <c r="S524" i="2"/>
  <c r="R524" i="2"/>
  <c r="Q524" i="2"/>
  <c r="P524" i="2"/>
  <c r="Z524" i="2" s="1"/>
  <c r="O524" i="2"/>
  <c r="Y524" i="2" s="1"/>
  <c r="N524" i="2"/>
  <c r="M524" i="2"/>
  <c r="L524" i="2"/>
  <c r="AE523" i="2"/>
  <c r="AB523" i="2"/>
  <c r="AA523" i="2"/>
  <c r="Z523" i="2"/>
  <c r="X523" i="2"/>
  <c r="U523" i="2"/>
  <c r="T523" i="2"/>
  <c r="AD523" i="2" s="1"/>
  <c r="S523" i="2"/>
  <c r="AC523" i="2" s="1"/>
  <c r="R523" i="2"/>
  <c r="Q523" i="2"/>
  <c r="P523" i="2"/>
  <c r="O523" i="2"/>
  <c r="Y523" i="2" s="1"/>
  <c r="N523" i="2"/>
  <c r="M523" i="2"/>
  <c r="W523" i="2" s="1"/>
  <c r="L523" i="2"/>
  <c r="V523" i="2" s="1"/>
  <c r="AE522" i="2"/>
  <c r="AB522" i="2"/>
  <c r="W522" i="2"/>
  <c r="U522" i="2"/>
  <c r="T522" i="2"/>
  <c r="AD522" i="2" s="1"/>
  <c r="S522" i="2"/>
  <c r="AC522" i="2" s="1"/>
  <c r="R522" i="2"/>
  <c r="Q522" i="2"/>
  <c r="AA522" i="2" s="1"/>
  <c r="P522" i="2"/>
  <c r="Z522" i="2" s="1"/>
  <c r="O522" i="2"/>
  <c r="Y522" i="2" s="1"/>
  <c r="N522" i="2"/>
  <c r="X522" i="2" s="1"/>
  <c r="M522" i="2"/>
  <c r="L522" i="2"/>
  <c r="V522" i="2" s="1"/>
  <c r="AA521" i="2"/>
  <c r="Y521" i="2"/>
  <c r="X521" i="2"/>
  <c r="W521" i="2"/>
  <c r="U521" i="2"/>
  <c r="AE521" i="2" s="1"/>
  <c r="T521" i="2"/>
  <c r="AD521" i="2" s="1"/>
  <c r="S521" i="2"/>
  <c r="AC521" i="2" s="1"/>
  <c r="R521" i="2"/>
  <c r="AB521" i="2" s="1"/>
  <c r="Q521" i="2"/>
  <c r="P521" i="2"/>
  <c r="Z521" i="2" s="1"/>
  <c r="O521" i="2"/>
  <c r="N521" i="2"/>
  <c r="M521" i="2"/>
  <c r="L521" i="2"/>
  <c r="V521" i="2" s="1"/>
  <c r="AE520" i="2"/>
  <c r="AC520" i="2"/>
  <c r="AB520" i="2"/>
  <c r="AA520" i="2"/>
  <c r="X520" i="2"/>
  <c r="W520" i="2"/>
  <c r="V520" i="2"/>
  <c r="U520" i="2"/>
  <c r="T520" i="2"/>
  <c r="AD520" i="2" s="1"/>
  <c r="S520" i="2"/>
  <c r="R520" i="2"/>
  <c r="Q520" i="2"/>
  <c r="P520" i="2"/>
  <c r="Z520" i="2" s="1"/>
  <c r="O520" i="2"/>
  <c r="Y520" i="2" s="1"/>
  <c r="N520" i="2"/>
  <c r="M520" i="2"/>
  <c r="L520" i="2"/>
  <c r="AE519" i="2"/>
  <c r="AB519" i="2"/>
  <c r="AA519" i="2"/>
  <c r="X519" i="2"/>
  <c r="U519" i="2"/>
  <c r="T519" i="2"/>
  <c r="AD519" i="2" s="1"/>
  <c r="S519" i="2"/>
  <c r="AC519" i="2" s="1"/>
  <c r="R519" i="2"/>
  <c r="Q519" i="2"/>
  <c r="P519" i="2"/>
  <c r="Z519" i="2" s="1"/>
  <c r="O519" i="2"/>
  <c r="Y519" i="2" s="1"/>
  <c r="N519" i="2"/>
  <c r="M519" i="2"/>
  <c r="W519" i="2" s="1"/>
  <c r="L519" i="2"/>
  <c r="V519" i="2" s="1"/>
  <c r="AE518" i="2"/>
  <c r="AB518" i="2"/>
  <c r="W518" i="2"/>
  <c r="U518" i="2"/>
  <c r="T518" i="2"/>
  <c r="AD518" i="2" s="1"/>
  <c r="S518" i="2"/>
  <c r="AC518" i="2" s="1"/>
  <c r="R518" i="2"/>
  <c r="Q518" i="2"/>
  <c r="AA518" i="2" s="1"/>
  <c r="P518" i="2"/>
  <c r="Z518" i="2" s="1"/>
  <c r="O518" i="2"/>
  <c r="Y518" i="2" s="1"/>
  <c r="N518" i="2"/>
  <c r="X518" i="2" s="1"/>
  <c r="M518" i="2"/>
  <c r="L518" i="2"/>
  <c r="V518" i="2" s="1"/>
  <c r="AA517" i="2"/>
  <c r="Y517" i="2"/>
  <c r="X517" i="2"/>
  <c r="W517" i="2"/>
  <c r="U517" i="2"/>
  <c r="AE517" i="2" s="1"/>
  <c r="T517" i="2"/>
  <c r="AD517" i="2" s="1"/>
  <c r="S517" i="2"/>
  <c r="AC517" i="2" s="1"/>
  <c r="R517" i="2"/>
  <c r="AB517" i="2" s="1"/>
  <c r="Q517" i="2"/>
  <c r="P517" i="2"/>
  <c r="Z517" i="2" s="1"/>
  <c r="O517" i="2"/>
  <c r="N517" i="2"/>
  <c r="M517" i="2"/>
  <c r="L517" i="2"/>
  <c r="V517" i="2" s="1"/>
  <c r="AE516" i="2"/>
  <c r="AC516" i="2"/>
  <c r="AB516" i="2"/>
  <c r="AA516" i="2"/>
  <c r="X516" i="2"/>
  <c r="W516" i="2"/>
  <c r="U516" i="2"/>
  <c r="T516" i="2"/>
  <c r="AD516" i="2" s="1"/>
  <c r="S516" i="2"/>
  <c r="R516" i="2"/>
  <c r="Q516" i="2"/>
  <c r="P516" i="2"/>
  <c r="Z516" i="2" s="1"/>
  <c r="O516" i="2"/>
  <c r="Y516" i="2" s="1"/>
  <c r="N516" i="2"/>
  <c r="M516" i="2"/>
  <c r="L516" i="2"/>
  <c r="V516" i="2" s="1"/>
  <c r="AE515" i="2"/>
  <c r="AB515" i="2"/>
  <c r="AA515" i="2"/>
  <c r="Z515" i="2"/>
  <c r="X515" i="2"/>
  <c r="U515" i="2"/>
  <c r="T515" i="2"/>
  <c r="AD515" i="2" s="1"/>
  <c r="S515" i="2"/>
  <c r="AC515" i="2" s="1"/>
  <c r="R515" i="2"/>
  <c r="Q515" i="2"/>
  <c r="P515" i="2"/>
  <c r="O515" i="2"/>
  <c r="Y515" i="2" s="1"/>
  <c r="N515" i="2"/>
  <c r="M515" i="2"/>
  <c r="W515" i="2" s="1"/>
  <c r="L515" i="2"/>
  <c r="V515" i="2" s="1"/>
  <c r="AE514" i="2"/>
  <c r="AD514" i="2"/>
  <c r="AB514" i="2"/>
  <c r="W514" i="2"/>
  <c r="U514" i="2"/>
  <c r="T514" i="2"/>
  <c r="S514" i="2"/>
  <c r="AC514" i="2" s="1"/>
  <c r="R514" i="2"/>
  <c r="Q514" i="2"/>
  <c r="AA514" i="2" s="1"/>
  <c r="P514" i="2"/>
  <c r="Z514" i="2" s="1"/>
  <c r="O514" i="2"/>
  <c r="Y514" i="2" s="1"/>
  <c r="N514" i="2"/>
  <c r="X514" i="2" s="1"/>
  <c r="M514" i="2"/>
  <c r="L514" i="2"/>
  <c r="V514" i="2" s="1"/>
  <c r="AA513" i="2"/>
  <c r="Y513" i="2"/>
  <c r="X513" i="2"/>
  <c r="W513" i="2"/>
  <c r="U513" i="2"/>
  <c r="AE513" i="2" s="1"/>
  <c r="T513" i="2"/>
  <c r="AD513" i="2" s="1"/>
  <c r="S513" i="2"/>
  <c r="AC513" i="2" s="1"/>
  <c r="R513" i="2"/>
  <c r="AB513" i="2" s="1"/>
  <c r="Q513" i="2"/>
  <c r="P513" i="2"/>
  <c r="Z513" i="2" s="1"/>
  <c r="O513" i="2"/>
  <c r="N513" i="2"/>
  <c r="M513" i="2"/>
  <c r="L513" i="2"/>
  <c r="V513" i="2" s="1"/>
  <c r="AE512" i="2"/>
  <c r="AC512" i="2"/>
  <c r="AB512" i="2"/>
  <c r="AA512" i="2"/>
  <c r="X512" i="2"/>
  <c r="W512" i="2"/>
  <c r="U512" i="2"/>
  <c r="T512" i="2"/>
  <c r="AD512" i="2" s="1"/>
  <c r="S512" i="2"/>
  <c r="R512" i="2"/>
  <c r="Q512" i="2"/>
  <c r="P512" i="2"/>
  <c r="Z512" i="2" s="1"/>
  <c r="O512" i="2"/>
  <c r="Y512" i="2" s="1"/>
  <c r="N512" i="2"/>
  <c r="M512" i="2"/>
  <c r="L512" i="2"/>
  <c r="V512" i="2" s="1"/>
  <c r="AE511" i="2"/>
  <c r="AB511" i="2"/>
  <c r="AA511" i="2"/>
  <c r="Z511" i="2"/>
  <c r="X511" i="2"/>
  <c r="U511" i="2"/>
  <c r="T511" i="2"/>
  <c r="AD511" i="2" s="1"/>
  <c r="S511" i="2"/>
  <c r="AC511" i="2" s="1"/>
  <c r="R511" i="2"/>
  <c r="Q511" i="2"/>
  <c r="P511" i="2"/>
  <c r="O511" i="2"/>
  <c r="Y511" i="2" s="1"/>
  <c r="N511" i="2"/>
  <c r="M511" i="2"/>
  <c r="W511" i="2" s="1"/>
  <c r="L511" i="2"/>
  <c r="V511" i="2" s="1"/>
  <c r="AE510" i="2"/>
  <c r="AB510" i="2"/>
  <c r="W510" i="2"/>
  <c r="U510" i="2"/>
  <c r="T510" i="2"/>
  <c r="AD510" i="2" s="1"/>
  <c r="S510" i="2"/>
  <c r="AC510" i="2" s="1"/>
  <c r="R510" i="2"/>
  <c r="Q510" i="2"/>
  <c r="AA510" i="2" s="1"/>
  <c r="P510" i="2"/>
  <c r="Z510" i="2" s="1"/>
  <c r="O510" i="2"/>
  <c r="Y510" i="2" s="1"/>
  <c r="N510" i="2"/>
  <c r="X510" i="2" s="1"/>
  <c r="M510" i="2"/>
  <c r="L510" i="2"/>
  <c r="V510" i="2" s="1"/>
  <c r="AA509" i="2"/>
  <c r="Y509" i="2"/>
  <c r="X509" i="2"/>
  <c r="W509" i="2"/>
  <c r="U509" i="2"/>
  <c r="AE509" i="2" s="1"/>
  <c r="T509" i="2"/>
  <c r="AD509" i="2" s="1"/>
  <c r="S509" i="2"/>
  <c r="AC509" i="2" s="1"/>
  <c r="R509" i="2"/>
  <c r="AB509" i="2" s="1"/>
  <c r="Q509" i="2"/>
  <c r="P509" i="2"/>
  <c r="Z509" i="2" s="1"/>
  <c r="O509" i="2"/>
  <c r="N509" i="2"/>
  <c r="M509" i="2"/>
  <c r="L509" i="2"/>
  <c r="V509" i="2" s="1"/>
  <c r="AE508" i="2"/>
  <c r="AC508" i="2"/>
  <c r="AB508" i="2"/>
  <c r="AA508" i="2"/>
  <c r="X508" i="2"/>
  <c r="W508" i="2"/>
  <c r="V508" i="2"/>
  <c r="U508" i="2"/>
  <c r="T508" i="2"/>
  <c r="AD508" i="2" s="1"/>
  <c r="S508" i="2"/>
  <c r="R508" i="2"/>
  <c r="Q508" i="2"/>
  <c r="P508" i="2"/>
  <c r="Z508" i="2" s="1"/>
  <c r="O508" i="2"/>
  <c r="Y508" i="2" s="1"/>
  <c r="N508" i="2"/>
  <c r="M508" i="2"/>
  <c r="L508" i="2"/>
  <c r="AE507" i="2"/>
  <c r="AB507" i="2"/>
  <c r="AA507" i="2"/>
  <c r="Z507" i="2"/>
  <c r="X507" i="2"/>
  <c r="U507" i="2"/>
  <c r="T507" i="2"/>
  <c r="AD507" i="2" s="1"/>
  <c r="S507" i="2"/>
  <c r="AC507" i="2" s="1"/>
  <c r="R507" i="2"/>
  <c r="Q507" i="2"/>
  <c r="P507" i="2"/>
  <c r="O507" i="2"/>
  <c r="Y507" i="2" s="1"/>
  <c r="N507" i="2"/>
  <c r="M507" i="2"/>
  <c r="W507" i="2" s="1"/>
  <c r="L507" i="2"/>
  <c r="V507" i="2" s="1"/>
  <c r="AE506" i="2"/>
  <c r="AB506" i="2"/>
  <c r="W506" i="2"/>
  <c r="U506" i="2"/>
  <c r="T506" i="2"/>
  <c r="AD506" i="2" s="1"/>
  <c r="S506" i="2"/>
  <c r="AC506" i="2" s="1"/>
  <c r="R506" i="2"/>
  <c r="Q506" i="2"/>
  <c r="AA506" i="2" s="1"/>
  <c r="P506" i="2"/>
  <c r="Z506" i="2" s="1"/>
  <c r="O506" i="2"/>
  <c r="Y506" i="2" s="1"/>
  <c r="N506" i="2"/>
  <c r="X506" i="2" s="1"/>
  <c r="M506" i="2"/>
  <c r="L506" i="2"/>
  <c r="V506" i="2" s="1"/>
  <c r="AA505" i="2"/>
  <c r="Y505" i="2"/>
  <c r="X505" i="2"/>
  <c r="W505" i="2"/>
  <c r="U505" i="2"/>
  <c r="AE505" i="2" s="1"/>
  <c r="T505" i="2"/>
  <c r="AD505" i="2" s="1"/>
  <c r="S505" i="2"/>
  <c r="AC505" i="2" s="1"/>
  <c r="R505" i="2"/>
  <c r="AB505" i="2" s="1"/>
  <c r="Q505" i="2"/>
  <c r="P505" i="2"/>
  <c r="Z505" i="2" s="1"/>
  <c r="O505" i="2"/>
  <c r="N505" i="2"/>
  <c r="M505" i="2"/>
  <c r="L505" i="2"/>
  <c r="V505" i="2" s="1"/>
  <c r="AE504" i="2"/>
  <c r="AC504" i="2"/>
  <c r="AB504" i="2"/>
  <c r="AA504" i="2"/>
  <c r="X504" i="2"/>
  <c r="W504" i="2"/>
  <c r="V504" i="2"/>
  <c r="U504" i="2"/>
  <c r="T504" i="2"/>
  <c r="AD504" i="2" s="1"/>
  <c r="S504" i="2"/>
  <c r="R504" i="2"/>
  <c r="Q504" i="2"/>
  <c r="P504" i="2"/>
  <c r="Z504" i="2" s="1"/>
  <c r="O504" i="2"/>
  <c r="Y504" i="2" s="1"/>
  <c r="N504" i="2"/>
  <c r="M504" i="2"/>
  <c r="L504" i="2"/>
  <c r="AE503" i="2"/>
  <c r="AB503" i="2"/>
  <c r="AA503" i="2"/>
  <c r="X503" i="2"/>
  <c r="U503" i="2"/>
  <c r="T503" i="2"/>
  <c r="AD503" i="2" s="1"/>
  <c r="S503" i="2"/>
  <c r="AC503" i="2" s="1"/>
  <c r="R503" i="2"/>
  <c r="Q503" i="2"/>
  <c r="P503" i="2"/>
  <c r="Z503" i="2" s="1"/>
  <c r="O503" i="2"/>
  <c r="Y503" i="2" s="1"/>
  <c r="N503" i="2"/>
  <c r="M503" i="2"/>
  <c r="W503" i="2" s="1"/>
  <c r="L503" i="2"/>
  <c r="V503" i="2" s="1"/>
  <c r="AE502" i="2"/>
  <c r="AD502" i="2"/>
  <c r="AB502" i="2"/>
  <c r="W502" i="2"/>
  <c r="U502" i="2"/>
  <c r="T502" i="2"/>
  <c r="S502" i="2"/>
  <c r="AC502" i="2" s="1"/>
  <c r="R502" i="2"/>
  <c r="Q502" i="2"/>
  <c r="AA502" i="2" s="1"/>
  <c r="P502" i="2"/>
  <c r="Z502" i="2" s="1"/>
  <c r="O502" i="2"/>
  <c r="Y502" i="2" s="1"/>
  <c r="N502" i="2"/>
  <c r="X502" i="2" s="1"/>
  <c r="M502" i="2"/>
  <c r="L502" i="2"/>
  <c r="V502" i="2" s="1"/>
  <c r="AA501" i="2"/>
  <c r="Y501" i="2"/>
  <c r="X501" i="2"/>
  <c r="W501" i="2"/>
  <c r="U501" i="2"/>
  <c r="AE501" i="2" s="1"/>
  <c r="T501" i="2"/>
  <c r="AD501" i="2" s="1"/>
  <c r="S501" i="2"/>
  <c r="AC501" i="2" s="1"/>
  <c r="R501" i="2"/>
  <c r="AB501" i="2" s="1"/>
  <c r="Q501" i="2"/>
  <c r="P501" i="2"/>
  <c r="Z501" i="2" s="1"/>
  <c r="O501" i="2"/>
  <c r="N501" i="2"/>
  <c r="M501" i="2"/>
  <c r="L501" i="2"/>
  <c r="V501" i="2" s="1"/>
  <c r="AE500" i="2"/>
  <c r="AC500" i="2"/>
  <c r="AB500" i="2"/>
  <c r="AA500" i="2"/>
  <c r="X500" i="2"/>
  <c r="W500" i="2"/>
  <c r="U500" i="2"/>
  <c r="T500" i="2"/>
  <c r="AD500" i="2" s="1"/>
  <c r="S500" i="2"/>
  <c r="R500" i="2"/>
  <c r="Q500" i="2"/>
  <c r="P500" i="2"/>
  <c r="Z500" i="2" s="1"/>
  <c r="O500" i="2"/>
  <c r="Y500" i="2" s="1"/>
  <c r="N500" i="2"/>
  <c r="M500" i="2"/>
  <c r="L500" i="2"/>
  <c r="V500" i="2" s="1"/>
  <c r="AE499" i="2"/>
  <c r="AB499" i="2"/>
  <c r="AA499" i="2"/>
  <c r="Z499" i="2"/>
  <c r="X499" i="2"/>
  <c r="U499" i="2"/>
  <c r="T499" i="2"/>
  <c r="AD499" i="2" s="1"/>
  <c r="S499" i="2"/>
  <c r="AC499" i="2" s="1"/>
  <c r="R499" i="2"/>
  <c r="Q499" i="2"/>
  <c r="P499" i="2"/>
  <c r="O499" i="2"/>
  <c r="Y499" i="2" s="1"/>
  <c r="N499" i="2"/>
  <c r="M499" i="2"/>
  <c r="W499" i="2" s="1"/>
  <c r="L499" i="2"/>
  <c r="V499" i="2" s="1"/>
  <c r="AE498" i="2"/>
  <c r="AD498" i="2"/>
  <c r="AB498" i="2"/>
  <c r="W498" i="2"/>
  <c r="U498" i="2"/>
  <c r="T498" i="2"/>
  <c r="S498" i="2"/>
  <c r="AC498" i="2" s="1"/>
  <c r="R498" i="2"/>
  <c r="Q498" i="2"/>
  <c r="AA498" i="2" s="1"/>
  <c r="P498" i="2"/>
  <c r="Z498" i="2" s="1"/>
  <c r="O498" i="2"/>
  <c r="Y498" i="2" s="1"/>
  <c r="N498" i="2"/>
  <c r="X498" i="2" s="1"/>
  <c r="M498" i="2"/>
  <c r="L498" i="2"/>
  <c r="V498" i="2" s="1"/>
  <c r="AA497" i="2"/>
  <c r="Y497" i="2"/>
  <c r="X497" i="2"/>
  <c r="W497" i="2"/>
  <c r="U497" i="2"/>
  <c r="AE497" i="2" s="1"/>
  <c r="T497" i="2"/>
  <c r="AD497" i="2" s="1"/>
  <c r="S497" i="2"/>
  <c r="AC497" i="2" s="1"/>
  <c r="R497" i="2"/>
  <c r="AB497" i="2" s="1"/>
  <c r="Q497" i="2"/>
  <c r="P497" i="2"/>
  <c r="Z497" i="2" s="1"/>
  <c r="O497" i="2"/>
  <c r="N497" i="2"/>
  <c r="M497" i="2"/>
  <c r="L497" i="2"/>
  <c r="V497" i="2" s="1"/>
  <c r="AE496" i="2"/>
  <c r="AC496" i="2"/>
  <c r="AB496" i="2"/>
  <c r="AA496" i="2"/>
  <c r="X496" i="2"/>
  <c r="W496" i="2"/>
  <c r="U496" i="2"/>
  <c r="T496" i="2"/>
  <c r="AD496" i="2" s="1"/>
  <c r="S496" i="2"/>
  <c r="R496" i="2"/>
  <c r="Q496" i="2"/>
  <c r="P496" i="2"/>
  <c r="Z496" i="2" s="1"/>
  <c r="O496" i="2"/>
  <c r="Y496" i="2" s="1"/>
  <c r="N496" i="2"/>
  <c r="M496" i="2"/>
  <c r="L496" i="2"/>
  <c r="V496" i="2" s="1"/>
  <c r="AE495" i="2"/>
  <c r="AB495" i="2"/>
  <c r="AA495" i="2"/>
  <c r="Z495" i="2"/>
  <c r="X495" i="2"/>
  <c r="U495" i="2"/>
  <c r="T495" i="2"/>
  <c r="AD495" i="2" s="1"/>
  <c r="S495" i="2"/>
  <c r="AC495" i="2" s="1"/>
  <c r="R495" i="2"/>
  <c r="Q495" i="2"/>
  <c r="P495" i="2"/>
  <c r="O495" i="2"/>
  <c r="Y495" i="2" s="1"/>
  <c r="N495" i="2"/>
  <c r="M495" i="2"/>
  <c r="W495" i="2" s="1"/>
  <c r="L495" i="2"/>
  <c r="V495" i="2" s="1"/>
  <c r="AE494" i="2"/>
  <c r="AB494" i="2"/>
  <c r="W494" i="2"/>
  <c r="U494" i="2"/>
  <c r="T494" i="2"/>
  <c r="AD494" i="2" s="1"/>
  <c r="S494" i="2"/>
  <c r="AC494" i="2" s="1"/>
  <c r="R494" i="2"/>
  <c r="Q494" i="2"/>
  <c r="AA494" i="2" s="1"/>
  <c r="P494" i="2"/>
  <c r="Z494" i="2" s="1"/>
  <c r="O494" i="2"/>
  <c r="Y494" i="2" s="1"/>
  <c r="N494" i="2"/>
  <c r="X494" i="2" s="1"/>
  <c r="M494" i="2"/>
  <c r="L494" i="2"/>
  <c r="V494" i="2" s="1"/>
  <c r="AA493" i="2"/>
  <c r="Y493" i="2"/>
  <c r="X493" i="2"/>
  <c r="W493" i="2"/>
  <c r="U493" i="2"/>
  <c r="AE493" i="2" s="1"/>
  <c r="T493" i="2"/>
  <c r="AD493" i="2" s="1"/>
  <c r="S493" i="2"/>
  <c r="AC493" i="2" s="1"/>
  <c r="R493" i="2"/>
  <c r="AB493" i="2" s="1"/>
  <c r="Q493" i="2"/>
  <c r="P493" i="2"/>
  <c r="Z493" i="2" s="1"/>
  <c r="O493" i="2"/>
  <c r="N493" i="2"/>
  <c r="M493" i="2"/>
  <c r="L493" i="2"/>
  <c r="V493" i="2" s="1"/>
  <c r="AE492" i="2"/>
  <c r="AC492" i="2"/>
  <c r="AB492" i="2"/>
  <c r="AA492" i="2"/>
  <c r="X492" i="2"/>
  <c r="W492" i="2"/>
  <c r="V492" i="2"/>
  <c r="U492" i="2"/>
  <c r="T492" i="2"/>
  <c r="AD492" i="2" s="1"/>
  <c r="S492" i="2"/>
  <c r="R492" i="2"/>
  <c r="Q492" i="2"/>
  <c r="P492" i="2"/>
  <c r="Z492" i="2" s="1"/>
  <c r="O492" i="2"/>
  <c r="Y492" i="2" s="1"/>
  <c r="N492" i="2"/>
  <c r="M492" i="2"/>
  <c r="L492" i="2"/>
  <c r="AE491" i="2"/>
  <c r="AB491" i="2"/>
  <c r="AA491" i="2"/>
  <c r="Z491" i="2"/>
  <c r="X491" i="2"/>
  <c r="U491" i="2"/>
  <c r="T491" i="2"/>
  <c r="AD491" i="2" s="1"/>
  <c r="S491" i="2"/>
  <c r="AC491" i="2" s="1"/>
  <c r="R491" i="2"/>
  <c r="Q491" i="2"/>
  <c r="P491" i="2"/>
  <c r="O491" i="2"/>
  <c r="Y491" i="2" s="1"/>
  <c r="N491" i="2"/>
  <c r="M491" i="2"/>
  <c r="W491" i="2" s="1"/>
  <c r="L491" i="2"/>
  <c r="V491" i="2" s="1"/>
  <c r="AE490" i="2"/>
  <c r="AB490" i="2"/>
  <c r="W490" i="2"/>
  <c r="U490" i="2"/>
  <c r="T490" i="2"/>
  <c r="AD490" i="2" s="1"/>
  <c r="S490" i="2"/>
  <c r="AC490" i="2" s="1"/>
  <c r="R490" i="2"/>
  <c r="Q490" i="2"/>
  <c r="AA490" i="2" s="1"/>
  <c r="P490" i="2"/>
  <c r="Z490" i="2" s="1"/>
  <c r="O490" i="2"/>
  <c r="Y490" i="2" s="1"/>
  <c r="N490" i="2"/>
  <c r="X490" i="2" s="1"/>
  <c r="M490" i="2"/>
  <c r="L490" i="2"/>
  <c r="V490" i="2" s="1"/>
  <c r="AA489" i="2"/>
  <c r="Y489" i="2"/>
  <c r="X489" i="2"/>
  <c r="W489" i="2"/>
  <c r="U489" i="2"/>
  <c r="AE489" i="2" s="1"/>
  <c r="T489" i="2"/>
  <c r="AD489" i="2" s="1"/>
  <c r="S489" i="2"/>
  <c r="AC489" i="2" s="1"/>
  <c r="R489" i="2"/>
  <c r="AB489" i="2" s="1"/>
  <c r="Q489" i="2"/>
  <c r="P489" i="2"/>
  <c r="Z489" i="2" s="1"/>
  <c r="O489" i="2"/>
  <c r="N489" i="2"/>
  <c r="M489" i="2"/>
  <c r="L489" i="2"/>
  <c r="V489" i="2" s="1"/>
  <c r="AE488" i="2"/>
  <c r="AC488" i="2"/>
  <c r="AB488" i="2"/>
  <c r="AA488" i="2"/>
  <c r="X488" i="2"/>
  <c r="W488" i="2"/>
  <c r="V488" i="2"/>
  <c r="U488" i="2"/>
  <c r="T488" i="2"/>
  <c r="AD488" i="2" s="1"/>
  <c r="S488" i="2"/>
  <c r="R488" i="2"/>
  <c r="Q488" i="2"/>
  <c r="P488" i="2"/>
  <c r="Z488" i="2" s="1"/>
  <c r="O488" i="2"/>
  <c r="Y488" i="2" s="1"/>
  <c r="N488" i="2"/>
  <c r="M488" i="2"/>
  <c r="L488" i="2"/>
  <c r="AB487" i="2"/>
  <c r="X487" i="2"/>
  <c r="U487" i="2"/>
  <c r="AE487" i="2" s="1"/>
  <c r="T487" i="2"/>
  <c r="AD487" i="2" s="1"/>
  <c r="S487" i="2"/>
  <c r="AC487" i="2" s="1"/>
  <c r="R487" i="2"/>
  <c r="Q487" i="2"/>
  <c r="AA487" i="2" s="1"/>
  <c r="P487" i="2"/>
  <c r="Z487" i="2" s="1"/>
  <c r="O487" i="2"/>
  <c r="Y487" i="2" s="1"/>
  <c r="N487" i="2"/>
  <c r="M487" i="2"/>
  <c r="W487" i="2" s="1"/>
  <c r="L487" i="2"/>
  <c r="V487" i="2" s="1"/>
  <c r="AD486" i="2"/>
  <c r="AB486" i="2"/>
  <c r="W486" i="2"/>
  <c r="U486" i="2"/>
  <c r="AE486" i="2" s="1"/>
  <c r="T486" i="2"/>
  <c r="S486" i="2"/>
  <c r="AC486" i="2" s="1"/>
  <c r="R486" i="2"/>
  <c r="Q486" i="2"/>
  <c r="AA486" i="2" s="1"/>
  <c r="P486" i="2"/>
  <c r="Z486" i="2" s="1"/>
  <c r="O486" i="2"/>
  <c r="Y486" i="2" s="1"/>
  <c r="N486" i="2"/>
  <c r="X486" i="2" s="1"/>
  <c r="M486" i="2"/>
  <c r="L486" i="2"/>
  <c r="V486" i="2" s="1"/>
  <c r="AA485" i="2"/>
  <c r="Y485" i="2"/>
  <c r="X485" i="2"/>
  <c r="U485" i="2"/>
  <c r="AE485" i="2" s="1"/>
  <c r="T485" i="2"/>
  <c r="AD485" i="2" s="1"/>
  <c r="S485" i="2"/>
  <c r="AC485" i="2" s="1"/>
  <c r="R485" i="2"/>
  <c r="AB485" i="2" s="1"/>
  <c r="Q485" i="2"/>
  <c r="P485" i="2"/>
  <c r="Z485" i="2" s="1"/>
  <c r="O485" i="2"/>
  <c r="N485" i="2"/>
  <c r="M485" i="2"/>
  <c r="W485" i="2" s="1"/>
  <c r="L485" i="2"/>
  <c r="V485" i="2" s="1"/>
  <c r="AE484" i="2"/>
  <c r="AC484" i="2"/>
  <c r="AB484" i="2"/>
  <c r="X484" i="2"/>
  <c r="U484" i="2"/>
  <c r="T484" i="2"/>
  <c r="AD484" i="2" s="1"/>
  <c r="S484" i="2"/>
  <c r="R484" i="2"/>
  <c r="Q484" i="2"/>
  <c r="AA484" i="2" s="1"/>
  <c r="P484" i="2"/>
  <c r="Z484" i="2" s="1"/>
  <c r="O484" i="2"/>
  <c r="Y484" i="2" s="1"/>
  <c r="N484" i="2"/>
  <c r="M484" i="2"/>
  <c r="W484" i="2" s="1"/>
  <c r="L484" i="2"/>
  <c r="V484" i="2" s="1"/>
  <c r="AB483" i="2"/>
  <c r="AA483" i="2"/>
  <c r="Z483" i="2"/>
  <c r="X483" i="2"/>
  <c r="U483" i="2"/>
  <c r="AE483" i="2" s="1"/>
  <c r="T483" i="2"/>
  <c r="AD483" i="2" s="1"/>
  <c r="S483" i="2"/>
  <c r="AC483" i="2" s="1"/>
  <c r="R483" i="2"/>
  <c r="Q483" i="2"/>
  <c r="P483" i="2"/>
  <c r="O483" i="2"/>
  <c r="Y483" i="2" s="1"/>
  <c r="N483" i="2"/>
  <c r="M483" i="2"/>
  <c r="W483" i="2" s="1"/>
  <c r="L483" i="2"/>
  <c r="V483" i="2" s="1"/>
  <c r="AB482" i="2"/>
  <c r="W482" i="2"/>
  <c r="U482" i="2"/>
  <c r="AE482" i="2" s="1"/>
  <c r="T482" i="2"/>
  <c r="AD482" i="2" s="1"/>
  <c r="S482" i="2"/>
  <c r="AC482" i="2" s="1"/>
  <c r="R482" i="2"/>
  <c r="Q482" i="2"/>
  <c r="AA482" i="2" s="1"/>
  <c r="P482" i="2"/>
  <c r="Z482" i="2" s="1"/>
  <c r="O482" i="2"/>
  <c r="Y482" i="2" s="1"/>
  <c r="N482" i="2"/>
  <c r="X482" i="2" s="1"/>
  <c r="M482" i="2"/>
  <c r="L482" i="2"/>
  <c r="V482" i="2" s="1"/>
  <c r="AA481" i="2"/>
  <c r="Y481" i="2"/>
  <c r="X481" i="2"/>
  <c r="W481" i="2"/>
  <c r="U481" i="2"/>
  <c r="AE481" i="2" s="1"/>
  <c r="T481" i="2"/>
  <c r="AD481" i="2" s="1"/>
  <c r="S481" i="2"/>
  <c r="AC481" i="2" s="1"/>
  <c r="R481" i="2"/>
  <c r="AB481" i="2" s="1"/>
  <c r="Q481" i="2"/>
  <c r="P481" i="2"/>
  <c r="Z481" i="2" s="1"/>
  <c r="O481" i="2"/>
  <c r="N481" i="2"/>
  <c r="M481" i="2"/>
  <c r="L481" i="2"/>
  <c r="V481" i="2" s="1"/>
  <c r="AC480" i="2"/>
  <c r="AB480" i="2"/>
  <c r="Y480" i="2"/>
  <c r="X480" i="2"/>
  <c r="W480" i="2"/>
  <c r="V480" i="2"/>
  <c r="U480" i="2"/>
  <c r="AE480" i="2" s="1"/>
  <c r="T480" i="2"/>
  <c r="AD480" i="2" s="1"/>
  <c r="S480" i="2"/>
  <c r="R480" i="2"/>
  <c r="Q480" i="2"/>
  <c r="AA480" i="2" s="1"/>
  <c r="P480" i="2"/>
  <c r="Z480" i="2" s="1"/>
  <c r="O480" i="2"/>
  <c r="N480" i="2"/>
  <c r="M480" i="2"/>
  <c r="L480" i="2"/>
  <c r="AE479" i="2"/>
  <c r="AC479" i="2"/>
  <c r="AB479" i="2"/>
  <c r="AA479" i="2"/>
  <c r="Z479" i="2"/>
  <c r="Y479" i="2"/>
  <c r="X479" i="2"/>
  <c r="U479" i="2"/>
  <c r="T479" i="2"/>
  <c r="AD479" i="2" s="1"/>
  <c r="S479" i="2"/>
  <c r="R479" i="2"/>
  <c r="Q479" i="2"/>
  <c r="P479" i="2"/>
  <c r="O479" i="2"/>
  <c r="N479" i="2"/>
  <c r="M479" i="2"/>
  <c r="W479" i="2" s="1"/>
  <c r="L479" i="2"/>
  <c r="V479" i="2" s="1"/>
  <c r="AE478" i="2"/>
  <c r="AD478" i="2"/>
  <c r="AC478" i="2"/>
  <c r="AB478" i="2"/>
  <c r="U478" i="2"/>
  <c r="T478" i="2"/>
  <c r="S478" i="2"/>
  <c r="R478" i="2"/>
  <c r="Q478" i="2"/>
  <c r="AA478" i="2" s="1"/>
  <c r="P478" i="2"/>
  <c r="Z478" i="2" s="1"/>
  <c r="O478" i="2"/>
  <c r="Y478" i="2" s="1"/>
  <c r="N478" i="2"/>
  <c r="X478" i="2" s="1"/>
  <c r="M478" i="2"/>
  <c r="W478" i="2" s="1"/>
  <c r="L478" i="2"/>
  <c r="V478" i="2" s="1"/>
  <c r="Y477" i="2"/>
  <c r="X477" i="2"/>
  <c r="W477" i="2"/>
  <c r="U477" i="2"/>
  <c r="AE477" i="2" s="1"/>
  <c r="T477" i="2"/>
  <c r="AD477" i="2" s="1"/>
  <c r="S477" i="2"/>
  <c r="AC477" i="2" s="1"/>
  <c r="R477" i="2"/>
  <c r="AB477" i="2" s="1"/>
  <c r="Q477" i="2"/>
  <c r="AA477" i="2" s="1"/>
  <c r="P477" i="2"/>
  <c r="Z477" i="2" s="1"/>
  <c r="O477" i="2"/>
  <c r="N477" i="2"/>
  <c r="M477" i="2"/>
  <c r="L477" i="2"/>
  <c r="V477" i="2" s="1"/>
  <c r="AC476" i="2"/>
  <c r="AB476" i="2"/>
  <c r="AA476" i="2"/>
  <c r="Y476" i="2"/>
  <c r="X476" i="2"/>
  <c r="W476" i="2"/>
  <c r="V476" i="2"/>
  <c r="U476" i="2"/>
  <c r="AE476" i="2" s="1"/>
  <c r="T476" i="2"/>
  <c r="AD476" i="2" s="1"/>
  <c r="S476" i="2"/>
  <c r="R476" i="2"/>
  <c r="Q476" i="2"/>
  <c r="P476" i="2"/>
  <c r="Z476" i="2" s="1"/>
  <c r="O476" i="2"/>
  <c r="N476" i="2"/>
  <c r="M476" i="2"/>
  <c r="L476" i="2"/>
  <c r="AE475" i="2"/>
  <c r="AC475" i="2"/>
  <c r="AB475" i="2"/>
  <c r="AA475" i="2"/>
  <c r="Z475" i="2"/>
  <c r="Y475" i="2"/>
  <c r="X475" i="2"/>
  <c r="U475" i="2"/>
  <c r="T475" i="2"/>
  <c r="AD475" i="2" s="1"/>
  <c r="S475" i="2"/>
  <c r="R475" i="2"/>
  <c r="Q475" i="2"/>
  <c r="P475" i="2"/>
  <c r="O475" i="2"/>
  <c r="N475" i="2"/>
  <c r="M475" i="2"/>
  <c r="W475" i="2" s="1"/>
  <c r="L475" i="2"/>
  <c r="V475" i="2" s="1"/>
  <c r="AE474" i="2"/>
  <c r="AD474" i="2"/>
  <c r="AC474" i="2"/>
  <c r="AB474" i="2"/>
  <c r="U474" i="2"/>
  <c r="T474" i="2"/>
  <c r="S474" i="2"/>
  <c r="R474" i="2"/>
  <c r="Q474" i="2"/>
  <c r="AA474" i="2" s="1"/>
  <c r="P474" i="2"/>
  <c r="Z474" i="2" s="1"/>
  <c r="O474" i="2"/>
  <c r="Y474" i="2" s="1"/>
  <c r="N474" i="2"/>
  <c r="X474" i="2" s="1"/>
  <c r="M474" i="2"/>
  <c r="W474" i="2" s="1"/>
  <c r="L474" i="2"/>
  <c r="V474" i="2" s="1"/>
  <c r="Y473" i="2"/>
  <c r="X473" i="2"/>
  <c r="W473" i="2"/>
  <c r="U473" i="2"/>
  <c r="AE473" i="2" s="1"/>
  <c r="T473" i="2"/>
  <c r="AD473" i="2" s="1"/>
  <c r="S473" i="2"/>
  <c r="AC473" i="2" s="1"/>
  <c r="R473" i="2"/>
  <c r="AB473" i="2" s="1"/>
  <c r="Q473" i="2"/>
  <c r="AA473" i="2" s="1"/>
  <c r="P473" i="2"/>
  <c r="Z473" i="2" s="1"/>
  <c r="O473" i="2"/>
  <c r="N473" i="2"/>
  <c r="M473" i="2"/>
  <c r="L473" i="2"/>
  <c r="V473" i="2" s="1"/>
  <c r="AC472" i="2"/>
  <c r="AB472" i="2"/>
  <c r="AA472" i="2"/>
  <c r="Y472" i="2"/>
  <c r="X472" i="2"/>
  <c r="W472" i="2"/>
  <c r="V472" i="2"/>
  <c r="U472" i="2"/>
  <c r="AE472" i="2" s="1"/>
  <c r="T472" i="2"/>
  <c r="AD472" i="2" s="1"/>
  <c r="S472" i="2"/>
  <c r="R472" i="2"/>
  <c r="Q472" i="2"/>
  <c r="P472" i="2"/>
  <c r="Z472" i="2" s="1"/>
  <c r="O472" i="2"/>
  <c r="N472" i="2"/>
  <c r="M472" i="2"/>
  <c r="L472" i="2"/>
  <c r="AE471" i="2"/>
  <c r="AC471" i="2"/>
  <c r="AB471" i="2"/>
  <c r="AA471" i="2"/>
  <c r="Z471" i="2"/>
  <c r="Y471" i="2"/>
  <c r="X471" i="2"/>
  <c r="U471" i="2"/>
  <c r="T471" i="2"/>
  <c r="AD471" i="2" s="1"/>
  <c r="S471" i="2"/>
  <c r="R471" i="2"/>
  <c r="Q471" i="2"/>
  <c r="P471" i="2"/>
  <c r="O471" i="2"/>
  <c r="N471" i="2"/>
  <c r="M471" i="2"/>
  <c r="W471" i="2" s="1"/>
  <c r="L471" i="2"/>
  <c r="V471" i="2" s="1"/>
  <c r="AE470" i="2"/>
  <c r="AD470" i="2"/>
  <c r="AC470" i="2"/>
  <c r="AB470" i="2"/>
  <c r="U470" i="2"/>
  <c r="T470" i="2"/>
  <c r="S470" i="2"/>
  <c r="R470" i="2"/>
  <c r="Q470" i="2"/>
  <c r="AA470" i="2" s="1"/>
  <c r="P470" i="2"/>
  <c r="Z470" i="2" s="1"/>
  <c r="O470" i="2"/>
  <c r="Y470" i="2" s="1"/>
  <c r="N470" i="2"/>
  <c r="X470" i="2" s="1"/>
  <c r="M470" i="2"/>
  <c r="W470" i="2" s="1"/>
  <c r="L470" i="2"/>
  <c r="V470" i="2" s="1"/>
  <c r="X469" i="2"/>
  <c r="W469" i="2"/>
  <c r="U469" i="2"/>
  <c r="AE469" i="2" s="1"/>
  <c r="T469" i="2"/>
  <c r="AD469" i="2" s="1"/>
  <c r="S469" i="2"/>
  <c r="AC469" i="2" s="1"/>
  <c r="R469" i="2"/>
  <c r="AB469" i="2" s="1"/>
  <c r="Q469" i="2"/>
  <c r="AA469" i="2" s="1"/>
  <c r="P469" i="2"/>
  <c r="Z469" i="2" s="1"/>
  <c r="O469" i="2"/>
  <c r="Y469" i="2" s="1"/>
  <c r="N469" i="2"/>
  <c r="M469" i="2"/>
  <c r="L469" i="2"/>
  <c r="V469" i="2" s="1"/>
  <c r="AB468" i="2"/>
  <c r="AA468" i="2"/>
  <c r="Y468" i="2"/>
  <c r="X468" i="2"/>
  <c r="W468" i="2"/>
  <c r="V468" i="2"/>
  <c r="U468" i="2"/>
  <c r="AE468" i="2" s="1"/>
  <c r="T468" i="2"/>
  <c r="AD468" i="2" s="1"/>
  <c r="S468" i="2"/>
  <c r="AC468" i="2" s="1"/>
  <c r="R468" i="2"/>
  <c r="Q468" i="2"/>
  <c r="P468" i="2"/>
  <c r="Z468" i="2" s="1"/>
  <c r="O468" i="2"/>
  <c r="N468" i="2"/>
  <c r="M468" i="2"/>
  <c r="L468" i="2"/>
  <c r="AE467" i="2"/>
  <c r="AC467" i="2"/>
  <c r="AB467" i="2"/>
  <c r="AA467" i="2"/>
  <c r="Z467" i="2"/>
  <c r="Y467" i="2"/>
  <c r="X467" i="2"/>
  <c r="U467" i="2"/>
  <c r="T467" i="2"/>
  <c r="AD467" i="2" s="1"/>
  <c r="S467" i="2"/>
  <c r="R467" i="2"/>
  <c r="Q467" i="2"/>
  <c r="P467" i="2"/>
  <c r="O467" i="2"/>
  <c r="N467" i="2"/>
  <c r="M467" i="2"/>
  <c r="W467" i="2" s="1"/>
  <c r="L467" i="2"/>
  <c r="V467" i="2" s="1"/>
  <c r="AE466" i="2"/>
  <c r="AD466" i="2"/>
  <c r="AC466" i="2"/>
  <c r="AB466" i="2"/>
  <c r="U466" i="2"/>
  <c r="T466" i="2"/>
  <c r="S466" i="2"/>
  <c r="R466" i="2"/>
  <c r="Q466" i="2"/>
  <c r="AA466" i="2" s="1"/>
  <c r="P466" i="2"/>
  <c r="Z466" i="2" s="1"/>
  <c r="O466" i="2"/>
  <c r="Y466" i="2" s="1"/>
  <c r="N466" i="2"/>
  <c r="X466" i="2" s="1"/>
  <c r="M466" i="2"/>
  <c r="W466" i="2" s="1"/>
  <c r="L466" i="2"/>
  <c r="V466" i="2" s="1"/>
  <c r="X465" i="2"/>
  <c r="W465" i="2"/>
  <c r="U465" i="2"/>
  <c r="AE465" i="2" s="1"/>
  <c r="T465" i="2"/>
  <c r="AD465" i="2" s="1"/>
  <c r="S465" i="2"/>
  <c r="AC465" i="2" s="1"/>
  <c r="R465" i="2"/>
  <c r="AB465" i="2" s="1"/>
  <c r="Q465" i="2"/>
  <c r="AA465" i="2" s="1"/>
  <c r="P465" i="2"/>
  <c r="Z465" i="2" s="1"/>
  <c r="O465" i="2"/>
  <c r="Y465" i="2" s="1"/>
  <c r="N465" i="2"/>
  <c r="M465" i="2"/>
  <c r="L465" i="2"/>
  <c r="V465" i="2" s="1"/>
  <c r="AB464" i="2"/>
  <c r="AA464" i="2"/>
  <c r="Y464" i="2"/>
  <c r="X464" i="2"/>
  <c r="W464" i="2"/>
  <c r="V464" i="2"/>
  <c r="U464" i="2"/>
  <c r="AE464" i="2" s="1"/>
  <c r="T464" i="2"/>
  <c r="AD464" i="2" s="1"/>
  <c r="S464" i="2"/>
  <c r="AC464" i="2" s="1"/>
  <c r="R464" i="2"/>
  <c r="Q464" i="2"/>
  <c r="P464" i="2"/>
  <c r="Z464" i="2" s="1"/>
  <c r="O464" i="2"/>
  <c r="N464" i="2"/>
  <c r="M464" i="2"/>
  <c r="L464" i="2"/>
  <c r="AE463" i="2"/>
  <c r="AC463" i="2"/>
  <c r="AB463" i="2"/>
  <c r="AA463" i="2"/>
  <c r="Z463" i="2"/>
  <c r="Y463" i="2"/>
  <c r="X463" i="2"/>
  <c r="U463" i="2"/>
  <c r="T463" i="2"/>
  <c r="AD463" i="2" s="1"/>
  <c r="S463" i="2"/>
  <c r="R463" i="2"/>
  <c r="Q463" i="2"/>
  <c r="P463" i="2"/>
  <c r="O463" i="2"/>
  <c r="N463" i="2"/>
  <c r="M463" i="2"/>
  <c r="W463" i="2" s="1"/>
  <c r="L463" i="2"/>
  <c r="V463" i="2" s="1"/>
  <c r="AE462" i="2"/>
  <c r="AD462" i="2"/>
  <c r="AC462" i="2"/>
  <c r="AB462" i="2"/>
  <c r="U462" i="2"/>
  <c r="T462" i="2"/>
  <c r="S462" i="2"/>
  <c r="R462" i="2"/>
  <c r="Q462" i="2"/>
  <c r="AA462" i="2" s="1"/>
  <c r="P462" i="2"/>
  <c r="Z462" i="2" s="1"/>
  <c r="O462" i="2"/>
  <c r="Y462" i="2" s="1"/>
  <c r="N462" i="2"/>
  <c r="X462" i="2" s="1"/>
  <c r="M462" i="2"/>
  <c r="W462" i="2" s="1"/>
  <c r="L462" i="2"/>
  <c r="V462" i="2" s="1"/>
  <c r="X461" i="2"/>
  <c r="W461" i="2"/>
  <c r="U461" i="2"/>
  <c r="AE461" i="2" s="1"/>
  <c r="T461" i="2"/>
  <c r="AD461" i="2" s="1"/>
  <c r="S461" i="2"/>
  <c r="AC461" i="2" s="1"/>
  <c r="R461" i="2"/>
  <c r="AB461" i="2" s="1"/>
  <c r="Q461" i="2"/>
  <c r="AA461" i="2" s="1"/>
  <c r="P461" i="2"/>
  <c r="Z461" i="2" s="1"/>
  <c r="O461" i="2"/>
  <c r="Y461" i="2" s="1"/>
  <c r="N461" i="2"/>
  <c r="M461" i="2"/>
  <c r="L461" i="2"/>
  <c r="V461" i="2" s="1"/>
  <c r="AA460" i="2"/>
  <c r="Y460" i="2"/>
  <c r="X460" i="2"/>
  <c r="W460" i="2"/>
  <c r="V460" i="2"/>
  <c r="U460" i="2"/>
  <c r="AE460" i="2" s="1"/>
  <c r="T460" i="2"/>
  <c r="AD460" i="2" s="1"/>
  <c r="S460" i="2"/>
  <c r="AC460" i="2" s="1"/>
  <c r="R460" i="2"/>
  <c r="AB460" i="2" s="1"/>
  <c r="Q460" i="2"/>
  <c r="P460" i="2"/>
  <c r="Z460" i="2" s="1"/>
  <c r="O460" i="2"/>
  <c r="N460" i="2"/>
  <c r="M460" i="2"/>
  <c r="L460" i="2"/>
  <c r="AE459" i="2"/>
  <c r="AC459" i="2"/>
  <c r="AB459" i="2"/>
  <c r="AA459" i="2"/>
  <c r="Z459" i="2"/>
  <c r="Y459" i="2"/>
  <c r="X459" i="2"/>
  <c r="U459" i="2"/>
  <c r="T459" i="2"/>
  <c r="AD459" i="2" s="1"/>
  <c r="S459" i="2"/>
  <c r="R459" i="2"/>
  <c r="Q459" i="2"/>
  <c r="P459" i="2"/>
  <c r="O459" i="2"/>
  <c r="N459" i="2"/>
  <c r="M459" i="2"/>
  <c r="W459" i="2" s="1"/>
  <c r="L459" i="2"/>
  <c r="V459" i="2" s="1"/>
  <c r="AE458" i="2"/>
  <c r="AD458" i="2"/>
  <c r="AC458" i="2"/>
  <c r="AB458" i="2"/>
  <c r="U458" i="2"/>
  <c r="T458" i="2"/>
  <c r="S458" i="2"/>
  <c r="R458" i="2"/>
  <c r="Q458" i="2"/>
  <c r="AA458" i="2" s="1"/>
  <c r="P458" i="2"/>
  <c r="Z458" i="2" s="1"/>
  <c r="O458" i="2"/>
  <c r="Y458" i="2" s="1"/>
  <c r="N458" i="2"/>
  <c r="X458" i="2" s="1"/>
  <c r="M458" i="2"/>
  <c r="W458" i="2" s="1"/>
  <c r="L458" i="2"/>
  <c r="V458" i="2" s="1"/>
  <c r="W457" i="2"/>
  <c r="U457" i="2"/>
  <c r="AE457" i="2" s="1"/>
  <c r="T457" i="2"/>
  <c r="AD457" i="2" s="1"/>
  <c r="S457" i="2"/>
  <c r="AC457" i="2" s="1"/>
  <c r="R457" i="2"/>
  <c r="AB457" i="2" s="1"/>
  <c r="Q457" i="2"/>
  <c r="AA457" i="2" s="1"/>
  <c r="P457" i="2"/>
  <c r="Z457" i="2" s="1"/>
  <c r="O457" i="2"/>
  <c r="Y457" i="2" s="1"/>
  <c r="N457" i="2"/>
  <c r="X457" i="2" s="1"/>
  <c r="M457" i="2"/>
  <c r="L457" i="2"/>
  <c r="V457" i="2" s="1"/>
  <c r="AA456" i="2"/>
  <c r="Y456" i="2"/>
  <c r="X456" i="2"/>
  <c r="W456" i="2"/>
  <c r="V456" i="2"/>
  <c r="U456" i="2"/>
  <c r="AE456" i="2" s="1"/>
  <c r="T456" i="2"/>
  <c r="AD456" i="2" s="1"/>
  <c r="S456" i="2"/>
  <c r="AC456" i="2" s="1"/>
  <c r="R456" i="2"/>
  <c r="AB456" i="2" s="1"/>
  <c r="Q456" i="2"/>
  <c r="P456" i="2"/>
  <c r="Z456" i="2" s="1"/>
  <c r="O456" i="2"/>
  <c r="N456" i="2"/>
  <c r="M456" i="2"/>
  <c r="L456" i="2"/>
  <c r="AE455" i="2"/>
  <c r="AC455" i="2"/>
  <c r="AB455" i="2"/>
  <c r="AA455" i="2"/>
  <c r="Z455" i="2"/>
  <c r="Y455" i="2"/>
  <c r="X455" i="2"/>
  <c r="U455" i="2"/>
  <c r="T455" i="2"/>
  <c r="AD455" i="2" s="1"/>
  <c r="S455" i="2"/>
  <c r="R455" i="2"/>
  <c r="Q455" i="2"/>
  <c r="P455" i="2"/>
  <c r="O455" i="2"/>
  <c r="N455" i="2"/>
  <c r="M455" i="2"/>
  <c r="W455" i="2" s="1"/>
  <c r="L455" i="2"/>
  <c r="V455" i="2" s="1"/>
  <c r="AE454" i="2"/>
  <c r="AD454" i="2"/>
  <c r="AC454" i="2"/>
  <c r="AB454" i="2"/>
  <c r="U454" i="2"/>
  <c r="T454" i="2"/>
  <c r="S454" i="2"/>
  <c r="R454" i="2"/>
  <c r="Q454" i="2"/>
  <c r="AA454" i="2" s="1"/>
  <c r="P454" i="2"/>
  <c r="Z454" i="2" s="1"/>
  <c r="O454" i="2"/>
  <c r="Y454" i="2" s="1"/>
  <c r="N454" i="2"/>
  <c r="X454" i="2" s="1"/>
  <c r="M454" i="2"/>
  <c r="W454" i="2" s="1"/>
  <c r="L454" i="2"/>
  <c r="V454" i="2" s="1"/>
  <c r="W453" i="2"/>
  <c r="U453" i="2"/>
  <c r="AE453" i="2" s="1"/>
  <c r="T453" i="2"/>
  <c r="AD453" i="2" s="1"/>
  <c r="S453" i="2"/>
  <c r="AC453" i="2" s="1"/>
  <c r="R453" i="2"/>
  <c r="AB453" i="2" s="1"/>
  <c r="Q453" i="2"/>
  <c r="AA453" i="2" s="1"/>
  <c r="P453" i="2"/>
  <c r="Z453" i="2" s="1"/>
  <c r="O453" i="2"/>
  <c r="Y453" i="2" s="1"/>
  <c r="N453" i="2"/>
  <c r="X453" i="2" s="1"/>
  <c r="M453" i="2"/>
  <c r="L453" i="2"/>
  <c r="V453" i="2" s="1"/>
  <c r="AA452" i="2"/>
  <c r="Y452" i="2"/>
  <c r="X452" i="2"/>
  <c r="W452" i="2"/>
  <c r="V452" i="2"/>
  <c r="U452" i="2"/>
  <c r="AE452" i="2" s="1"/>
  <c r="T452" i="2"/>
  <c r="AD452" i="2" s="1"/>
  <c r="S452" i="2"/>
  <c r="AC452" i="2" s="1"/>
  <c r="R452" i="2"/>
  <c r="AB452" i="2" s="1"/>
  <c r="Q452" i="2"/>
  <c r="P452" i="2"/>
  <c r="Z452" i="2" s="1"/>
  <c r="O452" i="2"/>
  <c r="N452" i="2"/>
  <c r="M452" i="2"/>
  <c r="L452" i="2"/>
  <c r="AE451" i="2"/>
  <c r="AC451" i="2"/>
  <c r="AB451" i="2"/>
  <c r="AA451" i="2"/>
  <c r="Z451" i="2"/>
  <c r="Y451" i="2"/>
  <c r="X451" i="2"/>
  <c r="U451" i="2"/>
  <c r="T451" i="2"/>
  <c r="AD451" i="2" s="1"/>
  <c r="S451" i="2"/>
  <c r="R451" i="2"/>
  <c r="Q451" i="2"/>
  <c r="P451" i="2"/>
  <c r="O451" i="2"/>
  <c r="N451" i="2"/>
  <c r="M451" i="2"/>
  <c r="W451" i="2" s="1"/>
  <c r="L451" i="2"/>
  <c r="V451" i="2" s="1"/>
  <c r="AE450" i="2"/>
  <c r="AD450" i="2"/>
  <c r="AC450" i="2"/>
  <c r="AB450" i="2"/>
  <c r="U450" i="2"/>
  <c r="T450" i="2"/>
  <c r="S450" i="2"/>
  <c r="R450" i="2"/>
  <c r="Q450" i="2"/>
  <c r="AA450" i="2" s="1"/>
  <c r="P450" i="2"/>
  <c r="Z450" i="2" s="1"/>
  <c r="O450" i="2"/>
  <c r="Y450" i="2" s="1"/>
  <c r="N450" i="2"/>
  <c r="X450" i="2" s="1"/>
  <c r="M450" i="2"/>
  <c r="W450" i="2" s="1"/>
  <c r="L450" i="2"/>
  <c r="V450" i="2" s="1"/>
  <c r="W449" i="2"/>
  <c r="U449" i="2"/>
  <c r="AE449" i="2" s="1"/>
  <c r="T449" i="2"/>
  <c r="AD449" i="2" s="1"/>
  <c r="S449" i="2"/>
  <c r="AC449" i="2" s="1"/>
  <c r="R449" i="2"/>
  <c r="AB449" i="2" s="1"/>
  <c r="Q449" i="2"/>
  <c r="AA449" i="2" s="1"/>
  <c r="P449" i="2"/>
  <c r="Z449" i="2" s="1"/>
  <c r="O449" i="2"/>
  <c r="Y449" i="2" s="1"/>
  <c r="N449" i="2"/>
  <c r="X449" i="2" s="1"/>
  <c r="M449" i="2"/>
  <c r="L449" i="2"/>
  <c r="V449" i="2" s="1"/>
  <c r="AA448" i="2"/>
  <c r="Y448" i="2"/>
  <c r="X448" i="2"/>
  <c r="W448" i="2"/>
  <c r="V448" i="2"/>
  <c r="U448" i="2"/>
  <c r="AE448" i="2" s="1"/>
  <c r="T448" i="2"/>
  <c r="AD448" i="2" s="1"/>
  <c r="S448" i="2"/>
  <c r="AC448" i="2" s="1"/>
  <c r="R448" i="2"/>
  <c r="AB448" i="2" s="1"/>
  <c r="Q448" i="2"/>
  <c r="P448" i="2"/>
  <c r="Z448" i="2" s="1"/>
  <c r="O448" i="2"/>
  <c r="N448" i="2"/>
  <c r="M448" i="2"/>
  <c r="L448" i="2"/>
  <c r="AE447" i="2"/>
  <c r="AC447" i="2"/>
  <c r="AB447" i="2"/>
  <c r="AA447" i="2"/>
  <c r="Z447" i="2"/>
  <c r="Y447" i="2"/>
  <c r="X447" i="2"/>
  <c r="U447" i="2"/>
  <c r="T447" i="2"/>
  <c r="AD447" i="2" s="1"/>
  <c r="S447" i="2"/>
  <c r="R447" i="2"/>
  <c r="Q447" i="2"/>
  <c r="P447" i="2"/>
  <c r="O447" i="2"/>
  <c r="N447" i="2"/>
  <c r="M447" i="2"/>
  <c r="W447" i="2" s="1"/>
  <c r="L447" i="2"/>
  <c r="V447" i="2" s="1"/>
  <c r="AE446" i="2"/>
  <c r="AD446" i="2"/>
  <c r="AC446" i="2"/>
  <c r="AB446" i="2"/>
  <c r="U446" i="2"/>
  <c r="T446" i="2"/>
  <c r="S446" i="2"/>
  <c r="R446" i="2"/>
  <c r="Q446" i="2"/>
  <c r="AA446" i="2" s="1"/>
  <c r="P446" i="2"/>
  <c r="Z446" i="2" s="1"/>
  <c r="O446" i="2"/>
  <c r="Y446" i="2" s="1"/>
  <c r="N446" i="2"/>
  <c r="X446" i="2" s="1"/>
  <c r="M446" i="2"/>
  <c r="W446" i="2" s="1"/>
  <c r="L446" i="2"/>
  <c r="V446" i="2" s="1"/>
  <c r="Y445" i="2"/>
  <c r="W445" i="2"/>
  <c r="U445" i="2"/>
  <c r="AE445" i="2" s="1"/>
  <c r="T445" i="2"/>
  <c r="AD445" i="2" s="1"/>
  <c r="S445" i="2"/>
  <c r="AC445" i="2" s="1"/>
  <c r="R445" i="2"/>
  <c r="AB445" i="2" s="1"/>
  <c r="Q445" i="2"/>
  <c r="AA445" i="2" s="1"/>
  <c r="P445" i="2"/>
  <c r="Z445" i="2" s="1"/>
  <c r="O445" i="2"/>
  <c r="N445" i="2"/>
  <c r="X445" i="2" s="1"/>
  <c r="M445" i="2"/>
  <c r="L445" i="2"/>
  <c r="V445" i="2" s="1"/>
  <c r="AC444" i="2"/>
  <c r="AA444" i="2"/>
  <c r="Y444" i="2"/>
  <c r="X444" i="2"/>
  <c r="W444" i="2"/>
  <c r="V444" i="2"/>
  <c r="U444" i="2"/>
  <c r="AE444" i="2" s="1"/>
  <c r="T444" i="2"/>
  <c r="AD444" i="2" s="1"/>
  <c r="S444" i="2"/>
  <c r="R444" i="2"/>
  <c r="AB444" i="2" s="1"/>
  <c r="Q444" i="2"/>
  <c r="P444" i="2"/>
  <c r="Z444" i="2" s="1"/>
  <c r="O444" i="2"/>
  <c r="N444" i="2"/>
  <c r="M444" i="2"/>
  <c r="L444" i="2"/>
  <c r="AE443" i="2"/>
  <c r="AC443" i="2"/>
  <c r="AB443" i="2"/>
  <c r="AA443" i="2"/>
  <c r="Z443" i="2"/>
  <c r="Y443" i="2"/>
  <c r="X443" i="2"/>
  <c r="U443" i="2"/>
  <c r="T443" i="2"/>
  <c r="AD443" i="2" s="1"/>
  <c r="S443" i="2"/>
  <c r="R443" i="2"/>
  <c r="Q443" i="2"/>
  <c r="P443" i="2"/>
  <c r="O443" i="2"/>
  <c r="N443" i="2"/>
  <c r="M443" i="2"/>
  <c r="W443" i="2" s="1"/>
  <c r="L443" i="2"/>
  <c r="V443" i="2" s="1"/>
  <c r="AE442" i="2"/>
  <c r="AD442" i="2"/>
  <c r="AC442" i="2"/>
  <c r="AB442" i="2"/>
  <c r="U442" i="2"/>
  <c r="T442" i="2"/>
  <c r="S442" i="2"/>
  <c r="R442" i="2"/>
  <c r="Q442" i="2"/>
  <c r="AA442" i="2" s="1"/>
  <c r="P442" i="2"/>
  <c r="Z442" i="2" s="1"/>
  <c r="O442" i="2"/>
  <c r="Y442" i="2" s="1"/>
  <c r="N442" i="2"/>
  <c r="X442" i="2" s="1"/>
  <c r="M442" i="2"/>
  <c r="W442" i="2" s="1"/>
  <c r="L442" i="2"/>
  <c r="V442" i="2" s="1"/>
  <c r="W441" i="2"/>
  <c r="U441" i="2"/>
  <c r="AE441" i="2" s="1"/>
  <c r="T441" i="2"/>
  <c r="AD441" i="2" s="1"/>
  <c r="S441" i="2"/>
  <c r="AC441" i="2" s="1"/>
  <c r="R441" i="2"/>
  <c r="AB441" i="2" s="1"/>
  <c r="Q441" i="2"/>
  <c r="AA441" i="2" s="1"/>
  <c r="P441" i="2"/>
  <c r="Z441" i="2" s="1"/>
  <c r="O441" i="2"/>
  <c r="Y441" i="2" s="1"/>
  <c r="N441" i="2"/>
  <c r="X441" i="2" s="1"/>
  <c r="M441" i="2"/>
  <c r="L441" i="2"/>
  <c r="V441" i="2" s="1"/>
  <c r="AA440" i="2"/>
  <c r="Y440" i="2"/>
  <c r="X440" i="2"/>
  <c r="W440" i="2"/>
  <c r="V440" i="2"/>
  <c r="U440" i="2"/>
  <c r="AE440" i="2" s="1"/>
  <c r="T440" i="2"/>
  <c r="AD440" i="2" s="1"/>
  <c r="S440" i="2"/>
  <c r="AC440" i="2" s="1"/>
  <c r="R440" i="2"/>
  <c r="AB440" i="2" s="1"/>
  <c r="Q440" i="2"/>
  <c r="P440" i="2"/>
  <c r="Z440" i="2" s="1"/>
  <c r="O440" i="2"/>
  <c r="N440" i="2"/>
  <c r="M440" i="2"/>
  <c r="L440" i="2"/>
  <c r="AE439" i="2"/>
  <c r="AC439" i="2"/>
  <c r="AB439" i="2"/>
  <c r="AA439" i="2"/>
  <c r="Z439" i="2"/>
  <c r="Y439" i="2"/>
  <c r="X439" i="2"/>
  <c r="U439" i="2"/>
  <c r="T439" i="2"/>
  <c r="AD439" i="2" s="1"/>
  <c r="S439" i="2"/>
  <c r="R439" i="2"/>
  <c r="Q439" i="2"/>
  <c r="P439" i="2"/>
  <c r="O439" i="2"/>
  <c r="N439" i="2"/>
  <c r="M439" i="2"/>
  <c r="W439" i="2" s="1"/>
  <c r="L439" i="2"/>
  <c r="V439" i="2" s="1"/>
  <c r="AE438" i="2"/>
  <c r="AD438" i="2"/>
  <c r="AC438" i="2"/>
  <c r="AB438" i="2"/>
  <c r="U438" i="2"/>
  <c r="T438" i="2"/>
  <c r="S438" i="2"/>
  <c r="R438" i="2"/>
  <c r="Q438" i="2"/>
  <c r="AA438" i="2" s="1"/>
  <c r="P438" i="2"/>
  <c r="Z438" i="2" s="1"/>
  <c r="O438" i="2"/>
  <c r="Y438" i="2" s="1"/>
  <c r="N438" i="2"/>
  <c r="X438" i="2" s="1"/>
  <c r="M438" i="2"/>
  <c r="W438" i="2" s="1"/>
  <c r="L438" i="2"/>
  <c r="V438" i="2" s="1"/>
  <c r="W437" i="2"/>
  <c r="U437" i="2"/>
  <c r="AE437" i="2" s="1"/>
  <c r="T437" i="2"/>
  <c r="AD437" i="2" s="1"/>
  <c r="S437" i="2"/>
  <c r="AC437" i="2" s="1"/>
  <c r="R437" i="2"/>
  <c r="AB437" i="2" s="1"/>
  <c r="Q437" i="2"/>
  <c r="AA437" i="2" s="1"/>
  <c r="P437" i="2"/>
  <c r="Z437" i="2" s="1"/>
  <c r="O437" i="2"/>
  <c r="Y437" i="2" s="1"/>
  <c r="N437" i="2"/>
  <c r="X437" i="2" s="1"/>
  <c r="M437" i="2"/>
  <c r="L437" i="2"/>
  <c r="V437" i="2" s="1"/>
  <c r="AA436" i="2"/>
  <c r="Y436" i="2"/>
  <c r="X436" i="2"/>
  <c r="W436" i="2"/>
  <c r="V436" i="2"/>
  <c r="U436" i="2"/>
  <c r="AE436" i="2" s="1"/>
  <c r="T436" i="2"/>
  <c r="AD436" i="2" s="1"/>
  <c r="S436" i="2"/>
  <c r="AC436" i="2" s="1"/>
  <c r="R436" i="2"/>
  <c r="AB436" i="2" s="1"/>
  <c r="Q436" i="2"/>
  <c r="P436" i="2"/>
  <c r="Z436" i="2" s="1"/>
  <c r="O436" i="2"/>
  <c r="N436" i="2"/>
  <c r="M436" i="2"/>
  <c r="L436" i="2"/>
  <c r="AE435" i="2"/>
  <c r="AC435" i="2"/>
  <c r="AB435" i="2"/>
  <c r="AA435" i="2"/>
  <c r="Z435" i="2"/>
  <c r="Y435" i="2"/>
  <c r="X435" i="2"/>
  <c r="U435" i="2"/>
  <c r="T435" i="2"/>
  <c r="AD435" i="2" s="1"/>
  <c r="S435" i="2"/>
  <c r="R435" i="2"/>
  <c r="Q435" i="2"/>
  <c r="P435" i="2"/>
  <c r="O435" i="2"/>
  <c r="N435" i="2"/>
  <c r="M435" i="2"/>
  <c r="W435" i="2" s="1"/>
  <c r="L435" i="2"/>
  <c r="V435" i="2" s="1"/>
  <c r="AE434" i="2"/>
  <c r="AD434" i="2"/>
  <c r="AC434" i="2"/>
  <c r="AB434" i="2"/>
  <c r="U434" i="2"/>
  <c r="T434" i="2"/>
  <c r="S434" i="2"/>
  <c r="R434" i="2"/>
  <c r="Q434" i="2"/>
  <c r="AA434" i="2" s="1"/>
  <c r="P434" i="2"/>
  <c r="Z434" i="2" s="1"/>
  <c r="O434" i="2"/>
  <c r="Y434" i="2" s="1"/>
  <c r="N434" i="2"/>
  <c r="X434" i="2" s="1"/>
  <c r="M434" i="2"/>
  <c r="W434" i="2" s="1"/>
  <c r="L434" i="2"/>
  <c r="V434" i="2" s="1"/>
  <c r="W433" i="2"/>
  <c r="U433" i="2"/>
  <c r="AE433" i="2" s="1"/>
  <c r="T433" i="2"/>
  <c r="AD433" i="2" s="1"/>
  <c r="S433" i="2"/>
  <c r="AC433" i="2" s="1"/>
  <c r="R433" i="2"/>
  <c r="AB433" i="2" s="1"/>
  <c r="Q433" i="2"/>
  <c r="AA433" i="2" s="1"/>
  <c r="P433" i="2"/>
  <c r="Z433" i="2" s="1"/>
  <c r="O433" i="2"/>
  <c r="Y433" i="2" s="1"/>
  <c r="N433" i="2"/>
  <c r="X433" i="2" s="1"/>
  <c r="M433" i="2"/>
  <c r="L433" i="2"/>
  <c r="V433" i="2" s="1"/>
  <c r="AA432" i="2"/>
  <c r="Y432" i="2"/>
  <c r="X432" i="2"/>
  <c r="W432" i="2"/>
  <c r="V432" i="2"/>
  <c r="U432" i="2"/>
  <c r="AE432" i="2" s="1"/>
  <c r="T432" i="2"/>
  <c r="AD432" i="2" s="1"/>
  <c r="S432" i="2"/>
  <c r="AC432" i="2" s="1"/>
  <c r="R432" i="2"/>
  <c r="AB432" i="2" s="1"/>
  <c r="Q432" i="2"/>
  <c r="P432" i="2"/>
  <c r="Z432" i="2" s="1"/>
  <c r="O432" i="2"/>
  <c r="N432" i="2"/>
  <c r="M432" i="2"/>
  <c r="L432" i="2"/>
  <c r="AE431" i="2"/>
  <c r="AC431" i="2"/>
  <c r="AB431" i="2"/>
  <c r="AA431" i="2"/>
  <c r="Z431" i="2"/>
  <c r="Y431" i="2"/>
  <c r="X431" i="2"/>
  <c r="U431" i="2"/>
  <c r="T431" i="2"/>
  <c r="AD431" i="2" s="1"/>
  <c r="S431" i="2"/>
  <c r="R431" i="2"/>
  <c r="Q431" i="2"/>
  <c r="P431" i="2"/>
  <c r="O431" i="2"/>
  <c r="N431" i="2"/>
  <c r="M431" i="2"/>
  <c r="W431" i="2" s="1"/>
  <c r="L431" i="2"/>
  <c r="V431" i="2" s="1"/>
  <c r="AE430" i="2"/>
  <c r="AD430" i="2"/>
  <c r="AC430" i="2"/>
  <c r="AB430" i="2"/>
  <c r="U430" i="2"/>
  <c r="T430" i="2"/>
  <c r="S430" i="2"/>
  <c r="R430" i="2"/>
  <c r="Q430" i="2"/>
  <c r="AA430" i="2" s="1"/>
  <c r="P430" i="2"/>
  <c r="Z430" i="2" s="1"/>
  <c r="O430" i="2"/>
  <c r="Y430" i="2" s="1"/>
  <c r="N430" i="2"/>
  <c r="X430" i="2" s="1"/>
  <c r="M430" i="2"/>
  <c r="W430" i="2" s="1"/>
  <c r="L430" i="2"/>
  <c r="V430" i="2" s="1"/>
  <c r="W429" i="2"/>
  <c r="U429" i="2"/>
  <c r="AE429" i="2" s="1"/>
  <c r="T429" i="2"/>
  <c r="AD429" i="2" s="1"/>
  <c r="S429" i="2"/>
  <c r="AC429" i="2" s="1"/>
  <c r="R429" i="2"/>
  <c r="AB429" i="2" s="1"/>
  <c r="Q429" i="2"/>
  <c r="AA429" i="2" s="1"/>
  <c r="P429" i="2"/>
  <c r="Z429" i="2" s="1"/>
  <c r="O429" i="2"/>
  <c r="Y429" i="2" s="1"/>
  <c r="N429" i="2"/>
  <c r="X429" i="2" s="1"/>
  <c r="M429" i="2"/>
  <c r="L429" i="2"/>
  <c r="V429" i="2" s="1"/>
  <c r="AA428" i="2"/>
  <c r="Y428" i="2"/>
  <c r="X428" i="2"/>
  <c r="W428" i="2"/>
  <c r="V428" i="2"/>
  <c r="U428" i="2"/>
  <c r="AE428" i="2" s="1"/>
  <c r="T428" i="2"/>
  <c r="AD428" i="2" s="1"/>
  <c r="S428" i="2"/>
  <c r="AC428" i="2" s="1"/>
  <c r="R428" i="2"/>
  <c r="AB428" i="2" s="1"/>
  <c r="Q428" i="2"/>
  <c r="P428" i="2"/>
  <c r="Z428" i="2" s="1"/>
  <c r="O428" i="2"/>
  <c r="N428" i="2"/>
  <c r="M428" i="2"/>
  <c r="L428" i="2"/>
  <c r="AE427" i="2"/>
  <c r="AC427" i="2"/>
  <c r="AB427" i="2"/>
  <c r="AA427" i="2"/>
  <c r="Z427" i="2"/>
  <c r="Y427" i="2"/>
  <c r="X427" i="2"/>
  <c r="U427" i="2"/>
  <c r="T427" i="2"/>
  <c r="AD427" i="2" s="1"/>
  <c r="S427" i="2"/>
  <c r="R427" i="2"/>
  <c r="Q427" i="2"/>
  <c r="P427" i="2"/>
  <c r="O427" i="2"/>
  <c r="N427" i="2"/>
  <c r="M427" i="2"/>
  <c r="W427" i="2" s="1"/>
  <c r="L427" i="2"/>
  <c r="V427" i="2" s="1"/>
  <c r="AE426" i="2"/>
  <c r="AD426" i="2"/>
  <c r="AC426" i="2"/>
  <c r="AB426" i="2"/>
  <c r="U426" i="2"/>
  <c r="T426" i="2"/>
  <c r="S426" i="2"/>
  <c r="R426" i="2"/>
  <c r="Q426" i="2"/>
  <c r="AA426" i="2" s="1"/>
  <c r="P426" i="2"/>
  <c r="Z426" i="2" s="1"/>
  <c r="O426" i="2"/>
  <c r="Y426" i="2" s="1"/>
  <c r="N426" i="2"/>
  <c r="X426" i="2" s="1"/>
  <c r="M426" i="2"/>
  <c r="W426" i="2" s="1"/>
  <c r="L426" i="2"/>
  <c r="V426" i="2" s="1"/>
  <c r="W425" i="2"/>
  <c r="U425" i="2"/>
  <c r="AE425" i="2" s="1"/>
  <c r="T425" i="2"/>
  <c r="AD425" i="2" s="1"/>
  <c r="S425" i="2"/>
  <c r="AC425" i="2" s="1"/>
  <c r="R425" i="2"/>
  <c r="AB425" i="2" s="1"/>
  <c r="Q425" i="2"/>
  <c r="AA425" i="2" s="1"/>
  <c r="P425" i="2"/>
  <c r="Z425" i="2" s="1"/>
  <c r="O425" i="2"/>
  <c r="Y425" i="2" s="1"/>
  <c r="N425" i="2"/>
  <c r="X425" i="2" s="1"/>
  <c r="M425" i="2"/>
  <c r="L425" i="2"/>
  <c r="V425" i="2" s="1"/>
  <c r="AA424" i="2"/>
  <c r="Y424" i="2"/>
  <c r="X424" i="2"/>
  <c r="W424" i="2"/>
  <c r="V424" i="2"/>
  <c r="U424" i="2"/>
  <c r="AE424" i="2" s="1"/>
  <c r="T424" i="2"/>
  <c r="AD424" i="2" s="1"/>
  <c r="S424" i="2"/>
  <c r="AC424" i="2" s="1"/>
  <c r="R424" i="2"/>
  <c r="AB424" i="2" s="1"/>
  <c r="Q424" i="2"/>
  <c r="P424" i="2"/>
  <c r="Z424" i="2" s="1"/>
  <c r="O424" i="2"/>
  <c r="N424" i="2"/>
  <c r="M424" i="2"/>
  <c r="L424" i="2"/>
  <c r="AE423" i="2"/>
  <c r="AC423" i="2"/>
  <c r="AB423" i="2"/>
  <c r="AA423" i="2"/>
  <c r="Z423" i="2"/>
  <c r="Y423" i="2"/>
  <c r="X423" i="2"/>
  <c r="U423" i="2"/>
  <c r="T423" i="2"/>
  <c r="AD423" i="2" s="1"/>
  <c r="S423" i="2"/>
  <c r="R423" i="2"/>
  <c r="Q423" i="2"/>
  <c r="P423" i="2"/>
  <c r="O423" i="2"/>
  <c r="N423" i="2"/>
  <c r="M423" i="2"/>
  <c r="W423" i="2" s="1"/>
  <c r="L423" i="2"/>
  <c r="V423" i="2" s="1"/>
  <c r="AE422" i="2"/>
  <c r="AD422" i="2"/>
  <c r="AC422" i="2"/>
  <c r="AB422" i="2"/>
  <c r="U422" i="2"/>
  <c r="T422" i="2"/>
  <c r="S422" i="2"/>
  <c r="R422" i="2"/>
  <c r="Q422" i="2"/>
  <c r="AA422" i="2" s="1"/>
  <c r="P422" i="2"/>
  <c r="Z422" i="2" s="1"/>
  <c r="O422" i="2"/>
  <c r="Y422" i="2" s="1"/>
  <c r="N422" i="2"/>
  <c r="X422" i="2" s="1"/>
  <c r="M422" i="2"/>
  <c r="W422" i="2" s="1"/>
  <c r="L422" i="2"/>
  <c r="V422" i="2" s="1"/>
  <c r="W421" i="2"/>
  <c r="U421" i="2"/>
  <c r="AE421" i="2" s="1"/>
  <c r="T421" i="2"/>
  <c r="AD421" i="2" s="1"/>
  <c r="S421" i="2"/>
  <c r="AC421" i="2" s="1"/>
  <c r="R421" i="2"/>
  <c r="AB421" i="2" s="1"/>
  <c r="Q421" i="2"/>
  <c r="AA421" i="2" s="1"/>
  <c r="P421" i="2"/>
  <c r="Z421" i="2" s="1"/>
  <c r="O421" i="2"/>
  <c r="Y421" i="2" s="1"/>
  <c r="N421" i="2"/>
  <c r="X421" i="2" s="1"/>
  <c r="M421" i="2"/>
  <c r="L421" i="2"/>
  <c r="V421" i="2" s="1"/>
  <c r="AA420" i="2"/>
  <c r="Y420" i="2"/>
  <c r="X420" i="2"/>
  <c r="W420" i="2"/>
  <c r="V420" i="2"/>
  <c r="U420" i="2"/>
  <c r="AE420" i="2" s="1"/>
  <c r="T420" i="2"/>
  <c r="AD420" i="2" s="1"/>
  <c r="S420" i="2"/>
  <c r="AC420" i="2" s="1"/>
  <c r="R420" i="2"/>
  <c r="AB420" i="2" s="1"/>
  <c r="Q420" i="2"/>
  <c r="P420" i="2"/>
  <c r="Z420" i="2" s="1"/>
  <c r="O420" i="2"/>
  <c r="N420" i="2"/>
  <c r="M420" i="2"/>
  <c r="L420" i="2"/>
  <c r="AE419" i="2"/>
  <c r="AC419" i="2"/>
  <c r="AB419" i="2"/>
  <c r="AA419" i="2"/>
  <c r="Z419" i="2"/>
  <c r="Y419" i="2"/>
  <c r="X419" i="2"/>
  <c r="U419" i="2"/>
  <c r="T419" i="2"/>
  <c r="AD419" i="2" s="1"/>
  <c r="S419" i="2"/>
  <c r="R419" i="2"/>
  <c r="Q419" i="2"/>
  <c r="P419" i="2"/>
  <c r="O419" i="2"/>
  <c r="N419" i="2"/>
  <c r="M419" i="2"/>
  <c r="W419" i="2" s="1"/>
  <c r="L419" i="2"/>
  <c r="V419" i="2" s="1"/>
  <c r="AE418" i="2"/>
  <c r="AD418" i="2"/>
  <c r="AC418" i="2"/>
  <c r="AB418" i="2"/>
  <c r="U418" i="2"/>
  <c r="T418" i="2"/>
  <c r="S418" i="2"/>
  <c r="R418" i="2"/>
  <c r="Q418" i="2"/>
  <c r="AA418" i="2" s="1"/>
  <c r="P418" i="2"/>
  <c r="Z418" i="2" s="1"/>
  <c r="O418" i="2"/>
  <c r="Y418" i="2" s="1"/>
  <c r="N418" i="2"/>
  <c r="X418" i="2" s="1"/>
  <c r="M418" i="2"/>
  <c r="W418" i="2" s="1"/>
  <c r="L418" i="2"/>
  <c r="V418" i="2" s="1"/>
  <c r="W417" i="2"/>
  <c r="U417" i="2"/>
  <c r="AE417" i="2" s="1"/>
  <c r="T417" i="2"/>
  <c r="AD417" i="2" s="1"/>
  <c r="S417" i="2"/>
  <c r="AC417" i="2" s="1"/>
  <c r="R417" i="2"/>
  <c r="AB417" i="2" s="1"/>
  <c r="Q417" i="2"/>
  <c r="AA417" i="2" s="1"/>
  <c r="P417" i="2"/>
  <c r="Z417" i="2" s="1"/>
  <c r="O417" i="2"/>
  <c r="Y417" i="2" s="1"/>
  <c r="N417" i="2"/>
  <c r="X417" i="2" s="1"/>
  <c r="M417" i="2"/>
  <c r="L417" i="2"/>
  <c r="V417" i="2" s="1"/>
  <c r="AA416" i="2"/>
  <c r="Y416" i="2"/>
  <c r="X416" i="2"/>
  <c r="W416" i="2"/>
  <c r="V416" i="2"/>
  <c r="U416" i="2"/>
  <c r="AE416" i="2" s="1"/>
  <c r="T416" i="2"/>
  <c r="AD416" i="2" s="1"/>
  <c r="S416" i="2"/>
  <c r="AC416" i="2" s="1"/>
  <c r="R416" i="2"/>
  <c r="AB416" i="2" s="1"/>
  <c r="Q416" i="2"/>
  <c r="P416" i="2"/>
  <c r="Z416" i="2" s="1"/>
  <c r="O416" i="2"/>
  <c r="N416" i="2"/>
  <c r="M416" i="2"/>
  <c r="L416" i="2"/>
  <c r="AE415" i="2"/>
  <c r="AC415" i="2"/>
  <c r="AB415" i="2"/>
  <c r="AA415" i="2"/>
  <c r="Z415" i="2"/>
  <c r="Y415" i="2"/>
  <c r="X415" i="2"/>
  <c r="U415" i="2"/>
  <c r="T415" i="2"/>
  <c r="AD415" i="2" s="1"/>
  <c r="S415" i="2"/>
  <c r="R415" i="2"/>
  <c r="Q415" i="2"/>
  <c r="P415" i="2"/>
  <c r="O415" i="2"/>
  <c r="N415" i="2"/>
  <c r="M415" i="2"/>
  <c r="W415" i="2" s="1"/>
  <c r="L415" i="2"/>
  <c r="V415" i="2" s="1"/>
  <c r="AE414" i="2"/>
  <c r="AD414" i="2"/>
  <c r="AC414" i="2"/>
  <c r="AB414" i="2"/>
  <c r="U414" i="2"/>
  <c r="T414" i="2"/>
  <c r="S414" i="2"/>
  <c r="R414" i="2"/>
  <c r="Q414" i="2"/>
  <c r="AA414" i="2" s="1"/>
  <c r="P414" i="2"/>
  <c r="Z414" i="2" s="1"/>
  <c r="O414" i="2"/>
  <c r="Y414" i="2" s="1"/>
  <c r="N414" i="2"/>
  <c r="X414" i="2" s="1"/>
  <c r="M414" i="2"/>
  <c r="W414" i="2" s="1"/>
  <c r="L414" i="2"/>
  <c r="V414" i="2" s="1"/>
  <c r="W413" i="2"/>
  <c r="U413" i="2"/>
  <c r="AE413" i="2" s="1"/>
  <c r="T413" i="2"/>
  <c r="AD413" i="2" s="1"/>
  <c r="S413" i="2"/>
  <c r="AC413" i="2" s="1"/>
  <c r="R413" i="2"/>
  <c r="AB413" i="2" s="1"/>
  <c r="Q413" i="2"/>
  <c r="AA413" i="2" s="1"/>
  <c r="P413" i="2"/>
  <c r="Z413" i="2" s="1"/>
  <c r="O413" i="2"/>
  <c r="Y413" i="2" s="1"/>
  <c r="N413" i="2"/>
  <c r="X413" i="2" s="1"/>
  <c r="M413" i="2"/>
  <c r="L413" i="2"/>
  <c r="V413" i="2" s="1"/>
  <c r="AA412" i="2"/>
  <c r="Y412" i="2"/>
  <c r="X412" i="2"/>
  <c r="W412" i="2"/>
  <c r="V412" i="2"/>
  <c r="U412" i="2"/>
  <c r="AE412" i="2" s="1"/>
  <c r="T412" i="2"/>
  <c r="AD412" i="2" s="1"/>
  <c r="S412" i="2"/>
  <c r="AC412" i="2" s="1"/>
  <c r="R412" i="2"/>
  <c r="AB412" i="2" s="1"/>
  <c r="Q412" i="2"/>
  <c r="P412" i="2"/>
  <c r="Z412" i="2" s="1"/>
  <c r="O412" i="2"/>
  <c r="N412" i="2"/>
  <c r="M412" i="2"/>
  <c r="L412" i="2"/>
  <c r="AE411" i="2"/>
  <c r="AC411" i="2"/>
  <c r="AB411" i="2"/>
  <c r="AA411" i="2"/>
  <c r="Z411" i="2"/>
  <c r="Y411" i="2"/>
  <c r="X411" i="2"/>
  <c r="U411" i="2"/>
  <c r="T411" i="2"/>
  <c r="AD411" i="2" s="1"/>
  <c r="S411" i="2"/>
  <c r="R411" i="2"/>
  <c r="Q411" i="2"/>
  <c r="P411" i="2"/>
  <c r="O411" i="2"/>
  <c r="N411" i="2"/>
  <c r="M411" i="2"/>
  <c r="W411" i="2" s="1"/>
  <c r="L411" i="2"/>
  <c r="V411" i="2" s="1"/>
  <c r="AE410" i="2"/>
  <c r="AD410" i="2"/>
  <c r="AC410" i="2"/>
  <c r="AB410" i="2"/>
  <c r="U410" i="2"/>
  <c r="T410" i="2"/>
  <c r="S410" i="2"/>
  <c r="R410" i="2"/>
  <c r="Q410" i="2"/>
  <c r="AA410" i="2" s="1"/>
  <c r="P410" i="2"/>
  <c r="Z410" i="2" s="1"/>
  <c r="O410" i="2"/>
  <c r="Y410" i="2" s="1"/>
  <c r="N410" i="2"/>
  <c r="X410" i="2" s="1"/>
  <c r="M410" i="2"/>
  <c r="W410" i="2" s="1"/>
  <c r="L410" i="2"/>
  <c r="V410" i="2" s="1"/>
  <c r="W409" i="2"/>
  <c r="U409" i="2"/>
  <c r="AE409" i="2" s="1"/>
  <c r="T409" i="2"/>
  <c r="AD409" i="2" s="1"/>
  <c r="S409" i="2"/>
  <c r="AC409" i="2" s="1"/>
  <c r="R409" i="2"/>
  <c r="AB409" i="2" s="1"/>
  <c r="Q409" i="2"/>
  <c r="AA409" i="2" s="1"/>
  <c r="P409" i="2"/>
  <c r="Z409" i="2" s="1"/>
  <c r="O409" i="2"/>
  <c r="Y409" i="2" s="1"/>
  <c r="N409" i="2"/>
  <c r="X409" i="2" s="1"/>
  <c r="M409" i="2"/>
  <c r="L409" i="2"/>
  <c r="V409" i="2" s="1"/>
  <c r="AA408" i="2"/>
  <c r="Y408" i="2"/>
  <c r="X408" i="2"/>
  <c r="W408" i="2"/>
  <c r="V408" i="2"/>
  <c r="U408" i="2"/>
  <c r="AE408" i="2" s="1"/>
  <c r="T408" i="2"/>
  <c r="AD408" i="2" s="1"/>
  <c r="S408" i="2"/>
  <c r="AC408" i="2" s="1"/>
  <c r="R408" i="2"/>
  <c r="AB408" i="2" s="1"/>
  <c r="Q408" i="2"/>
  <c r="P408" i="2"/>
  <c r="Z408" i="2" s="1"/>
  <c r="O408" i="2"/>
  <c r="N408" i="2"/>
  <c r="M408" i="2"/>
  <c r="L408" i="2"/>
  <c r="AE407" i="2"/>
  <c r="AC407" i="2"/>
  <c r="AB407" i="2"/>
  <c r="AA407" i="2"/>
  <c r="Z407" i="2"/>
  <c r="Y407" i="2"/>
  <c r="X407" i="2"/>
  <c r="U407" i="2"/>
  <c r="T407" i="2"/>
  <c r="AD407" i="2" s="1"/>
  <c r="S407" i="2"/>
  <c r="R407" i="2"/>
  <c r="Q407" i="2"/>
  <c r="P407" i="2"/>
  <c r="O407" i="2"/>
  <c r="N407" i="2"/>
  <c r="M407" i="2"/>
  <c r="W407" i="2" s="1"/>
  <c r="L407" i="2"/>
  <c r="V407" i="2" s="1"/>
  <c r="AE406" i="2"/>
  <c r="AD406" i="2"/>
  <c r="AC406" i="2"/>
  <c r="AB406" i="2"/>
  <c r="U406" i="2"/>
  <c r="T406" i="2"/>
  <c r="S406" i="2"/>
  <c r="R406" i="2"/>
  <c r="Q406" i="2"/>
  <c r="AA406" i="2" s="1"/>
  <c r="P406" i="2"/>
  <c r="Z406" i="2" s="1"/>
  <c r="O406" i="2"/>
  <c r="Y406" i="2" s="1"/>
  <c r="N406" i="2"/>
  <c r="X406" i="2" s="1"/>
  <c r="M406" i="2"/>
  <c r="W406" i="2" s="1"/>
  <c r="L406" i="2"/>
  <c r="V406" i="2" s="1"/>
  <c r="W405" i="2"/>
  <c r="U405" i="2"/>
  <c r="AE405" i="2" s="1"/>
  <c r="T405" i="2"/>
  <c r="AD405" i="2" s="1"/>
  <c r="S405" i="2"/>
  <c r="AC405" i="2" s="1"/>
  <c r="R405" i="2"/>
  <c r="AB405" i="2" s="1"/>
  <c r="Q405" i="2"/>
  <c r="AA405" i="2" s="1"/>
  <c r="P405" i="2"/>
  <c r="Z405" i="2" s="1"/>
  <c r="O405" i="2"/>
  <c r="Y405" i="2" s="1"/>
  <c r="N405" i="2"/>
  <c r="X405" i="2" s="1"/>
  <c r="M405" i="2"/>
  <c r="L405" i="2"/>
  <c r="V405" i="2" s="1"/>
  <c r="AA404" i="2"/>
  <c r="Y404" i="2"/>
  <c r="X404" i="2"/>
  <c r="W404" i="2"/>
  <c r="V404" i="2"/>
  <c r="U404" i="2"/>
  <c r="AE404" i="2" s="1"/>
  <c r="T404" i="2"/>
  <c r="AD404" i="2" s="1"/>
  <c r="S404" i="2"/>
  <c r="AC404" i="2" s="1"/>
  <c r="R404" i="2"/>
  <c r="AB404" i="2" s="1"/>
  <c r="Q404" i="2"/>
  <c r="P404" i="2"/>
  <c r="Z404" i="2" s="1"/>
  <c r="O404" i="2"/>
  <c r="N404" i="2"/>
  <c r="M404" i="2"/>
  <c r="L404" i="2"/>
  <c r="AE403" i="2"/>
  <c r="AC403" i="2"/>
  <c r="AB403" i="2"/>
  <c r="AA403" i="2"/>
  <c r="Z403" i="2"/>
  <c r="Y403" i="2"/>
  <c r="X403" i="2"/>
  <c r="U403" i="2"/>
  <c r="T403" i="2"/>
  <c r="AD403" i="2" s="1"/>
  <c r="S403" i="2"/>
  <c r="R403" i="2"/>
  <c r="Q403" i="2"/>
  <c r="P403" i="2"/>
  <c r="O403" i="2"/>
  <c r="N403" i="2"/>
  <c r="M403" i="2"/>
  <c r="W403" i="2" s="1"/>
  <c r="L403" i="2"/>
  <c r="V403" i="2" s="1"/>
  <c r="AE402" i="2"/>
  <c r="AD402" i="2"/>
  <c r="AC402" i="2"/>
  <c r="AB402" i="2"/>
  <c r="U402" i="2"/>
  <c r="T402" i="2"/>
  <c r="S402" i="2"/>
  <c r="R402" i="2"/>
  <c r="Q402" i="2"/>
  <c r="AA402" i="2" s="1"/>
  <c r="P402" i="2"/>
  <c r="Z402" i="2" s="1"/>
  <c r="O402" i="2"/>
  <c r="Y402" i="2" s="1"/>
  <c r="N402" i="2"/>
  <c r="X402" i="2" s="1"/>
  <c r="M402" i="2"/>
  <c r="W402" i="2" s="1"/>
  <c r="L402" i="2"/>
  <c r="V402" i="2" s="1"/>
  <c r="W401" i="2"/>
  <c r="U401" i="2"/>
  <c r="AE401" i="2" s="1"/>
  <c r="T401" i="2"/>
  <c r="AD401" i="2" s="1"/>
  <c r="S401" i="2"/>
  <c r="AC401" i="2" s="1"/>
  <c r="R401" i="2"/>
  <c r="AB401" i="2" s="1"/>
  <c r="Q401" i="2"/>
  <c r="AA401" i="2" s="1"/>
  <c r="P401" i="2"/>
  <c r="Z401" i="2" s="1"/>
  <c r="O401" i="2"/>
  <c r="Y401" i="2" s="1"/>
  <c r="N401" i="2"/>
  <c r="X401" i="2" s="1"/>
  <c r="M401" i="2"/>
  <c r="L401" i="2"/>
  <c r="V401" i="2" s="1"/>
  <c r="AA400" i="2"/>
  <c r="Y400" i="2"/>
  <c r="X400" i="2"/>
  <c r="W400" i="2"/>
  <c r="V400" i="2"/>
  <c r="U400" i="2"/>
  <c r="AE400" i="2" s="1"/>
  <c r="T400" i="2"/>
  <c r="AD400" i="2" s="1"/>
  <c r="S400" i="2"/>
  <c r="AC400" i="2" s="1"/>
  <c r="R400" i="2"/>
  <c r="AB400" i="2" s="1"/>
  <c r="Q400" i="2"/>
  <c r="P400" i="2"/>
  <c r="Z400" i="2" s="1"/>
  <c r="O400" i="2"/>
  <c r="N400" i="2"/>
  <c r="M400" i="2"/>
  <c r="L400" i="2"/>
  <c r="AE399" i="2"/>
  <c r="AC399" i="2"/>
  <c r="AB399" i="2"/>
  <c r="AA399" i="2"/>
  <c r="Z399" i="2"/>
  <c r="X399" i="2"/>
  <c r="U399" i="2"/>
  <c r="T399" i="2"/>
  <c r="AD399" i="2" s="1"/>
  <c r="S399" i="2"/>
  <c r="R399" i="2"/>
  <c r="Q399" i="2"/>
  <c r="P399" i="2"/>
  <c r="O399" i="2"/>
  <c r="Y399" i="2" s="1"/>
  <c r="N399" i="2"/>
  <c r="M399" i="2"/>
  <c r="W399" i="2" s="1"/>
  <c r="L399" i="2"/>
  <c r="V399" i="2" s="1"/>
  <c r="AE398" i="2"/>
  <c r="AD398" i="2"/>
  <c r="AC398" i="2"/>
  <c r="AB398" i="2"/>
  <c r="U398" i="2"/>
  <c r="T398" i="2"/>
  <c r="S398" i="2"/>
  <c r="R398" i="2"/>
  <c r="Q398" i="2"/>
  <c r="AA398" i="2" s="1"/>
  <c r="P398" i="2"/>
  <c r="Z398" i="2" s="1"/>
  <c r="O398" i="2"/>
  <c r="Y398" i="2" s="1"/>
  <c r="N398" i="2"/>
  <c r="X398" i="2" s="1"/>
  <c r="M398" i="2"/>
  <c r="W398" i="2" s="1"/>
  <c r="L398" i="2"/>
  <c r="V398" i="2" s="1"/>
  <c r="W397" i="2"/>
  <c r="U397" i="2"/>
  <c r="AE397" i="2" s="1"/>
  <c r="T397" i="2"/>
  <c r="AD397" i="2" s="1"/>
  <c r="S397" i="2"/>
  <c r="AC397" i="2" s="1"/>
  <c r="R397" i="2"/>
  <c r="AB397" i="2" s="1"/>
  <c r="Q397" i="2"/>
  <c r="AA397" i="2" s="1"/>
  <c r="P397" i="2"/>
  <c r="Z397" i="2" s="1"/>
  <c r="O397" i="2"/>
  <c r="Y397" i="2" s="1"/>
  <c r="N397" i="2"/>
  <c r="X397" i="2" s="1"/>
  <c r="M397" i="2"/>
  <c r="L397" i="2"/>
  <c r="V397" i="2" s="1"/>
  <c r="AA396" i="2"/>
  <c r="Y396" i="2"/>
  <c r="W396" i="2"/>
  <c r="V396" i="2"/>
  <c r="U396" i="2"/>
  <c r="AE396" i="2" s="1"/>
  <c r="T396" i="2"/>
  <c r="AD396" i="2" s="1"/>
  <c r="S396" i="2"/>
  <c r="AC396" i="2" s="1"/>
  <c r="R396" i="2"/>
  <c r="AB396" i="2" s="1"/>
  <c r="Q396" i="2"/>
  <c r="P396" i="2"/>
  <c r="Z396" i="2" s="1"/>
  <c r="O396" i="2"/>
  <c r="N396" i="2"/>
  <c r="X396" i="2" s="1"/>
  <c r="M396" i="2"/>
  <c r="L396" i="2"/>
  <c r="AE395" i="2"/>
  <c r="AC395" i="2"/>
  <c r="AA395" i="2"/>
  <c r="Z395" i="2"/>
  <c r="X395" i="2"/>
  <c r="U395" i="2"/>
  <c r="T395" i="2"/>
  <c r="AD395" i="2" s="1"/>
  <c r="S395" i="2"/>
  <c r="R395" i="2"/>
  <c r="AB395" i="2" s="1"/>
  <c r="Q395" i="2"/>
  <c r="P395" i="2"/>
  <c r="O395" i="2"/>
  <c r="Y395" i="2" s="1"/>
  <c r="N395" i="2"/>
  <c r="M395" i="2"/>
  <c r="W395" i="2" s="1"/>
  <c r="L395" i="2"/>
  <c r="V395" i="2" s="1"/>
  <c r="AE394" i="2"/>
  <c r="AD394" i="2"/>
  <c r="AB394" i="2"/>
  <c r="V394" i="2"/>
  <c r="U394" i="2"/>
  <c r="T394" i="2"/>
  <c r="S394" i="2"/>
  <c r="AC394" i="2" s="1"/>
  <c r="R394" i="2"/>
  <c r="Q394" i="2"/>
  <c r="AA394" i="2" s="1"/>
  <c r="P394" i="2"/>
  <c r="Z394" i="2" s="1"/>
  <c r="O394" i="2"/>
  <c r="Y394" i="2" s="1"/>
  <c r="N394" i="2"/>
  <c r="X394" i="2" s="1"/>
  <c r="M394" i="2"/>
  <c r="W394" i="2" s="1"/>
  <c r="L394" i="2"/>
  <c r="W393" i="2"/>
  <c r="U393" i="2"/>
  <c r="AE393" i="2" s="1"/>
  <c r="T393" i="2"/>
  <c r="AD393" i="2" s="1"/>
  <c r="S393" i="2"/>
  <c r="AC393" i="2" s="1"/>
  <c r="R393" i="2"/>
  <c r="AB393" i="2" s="1"/>
  <c r="Q393" i="2"/>
  <c r="AA393" i="2" s="1"/>
  <c r="P393" i="2"/>
  <c r="Z393" i="2" s="1"/>
  <c r="O393" i="2"/>
  <c r="Y393" i="2" s="1"/>
  <c r="N393" i="2"/>
  <c r="X393" i="2" s="1"/>
  <c r="M393" i="2"/>
  <c r="L393" i="2"/>
  <c r="V393" i="2" s="1"/>
  <c r="AD392" i="2"/>
  <c r="AA392" i="2"/>
  <c r="Y392" i="2"/>
  <c r="W392" i="2"/>
  <c r="V392" i="2"/>
  <c r="U392" i="2"/>
  <c r="AE392" i="2" s="1"/>
  <c r="T392" i="2"/>
  <c r="S392" i="2"/>
  <c r="AC392" i="2" s="1"/>
  <c r="R392" i="2"/>
  <c r="AB392" i="2" s="1"/>
  <c r="Q392" i="2"/>
  <c r="P392" i="2"/>
  <c r="Z392" i="2" s="1"/>
  <c r="O392" i="2"/>
  <c r="N392" i="2"/>
  <c r="X392" i="2" s="1"/>
  <c r="M392" i="2"/>
  <c r="L392" i="2"/>
  <c r="AE391" i="2"/>
  <c r="AC391" i="2"/>
  <c r="AA391" i="2"/>
  <c r="Z391" i="2"/>
  <c r="X391" i="2"/>
  <c r="U391" i="2"/>
  <c r="T391" i="2"/>
  <c r="AD391" i="2" s="1"/>
  <c r="S391" i="2"/>
  <c r="R391" i="2"/>
  <c r="AB391" i="2" s="1"/>
  <c r="Q391" i="2"/>
  <c r="P391" i="2"/>
  <c r="O391" i="2"/>
  <c r="Y391" i="2" s="1"/>
  <c r="N391" i="2"/>
  <c r="M391" i="2"/>
  <c r="W391" i="2" s="1"/>
  <c r="L391" i="2"/>
  <c r="V391" i="2" s="1"/>
  <c r="AE390" i="2"/>
  <c r="AD390" i="2"/>
  <c r="AB390" i="2"/>
  <c r="V390" i="2"/>
  <c r="U390" i="2"/>
  <c r="T390" i="2"/>
  <c r="S390" i="2"/>
  <c r="AC390" i="2" s="1"/>
  <c r="R390" i="2"/>
  <c r="Q390" i="2"/>
  <c r="AA390" i="2" s="1"/>
  <c r="P390" i="2"/>
  <c r="Z390" i="2" s="1"/>
  <c r="O390" i="2"/>
  <c r="Y390" i="2" s="1"/>
  <c r="N390" i="2"/>
  <c r="X390" i="2" s="1"/>
  <c r="M390" i="2"/>
  <c r="W390" i="2" s="1"/>
  <c r="L390" i="2"/>
  <c r="Z389" i="2"/>
  <c r="W389" i="2"/>
  <c r="U389" i="2"/>
  <c r="AE389" i="2" s="1"/>
  <c r="T389" i="2"/>
  <c r="AD389" i="2" s="1"/>
  <c r="S389" i="2"/>
  <c r="AC389" i="2" s="1"/>
  <c r="R389" i="2"/>
  <c r="AB389" i="2" s="1"/>
  <c r="Q389" i="2"/>
  <c r="AA389" i="2" s="1"/>
  <c r="P389" i="2"/>
  <c r="O389" i="2"/>
  <c r="Y389" i="2" s="1"/>
  <c r="N389" i="2"/>
  <c r="X389" i="2" s="1"/>
  <c r="M389" i="2"/>
  <c r="L389" i="2"/>
  <c r="V389" i="2" s="1"/>
  <c r="AD388" i="2"/>
  <c r="AA388" i="2"/>
  <c r="Y388" i="2"/>
  <c r="W388" i="2"/>
  <c r="V388" i="2"/>
  <c r="U388" i="2"/>
  <c r="AE388" i="2" s="1"/>
  <c r="T388" i="2"/>
  <c r="S388" i="2"/>
  <c r="AC388" i="2" s="1"/>
  <c r="R388" i="2"/>
  <c r="AB388" i="2" s="1"/>
  <c r="Q388" i="2"/>
  <c r="P388" i="2"/>
  <c r="Z388" i="2" s="1"/>
  <c r="O388" i="2"/>
  <c r="N388" i="2"/>
  <c r="X388" i="2" s="1"/>
  <c r="M388" i="2"/>
  <c r="L388" i="2"/>
  <c r="AE387" i="2"/>
  <c r="AC387" i="2"/>
  <c r="AB387" i="2"/>
  <c r="AA387" i="2"/>
  <c r="Z387" i="2"/>
  <c r="Y387" i="2"/>
  <c r="X387" i="2"/>
  <c r="U387" i="2"/>
  <c r="T387" i="2"/>
  <c r="AD387" i="2" s="1"/>
  <c r="S387" i="2"/>
  <c r="R387" i="2"/>
  <c r="Q387" i="2"/>
  <c r="P387" i="2"/>
  <c r="O387" i="2"/>
  <c r="N387" i="2"/>
  <c r="M387" i="2"/>
  <c r="W387" i="2" s="1"/>
  <c r="L387" i="2"/>
  <c r="V387" i="2" s="1"/>
  <c r="AE386" i="2"/>
  <c r="AD386" i="2"/>
  <c r="AB386" i="2"/>
  <c r="V386" i="2"/>
  <c r="U386" i="2"/>
  <c r="T386" i="2"/>
  <c r="S386" i="2"/>
  <c r="AC386" i="2" s="1"/>
  <c r="R386" i="2"/>
  <c r="Q386" i="2"/>
  <c r="AA386" i="2" s="1"/>
  <c r="P386" i="2"/>
  <c r="Z386" i="2" s="1"/>
  <c r="O386" i="2"/>
  <c r="Y386" i="2" s="1"/>
  <c r="N386" i="2"/>
  <c r="X386" i="2" s="1"/>
  <c r="M386" i="2"/>
  <c r="W386" i="2" s="1"/>
  <c r="L386" i="2"/>
  <c r="Z385" i="2"/>
  <c r="W385" i="2"/>
  <c r="U385" i="2"/>
  <c r="AE385" i="2" s="1"/>
  <c r="T385" i="2"/>
  <c r="AD385" i="2" s="1"/>
  <c r="S385" i="2"/>
  <c r="AC385" i="2" s="1"/>
  <c r="R385" i="2"/>
  <c r="AB385" i="2" s="1"/>
  <c r="Q385" i="2"/>
  <c r="AA385" i="2" s="1"/>
  <c r="P385" i="2"/>
  <c r="O385" i="2"/>
  <c r="Y385" i="2" s="1"/>
  <c r="N385" i="2"/>
  <c r="X385" i="2" s="1"/>
  <c r="M385" i="2"/>
  <c r="L385" i="2"/>
  <c r="V385" i="2" s="1"/>
  <c r="AD384" i="2"/>
  <c r="AA384" i="2"/>
  <c r="Y384" i="2"/>
  <c r="X384" i="2"/>
  <c r="W384" i="2"/>
  <c r="V384" i="2"/>
  <c r="U384" i="2"/>
  <c r="AE384" i="2" s="1"/>
  <c r="T384" i="2"/>
  <c r="S384" i="2"/>
  <c r="AC384" i="2" s="1"/>
  <c r="R384" i="2"/>
  <c r="AB384" i="2" s="1"/>
  <c r="Q384" i="2"/>
  <c r="P384" i="2"/>
  <c r="Z384" i="2" s="1"/>
  <c r="O384" i="2"/>
  <c r="N384" i="2"/>
  <c r="M384" i="2"/>
  <c r="L384" i="2"/>
  <c r="AE383" i="2"/>
  <c r="AC383" i="2"/>
  <c r="AB383" i="2"/>
  <c r="AA383" i="2"/>
  <c r="Z383" i="2"/>
  <c r="Y383" i="2"/>
  <c r="X383" i="2"/>
  <c r="U383" i="2"/>
  <c r="T383" i="2"/>
  <c r="AD383" i="2" s="1"/>
  <c r="S383" i="2"/>
  <c r="R383" i="2"/>
  <c r="Q383" i="2"/>
  <c r="P383" i="2"/>
  <c r="O383" i="2"/>
  <c r="N383" i="2"/>
  <c r="M383" i="2"/>
  <c r="W383" i="2" s="1"/>
  <c r="L383" i="2"/>
  <c r="V383" i="2" s="1"/>
  <c r="AE382" i="2"/>
  <c r="AD382" i="2"/>
  <c r="AC382" i="2"/>
  <c r="AB382" i="2"/>
  <c r="V382" i="2"/>
  <c r="U382" i="2"/>
  <c r="T382" i="2"/>
  <c r="S382" i="2"/>
  <c r="R382" i="2"/>
  <c r="Q382" i="2"/>
  <c r="AA382" i="2" s="1"/>
  <c r="P382" i="2"/>
  <c r="Z382" i="2" s="1"/>
  <c r="O382" i="2"/>
  <c r="Y382" i="2" s="1"/>
  <c r="N382" i="2"/>
  <c r="X382" i="2" s="1"/>
  <c r="M382" i="2"/>
  <c r="W382" i="2" s="1"/>
  <c r="L382" i="2"/>
  <c r="Z381" i="2"/>
  <c r="W381" i="2"/>
  <c r="U381" i="2"/>
  <c r="AE381" i="2" s="1"/>
  <c r="T381" i="2"/>
  <c r="AD381" i="2" s="1"/>
  <c r="S381" i="2"/>
  <c r="AC381" i="2" s="1"/>
  <c r="R381" i="2"/>
  <c r="AB381" i="2" s="1"/>
  <c r="Q381" i="2"/>
  <c r="AA381" i="2" s="1"/>
  <c r="P381" i="2"/>
  <c r="O381" i="2"/>
  <c r="Y381" i="2" s="1"/>
  <c r="N381" i="2"/>
  <c r="X381" i="2" s="1"/>
  <c r="M381" i="2"/>
  <c r="L381" i="2"/>
  <c r="V381" i="2" s="1"/>
  <c r="AA380" i="2"/>
  <c r="Y380" i="2"/>
  <c r="W380" i="2"/>
  <c r="V380" i="2"/>
  <c r="U380" i="2"/>
  <c r="AE380" i="2" s="1"/>
  <c r="T380" i="2"/>
  <c r="AD380" i="2" s="1"/>
  <c r="S380" i="2"/>
  <c r="AC380" i="2" s="1"/>
  <c r="R380" i="2"/>
  <c r="AB380" i="2" s="1"/>
  <c r="Q380" i="2"/>
  <c r="P380" i="2"/>
  <c r="Z380" i="2" s="1"/>
  <c r="O380" i="2"/>
  <c r="N380" i="2"/>
  <c r="X380" i="2" s="1"/>
  <c r="M380" i="2"/>
  <c r="L380" i="2"/>
  <c r="AE379" i="2"/>
  <c r="AC379" i="2"/>
  <c r="AA379" i="2"/>
  <c r="Z379" i="2"/>
  <c r="X379" i="2"/>
  <c r="U379" i="2"/>
  <c r="T379" i="2"/>
  <c r="AD379" i="2" s="1"/>
  <c r="S379" i="2"/>
  <c r="R379" i="2"/>
  <c r="AB379" i="2" s="1"/>
  <c r="Q379" i="2"/>
  <c r="P379" i="2"/>
  <c r="O379" i="2"/>
  <c r="Y379" i="2" s="1"/>
  <c r="N379" i="2"/>
  <c r="M379" i="2"/>
  <c r="W379" i="2" s="1"/>
  <c r="L379" i="2"/>
  <c r="V379" i="2" s="1"/>
  <c r="AE378" i="2"/>
  <c r="AD378" i="2"/>
  <c r="AB378" i="2"/>
  <c r="V378" i="2"/>
  <c r="U378" i="2"/>
  <c r="T378" i="2"/>
  <c r="S378" i="2"/>
  <c r="AC378" i="2" s="1"/>
  <c r="R378" i="2"/>
  <c r="Q378" i="2"/>
  <c r="AA378" i="2" s="1"/>
  <c r="P378" i="2"/>
  <c r="Z378" i="2" s="1"/>
  <c r="O378" i="2"/>
  <c r="Y378" i="2" s="1"/>
  <c r="N378" i="2"/>
  <c r="X378" i="2" s="1"/>
  <c r="M378" i="2"/>
  <c r="W378" i="2" s="1"/>
  <c r="L378" i="2"/>
  <c r="W377" i="2"/>
  <c r="U377" i="2"/>
  <c r="AE377" i="2" s="1"/>
  <c r="T377" i="2"/>
  <c r="AD377" i="2" s="1"/>
  <c r="S377" i="2"/>
  <c r="AC377" i="2" s="1"/>
  <c r="R377" i="2"/>
  <c r="AB377" i="2" s="1"/>
  <c r="Q377" i="2"/>
  <c r="AA377" i="2" s="1"/>
  <c r="P377" i="2"/>
  <c r="Z377" i="2" s="1"/>
  <c r="O377" i="2"/>
  <c r="Y377" i="2" s="1"/>
  <c r="N377" i="2"/>
  <c r="X377" i="2" s="1"/>
  <c r="M377" i="2"/>
  <c r="L377" i="2"/>
  <c r="V377" i="2" s="1"/>
  <c r="AD376" i="2"/>
  <c r="AA376" i="2"/>
  <c r="Y376" i="2"/>
  <c r="W376" i="2"/>
  <c r="V376" i="2"/>
  <c r="U376" i="2"/>
  <c r="AE376" i="2" s="1"/>
  <c r="T376" i="2"/>
  <c r="S376" i="2"/>
  <c r="AC376" i="2" s="1"/>
  <c r="R376" i="2"/>
  <c r="AB376" i="2" s="1"/>
  <c r="Q376" i="2"/>
  <c r="P376" i="2"/>
  <c r="Z376" i="2" s="1"/>
  <c r="O376" i="2"/>
  <c r="N376" i="2"/>
  <c r="X376" i="2" s="1"/>
  <c r="M376" i="2"/>
  <c r="L376" i="2"/>
  <c r="AE375" i="2"/>
  <c r="AC375" i="2"/>
  <c r="AA375" i="2"/>
  <c r="Z375" i="2"/>
  <c r="X375" i="2"/>
  <c r="U375" i="2"/>
  <c r="T375" i="2"/>
  <c r="AD375" i="2" s="1"/>
  <c r="S375" i="2"/>
  <c r="R375" i="2"/>
  <c r="AB375" i="2" s="1"/>
  <c r="Q375" i="2"/>
  <c r="P375" i="2"/>
  <c r="O375" i="2"/>
  <c r="Y375" i="2" s="1"/>
  <c r="N375" i="2"/>
  <c r="M375" i="2"/>
  <c r="W375" i="2" s="1"/>
  <c r="L375" i="2"/>
  <c r="V375" i="2" s="1"/>
  <c r="AE374" i="2"/>
  <c r="AD374" i="2"/>
  <c r="AB374" i="2"/>
  <c r="V374" i="2"/>
  <c r="U374" i="2"/>
  <c r="T374" i="2"/>
  <c r="S374" i="2"/>
  <c r="AC374" i="2" s="1"/>
  <c r="R374" i="2"/>
  <c r="Q374" i="2"/>
  <c r="AA374" i="2" s="1"/>
  <c r="P374" i="2"/>
  <c r="Z374" i="2" s="1"/>
  <c r="O374" i="2"/>
  <c r="Y374" i="2" s="1"/>
  <c r="N374" i="2"/>
  <c r="X374" i="2" s="1"/>
  <c r="M374" i="2"/>
  <c r="W374" i="2" s="1"/>
  <c r="L374" i="2"/>
  <c r="Z373" i="2"/>
  <c r="W373" i="2"/>
  <c r="U373" i="2"/>
  <c r="AE373" i="2" s="1"/>
  <c r="T373" i="2"/>
  <c r="AD373" i="2" s="1"/>
  <c r="S373" i="2"/>
  <c r="AC373" i="2" s="1"/>
  <c r="R373" i="2"/>
  <c r="AB373" i="2" s="1"/>
  <c r="Q373" i="2"/>
  <c r="AA373" i="2" s="1"/>
  <c r="P373" i="2"/>
  <c r="O373" i="2"/>
  <c r="Y373" i="2" s="1"/>
  <c r="N373" i="2"/>
  <c r="X373" i="2" s="1"/>
  <c r="M373" i="2"/>
  <c r="L373" i="2"/>
  <c r="V373" i="2" s="1"/>
  <c r="AD372" i="2"/>
  <c r="AA372" i="2"/>
  <c r="Y372" i="2"/>
  <c r="W372" i="2"/>
  <c r="V372" i="2"/>
  <c r="U372" i="2"/>
  <c r="AE372" i="2" s="1"/>
  <c r="T372" i="2"/>
  <c r="S372" i="2"/>
  <c r="AC372" i="2" s="1"/>
  <c r="R372" i="2"/>
  <c r="AB372" i="2" s="1"/>
  <c r="Q372" i="2"/>
  <c r="P372" i="2"/>
  <c r="Z372" i="2" s="1"/>
  <c r="O372" i="2"/>
  <c r="N372" i="2"/>
  <c r="X372" i="2" s="1"/>
  <c r="M372" i="2"/>
  <c r="L372" i="2"/>
  <c r="AE371" i="2"/>
  <c r="AC371" i="2"/>
  <c r="AB371" i="2"/>
  <c r="AA371" i="2"/>
  <c r="Z371" i="2"/>
  <c r="Y371" i="2"/>
  <c r="X371" i="2"/>
  <c r="U371" i="2"/>
  <c r="T371" i="2"/>
  <c r="AD371" i="2" s="1"/>
  <c r="S371" i="2"/>
  <c r="R371" i="2"/>
  <c r="Q371" i="2"/>
  <c r="P371" i="2"/>
  <c r="O371" i="2"/>
  <c r="N371" i="2"/>
  <c r="M371" i="2"/>
  <c r="W371" i="2" s="1"/>
  <c r="L371" i="2"/>
  <c r="V371" i="2" s="1"/>
  <c r="AE370" i="2"/>
  <c r="AD370" i="2"/>
  <c r="AB370" i="2"/>
  <c r="AA370" i="2"/>
  <c r="U370" i="2"/>
  <c r="T370" i="2"/>
  <c r="S370" i="2"/>
  <c r="AC370" i="2" s="1"/>
  <c r="R370" i="2"/>
  <c r="Q370" i="2"/>
  <c r="P370" i="2"/>
  <c r="Z370" i="2" s="1"/>
  <c r="O370" i="2"/>
  <c r="Y370" i="2" s="1"/>
  <c r="N370" i="2"/>
  <c r="X370" i="2" s="1"/>
  <c r="M370" i="2"/>
  <c r="W370" i="2" s="1"/>
  <c r="L370" i="2"/>
  <c r="V370" i="2" s="1"/>
  <c r="AC369" i="2"/>
  <c r="AB369" i="2"/>
  <c r="U369" i="2"/>
  <c r="AE369" i="2" s="1"/>
  <c r="T369" i="2"/>
  <c r="AD369" i="2" s="1"/>
  <c r="S369" i="2"/>
  <c r="R369" i="2"/>
  <c r="Q369" i="2"/>
  <c r="AA369" i="2" s="1"/>
  <c r="P369" i="2"/>
  <c r="Z369" i="2" s="1"/>
  <c r="O369" i="2"/>
  <c r="Y369" i="2" s="1"/>
  <c r="N369" i="2"/>
  <c r="X369" i="2" s="1"/>
  <c r="M369" i="2"/>
  <c r="W369" i="2" s="1"/>
  <c r="L369" i="2"/>
  <c r="V369" i="2" s="1"/>
  <c r="AA368" i="2"/>
  <c r="V368" i="2"/>
  <c r="U368" i="2"/>
  <c r="AE368" i="2" s="1"/>
  <c r="T368" i="2"/>
  <c r="AD368" i="2" s="1"/>
  <c r="S368" i="2"/>
  <c r="AC368" i="2" s="1"/>
  <c r="R368" i="2"/>
  <c r="AB368" i="2" s="1"/>
  <c r="Q368" i="2"/>
  <c r="P368" i="2"/>
  <c r="Z368" i="2" s="1"/>
  <c r="O368" i="2"/>
  <c r="Y368" i="2" s="1"/>
  <c r="N368" i="2"/>
  <c r="X368" i="2" s="1"/>
  <c r="M368" i="2"/>
  <c r="W368" i="2" s="1"/>
  <c r="L368" i="2"/>
  <c r="AE367" i="2"/>
  <c r="AD367" i="2"/>
  <c r="Z367" i="2"/>
  <c r="W367" i="2"/>
  <c r="V367" i="2"/>
  <c r="U367" i="2"/>
  <c r="T367" i="2"/>
  <c r="S367" i="2"/>
  <c r="AC367" i="2" s="1"/>
  <c r="R367" i="2"/>
  <c r="AB367" i="2" s="1"/>
  <c r="Q367" i="2"/>
  <c r="AA367" i="2" s="1"/>
  <c r="P367" i="2"/>
  <c r="O367" i="2"/>
  <c r="Y367" i="2" s="1"/>
  <c r="N367" i="2"/>
  <c r="X367" i="2" s="1"/>
  <c r="M367" i="2"/>
  <c r="L367" i="2"/>
  <c r="AD366" i="2"/>
  <c r="AA366" i="2"/>
  <c r="Z366" i="2"/>
  <c r="X366" i="2"/>
  <c r="W366" i="2"/>
  <c r="V366" i="2"/>
  <c r="U366" i="2"/>
  <c r="AE366" i="2" s="1"/>
  <c r="T366" i="2"/>
  <c r="S366" i="2"/>
  <c r="AC366" i="2" s="1"/>
  <c r="R366" i="2"/>
  <c r="AB366" i="2" s="1"/>
  <c r="Q366" i="2"/>
  <c r="P366" i="2"/>
  <c r="O366" i="2"/>
  <c r="Y366" i="2" s="1"/>
  <c r="N366" i="2"/>
  <c r="M366" i="2"/>
  <c r="L366" i="2"/>
  <c r="AE365" i="2"/>
  <c r="AD365" i="2"/>
  <c r="AB365" i="2"/>
  <c r="AA365" i="2"/>
  <c r="Z365" i="2"/>
  <c r="Y365" i="2"/>
  <c r="W365" i="2"/>
  <c r="V365" i="2"/>
  <c r="U365" i="2"/>
  <c r="T365" i="2"/>
  <c r="S365" i="2"/>
  <c r="AC365" i="2" s="1"/>
  <c r="R365" i="2"/>
  <c r="Q365" i="2"/>
  <c r="P365" i="2"/>
  <c r="O365" i="2"/>
  <c r="N365" i="2"/>
  <c r="X365" i="2" s="1"/>
  <c r="M365" i="2"/>
  <c r="L365" i="2"/>
  <c r="AE364" i="2"/>
  <c r="AD364" i="2"/>
  <c r="AC364" i="2"/>
  <c r="AA364" i="2"/>
  <c r="Z364" i="2"/>
  <c r="V364" i="2"/>
  <c r="U364" i="2"/>
  <c r="T364" i="2"/>
  <c r="S364" i="2"/>
  <c r="R364" i="2"/>
  <c r="AB364" i="2" s="1"/>
  <c r="Q364" i="2"/>
  <c r="P364" i="2"/>
  <c r="O364" i="2"/>
  <c r="Y364" i="2" s="1"/>
  <c r="N364" i="2"/>
  <c r="X364" i="2" s="1"/>
  <c r="M364" i="2"/>
  <c r="W364" i="2" s="1"/>
  <c r="L364" i="2"/>
  <c r="AE363" i="2"/>
  <c r="AD363" i="2"/>
  <c r="Z363" i="2"/>
  <c r="W363" i="2"/>
  <c r="V363" i="2"/>
  <c r="U363" i="2"/>
  <c r="T363" i="2"/>
  <c r="S363" i="2"/>
  <c r="AC363" i="2" s="1"/>
  <c r="R363" i="2"/>
  <c r="AB363" i="2" s="1"/>
  <c r="Q363" i="2"/>
  <c r="AA363" i="2" s="1"/>
  <c r="P363" i="2"/>
  <c r="O363" i="2"/>
  <c r="Y363" i="2" s="1"/>
  <c r="N363" i="2"/>
  <c r="X363" i="2" s="1"/>
  <c r="M363" i="2"/>
  <c r="L363" i="2"/>
  <c r="AD362" i="2"/>
  <c r="AA362" i="2"/>
  <c r="Z362" i="2"/>
  <c r="X362" i="2"/>
  <c r="W362" i="2"/>
  <c r="V362" i="2"/>
  <c r="U362" i="2"/>
  <c r="AE362" i="2" s="1"/>
  <c r="T362" i="2"/>
  <c r="S362" i="2"/>
  <c r="AC362" i="2" s="1"/>
  <c r="R362" i="2"/>
  <c r="AB362" i="2" s="1"/>
  <c r="Q362" i="2"/>
  <c r="P362" i="2"/>
  <c r="O362" i="2"/>
  <c r="Y362" i="2" s="1"/>
  <c r="N362" i="2"/>
  <c r="M362" i="2"/>
  <c r="L362" i="2"/>
  <c r="AE361" i="2"/>
  <c r="AD361" i="2"/>
  <c r="AB361" i="2"/>
  <c r="AA361" i="2"/>
  <c r="Z361" i="2"/>
  <c r="Y361" i="2"/>
  <c r="W361" i="2"/>
  <c r="V361" i="2"/>
  <c r="U361" i="2"/>
  <c r="T361" i="2"/>
  <c r="S361" i="2"/>
  <c r="AC361" i="2" s="1"/>
  <c r="R361" i="2"/>
  <c r="Q361" i="2"/>
  <c r="P361" i="2"/>
  <c r="O361" i="2"/>
  <c r="N361" i="2"/>
  <c r="X361" i="2" s="1"/>
  <c r="M361" i="2"/>
  <c r="L361" i="2"/>
  <c r="AE360" i="2"/>
  <c r="AD360" i="2"/>
  <c r="AC360" i="2"/>
  <c r="AA360" i="2"/>
  <c r="Z360" i="2"/>
  <c r="V360" i="2"/>
  <c r="U360" i="2"/>
  <c r="T360" i="2"/>
  <c r="S360" i="2"/>
  <c r="R360" i="2"/>
  <c r="AB360" i="2" s="1"/>
  <c r="Q360" i="2"/>
  <c r="P360" i="2"/>
  <c r="O360" i="2"/>
  <c r="Y360" i="2" s="1"/>
  <c r="N360" i="2"/>
  <c r="X360" i="2" s="1"/>
  <c r="M360" i="2"/>
  <c r="W360" i="2" s="1"/>
  <c r="L360" i="2"/>
  <c r="AE359" i="2"/>
  <c r="AD359" i="2"/>
  <c r="Z359" i="2"/>
  <c r="W359" i="2"/>
  <c r="V359" i="2"/>
  <c r="U359" i="2"/>
  <c r="T359" i="2"/>
  <c r="S359" i="2"/>
  <c r="AC359" i="2" s="1"/>
  <c r="R359" i="2"/>
  <c r="AB359" i="2" s="1"/>
  <c r="Q359" i="2"/>
  <c r="AA359" i="2" s="1"/>
  <c r="P359" i="2"/>
  <c r="O359" i="2"/>
  <c r="Y359" i="2" s="1"/>
  <c r="N359" i="2"/>
  <c r="X359" i="2" s="1"/>
  <c r="M359" i="2"/>
  <c r="L359" i="2"/>
  <c r="AD358" i="2"/>
  <c r="AA358" i="2"/>
  <c r="Z358" i="2"/>
  <c r="X358" i="2"/>
  <c r="W358" i="2"/>
  <c r="V358" i="2"/>
  <c r="U358" i="2"/>
  <c r="AE358" i="2" s="1"/>
  <c r="T358" i="2"/>
  <c r="S358" i="2"/>
  <c r="AC358" i="2" s="1"/>
  <c r="R358" i="2"/>
  <c r="AB358" i="2" s="1"/>
  <c r="Q358" i="2"/>
  <c r="P358" i="2"/>
  <c r="O358" i="2"/>
  <c r="Y358" i="2" s="1"/>
  <c r="N358" i="2"/>
  <c r="M358" i="2"/>
  <c r="L358" i="2"/>
  <c r="AE357" i="2"/>
  <c r="AD357" i="2"/>
  <c r="AB357" i="2"/>
  <c r="AA357" i="2"/>
  <c r="Z357" i="2"/>
  <c r="Y357" i="2"/>
  <c r="W357" i="2"/>
  <c r="V357" i="2"/>
  <c r="U357" i="2"/>
  <c r="T357" i="2"/>
  <c r="S357" i="2"/>
  <c r="AC357" i="2" s="1"/>
  <c r="R357" i="2"/>
  <c r="Q357" i="2"/>
  <c r="P357" i="2"/>
  <c r="O357" i="2"/>
  <c r="N357" i="2"/>
  <c r="X357" i="2" s="1"/>
  <c r="M357" i="2"/>
  <c r="L357" i="2"/>
  <c r="AE356" i="2"/>
  <c r="AD356" i="2"/>
  <c r="AC356" i="2"/>
  <c r="AA356" i="2"/>
  <c r="Z356" i="2"/>
  <c r="V356" i="2"/>
  <c r="U356" i="2"/>
  <c r="T356" i="2"/>
  <c r="S356" i="2"/>
  <c r="R356" i="2"/>
  <c r="AB356" i="2" s="1"/>
  <c r="Q356" i="2"/>
  <c r="P356" i="2"/>
  <c r="O356" i="2"/>
  <c r="Y356" i="2" s="1"/>
  <c r="N356" i="2"/>
  <c r="X356" i="2" s="1"/>
  <c r="M356" i="2"/>
  <c r="W356" i="2" s="1"/>
  <c r="L356" i="2"/>
  <c r="AE355" i="2"/>
  <c r="AD355" i="2"/>
  <c r="Z355" i="2"/>
  <c r="W355" i="2"/>
  <c r="V355" i="2"/>
  <c r="U355" i="2"/>
  <c r="T355" i="2"/>
  <c r="S355" i="2"/>
  <c r="AC355" i="2" s="1"/>
  <c r="R355" i="2"/>
  <c r="AB355" i="2" s="1"/>
  <c r="Q355" i="2"/>
  <c r="AA355" i="2" s="1"/>
  <c r="P355" i="2"/>
  <c r="O355" i="2"/>
  <c r="Y355" i="2" s="1"/>
  <c r="N355" i="2"/>
  <c r="X355" i="2" s="1"/>
  <c r="M355" i="2"/>
  <c r="L355" i="2"/>
  <c r="AD354" i="2"/>
  <c r="AA354" i="2"/>
  <c r="Z354" i="2"/>
  <c r="X354" i="2"/>
  <c r="W354" i="2"/>
  <c r="V354" i="2"/>
  <c r="U354" i="2"/>
  <c r="AE354" i="2" s="1"/>
  <c r="T354" i="2"/>
  <c r="S354" i="2"/>
  <c r="AC354" i="2" s="1"/>
  <c r="R354" i="2"/>
  <c r="AB354" i="2" s="1"/>
  <c r="Q354" i="2"/>
  <c r="P354" i="2"/>
  <c r="O354" i="2"/>
  <c r="Y354" i="2" s="1"/>
  <c r="N354" i="2"/>
  <c r="M354" i="2"/>
  <c r="L354" i="2"/>
  <c r="AE353" i="2"/>
  <c r="AD353" i="2"/>
  <c r="AB353" i="2"/>
  <c r="AA353" i="2"/>
  <c r="Z353" i="2"/>
  <c r="Y353" i="2"/>
  <c r="W353" i="2"/>
  <c r="V353" i="2"/>
  <c r="U353" i="2"/>
  <c r="T353" i="2"/>
  <c r="S353" i="2"/>
  <c r="AC353" i="2" s="1"/>
  <c r="R353" i="2"/>
  <c r="Q353" i="2"/>
  <c r="P353" i="2"/>
  <c r="O353" i="2"/>
  <c r="N353" i="2"/>
  <c r="X353" i="2" s="1"/>
  <c r="M353" i="2"/>
  <c r="L353" i="2"/>
  <c r="AE352" i="2"/>
  <c r="AD352" i="2"/>
  <c r="AC352" i="2"/>
  <c r="AA352" i="2"/>
  <c r="Z352" i="2"/>
  <c r="V352" i="2"/>
  <c r="U352" i="2"/>
  <c r="T352" i="2"/>
  <c r="S352" i="2"/>
  <c r="R352" i="2"/>
  <c r="AB352" i="2" s="1"/>
  <c r="Q352" i="2"/>
  <c r="P352" i="2"/>
  <c r="O352" i="2"/>
  <c r="Y352" i="2" s="1"/>
  <c r="N352" i="2"/>
  <c r="X352" i="2" s="1"/>
  <c r="M352" i="2"/>
  <c r="W352" i="2" s="1"/>
  <c r="L352" i="2"/>
  <c r="AE351" i="2"/>
  <c r="AD351" i="2"/>
  <c r="Z351" i="2"/>
  <c r="W351" i="2"/>
  <c r="V351" i="2"/>
  <c r="U351" i="2"/>
  <c r="T351" i="2"/>
  <c r="S351" i="2"/>
  <c r="AC351" i="2" s="1"/>
  <c r="R351" i="2"/>
  <c r="AB351" i="2" s="1"/>
  <c r="Q351" i="2"/>
  <c r="AA351" i="2" s="1"/>
  <c r="P351" i="2"/>
  <c r="O351" i="2"/>
  <c r="Y351" i="2" s="1"/>
  <c r="N351" i="2"/>
  <c r="X351" i="2" s="1"/>
  <c r="M351" i="2"/>
  <c r="L351" i="2"/>
  <c r="AD350" i="2"/>
  <c r="AA350" i="2"/>
  <c r="Z350" i="2"/>
  <c r="X350" i="2"/>
  <c r="W350" i="2"/>
  <c r="V350" i="2"/>
  <c r="U350" i="2"/>
  <c r="AE350" i="2" s="1"/>
  <c r="T350" i="2"/>
  <c r="S350" i="2"/>
  <c r="AC350" i="2" s="1"/>
  <c r="R350" i="2"/>
  <c r="AB350" i="2" s="1"/>
  <c r="Q350" i="2"/>
  <c r="P350" i="2"/>
  <c r="O350" i="2"/>
  <c r="Y350" i="2" s="1"/>
  <c r="N350" i="2"/>
  <c r="M350" i="2"/>
  <c r="L350" i="2"/>
  <c r="AE349" i="2"/>
  <c r="AD349" i="2"/>
  <c r="AB349" i="2"/>
  <c r="AA349" i="2"/>
  <c r="Z349" i="2"/>
  <c r="Y349" i="2"/>
  <c r="W349" i="2"/>
  <c r="V349" i="2"/>
  <c r="U349" i="2"/>
  <c r="T349" i="2"/>
  <c r="S349" i="2"/>
  <c r="AC349" i="2" s="1"/>
  <c r="R349" i="2"/>
  <c r="Q349" i="2"/>
  <c r="P349" i="2"/>
  <c r="O349" i="2"/>
  <c r="N349" i="2"/>
  <c r="X349" i="2" s="1"/>
  <c r="M349" i="2"/>
  <c r="L349" i="2"/>
  <c r="AE348" i="2"/>
  <c r="AD348" i="2"/>
  <c r="AC348" i="2"/>
  <c r="AA348" i="2"/>
  <c r="Z348" i="2"/>
  <c r="V348" i="2"/>
  <c r="U348" i="2"/>
  <c r="T348" i="2"/>
  <c r="S348" i="2"/>
  <c r="R348" i="2"/>
  <c r="AB348" i="2" s="1"/>
  <c r="Q348" i="2"/>
  <c r="P348" i="2"/>
  <c r="O348" i="2"/>
  <c r="Y348" i="2" s="1"/>
  <c r="N348" i="2"/>
  <c r="X348" i="2" s="1"/>
  <c r="M348" i="2"/>
  <c r="W348" i="2" s="1"/>
  <c r="L348" i="2"/>
  <c r="AE347" i="2"/>
  <c r="AD347" i="2"/>
  <c r="Z347" i="2"/>
  <c r="W347" i="2"/>
  <c r="V347" i="2"/>
  <c r="U347" i="2"/>
  <c r="T347" i="2"/>
  <c r="S347" i="2"/>
  <c r="AC347" i="2" s="1"/>
  <c r="R347" i="2"/>
  <c r="AB347" i="2" s="1"/>
  <c r="Q347" i="2"/>
  <c r="AA347" i="2" s="1"/>
  <c r="P347" i="2"/>
  <c r="O347" i="2"/>
  <c r="Y347" i="2" s="1"/>
  <c r="N347" i="2"/>
  <c r="X347" i="2" s="1"/>
  <c r="M347" i="2"/>
  <c r="L347" i="2"/>
  <c r="AD346" i="2"/>
  <c r="AA346" i="2"/>
  <c r="Z346" i="2"/>
  <c r="X346" i="2"/>
  <c r="W346" i="2"/>
  <c r="V346" i="2"/>
  <c r="U346" i="2"/>
  <c r="AE346" i="2" s="1"/>
  <c r="T346" i="2"/>
  <c r="S346" i="2"/>
  <c r="AC346" i="2" s="1"/>
  <c r="R346" i="2"/>
  <c r="AB346" i="2" s="1"/>
  <c r="Q346" i="2"/>
  <c r="P346" i="2"/>
  <c r="O346" i="2"/>
  <c r="Y346" i="2" s="1"/>
  <c r="N346" i="2"/>
  <c r="M346" i="2"/>
  <c r="L346" i="2"/>
  <c r="AE345" i="2"/>
  <c r="AD345" i="2"/>
  <c r="AB345" i="2"/>
  <c r="AA345" i="2"/>
  <c r="Z345" i="2"/>
  <c r="Y345" i="2"/>
  <c r="W345" i="2"/>
  <c r="V345" i="2"/>
  <c r="U345" i="2"/>
  <c r="T345" i="2"/>
  <c r="S345" i="2"/>
  <c r="AC345" i="2" s="1"/>
  <c r="R345" i="2"/>
  <c r="Q345" i="2"/>
  <c r="P345" i="2"/>
  <c r="O345" i="2"/>
  <c r="N345" i="2"/>
  <c r="X345" i="2" s="1"/>
  <c r="M345" i="2"/>
  <c r="L345" i="2"/>
  <c r="AE344" i="2"/>
  <c r="AD344" i="2"/>
  <c r="AC344" i="2"/>
  <c r="AA344" i="2"/>
  <c r="Z344" i="2"/>
  <c r="V344" i="2"/>
  <c r="U344" i="2"/>
  <c r="T344" i="2"/>
  <c r="S344" i="2"/>
  <c r="R344" i="2"/>
  <c r="AB344" i="2" s="1"/>
  <c r="Q344" i="2"/>
  <c r="P344" i="2"/>
  <c r="O344" i="2"/>
  <c r="Y344" i="2" s="1"/>
  <c r="N344" i="2"/>
  <c r="X344" i="2" s="1"/>
  <c r="M344" i="2"/>
  <c r="W344" i="2" s="1"/>
  <c r="L344" i="2"/>
  <c r="AE343" i="2"/>
  <c r="AD343" i="2"/>
  <c r="Z343" i="2"/>
  <c r="W343" i="2"/>
  <c r="V343" i="2"/>
  <c r="U343" i="2"/>
  <c r="T343" i="2"/>
  <c r="S343" i="2"/>
  <c r="AC343" i="2" s="1"/>
  <c r="R343" i="2"/>
  <c r="AB343" i="2" s="1"/>
  <c r="Q343" i="2"/>
  <c r="AA343" i="2" s="1"/>
  <c r="P343" i="2"/>
  <c r="O343" i="2"/>
  <c r="Y343" i="2" s="1"/>
  <c r="N343" i="2"/>
  <c r="X343" i="2" s="1"/>
  <c r="M343" i="2"/>
  <c r="L343" i="2"/>
  <c r="AD342" i="2"/>
  <c r="AA342" i="2"/>
  <c r="Z342" i="2"/>
  <c r="X342" i="2"/>
  <c r="W342" i="2"/>
  <c r="V342" i="2"/>
  <c r="U342" i="2"/>
  <c r="AE342" i="2" s="1"/>
  <c r="T342" i="2"/>
  <c r="S342" i="2"/>
  <c r="AC342" i="2" s="1"/>
  <c r="R342" i="2"/>
  <c r="AB342" i="2" s="1"/>
  <c r="Q342" i="2"/>
  <c r="P342" i="2"/>
  <c r="O342" i="2"/>
  <c r="Y342" i="2" s="1"/>
  <c r="N342" i="2"/>
  <c r="M342" i="2"/>
  <c r="L342" i="2"/>
  <c r="AE341" i="2"/>
  <c r="AD341" i="2"/>
  <c r="AB341" i="2"/>
  <c r="AA341" i="2"/>
  <c r="Z341" i="2"/>
  <c r="Y341" i="2"/>
  <c r="W341" i="2"/>
  <c r="V341" i="2"/>
  <c r="U341" i="2"/>
  <c r="T341" i="2"/>
  <c r="S341" i="2"/>
  <c r="AC341" i="2" s="1"/>
  <c r="R341" i="2"/>
  <c r="Q341" i="2"/>
  <c r="P341" i="2"/>
  <c r="O341" i="2"/>
  <c r="N341" i="2"/>
  <c r="X341" i="2" s="1"/>
  <c r="M341" i="2"/>
  <c r="L341" i="2"/>
  <c r="AE340" i="2"/>
  <c r="AD340" i="2"/>
  <c r="AC340" i="2"/>
  <c r="AA340" i="2"/>
  <c r="Z340" i="2"/>
  <c r="V340" i="2"/>
  <c r="U340" i="2"/>
  <c r="T340" i="2"/>
  <c r="S340" i="2"/>
  <c r="R340" i="2"/>
  <c r="AB340" i="2" s="1"/>
  <c r="Q340" i="2"/>
  <c r="P340" i="2"/>
  <c r="O340" i="2"/>
  <c r="Y340" i="2" s="1"/>
  <c r="N340" i="2"/>
  <c r="X340" i="2" s="1"/>
  <c r="M340" i="2"/>
  <c r="W340" i="2" s="1"/>
  <c r="L340" i="2"/>
  <c r="AE339" i="2"/>
  <c r="AD339" i="2"/>
  <c r="Z339" i="2"/>
  <c r="W339" i="2"/>
  <c r="V339" i="2"/>
  <c r="U339" i="2"/>
  <c r="T339" i="2"/>
  <c r="S339" i="2"/>
  <c r="AC339" i="2" s="1"/>
  <c r="R339" i="2"/>
  <c r="AB339" i="2" s="1"/>
  <c r="Q339" i="2"/>
  <c r="AA339" i="2" s="1"/>
  <c r="P339" i="2"/>
  <c r="O339" i="2"/>
  <c r="Y339" i="2" s="1"/>
  <c r="N339" i="2"/>
  <c r="X339" i="2" s="1"/>
  <c r="M339" i="2"/>
  <c r="L339" i="2"/>
  <c r="AD338" i="2"/>
  <c r="AA338" i="2"/>
  <c r="Z338" i="2"/>
  <c r="X338" i="2"/>
  <c r="W338" i="2"/>
  <c r="V338" i="2"/>
  <c r="U338" i="2"/>
  <c r="AE338" i="2" s="1"/>
  <c r="T338" i="2"/>
  <c r="S338" i="2"/>
  <c r="AC338" i="2" s="1"/>
  <c r="R338" i="2"/>
  <c r="AB338" i="2" s="1"/>
  <c r="Q338" i="2"/>
  <c r="P338" i="2"/>
  <c r="O338" i="2"/>
  <c r="Y338" i="2" s="1"/>
  <c r="N338" i="2"/>
  <c r="M338" i="2"/>
  <c r="L338" i="2"/>
  <c r="AE337" i="2"/>
  <c r="AD337" i="2"/>
  <c r="AB337" i="2"/>
  <c r="AA337" i="2"/>
  <c r="Z337" i="2"/>
  <c r="Y337" i="2"/>
  <c r="W337" i="2"/>
  <c r="V337" i="2"/>
  <c r="U337" i="2"/>
  <c r="T337" i="2"/>
  <c r="S337" i="2"/>
  <c r="AC337" i="2" s="1"/>
  <c r="R337" i="2"/>
  <c r="Q337" i="2"/>
  <c r="P337" i="2"/>
  <c r="O337" i="2"/>
  <c r="N337" i="2"/>
  <c r="X337" i="2" s="1"/>
  <c r="M337" i="2"/>
  <c r="L337" i="2"/>
  <c r="AE336" i="2"/>
  <c r="AD336" i="2"/>
  <c r="AC336" i="2"/>
  <c r="AA336" i="2"/>
  <c r="Z336" i="2"/>
  <c r="V336" i="2"/>
  <c r="U336" i="2"/>
  <c r="T336" i="2"/>
  <c r="S336" i="2"/>
  <c r="R336" i="2"/>
  <c r="AB336" i="2" s="1"/>
  <c r="Q336" i="2"/>
  <c r="P336" i="2"/>
  <c r="O336" i="2"/>
  <c r="Y336" i="2" s="1"/>
  <c r="N336" i="2"/>
  <c r="X336" i="2" s="1"/>
  <c r="M336" i="2"/>
  <c r="W336" i="2" s="1"/>
  <c r="L336" i="2"/>
  <c r="AE335" i="2"/>
  <c r="AD335" i="2"/>
  <c r="Z335" i="2"/>
  <c r="W335" i="2"/>
  <c r="V335" i="2"/>
  <c r="U335" i="2"/>
  <c r="T335" i="2"/>
  <c r="S335" i="2"/>
  <c r="AC335" i="2" s="1"/>
  <c r="R335" i="2"/>
  <c r="AB335" i="2" s="1"/>
  <c r="Q335" i="2"/>
  <c r="AA335" i="2" s="1"/>
  <c r="P335" i="2"/>
  <c r="O335" i="2"/>
  <c r="Y335" i="2" s="1"/>
  <c r="N335" i="2"/>
  <c r="X335" i="2" s="1"/>
  <c r="M335" i="2"/>
  <c r="L335" i="2"/>
  <c r="AD334" i="2"/>
  <c r="AA334" i="2"/>
  <c r="Z334" i="2"/>
  <c r="X334" i="2"/>
  <c r="W334" i="2"/>
  <c r="V334" i="2"/>
  <c r="U334" i="2"/>
  <c r="AE334" i="2" s="1"/>
  <c r="T334" i="2"/>
  <c r="S334" i="2"/>
  <c r="AC334" i="2" s="1"/>
  <c r="R334" i="2"/>
  <c r="AB334" i="2" s="1"/>
  <c r="Q334" i="2"/>
  <c r="P334" i="2"/>
  <c r="O334" i="2"/>
  <c r="Y334" i="2" s="1"/>
  <c r="N334" i="2"/>
  <c r="M334" i="2"/>
  <c r="L334" i="2"/>
  <c r="AE333" i="2"/>
  <c r="AD333" i="2"/>
  <c r="AB333" i="2"/>
  <c r="AA333" i="2"/>
  <c r="Z333" i="2"/>
  <c r="Y333" i="2"/>
  <c r="W333" i="2"/>
  <c r="V333" i="2"/>
  <c r="U333" i="2"/>
  <c r="T333" i="2"/>
  <c r="S333" i="2"/>
  <c r="AC333" i="2" s="1"/>
  <c r="R333" i="2"/>
  <c r="Q333" i="2"/>
  <c r="P333" i="2"/>
  <c r="O333" i="2"/>
  <c r="N333" i="2"/>
  <c r="X333" i="2" s="1"/>
  <c r="M333" i="2"/>
  <c r="L333" i="2"/>
  <c r="AE332" i="2"/>
  <c r="AD332" i="2"/>
  <c r="AC332" i="2"/>
  <c r="AA332" i="2"/>
  <c r="Z332" i="2"/>
  <c r="V332" i="2"/>
  <c r="U332" i="2"/>
  <c r="T332" i="2"/>
  <c r="S332" i="2"/>
  <c r="R332" i="2"/>
  <c r="AB332" i="2" s="1"/>
  <c r="Q332" i="2"/>
  <c r="P332" i="2"/>
  <c r="O332" i="2"/>
  <c r="Y332" i="2" s="1"/>
  <c r="N332" i="2"/>
  <c r="X332" i="2" s="1"/>
  <c r="M332" i="2"/>
  <c r="W332" i="2" s="1"/>
  <c r="L332" i="2"/>
  <c r="AE331" i="2"/>
  <c r="AD331" i="2"/>
  <c r="Z331" i="2"/>
  <c r="W331" i="2"/>
  <c r="V331" i="2"/>
  <c r="U331" i="2"/>
  <c r="T331" i="2"/>
  <c r="S331" i="2"/>
  <c r="AC331" i="2" s="1"/>
  <c r="R331" i="2"/>
  <c r="AB331" i="2" s="1"/>
  <c r="Q331" i="2"/>
  <c r="AA331" i="2" s="1"/>
  <c r="P331" i="2"/>
  <c r="O331" i="2"/>
  <c r="Y331" i="2" s="1"/>
  <c r="N331" i="2"/>
  <c r="X331" i="2" s="1"/>
  <c r="M331" i="2"/>
  <c r="L331" i="2"/>
  <c r="AD330" i="2"/>
  <c r="AA330" i="2"/>
  <c r="Z330" i="2"/>
  <c r="X330" i="2"/>
  <c r="W330" i="2"/>
  <c r="V330" i="2"/>
  <c r="U330" i="2"/>
  <c r="AE330" i="2" s="1"/>
  <c r="T330" i="2"/>
  <c r="S330" i="2"/>
  <c r="AC330" i="2" s="1"/>
  <c r="R330" i="2"/>
  <c r="AB330" i="2" s="1"/>
  <c r="Q330" i="2"/>
  <c r="P330" i="2"/>
  <c r="O330" i="2"/>
  <c r="Y330" i="2" s="1"/>
  <c r="N330" i="2"/>
  <c r="M330" i="2"/>
  <c r="L330" i="2"/>
  <c r="AE329" i="2"/>
  <c r="AD329" i="2"/>
  <c r="AB329" i="2"/>
  <c r="AA329" i="2"/>
  <c r="Z329" i="2"/>
  <c r="Y329" i="2"/>
  <c r="W329" i="2"/>
  <c r="V329" i="2"/>
  <c r="U329" i="2"/>
  <c r="T329" i="2"/>
  <c r="S329" i="2"/>
  <c r="AC329" i="2" s="1"/>
  <c r="R329" i="2"/>
  <c r="Q329" i="2"/>
  <c r="P329" i="2"/>
  <c r="O329" i="2"/>
  <c r="N329" i="2"/>
  <c r="X329" i="2" s="1"/>
  <c r="M329" i="2"/>
  <c r="L329" i="2"/>
  <c r="AE328" i="2"/>
  <c r="AD328" i="2"/>
  <c r="AC328" i="2"/>
  <c r="AA328" i="2"/>
  <c r="Z328" i="2"/>
  <c r="V328" i="2"/>
  <c r="U328" i="2"/>
  <c r="T328" i="2"/>
  <c r="S328" i="2"/>
  <c r="R328" i="2"/>
  <c r="AB328" i="2" s="1"/>
  <c r="Q328" i="2"/>
  <c r="P328" i="2"/>
  <c r="O328" i="2"/>
  <c r="Y328" i="2" s="1"/>
  <c r="N328" i="2"/>
  <c r="X328" i="2" s="1"/>
  <c r="M328" i="2"/>
  <c r="W328" i="2" s="1"/>
  <c r="L328" i="2"/>
  <c r="AE327" i="2"/>
  <c r="AD327" i="2"/>
  <c r="Z327" i="2"/>
  <c r="W327" i="2"/>
  <c r="V327" i="2"/>
  <c r="U327" i="2"/>
  <c r="T327" i="2"/>
  <c r="S327" i="2"/>
  <c r="AC327" i="2" s="1"/>
  <c r="R327" i="2"/>
  <c r="AB327" i="2" s="1"/>
  <c r="Q327" i="2"/>
  <c r="AA327" i="2" s="1"/>
  <c r="P327" i="2"/>
  <c r="O327" i="2"/>
  <c r="Y327" i="2" s="1"/>
  <c r="N327" i="2"/>
  <c r="X327" i="2" s="1"/>
  <c r="M327" i="2"/>
  <c r="L327" i="2"/>
  <c r="AD326" i="2"/>
  <c r="AA326" i="2"/>
  <c r="Z326" i="2"/>
  <c r="X326" i="2"/>
  <c r="W326" i="2"/>
  <c r="V326" i="2"/>
  <c r="U326" i="2"/>
  <c r="AE326" i="2" s="1"/>
  <c r="T326" i="2"/>
  <c r="S326" i="2"/>
  <c r="AC326" i="2" s="1"/>
  <c r="R326" i="2"/>
  <c r="AB326" i="2" s="1"/>
  <c r="Q326" i="2"/>
  <c r="P326" i="2"/>
  <c r="O326" i="2"/>
  <c r="Y326" i="2" s="1"/>
  <c r="N326" i="2"/>
  <c r="M326" i="2"/>
  <c r="L326" i="2"/>
  <c r="AE325" i="2"/>
  <c r="AD325" i="2"/>
  <c r="AB325" i="2"/>
  <c r="AA325" i="2"/>
  <c r="Z325" i="2"/>
  <c r="Y325" i="2"/>
  <c r="W325" i="2"/>
  <c r="V325" i="2"/>
  <c r="U325" i="2"/>
  <c r="T325" i="2"/>
  <c r="S325" i="2"/>
  <c r="AC325" i="2" s="1"/>
  <c r="R325" i="2"/>
  <c r="Q325" i="2"/>
  <c r="P325" i="2"/>
  <c r="O325" i="2"/>
  <c r="N325" i="2"/>
  <c r="X325" i="2" s="1"/>
  <c r="M325" i="2"/>
  <c r="L325" i="2"/>
  <c r="AE324" i="2"/>
  <c r="AD324" i="2"/>
  <c r="AC324" i="2"/>
  <c r="AA324" i="2"/>
  <c r="Z324" i="2"/>
  <c r="V324" i="2"/>
  <c r="U324" i="2"/>
  <c r="T324" i="2"/>
  <c r="S324" i="2"/>
  <c r="R324" i="2"/>
  <c r="AB324" i="2" s="1"/>
  <c r="Q324" i="2"/>
  <c r="P324" i="2"/>
  <c r="O324" i="2"/>
  <c r="Y324" i="2" s="1"/>
  <c r="N324" i="2"/>
  <c r="X324" i="2" s="1"/>
  <c r="M324" i="2"/>
  <c r="W324" i="2" s="1"/>
  <c r="L324" i="2"/>
  <c r="AE323" i="2"/>
  <c r="AD323" i="2"/>
  <c r="Z323" i="2"/>
  <c r="W323" i="2"/>
  <c r="V323" i="2"/>
  <c r="U323" i="2"/>
  <c r="T323" i="2"/>
  <c r="S323" i="2"/>
  <c r="AC323" i="2" s="1"/>
  <c r="R323" i="2"/>
  <c r="AB323" i="2" s="1"/>
  <c r="Q323" i="2"/>
  <c r="AA323" i="2" s="1"/>
  <c r="P323" i="2"/>
  <c r="O323" i="2"/>
  <c r="Y323" i="2" s="1"/>
  <c r="N323" i="2"/>
  <c r="X323" i="2" s="1"/>
  <c r="M323" i="2"/>
  <c r="L323" i="2"/>
  <c r="AD322" i="2"/>
  <c r="AA322" i="2"/>
  <c r="Z322" i="2"/>
  <c r="X322" i="2"/>
  <c r="W322" i="2"/>
  <c r="V322" i="2"/>
  <c r="U322" i="2"/>
  <c r="AE322" i="2" s="1"/>
  <c r="T322" i="2"/>
  <c r="S322" i="2"/>
  <c r="AC322" i="2" s="1"/>
  <c r="R322" i="2"/>
  <c r="AB322" i="2" s="1"/>
  <c r="Q322" i="2"/>
  <c r="P322" i="2"/>
  <c r="O322" i="2"/>
  <c r="Y322" i="2" s="1"/>
  <c r="N322" i="2"/>
  <c r="M322" i="2"/>
  <c r="L322" i="2"/>
  <c r="AE321" i="2"/>
  <c r="AD321" i="2"/>
  <c r="AB321" i="2"/>
  <c r="AA321" i="2"/>
  <c r="Z321" i="2"/>
  <c r="Y321" i="2"/>
  <c r="W321" i="2"/>
  <c r="V321" i="2"/>
  <c r="U321" i="2"/>
  <c r="T321" i="2"/>
  <c r="S321" i="2"/>
  <c r="AC321" i="2" s="1"/>
  <c r="R321" i="2"/>
  <c r="Q321" i="2"/>
  <c r="P321" i="2"/>
  <c r="O321" i="2"/>
  <c r="N321" i="2"/>
  <c r="X321" i="2" s="1"/>
  <c r="M321" i="2"/>
  <c r="L321" i="2"/>
  <c r="AE320" i="2"/>
  <c r="AD320" i="2"/>
  <c r="AC320" i="2"/>
  <c r="AA320" i="2"/>
  <c r="Z320" i="2"/>
  <c r="V320" i="2"/>
  <c r="U320" i="2"/>
  <c r="T320" i="2"/>
  <c r="S320" i="2"/>
  <c r="R320" i="2"/>
  <c r="AB320" i="2" s="1"/>
  <c r="Q320" i="2"/>
  <c r="P320" i="2"/>
  <c r="O320" i="2"/>
  <c r="Y320" i="2" s="1"/>
  <c r="N320" i="2"/>
  <c r="X320" i="2" s="1"/>
  <c r="M320" i="2"/>
  <c r="W320" i="2" s="1"/>
  <c r="L320" i="2"/>
  <c r="AE319" i="2"/>
  <c r="AD319" i="2"/>
  <c r="Z319" i="2"/>
  <c r="W319" i="2"/>
  <c r="V319" i="2"/>
  <c r="U319" i="2"/>
  <c r="T319" i="2"/>
  <c r="S319" i="2"/>
  <c r="AC319" i="2" s="1"/>
  <c r="R319" i="2"/>
  <c r="AB319" i="2" s="1"/>
  <c r="Q319" i="2"/>
  <c r="AA319" i="2" s="1"/>
  <c r="P319" i="2"/>
  <c r="O319" i="2"/>
  <c r="Y319" i="2" s="1"/>
  <c r="N319" i="2"/>
  <c r="X319" i="2" s="1"/>
  <c r="M319" i="2"/>
  <c r="L319" i="2"/>
  <c r="AD318" i="2"/>
  <c r="AA318" i="2"/>
  <c r="Z318" i="2"/>
  <c r="X318" i="2"/>
  <c r="W318" i="2"/>
  <c r="V318" i="2"/>
  <c r="U318" i="2"/>
  <c r="AE318" i="2" s="1"/>
  <c r="T318" i="2"/>
  <c r="S318" i="2"/>
  <c r="AC318" i="2" s="1"/>
  <c r="R318" i="2"/>
  <c r="AB318" i="2" s="1"/>
  <c r="Q318" i="2"/>
  <c r="P318" i="2"/>
  <c r="O318" i="2"/>
  <c r="Y318" i="2" s="1"/>
  <c r="N318" i="2"/>
  <c r="M318" i="2"/>
  <c r="L318" i="2"/>
  <c r="AE317" i="2"/>
  <c r="AD317" i="2"/>
  <c r="AB317" i="2"/>
  <c r="AA317" i="2"/>
  <c r="Z317" i="2"/>
  <c r="Y317" i="2"/>
  <c r="W317" i="2"/>
  <c r="V317" i="2"/>
  <c r="U317" i="2"/>
  <c r="T317" i="2"/>
  <c r="S317" i="2"/>
  <c r="AC317" i="2" s="1"/>
  <c r="R317" i="2"/>
  <c r="Q317" i="2"/>
  <c r="P317" i="2"/>
  <c r="O317" i="2"/>
  <c r="N317" i="2"/>
  <c r="X317" i="2" s="1"/>
  <c r="M317" i="2"/>
  <c r="L317" i="2"/>
  <c r="AE316" i="2"/>
  <c r="AD316" i="2"/>
  <c r="AC316" i="2"/>
  <c r="AA316" i="2"/>
  <c r="Z316" i="2"/>
  <c r="V316" i="2"/>
  <c r="U316" i="2"/>
  <c r="T316" i="2"/>
  <c r="S316" i="2"/>
  <c r="R316" i="2"/>
  <c r="AB316" i="2" s="1"/>
  <c r="Q316" i="2"/>
  <c r="P316" i="2"/>
  <c r="O316" i="2"/>
  <c r="Y316" i="2" s="1"/>
  <c r="N316" i="2"/>
  <c r="X316" i="2" s="1"/>
  <c r="M316" i="2"/>
  <c r="W316" i="2" s="1"/>
  <c r="L316" i="2"/>
  <c r="AE315" i="2"/>
  <c r="AD315" i="2"/>
  <c r="Z315" i="2"/>
  <c r="W315" i="2"/>
  <c r="U315" i="2"/>
  <c r="T315" i="2"/>
  <c r="S315" i="2"/>
  <c r="AC315" i="2" s="1"/>
  <c r="R315" i="2"/>
  <c r="AB315" i="2" s="1"/>
  <c r="Q315" i="2"/>
  <c r="AA315" i="2" s="1"/>
  <c r="P315" i="2"/>
  <c r="O315" i="2"/>
  <c r="Y315" i="2" s="1"/>
  <c r="N315" i="2"/>
  <c r="X315" i="2" s="1"/>
  <c r="M315" i="2"/>
  <c r="L315" i="2"/>
  <c r="V315" i="2" s="1"/>
  <c r="AD314" i="2"/>
  <c r="AA314" i="2"/>
  <c r="X314" i="2"/>
  <c r="W314" i="2"/>
  <c r="V314" i="2"/>
  <c r="U314" i="2"/>
  <c r="AE314" i="2" s="1"/>
  <c r="T314" i="2"/>
  <c r="S314" i="2"/>
  <c r="AC314" i="2" s="1"/>
  <c r="R314" i="2"/>
  <c r="AB314" i="2" s="1"/>
  <c r="Q314" i="2"/>
  <c r="P314" i="2"/>
  <c r="Z314" i="2" s="1"/>
  <c r="O314" i="2"/>
  <c r="Y314" i="2" s="1"/>
  <c r="N314" i="2"/>
  <c r="M314" i="2"/>
  <c r="L314" i="2"/>
  <c r="AE313" i="2"/>
  <c r="AB313" i="2"/>
  <c r="AA313" i="2"/>
  <c r="Z313" i="2"/>
  <c r="Y313" i="2"/>
  <c r="W313" i="2"/>
  <c r="V313" i="2"/>
  <c r="U313" i="2"/>
  <c r="T313" i="2"/>
  <c r="AD313" i="2" s="1"/>
  <c r="S313" i="2"/>
  <c r="AC313" i="2" s="1"/>
  <c r="R313" i="2"/>
  <c r="Q313" i="2"/>
  <c r="P313" i="2"/>
  <c r="O313" i="2"/>
  <c r="N313" i="2"/>
  <c r="X313" i="2" s="1"/>
  <c r="M313" i="2"/>
  <c r="L313" i="2"/>
  <c r="AE312" i="2"/>
  <c r="AD312" i="2"/>
  <c r="AC312" i="2"/>
  <c r="AA312" i="2"/>
  <c r="Z312" i="2"/>
  <c r="V312" i="2"/>
  <c r="U312" i="2"/>
  <c r="T312" i="2"/>
  <c r="S312" i="2"/>
  <c r="R312" i="2"/>
  <c r="AB312" i="2" s="1"/>
  <c r="Q312" i="2"/>
  <c r="P312" i="2"/>
  <c r="O312" i="2"/>
  <c r="Y312" i="2" s="1"/>
  <c r="N312" i="2"/>
  <c r="X312" i="2" s="1"/>
  <c r="M312" i="2"/>
  <c r="W312" i="2" s="1"/>
  <c r="L312" i="2"/>
  <c r="AE311" i="2"/>
  <c r="AD311" i="2"/>
  <c r="Z311" i="2"/>
  <c r="W311" i="2"/>
  <c r="U311" i="2"/>
  <c r="T311" i="2"/>
  <c r="S311" i="2"/>
  <c r="AC311" i="2" s="1"/>
  <c r="R311" i="2"/>
  <c r="AB311" i="2" s="1"/>
  <c r="Q311" i="2"/>
  <c r="AA311" i="2" s="1"/>
  <c r="P311" i="2"/>
  <c r="O311" i="2"/>
  <c r="Y311" i="2" s="1"/>
  <c r="N311" i="2"/>
  <c r="X311" i="2" s="1"/>
  <c r="M311" i="2"/>
  <c r="L311" i="2"/>
  <c r="V311" i="2" s="1"/>
  <c r="AD310" i="2"/>
  <c r="AA310" i="2"/>
  <c r="X310" i="2"/>
  <c r="W310" i="2"/>
  <c r="V310" i="2"/>
  <c r="U310" i="2"/>
  <c r="AE310" i="2" s="1"/>
  <c r="T310" i="2"/>
  <c r="S310" i="2"/>
  <c r="AC310" i="2" s="1"/>
  <c r="R310" i="2"/>
  <c r="AB310" i="2" s="1"/>
  <c r="Q310" i="2"/>
  <c r="P310" i="2"/>
  <c r="Z310" i="2" s="1"/>
  <c r="O310" i="2"/>
  <c r="Y310" i="2" s="1"/>
  <c r="N310" i="2"/>
  <c r="M310" i="2"/>
  <c r="L310" i="2"/>
  <c r="AE309" i="2"/>
  <c r="AB309" i="2"/>
  <c r="AA309" i="2"/>
  <c r="Z309" i="2"/>
  <c r="Y309" i="2"/>
  <c r="W309" i="2"/>
  <c r="V309" i="2"/>
  <c r="U309" i="2"/>
  <c r="T309" i="2"/>
  <c r="AD309" i="2" s="1"/>
  <c r="S309" i="2"/>
  <c r="AC309" i="2" s="1"/>
  <c r="R309" i="2"/>
  <c r="Q309" i="2"/>
  <c r="P309" i="2"/>
  <c r="O309" i="2"/>
  <c r="N309" i="2"/>
  <c r="X309" i="2" s="1"/>
  <c r="M309" i="2"/>
  <c r="L309" i="2"/>
  <c r="AE308" i="2"/>
  <c r="AD308" i="2"/>
  <c r="AC308" i="2"/>
  <c r="AA308" i="2"/>
  <c r="Z308" i="2"/>
  <c r="V308" i="2"/>
  <c r="U308" i="2"/>
  <c r="T308" i="2"/>
  <c r="S308" i="2"/>
  <c r="R308" i="2"/>
  <c r="AB308" i="2" s="1"/>
  <c r="Q308" i="2"/>
  <c r="P308" i="2"/>
  <c r="O308" i="2"/>
  <c r="Y308" i="2" s="1"/>
  <c r="N308" i="2"/>
  <c r="X308" i="2" s="1"/>
  <c r="M308" i="2"/>
  <c r="W308" i="2" s="1"/>
  <c r="L308" i="2"/>
  <c r="AE307" i="2"/>
  <c r="AD307" i="2"/>
  <c r="Z307" i="2"/>
  <c r="W307" i="2"/>
  <c r="U307" i="2"/>
  <c r="T307" i="2"/>
  <c r="S307" i="2"/>
  <c r="AC307" i="2" s="1"/>
  <c r="R307" i="2"/>
  <c r="AB307" i="2" s="1"/>
  <c r="Q307" i="2"/>
  <c r="AA307" i="2" s="1"/>
  <c r="P307" i="2"/>
  <c r="O307" i="2"/>
  <c r="Y307" i="2" s="1"/>
  <c r="N307" i="2"/>
  <c r="X307" i="2" s="1"/>
  <c r="M307" i="2"/>
  <c r="L307" i="2"/>
  <c r="V307" i="2" s="1"/>
  <c r="AD306" i="2"/>
  <c r="AA306" i="2"/>
  <c r="X306" i="2"/>
  <c r="W306" i="2"/>
  <c r="V306" i="2"/>
  <c r="U306" i="2"/>
  <c r="AE306" i="2" s="1"/>
  <c r="T306" i="2"/>
  <c r="S306" i="2"/>
  <c r="AC306" i="2" s="1"/>
  <c r="R306" i="2"/>
  <c r="AB306" i="2" s="1"/>
  <c r="Q306" i="2"/>
  <c r="P306" i="2"/>
  <c r="Z306" i="2" s="1"/>
  <c r="O306" i="2"/>
  <c r="Y306" i="2" s="1"/>
  <c r="N306" i="2"/>
  <c r="M306" i="2"/>
  <c r="L306" i="2"/>
  <c r="AE305" i="2"/>
  <c r="AB305" i="2"/>
  <c r="AA305" i="2"/>
  <c r="Z305" i="2"/>
  <c r="Y305" i="2"/>
  <c r="W305" i="2"/>
  <c r="V305" i="2"/>
  <c r="U305" i="2"/>
  <c r="T305" i="2"/>
  <c r="AD305" i="2" s="1"/>
  <c r="S305" i="2"/>
  <c r="AC305" i="2" s="1"/>
  <c r="R305" i="2"/>
  <c r="Q305" i="2"/>
  <c r="P305" i="2"/>
  <c r="O305" i="2"/>
  <c r="N305" i="2"/>
  <c r="X305" i="2" s="1"/>
  <c r="M305" i="2"/>
  <c r="L305" i="2"/>
  <c r="AE304" i="2"/>
  <c r="AD304" i="2"/>
  <c r="AC304" i="2"/>
  <c r="AA304" i="2"/>
  <c r="Z304" i="2"/>
  <c r="V304" i="2"/>
  <c r="U304" i="2"/>
  <c r="T304" i="2"/>
  <c r="S304" i="2"/>
  <c r="R304" i="2"/>
  <c r="AB304" i="2" s="1"/>
  <c r="Q304" i="2"/>
  <c r="P304" i="2"/>
  <c r="O304" i="2"/>
  <c r="Y304" i="2" s="1"/>
  <c r="N304" i="2"/>
  <c r="X304" i="2" s="1"/>
  <c r="M304" i="2"/>
  <c r="W304" i="2" s="1"/>
  <c r="L304" i="2"/>
  <c r="AE303" i="2"/>
  <c r="AD303" i="2"/>
  <c r="Z303" i="2"/>
  <c r="W303" i="2"/>
  <c r="U303" i="2"/>
  <c r="T303" i="2"/>
  <c r="S303" i="2"/>
  <c r="AC303" i="2" s="1"/>
  <c r="R303" i="2"/>
  <c r="AB303" i="2" s="1"/>
  <c r="Q303" i="2"/>
  <c r="AA303" i="2" s="1"/>
  <c r="P303" i="2"/>
  <c r="O303" i="2"/>
  <c r="Y303" i="2" s="1"/>
  <c r="N303" i="2"/>
  <c r="X303" i="2" s="1"/>
  <c r="M303" i="2"/>
  <c r="L303" i="2"/>
  <c r="V303" i="2" s="1"/>
  <c r="AD302" i="2"/>
  <c r="AA302" i="2"/>
  <c r="X302" i="2"/>
  <c r="W302" i="2"/>
  <c r="V302" i="2"/>
  <c r="U302" i="2"/>
  <c r="AE302" i="2" s="1"/>
  <c r="T302" i="2"/>
  <c r="S302" i="2"/>
  <c r="AC302" i="2" s="1"/>
  <c r="R302" i="2"/>
  <c r="AB302" i="2" s="1"/>
  <c r="Q302" i="2"/>
  <c r="P302" i="2"/>
  <c r="Z302" i="2" s="1"/>
  <c r="O302" i="2"/>
  <c r="Y302" i="2" s="1"/>
  <c r="N302" i="2"/>
  <c r="M302" i="2"/>
  <c r="L302" i="2"/>
  <c r="AE301" i="2"/>
  <c r="AB301" i="2"/>
  <c r="AA301" i="2"/>
  <c r="Z301" i="2"/>
  <c r="Y301" i="2"/>
  <c r="W301" i="2"/>
  <c r="V301" i="2"/>
  <c r="U301" i="2"/>
  <c r="T301" i="2"/>
  <c r="AD301" i="2" s="1"/>
  <c r="S301" i="2"/>
  <c r="AC301" i="2" s="1"/>
  <c r="R301" i="2"/>
  <c r="Q301" i="2"/>
  <c r="P301" i="2"/>
  <c r="O301" i="2"/>
  <c r="N301" i="2"/>
  <c r="X301" i="2" s="1"/>
  <c r="M301" i="2"/>
  <c r="L301" i="2"/>
  <c r="AE300" i="2"/>
  <c r="AD300" i="2"/>
  <c r="AC300" i="2"/>
  <c r="AA300" i="2"/>
  <c r="Z300" i="2"/>
  <c r="V300" i="2"/>
  <c r="U300" i="2"/>
  <c r="T300" i="2"/>
  <c r="S300" i="2"/>
  <c r="R300" i="2"/>
  <c r="AB300" i="2" s="1"/>
  <c r="Q300" i="2"/>
  <c r="P300" i="2"/>
  <c r="O300" i="2"/>
  <c r="Y300" i="2" s="1"/>
  <c r="N300" i="2"/>
  <c r="X300" i="2" s="1"/>
  <c r="M300" i="2"/>
  <c r="W300" i="2" s="1"/>
  <c r="L300" i="2"/>
  <c r="AE299" i="2"/>
  <c r="AD299" i="2"/>
  <c r="Z299" i="2"/>
  <c r="W299" i="2"/>
  <c r="U299" i="2"/>
  <c r="T299" i="2"/>
  <c r="S299" i="2"/>
  <c r="AC299" i="2" s="1"/>
  <c r="R299" i="2"/>
  <c r="AB299" i="2" s="1"/>
  <c r="Q299" i="2"/>
  <c r="AA299" i="2" s="1"/>
  <c r="P299" i="2"/>
  <c r="O299" i="2"/>
  <c r="Y299" i="2" s="1"/>
  <c r="N299" i="2"/>
  <c r="X299" i="2" s="1"/>
  <c r="M299" i="2"/>
  <c r="L299" i="2"/>
  <c r="V299" i="2" s="1"/>
  <c r="AD298" i="2"/>
  <c r="AA298" i="2"/>
  <c r="X298" i="2"/>
  <c r="W298" i="2"/>
  <c r="V298" i="2"/>
  <c r="U298" i="2"/>
  <c r="AE298" i="2" s="1"/>
  <c r="T298" i="2"/>
  <c r="S298" i="2"/>
  <c r="AC298" i="2" s="1"/>
  <c r="R298" i="2"/>
  <c r="AB298" i="2" s="1"/>
  <c r="Q298" i="2"/>
  <c r="P298" i="2"/>
  <c r="Z298" i="2" s="1"/>
  <c r="O298" i="2"/>
  <c r="Y298" i="2" s="1"/>
  <c r="N298" i="2"/>
  <c r="M298" i="2"/>
  <c r="L298" i="2"/>
  <c r="AE297" i="2"/>
  <c r="AB297" i="2"/>
  <c r="AA297" i="2"/>
  <c r="Z297" i="2"/>
  <c r="Y297" i="2"/>
  <c r="V297" i="2"/>
  <c r="U297" i="2"/>
  <c r="T297" i="2"/>
  <c r="AD297" i="2" s="1"/>
  <c r="S297" i="2"/>
  <c r="AC297" i="2" s="1"/>
  <c r="R297" i="2"/>
  <c r="Q297" i="2"/>
  <c r="P297" i="2"/>
  <c r="O297" i="2"/>
  <c r="N297" i="2"/>
  <c r="X297" i="2" s="1"/>
  <c r="M297" i="2"/>
  <c r="W297" i="2" s="1"/>
  <c r="L297" i="2"/>
  <c r="AD296" i="2"/>
  <c r="AC296" i="2"/>
  <c r="Z296" i="2"/>
  <c r="V296" i="2"/>
  <c r="U296" i="2"/>
  <c r="AE296" i="2" s="1"/>
  <c r="T296" i="2"/>
  <c r="S296" i="2"/>
  <c r="R296" i="2"/>
  <c r="AB296" i="2" s="1"/>
  <c r="Q296" i="2"/>
  <c r="AA296" i="2" s="1"/>
  <c r="P296" i="2"/>
  <c r="O296" i="2"/>
  <c r="Y296" i="2" s="1"/>
  <c r="N296" i="2"/>
  <c r="X296" i="2" s="1"/>
  <c r="M296" i="2"/>
  <c r="W296" i="2" s="1"/>
  <c r="L296" i="2"/>
  <c r="AD295" i="2"/>
  <c r="Z295" i="2"/>
  <c r="W295" i="2"/>
  <c r="U295" i="2"/>
  <c r="AE295" i="2" s="1"/>
  <c r="T295" i="2"/>
  <c r="S295" i="2"/>
  <c r="AC295" i="2" s="1"/>
  <c r="R295" i="2"/>
  <c r="AB295" i="2" s="1"/>
  <c r="Q295" i="2"/>
  <c r="AA295" i="2" s="1"/>
  <c r="P295" i="2"/>
  <c r="O295" i="2"/>
  <c r="Y295" i="2" s="1"/>
  <c r="N295" i="2"/>
  <c r="X295" i="2" s="1"/>
  <c r="M295" i="2"/>
  <c r="L295" i="2"/>
  <c r="V295" i="2" s="1"/>
  <c r="AA294" i="2"/>
  <c r="X294" i="2"/>
  <c r="W294" i="2"/>
  <c r="V294" i="2"/>
  <c r="U294" i="2"/>
  <c r="AE294" i="2" s="1"/>
  <c r="T294" i="2"/>
  <c r="AD294" i="2" s="1"/>
  <c r="S294" i="2"/>
  <c r="AC294" i="2" s="1"/>
  <c r="R294" i="2"/>
  <c r="AB294" i="2" s="1"/>
  <c r="Q294" i="2"/>
  <c r="P294" i="2"/>
  <c r="Z294" i="2" s="1"/>
  <c r="O294" i="2"/>
  <c r="Y294" i="2" s="1"/>
  <c r="N294" i="2"/>
  <c r="M294" i="2"/>
  <c r="L294" i="2"/>
  <c r="AE293" i="2"/>
  <c r="AB293" i="2"/>
  <c r="AA293" i="2"/>
  <c r="Z293" i="2"/>
  <c r="Y293" i="2"/>
  <c r="W293" i="2"/>
  <c r="V293" i="2"/>
  <c r="U293" i="2"/>
  <c r="T293" i="2"/>
  <c r="AD293" i="2" s="1"/>
  <c r="S293" i="2"/>
  <c r="AC293" i="2" s="1"/>
  <c r="R293" i="2"/>
  <c r="Q293" i="2"/>
  <c r="P293" i="2"/>
  <c r="O293" i="2"/>
  <c r="N293" i="2"/>
  <c r="X293" i="2" s="1"/>
  <c r="M293" i="2"/>
  <c r="L293" i="2"/>
  <c r="AD292" i="2"/>
  <c r="AC292" i="2"/>
  <c r="AA292" i="2"/>
  <c r="Z292" i="2"/>
  <c r="U292" i="2"/>
  <c r="AE292" i="2" s="1"/>
  <c r="T292" i="2"/>
  <c r="S292" i="2"/>
  <c r="R292" i="2"/>
  <c r="AB292" i="2" s="1"/>
  <c r="Q292" i="2"/>
  <c r="P292" i="2"/>
  <c r="O292" i="2"/>
  <c r="Y292" i="2" s="1"/>
  <c r="N292" i="2"/>
  <c r="X292" i="2" s="1"/>
  <c r="M292" i="2"/>
  <c r="W292" i="2" s="1"/>
  <c r="L292" i="2"/>
  <c r="V292" i="2" s="1"/>
  <c r="AE291" i="2"/>
  <c r="AD291" i="2"/>
  <c r="W291" i="2"/>
  <c r="U291" i="2"/>
  <c r="T291" i="2"/>
  <c r="S291" i="2"/>
  <c r="AC291" i="2" s="1"/>
  <c r="R291" i="2"/>
  <c r="AB291" i="2" s="1"/>
  <c r="Q291" i="2"/>
  <c r="AA291" i="2" s="1"/>
  <c r="P291" i="2"/>
  <c r="Z291" i="2" s="1"/>
  <c r="O291" i="2"/>
  <c r="Y291" i="2" s="1"/>
  <c r="N291" i="2"/>
  <c r="X291" i="2" s="1"/>
  <c r="M291" i="2"/>
  <c r="L291" i="2"/>
  <c r="V291" i="2" s="1"/>
  <c r="AA290" i="2"/>
  <c r="X290" i="2"/>
  <c r="W290" i="2"/>
  <c r="V290" i="2"/>
  <c r="U290" i="2"/>
  <c r="AE290" i="2" s="1"/>
  <c r="T290" i="2"/>
  <c r="AD290" i="2" s="1"/>
  <c r="S290" i="2"/>
  <c r="AC290" i="2" s="1"/>
  <c r="R290" i="2"/>
  <c r="AB290" i="2" s="1"/>
  <c r="Q290" i="2"/>
  <c r="P290" i="2"/>
  <c r="Z290" i="2" s="1"/>
  <c r="O290" i="2"/>
  <c r="Y290" i="2" s="1"/>
  <c r="N290" i="2"/>
  <c r="M290" i="2"/>
  <c r="L290" i="2"/>
  <c r="AE289" i="2"/>
  <c r="AB289" i="2"/>
  <c r="AA289" i="2"/>
  <c r="Z289" i="2"/>
  <c r="Y289" i="2"/>
  <c r="X289" i="2"/>
  <c r="W289" i="2"/>
  <c r="V289" i="2"/>
  <c r="U289" i="2"/>
  <c r="T289" i="2"/>
  <c r="AD289" i="2" s="1"/>
  <c r="S289" i="2"/>
  <c r="AC289" i="2" s="1"/>
  <c r="R289" i="2"/>
  <c r="Q289" i="2"/>
  <c r="P289" i="2"/>
  <c r="O289" i="2"/>
  <c r="N289" i="2"/>
  <c r="M289" i="2"/>
  <c r="L289" i="2"/>
  <c r="AE288" i="2"/>
  <c r="AD288" i="2"/>
  <c r="AC288" i="2"/>
  <c r="AB288" i="2"/>
  <c r="AA288" i="2"/>
  <c r="Z288" i="2"/>
  <c r="U288" i="2"/>
  <c r="T288" i="2"/>
  <c r="S288" i="2"/>
  <c r="R288" i="2"/>
  <c r="Q288" i="2"/>
  <c r="P288" i="2"/>
  <c r="O288" i="2"/>
  <c r="Y288" i="2" s="1"/>
  <c r="N288" i="2"/>
  <c r="X288" i="2" s="1"/>
  <c r="M288" i="2"/>
  <c r="W288" i="2" s="1"/>
  <c r="L288" i="2"/>
  <c r="V288" i="2" s="1"/>
  <c r="AE287" i="2"/>
  <c r="AD287" i="2"/>
  <c r="W287" i="2"/>
  <c r="U287" i="2"/>
  <c r="T287" i="2"/>
  <c r="S287" i="2"/>
  <c r="AC287" i="2" s="1"/>
  <c r="R287" i="2"/>
  <c r="AB287" i="2" s="1"/>
  <c r="Q287" i="2"/>
  <c r="AA287" i="2" s="1"/>
  <c r="P287" i="2"/>
  <c r="Z287" i="2" s="1"/>
  <c r="O287" i="2"/>
  <c r="Y287" i="2" s="1"/>
  <c r="N287" i="2"/>
  <c r="X287" i="2" s="1"/>
  <c r="M287" i="2"/>
  <c r="L287" i="2"/>
  <c r="V287" i="2" s="1"/>
  <c r="AA286" i="2"/>
  <c r="X286" i="2"/>
  <c r="W286" i="2"/>
  <c r="V286" i="2"/>
  <c r="U286" i="2"/>
  <c r="AE286" i="2" s="1"/>
  <c r="T286" i="2"/>
  <c r="AD286" i="2" s="1"/>
  <c r="S286" i="2"/>
  <c r="AC286" i="2" s="1"/>
  <c r="R286" i="2"/>
  <c r="AB286" i="2" s="1"/>
  <c r="Q286" i="2"/>
  <c r="P286" i="2"/>
  <c r="Z286" i="2" s="1"/>
  <c r="O286" i="2"/>
  <c r="Y286" i="2" s="1"/>
  <c r="N286" i="2"/>
  <c r="M286" i="2"/>
  <c r="L286" i="2"/>
  <c r="AE285" i="2"/>
  <c r="AB285" i="2"/>
  <c r="AA285" i="2"/>
  <c r="Z285" i="2"/>
  <c r="Y285" i="2"/>
  <c r="X285" i="2"/>
  <c r="W285" i="2"/>
  <c r="V285" i="2"/>
  <c r="U285" i="2"/>
  <c r="T285" i="2"/>
  <c r="AD285" i="2" s="1"/>
  <c r="S285" i="2"/>
  <c r="AC285" i="2" s="1"/>
  <c r="R285" i="2"/>
  <c r="Q285" i="2"/>
  <c r="P285" i="2"/>
  <c r="O285" i="2"/>
  <c r="N285" i="2"/>
  <c r="M285" i="2"/>
  <c r="L285" i="2"/>
  <c r="AE284" i="2"/>
  <c r="AD284" i="2"/>
  <c r="AC284" i="2"/>
  <c r="AB284" i="2"/>
  <c r="AA284" i="2"/>
  <c r="Z284" i="2"/>
  <c r="U284" i="2"/>
  <c r="T284" i="2"/>
  <c r="S284" i="2"/>
  <c r="R284" i="2"/>
  <c r="Q284" i="2"/>
  <c r="P284" i="2"/>
  <c r="O284" i="2"/>
  <c r="Y284" i="2" s="1"/>
  <c r="N284" i="2"/>
  <c r="X284" i="2" s="1"/>
  <c r="M284" i="2"/>
  <c r="W284" i="2" s="1"/>
  <c r="L284" i="2"/>
  <c r="V284" i="2" s="1"/>
  <c r="AE283" i="2"/>
  <c r="AD283" i="2"/>
  <c r="W283" i="2"/>
  <c r="U283" i="2"/>
  <c r="T283" i="2"/>
  <c r="S283" i="2"/>
  <c r="AC283" i="2" s="1"/>
  <c r="R283" i="2"/>
  <c r="AB283" i="2" s="1"/>
  <c r="Q283" i="2"/>
  <c r="AA283" i="2" s="1"/>
  <c r="P283" i="2"/>
  <c r="Z283" i="2" s="1"/>
  <c r="O283" i="2"/>
  <c r="Y283" i="2" s="1"/>
  <c r="N283" i="2"/>
  <c r="X283" i="2" s="1"/>
  <c r="M283" i="2"/>
  <c r="L283" i="2"/>
  <c r="V283" i="2" s="1"/>
  <c r="AA282" i="2"/>
  <c r="X282" i="2"/>
  <c r="W282" i="2"/>
  <c r="V282" i="2"/>
  <c r="U282" i="2"/>
  <c r="AE282" i="2" s="1"/>
  <c r="T282" i="2"/>
  <c r="AD282" i="2" s="1"/>
  <c r="S282" i="2"/>
  <c r="AC282" i="2" s="1"/>
  <c r="R282" i="2"/>
  <c r="AB282" i="2" s="1"/>
  <c r="Q282" i="2"/>
  <c r="P282" i="2"/>
  <c r="Z282" i="2" s="1"/>
  <c r="O282" i="2"/>
  <c r="Y282" i="2" s="1"/>
  <c r="N282" i="2"/>
  <c r="M282" i="2"/>
  <c r="L282" i="2"/>
  <c r="AE281" i="2"/>
  <c r="AB281" i="2"/>
  <c r="AA281" i="2"/>
  <c r="Z281" i="2"/>
  <c r="Y281" i="2"/>
  <c r="X281" i="2"/>
  <c r="W281" i="2"/>
  <c r="V281" i="2"/>
  <c r="U281" i="2"/>
  <c r="T281" i="2"/>
  <c r="AD281" i="2" s="1"/>
  <c r="S281" i="2"/>
  <c r="AC281" i="2" s="1"/>
  <c r="R281" i="2"/>
  <c r="Q281" i="2"/>
  <c r="P281" i="2"/>
  <c r="O281" i="2"/>
  <c r="N281" i="2"/>
  <c r="M281" i="2"/>
  <c r="L281" i="2"/>
  <c r="AE280" i="2"/>
  <c r="AD280" i="2"/>
  <c r="AC280" i="2"/>
  <c r="AB280" i="2"/>
  <c r="AA280" i="2"/>
  <c r="Z280" i="2"/>
  <c r="U280" i="2"/>
  <c r="T280" i="2"/>
  <c r="S280" i="2"/>
  <c r="R280" i="2"/>
  <c r="Q280" i="2"/>
  <c r="P280" i="2"/>
  <c r="O280" i="2"/>
  <c r="Y280" i="2" s="1"/>
  <c r="N280" i="2"/>
  <c r="X280" i="2" s="1"/>
  <c r="M280" i="2"/>
  <c r="W280" i="2" s="1"/>
  <c r="L280" i="2"/>
  <c r="V280" i="2" s="1"/>
  <c r="AE279" i="2"/>
  <c r="AD279" i="2"/>
  <c r="W279" i="2"/>
  <c r="U279" i="2"/>
  <c r="T279" i="2"/>
  <c r="S279" i="2"/>
  <c r="AC279" i="2" s="1"/>
  <c r="R279" i="2"/>
  <c r="AB279" i="2" s="1"/>
  <c r="Q279" i="2"/>
  <c r="AA279" i="2" s="1"/>
  <c r="P279" i="2"/>
  <c r="Z279" i="2" s="1"/>
  <c r="O279" i="2"/>
  <c r="Y279" i="2" s="1"/>
  <c r="N279" i="2"/>
  <c r="X279" i="2" s="1"/>
  <c r="M279" i="2"/>
  <c r="L279" i="2"/>
  <c r="V279" i="2" s="1"/>
  <c r="AA278" i="2"/>
  <c r="X278" i="2"/>
  <c r="W278" i="2"/>
  <c r="V278" i="2"/>
  <c r="U278" i="2"/>
  <c r="AE278" i="2" s="1"/>
  <c r="T278" i="2"/>
  <c r="AD278" i="2" s="1"/>
  <c r="S278" i="2"/>
  <c r="AC278" i="2" s="1"/>
  <c r="R278" i="2"/>
  <c r="AB278" i="2" s="1"/>
  <c r="Q278" i="2"/>
  <c r="P278" i="2"/>
  <c r="Z278" i="2" s="1"/>
  <c r="O278" i="2"/>
  <c r="Y278" i="2" s="1"/>
  <c r="N278" i="2"/>
  <c r="M278" i="2"/>
  <c r="L278" i="2"/>
  <c r="AE277" i="2"/>
  <c r="AB277" i="2"/>
  <c r="AA277" i="2"/>
  <c r="Z277" i="2"/>
  <c r="Y277" i="2"/>
  <c r="X277" i="2"/>
  <c r="W277" i="2"/>
  <c r="V277" i="2"/>
  <c r="U277" i="2"/>
  <c r="T277" i="2"/>
  <c r="AD277" i="2" s="1"/>
  <c r="S277" i="2"/>
  <c r="AC277" i="2" s="1"/>
  <c r="R277" i="2"/>
  <c r="Q277" i="2"/>
  <c r="P277" i="2"/>
  <c r="O277" i="2"/>
  <c r="N277" i="2"/>
  <c r="M277" i="2"/>
  <c r="L277" i="2"/>
  <c r="AE276" i="2"/>
  <c r="AD276" i="2"/>
  <c r="AC276" i="2"/>
  <c r="AB276" i="2"/>
  <c r="AA276" i="2"/>
  <c r="Z276" i="2"/>
  <c r="U276" i="2"/>
  <c r="T276" i="2"/>
  <c r="S276" i="2"/>
  <c r="R276" i="2"/>
  <c r="Q276" i="2"/>
  <c r="P276" i="2"/>
  <c r="O276" i="2"/>
  <c r="Y276" i="2" s="1"/>
  <c r="N276" i="2"/>
  <c r="X276" i="2" s="1"/>
  <c r="M276" i="2"/>
  <c r="W276" i="2" s="1"/>
  <c r="L276" i="2"/>
  <c r="V276" i="2" s="1"/>
  <c r="AE275" i="2"/>
  <c r="AD275" i="2"/>
  <c r="W275" i="2"/>
  <c r="U275" i="2"/>
  <c r="T275" i="2"/>
  <c r="S275" i="2"/>
  <c r="AC275" i="2" s="1"/>
  <c r="R275" i="2"/>
  <c r="AB275" i="2" s="1"/>
  <c r="Q275" i="2"/>
  <c r="AA275" i="2" s="1"/>
  <c r="P275" i="2"/>
  <c r="Z275" i="2" s="1"/>
  <c r="O275" i="2"/>
  <c r="Y275" i="2" s="1"/>
  <c r="N275" i="2"/>
  <c r="X275" i="2" s="1"/>
  <c r="M275" i="2"/>
  <c r="L275" i="2"/>
  <c r="V275" i="2" s="1"/>
  <c r="AA274" i="2"/>
  <c r="X274" i="2"/>
  <c r="W274" i="2"/>
  <c r="V274" i="2"/>
  <c r="U274" i="2"/>
  <c r="AE274" i="2" s="1"/>
  <c r="T274" i="2"/>
  <c r="AD274" i="2" s="1"/>
  <c r="S274" i="2"/>
  <c r="AC274" i="2" s="1"/>
  <c r="R274" i="2"/>
  <c r="AB274" i="2" s="1"/>
  <c r="Q274" i="2"/>
  <c r="P274" i="2"/>
  <c r="Z274" i="2" s="1"/>
  <c r="O274" i="2"/>
  <c r="Y274" i="2" s="1"/>
  <c r="N274" i="2"/>
  <c r="M274" i="2"/>
  <c r="L274" i="2"/>
  <c r="AB273" i="2"/>
  <c r="AA273" i="2"/>
  <c r="Z273" i="2"/>
  <c r="Y273" i="2"/>
  <c r="X273" i="2"/>
  <c r="W273" i="2"/>
  <c r="V273" i="2"/>
  <c r="U273" i="2"/>
  <c r="AE273" i="2" s="1"/>
  <c r="T273" i="2"/>
  <c r="AD273" i="2" s="1"/>
  <c r="S273" i="2"/>
  <c r="AC273" i="2" s="1"/>
  <c r="R273" i="2"/>
  <c r="Q273" i="2"/>
  <c r="P273" i="2"/>
  <c r="O273" i="2"/>
  <c r="N273" i="2"/>
  <c r="M273" i="2"/>
  <c r="L273" i="2"/>
  <c r="AE272" i="2"/>
  <c r="AD272" i="2"/>
  <c r="AC272" i="2"/>
  <c r="AB272" i="2"/>
  <c r="AA272" i="2"/>
  <c r="Z272" i="2"/>
  <c r="U272" i="2"/>
  <c r="T272" i="2"/>
  <c r="S272" i="2"/>
  <c r="R272" i="2"/>
  <c r="Q272" i="2"/>
  <c r="P272" i="2"/>
  <c r="O272" i="2"/>
  <c r="Y272" i="2" s="1"/>
  <c r="N272" i="2"/>
  <c r="X272" i="2" s="1"/>
  <c r="M272" i="2"/>
  <c r="W272" i="2" s="1"/>
  <c r="L272" i="2"/>
  <c r="V272" i="2" s="1"/>
  <c r="AE271" i="2"/>
  <c r="AD271" i="2"/>
  <c r="W271" i="2"/>
  <c r="U271" i="2"/>
  <c r="T271" i="2"/>
  <c r="S271" i="2"/>
  <c r="AC271" i="2" s="1"/>
  <c r="R271" i="2"/>
  <c r="AB271" i="2" s="1"/>
  <c r="Q271" i="2"/>
  <c r="AA271" i="2" s="1"/>
  <c r="P271" i="2"/>
  <c r="Z271" i="2" s="1"/>
  <c r="O271" i="2"/>
  <c r="Y271" i="2" s="1"/>
  <c r="N271" i="2"/>
  <c r="X271" i="2" s="1"/>
  <c r="M271" i="2"/>
  <c r="L271" i="2"/>
  <c r="V271" i="2" s="1"/>
  <c r="AA270" i="2"/>
  <c r="X270" i="2"/>
  <c r="W270" i="2"/>
  <c r="V270" i="2"/>
  <c r="U270" i="2"/>
  <c r="AE270" i="2" s="1"/>
  <c r="T270" i="2"/>
  <c r="AD270" i="2" s="1"/>
  <c r="S270" i="2"/>
  <c r="AC270" i="2" s="1"/>
  <c r="R270" i="2"/>
  <c r="AB270" i="2" s="1"/>
  <c r="Q270" i="2"/>
  <c r="P270" i="2"/>
  <c r="Z270" i="2" s="1"/>
  <c r="O270" i="2"/>
  <c r="Y270" i="2" s="1"/>
  <c r="N270" i="2"/>
  <c r="M270" i="2"/>
  <c r="L270" i="2"/>
  <c r="AE269" i="2"/>
  <c r="AB269" i="2"/>
  <c r="AA269" i="2"/>
  <c r="Z269" i="2"/>
  <c r="Y269" i="2"/>
  <c r="X269" i="2"/>
  <c r="W269" i="2"/>
  <c r="V269" i="2"/>
  <c r="U269" i="2"/>
  <c r="T269" i="2"/>
  <c r="AD269" i="2" s="1"/>
  <c r="S269" i="2"/>
  <c r="AC269" i="2" s="1"/>
  <c r="R269" i="2"/>
  <c r="Q269" i="2"/>
  <c r="P269" i="2"/>
  <c r="O269" i="2"/>
  <c r="N269" i="2"/>
  <c r="M269" i="2"/>
  <c r="L269" i="2"/>
  <c r="AE268" i="2"/>
  <c r="AD268" i="2"/>
  <c r="AC268" i="2"/>
  <c r="AB268" i="2"/>
  <c r="AA268" i="2"/>
  <c r="Z268" i="2"/>
  <c r="U268" i="2"/>
  <c r="T268" i="2"/>
  <c r="S268" i="2"/>
  <c r="R268" i="2"/>
  <c r="Q268" i="2"/>
  <c r="P268" i="2"/>
  <c r="O268" i="2"/>
  <c r="Y268" i="2" s="1"/>
  <c r="N268" i="2"/>
  <c r="X268" i="2" s="1"/>
  <c r="M268" i="2"/>
  <c r="W268" i="2" s="1"/>
  <c r="L268" i="2"/>
  <c r="V268" i="2" s="1"/>
  <c r="AE267" i="2"/>
  <c r="AD267" i="2"/>
  <c r="W267" i="2"/>
  <c r="U267" i="2"/>
  <c r="T267" i="2"/>
  <c r="S267" i="2"/>
  <c r="AC267" i="2" s="1"/>
  <c r="R267" i="2"/>
  <c r="AB267" i="2" s="1"/>
  <c r="Q267" i="2"/>
  <c r="AA267" i="2" s="1"/>
  <c r="P267" i="2"/>
  <c r="Z267" i="2" s="1"/>
  <c r="O267" i="2"/>
  <c r="Y267" i="2" s="1"/>
  <c r="N267" i="2"/>
  <c r="X267" i="2" s="1"/>
  <c r="M267" i="2"/>
  <c r="L267" i="2"/>
  <c r="V267" i="2" s="1"/>
  <c r="AA266" i="2"/>
  <c r="X266" i="2"/>
  <c r="W266" i="2"/>
  <c r="V266" i="2"/>
  <c r="U266" i="2"/>
  <c r="AE266" i="2" s="1"/>
  <c r="T266" i="2"/>
  <c r="AD266" i="2" s="1"/>
  <c r="S266" i="2"/>
  <c r="AC266" i="2" s="1"/>
  <c r="R266" i="2"/>
  <c r="AB266" i="2" s="1"/>
  <c r="Q266" i="2"/>
  <c r="P266" i="2"/>
  <c r="Z266" i="2" s="1"/>
  <c r="O266" i="2"/>
  <c r="Y266" i="2" s="1"/>
  <c r="N266" i="2"/>
  <c r="M266" i="2"/>
  <c r="L266" i="2"/>
  <c r="AE265" i="2"/>
  <c r="AB265" i="2"/>
  <c r="AA265" i="2"/>
  <c r="Z265" i="2"/>
  <c r="Y265" i="2"/>
  <c r="X265" i="2"/>
  <c r="W265" i="2"/>
  <c r="V265" i="2"/>
  <c r="U265" i="2"/>
  <c r="T265" i="2"/>
  <c r="AD265" i="2" s="1"/>
  <c r="S265" i="2"/>
  <c r="AC265" i="2" s="1"/>
  <c r="R265" i="2"/>
  <c r="Q265" i="2"/>
  <c r="P265" i="2"/>
  <c r="O265" i="2"/>
  <c r="N265" i="2"/>
  <c r="M265" i="2"/>
  <c r="L265" i="2"/>
  <c r="AE264" i="2"/>
  <c r="AD264" i="2"/>
  <c r="AC264" i="2"/>
  <c r="AB264" i="2"/>
  <c r="AA264" i="2"/>
  <c r="Z264" i="2"/>
  <c r="U264" i="2"/>
  <c r="T264" i="2"/>
  <c r="S264" i="2"/>
  <c r="R264" i="2"/>
  <c r="Q264" i="2"/>
  <c r="P264" i="2"/>
  <c r="O264" i="2"/>
  <c r="Y264" i="2" s="1"/>
  <c r="N264" i="2"/>
  <c r="X264" i="2" s="1"/>
  <c r="M264" i="2"/>
  <c r="W264" i="2" s="1"/>
  <c r="L264" i="2"/>
  <c r="V264" i="2" s="1"/>
  <c r="AE263" i="2"/>
  <c r="AD263" i="2"/>
  <c r="W263" i="2"/>
  <c r="U263" i="2"/>
  <c r="T263" i="2"/>
  <c r="S263" i="2"/>
  <c r="AC263" i="2" s="1"/>
  <c r="R263" i="2"/>
  <c r="AB263" i="2" s="1"/>
  <c r="Q263" i="2"/>
  <c r="AA263" i="2" s="1"/>
  <c r="P263" i="2"/>
  <c r="Z263" i="2" s="1"/>
  <c r="O263" i="2"/>
  <c r="Y263" i="2" s="1"/>
  <c r="N263" i="2"/>
  <c r="X263" i="2" s="1"/>
  <c r="M263" i="2"/>
  <c r="L263" i="2"/>
  <c r="V263" i="2" s="1"/>
  <c r="AA262" i="2"/>
  <c r="X262" i="2"/>
  <c r="W262" i="2"/>
  <c r="V262" i="2"/>
  <c r="U262" i="2"/>
  <c r="AE262" i="2" s="1"/>
  <c r="T262" i="2"/>
  <c r="AD262" i="2" s="1"/>
  <c r="S262" i="2"/>
  <c r="AC262" i="2" s="1"/>
  <c r="R262" i="2"/>
  <c r="AB262" i="2" s="1"/>
  <c r="Q262" i="2"/>
  <c r="P262" i="2"/>
  <c r="Z262" i="2" s="1"/>
  <c r="O262" i="2"/>
  <c r="Y262" i="2" s="1"/>
  <c r="N262" i="2"/>
  <c r="M262" i="2"/>
  <c r="L262" i="2"/>
  <c r="AB261" i="2"/>
  <c r="AA261" i="2"/>
  <c r="Z261" i="2"/>
  <c r="Y261" i="2"/>
  <c r="X261" i="2"/>
  <c r="W261" i="2"/>
  <c r="V261" i="2"/>
  <c r="U261" i="2"/>
  <c r="AE261" i="2" s="1"/>
  <c r="T261" i="2"/>
  <c r="AD261" i="2" s="1"/>
  <c r="S261" i="2"/>
  <c r="AC261" i="2" s="1"/>
  <c r="R261" i="2"/>
  <c r="Q261" i="2"/>
  <c r="P261" i="2"/>
  <c r="O261" i="2"/>
  <c r="N261" i="2"/>
  <c r="M261" i="2"/>
  <c r="L261" i="2"/>
  <c r="AD260" i="2"/>
  <c r="AC260" i="2"/>
  <c r="AB260" i="2"/>
  <c r="AA260" i="2"/>
  <c r="Z260" i="2"/>
  <c r="U260" i="2"/>
  <c r="AE260" i="2" s="1"/>
  <c r="T260" i="2"/>
  <c r="S260" i="2"/>
  <c r="R260" i="2"/>
  <c r="Q260" i="2"/>
  <c r="P260" i="2"/>
  <c r="O260" i="2"/>
  <c r="Y260" i="2" s="1"/>
  <c r="N260" i="2"/>
  <c r="X260" i="2" s="1"/>
  <c r="M260" i="2"/>
  <c r="W260" i="2" s="1"/>
  <c r="L260" i="2"/>
  <c r="V260" i="2" s="1"/>
  <c r="AE259" i="2"/>
  <c r="AD259" i="2"/>
  <c r="W259" i="2"/>
  <c r="U259" i="2"/>
  <c r="T259" i="2"/>
  <c r="S259" i="2"/>
  <c r="AC259" i="2" s="1"/>
  <c r="R259" i="2"/>
  <c r="AB259" i="2" s="1"/>
  <c r="Q259" i="2"/>
  <c r="AA259" i="2" s="1"/>
  <c r="P259" i="2"/>
  <c r="Z259" i="2" s="1"/>
  <c r="O259" i="2"/>
  <c r="Y259" i="2" s="1"/>
  <c r="N259" i="2"/>
  <c r="X259" i="2" s="1"/>
  <c r="M259" i="2"/>
  <c r="L259" i="2"/>
  <c r="V259" i="2" s="1"/>
  <c r="X258" i="2"/>
  <c r="W258" i="2"/>
  <c r="V258" i="2"/>
  <c r="U258" i="2"/>
  <c r="AE258" i="2" s="1"/>
  <c r="T258" i="2"/>
  <c r="AD258" i="2" s="1"/>
  <c r="S258" i="2"/>
  <c r="AC258" i="2" s="1"/>
  <c r="R258" i="2"/>
  <c r="AB258" i="2" s="1"/>
  <c r="Q258" i="2"/>
  <c r="AA258" i="2" s="1"/>
  <c r="P258" i="2"/>
  <c r="Z258" i="2" s="1"/>
  <c r="O258" i="2"/>
  <c r="Y258" i="2" s="1"/>
  <c r="N258" i="2"/>
  <c r="M258" i="2"/>
  <c r="L258" i="2"/>
  <c r="AB257" i="2"/>
  <c r="AA257" i="2"/>
  <c r="Z257" i="2"/>
  <c r="Y257" i="2"/>
  <c r="X257" i="2"/>
  <c r="W257" i="2"/>
  <c r="V257" i="2"/>
  <c r="U257" i="2"/>
  <c r="AE257" i="2" s="1"/>
  <c r="T257" i="2"/>
  <c r="AD257" i="2" s="1"/>
  <c r="S257" i="2"/>
  <c r="AC257" i="2" s="1"/>
  <c r="R257" i="2"/>
  <c r="Q257" i="2"/>
  <c r="P257" i="2"/>
  <c r="O257" i="2"/>
  <c r="N257" i="2"/>
  <c r="M257" i="2"/>
  <c r="L257" i="2"/>
  <c r="AE256" i="2"/>
  <c r="AD256" i="2"/>
  <c r="AC256" i="2"/>
  <c r="AB256" i="2"/>
  <c r="AA256" i="2"/>
  <c r="Z256" i="2"/>
  <c r="U256" i="2"/>
  <c r="T256" i="2"/>
  <c r="S256" i="2"/>
  <c r="R256" i="2"/>
  <c r="Q256" i="2"/>
  <c r="P256" i="2"/>
  <c r="O256" i="2"/>
  <c r="Y256" i="2" s="1"/>
  <c r="N256" i="2"/>
  <c r="X256" i="2" s="1"/>
  <c r="M256" i="2"/>
  <c r="W256" i="2" s="1"/>
  <c r="L256" i="2"/>
  <c r="V256" i="2" s="1"/>
  <c r="AE255" i="2"/>
  <c r="AD255" i="2"/>
  <c r="U255" i="2"/>
  <c r="T255" i="2"/>
  <c r="S255" i="2"/>
  <c r="AC255" i="2" s="1"/>
  <c r="R255" i="2"/>
  <c r="AB255" i="2" s="1"/>
  <c r="Q255" i="2"/>
  <c r="AA255" i="2" s="1"/>
  <c r="P255" i="2"/>
  <c r="Z255" i="2" s="1"/>
  <c r="O255" i="2"/>
  <c r="Y255" i="2" s="1"/>
  <c r="N255" i="2"/>
  <c r="X255" i="2" s="1"/>
  <c r="M255" i="2"/>
  <c r="W255" i="2" s="1"/>
  <c r="L255" i="2"/>
  <c r="V255" i="2" s="1"/>
  <c r="X254" i="2"/>
  <c r="W254" i="2"/>
  <c r="V254" i="2"/>
  <c r="U254" i="2"/>
  <c r="AE254" i="2" s="1"/>
  <c r="T254" i="2"/>
  <c r="AD254" i="2" s="1"/>
  <c r="S254" i="2"/>
  <c r="AC254" i="2" s="1"/>
  <c r="R254" i="2"/>
  <c r="AB254" i="2" s="1"/>
  <c r="Q254" i="2"/>
  <c r="AA254" i="2" s="1"/>
  <c r="P254" i="2"/>
  <c r="Z254" i="2" s="1"/>
  <c r="O254" i="2"/>
  <c r="Y254" i="2" s="1"/>
  <c r="N254" i="2"/>
  <c r="M254" i="2"/>
  <c r="L254" i="2"/>
  <c r="AB253" i="2"/>
  <c r="AA253" i="2"/>
  <c r="Z253" i="2"/>
  <c r="Y253" i="2"/>
  <c r="X253" i="2"/>
  <c r="W253" i="2"/>
  <c r="V253" i="2"/>
  <c r="U253" i="2"/>
  <c r="AE253" i="2" s="1"/>
  <c r="T253" i="2"/>
  <c r="AD253" i="2" s="1"/>
  <c r="S253" i="2"/>
  <c r="AC253" i="2" s="1"/>
  <c r="R253" i="2"/>
  <c r="Q253" i="2"/>
  <c r="P253" i="2"/>
  <c r="O253" i="2"/>
  <c r="N253" i="2"/>
  <c r="M253" i="2"/>
  <c r="L253" i="2"/>
  <c r="AE252" i="2"/>
  <c r="AD252" i="2"/>
  <c r="AC252" i="2"/>
  <c r="AB252" i="2"/>
  <c r="AA252" i="2"/>
  <c r="Z252" i="2"/>
  <c r="U252" i="2"/>
  <c r="T252" i="2"/>
  <c r="S252" i="2"/>
  <c r="R252" i="2"/>
  <c r="Q252" i="2"/>
  <c r="P252" i="2"/>
  <c r="O252" i="2"/>
  <c r="Y252" i="2" s="1"/>
  <c r="N252" i="2"/>
  <c r="X252" i="2" s="1"/>
  <c r="M252" i="2"/>
  <c r="W252" i="2" s="1"/>
  <c r="L252" i="2"/>
  <c r="V252" i="2" s="1"/>
  <c r="AE251" i="2"/>
  <c r="AD251" i="2"/>
  <c r="U251" i="2"/>
  <c r="T251" i="2"/>
  <c r="S251" i="2"/>
  <c r="AC251" i="2" s="1"/>
  <c r="R251" i="2"/>
  <c r="AB251" i="2" s="1"/>
  <c r="Q251" i="2"/>
  <c r="AA251" i="2" s="1"/>
  <c r="P251" i="2"/>
  <c r="Z251" i="2" s="1"/>
  <c r="O251" i="2"/>
  <c r="Y251" i="2" s="1"/>
  <c r="N251" i="2"/>
  <c r="X251" i="2" s="1"/>
  <c r="M251" i="2"/>
  <c r="W251" i="2" s="1"/>
  <c r="L251" i="2"/>
  <c r="V251" i="2" s="1"/>
  <c r="X250" i="2"/>
  <c r="W250" i="2"/>
  <c r="V250" i="2"/>
  <c r="U250" i="2"/>
  <c r="AE250" i="2" s="1"/>
  <c r="T250" i="2"/>
  <c r="AD250" i="2" s="1"/>
  <c r="S250" i="2"/>
  <c r="AC250" i="2" s="1"/>
  <c r="R250" i="2"/>
  <c r="AB250" i="2" s="1"/>
  <c r="Q250" i="2"/>
  <c r="AA250" i="2" s="1"/>
  <c r="P250" i="2"/>
  <c r="Z250" i="2" s="1"/>
  <c r="O250" i="2"/>
  <c r="Y250" i="2" s="1"/>
  <c r="N250" i="2"/>
  <c r="M250" i="2"/>
  <c r="L250" i="2"/>
  <c r="AB249" i="2"/>
  <c r="AA249" i="2"/>
  <c r="Z249" i="2"/>
  <c r="Y249" i="2"/>
  <c r="X249" i="2"/>
  <c r="W249" i="2"/>
  <c r="V249" i="2"/>
  <c r="U249" i="2"/>
  <c r="AE249" i="2" s="1"/>
  <c r="T249" i="2"/>
  <c r="AD249" i="2" s="1"/>
  <c r="S249" i="2"/>
  <c r="AC249" i="2" s="1"/>
  <c r="R249" i="2"/>
  <c r="Q249" i="2"/>
  <c r="P249" i="2"/>
  <c r="O249" i="2"/>
  <c r="N249" i="2"/>
  <c r="M249" i="2"/>
  <c r="L249" i="2"/>
  <c r="AE248" i="2"/>
  <c r="AD248" i="2"/>
  <c r="AC248" i="2"/>
  <c r="AB248" i="2"/>
  <c r="Z248" i="2"/>
  <c r="U248" i="2"/>
  <c r="T248" i="2"/>
  <c r="S248" i="2"/>
  <c r="R248" i="2"/>
  <c r="Q248" i="2"/>
  <c r="AA248" i="2" s="1"/>
  <c r="P248" i="2"/>
  <c r="O248" i="2"/>
  <c r="Y248" i="2" s="1"/>
  <c r="N248" i="2"/>
  <c r="X248" i="2" s="1"/>
  <c r="M248" i="2"/>
  <c r="W248" i="2" s="1"/>
  <c r="L248" i="2"/>
  <c r="V248" i="2" s="1"/>
  <c r="AD247" i="2"/>
  <c r="U247" i="2"/>
  <c r="AE247" i="2" s="1"/>
  <c r="T247" i="2"/>
  <c r="S247" i="2"/>
  <c r="AC247" i="2" s="1"/>
  <c r="R247" i="2"/>
  <c r="AB247" i="2" s="1"/>
  <c r="Q247" i="2"/>
  <c r="AA247" i="2" s="1"/>
  <c r="P247" i="2"/>
  <c r="Z247" i="2" s="1"/>
  <c r="O247" i="2"/>
  <c r="Y247" i="2" s="1"/>
  <c r="N247" i="2"/>
  <c r="X247" i="2" s="1"/>
  <c r="M247" i="2"/>
  <c r="W247" i="2" s="1"/>
  <c r="L247" i="2"/>
  <c r="V247" i="2" s="1"/>
  <c r="Y246" i="2"/>
  <c r="X246" i="2"/>
  <c r="W246" i="2"/>
  <c r="V246" i="2"/>
  <c r="U246" i="2"/>
  <c r="AE246" i="2" s="1"/>
  <c r="T246" i="2"/>
  <c r="AD246" i="2" s="1"/>
  <c r="S246" i="2"/>
  <c r="AC246" i="2" s="1"/>
  <c r="R246" i="2"/>
  <c r="AB246" i="2" s="1"/>
  <c r="Q246" i="2"/>
  <c r="AA246" i="2" s="1"/>
  <c r="P246" i="2"/>
  <c r="Z246" i="2" s="1"/>
  <c r="O246" i="2"/>
  <c r="N246" i="2"/>
  <c r="M246" i="2"/>
  <c r="L246" i="2"/>
  <c r="AC245" i="2"/>
  <c r="AB245" i="2"/>
  <c r="AA245" i="2"/>
  <c r="Z245" i="2"/>
  <c r="Y245" i="2"/>
  <c r="X245" i="2"/>
  <c r="V245" i="2"/>
  <c r="U245" i="2"/>
  <c r="AE245" i="2" s="1"/>
  <c r="T245" i="2"/>
  <c r="AD245" i="2" s="1"/>
  <c r="S245" i="2"/>
  <c r="R245" i="2"/>
  <c r="Q245" i="2"/>
  <c r="P245" i="2"/>
  <c r="O245" i="2"/>
  <c r="N245" i="2"/>
  <c r="M245" i="2"/>
  <c r="W245" i="2" s="1"/>
  <c r="L245" i="2"/>
  <c r="AE244" i="2"/>
  <c r="AD244" i="2"/>
  <c r="AC244" i="2"/>
  <c r="AB244" i="2"/>
  <c r="Z244" i="2"/>
  <c r="U244" i="2"/>
  <c r="T244" i="2"/>
  <c r="S244" i="2"/>
  <c r="R244" i="2"/>
  <c r="Q244" i="2"/>
  <c r="AA244" i="2" s="1"/>
  <c r="P244" i="2"/>
  <c r="O244" i="2"/>
  <c r="Y244" i="2" s="1"/>
  <c r="N244" i="2"/>
  <c r="X244" i="2" s="1"/>
  <c r="M244" i="2"/>
  <c r="W244" i="2" s="1"/>
  <c r="L244" i="2"/>
  <c r="V244" i="2" s="1"/>
  <c r="AD243" i="2"/>
  <c r="U243" i="2"/>
  <c r="AE243" i="2" s="1"/>
  <c r="T243" i="2"/>
  <c r="S243" i="2"/>
  <c r="AC243" i="2" s="1"/>
  <c r="R243" i="2"/>
  <c r="AB243" i="2" s="1"/>
  <c r="Q243" i="2"/>
  <c r="AA243" i="2" s="1"/>
  <c r="P243" i="2"/>
  <c r="Z243" i="2" s="1"/>
  <c r="O243" i="2"/>
  <c r="Y243" i="2" s="1"/>
  <c r="N243" i="2"/>
  <c r="X243" i="2" s="1"/>
  <c r="M243" i="2"/>
  <c r="W243" i="2" s="1"/>
  <c r="L243" i="2"/>
  <c r="V243" i="2" s="1"/>
  <c r="Y242" i="2"/>
  <c r="X242" i="2"/>
  <c r="W242" i="2"/>
  <c r="V242" i="2"/>
  <c r="U242" i="2"/>
  <c r="AE242" i="2" s="1"/>
  <c r="T242" i="2"/>
  <c r="AD242" i="2" s="1"/>
  <c r="S242" i="2"/>
  <c r="AC242" i="2" s="1"/>
  <c r="R242" i="2"/>
  <c r="AB242" i="2" s="1"/>
  <c r="Q242" i="2"/>
  <c r="AA242" i="2" s="1"/>
  <c r="P242" i="2"/>
  <c r="Z242" i="2" s="1"/>
  <c r="O242" i="2"/>
  <c r="N242" i="2"/>
  <c r="M242" i="2"/>
  <c r="L242" i="2"/>
  <c r="AC241" i="2"/>
  <c r="AB241" i="2"/>
  <c r="AA241" i="2"/>
  <c r="Z241" i="2"/>
  <c r="Y241" i="2"/>
  <c r="X241" i="2"/>
  <c r="V241" i="2"/>
  <c r="U241" i="2"/>
  <c r="AE241" i="2" s="1"/>
  <c r="T241" i="2"/>
  <c r="AD241" i="2" s="1"/>
  <c r="S241" i="2"/>
  <c r="R241" i="2"/>
  <c r="Q241" i="2"/>
  <c r="P241" i="2"/>
  <c r="O241" i="2"/>
  <c r="N241" i="2"/>
  <c r="M241" i="2"/>
  <c r="W241" i="2" s="1"/>
  <c r="L241" i="2"/>
  <c r="AE240" i="2"/>
  <c r="AD240" i="2"/>
  <c r="AC240" i="2"/>
  <c r="AB240" i="2"/>
  <c r="Z240" i="2"/>
  <c r="U240" i="2"/>
  <c r="T240" i="2"/>
  <c r="S240" i="2"/>
  <c r="R240" i="2"/>
  <c r="Q240" i="2"/>
  <c r="AA240" i="2" s="1"/>
  <c r="P240" i="2"/>
  <c r="O240" i="2"/>
  <c r="Y240" i="2" s="1"/>
  <c r="N240" i="2"/>
  <c r="X240" i="2" s="1"/>
  <c r="M240" i="2"/>
  <c r="W240" i="2" s="1"/>
  <c r="L240" i="2"/>
  <c r="V240" i="2" s="1"/>
  <c r="AD239" i="2"/>
  <c r="U239" i="2"/>
  <c r="AE239" i="2" s="1"/>
  <c r="T239" i="2"/>
  <c r="S239" i="2"/>
  <c r="AC239" i="2" s="1"/>
  <c r="R239" i="2"/>
  <c r="AB239" i="2" s="1"/>
  <c r="Q239" i="2"/>
  <c r="AA239" i="2" s="1"/>
  <c r="P239" i="2"/>
  <c r="Z239" i="2" s="1"/>
  <c r="O239" i="2"/>
  <c r="Y239" i="2" s="1"/>
  <c r="N239" i="2"/>
  <c r="X239" i="2" s="1"/>
  <c r="M239" i="2"/>
  <c r="W239" i="2" s="1"/>
  <c r="L239" i="2"/>
  <c r="V239" i="2" s="1"/>
  <c r="Y238" i="2"/>
  <c r="X238" i="2"/>
  <c r="W238" i="2"/>
  <c r="V238" i="2"/>
  <c r="U238" i="2"/>
  <c r="AE238" i="2" s="1"/>
  <c r="T238" i="2"/>
  <c r="AD238" i="2" s="1"/>
  <c r="S238" i="2"/>
  <c r="AC238" i="2" s="1"/>
  <c r="R238" i="2"/>
  <c r="AB238" i="2" s="1"/>
  <c r="Q238" i="2"/>
  <c r="AA238" i="2" s="1"/>
  <c r="P238" i="2"/>
  <c r="Z238" i="2" s="1"/>
  <c r="O238" i="2"/>
  <c r="N238" i="2"/>
  <c r="M238" i="2"/>
  <c r="L238" i="2"/>
  <c r="AC237" i="2"/>
  <c r="AB237" i="2"/>
  <c r="AA237" i="2"/>
  <c r="Z237" i="2"/>
  <c r="Y237" i="2"/>
  <c r="X237" i="2"/>
  <c r="V237" i="2"/>
  <c r="U237" i="2"/>
  <c r="AE237" i="2" s="1"/>
  <c r="T237" i="2"/>
  <c r="AD237" i="2" s="1"/>
  <c r="S237" i="2"/>
  <c r="R237" i="2"/>
  <c r="Q237" i="2"/>
  <c r="P237" i="2"/>
  <c r="O237" i="2"/>
  <c r="N237" i="2"/>
  <c r="M237" i="2"/>
  <c r="W237" i="2" s="1"/>
  <c r="L237" i="2"/>
  <c r="AE236" i="2"/>
  <c r="AD236" i="2"/>
  <c r="AC236" i="2"/>
  <c r="AB236" i="2"/>
  <c r="Z236" i="2"/>
  <c r="U236" i="2"/>
  <c r="T236" i="2"/>
  <c r="S236" i="2"/>
  <c r="R236" i="2"/>
  <c r="Q236" i="2"/>
  <c r="AA236" i="2" s="1"/>
  <c r="P236" i="2"/>
  <c r="O236" i="2"/>
  <c r="Y236" i="2" s="1"/>
  <c r="N236" i="2"/>
  <c r="X236" i="2" s="1"/>
  <c r="M236" i="2"/>
  <c r="W236" i="2" s="1"/>
  <c r="L236" i="2"/>
  <c r="V236" i="2" s="1"/>
  <c r="AD235" i="2"/>
  <c r="U235" i="2"/>
  <c r="AE235" i="2" s="1"/>
  <c r="T235" i="2"/>
  <c r="S235" i="2"/>
  <c r="AC235" i="2" s="1"/>
  <c r="R235" i="2"/>
  <c r="AB235" i="2" s="1"/>
  <c r="Q235" i="2"/>
  <c r="AA235" i="2" s="1"/>
  <c r="P235" i="2"/>
  <c r="Z235" i="2" s="1"/>
  <c r="O235" i="2"/>
  <c r="Y235" i="2" s="1"/>
  <c r="N235" i="2"/>
  <c r="X235" i="2" s="1"/>
  <c r="M235" i="2"/>
  <c r="W235" i="2" s="1"/>
  <c r="L235" i="2"/>
  <c r="V235" i="2" s="1"/>
  <c r="Y234" i="2"/>
  <c r="X234" i="2"/>
  <c r="W234" i="2"/>
  <c r="V234" i="2"/>
  <c r="U234" i="2"/>
  <c r="AE234" i="2" s="1"/>
  <c r="T234" i="2"/>
  <c r="AD234" i="2" s="1"/>
  <c r="S234" i="2"/>
  <c r="AC234" i="2" s="1"/>
  <c r="R234" i="2"/>
  <c r="AB234" i="2" s="1"/>
  <c r="Q234" i="2"/>
  <c r="AA234" i="2" s="1"/>
  <c r="P234" i="2"/>
  <c r="Z234" i="2" s="1"/>
  <c r="O234" i="2"/>
  <c r="N234" i="2"/>
  <c r="M234" i="2"/>
  <c r="L234" i="2"/>
  <c r="AC233" i="2"/>
  <c r="AB233" i="2"/>
  <c r="AA233" i="2"/>
  <c r="Z233" i="2"/>
  <c r="Y233" i="2"/>
  <c r="X233" i="2"/>
  <c r="V233" i="2"/>
  <c r="U233" i="2"/>
  <c r="AE233" i="2" s="1"/>
  <c r="T233" i="2"/>
  <c r="AD233" i="2" s="1"/>
  <c r="S233" i="2"/>
  <c r="R233" i="2"/>
  <c r="Q233" i="2"/>
  <c r="P233" i="2"/>
  <c r="O233" i="2"/>
  <c r="N233" i="2"/>
  <c r="M233" i="2"/>
  <c r="W233" i="2" s="1"/>
  <c r="L233" i="2"/>
  <c r="AE232" i="2"/>
  <c r="AD232" i="2"/>
  <c r="AC232" i="2"/>
  <c r="AB232" i="2"/>
  <c r="Z232" i="2"/>
  <c r="U232" i="2"/>
  <c r="T232" i="2"/>
  <c r="S232" i="2"/>
  <c r="R232" i="2"/>
  <c r="Q232" i="2"/>
  <c r="AA232" i="2" s="1"/>
  <c r="P232" i="2"/>
  <c r="O232" i="2"/>
  <c r="Y232" i="2" s="1"/>
  <c r="N232" i="2"/>
  <c r="X232" i="2" s="1"/>
  <c r="M232" i="2"/>
  <c r="W232" i="2" s="1"/>
  <c r="L232" i="2"/>
  <c r="V232" i="2" s="1"/>
  <c r="AD231" i="2"/>
  <c r="U231" i="2"/>
  <c r="AE231" i="2" s="1"/>
  <c r="T231" i="2"/>
  <c r="S231" i="2"/>
  <c r="AC231" i="2" s="1"/>
  <c r="R231" i="2"/>
  <c r="AB231" i="2" s="1"/>
  <c r="Q231" i="2"/>
  <c r="AA231" i="2" s="1"/>
  <c r="P231" i="2"/>
  <c r="Z231" i="2" s="1"/>
  <c r="O231" i="2"/>
  <c r="Y231" i="2" s="1"/>
  <c r="N231" i="2"/>
  <c r="X231" i="2" s="1"/>
  <c r="M231" i="2"/>
  <c r="W231" i="2" s="1"/>
  <c r="L231" i="2"/>
  <c r="V231" i="2" s="1"/>
  <c r="Y230" i="2"/>
  <c r="X230" i="2"/>
  <c r="W230" i="2"/>
  <c r="V230" i="2"/>
  <c r="U230" i="2"/>
  <c r="AE230" i="2" s="1"/>
  <c r="T230" i="2"/>
  <c r="AD230" i="2" s="1"/>
  <c r="S230" i="2"/>
  <c r="AC230" i="2" s="1"/>
  <c r="R230" i="2"/>
  <c r="AB230" i="2" s="1"/>
  <c r="Q230" i="2"/>
  <c r="AA230" i="2" s="1"/>
  <c r="P230" i="2"/>
  <c r="Z230" i="2" s="1"/>
  <c r="O230" i="2"/>
  <c r="N230" i="2"/>
  <c r="M230" i="2"/>
  <c r="L230" i="2"/>
  <c r="AC229" i="2"/>
  <c r="AB229" i="2"/>
  <c r="AA229" i="2"/>
  <c r="Z229" i="2"/>
  <c r="Y229" i="2"/>
  <c r="X229" i="2"/>
  <c r="V229" i="2"/>
  <c r="U229" i="2"/>
  <c r="AE229" i="2" s="1"/>
  <c r="T229" i="2"/>
  <c r="AD229" i="2" s="1"/>
  <c r="S229" i="2"/>
  <c r="R229" i="2"/>
  <c r="Q229" i="2"/>
  <c r="P229" i="2"/>
  <c r="O229" i="2"/>
  <c r="N229" i="2"/>
  <c r="M229" i="2"/>
  <c r="W229" i="2" s="1"/>
  <c r="L229" i="2"/>
  <c r="AE228" i="2"/>
  <c r="AD228" i="2"/>
  <c r="AC228" i="2"/>
  <c r="AB228" i="2"/>
  <c r="Z228" i="2"/>
  <c r="U228" i="2"/>
  <c r="T228" i="2"/>
  <c r="S228" i="2"/>
  <c r="R228" i="2"/>
  <c r="Q228" i="2"/>
  <c r="AA228" i="2" s="1"/>
  <c r="P228" i="2"/>
  <c r="O228" i="2"/>
  <c r="Y228" i="2" s="1"/>
  <c r="N228" i="2"/>
  <c r="X228" i="2" s="1"/>
  <c r="M228" i="2"/>
  <c r="W228" i="2" s="1"/>
  <c r="L228" i="2"/>
  <c r="V228" i="2" s="1"/>
  <c r="AD227" i="2"/>
  <c r="U227" i="2"/>
  <c r="AE227" i="2" s="1"/>
  <c r="T227" i="2"/>
  <c r="S227" i="2"/>
  <c r="AC227" i="2" s="1"/>
  <c r="R227" i="2"/>
  <c r="AB227" i="2" s="1"/>
  <c r="Q227" i="2"/>
  <c r="AA227" i="2" s="1"/>
  <c r="P227" i="2"/>
  <c r="Z227" i="2" s="1"/>
  <c r="O227" i="2"/>
  <c r="Y227" i="2" s="1"/>
  <c r="N227" i="2"/>
  <c r="X227" i="2" s="1"/>
  <c r="M227" i="2"/>
  <c r="W227" i="2" s="1"/>
  <c r="L227" i="2"/>
  <c r="V227" i="2" s="1"/>
  <c r="Y226" i="2"/>
  <c r="X226" i="2"/>
  <c r="W226" i="2"/>
  <c r="V226" i="2"/>
  <c r="U226" i="2"/>
  <c r="AE226" i="2" s="1"/>
  <c r="T226" i="2"/>
  <c r="AD226" i="2" s="1"/>
  <c r="S226" i="2"/>
  <c r="AC226" i="2" s="1"/>
  <c r="R226" i="2"/>
  <c r="AB226" i="2" s="1"/>
  <c r="Q226" i="2"/>
  <c r="AA226" i="2" s="1"/>
  <c r="P226" i="2"/>
  <c r="Z226" i="2" s="1"/>
  <c r="O226" i="2"/>
  <c r="N226" i="2"/>
  <c r="M226" i="2"/>
  <c r="L226" i="2"/>
  <c r="AC225" i="2"/>
  <c r="AB225" i="2"/>
  <c r="AA225" i="2"/>
  <c r="Z225" i="2"/>
  <c r="Y225" i="2"/>
  <c r="X225" i="2"/>
  <c r="V225" i="2"/>
  <c r="U225" i="2"/>
  <c r="AE225" i="2" s="1"/>
  <c r="T225" i="2"/>
  <c r="AD225" i="2" s="1"/>
  <c r="S225" i="2"/>
  <c r="R225" i="2"/>
  <c r="Q225" i="2"/>
  <c r="P225" i="2"/>
  <c r="O225" i="2"/>
  <c r="N225" i="2"/>
  <c r="M225" i="2"/>
  <c r="W225" i="2" s="1"/>
  <c r="L225" i="2"/>
  <c r="AE224" i="2"/>
  <c r="AD224" i="2"/>
  <c r="AC224" i="2"/>
  <c r="AB224" i="2"/>
  <c r="Z224" i="2"/>
  <c r="U224" i="2"/>
  <c r="T224" i="2"/>
  <c r="S224" i="2"/>
  <c r="R224" i="2"/>
  <c r="Q224" i="2"/>
  <c r="AA224" i="2" s="1"/>
  <c r="P224" i="2"/>
  <c r="O224" i="2"/>
  <c r="Y224" i="2" s="1"/>
  <c r="N224" i="2"/>
  <c r="X224" i="2" s="1"/>
  <c r="M224" i="2"/>
  <c r="W224" i="2" s="1"/>
  <c r="L224" i="2"/>
  <c r="V224" i="2" s="1"/>
  <c r="AD223" i="2"/>
  <c r="U223" i="2"/>
  <c r="AE223" i="2" s="1"/>
  <c r="T223" i="2"/>
  <c r="S223" i="2"/>
  <c r="AC223" i="2" s="1"/>
  <c r="R223" i="2"/>
  <c r="AB223" i="2" s="1"/>
  <c r="Q223" i="2"/>
  <c r="AA223" i="2" s="1"/>
  <c r="P223" i="2"/>
  <c r="Z223" i="2" s="1"/>
  <c r="O223" i="2"/>
  <c r="Y223" i="2" s="1"/>
  <c r="N223" i="2"/>
  <c r="X223" i="2" s="1"/>
  <c r="M223" i="2"/>
  <c r="W223" i="2" s="1"/>
  <c r="L223" i="2"/>
  <c r="V223" i="2" s="1"/>
  <c r="Y222" i="2"/>
  <c r="X222" i="2"/>
  <c r="W222" i="2"/>
  <c r="V222" i="2"/>
  <c r="U222" i="2"/>
  <c r="AE222" i="2" s="1"/>
  <c r="T222" i="2"/>
  <c r="AD222" i="2" s="1"/>
  <c r="S222" i="2"/>
  <c r="AC222" i="2" s="1"/>
  <c r="R222" i="2"/>
  <c r="AB222" i="2" s="1"/>
  <c r="Q222" i="2"/>
  <c r="AA222" i="2" s="1"/>
  <c r="P222" i="2"/>
  <c r="Z222" i="2" s="1"/>
  <c r="O222" i="2"/>
  <c r="N222" i="2"/>
  <c r="M222" i="2"/>
  <c r="L222" i="2"/>
  <c r="AC221" i="2"/>
  <c r="AB221" i="2"/>
  <c r="AA221" i="2"/>
  <c r="Z221" i="2"/>
  <c r="Y221" i="2"/>
  <c r="X221" i="2"/>
  <c r="V221" i="2"/>
  <c r="U221" i="2"/>
  <c r="AE221" i="2" s="1"/>
  <c r="T221" i="2"/>
  <c r="AD221" i="2" s="1"/>
  <c r="S221" i="2"/>
  <c r="R221" i="2"/>
  <c r="Q221" i="2"/>
  <c r="P221" i="2"/>
  <c r="O221" i="2"/>
  <c r="N221" i="2"/>
  <c r="M221" i="2"/>
  <c r="W221" i="2" s="1"/>
  <c r="L221" i="2"/>
  <c r="AE220" i="2"/>
  <c r="AD220" i="2"/>
  <c r="AC220" i="2"/>
  <c r="AB220" i="2"/>
  <c r="Z220" i="2"/>
  <c r="U220" i="2"/>
  <c r="T220" i="2"/>
  <c r="S220" i="2"/>
  <c r="R220" i="2"/>
  <c r="Q220" i="2"/>
  <c r="AA220" i="2" s="1"/>
  <c r="P220" i="2"/>
  <c r="O220" i="2"/>
  <c r="Y220" i="2" s="1"/>
  <c r="N220" i="2"/>
  <c r="X220" i="2" s="1"/>
  <c r="M220" i="2"/>
  <c r="W220" i="2" s="1"/>
  <c r="L220" i="2"/>
  <c r="V220" i="2" s="1"/>
  <c r="AD219" i="2"/>
  <c r="U219" i="2"/>
  <c r="AE219" i="2" s="1"/>
  <c r="T219" i="2"/>
  <c r="S219" i="2"/>
  <c r="AC219" i="2" s="1"/>
  <c r="R219" i="2"/>
  <c r="AB219" i="2" s="1"/>
  <c r="Q219" i="2"/>
  <c r="AA219" i="2" s="1"/>
  <c r="P219" i="2"/>
  <c r="Z219" i="2" s="1"/>
  <c r="O219" i="2"/>
  <c r="Y219" i="2" s="1"/>
  <c r="N219" i="2"/>
  <c r="X219" i="2" s="1"/>
  <c r="M219" i="2"/>
  <c r="W219" i="2" s="1"/>
  <c r="L219" i="2"/>
  <c r="V219" i="2" s="1"/>
  <c r="Y218" i="2"/>
  <c r="X218" i="2"/>
  <c r="W218" i="2"/>
  <c r="V218" i="2"/>
  <c r="U218" i="2"/>
  <c r="AE218" i="2" s="1"/>
  <c r="T218" i="2"/>
  <c r="AD218" i="2" s="1"/>
  <c r="S218" i="2"/>
  <c r="AC218" i="2" s="1"/>
  <c r="R218" i="2"/>
  <c r="AB218" i="2" s="1"/>
  <c r="Q218" i="2"/>
  <c r="AA218" i="2" s="1"/>
  <c r="P218" i="2"/>
  <c r="Z218" i="2" s="1"/>
  <c r="O218" i="2"/>
  <c r="N218" i="2"/>
  <c r="M218" i="2"/>
  <c r="L218" i="2"/>
  <c r="AC217" i="2"/>
  <c r="AB217" i="2"/>
  <c r="AA217" i="2"/>
  <c r="Z217" i="2"/>
  <c r="Y217" i="2"/>
  <c r="X217" i="2"/>
  <c r="V217" i="2"/>
  <c r="U217" i="2"/>
  <c r="AE217" i="2" s="1"/>
  <c r="T217" i="2"/>
  <c r="AD217" i="2" s="1"/>
  <c r="S217" i="2"/>
  <c r="R217" i="2"/>
  <c r="Q217" i="2"/>
  <c r="P217" i="2"/>
  <c r="O217" i="2"/>
  <c r="N217" i="2"/>
  <c r="M217" i="2"/>
  <c r="W217" i="2" s="1"/>
  <c r="L217" i="2"/>
  <c r="AE216" i="2"/>
  <c r="AD216" i="2"/>
  <c r="AC216" i="2"/>
  <c r="AB216" i="2"/>
  <c r="Z216" i="2"/>
  <c r="U216" i="2"/>
  <c r="T216" i="2"/>
  <c r="S216" i="2"/>
  <c r="R216" i="2"/>
  <c r="Q216" i="2"/>
  <c r="AA216" i="2" s="1"/>
  <c r="P216" i="2"/>
  <c r="O216" i="2"/>
  <c r="Y216" i="2" s="1"/>
  <c r="N216" i="2"/>
  <c r="X216" i="2" s="1"/>
  <c r="M216" i="2"/>
  <c r="W216" i="2" s="1"/>
  <c r="L216" i="2"/>
  <c r="V216" i="2" s="1"/>
  <c r="AD215" i="2"/>
  <c r="U215" i="2"/>
  <c r="AE215" i="2" s="1"/>
  <c r="T215" i="2"/>
  <c r="S215" i="2"/>
  <c r="AC215" i="2" s="1"/>
  <c r="R215" i="2"/>
  <c r="AB215" i="2" s="1"/>
  <c r="Q215" i="2"/>
  <c r="AA215" i="2" s="1"/>
  <c r="P215" i="2"/>
  <c r="Z215" i="2" s="1"/>
  <c r="O215" i="2"/>
  <c r="Y215" i="2" s="1"/>
  <c r="N215" i="2"/>
  <c r="X215" i="2" s="1"/>
  <c r="M215" i="2"/>
  <c r="W215" i="2" s="1"/>
  <c r="L215" i="2"/>
  <c r="V215" i="2" s="1"/>
  <c r="Y214" i="2"/>
  <c r="X214" i="2"/>
  <c r="W214" i="2"/>
  <c r="V214" i="2"/>
  <c r="U214" i="2"/>
  <c r="AE214" i="2" s="1"/>
  <c r="T214" i="2"/>
  <c r="AD214" i="2" s="1"/>
  <c r="S214" i="2"/>
  <c r="AC214" i="2" s="1"/>
  <c r="R214" i="2"/>
  <c r="AB214" i="2" s="1"/>
  <c r="Q214" i="2"/>
  <c r="AA214" i="2" s="1"/>
  <c r="P214" i="2"/>
  <c r="Z214" i="2" s="1"/>
  <c r="O214" i="2"/>
  <c r="N214" i="2"/>
  <c r="M214" i="2"/>
  <c r="L214" i="2"/>
  <c r="AC213" i="2"/>
  <c r="AB213" i="2"/>
  <c r="AA213" i="2"/>
  <c r="Z213" i="2"/>
  <c r="Y213" i="2"/>
  <c r="X213" i="2"/>
  <c r="V213" i="2"/>
  <c r="U213" i="2"/>
  <c r="AE213" i="2" s="1"/>
  <c r="T213" i="2"/>
  <c r="AD213" i="2" s="1"/>
  <c r="S213" i="2"/>
  <c r="R213" i="2"/>
  <c r="Q213" i="2"/>
  <c r="P213" i="2"/>
  <c r="O213" i="2"/>
  <c r="N213" i="2"/>
  <c r="M213" i="2"/>
  <c r="W213" i="2" s="1"/>
  <c r="L213" i="2"/>
  <c r="AE212" i="2"/>
  <c r="AD212" i="2"/>
  <c r="AC212" i="2"/>
  <c r="AB212" i="2"/>
  <c r="Z212" i="2"/>
  <c r="U212" i="2"/>
  <c r="T212" i="2"/>
  <c r="S212" i="2"/>
  <c r="R212" i="2"/>
  <c r="Q212" i="2"/>
  <c r="AA212" i="2" s="1"/>
  <c r="P212" i="2"/>
  <c r="O212" i="2"/>
  <c r="Y212" i="2" s="1"/>
  <c r="N212" i="2"/>
  <c r="X212" i="2" s="1"/>
  <c r="M212" i="2"/>
  <c r="W212" i="2" s="1"/>
  <c r="L212" i="2"/>
  <c r="V212" i="2" s="1"/>
  <c r="AD211" i="2"/>
  <c r="U211" i="2"/>
  <c r="AE211" i="2" s="1"/>
  <c r="T211" i="2"/>
  <c r="S211" i="2"/>
  <c r="AC211" i="2" s="1"/>
  <c r="R211" i="2"/>
  <c r="AB211" i="2" s="1"/>
  <c r="Q211" i="2"/>
  <c r="AA211" i="2" s="1"/>
  <c r="P211" i="2"/>
  <c r="Z211" i="2" s="1"/>
  <c r="O211" i="2"/>
  <c r="Y211" i="2" s="1"/>
  <c r="N211" i="2"/>
  <c r="X211" i="2" s="1"/>
  <c r="M211" i="2"/>
  <c r="W211" i="2" s="1"/>
  <c r="L211" i="2"/>
  <c r="V211" i="2" s="1"/>
  <c r="Y210" i="2"/>
  <c r="X210" i="2"/>
  <c r="W210" i="2"/>
  <c r="V210" i="2"/>
  <c r="U210" i="2"/>
  <c r="AE210" i="2" s="1"/>
  <c r="T210" i="2"/>
  <c r="AD210" i="2" s="1"/>
  <c r="S210" i="2"/>
  <c r="AC210" i="2" s="1"/>
  <c r="R210" i="2"/>
  <c r="AB210" i="2" s="1"/>
  <c r="Q210" i="2"/>
  <c r="AA210" i="2" s="1"/>
  <c r="P210" i="2"/>
  <c r="Z210" i="2" s="1"/>
  <c r="O210" i="2"/>
  <c r="N210" i="2"/>
  <c r="M210" i="2"/>
  <c r="L210" i="2"/>
  <c r="AC209" i="2"/>
  <c r="AB209" i="2"/>
  <c r="AA209" i="2"/>
  <c r="Z209" i="2"/>
  <c r="Y209" i="2"/>
  <c r="X209" i="2"/>
  <c r="V209" i="2"/>
  <c r="U209" i="2"/>
  <c r="AE209" i="2" s="1"/>
  <c r="T209" i="2"/>
  <c r="AD209" i="2" s="1"/>
  <c r="S209" i="2"/>
  <c r="R209" i="2"/>
  <c r="Q209" i="2"/>
  <c r="P209" i="2"/>
  <c r="O209" i="2"/>
  <c r="N209" i="2"/>
  <c r="M209" i="2"/>
  <c r="W209" i="2" s="1"/>
  <c r="L209" i="2"/>
  <c r="AE208" i="2"/>
  <c r="AD208" i="2"/>
  <c r="AC208" i="2"/>
  <c r="AB208" i="2"/>
  <c r="Z208" i="2"/>
  <c r="U208" i="2"/>
  <c r="T208" i="2"/>
  <c r="S208" i="2"/>
  <c r="R208" i="2"/>
  <c r="Q208" i="2"/>
  <c r="AA208" i="2" s="1"/>
  <c r="P208" i="2"/>
  <c r="O208" i="2"/>
  <c r="Y208" i="2" s="1"/>
  <c r="N208" i="2"/>
  <c r="X208" i="2" s="1"/>
  <c r="M208" i="2"/>
  <c r="W208" i="2" s="1"/>
  <c r="L208" i="2"/>
  <c r="V208" i="2" s="1"/>
  <c r="AD207" i="2"/>
  <c r="U207" i="2"/>
  <c r="AE207" i="2" s="1"/>
  <c r="T207" i="2"/>
  <c r="S207" i="2"/>
  <c r="AC207" i="2" s="1"/>
  <c r="R207" i="2"/>
  <c r="AB207" i="2" s="1"/>
  <c r="Q207" i="2"/>
  <c r="AA207" i="2" s="1"/>
  <c r="P207" i="2"/>
  <c r="Z207" i="2" s="1"/>
  <c r="O207" i="2"/>
  <c r="Y207" i="2" s="1"/>
  <c r="N207" i="2"/>
  <c r="X207" i="2" s="1"/>
  <c r="M207" i="2"/>
  <c r="W207" i="2" s="1"/>
  <c r="L207" i="2"/>
  <c r="V207" i="2" s="1"/>
  <c r="Y206" i="2"/>
  <c r="X206" i="2"/>
  <c r="W206" i="2"/>
  <c r="V206" i="2"/>
  <c r="U206" i="2"/>
  <c r="AE206" i="2" s="1"/>
  <c r="T206" i="2"/>
  <c r="AD206" i="2" s="1"/>
  <c r="S206" i="2"/>
  <c r="AC206" i="2" s="1"/>
  <c r="R206" i="2"/>
  <c r="AB206" i="2" s="1"/>
  <c r="Q206" i="2"/>
  <c r="AA206" i="2" s="1"/>
  <c r="P206" i="2"/>
  <c r="Z206" i="2" s="1"/>
  <c r="O206" i="2"/>
  <c r="N206" i="2"/>
  <c r="M206" i="2"/>
  <c r="L206" i="2"/>
  <c r="AC205" i="2"/>
  <c r="AB205" i="2"/>
  <c r="AA205" i="2"/>
  <c r="Z205" i="2"/>
  <c r="Y205" i="2"/>
  <c r="X205" i="2"/>
  <c r="V205" i="2"/>
  <c r="U205" i="2"/>
  <c r="AE205" i="2" s="1"/>
  <c r="T205" i="2"/>
  <c r="AD205" i="2" s="1"/>
  <c r="S205" i="2"/>
  <c r="R205" i="2"/>
  <c r="Q205" i="2"/>
  <c r="P205" i="2"/>
  <c r="O205" i="2"/>
  <c r="N205" i="2"/>
  <c r="M205" i="2"/>
  <c r="W205" i="2" s="1"/>
  <c r="L205" i="2"/>
  <c r="AE204" i="2"/>
  <c r="AD204" i="2"/>
  <c r="AC204" i="2"/>
  <c r="AB204" i="2"/>
  <c r="Z204" i="2"/>
  <c r="U204" i="2"/>
  <c r="T204" i="2"/>
  <c r="S204" i="2"/>
  <c r="R204" i="2"/>
  <c r="Q204" i="2"/>
  <c r="AA204" i="2" s="1"/>
  <c r="P204" i="2"/>
  <c r="O204" i="2"/>
  <c r="Y204" i="2" s="1"/>
  <c r="N204" i="2"/>
  <c r="X204" i="2" s="1"/>
  <c r="M204" i="2"/>
  <c r="W204" i="2" s="1"/>
  <c r="L204" i="2"/>
  <c r="V204" i="2" s="1"/>
  <c r="AD203" i="2"/>
  <c r="U203" i="2"/>
  <c r="AE203" i="2" s="1"/>
  <c r="T203" i="2"/>
  <c r="S203" i="2"/>
  <c r="AC203" i="2" s="1"/>
  <c r="R203" i="2"/>
  <c r="AB203" i="2" s="1"/>
  <c r="Q203" i="2"/>
  <c r="AA203" i="2" s="1"/>
  <c r="P203" i="2"/>
  <c r="Z203" i="2" s="1"/>
  <c r="O203" i="2"/>
  <c r="Y203" i="2" s="1"/>
  <c r="N203" i="2"/>
  <c r="X203" i="2" s="1"/>
  <c r="M203" i="2"/>
  <c r="W203" i="2" s="1"/>
  <c r="L203" i="2"/>
  <c r="V203" i="2" s="1"/>
  <c r="Y202" i="2"/>
  <c r="X202" i="2"/>
  <c r="W202" i="2"/>
  <c r="V202" i="2"/>
  <c r="U202" i="2"/>
  <c r="AE202" i="2" s="1"/>
  <c r="T202" i="2"/>
  <c r="AD202" i="2" s="1"/>
  <c r="S202" i="2"/>
  <c r="AC202" i="2" s="1"/>
  <c r="R202" i="2"/>
  <c r="AB202" i="2" s="1"/>
  <c r="Q202" i="2"/>
  <c r="AA202" i="2" s="1"/>
  <c r="P202" i="2"/>
  <c r="Z202" i="2" s="1"/>
  <c r="O202" i="2"/>
  <c r="N202" i="2"/>
  <c r="M202" i="2"/>
  <c r="L202" i="2"/>
  <c r="AC201" i="2"/>
  <c r="AB201" i="2"/>
  <c r="AA201" i="2"/>
  <c r="Z201" i="2"/>
  <c r="Y201" i="2"/>
  <c r="X201" i="2"/>
  <c r="V201" i="2"/>
  <c r="U201" i="2"/>
  <c r="AE201" i="2" s="1"/>
  <c r="T201" i="2"/>
  <c r="AD201" i="2" s="1"/>
  <c r="S201" i="2"/>
  <c r="R201" i="2"/>
  <c r="Q201" i="2"/>
  <c r="P201" i="2"/>
  <c r="O201" i="2"/>
  <c r="N201" i="2"/>
  <c r="M201" i="2"/>
  <c r="W201" i="2" s="1"/>
  <c r="L201" i="2"/>
  <c r="AE200" i="2"/>
  <c r="AD200" i="2"/>
  <c r="AC200" i="2"/>
  <c r="AB200" i="2"/>
  <c r="Z200" i="2"/>
  <c r="U200" i="2"/>
  <c r="T200" i="2"/>
  <c r="S200" i="2"/>
  <c r="R200" i="2"/>
  <c r="Q200" i="2"/>
  <c r="AA200" i="2" s="1"/>
  <c r="P200" i="2"/>
  <c r="O200" i="2"/>
  <c r="Y200" i="2" s="1"/>
  <c r="N200" i="2"/>
  <c r="X200" i="2" s="1"/>
  <c r="M200" i="2"/>
  <c r="W200" i="2" s="1"/>
  <c r="L200" i="2"/>
  <c r="V200" i="2" s="1"/>
  <c r="AD199" i="2"/>
  <c r="U199" i="2"/>
  <c r="AE199" i="2" s="1"/>
  <c r="T199" i="2"/>
  <c r="S199" i="2"/>
  <c r="AC199" i="2" s="1"/>
  <c r="R199" i="2"/>
  <c r="AB199" i="2" s="1"/>
  <c r="Q199" i="2"/>
  <c r="AA199" i="2" s="1"/>
  <c r="P199" i="2"/>
  <c r="Z199" i="2" s="1"/>
  <c r="O199" i="2"/>
  <c r="Y199" i="2" s="1"/>
  <c r="N199" i="2"/>
  <c r="X199" i="2" s="1"/>
  <c r="M199" i="2"/>
  <c r="W199" i="2" s="1"/>
  <c r="L199" i="2"/>
  <c r="V199" i="2" s="1"/>
  <c r="Y198" i="2"/>
  <c r="X198" i="2"/>
  <c r="W198" i="2"/>
  <c r="V198" i="2"/>
  <c r="U198" i="2"/>
  <c r="AE198" i="2" s="1"/>
  <c r="T198" i="2"/>
  <c r="AD198" i="2" s="1"/>
  <c r="S198" i="2"/>
  <c r="AC198" i="2" s="1"/>
  <c r="R198" i="2"/>
  <c r="AB198" i="2" s="1"/>
  <c r="Q198" i="2"/>
  <c r="AA198" i="2" s="1"/>
  <c r="P198" i="2"/>
  <c r="Z198" i="2" s="1"/>
  <c r="O198" i="2"/>
  <c r="N198" i="2"/>
  <c r="M198" i="2"/>
  <c r="L198" i="2"/>
  <c r="AC197" i="2"/>
  <c r="AB197" i="2"/>
  <c r="AA197" i="2"/>
  <c r="Z197" i="2"/>
  <c r="Y197" i="2"/>
  <c r="X197" i="2"/>
  <c r="U197" i="2"/>
  <c r="AE197" i="2" s="1"/>
  <c r="T197" i="2"/>
  <c r="AD197" i="2" s="1"/>
  <c r="S197" i="2"/>
  <c r="R197" i="2"/>
  <c r="Q197" i="2"/>
  <c r="P197" i="2"/>
  <c r="O197" i="2"/>
  <c r="N197" i="2"/>
  <c r="M197" i="2"/>
  <c r="W197" i="2" s="1"/>
  <c r="L197" i="2"/>
  <c r="V197" i="2" s="1"/>
  <c r="AE196" i="2"/>
  <c r="AD196" i="2"/>
  <c r="AC196" i="2"/>
  <c r="AB196" i="2"/>
  <c r="U196" i="2"/>
  <c r="T196" i="2"/>
  <c r="S196" i="2"/>
  <c r="R196" i="2"/>
  <c r="Q196" i="2"/>
  <c r="AA196" i="2" s="1"/>
  <c r="P196" i="2"/>
  <c r="Z196" i="2" s="1"/>
  <c r="O196" i="2"/>
  <c r="Y196" i="2" s="1"/>
  <c r="N196" i="2"/>
  <c r="X196" i="2" s="1"/>
  <c r="M196" i="2"/>
  <c r="W196" i="2" s="1"/>
  <c r="L196" i="2"/>
  <c r="V196" i="2" s="1"/>
  <c r="U195" i="2"/>
  <c r="AE195" i="2" s="1"/>
  <c r="T195" i="2"/>
  <c r="AD195" i="2" s="1"/>
  <c r="S195" i="2"/>
  <c r="AC195" i="2" s="1"/>
  <c r="R195" i="2"/>
  <c r="AB195" i="2" s="1"/>
  <c r="Q195" i="2"/>
  <c r="AA195" i="2" s="1"/>
  <c r="P195" i="2"/>
  <c r="Z195" i="2" s="1"/>
  <c r="O195" i="2"/>
  <c r="Y195" i="2" s="1"/>
  <c r="N195" i="2"/>
  <c r="X195" i="2" s="1"/>
  <c r="M195" i="2"/>
  <c r="W195" i="2" s="1"/>
  <c r="L195" i="2"/>
  <c r="V195" i="2" s="1"/>
  <c r="Y194" i="2"/>
  <c r="X194" i="2"/>
  <c r="W194" i="2"/>
  <c r="V194" i="2"/>
  <c r="U194" i="2"/>
  <c r="AE194" i="2" s="1"/>
  <c r="T194" i="2"/>
  <c r="AD194" i="2" s="1"/>
  <c r="S194" i="2"/>
  <c r="AC194" i="2" s="1"/>
  <c r="R194" i="2"/>
  <c r="AB194" i="2" s="1"/>
  <c r="Q194" i="2"/>
  <c r="AA194" i="2" s="1"/>
  <c r="P194" i="2"/>
  <c r="Z194" i="2" s="1"/>
  <c r="O194" i="2"/>
  <c r="N194" i="2"/>
  <c r="M194" i="2"/>
  <c r="L194" i="2"/>
  <c r="AC193" i="2"/>
  <c r="AB193" i="2"/>
  <c r="AA193" i="2"/>
  <c r="Z193" i="2"/>
  <c r="Y193" i="2"/>
  <c r="X193" i="2"/>
  <c r="U193" i="2"/>
  <c r="AE193" i="2" s="1"/>
  <c r="T193" i="2"/>
  <c r="AD193" i="2" s="1"/>
  <c r="S193" i="2"/>
  <c r="R193" i="2"/>
  <c r="Q193" i="2"/>
  <c r="P193" i="2"/>
  <c r="O193" i="2"/>
  <c r="N193" i="2"/>
  <c r="M193" i="2"/>
  <c r="W193" i="2" s="1"/>
  <c r="L193" i="2"/>
  <c r="V193" i="2" s="1"/>
  <c r="AE192" i="2"/>
  <c r="AD192" i="2"/>
  <c r="AC192" i="2"/>
  <c r="AB192" i="2"/>
  <c r="U192" i="2"/>
  <c r="T192" i="2"/>
  <c r="S192" i="2"/>
  <c r="R192" i="2"/>
  <c r="Q192" i="2"/>
  <c r="AA192" i="2" s="1"/>
  <c r="P192" i="2"/>
  <c r="Z192" i="2" s="1"/>
  <c r="O192" i="2"/>
  <c r="Y192" i="2" s="1"/>
  <c r="N192" i="2"/>
  <c r="X192" i="2" s="1"/>
  <c r="M192" i="2"/>
  <c r="W192" i="2" s="1"/>
  <c r="L192" i="2"/>
  <c r="V192" i="2" s="1"/>
  <c r="U191" i="2"/>
  <c r="AE191" i="2" s="1"/>
  <c r="T191" i="2"/>
  <c r="AD191" i="2" s="1"/>
  <c r="S191" i="2"/>
  <c r="AC191" i="2" s="1"/>
  <c r="R191" i="2"/>
  <c r="AB191" i="2" s="1"/>
  <c r="Q191" i="2"/>
  <c r="AA191" i="2" s="1"/>
  <c r="P191" i="2"/>
  <c r="Z191" i="2" s="1"/>
  <c r="O191" i="2"/>
  <c r="Y191" i="2" s="1"/>
  <c r="N191" i="2"/>
  <c r="X191" i="2" s="1"/>
  <c r="M191" i="2"/>
  <c r="W191" i="2" s="1"/>
  <c r="L191" i="2"/>
  <c r="V191" i="2" s="1"/>
  <c r="Y190" i="2"/>
  <c r="X190" i="2"/>
  <c r="W190" i="2"/>
  <c r="V190" i="2"/>
  <c r="U190" i="2"/>
  <c r="AE190" i="2" s="1"/>
  <c r="T190" i="2"/>
  <c r="AD190" i="2" s="1"/>
  <c r="S190" i="2"/>
  <c r="AC190" i="2" s="1"/>
  <c r="R190" i="2"/>
  <c r="AB190" i="2" s="1"/>
  <c r="Q190" i="2"/>
  <c r="AA190" i="2" s="1"/>
  <c r="P190" i="2"/>
  <c r="Z190" i="2" s="1"/>
  <c r="O190" i="2"/>
  <c r="N190" i="2"/>
  <c r="M190" i="2"/>
  <c r="L190" i="2"/>
  <c r="AC189" i="2"/>
  <c r="AB189" i="2"/>
  <c r="AA189" i="2"/>
  <c r="Z189" i="2"/>
  <c r="Y189" i="2"/>
  <c r="X189" i="2"/>
  <c r="U189" i="2"/>
  <c r="AE189" i="2" s="1"/>
  <c r="T189" i="2"/>
  <c r="AD189" i="2" s="1"/>
  <c r="S189" i="2"/>
  <c r="R189" i="2"/>
  <c r="Q189" i="2"/>
  <c r="P189" i="2"/>
  <c r="O189" i="2"/>
  <c r="N189" i="2"/>
  <c r="M189" i="2"/>
  <c r="W189" i="2" s="1"/>
  <c r="L189" i="2"/>
  <c r="V189" i="2" s="1"/>
  <c r="AE188" i="2"/>
  <c r="AD188" i="2"/>
  <c r="AC188" i="2"/>
  <c r="AB188" i="2"/>
  <c r="U188" i="2"/>
  <c r="T188" i="2"/>
  <c r="S188" i="2"/>
  <c r="R188" i="2"/>
  <c r="Q188" i="2"/>
  <c r="AA188" i="2" s="1"/>
  <c r="P188" i="2"/>
  <c r="Z188" i="2" s="1"/>
  <c r="O188" i="2"/>
  <c r="Y188" i="2" s="1"/>
  <c r="N188" i="2"/>
  <c r="X188" i="2" s="1"/>
  <c r="M188" i="2"/>
  <c r="W188" i="2" s="1"/>
  <c r="L188" i="2"/>
  <c r="V188" i="2" s="1"/>
  <c r="U187" i="2"/>
  <c r="AE187" i="2" s="1"/>
  <c r="T187" i="2"/>
  <c r="AD187" i="2" s="1"/>
  <c r="S187" i="2"/>
  <c r="AC187" i="2" s="1"/>
  <c r="R187" i="2"/>
  <c r="AB187" i="2" s="1"/>
  <c r="Q187" i="2"/>
  <c r="AA187" i="2" s="1"/>
  <c r="P187" i="2"/>
  <c r="Z187" i="2" s="1"/>
  <c r="O187" i="2"/>
  <c r="Y187" i="2" s="1"/>
  <c r="N187" i="2"/>
  <c r="X187" i="2" s="1"/>
  <c r="M187" i="2"/>
  <c r="W187" i="2" s="1"/>
  <c r="L187" i="2"/>
  <c r="V187" i="2" s="1"/>
  <c r="Y186" i="2"/>
  <c r="X186" i="2"/>
  <c r="W186" i="2"/>
  <c r="V186" i="2"/>
  <c r="U186" i="2"/>
  <c r="AE186" i="2" s="1"/>
  <c r="T186" i="2"/>
  <c r="AD186" i="2" s="1"/>
  <c r="S186" i="2"/>
  <c r="AC186" i="2" s="1"/>
  <c r="R186" i="2"/>
  <c r="AB186" i="2" s="1"/>
  <c r="Q186" i="2"/>
  <c r="AA186" i="2" s="1"/>
  <c r="P186" i="2"/>
  <c r="Z186" i="2" s="1"/>
  <c r="O186" i="2"/>
  <c r="N186" i="2"/>
  <c r="M186" i="2"/>
  <c r="L186" i="2"/>
  <c r="AC185" i="2"/>
  <c r="AB185" i="2"/>
  <c r="AA185" i="2"/>
  <c r="Z185" i="2"/>
  <c r="Y185" i="2"/>
  <c r="X185" i="2"/>
  <c r="U185" i="2"/>
  <c r="AE185" i="2" s="1"/>
  <c r="T185" i="2"/>
  <c r="AD185" i="2" s="1"/>
  <c r="S185" i="2"/>
  <c r="R185" i="2"/>
  <c r="Q185" i="2"/>
  <c r="P185" i="2"/>
  <c r="O185" i="2"/>
  <c r="N185" i="2"/>
  <c r="M185" i="2"/>
  <c r="W185" i="2" s="1"/>
  <c r="L185" i="2"/>
  <c r="V185" i="2" s="1"/>
  <c r="AE184" i="2"/>
  <c r="AD184" i="2"/>
  <c r="AC184" i="2"/>
  <c r="AB184" i="2"/>
  <c r="U184" i="2"/>
  <c r="T184" i="2"/>
  <c r="S184" i="2"/>
  <c r="R184" i="2"/>
  <c r="Q184" i="2"/>
  <c r="AA184" i="2" s="1"/>
  <c r="P184" i="2"/>
  <c r="Z184" i="2" s="1"/>
  <c r="O184" i="2"/>
  <c r="Y184" i="2" s="1"/>
  <c r="N184" i="2"/>
  <c r="X184" i="2" s="1"/>
  <c r="M184" i="2"/>
  <c r="W184" i="2" s="1"/>
  <c r="L184" i="2"/>
  <c r="V184" i="2" s="1"/>
  <c r="Y183" i="2"/>
  <c r="U183" i="2"/>
  <c r="AE183" i="2" s="1"/>
  <c r="T183" i="2"/>
  <c r="AD183" i="2" s="1"/>
  <c r="S183" i="2"/>
  <c r="AC183" i="2" s="1"/>
  <c r="R183" i="2"/>
  <c r="AB183" i="2" s="1"/>
  <c r="Q183" i="2"/>
  <c r="AA183" i="2" s="1"/>
  <c r="P183" i="2"/>
  <c r="Z183" i="2" s="1"/>
  <c r="O183" i="2"/>
  <c r="N183" i="2"/>
  <c r="X183" i="2" s="1"/>
  <c r="M183" i="2"/>
  <c r="W183" i="2" s="1"/>
  <c r="L183" i="2"/>
  <c r="V183" i="2" s="1"/>
  <c r="AC182" i="2"/>
  <c r="Y182" i="2"/>
  <c r="X182" i="2"/>
  <c r="W182" i="2"/>
  <c r="V182" i="2"/>
  <c r="U182" i="2"/>
  <c r="AE182" i="2" s="1"/>
  <c r="T182" i="2"/>
  <c r="AD182" i="2" s="1"/>
  <c r="S182" i="2"/>
  <c r="R182" i="2"/>
  <c r="AB182" i="2" s="1"/>
  <c r="Q182" i="2"/>
  <c r="AA182" i="2" s="1"/>
  <c r="P182" i="2"/>
  <c r="Z182" i="2" s="1"/>
  <c r="O182" i="2"/>
  <c r="N182" i="2"/>
  <c r="M182" i="2"/>
  <c r="L182" i="2"/>
  <c r="AC181" i="2"/>
  <c r="AB181" i="2"/>
  <c r="AA181" i="2"/>
  <c r="Z181" i="2"/>
  <c r="Y181" i="2"/>
  <c r="X181" i="2"/>
  <c r="U181" i="2"/>
  <c r="AE181" i="2" s="1"/>
  <c r="T181" i="2"/>
  <c r="AD181" i="2" s="1"/>
  <c r="S181" i="2"/>
  <c r="R181" i="2"/>
  <c r="Q181" i="2"/>
  <c r="P181" i="2"/>
  <c r="O181" i="2"/>
  <c r="N181" i="2"/>
  <c r="M181" i="2"/>
  <c r="W181" i="2" s="1"/>
  <c r="L181" i="2"/>
  <c r="V181" i="2" s="1"/>
  <c r="AE180" i="2"/>
  <c r="AD180" i="2"/>
  <c r="AC180" i="2"/>
  <c r="AB180" i="2"/>
  <c r="U180" i="2"/>
  <c r="T180" i="2"/>
  <c r="S180" i="2"/>
  <c r="R180" i="2"/>
  <c r="Q180" i="2"/>
  <c r="AA180" i="2" s="1"/>
  <c r="P180" i="2"/>
  <c r="Z180" i="2" s="1"/>
  <c r="O180" i="2"/>
  <c r="Y180" i="2" s="1"/>
  <c r="N180" i="2"/>
  <c r="X180" i="2" s="1"/>
  <c r="M180" i="2"/>
  <c r="W180" i="2" s="1"/>
  <c r="L180" i="2"/>
  <c r="V180" i="2" s="1"/>
  <c r="U179" i="2"/>
  <c r="AE179" i="2" s="1"/>
  <c r="T179" i="2"/>
  <c r="AD179" i="2" s="1"/>
  <c r="S179" i="2"/>
  <c r="AC179" i="2" s="1"/>
  <c r="R179" i="2"/>
  <c r="AB179" i="2" s="1"/>
  <c r="Q179" i="2"/>
  <c r="AA179" i="2" s="1"/>
  <c r="P179" i="2"/>
  <c r="Z179" i="2" s="1"/>
  <c r="O179" i="2"/>
  <c r="Y179" i="2" s="1"/>
  <c r="N179" i="2"/>
  <c r="X179" i="2" s="1"/>
  <c r="M179" i="2"/>
  <c r="W179" i="2" s="1"/>
  <c r="L179" i="2"/>
  <c r="V179" i="2" s="1"/>
  <c r="Y178" i="2"/>
  <c r="X178" i="2"/>
  <c r="W178" i="2"/>
  <c r="V178" i="2"/>
  <c r="U178" i="2"/>
  <c r="AE178" i="2" s="1"/>
  <c r="T178" i="2"/>
  <c r="AD178" i="2" s="1"/>
  <c r="S178" i="2"/>
  <c r="AC178" i="2" s="1"/>
  <c r="R178" i="2"/>
  <c r="AB178" i="2" s="1"/>
  <c r="Q178" i="2"/>
  <c r="AA178" i="2" s="1"/>
  <c r="P178" i="2"/>
  <c r="Z178" i="2" s="1"/>
  <c r="O178" i="2"/>
  <c r="N178" i="2"/>
  <c r="M178" i="2"/>
  <c r="L178" i="2"/>
  <c r="AC177" i="2"/>
  <c r="AB177" i="2"/>
  <c r="AA177" i="2"/>
  <c r="Z177" i="2"/>
  <c r="Y177" i="2"/>
  <c r="X177" i="2"/>
  <c r="U177" i="2"/>
  <c r="AE177" i="2" s="1"/>
  <c r="T177" i="2"/>
  <c r="AD177" i="2" s="1"/>
  <c r="S177" i="2"/>
  <c r="R177" i="2"/>
  <c r="Q177" i="2"/>
  <c r="P177" i="2"/>
  <c r="O177" i="2"/>
  <c r="N177" i="2"/>
  <c r="M177" i="2"/>
  <c r="W177" i="2" s="1"/>
  <c r="L177" i="2"/>
  <c r="V177" i="2" s="1"/>
  <c r="AE176" i="2"/>
  <c r="AD176" i="2"/>
  <c r="AC176" i="2"/>
  <c r="AB176" i="2"/>
  <c r="U176" i="2"/>
  <c r="T176" i="2"/>
  <c r="S176" i="2"/>
  <c r="R176" i="2"/>
  <c r="Q176" i="2"/>
  <c r="AA176" i="2" s="1"/>
  <c r="P176" i="2"/>
  <c r="Z176" i="2" s="1"/>
  <c r="O176" i="2"/>
  <c r="Y176" i="2" s="1"/>
  <c r="N176" i="2"/>
  <c r="X176" i="2" s="1"/>
  <c r="M176" i="2"/>
  <c r="W176" i="2" s="1"/>
  <c r="L176" i="2"/>
  <c r="V176" i="2" s="1"/>
  <c r="Y175" i="2"/>
  <c r="U175" i="2"/>
  <c r="AE175" i="2" s="1"/>
  <c r="T175" i="2"/>
  <c r="AD175" i="2" s="1"/>
  <c r="S175" i="2"/>
  <c r="AC175" i="2" s="1"/>
  <c r="R175" i="2"/>
  <c r="AB175" i="2" s="1"/>
  <c r="Q175" i="2"/>
  <c r="AA175" i="2" s="1"/>
  <c r="P175" i="2"/>
  <c r="Z175" i="2" s="1"/>
  <c r="O175" i="2"/>
  <c r="N175" i="2"/>
  <c r="X175" i="2" s="1"/>
  <c r="M175" i="2"/>
  <c r="W175" i="2" s="1"/>
  <c r="L175" i="2"/>
  <c r="V175" i="2" s="1"/>
  <c r="AC174" i="2"/>
  <c r="Y174" i="2"/>
  <c r="X174" i="2"/>
  <c r="W174" i="2"/>
  <c r="V174" i="2"/>
  <c r="U174" i="2"/>
  <c r="AE174" i="2" s="1"/>
  <c r="T174" i="2"/>
  <c r="AD174" i="2" s="1"/>
  <c r="S174" i="2"/>
  <c r="R174" i="2"/>
  <c r="AB174" i="2" s="1"/>
  <c r="Q174" i="2"/>
  <c r="AA174" i="2" s="1"/>
  <c r="P174" i="2"/>
  <c r="Z174" i="2" s="1"/>
  <c r="O174" i="2"/>
  <c r="N174" i="2"/>
  <c r="M174" i="2"/>
  <c r="L174" i="2"/>
  <c r="AC173" i="2"/>
  <c r="AB173" i="2"/>
  <c r="AA173" i="2"/>
  <c r="Z173" i="2"/>
  <c r="Y173" i="2"/>
  <c r="X173" i="2"/>
  <c r="U173" i="2"/>
  <c r="AE173" i="2" s="1"/>
  <c r="T173" i="2"/>
  <c r="AD173" i="2" s="1"/>
  <c r="S173" i="2"/>
  <c r="R173" i="2"/>
  <c r="Q173" i="2"/>
  <c r="P173" i="2"/>
  <c r="O173" i="2"/>
  <c r="N173" i="2"/>
  <c r="M173" i="2"/>
  <c r="W173" i="2" s="1"/>
  <c r="L173" i="2"/>
  <c r="V173" i="2" s="1"/>
  <c r="AE172" i="2"/>
  <c r="AD172" i="2"/>
  <c r="AC172" i="2"/>
  <c r="AB172" i="2"/>
  <c r="U172" i="2"/>
  <c r="T172" i="2"/>
  <c r="S172" i="2"/>
  <c r="R172" i="2"/>
  <c r="Q172" i="2"/>
  <c r="AA172" i="2" s="1"/>
  <c r="P172" i="2"/>
  <c r="Z172" i="2" s="1"/>
  <c r="O172" i="2"/>
  <c r="Y172" i="2" s="1"/>
  <c r="N172" i="2"/>
  <c r="X172" i="2" s="1"/>
  <c r="M172" i="2"/>
  <c r="W172" i="2" s="1"/>
  <c r="L172" i="2"/>
  <c r="V172" i="2" s="1"/>
  <c r="Y171" i="2"/>
  <c r="U171" i="2"/>
  <c r="AE171" i="2" s="1"/>
  <c r="T171" i="2"/>
  <c r="AD171" i="2" s="1"/>
  <c r="S171" i="2"/>
  <c r="AC171" i="2" s="1"/>
  <c r="R171" i="2"/>
  <c r="AB171" i="2" s="1"/>
  <c r="Q171" i="2"/>
  <c r="AA171" i="2" s="1"/>
  <c r="P171" i="2"/>
  <c r="Z171" i="2" s="1"/>
  <c r="O171" i="2"/>
  <c r="N171" i="2"/>
  <c r="X171" i="2" s="1"/>
  <c r="M171" i="2"/>
  <c r="W171" i="2" s="1"/>
  <c r="L171" i="2"/>
  <c r="V171" i="2" s="1"/>
  <c r="AC170" i="2"/>
  <c r="Y170" i="2"/>
  <c r="X170" i="2"/>
  <c r="W170" i="2"/>
  <c r="V170" i="2"/>
  <c r="U170" i="2"/>
  <c r="AE170" i="2" s="1"/>
  <c r="T170" i="2"/>
  <c r="AD170" i="2" s="1"/>
  <c r="S170" i="2"/>
  <c r="R170" i="2"/>
  <c r="AB170" i="2" s="1"/>
  <c r="Q170" i="2"/>
  <c r="AA170" i="2" s="1"/>
  <c r="P170" i="2"/>
  <c r="Z170" i="2" s="1"/>
  <c r="O170" i="2"/>
  <c r="N170" i="2"/>
  <c r="M170" i="2"/>
  <c r="L170" i="2"/>
  <c r="AC169" i="2"/>
  <c r="AB169" i="2"/>
  <c r="AA169" i="2"/>
  <c r="Z169" i="2"/>
  <c r="Y169" i="2"/>
  <c r="X169" i="2"/>
  <c r="U169" i="2"/>
  <c r="AE169" i="2" s="1"/>
  <c r="T169" i="2"/>
  <c r="AD169" i="2" s="1"/>
  <c r="S169" i="2"/>
  <c r="R169" i="2"/>
  <c r="Q169" i="2"/>
  <c r="P169" i="2"/>
  <c r="O169" i="2"/>
  <c r="N169" i="2"/>
  <c r="M169" i="2"/>
  <c r="W169" i="2" s="1"/>
  <c r="L169" i="2"/>
  <c r="V169" i="2" s="1"/>
  <c r="AE168" i="2"/>
  <c r="AD168" i="2"/>
  <c r="AC168" i="2"/>
  <c r="AB168" i="2"/>
  <c r="U168" i="2"/>
  <c r="T168" i="2"/>
  <c r="S168" i="2"/>
  <c r="R168" i="2"/>
  <c r="Q168" i="2"/>
  <c r="AA168" i="2" s="1"/>
  <c r="P168" i="2"/>
  <c r="Z168" i="2" s="1"/>
  <c r="O168" i="2"/>
  <c r="Y168" i="2" s="1"/>
  <c r="N168" i="2"/>
  <c r="X168" i="2" s="1"/>
  <c r="M168" i="2"/>
  <c r="W168" i="2" s="1"/>
  <c r="L168" i="2"/>
  <c r="V168" i="2" s="1"/>
  <c r="Y167" i="2"/>
  <c r="U167" i="2"/>
  <c r="AE167" i="2" s="1"/>
  <c r="T167" i="2"/>
  <c r="AD167" i="2" s="1"/>
  <c r="S167" i="2"/>
  <c r="AC167" i="2" s="1"/>
  <c r="R167" i="2"/>
  <c r="AB167" i="2" s="1"/>
  <c r="Q167" i="2"/>
  <c r="AA167" i="2" s="1"/>
  <c r="P167" i="2"/>
  <c r="Z167" i="2" s="1"/>
  <c r="O167" i="2"/>
  <c r="N167" i="2"/>
  <c r="X167" i="2" s="1"/>
  <c r="M167" i="2"/>
  <c r="W167" i="2" s="1"/>
  <c r="L167" i="2"/>
  <c r="V167" i="2" s="1"/>
  <c r="AC166" i="2"/>
  <c r="Y166" i="2"/>
  <c r="X166" i="2"/>
  <c r="W166" i="2"/>
  <c r="V166" i="2"/>
  <c r="U166" i="2"/>
  <c r="AE166" i="2" s="1"/>
  <c r="T166" i="2"/>
  <c r="AD166" i="2" s="1"/>
  <c r="S166" i="2"/>
  <c r="R166" i="2"/>
  <c r="AB166" i="2" s="1"/>
  <c r="Q166" i="2"/>
  <c r="AA166" i="2" s="1"/>
  <c r="P166" i="2"/>
  <c r="Z166" i="2" s="1"/>
  <c r="O166" i="2"/>
  <c r="N166" i="2"/>
  <c r="M166" i="2"/>
  <c r="L166" i="2"/>
  <c r="AC165" i="2"/>
  <c r="AB165" i="2"/>
  <c r="AA165" i="2"/>
  <c r="Z165" i="2"/>
  <c r="Y165" i="2"/>
  <c r="X165" i="2"/>
  <c r="U165" i="2"/>
  <c r="AE165" i="2" s="1"/>
  <c r="T165" i="2"/>
  <c r="AD165" i="2" s="1"/>
  <c r="S165" i="2"/>
  <c r="R165" i="2"/>
  <c r="Q165" i="2"/>
  <c r="P165" i="2"/>
  <c r="O165" i="2"/>
  <c r="N165" i="2"/>
  <c r="M165" i="2"/>
  <c r="W165" i="2" s="1"/>
  <c r="L165" i="2"/>
  <c r="V165" i="2" s="1"/>
  <c r="AE164" i="2"/>
  <c r="AD164" i="2"/>
  <c r="AC164" i="2"/>
  <c r="AB164" i="2"/>
  <c r="U164" i="2"/>
  <c r="T164" i="2"/>
  <c r="S164" i="2"/>
  <c r="R164" i="2"/>
  <c r="Q164" i="2"/>
  <c r="AA164" i="2" s="1"/>
  <c r="P164" i="2"/>
  <c r="Z164" i="2" s="1"/>
  <c r="O164" i="2"/>
  <c r="Y164" i="2" s="1"/>
  <c r="N164" i="2"/>
  <c r="X164" i="2" s="1"/>
  <c r="M164" i="2"/>
  <c r="W164" i="2" s="1"/>
  <c r="L164" i="2"/>
  <c r="V164" i="2" s="1"/>
  <c r="Y163" i="2"/>
  <c r="U163" i="2"/>
  <c r="AE163" i="2" s="1"/>
  <c r="T163" i="2"/>
  <c r="AD163" i="2" s="1"/>
  <c r="S163" i="2"/>
  <c r="AC163" i="2" s="1"/>
  <c r="R163" i="2"/>
  <c r="AB163" i="2" s="1"/>
  <c r="Q163" i="2"/>
  <c r="AA163" i="2" s="1"/>
  <c r="P163" i="2"/>
  <c r="Z163" i="2" s="1"/>
  <c r="O163" i="2"/>
  <c r="N163" i="2"/>
  <c r="X163" i="2" s="1"/>
  <c r="M163" i="2"/>
  <c r="W163" i="2" s="1"/>
  <c r="L163" i="2"/>
  <c r="V163" i="2" s="1"/>
  <c r="AC162" i="2"/>
  <c r="Y162" i="2"/>
  <c r="X162" i="2"/>
  <c r="W162" i="2"/>
  <c r="V162" i="2"/>
  <c r="U162" i="2"/>
  <c r="AE162" i="2" s="1"/>
  <c r="T162" i="2"/>
  <c r="AD162" i="2" s="1"/>
  <c r="S162" i="2"/>
  <c r="R162" i="2"/>
  <c r="AB162" i="2" s="1"/>
  <c r="Q162" i="2"/>
  <c r="AA162" i="2" s="1"/>
  <c r="P162" i="2"/>
  <c r="Z162" i="2" s="1"/>
  <c r="O162" i="2"/>
  <c r="N162" i="2"/>
  <c r="M162" i="2"/>
  <c r="L162" i="2"/>
  <c r="AC161" i="2"/>
  <c r="AB161" i="2"/>
  <c r="AA161" i="2"/>
  <c r="Z161" i="2"/>
  <c r="Y161" i="2"/>
  <c r="X161" i="2"/>
  <c r="U161" i="2"/>
  <c r="AE161" i="2" s="1"/>
  <c r="T161" i="2"/>
  <c r="AD161" i="2" s="1"/>
  <c r="S161" i="2"/>
  <c r="R161" i="2"/>
  <c r="Q161" i="2"/>
  <c r="P161" i="2"/>
  <c r="O161" i="2"/>
  <c r="N161" i="2"/>
  <c r="M161" i="2"/>
  <c r="W161" i="2" s="1"/>
  <c r="L161" i="2"/>
  <c r="V161" i="2" s="1"/>
  <c r="AE160" i="2"/>
  <c r="AD160" i="2"/>
  <c r="AC160" i="2"/>
  <c r="AB160" i="2"/>
  <c r="U160" i="2"/>
  <c r="T160" i="2"/>
  <c r="S160" i="2"/>
  <c r="R160" i="2"/>
  <c r="Q160" i="2"/>
  <c r="AA160" i="2" s="1"/>
  <c r="P160" i="2"/>
  <c r="Z160" i="2" s="1"/>
  <c r="O160" i="2"/>
  <c r="Y160" i="2" s="1"/>
  <c r="N160" i="2"/>
  <c r="X160" i="2" s="1"/>
  <c r="M160" i="2"/>
  <c r="W160" i="2" s="1"/>
  <c r="L160" i="2"/>
  <c r="V160" i="2" s="1"/>
  <c r="Y159" i="2"/>
  <c r="U159" i="2"/>
  <c r="AE159" i="2" s="1"/>
  <c r="T159" i="2"/>
  <c r="AD159" i="2" s="1"/>
  <c r="S159" i="2"/>
  <c r="AC159" i="2" s="1"/>
  <c r="R159" i="2"/>
  <c r="AB159" i="2" s="1"/>
  <c r="Q159" i="2"/>
  <c r="AA159" i="2" s="1"/>
  <c r="P159" i="2"/>
  <c r="Z159" i="2" s="1"/>
  <c r="O159" i="2"/>
  <c r="N159" i="2"/>
  <c r="X159" i="2" s="1"/>
  <c r="M159" i="2"/>
  <c r="W159" i="2" s="1"/>
  <c r="L159" i="2"/>
  <c r="V159" i="2" s="1"/>
  <c r="AC158" i="2"/>
  <c r="Y158" i="2"/>
  <c r="X158" i="2"/>
  <c r="W158" i="2"/>
  <c r="V158" i="2"/>
  <c r="U158" i="2"/>
  <c r="AE158" i="2" s="1"/>
  <c r="T158" i="2"/>
  <c r="AD158" i="2" s="1"/>
  <c r="S158" i="2"/>
  <c r="R158" i="2"/>
  <c r="AB158" i="2" s="1"/>
  <c r="Q158" i="2"/>
  <c r="AA158" i="2" s="1"/>
  <c r="P158" i="2"/>
  <c r="Z158" i="2" s="1"/>
  <c r="O158" i="2"/>
  <c r="N158" i="2"/>
  <c r="M158" i="2"/>
  <c r="L158" i="2"/>
  <c r="AC157" i="2"/>
  <c r="AB157" i="2"/>
  <c r="AA157" i="2"/>
  <c r="Z157" i="2"/>
  <c r="Y157" i="2"/>
  <c r="X157" i="2"/>
  <c r="U157" i="2"/>
  <c r="AE157" i="2" s="1"/>
  <c r="T157" i="2"/>
  <c r="AD157" i="2" s="1"/>
  <c r="S157" i="2"/>
  <c r="R157" i="2"/>
  <c r="Q157" i="2"/>
  <c r="P157" i="2"/>
  <c r="O157" i="2"/>
  <c r="N157" i="2"/>
  <c r="M157" i="2"/>
  <c r="W157" i="2" s="1"/>
  <c r="L157" i="2"/>
  <c r="V157" i="2" s="1"/>
  <c r="AE156" i="2"/>
  <c r="AD156" i="2"/>
  <c r="AC156" i="2"/>
  <c r="AB156" i="2"/>
  <c r="U156" i="2"/>
  <c r="T156" i="2"/>
  <c r="S156" i="2"/>
  <c r="R156" i="2"/>
  <c r="Q156" i="2"/>
  <c r="AA156" i="2" s="1"/>
  <c r="P156" i="2"/>
  <c r="Z156" i="2" s="1"/>
  <c r="O156" i="2"/>
  <c r="Y156" i="2" s="1"/>
  <c r="N156" i="2"/>
  <c r="X156" i="2" s="1"/>
  <c r="M156" i="2"/>
  <c r="W156" i="2" s="1"/>
  <c r="L156" i="2"/>
  <c r="V156" i="2" s="1"/>
  <c r="Y155" i="2"/>
  <c r="U155" i="2"/>
  <c r="AE155" i="2" s="1"/>
  <c r="T155" i="2"/>
  <c r="AD155" i="2" s="1"/>
  <c r="S155" i="2"/>
  <c r="AC155" i="2" s="1"/>
  <c r="R155" i="2"/>
  <c r="AB155" i="2" s="1"/>
  <c r="Q155" i="2"/>
  <c r="AA155" i="2" s="1"/>
  <c r="P155" i="2"/>
  <c r="Z155" i="2" s="1"/>
  <c r="O155" i="2"/>
  <c r="N155" i="2"/>
  <c r="X155" i="2" s="1"/>
  <c r="M155" i="2"/>
  <c r="W155" i="2" s="1"/>
  <c r="L155" i="2"/>
  <c r="V155" i="2" s="1"/>
  <c r="AC154" i="2"/>
  <c r="Y154" i="2"/>
  <c r="X154" i="2"/>
  <c r="W154" i="2"/>
  <c r="V154" i="2"/>
  <c r="U154" i="2"/>
  <c r="AE154" i="2" s="1"/>
  <c r="T154" i="2"/>
  <c r="AD154" i="2" s="1"/>
  <c r="S154" i="2"/>
  <c r="R154" i="2"/>
  <c r="AB154" i="2" s="1"/>
  <c r="Q154" i="2"/>
  <c r="AA154" i="2" s="1"/>
  <c r="P154" i="2"/>
  <c r="Z154" i="2" s="1"/>
  <c r="O154" i="2"/>
  <c r="N154" i="2"/>
  <c r="M154" i="2"/>
  <c r="L154" i="2"/>
  <c r="AC153" i="2"/>
  <c r="AB153" i="2"/>
  <c r="AA153" i="2"/>
  <c r="Z153" i="2"/>
  <c r="Y153" i="2"/>
  <c r="X153" i="2"/>
  <c r="U153" i="2"/>
  <c r="AE153" i="2" s="1"/>
  <c r="T153" i="2"/>
  <c r="AD153" i="2" s="1"/>
  <c r="S153" i="2"/>
  <c r="R153" i="2"/>
  <c r="Q153" i="2"/>
  <c r="P153" i="2"/>
  <c r="O153" i="2"/>
  <c r="N153" i="2"/>
  <c r="M153" i="2"/>
  <c r="W153" i="2" s="1"/>
  <c r="L153" i="2"/>
  <c r="V153" i="2" s="1"/>
  <c r="AE152" i="2"/>
  <c r="AD152" i="2"/>
  <c r="AC152" i="2"/>
  <c r="AB152" i="2"/>
  <c r="U152" i="2"/>
  <c r="T152" i="2"/>
  <c r="S152" i="2"/>
  <c r="R152" i="2"/>
  <c r="Q152" i="2"/>
  <c r="AA152" i="2" s="1"/>
  <c r="P152" i="2"/>
  <c r="Z152" i="2" s="1"/>
  <c r="O152" i="2"/>
  <c r="Y152" i="2" s="1"/>
  <c r="N152" i="2"/>
  <c r="X152" i="2" s="1"/>
  <c r="M152" i="2"/>
  <c r="W152" i="2" s="1"/>
  <c r="L152" i="2"/>
  <c r="V152" i="2" s="1"/>
  <c r="AD151" i="2"/>
  <c r="AC151" i="2"/>
  <c r="Y151" i="2"/>
  <c r="U151" i="2"/>
  <c r="AE151" i="2" s="1"/>
  <c r="T151" i="2"/>
  <c r="S151" i="2"/>
  <c r="R151" i="2"/>
  <c r="AB151" i="2" s="1"/>
  <c r="Q151" i="2"/>
  <c r="AA151" i="2" s="1"/>
  <c r="P151" i="2"/>
  <c r="Z151" i="2" s="1"/>
  <c r="O151" i="2"/>
  <c r="N151" i="2"/>
  <c r="X151" i="2" s="1"/>
  <c r="M151" i="2"/>
  <c r="W151" i="2" s="1"/>
  <c r="L151" i="2"/>
  <c r="V151" i="2" s="1"/>
  <c r="AC150" i="2"/>
  <c r="AB150" i="2"/>
  <c r="X150" i="2"/>
  <c r="U150" i="2"/>
  <c r="AE150" i="2" s="1"/>
  <c r="T150" i="2"/>
  <c r="AD150" i="2" s="1"/>
  <c r="S150" i="2"/>
  <c r="R150" i="2"/>
  <c r="Q150" i="2"/>
  <c r="AA150" i="2" s="1"/>
  <c r="P150" i="2"/>
  <c r="Z150" i="2" s="1"/>
  <c r="O150" i="2"/>
  <c r="Y150" i="2" s="1"/>
  <c r="N150" i="2"/>
  <c r="M150" i="2"/>
  <c r="W150" i="2" s="1"/>
  <c r="L150" i="2"/>
  <c r="V150" i="2" s="1"/>
  <c r="AC149" i="2"/>
  <c r="AB149" i="2"/>
  <c r="AA149" i="2"/>
  <c r="Z149" i="2"/>
  <c r="U149" i="2"/>
  <c r="AE149" i="2" s="1"/>
  <c r="T149" i="2"/>
  <c r="AD149" i="2" s="1"/>
  <c r="S149" i="2"/>
  <c r="R149" i="2"/>
  <c r="Q149" i="2"/>
  <c r="P149" i="2"/>
  <c r="O149" i="2"/>
  <c r="Y149" i="2" s="1"/>
  <c r="N149" i="2"/>
  <c r="X149" i="2" s="1"/>
  <c r="M149" i="2"/>
  <c r="W149" i="2" s="1"/>
  <c r="L149" i="2"/>
  <c r="V149" i="2" s="1"/>
  <c r="AE148" i="2"/>
  <c r="AD148" i="2"/>
  <c r="AC148" i="2"/>
  <c r="W148" i="2"/>
  <c r="U148" i="2"/>
  <c r="T148" i="2"/>
  <c r="S148" i="2"/>
  <c r="R148" i="2"/>
  <c r="AB148" i="2" s="1"/>
  <c r="Q148" i="2"/>
  <c r="AA148" i="2" s="1"/>
  <c r="P148" i="2"/>
  <c r="Z148" i="2" s="1"/>
  <c r="O148" i="2"/>
  <c r="Y148" i="2" s="1"/>
  <c r="N148" i="2"/>
  <c r="X148" i="2" s="1"/>
  <c r="M148" i="2"/>
  <c r="L148" i="2"/>
  <c r="V148" i="2" s="1"/>
  <c r="AA147" i="2"/>
  <c r="Y147" i="2"/>
  <c r="V147" i="2"/>
  <c r="U147" i="2"/>
  <c r="AE147" i="2" s="1"/>
  <c r="T147" i="2"/>
  <c r="AD147" i="2" s="1"/>
  <c r="S147" i="2"/>
  <c r="AC147" i="2" s="1"/>
  <c r="R147" i="2"/>
  <c r="AB147" i="2" s="1"/>
  <c r="Q147" i="2"/>
  <c r="P147" i="2"/>
  <c r="Z147" i="2" s="1"/>
  <c r="O147" i="2"/>
  <c r="N147" i="2"/>
  <c r="X147" i="2" s="1"/>
  <c r="M147" i="2"/>
  <c r="W147" i="2" s="1"/>
  <c r="L147" i="2"/>
  <c r="AE146" i="2"/>
  <c r="AC146" i="2"/>
  <c r="AA146" i="2"/>
  <c r="Z146" i="2"/>
  <c r="Y146" i="2"/>
  <c r="X146" i="2"/>
  <c r="W146" i="2"/>
  <c r="V146" i="2"/>
  <c r="U146" i="2"/>
  <c r="T146" i="2"/>
  <c r="AD146" i="2" s="1"/>
  <c r="S146" i="2"/>
  <c r="R146" i="2"/>
  <c r="AB146" i="2" s="1"/>
  <c r="Q146" i="2"/>
  <c r="P146" i="2"/>
  <c r="O146" i="2"/>
  <c r="N146" i="2"/>
  <c r="M146" i="2"/>
  <c r="L146" i="2"/>
  <c r="AE145" i="2"/>
  <c r="AD145" i="2"/>
  <c r="AC145" i="2"/>
  <c r="AB145" i="2"/>
  <c r="AA145" i="2"/>
  <c r="Z145" i="2"/>
  <c r="X145" i="2"/>
  <c r="U145" i="2"/>
  <c r="T145" i="2"/>
  <c r="S145" i="2"/>
  <c r="R145" i="2"/>
  <c r="Q145" i="2"/>
  <c r="P145" i="2"/>
  <c r="O145" i="2"/>
  <c r="Y145" i="2" s="1"/>
  <c r="N145" i="2"/>
  <c r="M145" i="2"/>
  <c r="W145" i="2" s="1"/>
  <c r="L145" i="2"/>
  <c r="V145" i="2" s="1"/>
  <c r="AE144" i="2"/>
  <c r="AD144" i="2"/>
  <c r="AB144" i="2"/>
  <c r="W144" i="2"/>
  <c r="U144" i="2"/>
  <c r="T144" i="2"/>
  <c r="S144" i="2"/>
  <c r="AC144" i="2" s="1"/>
  <c r="R144" i="2"/>
  <c r="Q144" i="2"/>
  <c r="AA144" i="2" s="1"/>
  <c r="P144" i="2"/>
  <c r="Z144" i="2" s="1"/>
  <c r="O144" i="2"/>
  <c r="Y144" i="2" s="1"/>
  <c r="N144" i="2"/>
  <c r="X144" i="2" s="1"/>
  <c r="M144" i="2"/>
  <c r="L144" i="2"/>
  <c r="V144" i="2" s="1"/>
  <c r="AA143" i="2"/>
  <c r="Y143" i="2"/>
  <c r="W143" i="2"/>
  <c r="V143" i="2"/>
  <c r="U143" i="2"/>
  <c r="AE143" i="2" s="1"/>
  <c r="T143" i="2"/>
  <c r="AD143" i="2" s="1"/>
  <c r="S143" i="2"/>
  <c r="AC143" i="2" s="1"/>
  <c r="R143" i="2"/>
  <c r="AB143" i="2" s="1"/>
  <c r="Q143" i="2"/>
  <c r="P143" i="2"/>
  <c r="Z143" i="2" s="1"/>
  <c r="O143" i="2"/>
  <c r="N143" i="2"/>
  <c r="X143" i="2" s="1"/>
  <c r="M143" i="2"/>
  <c r="L143" i="2"/>
  <c r="AE142" i="2"/>
  <c r="AC142" i="2"/>
  <c r="AA142" i="2"/>
  <c r="Z142" i="2"/>
  <c r="Y142" i="2"/>
  <c r="X142" i="2"/>
  <c r="W142" i="2"/>
  <c r="V142" i="2"/>
  <c r="U142" i="2"/>
  <c r="T142" i="2"/>
  <c r="AD142" i="2" s="1"/>
  <c r="S142" i="2"/>
  <c r="R142" i="2"/>
  <c r="AB142" i="2" s="1"/>
  <c r="Q142" i="2"/>
  <c r="P142" i="2"/>
  <c r="O142" i="2"/>
  <c r="N142" i="2"/>
  <c r="M142" i="2"/>
  <c r="L142" i="2"/>
  <c r="AE141" i="2"/>
  <c r="AD141" i="2"/>
  <c r="AC141" i="2"/>
  <c r="AB141" i="2"/>
  <c r="AA141" i="2"/>
  <c r="Z141" i="2"/>
  <c r="X141" i="2"/>
  <c r="U141" i="2"/>
  <c r="T141" i="2"/>
  <c r="S141" i="2"/>
  <c r="R141" i="2"/>
  <c r="Q141" i="2"/>
  <c r="P141" i="2"/>
  <c r="O141" i="2"/>
  <c r="Y141" i="2" s="1"/>
  <c r="N141" i="2"/>
  <c r="M141" i="2"/>
  <c r="W141" i="2" s="1"/>
  <c r="L141" i="2"/>
  <c r="V141" i="2" s="1"/>
  <c r="AE140" i="2"/>
  <c r="AD140" i="2"/>
  <c r="AB140" i="2"/>
  <c r="W140" i="2"/>
  <c r="U140" i="2"/>
  <c r="T140" i="2"/>
  <c r="S140" i="2"/>
  <c r="AC140" i="2" s="1"/>
  <c r="R140" i="2"/>
  <c r="Q140" i="2"/>
  <c r="AA140" i="2" s="1"/>
  <c r="P140" i="2"/>
  <c r="Z140" i="2" s="1"/>
  <c r="O140" i="2"/>
  <c r="Y140" i="2" s="1"/>
  <c r="N140" i="2"/>
  <c r="X140" i="2" s="1"/>
  <c r="M140" i="2"/>
  <c r="L140" i="2"/>
  <c r="V140" i="2" s="1"/>
  <c r="AA139" i="2"/>
  <c r="Y139" i="2"/>
  <c r="V139" i="2"/>
  <c r="U139" i="2"/>
  <c r="AE139" i="2" s="1"/>
  <c r="T139" i="2"/>
  <c r="AD139" i="2" s="1"/>
  <c r="S139" i="2"/>
  <c r="AC139" i="2" s="1"/>
  <c r="R139" i="2"/>
  <c r="AB139" i="2" s="1"/>
  <c r="Q139" i="2"/>
  <c r="P139" i="2"/>
  <c r="Z139" i="2" s="1"/>
  <c r="O139" i="2"/>
  <c r="N139" i="2"/>
  <c r="X139" i="2" s="1"/>
  <c r="M139" i="2"/>
  <c r="W139" i="2" s="1"/>
  <c r="L139" i="2"/>
  <c r="AE138" i="2"/>
  <c r="AC138" i="2"/>
  <c r="Z138" i="2"/>
  <c r="Y138" i="2"/>
  <c r="X138" i="2"/>
  <c r="W138" i="2"/>
  <c r="V138" i="2"/>
  <c r="U138" i="2"/>
  <c r="T138" i="2"/>
  <c r="AD138" i="2" s="1"/>
  <c r="S138" i="2"/>
  <c r="R138" i="2"/>
  <c r="AB138" i="2" s="1"/>
  <c r="Q138" i="2"/>
  <c r="AA138" i="2" s="1"/>
  <c r="P138" i="2"/>
  <c r="O138" i="2"/>
  <c r="N138" i="2"/>
  <c r="M138" i="2"/>
  <c r="L138" i="2"/>
  <c r="AD137" i="2"/>
  <c r="AC137" i="2"/>
  <c r="AB137" i="2"/>
  <c r="AA137" i="2"/>
  <c r="Z137" i="2"/>
  <c r="X137" i="2"/>
  <c r="U137" i="2"/>
  <c r="AE137" i="2" s="1"/>
  <c r="T137" i="2"/>
  <c r="S137" i="2"/>
  <c r="R137" i="2"/>
  <c r="Q137" i="2"/>
  <c r="P137" i="2"/>
  <c r="O137" i="2"/>
  <c r="Y137" i="2" s="1"/>
  <c r="N137" i="2"/>
  <c r="M137" i="2"/>
  <c r="W137" i="2" s="1"/>
  <c r="L137" i="2"/>
  <c r="V137" i="2" s="1"/>
  <c r="AE136" i="2"/>
  <c r="AD136" i="2"/>
  <c r="AB136" i="2"/>
  <c r="W136" i="2"/>
  <c r="U136" i="2"/>
  <c r="T136" i="2"/>
  <c r="S136" i="2"/>
  <c r="AC136" i="2" s="1"/>
  <c r="R136" i="2"/>
  <c r="Q136" i="2"/>
  <c r="AA136" i="2" s="1"/>
  <c r="P136" i="2"/>
  <c r="Z136" i="2" s="1"/>
  <c r="O136" i="2"/>
  <c r="Y136" i="2" s="1"/>
  <c r="N136" i="2"/>
  <c r="X136" i="2" s="1"/>
  <c r="M136" i="2"/>
  <c r="L136" i="2"/>
  <c r="V136" i="2" s="1"/>
  <c r="AA135" i="2"/>
  <c r="Y135" i="2"/>
  <c r="V135" i="2"/>
  <c r="U135" i="2"/>
  <c r="AE135" i="2" s="1"/>
  <c r="T135" i="2"/>
  <c r="AD135" i="2" s="1"/>
  <c r="S135" i="2"/>
  <c r="AC135" i="2" s="1"/>
  <c r="R135" i="2"/>
  <c r="AB135" i="2" s="1"/>
  <c r="Q135" i="2"/>
  <c r="P135" i="2"/>
  <c r="Z135" i="2" s="1"/>
  <c r="O135" i="2"/>
  <c r="N135" i="2"/>
  <c r="X135" i="2" s="1"/>
  <c r="M135" i="2"/>
  <c r="W135" i="2" s="1"/>
  <c r="L135" i="2"/>
  <c r="AE134" i="2"/>
  <c r="AC134" i="2"/>
  <c r="Z134" i="2"/>
  <c r="Y134" i="2"/>
  <c r="X134" i="2"/>
  <c r="W134" i="2"/>
  <c r="V134" i="2"/>
  <c r="U134" i="2"/>
  <c r="T134" i="2"/>
  <c r="AD134" i="2" s="1"/>
  <c r="S134" i="2"/>
  <c r="R134" i="2"/>
  <c r="AB134" i="2" s="1"/>
  <c r="Q134" i="2"/>
  <c r="AA134" i="2" s="1"/>
  <c r="P134" i="2"/>
  <c r="O134" i="2"/>
  <c r="N134" i="2"/>
  <c r="M134" i="2"/>
  <c r="L134" i="2"/>
  <c r="AD133" i="2"/>
  <c r="AC133" i="2"/>
  <c r="AB133" i="2"/>
  <c r="AA133" i="2"/>
  <c r="Z133" i="2"/>
  <c r="X133" i="2"/>
  <c r="U133" i="2"/>
  <c r="AE133" i="2" s="1"/>
  <c r="T133" i="2"/>
  <c r="S133" i="2"/>
  <c r="R133" i="2"/>
  <c r="Q133" i="2"/>
  <c r="P133" i="2"/>
  <c r="O133" i="2"/>
  <c r="Y133" i="2" s="1"/>
  <c r="N133" i="2"/>
  <c r="M133" i="2"/>
  <c r="W133" i="2" s="1"/>
  <c r="L133" i="2"/>
  <c r="V133" i="2" s="1"/>
  <c r="AE132" i="2"/>
  <c r="AD132" i="2"/>
  <c r="AB132" i="2"/>
  <c r="W132" i="2"/>
  <c r="U132" i="2"/>
  <c r="T132" i="2"/>
  <c r="S132" i="2"/>
  <c r="AC132" i="2" s="1"/>
  <c r="R132" i="2"/>
  <c r="Q132" i="2"/>
  <c r="AA132" i="2" s="1"/>
  <c r="P132" i="2"/>
  <c r="Z132" i="2" s="1"/>
  <c r="O132" i="2"/>
  <c r="Y132" i="2" s="1"/>
  <c r="N132" i="2"/>
  <c r="X132" i="2" s="1"/>
  <c r="M132" i="2"/>
  <c r="L132" i="2"/>
  <c r="V132" i="2" s="1"/>
  <c r="AA131" i="2"/>
  <c r="Y131" i="2"/>
  <c r="V131" i="2"/>
  <c r="U131" i="2"/>
  <c r="AE131" i="2" s="1"/>
  <c r="T131" i="2"/>
  <c r="AD131" i="2" s="1"/>
  <c r="S131" i="2"/>
  <c r="AC131" i="2" s="1"/>
  <c r="R131" i="2"/>
  <c r="AB131" i="2" s="1"/>
  <c r="Q131" i="2"/>
  <c r="P131" i="2"/>
  <c r="Z131" i="2" s="1"/>
  <c r="O131" i="2"/>
  <c r="N131" i="2"/>
  <c r="X131" i="2" s="1"/>
  <c r="M131" i="2"/>
  <c r="W131" i="2" s="1"/>
  <c r="L131" i="2"/>
  <c r="AE130" i="2"/>
  <c r="AC130" i="2"/>
  <c r="Z130" i="2"/>
  <c r="Y130" i="2"/>
  <c r="X130" i="2"/>
  <c r="W130" i="2"/>
  <c r="V130" i="2"/>
  <c r="U130" i="2"/>
  <c r="T130" i="2"/>
  <c r="AD130" i="2" s="1"/>
  <c r="S130" i="2"/>
  <c r="R130" i="2"/>
  <c r="AB130" i="2" s="1"/>
  <c r="Q130" i="2"/>
  <c r="AA130" i="2" s="1"/>
  <c r="P130" i="2"/>
  <c r="O130" i="2"/>
  <c r="N130" i="2"/>
  <c r="M130" i="2"/>
  <c r="L130" i="2"/>
  <c r="AD129" i="2"/>
  <c r="AC129" i="2"/>
  <c r="AB129" i="2"/>
  <c r="AA129" i="2"/>
  <c r="Z129" i="2"/>
  <c r="X129" i="2"/>
  <c r="U129" i="2"/>
  <c r="AE129" i="2" s="1"/>
  <c r="T129" i="2"/>
  <c r="S129" i="2"/>
  <c r="R129" i="2"/>
  <c r="Q129" i="2"/>
  <c r="P129" i="2"/>
  <c r="O129" i="2"/>
  <c r="Y129" i="2" s="1"/>
  <c r="N129" i="2"/>
  <c r="M129" i="2"/>
  <c r="W129" i="2" s="1"/>
  <c r="L129" i="2"/>
  <c r="V129" i="2" s="1"/>
  <c r="AE128" i="2"/>
  <c r="AD128" i="2"/>
  <c r="AB128" i="2"/>
  <c r="W128" i="2"/>
  <c r="U128" i="2"/>
  <c r="T128" i="2"/>
  <c r="S128" i="2"/>
  <c r="AC128" i="2" s="1"/>
  <c r="R128" i="2"/>
  <c r="Q128" i="2"/>
  <c r="AA128" i="2" s="1"/>
  <c r="P128" i="2"/>
  <c r="Z128" i="2" s="1"/>
  <c r="O128" i="2"/>
  <c r="Y128" i="2" s="1"/>
  <c r="N128" i="2"/>
  <c r="X128" i="2" s="1"/>
  <c r="M128" i="2"/>
  <c r="L128" i="2"/>
  <c r="V128" i="2" s="1"/>
  <c r="AA127" i="2"/>
  <c r="Y127" i="2"/>
  <c r="V127" i="2"/>
  <c r="U127" i="2"/>
  <c r="AE127" i="2" s="1"/>
  <c r="T127" i="2"/>
  <c r="AD127" i="2" s="1"/>
  <c r="S127" i="2"/>
  <c r="AC127" i="2" s="1"/>
  <c r="R127" i="2"/>
  <c r="AB127" i="2" s="1"/>
  <c r="Q127" i="2"/>
  <c r="P127" i="2"/>
  <c r="Z127" i="2" s="1"/>
  <c r="O127" i="2"/>
  <c r="N127" i="2"/>
  <c r="X127" i="2" s="1"/>
  <c r="M127" i="2"/>
  <c r="W127" i="2" s="1"/>
  <c r="L127" i="2"/>
  <c r="AE126" i="2"/>
  <c r="AC126" i="2"/>
  <c r="Z126" i="2"/>
  <c r="Y126" i="2"/>
  <c r="X126" i="2"/>
  <c r="W126" i="2"/>
  <c r="V126" i="2"/>
  <c r="U126" i="2"/>
  <c r="T126" i="2"/>
  <c r="AD126" i="2" s="1"/>
  <c r="S126" i="2"/>
  <c r="R126" i="2"/>
  <c r="AB126" i="2" s="1"/>
  <c r="Q126" i="2"/>
  <c r="AA126" i="2" s="1"/>
  <c r="P126" i="2"/>
  <c r="O126" i="2"/>
  <c r="N126" i="2"/>
  <c r="M126" i="2"/>
  <c r="L126" i="2"/>
  <c r="AD125" i="2"/>
  <c r="AC125" i="2"/>
  <c r="AB125" i="2"/>
  <c r="AA125" i="2"/>
  <c r="Z125" i="2"/>
  <c r="X125" i="2"/>
  <c r="U125" i="2"/>
  <c r="AE125" i="2" s="1"/>
  <c r="T125" i="2"/>
  <c r="S125" i="2"/>
  <c r="R125" i="2"/>
  <c r="Q125" i="2"/>
  <c r="P125" i="2"/>
  <c r="O125" i="2"/>
  <c r="Y125" i="2" s="1"/>
  <c r="N125" i="2"/>
  <c r="M125" i="2"/>
  <c r="W125" i="2" s="1"/>
  <c r="L125" i="2"/>
  <c r="V125" i="2" s="1"/>
  <c r="AE124" i="2"/>
  <c r="AD124" i="2"/>
  <c r="AB124" i="2"/>
  <c r="W124" i="2"/>
  <c r="U124" i="2"/>
  <c r="T124" i="2"/>
  <c r="S124" i="2"/>
  <c r="AC124" i="2" s="1"/>
  <c r="R124" i="2"/>
  <c r="Q124" i="2"/>
  <c r="AA124" i="2" s="1"/>
  <c r="P124" i="2"/>
  <c r="Z124" i="2" s="1"/>
  <c r="O124" i="2"/>
  <c r="Y124" i="2" s="1"/>
  <c r="N124" i="2"/>
  <c r="X124" i="2" s="1"/>
  <c r="M124" i="2"/>
  <c r="L124" i="2"/>
  <c r="V124" i="2" s="1"/>
  <c r="AA123" i="2"/>
  <c r="Y123" i="2"/>
  <c r="V123" i="2"/>
  <c r="U123" i="2"/>
  <c r="AE123" i="2" s="1"/>
  <c r="T123" i="2"/>
  <c r="AD123" i="2" s="1"/>
  <c r="S123" i="2"/>
  <c r="AC123" i="2" s="1"/>
  <c r="R123" i="2"/>
  <c r="AB123" i="2" s="1"/>
  <c r="Q123" i="2"/>
  <c r="P123" i="2"/>
  <c r="Z123" i="2" s="1"/>
  <c r="O123" i="2"/>
  <c r="N123" i="2"/>
  <c r="X123" i="2" s="1"/>
  <c r="M123" i="2"/>
  <c r="W123" i="2" s="1"/>
  <c r="L123" i="2"/>
  <c r="AE122" i="2"/>
  <c r="AC122" i="2"/>
  <c r="Z122" i="2"/>
  <c r="Y122" i="2"/>
  <c r="X122" i="2"/>
  <c r="W122" i="2"/>
  <c r="V122" i="2"/>
  <c r="U122" i="2"/>
  <c r="T122" i="2"/>
  <c r="AD122" i="2" s="1"/>
  <c r="S122" i="2"/>
  <c r="R122" i="2"/>
  <c r="AB122" i="2" s="1"/>
  <c r="Q122" i="2"/>
  <c r="AA122" i="2" s="1"/>
  <c r="P122" i="2"/>
  <c r="O122" i="2"/>
  <c r="N122" i="2"/>
  <c r="M122" i="2"/>
  <c r="L122" i="2"/>
  <c r="AD121" i="2"/>
  <c r="AC121" i="2"/>
  <c r="AB121" i="2"/>
  <c r="AA121" i="2"/>
  <c r="Z121" i="2"/>
  <c r="X121" i="2"/>
  <c r="U121" i="2"/>
  <c r="AE121" i="2" s="1"/>
  <c r="T121" i="2"/>
  <c r="S121" i="2"/>
  <c r="R121" i="2"/>
  <c r="Q121" i="2"/>
  <c r="P121" i="2"/>
  <c r="O121" i="2"/>
  <c r="Y121" i="2" s="1"/>
  <c r="N121" i="2"/>
  <c r="M121" i="2"/>
  <c r="W121" i="2" s="1"/>
  <c r="L121" i="2"/>
  <c r="V121" i="2" s="1"/>
  <c r="AE120" i="2"/>
  <c r="AD120" i="2"/>
  <c r="AB120" i="2"/>
  <c r="W120" i="2"/>
  <c r="U120" i="2"/>
  <c r="T120" i="2"/>
  <c r="S120" i="2"/>
  <c r="AC120" i="2" s="1"/>
  <c r="R120" i="2"/>
  <c r="Q120" i="2"/>
  <c r="AA120" i="2" s="1"/>
  <c r="P120" i="2"/>
  <c r="Z120" i="2" s="1"/>
  <c r="O120" i="2"/>
  <c r="Y120" i="2" s="1"/>
  <c r="N120" i="2"/>
  <c r="X120" i="2" s="1"/>
  <c r="M120" i="2"/>
  <c r="L120" i="2"/>
  <c r="V120" i="2" s="1"/>
  <c r="AA119" i="2"/>
  <c r="Y119" i="2"/>
  <c r="V119" i="2"/>
  <c r="U119" i="2"/>
  <c r="AE119" i="2" s="1"/>
  <c r="T119" i="2"/>
  <c r="AD119" i="2" s="1"/>
  <c r="S119" i="2"/>
  <c r="AC119" i="2" s="1"/>
  <c r="R119" i="2"/>
  <c r="AB119" i="2" s="1"/>
  <c r="Q119" i="2"/>
  <c r="P119" i="2"/>
  <c r="Z119" i="2" s="1"/>
  <c r="O119" i="2"/>
  <c r="N119" i="2"/>
  <c r="X119" i="2" s="1"/>
  <c r="M119" i="2"/>
  <c r="W119" i="2" s="1"/>
  <c r="L119" i="2"/>
  <c r="AE118" i="2"/>
  <c r="AC118" i="2"/>
  <c r="Z118" i="2"/>
  <c r="Y118" i="2"/>
  <c r="X118" i="2"/>
  <c r="W118" i="2"/>
  <c r="V118" i="2"/>
  <c r="U118" i="2"/>
  <c r="T118" i="2"/>
  <c r="AD118" i="2" s="1"/>
  <c r="S118" i="2"/>
  <c r="R118" i="2"/>
  <c r="AB118" i="2" s="1"/>
  <c r="Q118" i="2"/>
  <c r="AA118" i="2" s="1"/>
  <c r="P118" i="2"/>
  <c r="O118" i="2"/>
  <c r="N118" i="2"/>
  <c r="M118" i="2"/>
  <c r="L118" i="2"/>
  <c r="AD117" i="2"/>
  <c r="AC117" i="2"/>
  <c r="AB117" i="2"/>
  <c r="AA117" i="2"/>
  <c r="Z117" i="2"/>
  <c r="X117" i="2"/>
  <c r="U117" i="2"/>
  <c r="AE117" i="2" s="1"/>
  <c r="T117" i="2"/>
  <c r="S117" i="2"/>
  <c r="R117" i="2"/>
  <c r="Q117" i="2"/>
  <c r="P117" i="2"/>
  <c r="O117" i="2"/>
  <c r="Y117" i="2" s="1"/>
  <c r="N117" i="2"/>
  <c r="M117" i="2"/>
  <c r="W117" i="2" s="1"/>
  <c r="L117" i="2"/>
  <c r="V117" i="2" s="1"/>
  <c r="AE116" i="2"/>
  <c r="AD116" i="2"/>
  <c r="AB116" i="2"/>
  <c r="W116" i="2"/>
  <c r="U116" i="2"/>
  <c r="T116" i="2"/>
  <c r="S116" i="2"/>
  <c r="AC116" i="2" s="1"/>
  <c r="R116" i="2"/>
  <c r="Q116" i="2"/>
  <c r="AA116" i="2" s="1"/>
  <c r="P116" i="2"/>
  <c r="Z116" i="2" s="1"/>
  <c r="O116" i="2"/>
  <c r="Y116" i="2" s="1"/>
  <c r="N116" i="2"/>
  <c r="X116" i="2" s="1"/>
  <c r="M116" i="2"/>
  <c r="L116" i="2"/>
  <c r="V116" i="2" s="1"/>
  <c r="AA115" i="2"/>
  <c r="Y115" i="2"/>
  <c r="V115" i="2"/>
  <c r="U115" i="2"/>
  <c r="AE115" i="2" s="1"/>
  <c r="T115" i="2"/>
  <c r="AD115" i="2" s="1"/>
  <c r="S115" i="2"/>
  <c r="AC115" i="2" s="1"/>
  <c r="R115" i="2"/>
  <c r="AB115" i="2" s="1"/>
  <c r="Q115" i="2"/>
  <c r="P115" i="2"/>
  <c r="Z115" i="2" s="1"/>
  <c r="O115" i="2"/>
  <c r="N115" i="2"/>
  <c r="X115" i="2" s="1"/>
  <c r="M115" i="2"/>
  <c r="W115" i="2" s="1"/>
  <c r="L115" i="2"/>
  <c r="AE114" i="2"/>
  <c r="AC114" i="2"/>
  <c r="Z114" i="2"/>
  <c r="Y114" i="2"/>
  <c r="X114" i="2"/>
  <c r="W114" i="2"/>
  <c r="V114" i="2"/>
  <c r="U114" i="2"/>
  <c r="T114" i="2"/>
  <c r="AD114" i="2" s="1"/>
  <c r="S114" i="2"/>
  <c r="R114" i="2"/>
  <c r="AB114" i="2" s="1"/>
  <c r="Q114" i="2"/>
  <c r="AA114" i="2" s="1"/>
  <c r="P114" i="2"/>
  <c r="O114" i="2"/>
  <c r="N114" i="2"/>
  <c r="M114" i="2"/>
  <c r="L114" i="2"/>
  <c r="AD113" i="2"/>
  <c r="AC113" i="2"/>
  <c r="AB113" i="2"/>
  <c r="AA113" i="2"/>
  <c r="Z113" i="2"/>
  <c r="X113" i="2"/>
  <c r="U113" i="2"/>
  <c r="AE113" i="2" s="1"/>
  <c r="T113" i="2"/>
  <c r="S113" i="2"/>
  <c r="R113" i="2"/>
  <c r="Q113" i="2"/>
  <c r="P113" i="2"/>
  <c r="O113" i="2"/>
  <c r="Y113" i="2" s="1"/>
  <c r="N113" i="2"/>
  <c r="M113" i="2"/>
  <c r="W113" i="2" s="1"/>
  <c r="L113" i="2"/>
  <c r="V113" i="2" s="1"/>
  <c r="AE112" i="2"/>
  <c r="AD112" i="2"/>
  <c r="AB112" i="2"/>
  <c r="W112" i="2"/>
  <c r="U112" i="2"/>
  <c r="T112" i="2"/>
  <c r="S112" i="2"/>
  <c r="AC112" i="2" s="1"/>
  <c r="R112" i="2"/>
  <c r="Q112" i="2"/>
  <c r="AA112" i="2" s="1"/>
  <c r="P112" i="2"/>
  <c r="Z112" i="2" s="1"/>
  <c r="O112" i="2"/>
  <c r="Y112" i="2" s="1"/>
  <c r="N112" i="2"/>
  <c r="X112" i="2" s="1"/>
  <c r="M112" i="2"/>
  <c r="L112" i="2"/>
  <c r="V112" i="2" s="1"/>
  <c r="AA111" i="2"/>
  <c r="Y111" i="2"/>
  <c r="V111" i="2"/>
  <c r="U111" i="2"/>
  <c r="AE111" i="2" s="1"/>
  <c r="T111" i="2"/>
  <c r="AD111" i="2" s="1"/>
  <c r="S111" i="2"/>
  <c r="AC111" i="2" s="1"/>
  <c r="R111" i="2"/>
  <c r="AB111" i="2" s="1"/>
  <c r="Q111" i="2"/>
  <c r="P111" i="2"/>
  <c r="Z111" i="2" s="1"/>
  <c r="O111" i="2"/>
  <c r="N111" i="2"/>
  <c r="X111" i="2" s="1"/>
  <c r="M111" i="2"/>
  <c r="W111" i="2" s="1"/>
  <c r="L111" i="2"/>
  <c r="AE110" i="2"/>
  <c r="AC110" i="2"/>
  <c r="Z110" i="2"/>
  <c r="Y110" i="2"/>
  <c r="X110" i="2"/>
  <c r="W110" i="2"/>
  <c r="V110" i="2"/>
  <c r="U110" i="2"/>
  <c r="T110" i="2"/>
  <c r="AD110" i="2" s="1"/>
  <c r="S110" i="2"/>
  <c r="R110" i="2"/>
  <c r="AB110" i="2" s="1"/>
  <c r="Q110" i="2"/>
  <c r="AA110" i="2" s="1"/>
  <c r="P110" i="2"/>
  <c r="O110" i="2"/>
  <c r="N110" i="2"/>
  <c r="M110" i="2"/>
  <c r="L110" i="2"/>
  <c r="AD109" i="2"/>
  <c r="AC109" i="2"/>
  <c r="AB109" i="2"/>
  <c r="AA109" i="2"/>
  <c r="Z109" i="2"/>
  <c r="X109" i="2"/>
  <c r="U109" i="2"/>
  <c r="AE109" i="2" s="1"/>
  <c r="T109" i="2"/>
  <c r="S109" i="2"/>
  <c r="R109" i="2"/>
  <c r="Q109" i="2"/>
  <c r="P109" i="2"/>
  <c r="O109" i="2"/>
  <c r="Y109" i="2" s="1"/>
  <c r="N109" i="2"/>
  <c r="M109" i="2"/>
  <c r="W109" i="2" s="1"/>
  <c r="L109" i="2"/>
  <c r="V109" i="2" s="1"/>
  <c r="AE108" i="2"/>
  <c r="AD108" i="2"/>
  <c r="AB108" i="2"/>
  <c r="W108" i="2"/>
  <c r="U108" i="2"/>
  <c r="T108" i="2"/>
  <c r="S108" i="2"/>
  <c r="AC108" i="2" s="1"/>
  <c r="R108" i="2"/>
  <c r="Q108" i="2"/>
  <c r="AA108" i="2" s="1"/>
  <c r="P108" i="2"/>
  <c r="Z108" i="2" s="1"/>
  <c r="O108" i="2"/>
  <c r="Y108" i="2" s="1"/>
  <c r="N108" i="2"/>
  <c r="X108" i="2" s="1"/>
  <c r="M108" i="2"/>
  <c r="L108" i="2"/>
  <c r="V108" i="2" s="1"/>
  <c r="AA107" i="2"/>
  <c r="Y107" i="2"/>
  <c r="V107" i="2"/>
  <c r="U107" i="2"/>
  <c r="AE107" i="2" s="1"/>
  <c r="T107" i="2"/>
  <c r="AD107" i="2" s="1"/>
  <c r="S107" i="2"/>
  <c r="AC107" i="2" s="1"/>
  <c r="R107" i="2"/>
  <c r="AB107" i="2" s="1"/>
  <c r="Q107" i="2"/>
  <c r="P107" i="2"/>
  <c r="Z107" i="2" s="1"/>
  <c r="O107" i="2"/>
  <c r="N107" i="2"/>
  <c r="X107" i="2" s="1"/>
  <c r="M107" i="2"/>
  <c r="W107" i="2" s="1"/>
  <c r="L107" i="2"/>
  <c r="AE106" i="2"/>
  <c r="AC106" i="2"/>
  <c r="Z106" i="2"/>
  <c r="Y106" i="2"/>
  <c r="X106" i="2"/>
  <c r="W106" i="2"/>
  <c r="V106" i="2"/>
  <c r="U106" i="2"/>
  <c r="T106" i="2"/>
  <c r="AD106" i="2" s="1"/>
  <c r="S106" i="2"/>
  <c r="R106" i="2"/>
  <c r="AB106" i="2" s="1"/>
  <c r="Q106" i="2"/>
  <c r="AA106" i="2" s="1"/>
  <c r="P106" i="2"/>
  <c r="O106" i="2"/>
  <c r="N106" i="2"/>
  <c r="M106" i="2"/>
  <c r="L106" i="2"/>
  <c r="AD105" i="2"/>
  <c r="AC105" i="2"/>
  <c r="AB105" i="2"/>
  <c r="AA105" i="2"/>
  <c r="Z105" i="2"/>
  <c r="X105" i="2"/>
  <c r="U105" i="2"/>
  <c r="AE105" i="2" s="1"/>
  <c r="T105" i="2"/>
  <c r="S105" i="2"/>
  <c r="R105" i="2"/>
  <c r="Q105" i="2"/>
  <c r="P105" i="2"/>
  <c r="O105" i="2"/>
  <c r="Y105" i="2" s="1"/>
  <c r="N105" i="2"/>
  <c r="M105" i="2"/>
  <c r="W105" i="2" s="1"/>
  <c r="L105" i="2"/>
  <c r="V105" i="2" s="1"/>
  <c r="AE104" i="2"/>
  <c r="AD104" i="2"/>
  <c r="AB104" i="2"/>
  <c r="W104" i="2"/>
  <c r="U104" i="2"/>
  <c r="T104" i="2"/>
  <c r="S104" i="2"/>
  <c r="AC104" i="2" s="1"/>
  <c r="R104" i="2"/>
  <c r="Q104" i="2"/>
  <c r="AA104" i="2" s="1"/>
  <c r="P104" i="2"/>
  <c r="Z104" i="2" s="1"/>
  <c r="O104" i="2"/>
  <c r="Y104" i="2" s="1"/>
  <c r="N104" i="2"/>
  <c r="X104" i="2" s="1"/>
  <c r="M104" i="2"/>
  <c r="L104" i="2"/>
  <c r="V104" i="2" s="1"/>
  <c r="AA103" i="2"/>
  <c r="Y103" i="2"/>
  <c r="V103" i="2"/>
  <c r="U103" i="2"/>
  <c r="AE103" i="2" s="1"/>
  <c r="T103" i="2"/>
  <c r="AD103" i="2" s="1"/>
  <c r="S103" i="2"/>
  <c r="AC103" i="2" s="1"/>
  <c r="R103" i="2"/>
  <c r="AB103" i="2" s="1"/>
  <c r="Q103" i="2"/>
  <c r="P103" i="2"/>
  <c r="Z103" i="2" s="1"/>
  <c r="O103" i="2"/>
  <c r="N103" i="2"/>
  <c r="X103" i="2" s="1"/>
  <c r="M103" i="2"/>
  <c r="W103" i="2" s="1"/>
  <c r="L103" i="2"/>
  <c r="AE102" i="2"/>
  <c r="AC102" i="2"/>
  <c r="Z102" i="2"/>
  <c r="Y102" i="2"/>
  <c r="X102" i="2"/>
  <c r="W102" i="2"/>
  <c r="V102" i="2"/>
  <c r="U102" i="2"/>
  <c r="T102" i="2"/>
  <c r="AD102" i="2" s="1"/>
  <c r="S102" i="2"/>
  <c r="R102" i="2"/>
  <c r="AB102" i="2" s="1"/>
  <c r="Q102" i="2"/>
  <c r="AA102" i="2" s="1"/>
  <c r="P102" i="2"/>
  <c r="O102" i="2"/>
  <c r="N102" i="2"/>
  <c r="M102" i="2"/>
  <c r="L102" i="2"/>
  <c r="AD101" i="2"/>
  <c r="AC101" i="2"/>
  <c r="AB101" i="2"/>
  <c r="AA101" i="2"/>
  <c r="Z101" i="2"/>
  <c r="X101" i="2"/>
  <c r="U101" i="2"/>
  <c r="AE101" i="2" s="1"/>
  <c r="T101" i="2"/>
  <c r="S101" i="2"/>
  <c r="R101" i="2"/>
  <c r="Q101" i="2"/>
  <c r="P101" i="2"/>
  <c r="O101" i="2"/>
  <c r="Y101" i="2" s="1"/>
  <c r="N101" i="2"/>
  <c r="M101" i="2"/>
  <c r="W101" i="2" s="1"/>
  <c r="L101" i="2"/>
  <c r="V101" i="2" s="1"/>
  <c r="AE100" i="2"/>
  <c r="AD100" i="2"/>
  <c r="AB100" i="2"/>
  <c r="W100" i="2"/>
  <c r="U100" i="2"/>
  <c r="T100" i="2"/>
  <c r="S100" i="2"/>
  <c r="AC100" i="2" s="1"/>
  <c r="R100" i="2"/>
  <c r="Q100" i="2"/>
  <c r="AA100" i="2" s="1"/>
  <c r="P100" i="2"/>
  <c r="Z100" i="2" s="1"/>
  <c r="O100" i="2"/>
  <c r="Y100" i="2" s="1"/>
  <c r="N100" i="2"/>
  <c r="X100" i="2" s="1"/>
  <c r="M100" i="2"/>
  <c r="L100" i="2"/>
  <c r="V100" i="2" s="1"/>
  <c r="AA99" i="2"/>
  <c r="Y99" i="2"/>
  <c r="V99" i="2"/>
  <c r="U99" i="2"/>
  <c r="AE99" i="2" s="1"/>
  <c r="T99" i="2"/>
  <c r="AD99" i="2" s="1"/>
  <c r="S99" i="2"/>
  <c r="AC99" i="2" s="1"/>
  <c r="R99" i="2"/>
  <c r="AB99" i="2" s="1"/>
  <c r="Q99" i="2"/>
  <c r="P99" i="2"/>
  <c r="Z99" i="2" s="1"/>
  <c r="O99" i="2"/>
  <c r="N99" i="2"/>
  <c r="X99" i="2" s="1"/>
  <c r="M99" i="2"/>
  <c r="W99" i="2" s="1"/>
  <c r="L99" i="2"/>
  <c r="AE98" i="2"/>
  <c r="AC98" i="2"/>
  <c r="Z98" i="2"/>
  <c r="X98" i="2"/>
  <c r="W98" i="2"/>
  <c r="V98" i="2"/>
  <c r="U98" i="2"/>
  <c r="T98" i="2"/>
  <c r="AD98" i="2" s="1"/>
  <c r="S98" i="2"/>
  <c r="R98" i="2"/>
  <c r="AB98" i="2" s="1"/>
  <c r="Q98" i="2"/>
  <c r="AA98" i="2" s="1"/>
  <c r="P98" i="2"/>
  <c r="O98" i="2"/>
  <c r="Y98" i="2" s="1"/>
  <c r="N98" i="2"/>
  <c r="M98" i="2"/>
  <c r="L98" i="2"/>
  <c r="AD97" i="2"/>
  <c r="AB97" i="2"/>
  <c r="AA97" i="2"/>
  <c r="Z97" i="2"/>
  <c r="X97" i="2"/>
  <c r="U97" i="2"/>
  <c r="AE97" i="2" s="1"/>
  <c r="T97" i="2"/>
  <c r="S97" i="2"/>
  <c r="AC97" i="2" s="1"/>
  <c r="R97" i="2"/>
  <c r="Q97" i="2"/>
  <c r="P97" i="2"/>
  <c r="O97" i="2"/>
  <c r="Y97" i="2" s="1"/>
  <c r="N97" i="2"/>
  <c r="M97" i="2"/>
  <c r="W97" i="2" s="1"/>
  <c r="L97" i="2"/>
  <c r="V97" i="2" s="1"/>
  <c r="AE96" i="2"/>
  <c r="AD96" i="2"/>
  <c r="AB96" i="2"/>
  <c r="W96" i="2"/>
  <c r="U96" i="2"/>
  <c r="T96" i="2"/>
  <c r="S96" i="2"/>
  <c r="AC96" i="2" s="1"/>
  <c r="R96" i="2"/>
  <c r="Q96" i="2"/>
  <c r="AA96" i="2" s="1"/>
  <c r="P96" i="2"/>
  <c r="Z96" i="2" s="1"/>
  <c r="O96" i="2"/>
  <c r="Y96" i="2" s="1"/>
  <c r="N96" i="2"/>
  <c r="X96" i="2" s="1"/>
  <c r="M96" i="2"/>
  <c r="L96" i="2"/>
  <c r="V96" i="2" s="1"/>
  <c r="AA95" i="2"/>
  <c r="Y95" i="2"/>
  <c r="V95" i="2"/>
  <c r="U95" i="2"/>
  <c r="AE95" i="2" s="1"/>
  <c r="T95" i="2"/>
  <c r="AD95" i="2" s="1"/>
  <c r="S95" i="2"/>
  <c r="AC95" i="2" s="1"/>
  <c r="R95" i="2"/>
  <c r="AB95" i="2" s="1"/>
  <c r="Q95" i="2"/>
  <c r="P95" i="2"/>
  <c r="Z95" i="2" s="1"/>
  <c r="O95" i="2"/>
  <c r="N95" i="2"/>
  <c r="X95" i="2" s="1"/>
  <c r="M95" i="2"/>
  <c r="W95" i="2" s="1"/>
  <c r="L95" i="2"/>
  <c r="AE94" i="2"/>
  <c r="AC94" i="2"/>
  <c r="Z94" i="2"/>
  <c r="X94" i="2"/>
  <c r="W94" i="2"/>
  <c r="V94" i="2"/>
  <c r="U94" i="2"/>
  <c r="T94" i="2"/>
  <c r="AD94" i="2" s="1"/>
  <c r="S94" i="2"/>
  <c r="R94" i="2"/>
  <c r="AB94" i="2" s="1"/>
  <c r="Q94" i="2"/>
  <c r="AA94" i="2" s="1"/>
  <c r="P94" i="2"/>
  <c r="O94" i="2"/>
  <c r="Y94" i="2" s="1"/>
  <c r="N94" i="2"/>
  <c r="M94" i="2"/>
  <c r="L94" i="2"/>
  <c r="AD93" i="2"/>
  <c r="AB93" i="2"/>
  <c r="AA93" i="2"/>
  <c r="Z93" i="2"/>
  <c r="X93" i="2"/>
  <c r="U93" i="2"/>
  <c r="AE93" i="2" s="1"/>
  <c r="T93" i="2"/>
  <c r="S93" i="2"/>
  <c r="AC93" i="2" s="1"/>
  <c r="R93" i="2"/>
  <c r="Q93" i="2"/>
  <c r="P93" i="2"/>
  <c r="O93" i="2"/>
  <c r="Y93" i="2" s="1"/>
  <c r="N93" i="2"/>
  <c r="M93" i="2"/>
  <c r="W93" i="2" s="1"/>
  <c r="L93" i="2"/>
  <c r="V93" i="2" s="1"/>
  <c r="AE92" i="2"/>
  <c r="AD92" i="2"/>
  <c r="AB92" i="2"/>
  <c r="W92" i="2"/>
  <c r="U92" i="2"/>
  <c r="T92" i="2"/>
  <c r="S92" i="2"/>
  <c r="AC92" i="2" s="1"/>
  <c r="R92" i="2"/>
  <c r="Q92" i="2"/>
  <c r="AA92" i="2" s="1"/>
  <c r="P92" i="2"/>
  <c r="Z92" i="2" s="1"/>
  <c r="O92" i="2"/>
  <c r="Y92" i="2" s="1"/>
  <c r="N92" i="2"/>
  <c r="X92" i="2" s="1"/>
  <c r="M92" i="2"/>
  <c r="L92" i="2"/>
  <c r="V92" i="2" s="1"/>
  <c r="AA91" i="2"/>
  <c r="Y91" i="2"/>
  <c r="V91" i="2"/>
  <c r="U91" i="2"/>
  <c r="AE91" i="2" s="1"/>
  <c r="T91" i="2"/>
  <c r="AD91" i="2" s="1"/>
  <c r="S91" i="2"/>
  <c r="AC91" i="2" s="1"/>
  <c r="R91" i="2"/>
  <c r="AB91" i="2" s="1"/>
  <c r="Q91" i="2"/>
  <c r="P91" i="2"/>
  <c r="Z91" i="2" s="1"/>
  <c r="O91" i="2"/>
  <c r="N91" i="2"/>
  <c r="X91" i="2" s="1"/>
  <c r="M91" i="2"/>
  <c r="W91" i="2" s="1"/>
  <c r="L91" i="2"/>
  <c r="AE90" i="2"/>
  <c r="AC90" i="2"/>
  <c r="Z90" i="2"/>
  <c r="X90" i="2"/>
  <c r="W90" i="2"/>
  <c r="V90" i="2"/>
  <c r="U90" i="2"/>
  <c r="T90" i="2"/>
  <c r="AD90" i="2" s="1"/>
  <c r="S90" i="2"/>
  <c r="R90" i="2"/>
  <c r="AB90" i="2" s="1"/>
  <c r="Q90" i="2"/>
  <c r="AA90" i="2" s="1"/>
  <c r="P90" i="2"/>
  <c r="O90" i="2"/>
  <c r="Y90" i="2" s="1"/>
  <c r="N90" i="2"/>
  <c r="M90" i="2"/>
  <c r="L90" i="2"/>
  <c r="AD89" i="2"/>
  <c r="AB89" i="2"/>
  <c r="AA89" i="2"/>
  <c r="Z89" i="2"/>
  <c r="X89" i="2"/>
  <c r="U89" i="2"/>
  <c r="AE89" i="2" s="1"/>
  <c r="T89" i="2"/>
  <c r="S89" i="2"/>
  <c r="AC89" i="2" s="1"/>
  <c r="R89" i="2"/>
  <c r="Q89" i="2"/>
  <c r="P89" i="2"/>
  <c r="O89" i="2"/>
  <c r="Y89" i="2" s="1"/>
  <c r="N89" i="2"/>
  <c r="M89" i="2"/>
  <c r="W89" i="2" s="1"/>
  <c r="L89" i="2"/>
  <c r="V89" i="2" s="1"/>
  <c r="AE88" i="2"/>
  <c r="AD88" i="2"/>
  <c r="AB88" i="2"/>
  <c r="W88" i="2"/>
  <c r="U88" i="2"/>
  <c r="T88" i="2"/>
  <c r="S88" i="2"/>
  <c r="AC88" i="2" s="1"/>
  <c r="R88" i="2"/>
  <c r="Q88" i="2"/>
  <c r="AA88" i="2" s="1"/>
  <c r="P88" i="2"/>
  <c r="Z88" i="2" s="1"/>
  <c r="O88" i="2"/>
  <c r="Y88" i="2" s="1"/>
  <c r="N88" i="2"/>
  <c r="X88" i="2" s="1"/>
  <c r="M88" i="2"/>
  <c r="L88" i="2"/>
  <c r="V88" i="2" s="1"/>
  <c r="AA87" i="2"/>
  <c r="Y87" i="2"/>
  <c r="V87" i="2"/>
  <c r="U87" i="2"/>
  <c r="AE87" i="2" s="1"/>
  <c r="T87" i="2"/>
  <c r="AD87" i="2" s="1"/>
  <c r="S87" i="2"/>
  <c r="AC87" i="2" s="1"/>
  <c r="R87" i="2"/>
  <c r="AB87" i="2" s="1"/>
  <c r="Q87" i="2"/>
  <c r="P87" i="2"/>
  <c r="Z87" i="2" s="1"/>
  <c r="O87" i="2"/>
  <c r="N87" i="2"/>
  <c r="X87" i="2" s="1"/>
  <c r="M87" i="2"/>
  <c r="W87" i="2" s="1"/>
  <c r="L87" i="2"/>
  <c r="AE86" i="2"/>
  <c r="AC86" i="2"/>
  <c r="Z86" i="2"/>
  <c r="X86" i="2"/>
  <c r="W86" i="2"/>
  <c r="V86" i="2"/>
  <c r="U86" i="2"/>
  <c r="T86" i="2"/>
  <c r="AD86" i="2" s="1"/>
  <c r="S86" i="2"/>
  <c r="R86" i="2"/>
  <c r="AB86" i="2" s="1"/>
  <c r="Q86" i="2"/>
  <c r="AA86" i="2" s="1"/>
  <c r="P86" i="2"/>
  <c r="O86" i="2"/>
  <c r="Y86" i="2" s="1"/>
  <c r="N86" i="2"/>
  <c r="M86" i="2"/>
  <c r="L86" i="2"/>
  <c r="AD85" i="2"/>
  <c r="AB85" i="2"/>
  <c r="AA85" i="2"/>
  <c r="Z85" i="2"/>
  <c r="X85" i="2"/>
  <c r="U85" i="2"/>
  <c r="AE85" i="2" s="1"/>
  <c r="T85" i="2"/>
  <c r="S85" i="2"/>
  <c r="AC85" i="2" s="1"/>
  <c r="R85" i="2"/>
  <c r="Q85" i="2"/>
  <c r="P85" i="2"/>
  <c r="O85" i="2"/>
  <c r="Y85" i="2" s="1"/>
  <c r="N85" i="2"/>
  <c r="M85" i="2"/>
  <c r="W85" i="2" s="1"/>
  <c r="L85" i="2"/>
  <c r="V85" i="2" s="1"/>
  <c r="AE84" i="2"/>
  <c r="AD84" i="2"/>
  <c r="AB84" i="2"/>
  <c r="W84" i="2"/>
  <c r="U84" i="2"/>
  <c r="T84" i="2"/>
  <c r="S84" i="2"/>
  <c r="AC84" i="2" s="1"/>
  <c r="R84" i="2"/>
  <c r="Q84" i="2"/>
  <c r="AA84" i="2" s="1"/>
  <c r="P84" i="2"/>
  <c r="Z84" i="2" s="1"/>
  <c r="O84" i="2"/>
  <c r="Y84" i="2" s="1"/>
  <c r="N84" i="2"/>
  <c r="X84" i="2" s="1"/>
  <c r="M84" i="2"/>
  <c r="L84" i="2"/>
  <c r="V84" i="2" s="1"/>
  <c r="AA83" i="2"/>
  <c r="Y83" i="2"/>
  <c r="V83" i="2"/>
  <c r="U83" i="2"/>
  <c r="AE83" i="2" s="1"/>
  <c r="T83" i="2"/>
  <c r="AD83" i="2" s="1"/>
  <c r="S83" i="2"/>
  <c r="AC83" i="2" s="1"/>
  <c r="R83" i="2"/>
  <c r="AB83" i="2" s="1"/>
  <c r="Q83" i="2"/>
  <c r="P83" i="2"/>
  <c r="Z83" i="2" s="1"/>
  <c r="O83" i="2"/>
  <c r="N83" i="2"/>
  <c r="X83" i="2" s="1"/>
  <c r="M83" i="2"/>
  <c r="W83" i="2" s="1"/>
  <c r="L83" i="2"/>
  <c r="AE82" i="2"/>
  <c r="AC82" i="2"/>
  <c r="Z82" i="2"/>
  <c r="X82" i="2"/>
  <c r="W82" i="2"/>
  <c r="V82" i="2"/>
  <c r="U82" i="2"/>
  <c r="T82" i="2"/>
  <c r="AD82" i="2" s="1"/>
  <c r="S82" i="2"/>
  <c r="R82" i="2"/>
  <c r="AB82" i="2" s="1"/>
  <c r="Q82" i="2"/>
  <c r="AA82" i="2" s="1"/>
  <c r="P82" i="2"/>
  <c r="O82" i="2"/>
  <c r="Y82" i="2" s="1"/>
  <c r="N82" i="2"/>
  <c r="M82" i="2"/>
  <c r="L82" i="2"/>
  <c r="AD81" i="2"/>
  <c r="AB81" i="2"/>
  <c r="AA81" i="2"/>
  <c r="Z81" i="2"/>
  <c r="X81" i="2"/>
  <c r="U81" i="2"/>
  <c r="AE81" i="2" s="1"/>
  <c r="T81" i="2"/>
  <c r="S81" i="2"/>
  <c r="AC81" i="2" s="1"/>
  <c r="R81" i="2"/>
  <c r="Q81" i="2"/>
  <c r="P81" i="2"/>
  <c r="O81" i="2"/>
  <c r="Y81" i="2" s="1"/>
  <c r="N81" i="2"/>
  <c r="M81" i="2"/>
  <c r="W81" i="2" s="1"/>
  <c r="L81" i="2"/>
  <c r="V81" i="2" s="1"/>
  <c r="AE80" i="2"/>
  <c r="AD80" i="2"/>
  <c r="AB80" i="2"/>
  <c r="W80" i="2"/>
  <c r="U80" i="2"/>
  <c r="T80" i="2"/>
  <c r="S80" i="2"/>
  <c r="AC80" i="2" s="1"/>
  <c r="R80" i="2"/>
  <c r="Q80" i="2"/>
  <c r="AA80" i="2" s="1"/>
  <c r="P80" i="2"/>
  <c r="Z80" i="2" s="1"/>
  <c r="O80" i="2"/>
  <c r="Y80" i="2" s="1"/>
  <c r="N80" i="2"/>
  <c r="X80" i="2" s="1"/>
  <c r="M80" i="2"/>
  <c r="L80" i="2"/>
  <c r="V80" i="2" s="1"/>
  <c r="AA79" i="2"/>
  <c r="Y79" i="2"/>
  <c r="V79" i="2"/>
  <c r="U79" i="2"/>
  <c r="AE79" i="2" s="1"/>
  <c r="T79" i="2"/>
  <c r="AD79" i="2" s="1"/>
  <c r="S79" i="2"/>
  <c r="AC79" i="2" s="1"/>
  <c r="R79" i="2"/>
  <c r="AB79" i="2" s="1"/>
  <c r="Q79" i="2"/>
  <c r="P79" i="2"/>
  <c r="Z79" i="2" s="1"/>
  <c r="O79" i="2"/>
  <c r="N79" i="2"/>
  <c r="X79" i="2" s="1"/>
  <c r="M79" i="2"/>
  <c r="W79" i="2" s="1"/>
  <c r="L79" i="2"/>
  <c r="AE78" i="2"/>
  <c r="AC78" i="2"/>
  <c r="Z78" i="2"/>
  <c r="X78" i="2"/>
  <c r="W78" i="2"/>
  <c r="V78" i="2"/>
  <c r="U78" i="2"/>
  <c r="T78" i="2"/>
  <c r="AD78" i="2" s="1"/>
  <c r="S78" i="2"/>
  <c r="R78" i="2"/>
  <c r="AB78" i="2" s="1"/>
  <c r="Q78" i="2"/>
  <c r="AA78" i="2" s="1"/>
  <c r="P78" i="2"/>
  <c r="O78" i="2"/>
  <c r="Y78" i="2" s="1"/>
  <c r="N78" i="2"/>
  <c r="M78" i="2"/>
  <c r="L78" i="2"/>
  <c r="AD77" i="2"/>
  <c r="AB77" i="2"/>
  <c r="AA77" i="2"/>
  <c r="Z77" i="2"/>
  <c r="X77" i="2"/>
  <c r="U77" i="2"/>
  <c r="AE77" i="2" s="1"/>
  <c r="T77" i="2"/>
  <c r="S77" i="2"/>
  <c r="AC77" i="2" s="1"/>
  <c r="R77" i="2"/>
  <c r="Q77" i="2"/>
  <c r="P77" i="2"/>
  <c r="O77" i="2"/>
  <c r="Y77" i="2" s="1"/>
  <c r="N77" i="2"/>
  <c r="M77" i="2"/>
  <c r="W77" i="2" s="1"/>
  <c r="L77" i="2"/>
  <c r="V77" i="2" s="1"/>
  <c r="AE76" i="2"/>
  <c r="AD76" i="2"/>
  <c r="AB76" i="2"/>
  <c r="W76" i="2"/>
  <c r="U76" i="2"/>
  <c r="T76" i="2"/>
  <c r="S76" i="2"/>
  <c r="AC76" i="2" s="1"/>
  <c r="R76" i="2"/>
  <c r="Q76" i="2"/>
  <c r="AA76" i="2" s="1"/>
  <c r="P76" i="2"/>
  <c r="Z76" i="2" s="1"/>
  <c r="O76" i="2"/>
  <c r="Y76" i="2" s="1"/>
  <c r="N76" i="2"/>
  <c r="X76" i="2" s="1"/>
  <c r="M76" i="2"/>
  <c r="L76" i="2"/>
  <c r="V76" i="2" s="1"/>
  <c r="AA75" i="2"/>
  <c r="Y75" i="2"/>
  <c r="V75" i="2"/>
  <c r="U75" i="2"/>
  <c r="AE75" i="2" s="1"/>
  <c r="T75" i="2"/>
  <c r="AD75" i="2" s="1"/>
  <c r="S75" i="2"/>
  <c r="AC75" i="2" s="1"/>
  <c r="R75" i="2"/>
  <c r="AB75" i="2" s="1"/>
  <c r="Q75" i="2"/>
  <c r="P75" i="2"/>
  <c r="Z75" i="2" s="1"/>
  <c r="O75" i="2"/>
  <c r="N75" i="2"/>
  <c r="X75" i="2" s="1"/>
  <c r="M75" i="2"/>
  <c r="W75" i="2" s="1"/>
  <c r="L75" i="2"/>
  <c r="AE74" i="2"/>
  <c r="AC74" i="2"/>
  <c r="Z74" i="2"/>
  <c r="X74" i="2"/>
  <c r="W74" i="2"/>
  <c r="V74" i="2"/>
  <c r="U74" i="2"/>
  <c r="T74" i="2"/>
  <c r="AD74" i="2" s="1"/>
  <c r="S74" i="2"/>
  <c r="R74" i="2"/>
  <c r="AB74" i="2" s="1"/>
  <c r="Q74" i="2"/>
  <c r="AA74" i="2" s="1"/>
  <c r="P74" i="2"/>
  <c r="O74" i="2"/>
  <c r="Y74" i="2" s="1"/>
  <c r="N74" i="2"/>
  <c r="M74" i="2"/>
  <c r="L74" i="2"/>
  <c r="AD73" i="2"/>
  <c r="AB73" i="2"/>
  <c r="AA73" i="2"/>
  <c r="Z73" i="2"/>
  <c r="X73" i="2"/>
  <c r="U73" i="2"/>
  <c r="AE73" i="2" s="1"/>
  <c r="T73" i="2"/>
  <c r="S73" i="2"/>
  <c r="AC73" i="2" s="1"/>
  <c r="R73" i="2"/>
  <c r="Q73" i="2"/>
  <c r="P73" i="2"/>
  <c r="O73" i="2"/>
  <c r="Y73" i="2" s="1"/>
  <c r="N73" i="2"/>
  <c r="M73" i="2"/>
  <c r="W73" i="2" s="1"/>
  <c r="L73" i="2"/>
  <c r="V73" i="2" s="1"/>
  <c r="AE72" i="2"/>
  <c r="AD72" i="2"/>
  <c r="AB72" i="2"/>
  <c r="W72" i="2"/>
  <c r="U72" i="2"/>
  <c r="T72" i="2"/>
  <c r="S72" i="2"/>
  <c r="AC72" i="2" s="1"/>
  <c r="R72" i="2"/>
  <c r="Q72" i="2"/>
  <c r="AA72" i="2" s="1"/>
  <c r="P72" i="2"/>
  <c r="Z72" i="2" s="1"/>
  <c r="O72" i="2"/>
  <c r="Y72" i="2" s="1"/>
  <c r="N72" i="2"/>
  <c r="X72" i="2" s="1"/>
  <c r="M72" i="2"/>
  <c r="L72" i="2"/>
  <c r="V72" i="2" s="1"/>
  <c r="AA71" i="2"/>
  <c r="Y71" i="2"/>
  <c r="V71" i="2"/>
  <c r="U71" i="2"/>
  <c r="AE71" i="2" s="1"/>
  <c r="T71" i="2"/>
  <c r="AD71" i="2" s="1"/>
  <c r="S71" i="2"/>
  <c r="AC71" i="2" s="1"/>
  <c r="R71" i="2"/>
  <c r="AB71" i="2" s="1"/>
  <c r="Q71" i="2"/>
  <c r="P71" i="2"/>
  <c r="Z71" i="2" s="1"/>
  <c r="O71" i="2"/>
  <c r="N71" i="2"/>
  <c r="X71" i="2" s="1"/>
  <c r="M71" i="2"/>
  <c r="W71" i="2" s="1"/>
  <c r="L71" i="2"/>
  <c r="AE70" i="2"/>
  <c r="AC70" i="2"/>
  <c r="Z70" i="2"/>
  <c r="X70" i="2"/>
  <c r="W70" i="2"/>
  <c r="V70" i="2"/>
  <c r="U70" i="2"/>
  <c r="T70" i="2"/>
  <c r="AD70" i="2" s="1"/>
  <c r="S70" i="2"/>
  <c r="R70" i="2"/>
  <c r="AB70" i="2" s="1"/>
  <c r="Q70" i="2"/>
  <c r="AA70" i="2" s="1"/>
  <c r="P70" i="2"/>
  <c r="O70" i="2"/>
  <c r="Y70" i="2" s="1"/>
  <c r="N70" i="2"/>
  <c r="M70" i="2"/>
  <c r="L70" i="2"/>
  <c r="AD69" i="2"/>
  <c r="AB69" i="2"/>
  <c r="AA69" i="2"/>
  <c r="Z69" i="2"/>
  <c r="X69" i="2"/>
  <c r="U69" i="2"/>
  <c r="AE69" i="2" s="1"/>
  <c r="T69" i="2"/>
  <c r="S69" i="2"/>
  <c r="AC69" i="2" s="1"/>
  <c r="R69" i="2"/>
  <c r="Q69" i="2"/>
  <c r="P69" i="2"/>
  <c r="O69" i="2"/>
  <c r="Y69" i="2" s="1"/>
  <c r="N69" i="2"/>
  <c r="M69" i="2"/>
  <c r="W69" i="2" s="1"/>
  <c r="L69" i="2"/>
  <c r="V69" i="2" s="1"/>
  <c r="AE68" i="2"/>
  <c r="AD68" i="2"/>
  <c r="AB68" i="2"/>
  <c r="W68" i="2"/>
  <c r="U68" i="2"/>
  <c r="T68" i="2"/>
  <c r="S68" i="2"/>
  <c r="AC68" i="2" s="1"/>
  <c r="R68" i="2"/>
  <c r="Q68" i="2"/>
  <c r="AA68" i="2" s="1"/>
  <c r="P68" i="2"/>
  <c r="Z68" i="2" s="1"/>
  <c r="O68" i="2"/>
  <c r="Y68" i="2" s="1"/>
  <c r="N68" i="2"/>
  <c r="X68" i="2" s="1"/>
  <c r="M68" i="2"/>
  <c r="L68" i="2"/>
  <c r="V68" i="2" s="1"/>
  <c r="AA67" i="2"/>
  <c r="Y67" i="2"/>
  <c r="V67" i="2"/>
  <c r="U67" i="2"/>
  <c r="AE67" i="2" s="1"/>
  <c r="T67" i="2"/>
  <c r="AD67" i="2" s="1"/>
  <c r="S67" i="2"/>
  <c r="AC67" i="2" s="1"/>
  <c r="R67" i="2"/>
  <c r="AB67" i="2" s="1"/>
  <c r="Q67" i="2"/>
  <c r="P67" i="2"/>
  <c r="Z67" i="2" s="1"/>
  <c r="O67" i="2"/>
  <c r="N67" i="2"/>
  <c r="X67" i="2" s="1"/>
  <c r="M67" i="2"/>
  <c r="W67" i="2" s="1"/>
  <c r="L67" i="2"/>
  <c r="AE66" i="2"/>
  <c r="AC66" i="2"/>
  <c r="Z66" i="2"/>
  <c r="X66" i="2"/>
  <c r="W66" i="2"/>
  <c r="V66" i="2"/>
  <c r="U66" i="2"/>
  <c r="T66" i="2"/>
  <c r="AD66" i="2" s="1"/>
  <c r="S66" i="2"/>
  <c r="R66" i="2"/>
  <c r="AB66" i="2" s="1"/>
  <c r="Q66" i="2"/>
  <c r="AA66" i="2" s="1"/>
  <c r="P66" i="2"/>
  <c r="O66" i="2"/>
  <c r="Y66" i="2" s="1"/>
  <c r="N66" i="2"/>
  <c r="M66" i="2"/>
  <c r="L66" i="2"/>
  <c r="AD65" i="2"/>
  <c r="AB65" i="2"/>
  <c r="AA65" i="2"/>
  <c r="Z65" i="2"/>
  <c r="X65" i="2"/>
  <c r="U65" i="2"/>
  <c r="AE65" i="2" s="1"/>
  <c r="T65" i="2"/>
  <c r="S65" i="2"/>
  <c r="AC65" i="2" s="1"/>
  <c r="R65" i="2"/>
  <c r="Q65" i="2"/>
  <c r="P65" i="2"/>
  <c r="O65" i="2"/>
  <c r="Y65" i="2" s="1"/>
  <c r="N65" i="2"/>
  <c r="M65" i="2"/>
  <c r="W65" i="2" s="1"/>
  <c r="L65" i="2"/>
  <c r="V65" i="2" s="1"/>
  <c r="AE64" i="2"/>
  <c r="AD64" i="2"/>
  <c r="AB64" i="2"/>
  <c r="W64" i="2"/>
  <c r="U64" i="2"/>
  <c r="T64" i="2"/>
  <c r="S64" i="2"/>
  <c r="AC64" i="2" s="1"/>
  <c r="R64" i="2"/>
  <c r="Q64" i="2"/>
  <c r="AA64" i="2" s="1"/>
  <c r="P64" i="2"/>
  <c r="Z64" i="2" s="1"/>
  <c r="O64" i="2"/>
  <c r="Y64" i="2" s="1"/>
  <c r="N64" i="2"/>
  <c r="X64" i="2" s="1"/>
  <c r="M64" i="2"/>
  <c r="L64" i="2"/>
  <c r="V64" i="2" s="1"/>
  <c r="AA63" i="2"/>
  <c r="Y63" i="2"/>
  <c r="V63" i="2"/>
  <c r="U63" i="2"/>
  <c r="AE63" i="2" s="1"/>
  <c r="T63" i="2"/>
  <c r="AD63" i="2" s="1"/>
  <c r="S63" i="2"/>
  <c r="AC63" i="2" s="1"/>
  <c r="R63" i="2"/>
  <c r="AB63" i="2" s="1"/>
  <c r="Q63" i="2"/>
  <c r="P63" i="2"/>
  <c r="Z63" i="2" s="1"/>
  <c r="O63" i="2"/>
  <c r="N63" i="2"/>
  <c r="X63" i="2" s="1"/>
  <c r="M63" i="2"/>
  <c r="W63" i="2" s="1"/>
  <c r="L63" i="2"/>
  <c r="AE62" i="2"/>
  <c r="AC62" i="2"/>
  <c r="Z62" i="2"/>
  <c r="X62" i="2"/>
  <c r="W62" i="2"/>
  <c r="V62" i="2"/>
  <c r="U62" i="2"/>
  <c r="T62" i="2"/>
  <c r="AD62" i="2" s="1"/>
  <c r="S62" i="2"/>
  <c r="R62" i="2"/>
  <c r="AB62" i="2" s="1"/>
  <c r="Q62" i="2"/>
  <c r="AA62" i="2" s="1"/>
  <c r="P62" i="2"/>
  <c r="O62" i="2"/>
  <c r="Y62" i="2" s="1"/>
  <c r="N62" i="2"/>
  <c r="M62" i="2"/>
  <c r="L62" i="2"/>
  <c r="AD61" i="2"/>
  <c r="AB61" i="2"/>
  <c r="AA61" i="2"/>
  <c r="Z61" i="2"/>
  <c r="X61" i="2"/>
  <c r="U61" i="2"/>
  <c r="AE61" i="2" s="1"/>
  <c r="T61" i="2"/>
  <c r="S61" i="2"/>
  <c r="AC61" i="2" s="1"/>
  <c r="R61" i="2"/>
  <c r="Q61" i="2"/>
  <c r="P61" i="2"/>
  <c r="O61" i="2"/>
  <c r="Y61" i="2" s="1"/>
  <c r="N61" i="2"/>
  <c r="M61" i="2"/>
  <c r="W61" i="2" s="1"/>
  <c r="L61" i="2"/>
  <c r="V61" i="2" s="1"/>
  <c r="AE60" i="2"/>
  <c r="AD60" i="2"/>
  <c r="AB60" i="2"/>
  <c r="W60" i="2"/>
  <c r="U60" i="2"/>
  <c r="T60" i="2"/>
  <c r="S60" i="2"/>
  <c r="AC60" i="2" s="1"/>
  <c r="R60" i="2"/>
  <c r="Q60" i="2"/>
  <c r="AA60" i="2" s="1"/>
  <c r="P60" i="2"/>
  <c r="Z60" i="2" s="1"/>
  <c r="O60" i="2"/>
  <c r="Y60" i="2" s="1"/>
  <c r="N60" i="2"/>
  <c r="X60" i="2" s="1"/>
  <c r="M60" i="2"/>
  <c r="L60" i="2"/>
  <c r="V60" i="2" s="1"/>
  <c r="AA59" i="2"/>
  <c r="Y59" i="2"/>
  <c r="V59" i="2"/>
  <c r="U59" i="2"/>
  <c r="AE59" i="2" s="1"/>
  <c r="T59" i="2"/>
  <c r="AD59" i="2" s="1"/>
  <c r="S59" i="2"/>
  <c r="AC59" i="2" s="1"/>
  <c r="R59" i="2"/>
  <c r="AB59" i="2" s="1"/>
  <c r="Q59" i="2"/>
  <c r="P59" i="2"/>
  <c r="Z59" i="2" s="1"/>
  <c r="O59" i="2"/>
  <c r="N59" i="2"/>
  <c r="X59" i="2" s="1"/>
  <c r="M59" i="2"/>
  <c r="W59" i="2" s="1"/>
  <c r="L59" i="2"/>
  <c r="AE58" i="2"/>
  <c r="AC58" i="2"/>
  <c r="Z58" i="2"/>
  <c r="X58" i="2"/>
  <c r="W58" i="2"/>
  <c r="V58" i="2"/>
  <c r="U58" i="2"/>
  <c r="T58" i="2"/>
  <c r="AD58" i="2" s="1"/>
  <c r="S58" i="2"/>
  <c r="R58" i="2"/>
  <c r="AB58" i="2" s="1"/>
  <c r="Q58" i="2"/>
  <c r="AA58" i="2" s="1"/>
  <c r="P58" i="2"/>
  <c r="O58" i="2"/>
  <c r="Y58" i="2" s="1"/>
  <c r="N58" i="2"/>
  <c r="M58" i="2"/>
  <c r="L58" i="2"/>
  <c r="AD57" i="2"/>
  <c r="AB57" i="2"/>
  <c r="AA57" i="2"/>
  <c r="Z57" i="2"/>
  <c r="X57" i="2"/>
  <c r="U57" i="2"/>
  <c r="AE57" i="2" s="1"/>
  <c r="T57" i="2"/>
  <c r="S57" i="2"/>
  <c r="AC57" i="2" s="1"/>
  <c r="R57" i="2"/>
  <c r="Q57" i="2"/>
  <c r="P57" i="2"/>
  <c r="O57" i="2"/>
  <c r="Y57" i="2" s="1"/>
  <c r="N57" i="2"/>
  <c r="M57" i="2"/>
  <c r="W57" i="2" s="1"/>
  <c r="L57" i="2"/>
  <c r="V57" i="2" s="1"/>
  <c r="AE56" i="2"/>
  <c r="AD56" i="2"/>
  <c r="Y56" i="2"/>
  <c r="W56" i="2"/>
  <c r="U56" i="2"/>
  <c r="T56" i="2"/>
  <c r="S56" i="2"/>
  <c r="AC56" i="2" s="1"/>
  <c r="R56" i="2"/>
  <c r="AB56" i="2" s="1"/>
  <c r="Q56" i="2"/>
  <c r="AA56" i="2" s="1"/>
  <c r="P56" i="2"/>
  <c r="Z56" i="2" s="1"/>
  <c r="O56" i="2"/>
  <c r="N56" i="2"/>
  <c r="X56" i="2" s="1"/>
  <c r="M56" i="2"/>
  <c r="L56" i="2"/>
  <c r="V56" i="2" s="1"/>
  <c r="AA55" i="2"/>
  <c r="Y55" i="2"/>
  <c r="V55" i="2"/>
  <c r="U55" i="2"/>
  <c r="AE55" i="2" s="1"/>
  <c r="T55" i="2"/>
  <c r="AD55" i="2" s="1"/>
  <c r="S55" i="2"/>
  <c r="AC55" i="2" s="1"/>
  <c r="R55" i="2"/>
  <c r="AB55" i="2" s="1"/>
  <c r="Q55" i="2"/>
  <c r="P55" i="2"/>
  <c r="Z55" i="2" s="1"/>
  <c r="O55" i="2"/>
  <c r="N55" i="2"/>
  <c r="X55" i="2" s="1"/>
  <c r="M55" i="2"/>
  <c r="W55" i="2" s="1"/>
  <c r="L55" i="2"/>
  <c r="AE54" i="2"/>
  <c r="AC54" i="2"/>
  <c r="Z54" i="2"/>
  <c r="X54" i="2"/>
  <c r="W54" i="2"/>
  <c r="V54" i="2"/>
  <c r="U54" i="2"/>
  <c r="T54" i="2"/>
  <c r="AD54" i="2" s="1"/>
  <c r="S54" i="2"/>
  <c r="R54" i="2"/>
  <c r="AB54" i="2" s="1"/>
  <c r="Q54" i="2"/>
  <c r="AA54" i="2" s="1"/>
  <c r="P54" i="2"/>
  <c r="O54" i="2"/>
  <c r="Y54" i="2" s="1"/>
  <c r="N54" i="2"/>
  <c r="M54" i="2"/>
  <c r="L54" i="2"/>
  <c r="AD53" i="2"/>
  <c r="AB53" i="2"/>
  <c r="AA53" i="2"/>
  <c r="Z53" i="2"/>
  <c r="U53" i="2"/>
  <c r="AE53" i="2" s="1"/>
  <c r="T53" i="2"/>
  <c r="S53" i="2"/>
  <c r="AC53" i="2" s="1"/>
  <c r="R53" i="2"/>
  <c r="Q53" i="2"/>
  <c r="P53" i="2"/>
  <c r="O53" i="2"/>
  <c r="Y53" i="2" s="1"/>
  <c r="N53" i="2"/>
  <c r="X53" i="2" s="1"/>
  <c r="M53" i="2"/>
  <c r="W53" i="2" s="1"/>
  <c r="L53" i="2"/>
  <c r="V53" i="2" s="1"/>
  <c r="AE52" i="2"/>
  <c r="AD52" i="2"/>
  <c r="W52" i="2"/>
  <c r="U52" i="2"/>
  <c r="T52" i="2"/>
  <c r="S52" i="2"/>
  <c r="AC52" i="2" s="1"/>
  <c r="R52" i="2"/>
  <c r="AB52" i="2" s="1"/>
  <c r="Q52" i="2"/>
  <c r="AA52" i="2" s="1"/>
  <c r="P52" i="2"/>
  <c r="Z52" i="2" s="1"/>
  <c r="O52" i="2"/>
  <c r="Y52" i="2" s="1"/>
  <c r="N52" i="2"/>
  <c r="X52" i="2" s="1"/>
  <c r="M52" i="2"/>
  <c r="L52" i="2"/>
  <c r="V52" i="2" s="1"/>
  <c r="AA51" i="2"/>
  <c r="Y51" i="2"/>
  <c r="V51" i="2"/>
  <c r="U51" i="2"/>
  <c r="AE51" i="2" s="1"/>
  <c r="T51" i="2"/>
  <c r="AD51" i="2" s="1"/>
  <c r="S51" i="2"/>
  <c r="AC51" i="2" s="1"/>
  <c r="R51" i="2"/>
  <c r="AB51" i="2" s="1"/>
  <c r="Q51" i="2"/>
  <c r="P51" i="2"/>
  <c r="Z51" i="2" s="1"/>
  <c r="O51" i="2"/>
  <c r="N51" i="2"/>
  <c r="X51" i="2" s="1"/>
  <c r="M51" i="2"/>
  <c r="W51" i="2" s="1"/>
  <c r="L51" i="2"/>
  <c r="AE50" i="2"/>
  <c r="AC50" i="2"/>
  <c r="Z50" i="2"/>
  <c r="X50" i="2"/>
  <c r="W50" i="2"/>
  <c r="V50" i="2"/>
  <c r="U50" i="2"/>
  <c r="T50" i="2"/>
  <c r="AD50" i="2" s="1"/>
  <c r="S50" i="2"/>
  <c r="R50" i="2"/>
  <c r="AB50" i="2" s="1"/>
  <c r="Q50" i="2"/>
  <c r="AA50" i="2" s="1"/>
  <c r="P50" i="2"/>
  <c r="O50" i="2"/>
  <c r="Y50" i="2" s="1"/>
  <c r="N50" i="2"/>
  <c r="M50" i="2"/>
  <c r="L50" i="2"/>
  <c r="AD49" i="2"/>
  <c r="AB49" i="2"/>
  <c r="AA49" i="2"/>
  <c r="Z49" i="2"/>
  <c r="U49" i="2"/>
  <c r="AE49" i="2" s="1"/>
  <c r="T49" i="2"/>
  <c r="S49" i="2"/>
  <c r="AC49" i="2" s="1"/>
  <c r="R49" i="2"/>
  <c r="Q49" i="2"/>
  <c r="P49" i="2"/>
  <c r="O49" i="2"/>
  <c r="Y49" i="2" s="1"/>
  <c r="N49" i="2"/>
  <c r="X49" i="2" s="1"/>
  <c r="M49" i="2"/>
  <c r="W49" i="2" s="1"/>
  <c r="L49" i="2"/>
  <c r="V49" i="2" s="1"/>
  <c r="AE48" i="2"/>
  <c r="AD48" i="2"/>
  <c r="AB48" i="2"/>
  <c r="W48" i="2"/>
  <c r="U48" i="2"/>
  <c r="T48" i="2"/>
  <c r="S48" i="2"/>
  <c r="AC48" i="2" s="1"/>
  <c r="R48" i="2"/>
  <c r="Q48" i="2"/>
  <c r="AA48" i="2" s="1"/>
  <c r="P48" i="2"/>
  <c r="Z48" i="2" s="1"/>
  <c r="O48" i="2"/>
  <c r="Y48" i="2" s="1"/>
  <c r="N48" i="2"/>
  <c r="X48" i="2" s="1"/>
  <c r="M48" i="2"/>
  <c r="L48" i="2"/>
  <c r="V48" i="2" s="1"/>
  <c r="AC47" i="2"/>
  <c r="AA47" i="2"/>
  <c r="Y47" i="2"/>
  <c r="V47" i="2"/>
  <c r="U47" i="2"/>
  <c r="AE47" i="2" s="1"/>
  <c r="T47" i="2"/>
  <c r="AD47" i="2" s="1"/>
  <c r="S47" i="2"/>
  <c r="R47" i="2"/>
  <c r="AB47" i="2" s="1"/>
  <c r="Q47" i="2"/>
  <c r="P47" i="2"/>
  <c r="Z47" i="2" s="1"/>
  <c r="O47" i="2"/>
  <c r="N47" i="2"/>
  <c r="X47" i="2" s="1"/>
  <c r="M47" i="2"/>
  <c r="W47" i="2" s="1"/>
  <c r="L47" i="2"/>
  <c r="AE46" i="2"/>
  <c r="AC46" i="2"/>
  <c r="Z46" i="2"/>
  <c r="Y46" i="2"/>
  <c r="X46" i="2"/>
  <c r="W46" i="2"/>
  <c r="V46" i="2"/>
  <c r="U46" i="2"/>
  <c r="T46" i="2"/>
  <c r="AD46" i="2" s="1"/>
  <c r="S46" i="2"/>
  <c r="R46" i="2"/>
  <c r="AB46" i="2" s="1"/>
  <c r="Q46" i="2"/>
  <c r="AA46" i="2" s="1"/>
  <c r="P46" i="2"/>
  <c r="O46" i="2"/>
  <c r="N46" i="2"/>
  <c r="M46" i="2"/>
  <c r="L46" i="2"/>
  <c r="AD45" i="2"/>
  <c r="AC45" i="2"/>
  <c r="AB45" i="2"/>
  <c r="AA45" i="2"/>
  <c r="Z45" i="2"/>
  <c r="U45" i="2"/>
  <c r="AE45" i="2" s="1"/>
  <c r="T45" i="2"/>
  <c r="S45" i="2"/>
  <c r="R45" i="2"/>
  <c r="Q45" i="2"/>
  <c r="P45" i="2"/>
  <c r="O45" i="2"/>
  <c r="Y45" i="2" s="1"/>
  <c r="N45" i="2"/>
  <c r="X45" i="2" s="1"/>
  <c r="M45" i="2"/>
  <c r="W45" i="2" s="1"/>
  <c r="L45" i="2"/>
  <c r="V45" i="2" s="1"/>
  <c r="AE44" i="2"/>
  <c r="AD44" i="2"/>
  <c r="AB44" i="2"/>
  <c r="Y44" i="2"/>
  <c r="W44" i="2"/>
  <c r="U44" i="2"/>
  <c r="T44" i="2"/>
  <c r="S44" i="2"/>
  <c r="AC44" i="2" s="1"/>
  <c r="R44" i="2"/>
  <c r="Q44" i="2"/>
  <c r="AA44" i="2" s="1"/>
  <c r="P44" i="2"/>
  <c r="Z44" i="2" s="1"/>
  <c r="O44" i="2"/>
  <c r="N44" i="2"/>
  <c r="X44" i="2" s="1"/>
  <c r="M44" i="2"/>
  <c r="L44" i="2"/>
  <c r="V44" i="2" s="1"/>
  <c r="AC43" i="2"/>
  <c r="AA43" i="2"/>
  <c r="Y43" i="2"/>
  <c r="V43" i="2"/>
  <c r="U43" i="2"/>
  <c r="AE43" i="2" s="1"/>
  <c r="T43" i="2"/>
  <c r="AD43" i="2" s="1"/>
  <c r="S43" i="2"/>
  <c r="R43" i="2"/>
  <c r="AB43" i="2" s="1"/>
  <c r="Q43" i="2"/>
  <c r="P43" i="2"/>
  <c r="Z43" i="2" s="1"/>
  <c r="O43" i="2"/>
  <c r="N43" i="2"/>
  <c r="X43" i="2" s="1"/>
  <c r="M43" i="2"/>
  <c r="W43" i="2" s="1"/>
  <c r="L43" i="2"/>
  <c r="AE42" i="2"/>
  <c r="AC42" i="2"/>
  <c r="Z42" i="2"/>
  <c r="X42" i="2"/>
  <c r="W42" i="2"/>
  <c r="V42" i="2"/>
  <c r="U42" i="2"/>
  <c r="T42" i="2"/>
  <c r="AD42" i="2" s="1"/>
  <c r="S42" i="2"/>
  <c r="R42" i="2"/>
  <c r="AB42" i="2" s="1"/>
  <c r="Q42" i="2"/>
  <c r="AA42" i="2" s="1"/>
  <c r="P42" i="2"/>
  <c r="O42" i="2"/>
  <c r="Y42" i="2" s="1"/>
  <c r="N42" i="2"/>
  <c r="M42" i="2"/>
  <c r="L42" i="2"/>
  <c r="AD41" i="2"/>
  <c r="AC41" i="2"/>
  <c r="AB41" i="2"/>
  <c r="AA41" i="2"/>
  <c r="Z41" i="2"/>
  <c r="X41" i="2"/>
  <c r="U41" i="2"/>
  <c r="AE41" i="2" s="1"/>
  <c r="T41" i="2"/>
  <c r="S41" i="2"/>
  <c r="R41" i="2"/>
  <c r="Q41" i="2"/>
  <c r="P41" i="2"/>
  <c r="O41" i="2"/>
  <c r="Y41" i="2" s="1"/>
  <c r="N41" i="2"/>
  <c r="M41" i="2"/>
  <c r="W41" i="2" s="1"/>
  <c r="L41" i="2"/>
  <c r="V41" i="2" s="1"/>
  <c r="AE40" i="2"/>
  <c r="AD40" i="2"/>
  <c r="Y40" i="2"/>
  <c r="W40" i="2"/>
  <c r="U40" i="2"/>
  <c r="T40" i="2"/>
  <c r="S40" i="2"/>
  <c r="AC40" i="2" s="1"/>
  <c r="R40" i="2"/>
  <c r="AB40" i="2" s="1"/>
  <c r="Q40" i="2"/>
  <c r="AA40" i="2" s="1"/>
  <c r="P40" i="2"/>
  <c r="Z40" i="2" s="1"/>
  <c r="O40" i="2"/>
  <c r="N40" i="2"/>
  <c r="X40" i="2" s="1"/>
  <c r="M40" i="2"/>
  <c r="L40" i="2"/>
  <c r="V40" i="2" s="1"/>
  <c r="AA39" i="2"/>
  <c r="Y39" i="2"/>
  <c r="V39" i="2"/>
  <c r="U39" i="2"/>
  <c r="AE39" i="2" s="1"/>
  <c r="T39" i="2"/>
  <c r="AD39" i="2" s="1"/>
  <c r="S39" i="2"/>
  <c r="AC39" i="2" s="1"/>
  <c r="R39" i="2"/>
  <c r="AB39" i="2" s="1"/>
  <c r="Q39" i="2"/>
  <c r="P39" i="2"/>
  <c r="Z39" i="2" s="1"/>
  <c r="O39" i="2"/>
  <c r="N39" i="2"/>
  <c r="X39" i="2" s="1"/>
  <c r="M39" i="2"/>
  <c r="W39" i="2" s="1"/>
  <c r="L39" i="2"/>
  <c r="AE38" i="2"/>
  <c r="AC38" i="2"/>
  <c r="Z38" i="2"/>
  <c r="Y38" i="2"/>
  <c r="X38" i="2"/>
  <c r="W38" i="2"/>
  <c r="V38" i="2"/>
  <c r="U38" i="2"/>
  <c r="T38" i="2"/>
  <c r="AD38" i="2" s="1"/>
  <c r="S38" i="2"/>
  <c r="R38" i="2"/>
  <c r="AB38" i="2" s="1"/>
  <c r="Q38" i="2"/>
  <c r="AA38" i="2" s="1"/>
  <c r="P38" i="2"/>
  <c r="O38" i="2"/>
  <c r="N38" i="2"/>
  <c r="M38" i="2"/>
  <c r="L38" i="2"/>
  <c r="AD37" i="2"/>
  <c r="AB37" i="2"/>
  <c r="AA37" i="2"/>
  <c r="Z37" i="2"/>
  <c r="X37" i="2"/>
  <c r="U37" i="2"/>
  <c r="AE37" i="2" s="1"/>
  <c r="T37" i="2"/>
  <c r="S37" i="2"/>
  <c r="AC37" i="2" s="1"/>
  <c r="R37" i="2"/>
  <c r="Q37" i="2"/>
  <c r="P37" i="2"/>
  <c r="O37" i="2"/>
  <c r="Y37" i="2" s="1"/>
  <c r="N37" i="2"/>
  <c r="M37" i="2"/>
  <c r="W37" i="2" s="1"/>
  <c r="L37" i="2"/>
  <c r="V37" i="2" s="1"/>
  <c r="AE36" i="2"/>
  <c r="AD36" i="2"/>
  <c r="Y36" i="2"/>
  <c r="W36" i="2"/>
  <c r="U36" i="2"/>
  <c r="T36" i="2"/>
  <c r="S36" i="2"/>
  <c r="AC36" i="2" s="1"/>
  <c r="R36" i="2"/>
  <c r="AB36" i="2" s="1"/>
  <c r="Q36" i="2"/>
  <c r="AA36" i="2" s="1"/>
  <c r="P36" i="2"/>
  <c r="Z36" i="2" s="1"/>
  <c r="O36" i="2"/>
  <c r="N36" i="2"/>
  <c r="X36" i="2" s="1"/>
  <c r="M36" i="2"/>
  <c r="L36" i="2"/>
  <c r="V36" i="2" s="1"/>
  <c r="AA35" i="2"/>
  <c r="Y35" i="2"/>
  <c r="V35" i="2"/>
  <c r="U35" i="2"/>
  <c r="AE35" i="2" s="1"/>
  <c r="T35" i="2"/>
  <c r="AD35" i="2" s="1"/>
  <c r="S35" i="2"/>
  <c r="AC35" i="2" s="1"/>
  <c r="R35" i="2"/>
  <c r="AB35" i="2" s="1"/>
  <c r="Q35" i="2"/>
  <c r="P35" i="2"/>
  <c r="Z35" i="2" s="1"/>
  <c r="O35" i="2"/>
  <c r="N35" i="2"/>
  <c r="X35" i="2" s="1"/>
  <c r="M35" i="2"/>
  <c r="W35" i="2" s="1"/>
  <c r="L35" i="2"/>
  <c r="AE34" i="2"/>
  <c r="AC34" i="2"/>
  <c r="Z34" i="2"/>
  <c r="X34" i="2"/>
  <c r="W34" i="2"/>
  <c r="V34" i="2"/>
  <c r="U34" i="2"/>
  <c r="T34" i="2"/>
  <c r="AD34" i="2" s="1"/>
  <c r="S34" i="2"/>
  <c r="R34" i="2"/>
  <c r="AB34" i="2" s="1"/>
  <c r="Q34" i="2"/>
  <c r="AA34" i="2" s="1"/>
  <c r="P34" i="2"/>
  <c r="O34" i="2"/>
  <c r="Y34" i="2" s="1"/>
  <c r="N34" i="2"/>
  <c r="M34" i="2"/>
  <c r="L34" i="2"/>
  <c r="AD33" i="2"/>
  <c r="AB33" i="2"/>
  <c r="AA33" i="2"/>
  <c r="Z33" i="2"/>
  <c r="X33" i="2"/>
  <c r="U33" i="2"/>
  <c r="AE33" i="2" s="1"/>
  <c r="T33" i="2"/>
  <c r="S33" i="2"/>
  <c r="AC33" i="2" s="1"/>
  <c r="R33" i="2"/>
  <c r="Q33" i="2"/>
  <c r="P33" i="2"/>
  <c r="O33" i="2"/>
  <c r="Y33" i="2" s="1"/>
  <c r="N33" i="2"/>
  <c r="M33" i="2"/>
  <c r="W33" i="2" s="1"/>
  <c r="L33" i="2"/>
  <c r="V33" i="2" s="1"/>
  <c r="AE32" i="2"/>
  <c r="AD32" i="2"/>
  <c r="Y32" i="2"/>
  <c r="W32" i="2"/>
  <c r="U32" i="2"/>
  <c r="T32" i="2"/>
  <c r="S32" i="2"/>
  <c r="AC32" i="2" s="1"/>
  <c r="R32" i="2"/>
  <c r="AB32" i="2" s="1"/>
  <c r="Q32" i="2"/>
  <c r="AA32" i="2" s="1"/>
  <c r="P32" i="2"/>
  <c r="Z32" i="2" s="1"/>
  <c r="O32" i="2"/>
  <c r="N32" i="2"/>
  <c r="X32" i="2" s="1"/>
  <c r="M32" i="2"/>
  <c r="L32" i="2"/>
  <c r="V32" i="2" s="1"/>
  <c r="AA31" i="2"/>
  <c r="Y31" i="2"/>
  <c r="V31" i="2"/>
  <c r="U31" i="2"/>
  <c r="AE31" i="2" s="1"/>
  <c r="T31" i="2"/>
  <c r="AD31" i="2" s="1"/>
  <c r="S31" i="2"/>
  <c r="AC31" i="2" s="1"/>
  <c r="R31" i="2"/>
  <c r="AB31" i="2" s="1"/>
  <c r="Q31" i="2"/>
  <c r="P31" i="2"/>
  <c r="Z31" i="2" s="1"/>
  <c r="O31" i="2"/>
  <c r="N31" i="2"/>
  <c r="X31" i="2" s="1"/>
  <c r="M31" i="2"/>
  <c r="W31" i="2" s="1"/>
  <c r="L31" i="2"/>
  <c r="AE30" i="2"/>
  <c r="AC30" i="2"/>
  <c r="Z30" i="2"/>
  <c r="X30" i="2"/>
  <c r="V30" i="2"/>
  <c r="U30" i="2"/>
  <c r="T30" i="2"/>
  <c r="AD30" i="2" s="1"/>
  <c r="S30" i="2"/>
  <c r="R30" i="2"/>
  <c r="AB30" i="2" s="1"/>
  <c r="Q30" i="2"/>
  <c r="AA30" i="2" s="1"/>
  <c r="P30" i="2"/>
  <c r="O30" i="2"/>
  <c r="Y30" i="2" s="1"/>
  <c r="N30" i="2"/>
  <c r="M30" i="2"/>
  <c r="W30" i="2" s="1"/>
  <c r="L30" i="2"/>
  <c r="AD29" i="2"/>
  <c r="AC29" i="2"/>
  <c r="AB29" i="2"/>
  <c r="Z29" i="2"/>
  <c r="X29" i="2"/>
  <c r="U29" i="2"/>
  <c r="AE29" i="2" s="1"/>
  <c r="T29" i="2"/>
  <c r="S29" i="2"/>
  <c r="R29" i="2"/>
  <c r="Q29" i="2"/>
  <c r="AA29" i="2" s="1"/>
  <c r="P29" i="2"/>
  <c r="O29" i="2"/>
  <c r="Y29" i="2" s="1"/>
  <c r="N29" i="2"/>
  <c r="M29" i="2"/>
  <c r="W29" i="2" s="1"/>
  <c r="L29" i="2"/>
  <c r="V29" i="2" s="1"/>
  <c r="AD28" i="2"/>
  <c r="AB28" i="2"/>
  <c r="W28" i="2"/>
  <c r="U28" i="2"/>
  <c r="AE28" i="2" s="1"/>
  <c r="T28" i="2"/>
  <c r="S28" i="2"/>
  <c r="AC28" i="2" s="1"/>
  <c r="R28" i="2"/>
  <c r="Q28" i="2"/>
  <c r="AA28" i="2" s="1"/>
  <c r="P28" i="2"/>
  <c r="Z28" i="2" s="1"/>
  <c r="O28" i="2"/>
  <c r="Y28" i="2" s="1"/>
  <c r="N28" i="2"/>
  <c r="X28" i="2" s="1"/>
  <c r="M28" i="2"/>
  <c r="L28" i="2"/>
  <c r="V28" i="2" s="1"/>
  <c r="AA27" i="2"/>
  <c r="Y27" i="2"/>
  <c r="V27" i="2"/>
  <c r="U27" i="2"/>
  <c r="AE27" i="2" s="1"/>
  <c r="T27" i="2"/>
  <c r="AD27" i="2" s="1"/>
  <c r="S27" i="2"/>
  <c r="AC27" i="2" s="1"/>
  <c r="R27" i="2"/>
  <c r="AB27" i="2" s="1"/>
  <c r="Q27" i="2"/>
  <c r="P27" i="2"/>
  <c r="Z27" i="2" s="1"/>
  <c r="O27" i="2"/>
  <c r="N27" i="2"/>
  <c r="X27" i="2" s="1"/>
  <c r="M27" i="2"/>
  <c r="W27" i="2" s="1"/>
  <c r="L27" i="2"/>
  <c r="AE26" i="2"/>
  <c r="AD26" i="2"/>
  <c r="AC26" i="2"/>
  <c r="Z26" i="2"/>
  <c r="X26" i="2"/>
  <c r="W26" i="2"/>
  <c r="V26" i="2"/>
  <c r="U26" i="2"/>
  <c r="T26" i="2"/>
  <c r="S26" i="2"/>
  <c r="R26" i="2"/>
  <c r="AB26" i="2" s="1"/>
  <c r="Q26" i="2"/>
  <c r="AA26" i="2" s="1"/>
  <c r="P26" i="2"/>
  <c r="O26" i="2"/>
  <c r="Y26" i="2" s="1"/>
  <c r="N26" i="2"/>
  <c r="M26" i="2"/>
  <c r="L26" i="2"/>
  <c r="AE25" i="2"/>
  <c r="AD25" i="2"/>
  <c r="Z25" i="2"/>
  <c r="X25" i="2"/>
  <c r="U25" i="2"/>
  <c r="T25" i="2"/>
  <c r="S25" i="2"/>
  <c r="AC25" i="2" s="1"/>
  <c r="R25" i="2"/>
  <c r="AB25" i="2" s="1"/>
  <c r="Q25" i="2"/>
  <c r="AA25" i="2" s="1"/>
  <c r="P25" i="2"/>
  <c r="O25" i="2"/>
  <c r="Y25" i="2" s="1"/>
  <c r="N25" i="2"/>
  <c r="M25" i="2"/>
  <c r="W25" i="2" s="1"/>
  <c r="L25" i="2"/>
  <c r="V25" i="2" s="1"/>
  <c r="AE24" i="2"/>
  <c r="AD24" i="2"/>
  <c r="W24" i="2"/>
  <c r="V24" i="2"/>
  <c r="U24" i="2"/>
  <c r="T24" i="2"/>
  <c r="S24" i="2"/>
  <c r="AC24" i="2" s="1"/>
  <c r="R24" i="2"/>
  <c r="AB24" i="2" s="1"/>
  <c r="Q24" i="2"/>
  <c r="AA24" i="2" s="1"/>
  <c r="P24" i="2"/>
  <c r="Z24" i="2" s="1"/>
  <c r="O24" i="2"/>
  <c r="Y24" i="2" s="1"/>
  <c r="N24" i="2"/>
  <c r="X24" i="2" s="1"/>
  <c r="M24" i="2"/>
  <c r="L24" i="2"/>
  <c r="AA23" i="2"/>
  <c r="Z23" i="2"/>
  <c r="Y23" i="2"/>
  <c r="W23" i="2"/>
  <c r="V23" i="2"/>
  <c r="U23" i="2"/>
  <c r="AE23" i="2" s="1"/>
  <c r="T23" i="2"/>
  <c r="AD23" i="2" s="1"/>
  <c r="S23" i="2"/>
  <c r="AC23" i="2" s="1"/>
  <c r="R23" i="2"/>
  <c r="AB23" i="2" s="1"/>
  <c r="Q23" i="2"/>
  <c r="P23" i="2"/>
  <c r="O23" i="2"/>
  <c r="N23" i="2"/>
  <c r="X23" i="2" s="1"/>
  <c r="M23" i="2"/>
  <c r="L23" i="2"/>
  <c r="AE22" i="2"/>
  <c r="AC22" i="2"/>
  <c r="AA22" i="2"/>
  <c r="Z22" i="2"/>
  <c r="Y22" i="2"/>
  <c r="W22" i="2"/>
  <c r="V22" i="2"/>
  <c r="U22" i="2"/>
  <c r="T22" i="2"/>
  <c r="AD22" i="2" s="1"/>
  <c r="S22" i="2"/>
  <c r="R22" i="2"/>
  <c r="AB22" i="2" s="1"/>
  <c r="Q22" i="2"/>
  <c r="P22" i="2"/>
  <c r="O22" i="2"/>
  <c r="N22" i="2"/>
  <c r="X22" i="2" s="1"/>
  <c r="M22" i="2"/>
  <c r="L22" i="2"/>
  <c r="AD21" i="2"/>
  <c r="AC21" i="2"/>
  <c r="AA21" i="2"/>
  <c r="Z21" i="2"/>
  <c r="X21" i="2"/>
  <c r="U21" i="2"/>
  <c r="AE21" i="2" s="1"/>
  <c r="T21" i="2"/>
  <c r="S21" i="2"/>
  <c r="R21" i="2"/>
  <c r="AB21" i="2" s="1"/>
  <c r="Q21" i="2"/>
  <c r="P21" i="2"/>
  <c r="O21" i="2"/>
  <c r="Y21" i="2" s="1"/>
  <c r="N21" i="2"/>
  <c r="M21" i="2"/>
  <c r="W21" i="2" s="1"/>
  <c r="L21" i="2"/>
  <c r="V21" i="2" s="1"/>
  <c r="AD20" i="2"/>
  <c r="Y20" i="2"/>
  <c r="W20" i="2"/>
  <c r="V20" i="2"/>
  <c r="U20" i="2"/>
  <c r="AE20" i="2" s="1"/>
  <c r="T20" i="2"/>
  <c r="S20" i="2"/>
  <c r="AC20" i="2" s="1"/>
  <c r="R20" i="2"/>
  <c r="AB20" i="2" s="1"/>
  <c r="Q20" i="2"/>
  <c r="AA20" i="2" s="1"/>
  <c r="P20" i="2"/>
  <c r="Z20" i="2" s="1"/>
  <c r="O20" i="2"/>
  <c r="N20" i="2"/>
  <c r="X20" i="2" s="1"/>
  <c r="M20" i="2"/>
  <c r="L20" i="2"/>
  <c r="AC19" i="2"/>
  <c r="AA19" i="2"/>
  <c r="Y19" i="2"/>
  <c r="W19" i="2"/>
  <c r="V19" i="2"/>
  <c r="U19" i="2"/>
  <c r="AE19" i="2" s="1"/>
  <c r="T19" i="2"/>
  <c r="AD19" i="2" s="1"/>
  <c r="S19" i="2"/>
  <c r="R19" i="2"/>
  <c r="AB19" i="2" s="1"/>
  <c r="Q19" i="2"/>
  <c r="P19" i="2"/>
  <c r="Z19" i="2" s="1"/>
  <c r="O19" i="2"/>
  <c r="N19" i="2"/>
  <c r="X19" i="2" s="1"/>
  <c r="M19" i="2"/>
  <c r="L19" i="2"/>
  <c r="AE18" i="2"/>
  <c r="AD18" i="2"/>
  <c r="AC18" i="2"/>
  <c r="AA18" i="2"/>
  <c r="Z18" i="2"/>
  <c r="Y18" i="2"/>
  <c r="X18" i="2"/>
  <c r="V18" i="2"/>
  <c r="U18" i="2"/>
  <c r="T18" i="2"/>
  <c r="S18" i="2"/>
  <c r="R18" i="2"/>
  <c r="AB18" i="2" s="1"/>
  <c r="Q18" i="2"/>
  <c r="P18" i="2"/>
  <c r="O18" i="2"/>
  <c r="N18" i="2"/>
  <c r="M18" i="2"/>
  <c r="W18" i="2" s="1"/>
  <c r="L18" i="2"/>
  <c r="AE17" i="2"/>
  <c r="AD17" i="2"/>
  <c r="AB17" i="2"/>
  <c r="Z17" i="2"/>
  <c r="U17" i="2"/>
  <c r="T17" i="2"/>
  <c r="S17" i="2"/>
  <c r="AC17" i="2" s="1"/>
  <c r="R17" i="2"/>
  <c r="Q17" i="2"/>
  <c r="AA17" i="2" s="1"/>
  <c r="P17" i="2"/>
  <c r="O17" i="2"/>
  <c r="Y17" i="2" s="1"/>
  <c r="N17" i="2"/>
  <c r="X17" i="2" s="1"/>
  <c r="M17" i="2"/>
  <c r="W17" i="2" s="1"/>
  <c r="L17" i="2"/>
  <c r="V17" i="2" s="1"/>
  <c r="AE16" i="2"/>
  <c r="AD16" i="2"/>
  <c r="AB16" i="2"/>
  <c r="W16" i="2"/>
  <c r="U16" i="2"/>
  <c r="T16" i="2"/>
  <c r="S16" i="2"/>
  <c r="AC16" i="2" s="1"/>
  <c r="R16" i="2"/>
  <c r="Q16" i="2"/>
  <c r="AA16" i="2" s="1"/>
  <c r="P16" i="2"/>
  <c r="Z16" i="2" s="1"/>
  <c r="O16" i="2"/>
  <c r="Y16" i="2" s="1"/>
  <c r="N16" i="2"/>
  <c r="X16" i="2" s="1"/>
  <c r="M16" i="2"/>
  <c r="L16" i="2"/>
  <c r="V16" i="2" s="1"/>
  <c r="AC15" i="2"/>
  <c r="AA15" i="2"/>
  <c r="Z15" i="2"/>
  <c r="Y15" i="2"/>
  <c r="W15" i="2"/>
  <c r="V15" i="2"/>
  <c r="U15" i="2"/>
  <c r="AE15" i="2" s="1"/>
  <c r="T15" i="2"/>
  <c r="AD15" i="2" s="1"/>
  <c r="S15" i="2"/>
  <c r="R15" i="2"/>
  <c r="AB15" i="2" s="1"/>
  <c r="Q15" i="2"/>
  <c r="P15" i="2"/>
  <c r="O15" i="2"/>
  <c r="N15" i="2"/>
  <c r="X15" i="2" s="1"/>
  <c r="M15" i="2"/>
  <c r="L15" i="2"/>
  <c r="AE14" i="2"/>
  <c r="AD14" i="2"/>
  <c r="AC14" i="2"/>
  <c r="Z14" i="2"/>
  <c r="V14" i="2"/>
  <c r="U14" i="2"/>
  <c r="T14" i="2"/>
  <c r="S14" i="2"/>
  <c r="R14" i="2"/>
  <c r="AB14" i="2" s="1"/>
  <c r="Q14" i="2"/>
  <c r="AA14" i="2" s="1"/>
  <c r="P14" i="2"/>
  <c r="O14" i="2"/>
  <c r="Y14" i="2" s="1"/>
  <c r="N14" i="2"/>
  <c r="X14" i="2" s="1"/>
  <c r="M14" i="2"/>
  <c r="W14" i="2" s="1"/>
  <c r="L14" i="2"/>
  <c r="AD13" i="2"/>
  <c r="AB13" i="2"/>
  <c r="Z13" i="2"/>
  <c r="U13" i="2"/>
  <c r="AE13" i="2" s="1"/>
  <c r="T13" i="2"/>
  <c r="S13" i="2"/>
  <c r="AC13" i="2" s="1"/>
  <c r="R13" i="2"/>
  <c r="Q13" i="2"/>
  <c r="AA13" i="2" s="1"/>
  <c r="P13" i="2"/>
  <c r="O13" i="2"/>
  <c r="Y13" i="2" s="1"/>
  <c r="N13" i="2"/>
  <c r="X13" i="2" s="1"/>
  <c r="M13" i="2"/>
  <c r="W13" i="2" s="1"/>
  <c r="L13" i="2"/>
  <c r="V13" i="2" s="1"/>
  <c r="AD12" i="2"/>
  <c r="V12" i="2"/>
  <c r="U12" i="2"/>
  <c r="AE12" i="2" s="1"/>
  <c r="T12" i="2"/>
  <c r="S12" i="2"/>
  <c r="AC12" i="2" s="1"/>
  <c r="R12" i="2"/>
  <c r="AB12" i="2" s="1"/>
  <c r="Q12" i="2"/>
  <c r="AA12" i="2" s="1"/>
  <c r="P12" i="2"/>
  <c r="Z12" i="2" s="1"/>
  <c r="O12" i="2"/>
  <c r="Y12" i="2" s="1"/>
  <c r="N12" i="2"/>
  <c r="X12" i="2" s="1"/>
  <c r="M12" i="2"/>
  <c r="W12" i="2" s="1"/>
  <c r="L12" i="2"/>
  <c r="AD11" i="2"/>
  <c r="Y11" i="2"/>
  <c r="W11" i="2"/>
  <c r="V11" i="2"/>
  <c r="U11" i="2"/>
  <c r="AE11" i="2" s="1"/>
  <c r="T11" i="2"/>
  <c r="S11" i="2"/>
  <c r="AC11" i="2" s="1"/>
  <c r="R11" i="2"/>
  <c r="AB11" i="2" s="1"/>
  <c r="Q11" i="2"/>
  <c r="AA11" i="2" s="1"/>
  <c r="P11" i="2"/>
  <c r="Z11" i="2" s="1"/>
  <c r="O11" i="2"/>
  <c r="N11" i="2"/>
  <c r="X11" i="2" s="1"/>
  <c r="M11" i="2"/>
  <c r="L11" i="2"/>
  <c r="AC10" i="2"/>
  <c r="Z10" i="2"/>
  <c r="Y10" i="2"/>
  <c r="X10" i="2"/>
  <c r="V10" i="2"/>
  <c r="U10" i="2"/>
  <c r="AE10" i="2" s="1"/>
  <c r="T10" i="2"/>
  <c r="AD10" i="2" s="1"/>
  <c r="S10" i="2"/>
  <c r="R10" i="2"/>
  <c r="AB10" i="2" s="1"/>
  <c r="Q10" i="2"/>
  <c r="AA10" i="2" s="1"/>
  <c r="P10" i="2"/>
  <c r="O10" i="2"/>
  <c r="N10" i="2"/>
  <c r="M10" i="2"/>
  <c r="W10" i="2" s="1"/>
  <c r="L10" i="2"/>
  <c r="AE9" i="2"/>
  <c r="AD9" i="2"/>
  <c r="AC9" i="2"/>
  <c r="AB9" i="2"/>
  <c r="Z9" i="2"/>
  <c r="Y9" i="2"/>
  <c r="X9" i="2"/>
  <c r="V9" i="2"/>
  <c r="U9" i="2"/>
  <c r="T9" i="2"/>
  <c r="S9" i="2"/>
  <c r="R9" i="2"/>
  <c r="Q9" i="2"/>
  <c r="AA9" i="2" s="1"/>
  <c r="P9" i="2"/>
  <c r="O9" i="2"/>
  <c r="N9" i="2"/>
  <c r="M9" i="2"/>
  <c r="W9" i="2" s="1"/>
  <c r="L9" i="2"/>
  <c r="AE8" i="2"/>
  <c r="AD8" i="2"/>
  <c r="AC8" i="2"/>
  <c r="AB8" i="2"/>
  <c r="Z8" i="2"/>
  <c r="Y8" i="2"/>
  <c r="V8" i="2"/>
  <c r="U8" i="2"/>
  <c r="T8" i="2"/>
  <c r="S8" i="2"/>
  <c r="R8" i="2"/>
  <c r="Q8" i="2"/>
  <c r="AA8" i="2" s="1"/>
  <c r="P8" i="2"/>
  <c r="O8" i="2"/>
  <c r="N8" i="2"/>
  <c r="X8" i="2" s="1"/>
  <c r="M8" i="2"/>
  <c r="W8" i="2" s="1"/>
  <c r="L8" i="2"/>
  <c r="AD7" i="2"/>
  <c r="AC7" i="2"/>
  <c r="AA7" i="2"/>
  <c r="Z7" i="2"/>
  <c r="Y7" i="2"/>
  <c r="W7" i="2"/>
  <c r="V7" i="2"/>
  <c r="U7" i="2"/>
  <c r="AE7" i="2" s="1"/>
  <c r="T7" i="2"/>
  <c r="S7" i="2"/>
  <c r="R7" i="2"/>
  <c r="AB7" i="2" s="1"/>
  <c r="Q7" i="2"/>
  <c r="P7" i="2"/>
  <c r="O7" i="2"/>
  <c r="N7" i="2"/>
  <c r="X7" i="2" s="1"/>
  <c r="M7" i="2"/>
  <c r="L7" i="2"/>
  <c r="AE6" i="2"/>
  <c r="AD6" i="2"/>
  <c r="AC6" i="2"/>
  <c r="Z6" i="2"/>
  <c r="V6" i="2"/>
  <c r="U6" i="2"/>
  <c r="T6" i="2"/>
  <c r="S6" i="2"/>
  <c r="R6" i="2"/>
  <c r="AB6" i="2" s="1"/>
  <c r="Q6" i="2"/>
  <c r="AA6" i="2" s="1"/>
  <c r="P6" i="2"/>
  <c r="O6" i="2"/>
  <c r="Y6" i="2" s="1"/>
  <c r="N6" i="2"/>
  <c r="X6" i="2" s="1"/>
  <c r="M6" i="2"/>
  <c r="W6" i="2" s="1"/>
  <c r="L6" i="2"/>
  <c r="AD5" i="2"/>
  <c r="AC5" i="2"/>
  <c r="Z5" i="2"/>
  <c r="X5" i="2"/>
  <c r="V5" i="2"/>
  <c r="U5" i="2"/>
  <c r="AE5" i="2" s="1"/>
  <c r="T5" i="2"/>
  <c r="S5" i="2"/>
  <c r="R5" i="2"/>
  <c r="AB5" i="2" s="1"/>
  <c r="Q5" i="2"/>
  <c r="AA5" i="2" s="1"/>
  <c r="P5" i="2"/>
  <c r="O5" i="2"/>
  <c r="Y5" i="2" s="1"/>
  <c r="N5" i="2"/>
  <c r="M5" i="2"/>
  <c r="W5" i="2" s="1"/>
  <c r="L5" i="2"/>
  <c r="AE4" i="2"/>
  <c r="AD4" i="2"/>
  <c r="Z4" i="2"/>
  <c r="Y4" i="2"/>
  <c r="W4" i="2"/>
  <c r="V4" i="2"/>
  <c r="U4" i="2"/>
  <c r="T4" i="2"/>
  <c r="S4" i="2"/>
  <c r="AC4" i="2" s="1"/>
  <c r="R4" i="2"/>
  <c r="AB4" i="2" s="1"/>
  <c r="Q4" i="2"/>
  <c r="AA4" i="2" s="1"/>
  <c r="P4" i="2"/>
  <c r="O4" i="2"/>
  <c r="N4" i="2"/>
  <c r="X4" i="2" s="1"/>
  <c r="M4" i="2"/>
  <c r="L4" i="2"/>
  <c r="AA3" i="2"/>
  <c r="Z3" i="2"/>
  <c r="Y3" i="2"/>
  <c r="W3" i="2"/>
  <c r="V3" i="2"/>
  <c r="U3" i="2"/>
  <c r="AE3" i="2" s="1"/>
  <c r="T3" i="2"/>
  <c r="AD3" i="2" s="1"/>
  <c r="S3" i="2"/>
  <c r="AC3" i="2" s="1"/>
  <c r="R3" i="2"/>
  <c r="AB3" i="2" s="1"/>
  <c r="Q3" i="2"/>
  <c r="P3" i="2"/>
  <c r="O3" i="2"/>
  <c r="N3" i="2"/>
  <c r="X3" i="2" s="1"/>
  <c r="M3" i="2"/>
  <c r="L3" i="2"/>
  <c r="AD2" i="2"/>
  <c r="AC2" i="2"/>
  <c r="AA2" i="2"/>
  <c r="Z2" i="2"/>
  <c r="X2" i="2"/>
  <c r="W2" i="2"/>
  <c r="V2" i="2"/>
  <c r="U2" i="2"/>
  <c r="AE2" i="2" s="1"/>
  <c r="T2" i="2"/>
  <c r="S2" i="2"/>
  <c r="R2" i="2"/>
  <c r="AB2" i="2" s="1"/>
  <c r="Q2" i="2"/>
  <c r="P2" i="2"/>
  <c r="O2" i="2"/>
  <c r="Y2" i="2" s="1"/>
  <c r="N2" i="2"/>
  <c r="M2" i="2"/>
  <c r="L2" i="2"/>
  <c r="AE1" i="2"/>
  <c r="AD1" i="2"/>
  <c r="AB1" i="2"/>
  <c r="AA1" i="2"/>
  <c r="Z1" i="2"/>
  <c r="Y1" i="2"/>
  <c r="V1" i="2"/>
  <c r="U1" i="2"/>
  <c r="T1" i="2"/>
  <c r="S1" i="2"/>
  <c r="AC1" i="2" s="1"/>
  <c r="R1" i="2"/>
  <c r="Q1" i="2"/>
  <c r="P1" i="2"/>
  <c r="O1" i="2"/>
  <c r="N1" i="2"/>
  <c r="X1" i="2" s="1"/>
  <c r="M1" i="2"/>
  <c r="W1" i="2" s="1"/>
  <c r="L1" i="2"/>
  <c r="D1109" i="2"/>
  <c r="D1107" i="2"/>
  <c r="D1106" i="2"/>
  <c r="E1106" i="2" s="1"/>
  <c r="F1106" i="2" s="1"/>
  <c r="C1106" i="2"/>
  <c r="D1105" i="2"/>
  <c r="E1103" i="2"/>
  <c r="C1103" i="2"/>
  <c r="C1102" i="2"/>
  <c r="F1101" i="2"/>
  <c r="C1101" i="2"/>
  <c r="F1100" i="2"/>
  <c r="C1100" i="2"/>
  <c r="E1099" i="2"/>
  <c r="F1099" i="2" s="1"/>
  <c r="E1098" i="2"/>
  <c r="D1097" i="2"/>
  <c r="E1097" i="2" s="1"/>
  <c r="F1097" i="2" s="1"/>
  <c r="C1097" i="2"/>
  <c r="D1096" i="2"/>
  <c r="E1096" i="2" s="1"/>
  <c r="F1096" i="2" s="1"/>
  <c r="C1096" i="2"/>
  <c r="C1095" i="2"/>
  <c r="C1094" i="2"/>
  <c r="F1093" i="2"/>
  <c r="C1093" i="2"/>
  <c r="E1092" i="2"/>
  <c r="C1092" i="2"/>
  <c r="C1091" i="2"/>
  <c r="F1090" i="2"/>
  <c r="C1090" i="2"/>
  <c r="D1089" i="2"/>
  <c r="E1089" i="2" s="1"/>
  <c r="F1089" i="2" s="1"/>
  <c r="C1089" i="2"/>
  <c r="F1088" i="2"/>
  <c r="D1088" i="2"/>
  <c r="C1088" i="2"/>
  <c r="C1087" i="2"/>
  <c r="E1086" i="2"/>
  <c r="C1086" i="2"/>
  <c r="F1085" i="2"/>
  <c r="D1085" i="2"/>
  <c r="C1085" i="2"/>
  <c r="D1084" i="2"/>
  <c r="E1084" i="2" s="1"/>
  <c r="F1084" i="2" s="1"/>
  <c r="C1084" i="2"/>
  <c r="E1083" i="2"/>
  <c r="C1083" i="2"/>
  <c r="C1082" i="2"/>
  <c r="C1080" i="2"/>
  <c r="D1080" i="2" s="1"/>
  <c r="E1080" i="2" s="1"/>
  <c r="C1079" i="2"/>
  <c r="D1079" i="2" s="1"/>
  <c r="E1079" i="2" s="1"/>
  <c r="F1079" i="2" s="1"/>
  <c r="C1078" i="2"/>
  <c r="D1078" i="2" s="1"/>
  <c r="E1078" i="2" s="1"/>
  <c r="F1078" i="2" s="1"/>
  <c r="C1077" i="2"/>
  <c r="D1077" i="2" s="1"/>
  <c r="C1076" i="2"/>
  <c r="D1076" i="2" s="1"/>
  <c r="E1076" i="2" s="1"/>
  <c r="F1076" i="2" s="1"/>
  <c r="C1075" i="2"/>
  <c r="D1075" i="2" s="1"/>
  <c r="E1075" i="2" s="1"/>
  <c r="F1075" i="2" s="1"/>
  <c r="C1074" i="2"/>
  <c r="D1074" i="2" s="1"/>
  <c r="E1074" i="2" s="1"/>
  <c r="D1073" i="2"/>
  <c r="E1073" i="2" s="1"/>
  <c r="F1073" i="2" s="1"/>
  <c r="C1072" i="2"/>
  <c r="D1072" i="2" s="1"/>
  <c r="E1072" i="2" s="1"/>
  <c r="F1072" i="2" s="1"/>
  <c r="E1071" i="2"/>
  <c r="C1071" i="2"/>
  <c r="C1070" i="2"/>
  <c r="D1070" i="2" s="1"/>
  <c r="E1070" i="2" s="1"/>
  <c r="F1070" i="2" s="1"/>
  <c r="F1069" i="2"/>
  <c r="E1068" i="2"/>
  <c r="C1068" i="2"/>
  <c r="C1067" i="2"/>
  <c r="D1067" i="2" s="1"/>
  <c r="E1067" i="2" s="1"/>
  <c r="F1067" i="2" s="1"/>
  <c r="D1066" i="2"/>
  <c r="C1065" i="2"/>
  <c r="D1065" i="2" s="1"/>
  <c r="E1065" i="2" s="1"/>
  <c r="F1065" i="2" s="1"/>
  <c r="C1064" i="2"/>
  <c r="D1063" i="2"/>
  <c r="D1062" i="2"/>
  <c r="E1062" i="2" s="1"/>
  <c r="F1062" i="2" s="1"/>
  <c r="C1062" i="2"/>
  <c r="C1061" i="2"/>
  <c r="D1061" i="2" s="1"/>
  <c r="E1061" i="2" s="1"/>
  <c r="F1061" i="2" s="1"/>
  <c r="C1060" i="2"/>
  <c r="D1060" i="2" s="1"/>
  <c r="E1060" i="2" s="1"/>
  <c r="F1060" i="2" s="1"/>
  <c r="C1059" i="2"/>
  <c r="D1059" i="2" s="1"/>
  <c r="E1059" i="2" s="1"/>
  <c r="F1059" i="2" s="1"/>
  <c r="C1058" i="2"/>
  <c r="D1058" i="2" s="1"/>
  <c r="E1058" i="2" s="1"/>
  <c r="F1058" i="2" s="1"/>
  <c r="D1057" i="2"/>
  <c r="E1057" i="2" s="1"/>
  <c r="F1057" i="2" s="1"/>
  <c r="C1057" i="2"/>
  <c r="C1056" i="2"/>
  <c r="D1056" i="2" s="1"/>
  <c r="E1056" i="2" s="1"/>
  <c r="F1056" i="2" s="1"/>
  <c r="C1055" i="2"/>
  <c r="D1055" i="2" s="1"/>
  <c r="E1055" i="2" s="1"/>
  <c r="F1055" i="2" s="1"/>
  <c r="C1054" i="2"/>
  <c r="D1054" i="2" s="1"/>
  <c r="E1054" i="2" s="1"/>
  <c r="F1054" i="2" s="1"/>
  <c r="C1053" i="2"/>
  <c r="D1053" i="2" s="1"/>
  <c r="E1053" i="2" s="1"/>
  <c r="F1053" i="2" s="1"/>
  <c r="C1052" i="2"/>
  <c r="D1052" i="2" s="1"/>
  <c r="E1052" i="2" s="1"/>
  <c r="F1052" i="2" s="1"/>
  <c r="C1051" i="2"/>
  <c r="D1051" i="2" s="1"/>
  <c r="E1051" i="2" s="1"/>
  <c r="F1051" i="2" s="1"/>
  <c r="C1050" i="2"/>
  <c r="D1050" i="2" s="1"/>
  <c r="E1050" i="2" s="1"/>
  <c r="F1050" i="2" s="1"/>
  <c r="D1049" i="2"/>
  <c r="E1049" i="2" s="1"/>
  <c r="F1049" i="2" s="1"/>
  <c r="C1049" i="2"/>
  <c r="C1048" i="2"/>
  <c r="D1048" i="2" s="1"/>
  <c r="E1048" i="2" s="1"/>
  <c r="F1048" i="2" s="1"/>
  <c r="C1047" i="2"/>
  <c r="D1047" i="2" s="1"/>
  <c r="E1047" i="2" s="1"/>
  <c r="F1047" i="2" s="1"/>
  <c r="D1046" i="2"/>
  <c r="E1046" i="2" s="1"/>
  <c r="F1046" i="2" s="1"/>
  <c r="C1046" i="2"/>
  <c r="C1045" i="2"/>
  <c r="D1045" i="2" s="1"/>
  <c r="E1045" i="2" s="1"/>
  <c r="F1045" i="2" s="1"/>
  <c r="C1044" i="2"/>
  <c r="D1044" i="2" s="1"/>
  <c r="E1044" i="2" s="1"/>
  <c r="F1044" i="2" s="1"/>
  <c r="C1043" i="2"/>
  <c r="D1043" i="2" s="1"/>
  <c r="E1043" i="2" s="1"/>
  <c r="F1043" i="2" s="1"/>
  <c r="C1042" i="2"/>
  <c r="D1042" i="2" s="1"/>
  <c r="E1042" i="2" s="1"/>
  <c r="F1042" i="2" s="1"/>
  <c r="D1041" i="2"/>
  <c r="E1041" i="2" s="1"/>
  <c r="F1041" i="2" s="1"/>
  <c r="C1041" i="2"/>
  <c r="C1040" i="2"/>
  <c r="D1040" i="2" s="1"/>
  <c r="E1040" i="2" s="1"/>
  <c r="F1040" i="2" s="1"/>
  <c r="C1039" i="2"/>
  <c r="D1039" i="2" s="1"/>
  <c r="E1039" i="2" s="1"/>
  <c r="F1039" i="2" s="1"/>
  <c r="D1038" i="2"/>
  <c r="E1038" i="2" s="1"/>
  <c r="F1038" i="2" s="1"/>
  <c r="C1038" i="2"/>
  <c r="C1037" i="2"/>
  <c r="D1037" i="2" s="1"/>
  <c r="E1037" i="2" s="1"/>
  <c r="F1037" i="2" s="1"/>
  <c r="C1036" i="2"/>
  <c r="D1036" i="2" s="1"/>
  <c r="E1036" i="2" s="1"/>
  <c r="F1036" i="2" s="1"/>
  <c r="C1035" i="2"/>
  <c r="D1035" i="2" s="1"/>
  <c r="E1035" i="2" s="1"/>
  <c r="F1035" i="2" s="1"/>
  <c r="C1034" i="2"/>
  <c r="D1034" i="2" s="1"/>
  <c r="E1034" i="2" s="1"/>
  <c r="F1034" i="2" s="1"/>
  <c r="C1033" i="2"/>
  <c r="D1033" i="2" s="1"/>
  <c r="E1033" i="2" s="1"/>
  <c r="F1033" i="2" s="1"/>
  <c r="C1032" i="2"/>
  <c r="D1032" i="2" s="1"/>
  <c r="E1032" i="2" s="1"/>
  <c r="F1032" i="2" s="1"/>
  <c r="C1031" i="2"/>
  <c r="D1031" i="2" s="1"/>
  <c r="E1031" i="2" s="1"/>
  <c r="F1031" i="2" s="1"/>
  <c r="D1030" i="2"/>
  <c r="E1030" i="2" s="1"/>
  <c r="F1030" i="2" s="1"/>
  <c r="C1030" i="2"/>
  <c r="C1029" i="2"/>
  <c r="D1029" i="2" s="1"/>
  <c r="E1029" i="2" s="1"/>
  <c r="F1029" i="2" s="1"/>
  <c r="C1028" i="2"/>
  <c r="D1028" i="2" s="1"/>
  <c r="E1028" i="2" s="1"/>
  <c r="F1028" i="2" s="1"/>
  <c r="C1027" i="2"/>
  <c r="C1026" i="2"/>
  <c r="D1026" i="2" s="1"/>
  <c r="E1026" i="2" s="1"/>
  <c r="F1026" i="2" s="1"/>
  <c r="C1025" i="2"/>
  <c r="C1023" i="2"/>
  <c r="C1022" i="2"/>
  <c r="C1020" i="2"/>
  <c r="E1019" i="2"/>
  <c r="C1019" i="2"/>
  <c r="F1018" i="2"/>
  <c r="C1017" i="2"/>
  <c r="D1017" i="2" s="1"/>
  <c r="E1017" i="2" s="1"/>
  <c r="F1017" i="2" s="1"/>
  <c r="E1016" i="2"/>
  <c r="C1016" i="2"/>
  <c r="F1015" i="2"/>
  <c r="D1015" i="2"/>
  <c r="C1014" i="2"/>
  <c r="D1014" i="2" s="1"/>
  <c r="E1014" i="2" s="1"/>
  <c r="F1014" i="2" s="1"/>
  <c r="E1013" i="2"/>
  <c r="F1012" i="2"/>
  <c r="C1012" i="2"/>
  <c r="D1012" i="2" s="1"/>
  <c r="C1011" i="2"/>
  <c r="D1011" i="2" s="1"/>
  <c r="E1011" i="2" s="1"/>
  <c r="F1010" i="2"/>
  <c r="C1010" i="2"/>
  <c r="D1010" i="2" s="1"/>
  <c r="E1009" i="2"/>
  <c r="F1009" i="2" s="1"/>
  <c r="C1009" i="2"/>
  <c r="D1008" i="2"/>
  <c r="E1008" i="2" s="1"/>
  <c r="C1008" i="2"/>
  <c r="F1007" i="2"/>
  <c r="D1007" i="2"/>
  <c r="E1006" i="2"/>
  <c r="F1006" i="2" s="1"/>
  <c r="C1006" i="2"/>
  <c r="C1005" i="2"/>
  <c r="D1005" i="2" s="1"/>
  <c r="E1005" i="2" s="1"/>
  <c r="F1004" i="2"/>
  <c r="D1004" i="2"/>
  <c r="C1003" i="2"/>
  <c r="D1003" i="2" s="1"/>
  <c r="E1003" i="2" s="1"/>
  <c r="F1002" i="2"/>
  <c r="C1002" i="2"/>
  <c r="D1002" i="2" s="1"/>
  <c r="E1001" i="2"/>
  <c r="F1001" i="2" s="1"/>
  <c r="C1001" i="2"/>
  <c r="C1000" i="2"/>
  <c r="D1000" i="2" s="1"/>
  <c r="E1000" i="2" s="1"/>
  <c r="F999" i="2"/>
  <c r="C999" i="2"/>
  <c r="D999" i="2" s="1"/>
  <c r="E998" i="2"/>
  <c r="C998" i="2"/>
  <c r="C997" i="2"/>
  <c r="D997" i="2" s="1"/>
  <c r="E997" i="2" s="1"/>
  <c r="F997" i="2" s="1"/>
  <c r="C996" i="2"/>
  <c r="D996" i="2" s="1"/>
  <c r="E996" i="2" s="1"/>
  <c r="F996" i="2" s="1"/>
  <c r="C995" i="2"/>
  <c r="D995" i="2" s="1"/>
  <c r="E995" i="2" s="1"/>
  <c r="F994" i="2"/>
  <c r="C994" i="2"/>
  <c r="D994" i="2" s="1"/>
  <c r="F993" i="2"/>
  <c r="E993" i="2"/>
  <c r="C992" i="2"/>
  <c r="D992" i="2" s="1"/>
  <c r="E992" i="2" s="1"/>
  <c r="E991" i="2"/>
  <c r="F991" i="2" s="1"/>
  <c r="C991" i="2"/>
  <c r="D990" i="2"/>
  <c r="C989" i="2"/>
  <c r="D989" i="2" s="1"/>
  <c r="E989" i="2" s="1"/>
  <c r="F989" i="2" s="1"/>
  <c r="C988" i="2"/>
  <c r="D988" i="2" s="1"/>
  <c r="E988" i="2" s="1"/>
  <c r="F988" i="2" s="1"/>
  <c r="C987" i="2"/>
  <c r="D987" i="2" s="1"/>
  <c r="D986" i="2"/>
  <c r="E986" i="2" s="1"/>
  <c r="F986" i="2" s="1"/>
  <c r="E985" i="2"/>
  <c r="C985" i="2"/>
  <c r="C984" i="2"/>
  <c r="D984" i="2" s="1"/>
  <c r="E984" i="2" s="1"/>
  <c r="F984" i="2" s="1"/>
  <c r="C983" i="2"/>
  <c r="D983" i="2" s="1"/>
  <c r="E982" i="2"/>
  <c r="F982" i="2" s="1"/>
  <c r="E981" i="2"/>
  <c r="C981" i="2"/>
  <c r="C980" i="2"/>
  <c r="D980" i="2" s="1"/>
  <c r="E980" i="2" s="1"/>
  <c r="F980" i="2" s="1"/>
  <c r="F979" i="2"/>
  <c r="D979" i="2"/>
  <c r="E978" i="2"/>
  <c r="C978" i="2"/>
  <c r="E977" i="2"/>
  <c r="F977" i="2" s="1"/>
  <c r="C977" i="2"/>
  <c r="F976" i="2"/>
  <c r="C976" i="2"/>
  <c r="D976" i="2" s="1"/>
  <c r="C975" i="2"/>
  <c r="D975" i="2" s="1"/>
  <c r="E975" i="2" s="1"/>
  <c r="F974" i="2"/>
  <c r="D974" i="2"/>
  <c r="C973" i="2"/>
  <c r="D973" i="2" s="1"/>
  <c r="E973" i="2" s="1"/>
  <c r="F973" i="2" s="1"/>
  <c r="E972" i="2"/>
  <c r="C972" i="2"/>
  <c r="C971" i="2"/>
  <c r="D971" i="2" s="1"/>
  <c r="E971" i="2" s="1"/>
  <c r="F971" i="2" s="1"/>
  <c r="F970" i="2"/>
  <c r="C970" i="2"/>
  <c r="D970" i="2" s="1"/>
  <c r="C969" i="2"/>
  <c r="D969" i="2" s="1"/>
  <c r="E969" i="2" s="1"/>
  <c r="C968" i="2"/>
  <c r="D968" i="2" s="1"/>
  <c r="E968" i="2" s="1"/>
  <c r="F968" i="2" s="1"/>
  <c r="C967" i="2"/>
  <c r="C966" i="2"/>
  <c r="D966" i="2" s="1"/>
  <c r="E966" i="2" s="1"/>
  <c r="F966" i="2" s="1"/>
  <c r="C965" i="2"/>
  <c r="D965" i="2" s="1"/>
  <c r="E965" i="2" s="1"/>
  <c r="F965" i="2" s="1"/>
  <c r="E963" i="2"/>
  <c r="F963" i="2" s="1"/>
  <c r="C963" i="2"/>
  <c r="C962" i="2"/>
  <c r="D962" i="2" s="1"/>
  <c r="E962" i="2" s="1"/>
  <c r="F962" i="2" s="1"/>
  <c r="C959" i="2"/>
  <c r="C956" i="2"/>
  <c r="C951" i="2"/>
  <c r="C946" i="2"/>
  <c r="C942" i="2"/>
  <c r="C939" i="2"/>
  <c r="C937" i="2"/>
  <c r="C935" i="2"/>
  <c r="C933" i="2"/>
  <c r="C931" i="2"/>
  <c r="C930" i="2"/>
  <c r="C928" i="2"/>
  <c r="C927" i="2"/>
  <c r="C925" i="2"/>
  <c r="C924" i="2"/>
  <c r="C923" i="2"/>
  <c r="C919" i="2"/>
  <c r="C916" i="2"/>
  <c r="C915" i="2"/>
  <c r="D914" i="2"/>
  <c r="C913" i="2"/>
  <c r="C912" i="2"/>
  <c r="D912" i="2" s="1"/>
  <c r="D911" i="2"/>
  <c r="C910" i="2"/>
  <c r="D910" i="2" s="1"/>
  <c r="C909" i="2"/>
  <c r="D909" i="2" s="1"/>
  <c r="D908" i="2"/>
  <c r="C906" i="2"/>
  <c r="D906" i="2" s="1"/>
  <c r="C905" i="2"/>
  <c r="D905" i="2" s="1"/>
  <c r="D904" i="2"/>
  <c r="C903" i="2"/>
  <c r="D903" i="2" s="1"/>
  <c r="D902" i="2"/>
  <c r="C900" i="2"/>
  <c r="C898" i="2"/>
  <c r="C897" i="2"/>
  <c r="C895" i="2"/>
  <c r="C893" i="2"/>
  <c r="C892" i="2"/>
  <c r="C890" i="2"/>
  <c r="C889" i="2"/>
  <c r="C887" i="2"/>
  <c r="C885" i="2"/>
  <c r="C883" i="2"/>
  <c r="C881" i="2"/>
  <c r="C879" i="2"/>
  <c r="C878" i="2"/>
  <c r="C876" i="2"/>
  <c r="C874" i="2"/>
  <c r="C872" i="2"/>
  <c r="C871" i="2"/>
  <c r="C869" i="2"/>
  <c r="C867" i="2"/>
  <c r="C866" i="2"/>
  <c r="C864" i="2"/>
  <c r="C862" i="2"/>
  <c r="C861" i="2"/>
  <c r="C859" i="2"/>
  <c r="C857" i="2"/>
  <c r="C856" i="2"/>
  <c r="C854" i="2"/>
  <c r="C853" i="2"/>
  <c r="C851" i="2"/>
  <c r="C850" i="2"/>
  <c r="C848" i="2"/>
  <c r="C846" i="2"/>
  <c r="C845" i="2"/>
  <c r="C843" i="2"/>
  <c r="D842" i="2"/>
  <c r="C842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E827" i="2"/>
  <c r="C827" i="2"/>
  <c r="C826" i="2"/>
  <c r="C825" i="2"/>
  <c r="E824" i="2"/>
  <c r="C824" i="2"/>
  <c r="C823" i="2"/>
  <c r="C822" i="2"/>
  <c r="C821" i="2"/>
  <c r="E820" i="2"/>
  <c r="C820" i="2"/>
  <c r="C819" i="2"/>
  <c r="C818" i="2"/>
  <c r="C817" i="2"/>
  <c r="C816" i="2"/>
  <c r="E815" i="2"/>
  <c r="C815" i="2"/>
  <c r="C814" i="2"/>
  <c r="E813" i="2"/>
  <c r="C813" i="2"/>
  <c r="E812" i="2"/>
  <c r="C812" i="2"/>
  <c r="C811" i="2"/>
  <c r="E810" i="2"/>
  <c r="C810" i="2"/>
  <c r="C809" i="2"/>
  <c r="C808" i="2"/>
  <c r="C807" i="2"/>
  <c r="C806" i="2"/>
  <c r="C805" i="2"/>
  <c r="C804" i="2"/>
  <c r="E803" i="2"/>
  <c r="C803" i="2"/>
  <c r="C802" i="2"/>
  <c r="C801" i="2"/>
  <c r="E800" i="2"/>
  <c r="C800" i="2"/>
  <c r="E799" i="2"/>
  <c r="C799" i="2"/>
  <c r="E798" i="2"/>
  <c r="C798" i="2"/>
  <c r="E797" i="2"/>
  <c r="C797" i="2"/>
  <c r="E796" i="2"/>
  <c r="C796" i="2"/>
  <c r="E795" i="2"/>
  <c r="C795" i="2"/>
  <c r="E794" i="2"/>
  <c r="C794" i="2"/>
  <c r="E793" i="2"/>
  <c r="C793" i="2"/>
  <c r="E792" i="2"/>
  <c r="C792" i="2"/>
  <c r="E791" i="2"/>
  <c r="C791" i="2"/>
  <c r="E790" i="2"/>
  <c r="C790" i="2"/>
  <c r="E789" i="2"/>
  <c r="C789" i="2"/>
  <c r="E788" i="2"/>
  <c r="C788" i="2"/>
  <c r="E787" i="2"/>
  <c r="C787" i="2"/>
  <c r="E786" i="2"/>
  <c r="C786" i="2"/>
  <c r="E785" i="2"/>
  <c r="C785" i="2"/>
  <c r="E784" i="2"/>
  <c r="C784" i="2"/>
  <c r="E783" i="2"/>
  <c r="C783" i="2"/>
  <c r="E782" i="2"/>
  <c r="C782" i="2"/>
  <c r="F711" i="2"/>
  <c r="F709" i="2"/>
  <c r="F707" i="2"/>
  <c r="F706" i="2"/>
  <c r="F703" i="2"/>
  <c r="F701" i="2"/>
  <c r="F700" i="2"/>
  <c r="F699" i="2"/>
  <c r="F698" i="2"/>
  <c r="F695" i="2"/>
  <c r="F690" i="2"/>
  <c r="F689" i="2"/>
  <c r="F685" i="2"/>
  <c r="F683" i="2"/>
  <c r="F674" i="2"/>
  <c r="F668" i="2"/>
  <c r="F662" i="2"/>
  <c r="C600" i="2"/>
  <c r="C599" i="2"/>
  <c r="C596" i="2"/>
  <c r="E594" i="2"/>
  <c r="F594" i="2" s="1"/>
  <c r="C594" i="2"/>
  <c r="F593" i="2"/>
  <c r="E592" i="2"/>
  <c r="F592" i="2" s="1"/>
  <c r="C592" i="2"/>
  <c r="C591" i="2"/>
  <c r="E589" i="2"/>
  <c r="C589" i="2"/>
  <c r="E588" i="2"/>
  <c r="C588" i="2"/>
  <c r="E587" i="2"/>
  <c r="E586" i="2"/>
  <c r="F586" i="2" s="1"/>
  <c r="C585" i="2"/>
  <c r="F584" i="2"/>
  <c r="C584" i="2"/>
  <c r="E581" i="2"/>
  <c r="E580" i="2"/>
  <c r="F580" i="2" s="1"/>
  <c r="F579" i="2"/>
  <c r="E578" i="2"/>
  <c r="F578" i="2" s="1"/>
  <c r="E576" i="2"/>
  <c r="C576" i="2"/>
  <c r="E575" i="2"/>
  <c r="E574" i="2"/>
  <c r="F574" i="2" s="1"/>
  <c r="F573" i="2"/>
  <c r="F572" i="2"/>
  <c r="E571" i="2"/>
  <c r="F571" i="2" s="1"/>
  <c r="E570" i="2"/>
  <c r="F569" i="2"/>
  <c r="C569" i="2"/>
  <c r="E568" i="2"/>
  <c r="E565" i="2"/>
  <c r="F565" i="2" s="1"/>
  <c r="E564" i="2"/>
  <c r="F564" i="2" s="1"/>
  <c r="E562" i="2"/>
  <c r="F562" i="2" s="1"/>
  <c r="E560" i="2"/>
  <c r="F560" i="2" s="1"/>
  <c r="F558" i="2"/>
  <c r="E557" i="2"/>
  <c r="E556" i="2"/>
  <c r="E555" i="2"/>
  <c r="F554" i="2"/>
  <c r="E553" i="2"/>
  <c r="F553" i="2" s="1"/>
  <c r="D552" i="2"/>
  <c r="E551" i="2"/>
  <c r="E550" i="2"/>
  <c r="C550" i="2"/>
  <c r="D549" i="2"/>
  <c r="E549" i="2" s="1"/>
  <c r="D548" i="2"/>
  <c r="E547" i="2"/>
  <c r="E546" i="2"/>
  <c r="E545" i="2"/>
  <c r="C545" i="2"/>
  <c r="F543" i="2"/>
  <c r="E542" i="2"/>
  <c r="C542" i="2"/>
  <c r="F540" i="2"/>
  <c r="B540" i="2"/>
  <c r="C539" i="2"/>
  <c r="D539" i="2" s="1"/>
  <c r="E539" i="2" s="1"/>
  <c r="F539" i="2" s="1"/>
  <c r="E538" i="2"/>
  <c r="F538" i="2" s="1"/>
  <c r="B538" i="2"/>
  <c r="C538" i="2" s="1"/>
  <c r="F537" i="2"/>
  <c r="F536" i="2"/>
  <c r="B536" i="2"/>
  <c r="C536" i="2" s="1"/>
  <c r="D536" i="2" s="1"/>
  <c r="F535" i="2"/>
  <c r="B535" i="2"/>
  <c r="F534" i="2"/>
  <c r="B534" i="2"/>
  <c r="C534" i="2" s="1"/>
  <c r="D534" i="2" s="1"/>
  <c r="F533" i="2"/>
  <c r="B533" i="2"/>
  <c r="C533" i="2" s="1"/>
  <c r="B532" i="2"/>
  <c r="C532" i="2" s="1"/>
  <c r="D532" i="2" s="1"/>
  <c r="E532" i="2" s="1"/>
  <c r="F532" i="2" s="1"/>
  <c r="F531" i="2"/>
  <c r="F530" i="2"/>
  <c r="B530" i="2"/>
  <c r="C530" i="2" s="1"/>
  <c r="E529" i="2"/>
  <c r="F529" i="2" s="1"/>
  <c r="B529" i="2"/>
  <c r="F528" i="2"/>
  <c r="B528" i="2"/>
  <c r="C528" i="2" s="1"/>
  <c r="F527" i="2"/>
  <c r="B527" i="2"/>
  <c r="C527" i="2" s="1"/>
  <c r="F526" i="2"/>
  <c r="B526" i="2"/>
  <c r="C526" i="2" s="1"/>
  <c r="D526" i="2" s="1"/>
  <c r="F525" i="2"/>
  <c r="B525" i="2"/>
  <c r="C525" i="2" s="1"/>
  <c r="F524" i="2"/>
  <c r="B524" i="2"/>
  <c r="C524" i="2" s="1"/>
  <c r="D524" i="2" s="1"/>
  <c r="F523" i="2"/>
  <c r="D523" i="2"/>
  <c r="B523" i="2"/>
  <c r="F522" i="2"/>
  <c r="B522" i="2"/>
  <c r="C522" i="2" s="1"/>
  <c r="F521" i="2"/>
  <c r="F520" i="2"/>
  <c r="B520" i="2"/>
  <c r="C520" i="2" s="1"/>
  <c r="D520" i="2" s="1"/>
  <c r="F519" i="2"/>
  <c r="C518" i="2"/>
  <c r="F517" i="2"/>
  <c r="B517" i="2"/>
  <c r="C517" i="2" s="1"/>
  <c r="B516" i="2"/>
  <c r="C516" i="2" s="1"/>
  <c r="B515" i="2"/>
  <c r="F514" i="2"/>
  <c r="C514" i="2"/>
  <c r="D514" i="2" s="1"/>
  <c r="B514" i="2"/>
  <c r="B513" i="2"/>
  <c r="C513" i="2" s="1"/>
  <c r="B512" i="2"/>
  <c r="C512" i="2" s="1"/>
  <c r="E511" i="2"/>
  <c r="C511" i="2"/>
  <c r="E510" i="2"/>
  <c r="C509" i="2"/>
  <c r="E508" i="2"/>
  <c r="F507" i="2"/>
  <c r="B507" i="2"/>
  <c r="C507" i="2" s="1"/>
  <c r="E506" i="2"/>
  <c r="F506" i="2" s="1"/>
  <c r="B506" i="2"/>
  <c r="B505" i="2"/>
  <c r="C505" i="2" s="1"/>
  <c r="D505" i="2" s="1"/>
  <c r="E505" i="2" s="1"/>
  <c r="F505" i="2" s="1"/>
  <c r="F504" i="2"/>
  <c r="B504" i="2"/>
  <c r="C504" i="2" s="1"/>
  <c r="E503" i="2"/>
  <c r="F503" i="2" s="1"/>
  <c r="B503" i="2"/>
  <c r="B502" i="2"/>
  <c r="C502" i="2" s="1"/>
  <c r="B501" i="2"/>
  <c r="C501" i="2" s="1"/>
  <c r="D501" i="2" s="1"/>
  <c r="B500" i="2"/>
  <c r="C500" i="2" s="1"/>
  <c r="B499" i="2"/>
  <c r="C498" i="2"/>
  <c r="D497" i="2"/>
  <c r="E496" i="2"/>
  <c r="B496" i="2"/>
  <c r="C496" i="2" s="1"/>
  <c r="C495" i="2"/>
  <c r="C494" i="2"/>
  <c r="C492" i="2"/>
  <c r="C491" i="2"/>
  <c r="D491" i="2" s="1"/>
  <c r="C490" i="2"/>
  <c r="D490" i="2" s="1"/>
  <c r="C489" i="2"/>
  <c r="E487" i="2"/>
  <c r="C487" i="2"/>
  <c r="C485" i="2"/>
  <c r="D484" i="2"/>
  <c r="B484" i="2"/>
  <c r="F482" i="2"/>
  <c r="D482" i="2"/>
  <c r="E480" i="2"/>
  <c r="F480" i="2" s="1"/>
  <c r="D480" i="2"/>
  <c r="D479" i="2"/>
  <c r="E478" i="2"/>
  <c r="F478" i="2" s="1"/>
  <c r="D478" i="2"/>
  <c r="E476" i="2"/>
  <c r="F476" i="2" s="1"/>
  <c r="D476" i="2"/>
  <c r="E475" i="2"/>
  <c r="F475" i="2" s="1"/>
  <c r="D475" i="2"/>
  <c r="E474" i="2"/>
  <c r="F474" i="2" s="1"/>
  <c r="D474" i="2"/>
  <c r="E473" i="2"/>
  <c r="F473" i="2" s="1"/>
  <c r="D473" i="2"/>
  <c r="E472" i="2"/>
  <c r="F472" i="2" s="1"/>
  <c r="F471" i="2"/>
  <c r="D471" i="2"/>
  <c r="E470" i="2"/>
  <c r="F470" i="2" s="1"/>
  <c r="E469" i="2"/>
  <c r="D469" i="2"/>
  <c r="E468" i="2"/>
  <c r="F468" i="2" s="1"/>
  <c r="D468" i="2"/>
  <c r="F467" i="2"/>
  <c r="E466" i="2"/>
  <c r="F466" i="2" s="1"/>
  <c r="D466" i="2"/>
  <c r="E465" i="2"/>
  <c r="D465" i="2"/>
  <c r="E464" i="2"/>
  <c r="F464" i="2" s="1"/>
  <c r="D464" i="2"/>
  <c r="D463" i="2"/>
  <c r="F462" i="2"/>
  <c r="E462" i="2"/>
  <c r="E461" i="2"/>
  <c r="F461" i="2" s="1"/>
  <c r="D460" i="2"/>
  <c r="E459" i="2"/>
  <c r="F459" i="2" s="1"/>
  <c r="D459" i="2"/>
  <c r="E458" i="2"/>
  <c r="F458" i="2" s="1"/>
  <c r="D458" i="2"/>
  <c r="E457" i="2"/>
  <c r="F457" i="2" s="1"/>
  <c r="D457" i="2"/>
  <c r="E456" i="2"/>
  <c r="F456" i="2" s="1"/>
  <c r="D456" i="2"/>
  <c r="E455" i="2"/>
  <c r="F455" i="2" s="1"/>
  <c r="D455" i="2"/>
  <c r="E454" i="2"/>
  <c r="F454" i="2" s="1"/>
  <c r="D454" i="2"/>
  <c r="E453" i="2"/>
  <c r="F453" i="2" s="1"/>
  <c r="D453" i="2"/>
  <c r="E452" i="2"/>
  <c r="F452" i="2" s="1"/>
  <c r="D452" i="2"/>
  <c r="E451" i="2"/>
  <c r="F451" i="2" s="1"/>
  <c r="D451" i="2"/>
  <c r="E450" i="2"/>
  <c r="F450" i="2" s="1"/>
  <c r="D450" i="2"/>
  <c r="E449" i="2"/>
  <c r="F449" i="2" s="1"/>
  <c r="D449" i="2"/>
  <c r="F448" i="2"/>
  <c r="E448" i="2"/>
  <c r="D448" i="2"/>
  <c r="E447" i="2"/>
  <c r="F447" i="2" s="1"/>
  <c r="D447" i="2"/>
  <c r="E446" i="2"/>
  <c r="F446" i="2" s="1"/>
  <c r="D446" i="2"/>
  <c r="E445" i="2"/>
  <c r="F445" i="2" s="1"/>
  <c r="D445" i="2"/>
  <c r="E444" i="2"/>
  <c r="F444" i="2" s="1"/>
  <c r="D444" i="2"/>
  <c r="E443" i="2"/>
  <c r="F443" i="2" s="1"/>
  <c r="D443" i="2"/>
  <c r="E442" i="2"/>
  <c r="F442" i="2" s="1"/>
  <c r="D442" i="2"/>
  <c r="E441" i="2"/>
  <c r="F441" i="2" s="1"/>
  <c r="D441" i="2"/>
  <c r="E440" i="2"/>
  <c r="F440" i="2" s="1"/>
  <c r="D440" i="2"/>
  <c r="E439" i="2"/>
  <c r="F439" i="2" s="1"/>
  <c r="D439" i="2"/>
  <c r="E438" i="2"/>
  <c r="F438" i="2" s="1"/>
  <c r="D438" i="2"/>
  <c r="E437" i="2"/>
  <c r="F437" i="2" s="1"/>
  <c r="D437" i="2"/>
  <c r="F416" i="2"/>
  <c r="F414" i="2"/>
  <c r="F412" i="2"/>
  <c r="F410" i="2"/>
  <c r="F409" i="2"/>
  <c r="F408" i="2"/>
  <c r="F407" i="2"/>
  <c r="F405" i="2"/>
  <c r="F404" i="2"/>
  <c r="F402" i="2"/>
  <c r="F400" i="2"/>
  <c r="F399" i="2"/>
  <c r="F396" i="2"/>
  <c r="F395" i="2"/>
  <c r="F394" i="2"/>
  <c r="F392" i="2"/>
  <c r="F391" i="2"/>
  <c r="F390" i="2"/>
  <c r="F389" i="2"/>
  <c r="F387" i="2"/>
  <c r="F385" i="2"/>
  <c r="F384" i="2"/>
  <c r="F382" i="2"/>
  <c r="F381" i="2"/>
  <c r="F380" i="2"/>
  <c r="F378" i="2"/>
  <c r="F377" i="2"/>
  <c r="F375" i="2"/>
  <c r="F374" i="2"/>
  <c r="F373" i="2"/>
  <c r="F372" i="2"/>
  <c r="F370" i="2"/>
  <c r="F368" i="2"/>
  <c r="F367" i="2"/>
  <c r="F362" i="2"/>
  <c r="N1" i="1" l="1"/>
  <c r="M1" i="1"/>
  <c r="N2" i="1"/>
  <c r="M2" i="1"/>
  <c r="K3985" i="1" l="1"/>
  <c r="K3980" i="1"/>
  <c r="K3979" i="1"/>
  <c r="K3978" i="1"/>
  <c r="K3976" i="1"/>
  <c r="K3975" i="1"/>
  <c r="K3972" i="1"/>
  <c r="K3969" i="1"/>
  <c r="K3968" i="1"/>
  <c r="K3967" i="1"/>
  <c r="K3964" i="1"/>
  <c r="K3963" i="1"/>
  <c r="J3985" i="1"/>
  <c r="J3982" i="1"/>
  <c r="J3978" i="1"/>
  <c r="J3977" i="1"/>
  <c r="J3976" i="1"/>
  <c r="J3975" i="1"/>
  <c r="J3971" i="1"/>
  <c r="J3968" i="1"/>
  <c r="J3965" i="1"/>
  <c r="J3963" i="1"/>
  <c r="I3988" i="1"/>
  <c r="I3986" i="1"/>
  <c r="I3985" i="1"/>
  <c r="I3984" i="1"/>
  <c r="I3976" i="1"/>
  <c r="I3975" i="1"/>
  <c r="I3968" i="1"/>
  <c r="I3967" i="1"/>
  <c r="I3964" i="1"/>
  <c r="I3963" i="1"/>
  <c r="H3985" i="1"/>
  <c r="H3982" i="1"/>
  <c r="H3981" i="1"/>
  <c r="H3980" i="1"/>
  <c r="H3979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01" i="1"/>
  <c r="H3897" i="1"/>
  <c r="H3894" i="1"/>
  <c r="H3888" i="1"/>
  <c r="H3885" i="1"/>
  <c r="H3880" i="1"/>
  <c r="H3875" i="1"/>
  <c r="H3871" i="1"/>
  <c r="H3868" i="1"/>
  <c r="H3866" i="1"/>
  <c r="H3864" i="1"/>
  <c r="H3862" i="1"/>
  <c r="H3861" i="1"/>
  <c r="H3856" i="1"/>
  <c r="H3852" i="1"/>
  <c r="H3849" i="1"/>
  <c r="H3847" i="1"/>
  <c r="H3845" i="1"/>
  <c r="H3843" i="1"/>
  <c r="I3783" i="1"/>
  <c r="H3841" i="1"/>
  <c r="H3839" i="1"/>
  <c r="H3838" i="1"/>
  <c r="H3836" i="1"/>
  <c r="H3834" i="1"/>
  <c r="H3833" i="1"/>
  <c r="H3831" i="1"/>
  <c r="H3830" i="1"/>
  <c r="H3828" i="1"/>
  <c r="H3826" i="1"/>
  <c r="H3824" i="1"/>
  <c r="H3822" i="1"/>
  <c r="H3820" i="1"/>
  <c r="H3819" i="1"/>
  <c r="H3817" i="1"/>
  <c r="H3815" i="1"/>
  <c r="H3813" i="1"/>
  <c r="H3812" i="1"/>
  <c r="H3810" i="1"/>
  <c r="H3808" i="1"/>
  <c r="H3807" i="1"/>
  <c r="H3805" i="1"/>
  <c r="H3803" i="1"/>
  <c r="H3802" i="1"/>
  <c r="H3800" i="1"/>
  <c r="H3798" i="1"/>
  <c r="H3797" i="1"/>
  <c r="H3795" i="1"/>
  <c r="H3794" i="1"/>
  <c r="H3792" i="1"/>
  <c r="H3791" i="1"/>
  <c r="H3789" i="1"/>
  <c r="H3787" i="1"/>
  <c r="H3786" i="1"/>
  <c r="H3784" i="1"/>
  <c r="H3783" i="1"/>
  <c r="J3768" i="1"/>
  <c r="J3765" i="1"/>
  <c r="J3761" i="1"/>
  <c r="J3756" i="1"/>
  <c r="J3754" i="1"/>
  <c r="J3753" i="1"/>
  <c r="J3751" i="1"/>
  <c r="J3744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K712" i="1"/>
  <c r="K710" i="1"/>
  <c r="K708" i="1"/>
  <c r="K707" i="1"/>
  <c r="K704" i="1"/>
  <c r="K702" i="1"/>
  <c r="K701" i="1"/>
  <c r="K700" i="1"/>
  <c r="K699" i="1"/>
  <c r="K696" i="1"/>
  <c r="K691" i="1"/>
  <c r="K690" i="1"/>
  <c r="K686" i="1"/>
  <c r="K684" i="1"/>
  <c r="K675" i="1"/>
  <c r="K669" i="1"/>
  <c r="K663" i="1"/>
  <c r="E24" i="1"/>
  <c r="E23" i="1"/>
  <c r="E16" i="1"/>
  <c r="E15" i="1"/>
  <c r="E19" i="1"/>
  <c r="E18" i="1"/>
  <c r="E13" i="1"/>
  <c r="E12" i="1"/>
  <c r="E11" i="1"/>
  <c r="E7" i="1"/>
  <c r="E6" i="1"/>
  <c r="E5" i="1"/>
  <c r="E4" i="1"/>
  <c r="E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4" i="1"/>
  <c r="J811" i="1"/>
  <c r="J813" i="1"/>
  <c r="J814" i="1"/>
  <c r="J816" i="1"/>
  <c r="J821" i="1"/>
  <c r="J825" i="1"/>
  <c r="J828" i="1"/>
  <c r="J783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4" i="1"/>
  <c r="H846" i="1"/>
  <c r="H847" i="1"/>
  <c r="H849" i="1"/>
  <c r="H851" i="1"/>
  <c r="H852" i="1"/>
  <c r="H854" i="1"/>
  <c r="H855" i="1"/>
  <c r="H857" i="1"/>
  <c r="H858" i="1"/>
  <c r="H860" i="1"/>
  <c r="H862" i="1"/>
  <c r="H863" i="1"/>
  <c r="H865" i="1"/>
  <c r="H867" i="1"/>
  <c r="H868" i="1"/>
  <c r="H870" i="1"/>
  <c r="H872" i="1"/>
  <c r="H873" i="1"/>
  <c r="H875" i="1"/>
  <c r="H877" i="1"/>
  <c r="H879" i="1"/>
  <c r="H880" i="1"/>
  <c r="H882" i="1"/>
  <c r="H884" i="1"/>
  <c r="H886" i="1"/>
  <c r="H888" i="1"/>
  <c r="H890" i="1"/>
  <c r="H891" i="1"/>
  <c r="H893" i="1"/>
  <c r="H894" i="1"/>
  <c r="H896" i="1"/>
  <c r="H898" i="1"/>
  <c r="H899" i="1"/>
  <c r="H901" i="1"/>
  <c r="H843" i="1"/>
  <c r="I905" i="1"/>
  <c r="I909" i="1"/>
  <c r="I912" i="1"/>
  <c r="I915" i="1"/>
  <c r="I903" i="1"/>
  <c r="I843" i="1" s="1"/>
  <c r="H904" i="1"/>
  <c r="I904" i="1" s="1"/>
  <c r="H906" i="1"/>
  <c r="I906" i="1" s="1"/>
  <c r="H907" i="1"/>
  <c r="I907" i="1" s="1"/>
  <c r="H910" i="1"/>
  <c r="I910" i="1" s="1"/>
  <c r="H911" i="1"/>
  <c r="I911" i="1" s="1"/>
  <c r="H913" i="1"/>
  <c r="I913" i="1" s="1"/>
  <c r="H914" i="1"/>
  <c r="H916" i="1"/>
  <c r="H917" i="1"/>
  <c r="H920" i="1"/>
  <c r="H924" i="1"/>
  <c r="H925" i="1"/>
  <c r="H926" i="1"/>
  <c r="H928" i="1"/>
  <c r="H929" i="1"/>
  <c r="H931" i="1"/>
  <c r="H932" i="1"/>
  <c r="H934" i="1"/>
  <c r="H936" i="1"/>
  <c r="H938" i="1"/>
  <c r="H940" i="1"/>
  <c r="H943" i="1"/>
  <c r="H947" i="1"/>
  <c r="H952" i="1"/>
  <c r="H957" i="1"/>
  <c r="H960" i="1"/>
  <c r="K971" i="1"/>
  <c r="K975" i="1"/>
  <c r="K977" i="1"/>
  <c r="K980" i="1"/>
  <c r="K995" i="1"/>
  <c r="K1000" i="1"/>
  <c r="K1003" i="1"/>
  <c r="K1005" i="1"/>
  <c r="K1008" i="1"/>
  <c r="K1011" i="1"/>
  <c r="K1013" i="1"/>
  <c r="K1016" i="1"/>
  <c r="K1019" i="1"/>
  <c r="J964" i="1"/>
  <c r="K964" i="1" s="1"/>
  <c r="J973" i="1"/>
  <c r="J978" i="1"/>
  <c r="K978" i="1" s="1"/>
  <c r="J979" i="1"/>
  <c r="J982" i="1"/>
  <c r="J983" i="1"/>
  <c r="K983" i="1" s="1"/>
  <c r="J986" i="1"/>
  <c r="J992" i="1"/>
  <c r="K992" i="1" s="1"/>
  <c r="J994" i="1"/>
  <c r="K994" i="1" s="1"/>
  <c r="J999" i="1"/>
  <c r="J1002" i="1"/>
  <c r="K1002" i="1" s="1"/>
  <c r="J1007" i="1"/>
  <c r="K1007" i="1" s="1"/>
  <c r="J1010" i="1"/>
  <c r="K1010" i="1" s="1"/>
  <c r="J1014" i="1"/>
  <c r="J1017" i="1"/>
  <c r="J1020" i="1"/>
  <c r="I975" i="1"/>
  <c r="I980" i="1"/>
  <c r="I987" i="1"/>
  <c r="J987" i="1" s="1"/>
  <c r="K987" i="1" s="1"/>
  <c r="I991" i="1"/>
  <c r="I1005" i="1"/>
  <c r="I1008" i="1"/>
  <c r="I1016" i="1"/>
  <c r="H964" i="1"/>
  <c r="H966" i="1"/>
  <c r="I966" i="1" s="1"/>
  <c r="J966" i="1" s="1"/>
  <c r="K966" i="1" s="1"/>
  <c r="H967" i="1"/>
  <c r="I967" i="1" s="1"/>
  <c r="J967" i="1" s="1"/>
  <c r="K967" i="1" s="1"/>
  <c r="H968" i="1"/>
  <c r="H969" i="1"/>
  <c r="I969" i="1" s="1"/>
  <c r="J969" i="1" s="1"/>
  <c r="K969" i="1" s="1"/>
  <c r="H970" i="1"/>
  <c r="I970" i="1" s="1"/>
  <c r="J970" i="1" s="1"/>
  <c r="H971" i="1"/>
  <c r="I971" i="1" s="1"/>
  <c r="H972" i="1"/>
  <c r="I972" i="1" s="1"/>
  <c r="J972" i="1" s="1"/>
  <c r="K972" i="1" s="1"/>
  <c r="H973" i="1"/>
  <c r="H974" i="1"/>
  <c r="I974" i="1" s="1"/>
  <c r="J974" i="1" s="1"/>
  <c r="K974" i="1" s="1"/>
  <c r="H976" i="1"/>
  <c r="I976" i="1" s="1"/>
  <c r="J976" i="1" s="1"/>
  <c r="H977" i="1"/>
  <c r="I977" i="1" s="1"/>
  <c r="H978" i="1"/>
  <c r="H979" i="1"/>
  <c r="H981" i="1"/>
  <c r="I981" i="1" s="1"/>
  <c r="J981" i="1" s="1"/>
  <c r="K981" i="1" s="1"/>
  <c r="H982" i="1"/>
  <c r="H984" i="1"/>
  <c r="I984" i="1" s="1"/>
  <c r="H985" i="1"/>
  <c r="I985" i="1" s="1"/>
  <c r="J985" i="1" s="1"/>
  <c r="K985" i="1" s="1"/>
  <c r="H986" i="1"/>
  <c r="H988" i="1"/>
  <c r="I988" i="1" s="1"/>
  <c r="H989" i="1"/>
  <c r="I989" i="1" s="1"/>
  <c r="J989" i="1" s="1"/>
  <c r="K989" i="1" s="1"/>
  <c r="H990" i="1"/>
  <c r="I990" i="1" s="1"/>
  <c r="J990" i="1" s="1"/>
  <c r="K990" i="1" s="1"/>
  <c r="H992" i="1"/>
  <c r="H993" i="1"/>
  <c r="I993" i="1" s="1"/>
  <c r="J993" i="1" s="1"/>
  <c r="H995" i="1"/>
  <c r="I995" i="1" s="1"/>
  <c r="H996" i="1"/>
  <c r="I996" i="1" s="1"/>
  <c r="J996" i="1" s="1"/>
  <c r="H997" i="1"/>
  <c r="I997" i="1" s="1"/>
  <c r="J997" i="1" s="1"/>
  <c r="K997" i="1" s="1"/>
  <c r="H998" i="1"/>
  <c r="I998" i="1" s="1"/>
  <c r="J998" i="1" s="1"/>
  <c r="K998" i="1" s="1"/>
  <c r="H999" i="1"/>
  <c r="H1000" i="1"/>
  <c r="I1000" i="1" s="1"/>
  <c r="H1001" i="1"/>
  <c r="I1001" i="1" s="1"/>
  <c r="J1001" i="1" s="1"/>
  <c r="H1002" i="1"/>
  <c r="H1003" i="1"/>
  <c r="I1003" i="1" s="1"/>
  <c r="H1004" i="1"/>
  <c r="I1004" i="1" s="1"/>
  <c r="J1004" i="1" s="1"/>
  <c r="H1006" i="1"/>
  <c r="I1006" i="1" s="1"/>
  <c r="J1006" i="1" s="1"/>
  <c r="H1007" i="1"/>
  <c r="H1009" i="1"/>
  <c r="I1009" i="1" s="1"/>
  <c r="J1009" i="1" s="1"/>
  <c r="H1010" i="1"/>
  <c r="H1011" i="1"/>
  <c r="I1011" i="1" s="1"/>
  <c r="H1012" i="1"/>
  <c r="I1012" i="1" s="1"/>
  <c r="J1012" i="1" s="1"/>
  <c r="H1013" i="1"/>
  <c r="I1013" i="1" s="1"/>
  <c r="H1015" i="1"/>
  <c r="I1015" i="1" s="1"/>
  <c r="J1015" i="1" s="1"/>
  <c r="K1015" i="1" s="1"/>
  <c r="H1017" i="1"/>
  <c r="H1018" i="1"/>
  <c r="I1018" i="1" s="1"/>
  <c r="J1018" i="1" s="1"/>
  <c r="K1018" i="1" s="1"/>
  <c r="H1020" i="1"/>
  <c r="H1021" i="1"/>
  <c r="H963" i="1"/>
  <c r="I963" i="1" s="1"/>
  <c r="J963" i="1" s="1"/>
  <c r="K963" i="1" s="1"/>
  <c r="K1070" i="1"/>
  <c r="J1069" i="1"/>
  <c r="J1072" i="1"/>
  <c r="I1067" i="1"/>
  <c r="H1024" i="1"/>
  <c r="H1026" i="1"/>
  <c r="H1027" i="1"/>
  <c r="I1027" i="1" s="1"/>
  <c r="J1027" i="1" s="1"/>
  <c r="K1027" i="1" s="1"/>
  <c r="H1028" i="1"/>
  <c r="H1029" i="1"/>
  <c r="I1029" i="1" s="1"/>
  <c r="J1029" i="1" s="1"/>
  <c r="K1029" i="1" s="1"/>
  <c r="H1030" i="1"/>
  <c r="I1030" i="1" s="1"/>
  <c r="J1030" i="1" s="1"/>
  <c r="K1030" i="1" s="1"/>
  <c r="H1031" i="1"/>
  <c r="I1031" i="1" s="1"/>
  <c r="J1031" i="1" s="1"/>
  <c r="K1031" i="1" s="1"/>
  <c r="H1032" i="1"/>
  <c r="I1032" i="1" s="1"/>
  <c r="J1032" i="1" s="1"/>
  <c r="K1032" i="1" s="1"/>
  <c r="H1033" i="1"/>
  <c r="I1033" i="1" s="1"/>
  <c r="J1033" i="1" s="1"/>
  <c r="K1033" i="1" s="1"/>
  <c r="H1034" i="1"/>
  <c r="I1034" i="1" s="1"/>
  <c r="J1034" i="1" s="1"/>
  <c r="K1034" i="1" s="1"/>
  <c r="H1035" i="1"/>
  <c r="I1035" i="1" s="1"/>
  <c r="J1035" i="1" s="1"/>
  <c r="K1035" i="1" s="1"/>
  <c r="H1036" i="1"/>
  <c r="I1036" i="1" s="1"/>
  <c r="J1036" i="1" s="1"/>
  <c r="K1036" i="1" s="1"/>
  <c r="H1037" i="1"/>
  <c r="I1037" i="1" s="1"/>
  <c r="J1037" i="1" s="1"/>
  <c r="K1037" i="1" s="1"/>
  <c r="H1038" i="1"/>
  <c r="I1038" i="1" s="1"/>
  <c r="J1038" i="1" s="1"/>
  <c r="K1038" i="1" s="1"/>
  <c r="H1039" i="1"/>
  <c r="I1039" i="1" s="1"/>
  <c r="J1039" i="1" s="1"/>
  <c r="K1039" i="1" s="1"/>
  <c r="H1040" i="1"/>
  <c r="I1040" i="1" s="1"/>
  <c r="J1040" i="1" s="1"/>
  <c r="K1040" i="1" s="1"/>
  <c r="H1041" i="1"/>
  <c r="I1041" i="1" s="1"/>
  <c r="J1041" i="1" s="1"/>
  <c r="K1041" i="1" s="1"/>
  <c r="H1042" i="1"/>
  <c r="I1042" i="1" s="1"/>
  <c r="J1042" i="1" s="1"/>
  <c r="K1042" i="1" s="1"/>
  <c r="H1043" i="1"/>
  <c r="I1043" i="1" s="1"/>
  <c r="J1043" i="1" s="1"/>
  <c r="K1043" i="1" s="1"/>
  <c r="H1044" i="1"/>
  <c r="I1044" i="1" s="1"/>
  <c r="J1044" i="1" s="1"/>
  <c r="K1044" i="1" s="1"/>
  <c r="H1045" i="1"/>
  <c r="I1045" i="1" s="1"/>
  <c r="J1045" i="1" s="1"/>
  <c r="K1045" i="1" s="1"/>
  <c r="H1046" i="1"/>
  <c r="I1046" i="1" s="1"/>
  <c r="J1046" i="1" s="1"/>
  <c r="K1046" i="1" s="1"/>
  <c r="H1047" i="1"/>
  <c r="I1047" i="1" s="1"/>
  <c r="J1047" i="1" s="1"/>
  <c r="K1047" i="1" s="1"/>
  <c r="H1048" i="1"/>
  <c r="I1048" i="1" s="1"/>
  <c r="J1048" i="1" s="1"/>
  <c r="K1048" i="1" s="1"/>
  <c r="H1049" i="1"/>
  <c r="I1049" i="1" s="1"/>
  <c r="J1049" i="1" s="1"/>
  <c r="K1049" i="1" s="1"/>
  <c r="H1050" i="1"/>
  <c r="I1050" i="1" s="1"/>
  <c r="J1050" i="1" s="1"/>
  <c r="K1050" i="1" s="1"/>
  <c r="H1051" i="1"/>
  <c r="I1051" i="1" s="1"/>
  <c r="J1051" i="1" s="1"/>
  <c r="K1051" i="1" s="1"/>
  <c r="H1052" i="1"/>
  <c r="I1052" i="1" s="1"/>
  <c r="J1052" i="1" s="1"/>
  <c r="K1052" i="1" s="1"/>
  <c r="H1053" i="1"/>
  <c r="I1053" i="1" s="1"/>
  <c r="J1053" i="1" s="1"/>
  <c r="K1053" i="1" s="1"/>
  <c r="H1054" i="1"/>
  <c r="I1054" i="1" s="1"/>
  <c r="J1054" i="1" s="1"/>
  <c r="K1054" i="1" s="1"/>
  <c r="H1055" i="1"/>
  <c r="I1055" i="1" s="1"/>
  <c r="J1055" i="1" s="1"/>
  <c r="K1055" i="1" s="1"/>
  <c r="H1056" i="1"/>
  <c r="I1056" i="1" s="1"/>
  <c r="J1056" i="1" s="1"/>
  <c r="K1056" i="1" s="1"/>
  <c r="H1057" i="1"/>
  <c r="I1057" i="1" s="1"/>
  <c r="J1057" i="1" s="1"/>
  <c r="K1057" i="1" s="1"/>
  <c r="H1058" i="1"/>
  <c r="I1058" i="1" s="1"/>
  <c r="J1058" i="1" s="1"/>
  <c r="K1058" i="1" s="1"/>
  <c r="H1059" i="1"/>
  <c r="I1059" i="1" s="1"/>
  <c r="J1059" i="1" s="1"/>
  <c r="K1059" i="1" s="1"/>
  <c r="H1060" i="1"/>
  <c r="I1060" i="1" s="1"/>
  <c r="J1060" i="1" s="1"/>
  <c r="K1060" i="1" s="1"/>
  <c r="H1061" i="1"/>
  <c r="I1061" i="1" s="1"/>
  <c r="J1061" i="1" s="1"/>
  <c r="K1061" i="1" s="1"/>
  <c r="H1062" i="1"/>
  <c r="I1062" i="1" s="1"/>
  <c r="J1062" i="1" s="1"/>
  <c r="K1062" i="1" s="1"/>
  <c r="H1063" i="1"/>
  <c r="I1063" i="1" s="1"/>
  <c r="J1063" i="1" s="1"/>
  <c r="K1063" i="1" s="1"/>
  <c r="I1064" i="1"/>
  <c r="H1065" i="1"/>
  <c r="H1066" i="1"/>
  <c r="I1066" i="1" s="1"/>
  <c r="J1066" i="1" s="1"/>
  <c r="K1066" i="1" s="1"/>
  <c r="H1068" i="1"/>
  <c r="I1068" i="1" s="1"/>
  <c r="J1068" i="1" s="1"/>
  <c r="K1068" i="1" s="1"/>
  <c r="H1069" i="1"/>
  <c r="H1071" i="1"/>
  <c r="I1071" i="1" s="1"/>
  <c r="J1071" i="1" s="1"/>
  <c r="K1071" i="1" s="1"/>
  <c r="H1072" i="1"/>
  <c r="H1073" i="1"/>
  <c r="I1073" i="1" s="1"/>
  <c r="J1073" i="1" s="1"/>
  <c r="K1073" i="1" s="1"/>
  <c r="I1074" i="1"/>
  <c r="J1074" i="1" s="1"/>
  <c r="K1074" i="1" s="1"/>
  <c r="H1075" i="1"/>
  <c r="I1075" i="1" s="1"/>
  <c r="J1075" i="1" s="1"/>
  <c r="H1076" i="1"/>
  <c r="I1076" i="1" s="1"/>
  <c r="J1076" i="1" s="1"/>
  <c r="K1076" i="1" s="1"/>
  <c r="H1077" i="1"/>
  <c r="I1077" i="1" s="1"/>
  <c r="J1077" i="1" s="1"/>
  <c r="K1077" i="1" s="1"/>
  <c r="H1078" i="1"/>
  <c r="I1078" i="1" s="1"/>
  <c r="H1079" i="1"/>
  <c r="I1079" i="1" s="1"/>
  <c r="J1079" i="1" s="1"/>
  <c r="K1079" i="1" s="1"/>
  <c r="H1080" i="1"/>
  <c r="I1080" i="1" s="1"/>
  <c r="J1080" i="1" s="1"/>
  <c r="K1080" i="1" s="1"/>
  <c r="H1081" i="1"/>
  <c r="I1081" i="1" s="1"/>
  <c r="J1081" i="1" s="1"/>
  <c r="H1023" i="1"/>
  <c r="K1086" i="1"/>
  <c r="K1089" i="1"/>
  <c r="K1091" i="1"/>
  <c r="K1094" i="1"/>
  <c r="K1101" i="1"/>
  <c r="K1102" i="1"/>
  <c r="J1087" i="1"/>
  <c r="J1093" i="1"/>
  <c r="J1099" i="1"/>
  <c r="J1100" i="1"/>
  <c r="K1100" i="1" s="1"/>
  <c r="J1104" i="1"/>
  <c r="J1084" i="1"/>
  <c r="I1085" i="1"/>
  <c r="J1085" i="1" s="1"/>
  <c r="K1085" i="1" s="1"/>
  <c r="I1086" i="1"/>
  <c r="I1089" i="1"/>
  <c r="I1090" i="1"/>
  <c r="J1090" i="1" s="1"/>
  <c r="K1090" i="1" s="1"/>
  <c r="I1097" i="1"/>
  <c r="J1097" i="1" s="1"/>
  <c r="K1097" i="1" s="1"/>
  <c r="I1098" i="1"/>
  <c r="J1098" i="1" s="1"/>
  <c r="K1098" i="1" s="1"/>
  <c r="I1106" i="1"/>
  <c r="I1107" i="1"/>
  <c r="J1107" i="1" s="1"/>
  <c r="K1107" i="1" s="1"/>
  <c r="I1108" i="1"/>
  <c r="I1110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101" i="1"/>
  <c r="H1102" i="1"/>
  <c r="H1103" i="1"/>
  <c r="H1104" i="1"/>
  <c r="H1107" i="1"/>
  <c r="H1083" i="1"/>
  <c r="K544" i="1"/>
  <c r="K555" i="1"/>
  <c r="K559" i="1"/>
  <c r="K570" i="1"/>
  <c r="K573" i="1"/>
  <c r="K574" i="1"/>
  <c r="K580" i="1"/>
  <c r="K585" i="1"/>
  <c r="K594" i="1"/>
  <c r="J546" i="1"/>
  <c r="J547" i="1"/>
  <c r="J548" i="1"/>
  <c r="J551" i="1"/>
  <c r="J552" i="1"/>
  <c r="J554" i="1"/>
  <c r="K554" i="1" s="1"/>
  <c r="J556" i="1"/>
  <c r="J557" i="1"/>
  <c r="J558" i="1"/>
  <c r="J561" i="1"/>
  <c r="K561" i="1" s="1"/>
  <c r="J563" i="1"/>
  <c r="K563" i="1" s="1"/>
  <c r="J565" i="1"/>
  <c r="K565" i="1" s="1"/>
  <c r="J566" i="1"/>
  <c r="K566" i="1" s="1"/>
  <c r="J569" i="1"/>
  <c r="J571" i="1"/>
  <c r="J572" i="1"/>
  <c r="K572" i="1" s="1"/>
  <c r="J575" i="1"/>
  <c r="K575" i="1" s="1"/>
  <c r="J576" i="1"/>
  <c r="J577" i="1"/>
  <c r="J579" i="1"/>
  <c r="K579" i="1" s="1"/>
  <c r="J581" i="1"/>
  <c r="K581" i="1" s="1"/>
  <c r="J582" i="1"/>
  <c r="J587" i="1"/>
  <c r="K587" i="1" s="1"/>
  <c r="J588" i="1"/>
  <c r="J589" i="1"/>
  <c r="J590" i="1"/>
  <c r="J593" i="1"/>
  <c r="K593" i="1" s="1"/>
  <c r="J595" i="1"/>
  <c r="K595" i="1" s="1"/>
  <c r="J543" i="1"/>
  <c r="I553" i="1"/>
  <c r="I550" i="1"/>
  <c r="J550" i="1" s="1"/>
  <c r="I549" i="1"/>
  <c r="H546" i="1"/>
  <c r="H551" i="1"/>
  <c r="H570" i="1"/>
  <c r="H577" i="1"/>
  <c r="H585" i="1"/>
  <c r="H586" i="1"/>
  <c r="H589" i="1"/>
  <c r="H590" i="1"/>
  <c r="H592" i="1"/>
  <c r="H593" i="1"/>
  <c r="H595" i="1"/>
  <c r="H597" i="1"/>
  <c r="H600" i="1"/>
  <c r="H601" i="1"/>
  <c r="H543" i="1"/>
  <c r="K505" i="1"/>
  <c r="K508" i="1"/>
  <c r="K515" i="1"/>
  <c r="K518" i="1"/>
  <c r="K520" i="1"/>
  <c r="K521" i="1"/>
  <c r="K522" i="1"/>
  <c r="K523" i="1"/>
  <c r="K524" i="1"/>
  <c r="K525" i="1"/>
  <c r="K526" i="1"/>
  <c r="K527" i="1"/>
  <c r="K528" i="1"/>
  <c r="K529" i="1"/>
  <c r="K531" i="1"/>
  <c r="K532" i="1"/>
  <c r="K534" i="1"/>
  <c r="K535" i="1"/>
  <c r="K536" i="1"/>
  <c r="K537" i="1"/>
  <c r="K538" i="1"/>
  <c r="K541" i="1"/>
  <c r="K483" i="1"/>
  <c r="J488" i="1"/>
  <c r="J497" i="1"/>
  <c r="J504" i="1"/>
  <c r="K504" i="1" s="1"/>
  <c r="J507" i="1"/>
  <c r="K507" i="1" s="1"/>
  <c r="J509" i="1"/>
  <c r="J511" i="1"/>
  <c r="J512" i="1"/>
  <c r="J530" i="1"/>
  <c r="K530" i="1" s="1"/>
  <c r="J539" i="1"/>
  <c r="K539" i="1" s="1"/>
  <c r="I485" i="1"/>
  <c r="I498" i="1"/>
  <c r="I524" i="1"/>
  <c r="I483" i="1"/>
  <c r="H486" i="1"/>
  <c r="H488" i="1"/>
  <c r="H490" i="1"/>
  <c r="H491" i="1"/>
  <c r="I491" i="1" s="1"/>
  <c r="H492" i="1"/>
  <c r="I492" i="1" s="1"/>
  <c r="H493" i="1"/>
  <c r="H495" i="1"/>
  <c r="H496" i="1"/>
  <c r="H499" i="1"/>
  <c r="H510" i="1"/>
  <c r="H512" i="1"/>
  <c r="H519" i="1"/>
  <c r="H540" i="1"/>
  <c r="I540" i="1" s="1"/>
  <c r="J540" i="1" s="1"/>
  <c r="K540" i="1" s="1"/>
  <c r="G485" i="1"/>
  <c r="G497" i="1"/>
  <c r="H497" i="1" s="1"/>
  <c r="G500" i="1"/>
  <c r="G501" i="1"/>
  <c r="H501" i="1" s="1"/>
  <c r="G502" i="1"/>
  <c r="H502" i="1" s="1"/>
  <c r="I502" i="1" s="1"/>
  <c r="G503" i="1"/>
  <c r="H503" i="1" s="1"/>
  <c r="G504" i="1"/>
  <c r="G505" i="1"/>
  <c r="H505" i="1" s="1"/>
  <c r="G506" i="1"/>
  <c r="H506" i="1" s="1"/>
  <c r="I506" i="1" s="1"/>
  <c r="J506" i="1" s="1"/>
  <c r="K506" i="1" s="1"/>
  <c r="G507" i="1"/>
  <c r="G508" i="1"/>
  <c r="H508" i="1" s="1"/>
  <c r="G513" i="1"/>
  <c r="H513" i="1" s="1"/>
  <c r="G514" i="1"/>
  <c r="H514" i="1" s="1"/>
  <c r="G515" i="1"/>
  <c r="H515" i="1" s="1"/>
  <c r="I515" i="1" s="1"/>
  <c r="G516" i="1"/>
  <c r="G517" i="1"/>
  <c r="H517" i="1" s="1"/>
  <c r="G518" i="1"/>
  <c r="H518" i="1" s="1"/>
  <c r="G521" i="1"/>
  <c r="H521" i="1" s="1"/>
  <c r="I521" i="1" s="1"/>
  <c r="G523" i="1"/>
  <c r="H523" i="1" s="1"/>
  <c r="G524" i="1"/>
  <c r="G525" i="1"/>
  <c r="H525" i="1" s="1"/>
  <c r="I525" i="1" s="1"/>
  <c r="G526" i="1"/>
  <c r="H526" i="1" s="1"/>
  <c r="G527" i="1"/>
  <c r="H527" i="1" s="1"/>
  <c r="I527" i="1" s="1"/>
  <c r="G528" i="1"/>
  <c r="H528" i="1" s="1"/>
  <c r="G529" i="1"/>
  <c r="H529" i="1" s="1"/>
  <c r="G530" i="1"/>
  <c r="G531" i="1"/>
  <c r="H531" i="1" s="1"/>
  <c r="G533" i="1"/>
  <c r="H533" i="1" s="1"/>
  <c r="I533" i="1" s="1"/>
  <c r="J533" i="1" s="1"/>
  <c r="K533" i="1" s="1"/>
  <c r="G534" i="1"/>
  <c r="H534" i="1" s="1"/>
  <c r="G535" i="1"/>
  <c r="H535" i="1" s="1"/>
  <c r="I535" i="1" s="1"/>
  <c r="G536" i="1"/>
  <c r="G537" i="1"/>
  <c r="H537" i="1" s="1"/>
  <c r="I537" i="1" s="1"/>
  <c r="G539" i="1"/>
  <c r="H539" i="1" s="1"/>
  <c r="G541" i="1"/>
  <c r="K468" i="1"/>
  <c r="K472" i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2" i="1"/>
  <c r="K462" i="1" s="1"/>
  <c r="J463" i="1"/>
  <c r="K463" i="1" s="1"/>
  <c r="J465" i="1"/>
  <c r="K465" i="1" s="1"/>
  <c r="J466" i="1"/>
  <c r="J467" i="1"/>
  <c r="K467" i="1" s="1"/>
  <c r="J469" i="1"/>
  <c r="K469" i="1" s="1"/>
  <c r="J470" i="1"/>
  <c r="J471" i="1"/>
  <c r="K471" i="1" s="1"/>
  <c r="J473" i="1"/>
  <c r="K473" i="1" s="1"/>
  <c r="J474" i="1"/>
  <c r="K474" i="1" s="1"/>
  <c r="J475" i="1"/>
  <c r="K475" i="1" s="1"/>
  <c r="J476" i="1"/>
  <c r="K476" i="1" s="1"/>
  <c r="J477" i="1"/>
  <c r="K477" i="1" s="1"/>
  <c r="J479" i="1"/>
  <c r="K479" i="1" s="1"/>
  <c r="J481" i="1"/>
  <c r="K481" i="1" s="1"/>
  <c r="J438" i="1"/>
  <c r="K438" i="1" s="1"/>
  <c r="I474" i="1"/>
  <c r="I475" i="1"/>
  <c r="I476" i="1"/>
  <c r="I477" i="1"/>
  <c r="I479" i="1"/>
  <c r="I480" i="1"/>
  <c r="I481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4" i="1"/>
  <c r="I465" i="1"/>
  <c r="I466" i="1"/>
  <c r="I467" i="1"/>
  <c r="I469" i="1"/>
  <c r="I470" i="1"/>
  <c r="I472" i="1"/>
  <c r="I438" i="1"/>
  <c r="K363" i="1"/>
  <c r="K368" i="1"/>
  <c r="K369" i="1"/>
  <c r="K371" i="1"/>
  <c r="K373" i="1"/>
  <c r="K374" i="1"/>
  <c r="K375" i="1"/>
  <c r="K376" i="1"/>
  <c r="K378" i="1"/>
  <c r="K379" i="1"/>
  <c r="K381" i="1"/>
  <c r="K382" i="1"/>
  <c r="K383" i="1"/>
  <c r="K385" i="1"/>
  <c r="K386" i="1"/>
  <c r="K388" i="1"/>
  <c r="K390" i="1"/>
  <c r="K391" i="1"/>
  <c r="K392" i="1"/>
  <c r="K393" i="1"/>
  <c r="K395" i="1"/>
  <c r="K396" i="1"/>
  <c r="K397" i="1"/>
  <c r="K400" i="1"/>
  <c r="K401" i="1"/>
  <c r="K403" i="1"/>
  <c r="K405" i="1"/>
  <c r="K406" i="1"/>
  <c r="K408" i="1"/>
  <c r="K409" i="1"/>
  <c r="K410" i="1"/>
  <c r="K411" i="1"/>
  <c r="K413" i="1"/>
  <c r="K415" i="1"/>
  <c r="K417" i="1"/>
</calcChain>
</file>

<file path=xl/sharedStrings.xml><?xml version="1.0" encoding="utf-8"?>
<sst xmlns="http://schemas.openxmlformats.org/spreadsheetml/2006/main" count="11" uniqueCount="7">
  <si>
    <t>时间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</si>
  <si>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</si>
  <si>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</si>
  <si>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</si>
  <si>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</si>
  <si>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节点1(伸长量)</t>
    <phoneticPr fontId="1" type="noConversion"/>
  </si>
  <si>
    <t>节点1(光照)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</si>
</sst>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0.00_);[Red]\(0.00\)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177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AF3C-9C97-4788-A0F4-B3FD5FAC97BA}">
  <dimension ref="A1:AA4321"/>
  <sheetViews>
    <sheetView zoomScaleNormal="100" workbookViewId="0">
      <selection activeCell="AD1437" sqref="AD1437"/>
    </sheetView>
  </sheetViews>
  <sheetFormatPr defaultRowHeight="13.8" x14ac:dyDescent="0.25"/>
  <cols>
    <col min="1" max="1" width="9" style="1"/>
    <col min="2" max="6" width="9" style="2"/>
    <col min="7" max="11" width="9.33203125" style="6" bestFit="1" customWidth="1"/>
    <col min="13" max="13" width="9.5546875" bestFit="1" customWidth="1"/>
  </cols>
  <sheetData>
    <row r="1" spans="1:14" x14ac:dyDescent="0.25">
      <c r="A1" s="1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6" t="s">
        <v>6</v>
      </c>
      <c r="H1" s="6" t="s">
        <v>1</v>
      </c>
      <c r="I1" s="6" t="s">
        <v>2</v>
      </c>
      <c r="J1" s="6" t="s">
        <v>3</v>
      </c>
      <c r="K1" s="6" t="s">
        <v>4</v>
      </c>
      <c r="M1" s="8">
        <f>MAX(G362:K1081)</f>
        <v>38229</v>
      </c>
      <c r="N1" s="8">
        <f>MIN(H362:L1081)</f>
        <v>245</v>
      </c>
    </row>
    <row r="2" spans="1:14" x14ac:dyDescent="0.25">
      <c r="A2" s="3">
        <v>0</v>
      </c>
      <c r="B2" s="4">
        <v>6.19</v>
      </c>
      <c r="C2" s="4">
        <v>3.67</v>
      </c>
      <c r="D2" s="4">
        <v>5.09</v>
      </c>
      <c r="E2" s="4">
        <v>5.26</v>
      </c>
      <c r="F2" s="4">
        <v>3.09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M2" s="8">
        <f>MAX(G2:K361,G1082:K1441)</f>
        <v>1225</v>
      </c>
      <c r="N2" s="8">
        <f>MIN(H2:L361,H1082:L1441)</f>
        <v>0</v>
      </c>
    </row>
    <row r="3" spans="1:14" x14ac:dyDescent="0.25">
      <c r="A3" s="1">
        <v>6.9444444444444447E-4</v>
      </c>
      <c r="B3" s="2">
        <v>6.3100000000000005</v>
      </c>
      <c r="C3" s="2">
        <v>3.67</v>
      </c>
      <c r="D3" s="2">
        <v>5.17</v>
      </c>
      <c r="E3" s="2">
        <f t="shared" ref="E3:E7" si="0">D3+0.16</f>
        <v>5.33</v>
      </c>
      <c r="F3" s="2">
        <v>3.33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M3" s="2"/>
    </row>
    <row r="4" spans="1:14" x14ac:dyDescent="0.25">
      <c r="A4" s="1">
        <v>1.38888888888889E-3</v>
      </c>
      <c r="B4" s="2">
        <v>6.15</v>
      </c>
      <c r="C4" s="2">
        <v>3.65</v>
      </c>
      <c r="D4" s="2">
        <v>5.45</v>
      </c>
      <c r="E4" s="2">
        <f t="shared" si="0"/>
        <v>5.61</v>
      </c>
      <c r="F4" s="2">
        <v>3.6100000000000003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M4" s="2"/>
    </row>
    <row r="5" spans="1:14" x14ac:dyDescent="0.25">
      <c r="A5" s="1">
        <v>2.0833333333333298E-3</v>
      </c>
      <c r="B5" s="2">
        <v>6.29</v>
      </c>
      <c r="C5" s="2">
        <v>3.55</v>
      </c>
      <c r="D5" s="2">
        <v>5.3</v>
      </c>
      <c r="E5" s="2">
        <f t="shared" si="0"/>
        <v>5.46</v>
      </c>
      <c r="F5" s="2">
        <v>3.46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M5" s="2"/>
    </row>
    <row r="6" spans="1:14" x14ac:dyDescent="0.25">
      <c r="A6" s="1">
        <v>2.7777777777777801E-3</v>
      </c>
      <c r="B6" s="2">
        <v>6.3000000000000007</v>
      </c>
      <c r="C6" s="2">
        <v>3.25</v>
      </c>
      <c r="D6" s="2">
        <v>5.36</v>
      </c>
      <c r="E6" s="2">
        <f t="shared" si="0"/>
        <v>5.5200000000000005</v>
      </c>
      <c r="F6" s="2">
        <v>3.5200000000000005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M6" s="2"/>
    </row>
    <row r="7" spans="1:14" x14ac:dyDescent="0.25">
      <c r="A7" s="1">
        <v>3.4722222222222199E-3</v>
      </c>
      <c r="B7" s="2">
        <v>6.12</v>
      </c>
      <c r="C7" s="2">
        <v>3.8</v>
      </c>
      <c r="D7" s="2">
        <v>5.0599999999999996</v>
      </c>
      <c r="E7" s="2">
        <f t="shared" si="0"/>
        <v>5.22</v>
      </c>
      <c r="F7" s="2">
        <v>3.2199999999999998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M7" s="2"/>
    </row>
    <row r="8" spans="1:14" x14ac:dyDescent="0.25">
      <c r="A8" s="1">
        <v>4.1666666666666701E-3</v>
      </c>
      <c r="B8" s="2">
        <v>6.1000000000000005</v>
      </c>
      <c r="C8" s="2">
        <v>3.75</v>
      </c>
      <c r="D8" s="2">
        <v>4.95</v>
      </c>
      <c r="E8" s="2">
        <v>5</v>
      </c>
      <c r="F8" s="2">
        <v>3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M8" s="2"/>
    </row>
    <row r="9" spans="1:14" x14ac:dyDescent="0.25">
      <c r="A9" s="1">
        <v>4.8611111111111103E-3</v>
      </c>
      <c r="B9" s="2">
        <v>6.15</v>
      </c>
      <c r="C9" s="2">
        <v>3.55</v>
      </c>
      <c r="D9" s="2">
        <v>4.99</v>
      </c>
      <c r="E9" s="2">
        <v>5.1100000000000003</v>
      </c>
      <c r="F9" s="2">
        <v>3.1100000000000003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M9" s="2"/>
    </row>
    <row r="10" spans="1:14" x14ac:dyDescent="0.25">
      <c r="A10" s="1">
        <v>5.5555555555555601E-3</v>
      </c>
      <c r="B10" s="2">
        <v>6.28</v>
      </c>
      <c r="C10" s="2">
        <v>3.5</v>
      </c>
      <c r="D10" s="2">
        <v>5.15</v>
      </c>
      <c r="E10" s="2">
        <v>5.59</v>
      </c>
      <c r="F10" s="2">
        <v>2.78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M10" s="2"/>
    </row>
    <row r="11" spans="1:14" x14ac:dyDescent="0.25">
      <c r="A11" s="1">
        <v>6.2500000000000003E-3</v>
      </c>
      <c r="B11" s="2">
        <v>6.2200000000000006</v>
      </c>
      <c r="C11" s="2">
        <v>3.4</v>
      </c>
      <c r="D11" s="2">
        <v>5.08</v>
      </c>
      <c r="E11" s="2">
        <f t="shared" ref="E11:E13" si="1">D11+0.16</f>
        <v>5.24</v>
      </c>
      <c r="F11" s="2">
        <v>3.24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M11" s="2"/>
    </row>
    <row r="12" spans="1:14" x14ac:dyDescent="0.25">
      <c r="A12" s="1">
        <v>6.9444444444444397E-3</v>
      </c>
      <c r="B12" s="2">
        <v>6.12</v>
      </c>
      <c r="C12" s="2">
        <v>3.7</v>
      </c>
      <c r="D12" s="2">
        <v>4.8499999999999996</v>
      </c>
      <c r="E12" s="2">
        <f t="shared" si="1"/>
        <v>5.01</v>
      </c>
      <c r="F12" s="2">
        <v>3.01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M12" s="2"/>
    </row>
    <row r="13" spans="1:14" x14ac:dyDescent="0.25">
      <c r="A13" s="1">
        <v>7.6388888888888904E-3</v>
      </c>
      <c r="B13" s="2">
        <v>6.08</v>
      </c>
      <c r="C13" s="2">
        <v>3.75</v>
      </c>
      <c r="D13" s="2">
        <v>4.88</v>
      </c>
      <c r="E13" s="2">
        <f t="shared" si="1"/>
        <v>5.04</v>
      </c>
      <c r="F13" s="2">
        <v>3.04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M13" s="2"/>
    </row>
    <row r="14" spans="1:14" x14ac:dyDescent="0.25">
      <c r="A14" s="1">
        <v>8.3333333333333297E-3</v>
      </c>
      <c r="B14" s="2">
        <v>6.09</v>
      </c>
      <c r="C14" s="2">
        <v>3.22</v>
      </c>
      <c r="D14" s="2">
        <v>5.0599999999999996</v>
      </c>
      <c r="E14" s="2">
        <v>5.59</v>
      </c>
      <c r="F14" s="2">
        <v>3.59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M14" s="2"/>
    </row>
    <row r="15" spans="1:14" x14ac:dyDescent="0.25">
      <c r="A15" s="1">
        <v>9.0277777777777804E-3</v>
      </c>
      <c r="B15" s="2">
        <v>6.13</v>
      </c>
      <c r="C15" s="2">
        <v>3.15</v>
      </c>
      <c r="D15" s="2">
        <v>5.0199999999999996</v>
      </c>
      <c r="E15" s="2">
        <f t="shared" ref="E15:E16" si="2">D15+0.16</f>
        <v>5.18</v>
      </c>
      <c r="F15" s="2">
        <v>3.1799999999999997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M15" s="2"/>
    </row>
    <row r="16" spans="1:14" x14ac:dyDescent="0.25">
      <c r="A16" s="1">
        <v>9.7222222222222206E-3</v>
      </c>
      <c r="B16" s="2">
        <v>6.17</v>
      </c>
      <c r="C16" s="2">
        <v>3.5</v>
      </c>
      <c r="D16" s="2">
        <v>4.79</v>
      </c>
      <c r="E16" s="2">
        <f t="shared" si="2"/>
        <v>4.95</v>
      </c>
      <c r="F16" s="2">
        <v>2.95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M16" s="2"/>
    </row>
    <row r="17" spans="1:13" x14ac:dyDescent="0.25">
      <c r="A17" s="1">
        <v>1.0416666666666701E-2</v>
      </c>
      <c r="B17" s="2">
        <v>6.3100000000000005</v>
      </c>
      <c r="C17" s="2">
        <v>3.82</v>
      </c>
      <c r="D17" s="2">
        <v>5.46</v>
      </c>
      <c r="E17" s="2">
        <v>4.88</v>
      </c>
      <c r="F17" s="2">
        <v>2.88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M17" s="2"/>
    </row>
    <row r="18" spans="1:13" x14ac:dyDescent="0.25">
      <c r="A18" s="1">
        <v>1.1111111111111099E-2</v>
      </c>
      <c r="B18" s="2">
        <v>6.2</v>
      </c>
      <c r="C18" s="2">
        <v>3.8</v>
      </c>
      <c r="D18" s="2">
        <v>4.96</v>
      </c>
      <c r="E18" s="2">
        <f t="shared" ref="E18:E19" si="3">D18+0.16</f>
        <v>5.12</v>
      </c>
      <c r="F18" s="2">
        <v>3.12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M18" s="2"/>
    </row>
    <row r="19" spans="1:13" x14ac:dyDescent="0.25">
      <c r="A19" s="1">
        <v>1.18055555555556E-2</v>
      </c>
      <c r="B19" s="2">
        <v>6.19</v>
      </c>
      <c r="C19" s="2">
        <v>3.75</v>
      </c>
      <c r="D19" s="2">
        <v>4.79</v>
      </c>
      <c r="E19" s="2">
        <f t="shared" si="3"/>
        <v>4.95</v>
      </c>
      <c r="F19" s="2">
        <v>2.95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M19" s="2"/>
    </row>
    <row r="20" spans="1:13" x14ac:dyDescent="0.25">
      <c r="A20" s="1">
        <v>1.2500000000000001E-2</v>
      </c>
      <c r="B20" s="2">
        <v>6.08</v>
      </c>
      <c r="C20" s="2">
        <v>3.67</v>
      </c>
      <c r="D20" s="2">
        <v>4.75</v>
      </c>
      <c r="E20" s="2">
        <v>5.6</v>
      </c>
      <c r="F20" s="2">
        <v>3.5999999999999996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M20" s="2"/>
    </row>
    <row r="21" spans="1:13" x14ac:dyDescent="0.25">
      <c r="A21" s="1">
        <v>1.3194444444444399E-2</v>
      </c>
      <c r="B21" s="2">
        <v>6.17</v>
      </c>
      <c r="C21" s="2">
        <v>3.59</v>
      </c>
      <c r="D21" s="2">
        <v>4.8899999999999997</v>
      </c>
      <c r="E21" s="2">
        <v>4.99</v>
      </c>
      <c r="F21" s="2">
        <v>2.99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M21" s="2"/>
    </row>
    <row r="22" spans="1:13" x14ac:dyDescent="0.25">
      <c r="A22" s="1">
        <v>1.38888888888889E-2</v>
      </c>
      <c r="B22" s="2">
        <v>6.2700000000000005</v>
      </c>
      <c r="C22" s="2">
        <v>3.66</v>
      </c>
      <c r="D22" s="2">
        <v>5.09</v>
      </c>
      <c r="E22" s="2">
        <v>5.0199999999999996</v>
      </c>
      <c r="F22" s="2">
        <v>3.0199999999999996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M22" s="2"/>
    </row>
    <row r="23" spans="1:13" x14ac:dyDescent="0.25">
      <c r="A23" s="1">
        <v>1.4583333333333301E-2</v>
      </c>
      <c r="B23" s="2">
        <v>6.2600000000000007</v>
      </c>
      <c r="C23" s="2">
        <v>3.64</v>
      </c>
      <c r="D23" s="2">
        <v>5.05</v>
      </c>
      <c r="E23" s="2">
        <f t="shared" ref="E23:E24" si="4">D23+0.16</f>
        <v>5.21</v>
      </c>
      <c r="F23" s="2">
        <v>3.21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M23" s="2"/>
    </row>
    <row r="24" spans="1:13" x14ac:dyDescent="0.25">
      <c r="A24" s="1">
        <v>1.52777777777778E-2</v>
      </c>
      <c r="B24" s="2">
        <v>6.15</v>
      </c>
      <c r="C24" s="2">
        <v>3.65</v>
      </c>
      <c r="D24" s="2">
        <v>5.18</v>
      </c>
      <c r="E24" s="2">
        <f t="shared" si="4"/>
        <v>5.34</v>
      </c>
      <c r="F24" s="2">
        <v>2.95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M24" s="2"/>
    </row>
    <row r="25" spans="1:13" x14ac:dyDescent="0.25">
      <c r="A25" s="1">
        <v>1.59722222222222E-2</v>
      </c>
      <c r="B25" s="2">
        <v>6.28</v>
      </c>
      <c r="C25" s="2">
        <v>3.84</v>
      </c>
      <c r="D25" s="2">
        <v>5.24</v>
      </c>
      <c r="E25" s="2">
        <v>5.22</v>
      </c>
      <c r="F25" s="2">
        <v>3.2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M25" s="2"/>
    </row>
    <row r="26" spans="1:13" x14ac:dyDescent="0.25">
      <c r="A26" s="1">
        <v>1.6666666666666701E-2</v>
      </c>
      <c r="B26" s="2">
        <v>6.15</v>
      </c>
      <c r="C26" s="2">
        <v>3.45</v>
      </c>
      <c r="D26" s="2">
        <v>4.97</v>
      </c>
      <c r="E26" s="2">
        <v>5.46</v>
      </c>
      <c r="F26" s="2">
        <v>3.46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M26" s="2"/>
    </row>
    <row r="27" spans="1:13" x14ac:dyDescent="0.25">
      <c r="A27" s="1">
        <v>1.7361111111111101E-2</v>
      </c>
      <c r="B27" s="2">
        <v>6.3000000000000007</v>
      </c>
      <c r="C27" s="2">
        <v>3.88</v>
      </c>
      <c r="D27" s="2">
        <v>5.16</v>
      </c>
      <c r="E27" s="2">
        <v>5.45</v>
      </c>
      <c r="F27" s="2">
        <v>3.45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M27" s="2"/>
    </row>
    <row r="28" spans="1:13" x14ac:dyDescent="0.25">
      <c r="A28" s="1">
        <v>1.8055555555555599E-2</v>
      </c>
      <c r="B28" s="2">
        <v>6.19</v>
      </c>
      <c r="C28" s="2">
        <v>3.56</v>
      </c>
      <c r="D28" s="2">
        <v>5.22</v>
      </c>
      <c r="E28" s="2">
        <v>5.15</v>
      </c>
      <c r="F28" s="2">
        <v>3.1500000000000004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M28" s="2"/>
    </row>
    <row r="29" spans="1:13" x14ac:dyDescent="0.25">
      <c r="A29" s="1">
        <v>1.8749999999999999E-2</v>
      </c>
      <c r="B29" s="2">
        <v>6.25</v>
      </c>
      <c r="C29" s="2">
        <v>3.66</v>
      </c>
      <c r="D29" s="2">
        <v>4.87</v>
      </c>
      <c r="E29" s="2">
        <v>5.29</v>
      </c>
      <c r="F29" s="2">
        <v>3.05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M29" s="2"/>
    </row>
    <row r="30" spans="1:13" x14ac:dyDescent="0.25">
      <c r="A30" s="1">
        <v>1.94444444444444E-2</v>
      </c>
      <c r="B30" s="2">
        <v>6.29</v>
      </c>
      <c r="C30" s="2">
        <v>3.76</v>
      </c>
      <c r="D30" s="2">
        <v>4.79</v>
      </c>
      <c r="E30" s="2">
        <v>5.27</v>
      </c>
      <c r="F30" s="2">
        <v>2.94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M30" s="2"/>
    </row>
    <row r="31" spans="1:13" x14ac:dyDescent="0.25">
      <c r="A31" s="1">
        <v>2.0138888888888901E-2</v>
      </c>
      <c r="B31" s="2">
        <v>6.08</v>
      </c>
      <c r="C31" s="2">
        <v>3.77</v>
      </c>
      <c r="D31" s="2">
        <v>5</v>
      </c>
      <c r="E31" s="2">
        <v>5.39</v>
      </c>
      <c r="F31" s="2">
        <v>3.3899999999999997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M31" s="2"/>
    </row>
    <row r="32" spans="1:13" x14ac:dyDescent="0.25">
      <c r="A32" s="1">
        <v>2.0833333333333301E-2</v>
      </c>
      <c r="B32" s="2">
        <v>6.3000000000000007</v>
      </c>
      <c r="C32" s="2">
        <v>3.75</v>
      </c>
      <c r="D32" s="2">
        <v>5.01</v>
      </c>
      <c r="E32" s="2">
        <v>5.26</v>
      </c>
      <c r="F32" s="2">
        <v>3.26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M32" s="2"/>
    </row>
    <row r="33" spans="1:13" x14ac:dyDescent="0.25">
      <c r="A33" s="1">
        <v>2.1527777777777798E-2</v>
      </c>
      <c r="B33" s="2">
        <v>6.2200000000000006</v>
      </c>
      <c r="C33" s="2">
        <v>3.74</v>
      </c>
      <c r="D33" s="2">
        <v>5.0999999999999996</v>
      </c>
      <c r="E33" s="2">
        <v>5.47</v>
      </c>
      <c r="F33" s="2">
        <v>3.4699999999999998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M33" s="2"/>
    </row>
    <row r="34" spans="1:13" x14ac:dyDescent="0.25">
      <c r="A34" s="1">
        <v>2.2222222222222199E-2</v>
      </c>
      <c r="B34" s="2">
        <v>6.07</v>
      </c>
      <c r="C34" s="2">
        <v>3.59</v>
      </c>
      <c r="D34" s="2">
        <v>5.18</v>
      </c>
      <c r="E34" s="2">
        <v>5.55</v>
      </c>
      <c r="F34" s="2">
        <v>2.88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M34" s="2"/>
    </row>
    <row r="35" spans="1:13" x14ac:dyDescent="0.25">
      <c r="A35" s="1">
        <v>2.29166666666667E-2</v>
      </c>
      <c r="B35" s="2">
        <v>6.1000000000000005</v>
      </c>
      <c r="C35" s="2">
        <v>3.54</v>
      </c>
      <c r="D35" s="2">
        <v>5.22</v>
      </c>
      <c r="E35" s="2">
        <v>5.35</v>
      </c>
      <c r="F35" s="2">
        <v>3.09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M35" s="2"/>
    </row>
    <row r="36" spans="1:13" x14ac:dyDescent="0.25">
      <c r="A36" s="1">
        <v>2.36111111111111E-2</v>
      </c>
      <c r="B36" s="2">
        <v>6.3100000000000005</v>
      </c>
      <c r="C36" s="2">
        <v>3.66</v>
      </c>
      <c r="D36" s="2">
        <v>4.93</v>
      </c>
      <c r="E36" s="2">
        <v>5.34</v>
      </c>
      <c r="F36" s="2">
        <v>316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M36" s="2"/>
    </row>
    <row r="37" spans="1:13" x14ac:dyDescent="0.25">
      <c r="A37" s="1">
        <v>2.4305555555555601E-2</v>
      </c>
      <c r="B37" s="2">
        <v>6.3100000000000005</v>
      </c>
      <c r="C37" s="2">
        <v>3.61</v>
      </c>
      <c r="D37" s="2">
        <v>4.79</v>
      </c>
      <c r="E37" s="2">
        <v>5.37</v>
      </c>
      <c r="F37" s="2">
        <v>3.13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M37" s="2"/>
    </row>
    <row r="38" spans="1:13" x14ac:dyDescent="0.25">
      <c r="A38" s="1">
        <v>2.5000000000000001E-2</v>
      </c>
      <c r="B38" s="2">
        <v>6.3100000000000005</v>
      </c>
      <c r="C38" s="2">
        <v>3.67</v>
      </c>
      <c r="D38" s="2">
        <v>5.08</v>
      </c>
      <c r="E38" s="2">
        <v>4.99</v>
      </c>
      <c r="F38" s="2">
        <v>3.15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M38" s="2"/>
    </row>
    <row r="39" spans="1:13" x14ac:dyDescent="0.25">
      <c r="A39" s="1">
        <v>2.5694444444444402E-2</v>
      </c>
      <c r="B39" s="2">
        <v>6.1000000000000005</v>
      </c>
      <c r="C39" s="2">
        <v>3.55</v>
      </c>
      <c r="D39" s="2">
        <v>5.05</v>
      </c>
      <c r="E39" s="2">
        <v>5.22</v>
      </c>
      <c r="F39" s="2">
        <v>3.26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M39" s="2"/>
    </row>
    <row r="40" spans="1:13" x14ac:dyDescent="0.25">
      <c r="A40" s="1">
        <v>2.6388888888888899E-2</v>
      </c>
      <c r="B40" s="2">
        <v>6.1400000000000006</v>
      </c>
      <c r="C40" s="2">
        <v>3.52</v>
      </c>
      <c r="D40" s="2">
        <v>4.79</v>
      </c>
      <c r="E40" s="2">
        <v>5.36</v>
      </c>
      <c r="F40" s="2">
        <v>3.38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M40" s="2"/>
    </row>
    <row r="41" spans="1:13" x14ac:dyDescent="0.25">
      <c r="A41" s="1">
        <v>2.70833333333333E-2</v>
      </c>
      <c r="B41" s="2">
        <v>6.13</v>
      </c>
      <c r="C41" s="2">
        <v>3.64</v>
      </c>
      <c r="D41" s="2">
        <v>4.96</v>
      </c>
      <c r="E41" s="2">
        <v>5.64</v>
      </c>
      <c r="F41" s="2">
        <v>3.24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</row>
    <row r="42" spans="1:13" x14ac:dyDescent="0.25">
      <c r="A42" s="1">
        <v>2.7777777777777801E-2</v>
      </c>
      <c r="B42" s="2">
        <v>6.11</v>
      </c>
      <c r="C42" s="2">
        <v>3.74</v>
      </c>
      <c r="D42" s="2">
        <v>5.16</v>
      </c>
      <c r="E42" s="2">
        <v>5.55</v>
      </c>
      <c r="F42" s="2">
        <v>2.88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</row>
    <row r="43" spans="1:13" x14ac:dyDescent="0.25">
      <c r="A43" s="1">
        <v>2.8472222222222201E-2</v>
      </c>
      <c r="B43" s="2">
        <v>6.1000000000000005</v>
      </c>
      <c r="C43" s="2">
        <v>3.94</v>
      </c>
      <c r="D43" s="2">
        <v>5.19</v>
      </c>
      <c r="E43" s="2">
        <v>5.15</v>
      </c>
      <c r="F43" s="2">
        <v>2.98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</row>
    <row r="44" spans="1:13" x14ac:dyDescent="0.25">
      <c r="A44" s="1">
        <v>2.9166666666666698E-2</v>
      </c>
      <c r="B44" s="2">
        <v>6.17</v>
      </c>
      <c r="C44" s="2">
        <v>3.78</v>
      </c>
      <c r="D44" s="2">
        <v>4.96</v>
      </c>
      <c r="E44" s="2">
        <v>5.29</v>
      </c>
      <c r="F44" s="2">
        <v>3.05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</row>
    <row r="45" spans="1:13" x14ac:dyDescent="0.25">
      <c r="A45" s="1">
        <v>2.9861111111111099E-2</v>
      </c>
      <c r="B45" s="2">
        <v>6.24</v>
      </c>
      <c r="C45" s="2">
        <v>3.84</v>
      </c>
      <c r="D45" s="2">
        <v>5.35</v>
      </c>
      <c r="E45" s="2">
        <v>5.33</v>
      </c>
      <c r="F45" s="2">
        <v>3.22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</row>
    <row r="46" spans="1:13" x14ac:dyDescent="0.25">
      <c r="A46" s="1">
        <v>3.05555555555556E-2</v>
      </c>
      <c r="B46" s="2">
        <v>6.24</v>
      </c>
      <c r="C46" s="2">
        <v>3.38</v>
      </c>
      <c r="D46" s="2">
        <v>4.84</v>
      </c>
      <c r="E46" s="2">
        <v>5.45</v>
      </c>
      <c r="F46" s="2">
        <v>3.24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</row>
    <row r="47" spans="1:13" x14ac:dyDescent="0.25">
      <c r="A47" s="1">
        <v>3.125E-2</v>
      </c>
      <c r="B47" s="2">
        <v>6.1800000000000006</v>
      </c>
      <c r="C47" s="2">
        <v>3.54</v>
      </c>
      <c r="D47" s="2">
        <v>4.99</v>
      </c>
      <c r="E47" s="2">
        <v>5.12</v>
      </c>
      <c r="F47" s="2">
        <v>3.08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</row>
    <row r="48" spans="1:13" x14ac:dyDescent="0.25">
      <c r="A48" s="1">
        <v>3.19444444444444E-2</v>
      </c>
      <c r="B48" s="2">
        <v>6.16</v>
      </c>
      <c r="C48" s="2">
        <v>3.59</v>
      </c>
      <c r="D48" s="2">
        <v>5.16</v>
      </c>
      <c r="E48" s="2">
        <v>5.1100000000000003</v>
      </c>
      <c r="F48" s="2">
        <v>3.07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</row>
    <row r="49" spans="1:11" x14ac:dyDescent="0.25">
      <c r="A49" s="1">
        <v>3.2638888888888898E-2</v>
      </c>
      <c r="B49" s="2">
        <v>6.23</v>
      </c>
      <c r="C49" s="2">
        <v>3.64</v>
      </c>
      <c r="D49" s="2">
        <v>5.25</v>
      </c>
      <c r="E49" s="2">
        <v>5.09</v>
      </c>
      <c r="F49" s="2">
        <v>2.84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</row>
    <row r="50" spans="1:11" x14ac:dyDescent="0.25">
      <c r="A50" s="1">
        <v>3.3333333333333298E-2</v>
      </c>
      <c r="B50" s="2">
        <v>6.2200000000000006</v>
      </c>
      <c r="C50" s="2">
        <v>3.81</v>
      </c>
      <c r="D50" s="2">
        <v>5.04</v>
      </c>
      <c r="E50" s="2">
        <v>5.6</v>
      </c>
      <c r="F50" s="2">
        <v>3.09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</row>
    <row r="51" spans="1:11" x14ac:dyDescent="0.25">
      <c r="A51" s="1">
        <v>3.4027777777777803E-2</v>
      </c>
      <c r="B51" s="2">
        <v>6.25</v>
      </c>
      <c r="C51" s="2">
        <v>3.77</v>
      </c>
      <c r="D51" s="2">
        <v>5.24</v>
      </c>
      <c r="E51" s="2">
        <v>5.22</v>
      </c>
      <c r="F51" s="2">
        <v>3.33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</row>
    <row r="52" spans="1:11" x14ac:dyDescent="0.25">
      <c r="A52" s="1">
        <v>3.4722222222222203E-2</v>
      </c>
      <c r="B52" s="2">
        <v>6.28</v>
      </c>
      <c r="C52" s="2">
        <v>3.75</v>
      </c>
      <c r="D52" s="2">
        <v>4.87</v>
      </c>
      <c r="E52" s="2">
        <v>5.27</v>
      </c>
      <c r="F52" s="2">
        <v>3.14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</row>
    <row r="53" spans="1:11" x14ac:dyDescent="0.25">
      <c r="A53" s="1">
        <v>3.54166666666667E-2</v>
      </c>
      <c r="B53" s="2">
        <v>6.2600000000000007</v>
      </c>
      <c r="C53" s="2">
        <v>3.42</v>
      </c>
      <c r="D53" s="2">
        <v>4.88</v>
      </c>
      <c r="E53" s="2">
        <v>5.28</v>
      </c>
      <c r="F53" s="2">
        <v>3.15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</row>
    <row r="54" spans="1:11" x14ac:dyDescent="0.25">
      <c r="A54" s="1">
        <v>3.6111111111111101E-2</v>
      </c>
      <c r="B54" s="2">
        <v>6.1400000000000006</v>
      </c>
      <c r="C54" s="2">
        <v>3.19</v>
      </c>
      <c r="D54" s="2">
        <v>5.0599999999999996</v>
      </c>
      <c r="E54" s="2">
        <v>5.46</v>
      </c>
      <c r="F54" s="2">
        <v>3.28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</row>
    <row r="55" spans="1:11" x14ac:dyDescent="0.25">
      <c r="A55" s="1">
        <v>3.6805555555555598E-2</v>
      </c>
      <c r="B55" s="2">
        <v>6.2700000000000005</v>
      </c>
      <c r="C55" s="2">
        <v>3.84</v>
      </c>
      <c r="D55" s="2">
        <v>4.97</v>
      </c>
      <c r="E55" s="2">
        <v>5.5</v>
      </c>
      <c r="F55" s="2">
        <v>3.18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</row>
    <row r="56" spans="1:11" x14ac:dyDescent="0.25">
      <c r="A56" s="1">
        <v>3.7499999999999999E-2</v>
      </c>
      <c r="B56" s="2">
        <v>6.12</v>
      </c>
      <c r="C56" s="2">
        <v>3.83</v>
      </c>
      <c r="D56" s="2">
        <v>4.91</v>
      </c>
      <c r="E56" s="2">
        <v>5.27</v>
      </c>
      <c r="F56" s="2">
        <v>3.75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</row>
    <row r="57" spans="1:11" x14ac:dyDescent="0.25">
      <c r="A57" s="1">
        <v>3.8194444444444399E-2</v>
      </c>
      <c r="B57" s="2">
        <v>6.07</v>
      </c>
      <c r="C57" s="2">
        <v>3.46</v>
      </c>
      <c r="D57" s="2">
        <v>5.3</v>
      </c>
      <c r="E57" s="2">
        <v>5.29</v>
      </c>
      <c r="F57" s="2">
        <v>3.29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</row>
    <row r="58" spans="1:11" x14ac:dyDescent="0.25">
      <c r="A58" s="1">
        <v>3.8888888888888903E-2</v>
      </c>
      <c r="B58" s="2">
        <v>6.33</v>
      </c>
      <c r="C58" s="2">
        <v>3.59</v>
      </c>
      <c r="D58" s="2">
        <v>5.24</v>
      </c>
      <c r="E58" s="2">
        <v>5.13</v>
      </c>
      <c r="F58" s="2">
        <v>3.17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</row>
    <row r="59" spans="1:11" x14ac:dyDescent="0.25">
      <c r="A59" s="1">
        <v>3.9583333333333297E-2</v>
      </c>
      <c r="B59" s="2">
        <v>6.12</v>
      </c>
      <c r="C59" s="2">
        <v>3.68</v>
      </c>
      <c r="D59" s="2">
        <v>4.8099999999999996</v>
      </c>
      <c r="E59" s="2">
        <v>5.08</v>
      </c>
      <c r="F59" s="2">
        <v>3.19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</row>
    <row r="60" spans="1:11" x14ac:dyDescent="0.25">
      <c r="A60" s="1">
        <v>4.0277777777777801E-2</v>
      </c>
      <c r="B60" s="2">
        <v>6.2</v>
      </c>
      <c r="C60" s="2">
        <v>3.66</v>
      </c>
      <c r="D60" s="2">
        <v>5.28</v>
      </c>
      <c r="E60" s="2">
        <v>5</v>
      </c>
      <c r="F60" s="2">
        <v>3.18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</row>
    <row r="61" spans="1:11" x14ac:dyDescent="0.25">
      <c r="A61" s="1">
        <v>4.0972222222222202E-2</v>
      </c>
      <c r="B61" s="2">
        <v>6.1800000000000006</v>
      </c>
      <c r="C61" s="2">
        <v>3.79</v>
      </c>
      <c r="D61" s="2">
        <v>5.09</v>
      </c>
      <c r="E61" s="2">
        <v>5.22</v>
      </c>
      <c r="F61" s="2">
        <v>3.28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</row>
    <row r="62" spans="1:11" x14ac:dyDescent="0.25">
      <c r="A62" s="3">
        <v>4.1666666666666699E-2</v>
      </c>
      <c r="B62" s="4">
        <v>6.19</v>
      </c>
      <c r="C62" s="4">
        <v>3.67</v>
      </c>
      <c r="D62" s="4">
        <v>5.09</v>
      </c>
      <c r="E62" s="4">
        <v>5.26</v>
      </c>
      <c r="F62" s="4">
        <v>3.09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</row>
    <row r="63" spans="1:11" x14ac:dyDescent="0.25">
      <c r="A63" s="1">
        <v>4.2361111111111099E-2</v>
      </c>
      <c r="B63" s="2">
        <v>6.25</v>
      </c>
      <c r="C63" s="2">
        <v>3.77</v>
      </c>
      <c r="D63" s="2">
        <v>4.99</v>
      </c>
      <c r="E63" s="2">
        <v>5.46</v>
      </c>
      <c r="F63" s="5">
        <v>3.29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</row>
    <row r="64" spans="1:11" x14ac:dyDescent="0.25">
      <c r="A64" s="1">
        <v>4.3055555555555597E-2</v>
      </c>
      <c r="B64" s="2">
        <v>6.2</v>
      </c>
      <c r="C64" s="2">
        <v>3.66</v>
      </c>
      <c r="D64" s="2">
        <v>5.04</v>
      </c>
      <c r="E64" s="2">
        <v>5.08</v>
      </c>
      <c r="F64" s="2">
        <v>3.35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</row>
    <row r="65" spans="1:11" x14ac:dyDescent="0.25">
      <c r="A65" s="1">
        <v>4.3749999999999997E-2</v>
      </c>
      <c r="B65" s="2">
        <v>6.2600000000000007</v>
      </c>
      <c r="C65" s="2">
        <v>3.56</v>
      </c>
      <c r="D65" s="2">
        <v>4.95</v>
      </c>
      <c r="E65" s="2">
        <v>5.25</v>
      </c>
      <c r="F65" s="2">
        <v>2.91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</row>
    <row r="66" spans="1:11" x14ac:dyDescent="0.25">
      <c r="A66" s="1">
        <v>4.4444444444444398E-2</v>
      </c>
      <c r="B66" s="2">
        <v>6.1400000000000006</v>
      </c>
      <c r="C66" s="2">
        <v>3.45</v>
      </c>
      <c r="D66" s="2">
        <v>4.92</v>
      </c>
      <c r="E66" s="2">
        <v>5.09</v>
      </c>
      <c r="F66" s="2">
        <v>3.3000000000000003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</row>
    <row r="67" spans="1:11" x14ac:dyDescent="0.25">
      <c r="A67" s="1">
        <v>4.5138888888888902E-2</v>
      </c>
      <c r="B67" s="2">
        <v>6.17</v>
      </c>
      <c r="C67" s="2">
        <v>3.68</v>
      </c>
      <c r="D67" s="2">
        <v>4.9000000000000004</v>
      </c>
      <c r="E67" s="2">
        <v>5.0500000000000007</v>
      </c>
      <c r="F67" s="2">
        <v>3.33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</row>
    <row r="68" spans="1:11" x14ac:dyDescent="0.25">
      <c r="A68" s="1">
        <v>4.5833333333333302E-2</v>
      </c>
      <c r="B68" s="2">
        <v>6.2</v>
      </c>
      <c r="C68" s="2">
        <v>3.82</v>
      </c>
      <c r="D68" s="2">
        <v>5.21</v>
      </c>
      <c r="E68" s="2">
        <v>5.25</v>
      </c>
      <c r="F68" s="2">
        <v>2.91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</row>
    <row r="69" spans="1:11" x14ac:dyDescent="0.25">
      <c r="A69" s="1">
        <v>4.65277777777778E-2</v>
      </c>
      <c r="B69" s="2">
        <v>6.2600000000000007</v>
      </c>
      <c r="C69" s="2">
        <v>3.64</v>
      </c>
      <c r="D69" s="2">
        <v>4.88</v>
      </c>
      <c r="E69" s="2">
        <v>5.2700000000000005</v>
      </c>
      <c r="F69" s="2">
        <v>3.21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</row>
    <row r="70" spans="1:11" x14ac:dyDescent="0.25">
      <c r="A70" s="1">
        <v>4.72222222222222E-2</v>
      </c>
      <c r="B70" s="2">
        <v>6.23</v>
      </c>
      <c r="C70" s="2">
        <v>3.64</v>
      </c>
      <c r="D70" s="2">
        <v>5.22</v>
      </c>
      <c r="E70" s="2">
        <v>5.09</v>
      </c>
      <c r="F70" s="2">
        <v>2.89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</row>
    <row r="71" spans="1:11" x14ac:dyDescent="0.25">
      <c r="A71" s="1">
        <v>4.7916666666666698E-2</v>
      </c>
      <c r="B71" s="2">
        <v>6.21</v>
      </c>
      <c r="C71" s="2">
        <v>3.69</v>
      </c>
      <c r="D71" s="2">
        <v>5.0199999999999996</v>
      </c>
      <c r="E71" s="2">
        <v>5</v>
      </c>
      <c r="F71" s="2">
        <v>3.14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</row>
    <row r="72" spans="1:11" x14ac:dyDescent="0.25">
      <c r="A72" s="1">
        <v>4.8611111111111098E-2</v>
      </c>
      <c r="B72" s="2">
        <v>6.23</v>
      </c>
      <c r="C72" s="2">
        <v>3.77</v>
      </c>
      <c r="D72" s="2">
        <v>5.09</v>
      </c>
      <c r="E72" s="2">
        <v>4.9300000000000006</v>
      </c>
      <c r="F72" s="2">
        <v>3.0700000000000003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</row>
    <row r="73" spans="1:11" x14ac:dyDescent="0.25">
      <c r="A73" s="1">
        <v>4.9305555555555602E-2</v>
      </c>
      <c r="B73" s="2">
        <v>6.2600000000000007</v>
      </c>
      <c r="C73" s="2">
        <v>3.79</v>
      </c>
      <c r="D73" s="2">
        <v>4.96</v>
      </c>
      <c r="E73" s="2">
        <v>4.82</v>
      </c>
      <c r="F73" s="2">
        <v>3.1100000000000003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</row>
    <row r="74" spans="1:11" x14ac:dyDescent="0.25">
      <c r="A74" s="1">
        <v>0.05</v>
      </c>
      <c r="B74" s="2">
        <v>6.24</v>
      </c>
      <c r="C74" s="2">
        <v>3.78</v>
      </c>
      <c r="D74" s="2">
        <v>5.09</v>
      </c>
      <c r="E74" s="2">
        <v>5</v>
      </c>
      <c r="F74" s="2">
        <v>3.2800000000000002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</row>
    <row r="75" spans="1:11" x14ac:dyDescent="0.25">
      <c r="A75" s="1">
        <v>5.0694444444444403E-2</v>
      </c>
      <c r="B75" s="2">
        <v>6.25</v>
      </c>
      <c r="C75" s="2">
        <v>3.86</v>
      </c>
      <c r="D75" s="2">
        <v>5.12</v>
      </c>
      <c r="E75" s="2">
        <v>5.4300000000000006</v>
      </c>
      <c r="F75" s="2">
        <v>2.89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</row>
    <row r="76" spans="1:11" x14ac:dyDescent="0.25">
      <c r="A76" s="1">
        <v>5.1388888888888901E-2</v>
      </c>
      <c r="B76" s="2">
        <v>6.3000000000000007</v>
      </c>
      <c r="C76" s="2">
        <v>3.64</v>
      </c>
      <c r="D76" s="2">
        <v>5.14</v>
      </c>
      <c r="E76" s="2">
        <v>5.5100000000000007</v>
      </c>
      <c r="F76" s="2">
        <v>3.31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</row>
    <row r="77" spans="1:11" x14ac:dyDescent="0.25">
      <c r="A77" s="1">
        <v>5.2083333333333301E-2</v>
      </c>
      <c r="B77" s="2">
        <v>6.1000000000000005</v>
      </c>
      <c r="C77" s="2">
        <v>3.66</v>
      </c>
      <c r="D77" s="2">
        <v>5.17</v>
      </c>
      <c r="E77" s="2">
        <v>4.8900000000000006</v>
      </c>
      <c r="F77" s="2">
        <v>2.97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</row>
    <row r="78" spans="1:11" x14ac:dyDescent="0.25">
      <c r="A78" s="1">
        <v>5.2777777777777798E-2</v>
      </c>
      <c r="B78" s="2">
        <v>6.13</v>
      </c>
      <c r="C78" s="2">
        <v>3.79</v>
      </c>
      <c r="D78" s="2">
        <v>4.9400000000000004</v>
      </c>
      <c r="E78" s="2">
        <v>5.33</v>
      </c>
      <c r="F78" s="2">
        <v>3.16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</row>
    <row r="79" spans="1:11" x14ac:dyDescent="0.25">
      <c r="A79" s="1">
        <v>5.3472222222222199E-2</v>
      </c>
      <c r="B79" s="2">
        <v>6.29</v>
      </c>
      <c r="C79" s="2">
        <v>3.94</v>
      </c>
      <c r="D79" s="2">
        <v>5.0199999999999996</v>
      </c>
      <c r="E79" s="2">
        <v>5.19</v>
      </c>
      <c r="F79" s="2">
        <v>2.96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</row>
    <row r="80" spans="1:11" x14ac:dyDescent="0.25">
      <c r="A80" s="1">
        <v>5.4166666666666703E-2</v>
      </c>
      <c r="B80" s="2">
        <v>6.28</v>
      </c>
      <c r="C80" s="2">
        <v>3.85</v>
      </c>
      <c r="D80" s="2">
        <v>5.19</v>
      </c>
      <c r="E80" s="2">
        <v>4.8500000000000005</v>
      </c>
      <c r="F80" s="2">
        <v>3.09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</row>
    <row r="81" spans="1:11" x14ac:dyDescent="0.25">
      <c r="A81" s="1">
        <v>5.4861111111111097E-2</v>
      </c>
      <c r="B81" s="2">
        <v>6.2200000000000006</v>
      </c>
      <c r="C81" s="2">
        <v>366</v>
      </c>
      <c r="D81" s="2">
        <v>5</v>
      </c>
      <c r="E81" s="2">
        <v>5.45</v>
      </c>
      <c r="F81" s="2">
        <v>3.2800000000000002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</row>
    <row r="82" spans="1:11" x14ac:dyDescent="0.25">
      <c r="A82" s="1">
        <v>5.5555555555555601E-2</v>
      </c>
      <c r="B82" s="2">
        <v>6.17</v>
      </c>
      <c r="C82" s="2">
        <v>3.54</v>
      </c>
      <c r="D82" s="2">
        <v>5.18</v>
      </c>
      <c r="E82" s="2">
        <v>5.28</v>
      </c>
      <c r="F82" s="2">
        <v>2.89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</row>
    <row r="83" spans="1:11" x14ac:dyDescent="0.25">
      <c r="A83" s="1">
        <v>5.6250000000000001E-2</v>
      </c>
      <c r="B83" s="2">
        <v>6.33</v>
      </c>
      <c r="C83" s="2">
        <v>3.53</v>
      </c>
      <c r="D83" s="2">
        <v>4.88</v>
      </c>
      <c r="E83" s="2">
        <v>4.96</v>
      </c>
      <c r="F83" s="2">
        <v>2.93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</row>
    <row r="84" spans="1:11" x14ac:dyDescent="0.25">
      <c r="A84" s="1">
        <v>5.6944444444444402E-2</v>
      </c>
      <c r="B84" s="2">
        <v>6.3100000000000005</v>
      </c>
      <c r="C84" s="2">
        <v>3.69</v>
      </c>
      <c r="D84" s="2">
        <v>4.79</v>
      </c>
      <c r="E84" s="2">
        <v>5.48</v>
      </c>
      <c r="F84" s="2">
        <v>3.16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</row>
    <row r="85" spans="1:11" x14ac:dyDescent="0.25">
      <c r="A85" s="1">
        <v>5.7638888888888899E-2</v>
      </c>
      <c r="B85" s="2">
        <v>6.29</v>
      </c>
      <c r="C85" s="2">
        <v>3.92</v>
      </c>
      <c r="D85" s="2">
        <v>5.01</v>
      </c>
      <c r="E85" s="2">
        <v>5.37</v>
      </c>
      <c r="F85" s="2">
        <v>3.2600000000000002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</row>
    <row r="86" spans="1:11" x14ac:dyDescent="0.25">
      <c r="A86" s="1">
        <v>5.83333333333333E-2</v>
      </c>
      <c r="B86" s="2">
        <v>6.08</v>
      </c>
      <c r="C86" s="2">
        <v>3.87</v>
      </c>
      <c r="D86" s="2">
        <v>5.24</v>
      </c>
      <c r="E86" s="2">
        <v>5.25</v>
      </c>
      <c r="F86" s="2">
        <v>3.0500000000000003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</row>
    <row r="87" spans="1:11" x14ac:dyDescent="0.25">
      <c r="A87" s="1">
        <v>5.9027777777777797E-2</v>
      </c>
      <c r="B87" s="2">
        <v>6.3100000000000005</v>
      </c>
      <c r="C87" s="2">
        <v>3.24</v>
      </c>
      <c r="D87" s="2">
        <v>4.96</v>
      </c>
      <c r="E87" s="2">
        <v>5.3500000000000005</v>
      </c>
      <c r="F87" s="2">
        <v>2.85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</row>
    <row r="88" spans="1:11" x14ac:dyDescent="0.25">
      <c r="A88" s="1">
        <v>5.9722222222222197E-2</v>
      </c>
      <c r="B88" s="2">
        <v>6.2</v>
      </c>
      <c r="C88" s="2">
        <v>3.39</v>
      </c>
      <c r="D88" s="2">
        <v>4.92</v>
      </c>
      <c r="E88" s="2">
        <v>5.0600000000000005</v>
      </c>
      <c r="F88" s="2">
        <v>2.86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</row>
    <row r="89" spans="1:11" x14ac:dyDescent="0.25">
      <c r="A89" s="1">
        <v>6.0416666666666702E-2</v>
      </c>
      <c r="B89" s="2">
        <v>6.17</v>
      </c>
      <c r="C89" s="2">
        <v>3.45</v>
      </c>
      <c r="D89" s="2">
        <v>5.0199999999999996</v>
      </c>
      <c r="E89" s="2">
        <v>5.3100000000000005</v>
      </c>
      <c r="F89" s="2">
        <v>3.2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</row>
    <row r="90" spans="1:11" x14ac:dyDescent="0.25">
      <c r="A90" s="1">
        <v>6.1111111111111102E-2</v>
      </c>
      <c r="B90" s="2">
        <v>6.2600000000000007</v>
      </c>
      <c r="C90" s="2">
        <v>3.66</v>
      </c>
      <c r="D90" s="2">
        <v>5.19</v>
      </c>
      <c r="E90" s="2">
        <v>5.25</v>
      </c>
      <c r="F90" s="2">
        <v>3.04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</row>
    <row r="91" spans="1:11" x14ac:dyDescent="0.25">
      <c r="A91" s="1">
        <v>6.18055555555556E-2</v>
      </c>
      <c r="B91" s="2">
        <v>6.1000000000000005</v>
      </c>
      <c r="C91" s="2">
        <v>3.91</v>
      </c>
      <c r="D91" s="2">
        <v>5.09</v>
      </c>
      <c r="E91" s="2">
        <v>5.29</v>
      </c>
      <c r="F91" s="2">
        <v>3.0700000000000003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</row>
    <row r="92" spans="1:11" x14ac:dyDescent="0.25">
      <c r="A92" s="1">
        <v>6.25E-2</v>
      </c>
      <c r="B92" s="2">
        <v>6.19</v>
      </c>
      <c r="C92" s="2">
        <v>3.49</v>
      </c>
      <c r="D92" s="2">
        <v>4.91</v>
      </c>
      <c r="E92" s="2">
        <v>4.84</v>
      </c>
      <c r="F92" s="2">
        <v>3.34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</row>
    <row r="93" spans="1:11" x14ac:dyDescent="0.25">
      <c r="A93" s="1">
        <v>6.31944444444444E-2</v>
      </c>
      <c r="B93" s="2">
        <v>6.29</v>
      </c>
      <c r="C93" s="2">
        <v>3.56</v>
      </c>
      <c r="D93" s="2">
        <v>5.04</v>
      </c>
      <c r="E93" s="2">
        <v>5.13</v>
      </c>
      <c r="F93" s="2">
        <v>3.29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</row>
    <row r="94" spans="1:11" x14ac:dyDescent="0.25">
      <c r="A94" s="1">
        <v>6.3888888888888898E-2</v>
      </c>
      <c r="B94" s="2">
        <v>6.2700000000000005</v>
      </c>
      <c r="C94" s="2">
        <v>3.67</v>
      </c>
      <c r="D94" s="2">
        <v>4.9800000000000004</v>
      </c>
      <c r="E94" s="2">
        <v>4.91</v>
      </c>
      <c r="F94" s="2">
        <v>3.09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</row>
    <row r="95" spans="1:11" x14ac:dyDescent="0.25">
      <c r="A95" s="1">
        <v>6.4583333333333298E-2</v>
      </c>
      <c r="B95" s="2">
        <v>6.1400000000000006</v>
      </c>
      <c r="C95" s="2">
        <v>3.78</v>
      </c>
      <c r="D95" s="2">
        <v>5.0599999999999996</v>
      </c>
      <c r="E95" s="2">
        <v>4.88</v>
      </c>
      <c r="F95" s="2">
        <v>3.08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</row>
    <row r="96" spans="1:11" x14ac:dyDescent="0.25">
      <c r="A96" s="1">
        <v>6.5277777777777796E-2</v>
      </c>
      <c r="B96" s="2">
        <v>6.2200000000000006</v>
      </c>
      <c r="C96" s="2">
        <v>3.74</v>
      </c>
      <c r="D96" s="2">
        <v>5.26</v>
      </c>
      <c r="E96" s="2">
        <v>5.5200000000000005</v>
      </c>
      <c r="F96" s="2">
        <v>2.92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</row>
    <row r="97" spans="1:11" x14ac:dyDescent="0.25">
      <c r="A97" s="1">
        <v>6.5972222222222196E-2</v>
      </c>
      <c r="B97" s="2">
        <v>6.09</v>
      </c>
      <c r="C97" s="2">
        <v>3.77</v>
      </c>
      <c r="D97" s="2">
        <v>4.9800000000000004</v>
      </c>
      <c r="E97" s="2">
        <v>4.95</v>
      </c>
      <c r="F97" s="2">
        <v>3.14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</row>
    <row r="98" spans="1:11" x14ac:dyDescent="0.25">
      <c r="A98" s="1">
        <v>6.6666666666666693E-2</v>
      </c>
      <c r="B98" s="2">
        <v>6.17</v>
      </c>
      <c r="C98" s="2">
        <v>3.92</v>
      </c>
      <c r="D98" s="2">
        <v>4.87</v>
      </c>
      <c r="E98" s="2">
        <v>5.1000000000000005</v>
      </c>
      <c r="F98" s="2">
        <v>3.14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</row>
    <row r="99" spans="1:11" x14ac:dyDescent="0.25">
      <c r="A99" s="1">
        <v>6.7361111111111094E-2</v>
      </c>
      <c r="B99" s="2">
        <v>6.19</v>
      </c>
      <c r="C99" s="2">
        <v>3.64</v>
      </c>
      <c r="D99" s="2">
        <v>5.13</v>
      </c>
      <c r="E99" s="2">
        <v>5.5</v>
      </c>
      <c r="F99" s="2">
        <v>3.24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</row>
    <row r="100" spans="1:11" x14ac:dyDescent="0.25">
      <c r="A100" s="1">
        <v>6.8055555555555605E-2</v>
      </c>
      <c r="B100" s="2">
        <v>6.33</v>
      </c>
      <c r="C100" s="2">
        <v>3.69</v>
      </c>
      <c r="D100" s="2">
        <v>5.23</v>
      </c>
      <c r="E100" s="2">
        <v>5.3100000000000005</v>
      </c>
      <c r="F100" s="2">
        <v>3.2800000000000002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</row>
    <row r="101" spans="1:11" x14ac:dyDescent="0.25">
      <c r="A101" s="1">
        <v>6.8750000000000006E-2</v>
      </c>
      <c r="B101" s="2">
        <v>6.1000000000000005</v>
      </c>
      <c r="C101" s="2">
        <v>3.94</v>
      </c>
      <c r="D101" s="2">
        <v>4.95</v>
      </c>
      <c r="E101" s="2">
        <v>5.1100000000000003</v>
      </c>
      <c r="F101" s="2">
        <v>2.91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</row>
    <row r="102" spans="1:11" x14ac:dyDescent="0.25">
      <c r="A102" s="1">
        <v>6.9444444444444406E-2</v>
      </c>
      <c r="B102" s="2">
        <v>6.2600000000000007</v>
      </c>
      <c r="C102" s="2">
        <v>3.59</v>
      </c>
      <c r="D102" s="2">
        <v>4.99</v>
      </c>
      <c r="E102" s="2">
        <v>5.4300000000000006</v>
      </c>
      <c r="F102" s="2">
        <v>2.97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</row>
    <row r="103" spans="1:11" x14ac:dyDescent="0.25">
      <c r="A103" s="1">
        <v>7.0138888888888903E-2</v>
      </c>
      <c r="B103" s="2">
        <v>6.12</v>
      </c>
      <c r="C103" s="2">
        <v>3.52</v>
      </c>
      <c r="D103" s="2">
        <v>5.09</v>
      </c>
      <c r="E103" s="2">
        <v>5.12</v>
      </c>
      <c r="F103" s="2">
        <v>3.31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</row>
    <row r="104" spans="1:11" x14ac:dyDescent="0.25">
      <c r="A104" s="1">
        <v>7.0833333333333304E-2</v>
      </c>
      <c r="B104" s="2">
        <v>6.28</v>
      </c>
      <c r="C104" s="2">
        <v>3.56</v>
      </c>
      <c r="D104" s="2">
        <v>5.29</v>
      </c>
      <c r="E104" s="2">
        <v>5.5</v>
      </c>
      <c r="F104" s="2">
        <v>2.99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</row>
    <row r="105" spans="1:11" x14ac:dyDescent="0.25">
      <c r="A105" s="1">
        <v>7.1527777777777801E-2</v>
      </c>
      <c r="B105" s="2">
        <v>6.3100000000000005</v>
      </c>
      <c r="C105" s="2">
        <v>3.66</v>
      </c>
      <c r="D105" s="2">
        <v>5.22</v>
      </c>
      <c r="E105" s="2">
        <v>5.45</v>
      </c>
      <c r="F105" s="2">
        <v>3.1100000000000003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</row>
    <row r="106" spans="1:11" x14ac:dyDescent="0.25">
      <c r="A106" s="1">
        <v>7.2222222222222202E-2</v>
      </c>
      <c r="B106" s="2">
        <v>6.09</v>
      </c>
      <c r="C106" s="2">
        <v>3.67</v>
      </c>
      <c r="D106" s="2">
        <v>4.99</v>
      </c>
      <c r="E106" s="2">
        <v>5.53</v>
      </c>
      <c r="F106" s="2">
        <v>2.94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</row>
    <row r="107" spans="1:11" x14ac:dyDescent="0.25">
      <c r="A107" s="1">
        <v>7.2916666666666699E-2</v>
      </c>
      <c r="B107" s="2">
        <v>6.1400000000000006</v>
      </c>
      <c r="C107" s="2">
        <v>3.68</v>
      </c>
      <c r="D107" s="2">
        <v>5.0599999999999996</v>
      </c>
      <c r="E107" s="2">
        <v>5.29</v>
      </c>
      <c r="F107" s="2">
        <v>2.86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</row>
    <row r="108" spans="1:11" x14ac:dyDescent="0.25">
      <c r="A108" s="1">
        <v>7.3611111111111099E-2</v>
      </c>
      <c r="B108" s="2">
        <v>6.1000000000000005</v>
      </c>
      <c r="C108" s="2">
        <v>3.66</v>
      </c>
      <c r="D108" s="2">
        <v>4.95</v>
      </c>
      <c r="E108" s="2">
        <v>5.2600000000000007</v>
      </c>
      <c r="F108" s="2">
        <v>2.83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</row>
    <row r="109" spans="1:11" x14ac:dyDescent="0.25">
      <c r="A109" s="1">
        <v>7.4305555555555597E-2</v>
      </c>
      <c r="B109" s="2">
        <v>6.16</v>
      </c>
      <c r="C109" s="2">
        <v>3.78</v>
      </c>
      <c r="D109" s="2">
        <v>5.05</v>
      </c>
      <c r="E109" s="2">
        <v>4.84</v>
      </c>
      <c r="F109" s="2">
        <v>2.86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</row>
    <row r="110" spans="1:11" x14ac:dyDescent="0.25">
      <c r="A110" s="1">
        <v>7.4999999999999997E-2</v>
      </c>
      <c r="B110" s="2">
        <v>6.24</v>
      </c>
      <c r="C110" s="2">
        <v>3.79</v>
      </c>
      <c r="D110" s="2">
        <v>4.97</v>
      </c>
      <c r="E110" s="2">
        <v>5.03</v>
      </c>
      <c r="F110" s="2">
        <v>3.35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</row>
    <row r="111" spans="1:11" x14ac:dyDescent="0.25">
      <c r="A111" s="1">
        <v>7.5694444444444495E-2</v>
      </c>
      <c r="B111" s="2">
        <v>6.11</v>
      </c>
      <c r="C111" s="2">
        <v>3.77</v>
      </c>
      <c r="D111" s="2">
        <v>4.95</v>
      </c>
      <c r="E111" s="2">
        <v>5.32</v>
      </c>
      <c r="F111" s="2">
        <v>3.33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</row>
    <row r="112" spans="1:11" x14ac:dyDescent="0.25">
      <c r="A112" s="1">
        <v>7.6388888888888895E-2</v>
      </c>
      <c r="B112" s="2">
        <v>6.13</v>
      </c>
      <c r="C112" s="2">
        <v>3.74</v>
      </c>
      <c r="D112" s="2">
        <v>5.25</v>
      </c>
      <c r="E112" s="2">
        <v>5.42</v>
      </c>
      <c r="F112" s="2">
        <v>3.35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</row>
    <row r="113" spans="1:11" x14ac:dyDescent="0.25">
      <c r="A113" s="1">
        <v>7.7083333333333295E-2</v>
      </c>
      <c r="B113" s="2">
        <v>6.32</v>
      </c>
      <c r="C113" s="2">
        <v>3.75</v>
      </c>
      <c r="D113" s="2">
        <v>4.88</v>
      </c>
      <c r="E113" s="2">
        <v>5.21</v>
      </c>
      <c r="F113" s="2">
        <v>3.08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</row>
    <row r="114" spans="1:11" x14ac:dyDescent="0.25">
      <c r="A114" s="1">
        <v>7.7777777777777807E-2</v>
      </c>
      <c r="B114" s="2">
        <v>6.1000000000000005</v>
      </c>
      <c r="C114" s="2">
        <v>3.85</v>
      </c>
      <c r="D114" s="2">
        <v>4.78</v>
      </c>
      <c r="E114" s="2">
        <v>5.2200000000000006</v>
      </c>
      <c r="F114" s="2">
        <v>3.31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</row>
    <row r="115" spans="1:11" x14ac:dyDescent="0.25">
      <c r="A115" s="1">
        <v>7.8472222222222193E-2</v>
      </c>
      <c r="B115" s="2">
        <v>6.16</v>
      </c>
      <c r="C115" s="2">
        <v>3.86</v>
      </c>
      <c r="D115" s="2">
        <v>5.19</v>
      </c>
      <c r="E115" s="2">
        <v>5.36</v>
      </c>
      <c r="F115" s="2">
        <v>3.2800000000000002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</row>
    <row r="116" spans="1:11" x14ac:dyDescent="0.25">
      <c r="A116" s="1">
        <v>7.9166666666666705E-2</v>
      </c>
      <c r="B116" s="2">
        <v>6.1000000000000005</v>
      </c>
      <c r="C116" s="2">
        <v>3.48</v>
      </c>
      <c r="D116" s="2">
        <v>5.16</v>
      </c>
      <c r="E116" s="2">
        <v>5.08</v>
      </c>
      <c r="F116" s="2">
        <v>3.0300000000000002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</row>
    <row r="117" spans="1:11" x14ac:dyDescent="0.25">
      <c r="A117" s="1">
        <v>7.9861111111111105E-2</v>
      </c>
      <c r="B117" s="2">
        <v>6.12</v>
      </c>
      <c r="C117" s="2">
        <v>3.68</v>
      </c>
      <c r="D117" s="2">
        <v>4.97</v>
      </c>
      <c r="E117" s="2">
        <v>4.92</v>
      </c>
      <c r="F117" s="2">
        <v>2.93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</row>
    <row r="118" spans="1:11" x14ac:dyDescent="0.25">
      <c r="A118" s="1">
        <v>8.0555555555555602E-2</v>
      </c>
      <c r="B118" s="2">
        <v>6.33</v>
      </c>
      <c r="C118" s="2">
        <v>3.95</v>
      </c>
      <c r="D118" s="2">
        <v>4.92</v>
      </c>
      <c r="E118" s="2">
        <v>5.1000000000000005</v>
      </c>
      <c r="F118" s="2">
        <v>3.0100000000000002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</row>
    <row r="119" spans="1:11" x14ac:dyDescent="0.25">
      <c r="A119" s="1">
        <v>8.1250000000000003E-2</v>
      </c>
      <c r="B119" s="2">
        <v>6.15</v>
      </c>
      <c r="C119" s="2">
        <v>3.46</v>
      </c>
      <c r="D119" s="2">
        <v>5.26</v>
      </c>
      <c r="E119" s="2">
        <v>5.21</v>
      </c>
      <c r="F119" s="2">
        <v>2.89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</row>
    <row r="120" spans="1:11" x14ac:dyDescent="0.25">
      <c r="A120" s="1">
        <v>8.1944444444444403E-2</v>
      </c>
      <c r="B120" s="2">
        <v>6.07</v>
      </c>
      <c r="C120" s="2">
        <v>3.27</v>
      </c>
      <c r="D120" s="2">
        <v>5.21</v>
      </c>
      <c r="E120" s="2">
        <v>5.0200000000000005</v>
      </c>
      <c r="F120" s="2">
        <v>2.96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</row>
    <row r="121" spans="1:11" x14ac:dyDescent="0.25">
      <c r="A121" s="1">
        <v>8.2638888888888901E-2</v>
      </c>
      <c r="B121" s="2">
        <v>6.23</v>
      </c>
      <c r="C121" s="2">
        <v>3.86</v>
      </c>
      <c r="D121" s="2">
        <v>4.92</v>
      </c>
      <c r="E121" s="2">
        <v>5.33</v>
      </c>
      <c r="F121" s="2">
        <v>3.2600000000000002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</row>
    <row r="122" spans="1:11" x14ac:dyDescent="0.25">
      <c r="A122" s="3">
        <v>8.3333333333333301E-2</v>
      </c>
      <c r="B122" s="4">
        <v>6.19</v>
      </c>
      <c r="C122" s="4">
        <v>3.67</v>
      </c>
      <c r="D122" s="4">
        <v>5.09</v>
      </c>
      <c r="E122" s="4">
        <v>5.26</v>
      </c>
      <c r="F122" s="4">
        <v>3.09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</row>
    <row r="123" spans="1:11" x14ac:dyDescent="0.25">
      <c r="A123" s="1">
        <v>8.4027777777777798E-2</v>
      </c>
      <c r="B123" s="2">
        <v>6.23</v>
      </c>
      <c r="C123" s="2">
        <v>3.45</v>
      </c>
      <c r="D123" s="2">
        <v>4.87</v>
      </c>
      <c r="E123" s="2">
        <v>4.84</v>
      </c>
      <c r="F123" s="2">
        <v>2.92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</row>
    <row r="124" spans="1:11" x14ac:dyDescent="0.25">
      <c r="A124" s="1">
        <v>8.4722222222222199E-2</v>
      </c>
      <c r="B124" s="2">
        <v>6.11</v>
      </c>
      <c r="C124" s="2">
        <v>3.64</v>
      </c>
      <c r="D124" s="2">
        <v>5.0600000000000005</v>
      </c>
      <c r="E124" s="2">
        <v>4.9800000000000004</v>
      </c>
      <c r="F124" s="2">
        <v>3.19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</row>
    <row r="125" spans="1:11" x14ac:dyDescent="0.25">
      <c r="A125" s="1">
        <v>8.5416666666666696E-2</v>
      </c>
      <c r="B125" s="2">
        <v>6.32</v>
      </c>
      <c r="C125" s="2">
        <v>3.48</v>
      </c>
      <c r="D125" s="2">
        <v>4.96</v>
      </c>
      <c r="E125" s="2">
        <v>5.36</v>
      </c>
      <c r="F125" s="2">
        <v>3.19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</row>
    <row r="126" spans="1:11" x14ac:dyDescent="0.25">
      <c r="A126" s="1">
        <v>8.6111111111111097E-2</v>
      </c>
      <c r="B126" s="2">
        <v>6.25</v>
      </c>
      <c r="C126" s="2">
        <v>3.79</v>
      </c>
      <c r="D126" s="2">
        <v>5.2</v>
      </c>
      <c r="E126" s="2">
        <v>4.84</v>
      </c>
      <c r="F126" s="2">
        <v>3.06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</row>
    <row r="127" spans="1:11" x14ac:dyDescent="0.25">
      <c r="A127" s="1">
        <v>8.6805555555555594E-2</v>
      </c>
      <c r="B127" s="2">
        <v>6.29</v>
      </c>
      <c r="C127" s="2">
        <v>3.67</v>
      </c>
      <c r="D127" s="2">
        <v>5.09</v>
      </c>
      <c r="E127" s="2">
        <v>4.8600000000000003</v>
      </c>
      <c r="F127" s="2">
        <v>3.17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</row>
    <row r="128" spans="1:11" x14ac:dyDescent="0.25">
      <c r="A128" s="1">
        <v>8.7499999999999994E-2</v>
      </c>
      <c r="B128" s="2">
        <v>6.17</v>
      </c>
      <c r="C128" s="2">
        <v>3.79</v>
      </c>
      <c r="D128" s="2">
        <v>5.19</v>
      </c>
      <c r="E128" s="2">
        <v>4.8500000000000005</v>
      </c>
      <c r="F128" s="2">
        <v>3.13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</row>
    <row r="129" spans="1:11" x14ac:dyDescent="0.25">
      <c r="A129" s="1">
        <v>8.8194444444444506E-2</v>
      </c>
      <c r="B129" s="2">
        <v>6.07</v>
      </c>
      <c r="C129" s="2">
        <v>3.77</v>
      </c>
      <c r="D129" s="2">
        <v>4.99</v>
      </c>
      <c r="E129" s="2">
        <v>5.3900000000000006</v>
      </c>
      <c r="F129" s="2">
        <v>2.95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</row>
    <row r="130" spans="1:11" x14ac:dyDescent="0.25">
      <c r="A130" s="1">
        <v>8.8888888888888906E-2</v>
      </c>
      <c r="B130" s="2">
        <v>6.23</v>
      </c>
      <c r="C130" s="2">
        <v>3.46</v>
      </c>
      <c r="D130" s="2">
        <v>4.88</v>
      </c>
      <c r="E130" s="2">
        <v>5.28</v>
      </c>
      <c r="F130" s="2">
        <v>3.0700000000000003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</row>
    <row r="131" spans="1:11" x14ac:dyDescent="0.25">
      <c r="A131" s="1">
        <v>8.9583333333333307E-2</v>
      </c>
      <c r="B131" s="2">
        <v>6.3000000000000007</v>
      </c>
      <c r="C131" s="2">
        <v>3.59</v>
      </c>
      <c r="D131" s="2">
        <v>5.01</v>
      </c>
      <c r="E131" s="2">
        <v>5.03</v>
      </c>
      <c r="F131" s="2">
        <v>3.34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</row>
    <row r="132" spans="1:11" x14ac:dyDescent="0.25">
      <c r="A132" s="1">
        <v>9.0277777777777804E-2</v>
      </c>
      <c r="B132" s="2">
        <v>6.28</v>
      </c>
      <c r="C132" s="2">
        <v>3.58</v>
      </c>
      <c r="D132" s="2">
        <v>5</v>
      </c>
      <c r="E132" s="2">
        <v>5.1000000000000005</v>
      </c>
      <c r="F132" s="2">
        <v>3.2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</row>
    <row r="133" spans="1:11" x14ac:dyDescent="0.25">
      <c r="A133" s="1">
        <v>9.0972222222222204E-2</v>
      </c>
      <c r="B133" s="2">
        <v>6.11</v>
      </c>
      <c r="C133" s="2">
        <v>3.91</v>
      </c>
      <c r="D133" s="2">
        <v>5.17</v>
      </c>
      <c r="E133" s="2">
        <v>5.42</v>
      </c>
      <c r="F133" s="2">
        <v>3.24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</row>
    <row r="134" spans="1:11" x14ac:dyDescent="0.25">
      <c r="A134" s="1">
        <v>9.1666666666666702E-2</v>
      </c>
      <c r="B134" s="2">
        <v>6.09</v>
      </c>
      <c r="C134" s="2">
        <v>3.69</v>
      </c>
      <c r="D134" s="2">
        <v>5.1099999999999994</v>
      </c>
      <c r="E134" s="2">
        <v>5.21</v>
      </c>
      <c r="F134" s="2">
        <v>2.93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</row>
    <row r="135" spans="1:11" x14ac:dyDescent="0.25">
      <c r="A135" s="1">
        <v>9.2361111111111102E-2</v>
      </c>
      <c r="B135" s="2">
        <v>6.08</v>
      </c>
      <c r="C135" s="2">
        <v>3.76</v>
      </c>
      <c r="D135" s="2">
        <v>5.18</v>
      </c>
      <c r="E135" s="2">
        <v>5.3500000000000005</v>
      </c>
      <c r="F135" s="2">
        <v>3.24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</row>
    <row r="136" spans="1:11" x14ac:dyDescent="0.25">
      <c r="A136" s="1">
        <v>9.30555555555556E-2</v>
      </c>
      <c r="B136" s="2">
        <v>6.32</v>
      </c>
      <c r="C136" s="2">
        <v>3.7</v>
      </c>
      <c r="D136" s="2">
        <v>5.12</v>
      </c>
      <c r="E136" s="2">
        <v>5.41</v>
      </c>
      <c r="F136" s="2">
        <v>3.0700000000000003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</row>
    <row r="137" spans="1:11" x14ac:dyDescent="0.25">
      <c r="A137" s="1">
        <v>9.375E-2</v>
      </c>
      <c r="B137" s="2">
        <v>6.32</v>
      </c>
      <c r="C137" s="2">
        <v>3.75</v>
      </c>
      <c r="D137" s="2">
        <v>5.0999999999999996</v>
      </c>
      <c r="E137" s="2">
        <v>5.17</v>
      </c>
      <c r="F137" s="2">
        <v>2.97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</row>
    <row r="138" spans="1:11" x14ac:dyDescent="0.25">
      <c r="A138" s="1">
        <v>9.44444444444444E-2</v>
      </c>
      <c r="B138" s="2">
        <v>6.12</v>
      </c>
      <c r="C138" s="2">
        <v>3.74</v>
      </c>
      <c r="D138" s="2">
        <v>5.16</v>
      </c>
      <c r="E138" s="2">
        <v>5.5200000000000005</v>
      </c>
      <c r="F138" s="2">
        <v>3.2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</row>
    <row r="139" spans="1:11" x14ac:dyDescent="0.25">
      <c r="A139" s="1">
        <v>9.5138888888888898E-2</v>
      </c>
      <c r="B139" s="2">
        <v>6.16</v>
      </c>
      <c r="C139" s="2">
        <v>3.59</v>
      </c>
      <c r="D139" s="2">
        <v>4.99</v>
      </c>
      <c r="E139" s="2">
        <v>5.2</v>
      </c>
      <c r="F139" s="2">
        <v>3.08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</row>
    <row r="140" spans="1:11" x14ac:dyDescent="0.25">
      <c r="A140" s="1">
        <v>9.5833333333333298E-2</v>
      </c>
      <c r="B140" s="2">
        <v>6.08</v>
      </c>
      <c r="C140" s="2">
        <v>3.68</v>
      </c>
      <c r="D140" s="2">
        <v>5.0999999999999996</v>
      </c>
      <c r="E140" s="2">
        <v>5.1800000000000006</v>
      </c>
      <c r="F140" s="2">
        <v>3.3200000000000003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</row>
    <row r="141" spans="1:11" x14ac:dyDescent="0.25">
      <c r="A141" s="1">
        <v>9.6527777777777796E-2</v>
      </c>
      <c r="B141" s="2">
        <v>6.2700000000000005</v>
      </c>
      <c r="C141" s="2">
        <v>3.85</v>
      </c>
      <c r="D141" s="2">
        <v>5.27</v>
      </c>
      <c r="E141" s="2">
        <v>5.2600000000000007</v>
      </c>
      <c r="F141" s="2">
        <v>3.0700000000000003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</row>
    <row r="142" spans="1:11" x14ac:dyDescent="0.25">
      <c r="A142" s="1">
        <v>9.7222222222222196E-2</v>
      </c>
      <c r="B142" s="2">
        <v>6.2600000000000007</v>
      </c>
      <c r="C142" s="2">
        <v>3.59</v>
      </c>
      <c r="D142" s="2">
        <v>5.01</v>
      </c>
      <c r="E142" s="2">
        <v>5.13</v>
      </c>
      <c r="F142" s="2">
        <v>3.13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</row>
    <row r="143" spans="1:11" x14ac:dyDescent="0.25">
      <c r="A143" s="1">
        <v>9.7916666666666693E-2</v>
      </c>
      <c r="B143" s="2">
        <v>6.15</v>
      </c>
      <c r="C143" s="2">
        <v>3.55</v>
      </c>
      <c r="D143" s="2">
        <v>4.97</v>
      </c>
      <c r="E143" s="2">
        <v>5.5</v>
      </c>
      <c r="F143" s="2">
        <v>3.31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</row>
    <row r="144" spans="1:11" x14ac:dyDescent="0.25">
      <c r="A144" s="1">
        <v>9.8611111111111094E-2</v>
      </c>
      <c r="B144" s="2">
        <v>6.32</v>
      </c>
      <c r="C144" s="2">
        <v>3.54</v>
      </c>
      <c r="D144" s="2">
        <v>4.96</v>
      </c>
      <c r="E144" s="2">
        <v>4.9000000000000004</v>
      </c>
      <c r="F144" s="2">
        <v>3.2800000000000002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</row>
    <row r="145" spans="1:11" x14ac:dyDescent="0.25">
      <c r="A145" s="1">
        <v>9.9305555555555605E-2</v>
      </c>
      <c r="B145" s="2">
        <v>6.09</v>
      </c>
      <c r="C145" s="2">
        <v>3.89</v>
      </c>
      <c r="D145" s="2">
        <v>5.33</v>
      </c>
      <c r="E145" s="2">
        <v>5.12</v>
      </c>
      <c r="F145" s="2">
        <v>2.96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</row>
    <row r="146" spans="1:11" x14ac:dyDescent="0.25">
      <c r="A146" s="1">
        <v>0.1</v>
      </c>
      <c r="B146" s="2">
        <v>6.3000000000000007</v>
      </c>
      <c r="C146" s="2">
        <v>3.94</v>
      </c>
      <c r="D146" s="2">
        <v>5.05</v>
      </c>
      <c r="E146" s="2">
        <v>5.03</v>
      </c>
      <c r="F146" s="2">
        <v>3.2800000000000002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</row>
    <row r="147" spans="1:11" x14ac:dyDescent="0.25">
      <c r="A147" s="1">
        <v>0.100694444444444</v>
      </c>
      <c r="B147" s="2">
        <v>6.28</v>
      </c>
      <c r="C147" s="2">
        <v>3.86</v>
      </c>
      <c r="D147" s="2">
        <v>5.2799999999999994</v>
      </c>
      <c r="E147" s="2">
        <v>5.33</v>
      </c>
      <c r="F147" s="2">
        <v>3.0300000000000002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</row>
    <row r="148" spans="1:11" x14ac:dyDescent="0.25">
      <c r="A148" s="1">
        <v>0.101388888888889</v>
      </c>
      <c r="B148" s="2">
        <v>6.13</v>
      </c>
      <c r="C148" s="2">
        <v>3.87</v>
      </c>
      <c r="D148" s="2">
        <v>4.97</v>
      </c>
      <c r="E148" s="2">
        <v>4.88</v>
      </c>
      <c r="F148" s="2">
        <v>3.19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</row>
    <row r="149" spans="1:11" x14ac:dyDescent="0.25">
      <c r="A149" s="1">
        <v>0.102083333333333</v>
      </c>
      <c r="B149" s="2">
        <v>6.13</v>
      </c>
      <c r="C149" s="2">
        <v>3.85</v>
      </c>
      <c r="D149" s="2">
        <v>5.27</v>
      </c>
      <c r="E149" s="2">
        <v>5.49</v>
      </c>
      <c r="F149" s="2">
        <v>2.97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</row>
    <row r="150" spans="1:11" x14ac:dyDescent="0.25">
      <c r="A150" s="1">
        <v>0.102777777777778</v>
      </c>
      <c r="B150" s="2">
        <v>6.2200000000000006</v>
      </c>
      <c r="C150" s="2">
        <v>3.82</v>
      </c>
      <c r="D150" s="2">
        <v>5.24</v>
      </c>
      <c r="E150" s="2">
        <v>5.25</v>
      </c>
      <c r="F150" s="2">
        <v>3.0700000000000003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</row>
    <row r="151" spans="1:11" x14ac:dyDescent="0.25">
      <c r="A151" s="1">
        <v>0.10347222222222199</v>
      </c>
      <c r="B151" s="2">
        <v>6.15</v>
      </c>
      <c r="C151" s="2">
        <v>3.88</v>
      </c>
      <c r="D151" s="2">
        <v>5.09</v>
      </c>
      <c r="E151" s="2">
        <v>5.1400000000000006</v>
      </c>
      <c r="F151" s="2">
        <v>3.24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</row>
    <row r="152" spans="1:11" x14ac:dyDescent="0.25">
      <c r="A152" s="1">
        <v>0.104166666666667</v>
      </c>
      <c r="B152" s="2">
        <v>6.25</v>
      </c>
      <c r="C152" s="2">
        <v>3.48</v>
      </c>
      <c r="D152" s="2">
        <v>4.88</v>
      </c>
      <c r="E152" s="2">
        <v>4.88</v>
      </c>
      <c r="F152" s="2">
        <v>2.86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</row>
    <row r="153" spans="1:11" x14ac:dyDescent="0.25">
      <c r="A153" s="1">
        <v>0.104861111111111</v>
      </c>
      <c r="B153" s="2">
        <v>6.07</v>
      </c>
      <c r="C153" s="2">
        <v>3.59</v>
      </c>
      <c r="D153" s="2">
        <v>5.01</v>
      </c>
      <c r="E153" s="2">
        <v>5.23</v>
      </c>
      <c r="F153" s="2">
        <v>3.21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</row>
    <row r="154" spans="1:11" x14ac:dyDescent="0.25">
      <c r="A154" s="1">
        <v>0.105555555555556</v>
      </c>
      <c r="B154" s="2">
        <v>6.13</v>
      </c>
      <c r="C154" s="2">
        <v>3.49</v>
      </c>
      <c r="D154" s="2">
        <v>4.91</v>
      </c>
      <c r="E154" s="2">
        <v>4.95</v>
      </c>
      <c r="F154" s="2">
        <v>3.14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</row>
    <row r="155" spans="1:11" x14ac:dyDescent="0.25">
      <c r="A155" s="1">
        <v>0.10625</v>
      </c>
      <c r="B155" s="2">
        <v>6.21</v>
      </c>
      <c r="C155" s="2">
        <v>3.55</v>
      </c>
      <c r="D155" s="2">
        <v>4.95</v>
      </c>
      <c r="E155" s="2">
        <v>5.19</v>
      </c>
      <c r="F155" s="2">
        <v>2.86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</row>
    <row r="156" spans="1:11" x14ac:dyDescent="0.25">
      <c r="A156" s="1">
        <v>0.106944444444444</v>
      </c>
      <c r="B156" s="2">
        <v>6.28</v>
      </c>
      <c r="C156" s="2">
        <v>3.91</v>
      </c>
      <c r="D156" s="2">
        <v>5.33</v>
      </c>
      <c r="E156" s="2">
        <v>5.2600000000000007</v>
      </c>
      <c r="F156" s="2">
        <v>3.02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</row>
    <row r="157" spans="1:11" x14ac:dyDescent="0.25">
      <c r="A157" s="1">
        <v>0.10763888888888901</v>
      </c>
      <c r="B157" s="2">
        <v>6.3100000000000005</v>
      </c>
      <c r="C157" s="2">
        <v>3.69</v>
      </c>
      <c r="D157" s="2">
        <v>5.1099999999999994</v>
      </c>
      <c r="E157" s="2">
        <v>4.83</v>
      </c>
      <c r="F157" s="2">
        <v>3.08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</row>
    <row r="158" spans="1:11" x14ac:dyDescent="0.25">
      <c r="A158" s="1">
        <v>0.108333333333333</v>
      </c>
      <c r="B158" s="2">
        <v>6.13</v>
      </c>
      <c r="C158" s="2">
        <v>3.6</v>
      </c>
      <c r="D158" s="2">
        <v>5.0199999999999996</v>
      </c>
      <c r="E158" s="2">
        <v>5.5200000000000005</v>
      </c>
      <c r="F158" s="2">
        <v>3.1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</row>
    <row r="159" spans="1:11" x14ac:dyDescent="0.25">
      <c r="A159" s="1">
        <v>0.109027777777778</v>
      </c>
      <c r="B159" s="2">
        <v>6.2700000000000005</v>
      </c>
      <c r="C159" s="2">
        <v>3.66</v>
      </c>
      <c r="D159" s="2">
        <v>5.08</v>
      </c>
      <c r="E159" s="2">
        <v>5.5200000000000005</v>
      </c>
      <c r="F159" s="2">
        <v>2.83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</row>
    <row r="160" spans="1:11" x14ac:dyDescent="0.25">
      <c r="A160" s="1">
        <v>0.109722222222222</v>
      </c>
      <c r="B160" s="2">
        <v>6.2700000000000005</v>
      </c>
      <c r="C160" s="2">
        <v>3.69</v>
      </c>
      <c r="D160" s="2">
        <v>5.21</v>
      </c>
      <c r="E160" s="2">
        <v>4.8600000000000003</v>
      </c>
      <c r="F160" s="2">
        <v>3.2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</row>
    <row r="161" spans="1:11" x14ac:dyDescent="0.25">
      <c r="A161" s="1">
        <v>0.110416666666667</v>
      </c>
      <c r="B161" s="2">
        <v>6.16</v>
      </c>
      <c r="C161" s="2">
        <v>3.57</v>
      </c>
      <c r="D161" s="2">
        <v>4.99</v>
      </c>
      <c r="E161" s="2">
        <v>5.15</v>
      </c>
      <c r="F161" s="2">
        <v>3.0100000000000002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</row>
    <row r="162" spans="1:11" x14ac:dyDescent="0.25">
      <c r="A162" s="1">
        <v>0.11111111111111099</v>
      </c>
      <c r="B162" s="2">
        <v>6.08</v>
      </c>
      <c r="C162" s="2">
        <v>3.76</v>
      </c>
      <c r="D162" s="2">
        <v>5.17</v>
      </c>
      <c r="E162" s="2">
        <v>5.21</v>
      </c>
      <c r="F162" s="2">
        <v>3.15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</row>
    <row r="163" spans="1:11" x14ac:dyDescent="0.25">
      <c r="A163" s="1">
        <v>0.111805555555556</v>
      </c>
      <c r="B163" s="2">
        <v>6.09</v>
      </c>
      <c r="C163" s="2">
        <v>3.77</v>
      </c>
      <c r="D163" s="2">
        <v>5.1899999999999995</v>
      </c>
      <c r="E163" s="2">
        <v>5.44</v>
      </c>
      <c r="F163" s="2">
        <v>2.85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</row>
    <row r="164" spans="1:11" x14ac:dyDescent="0.25">
      <c r="A164" s="1">
        <v>0.1125</v>
      </c>
      <c r="B164" s="2">
        <v>6.23</v>
      </c>
      <c r="C164" s="2">
        <v>3.79</v>
      </c>
      <c r="D164" s="2">
        <v>5.01</v>
      </c>
      <c r="E164" s="2">
        <v>5.45</v>
      </c>
      <c r="F164" s="2">
        <v>3.34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</row>
    <row r="165" spans="1:11" x14ac:dyDescent="0.25">
      <c r="A165" s="1">
        <v>0.113194444444444</v>
      </c>
      <c r="B165" s="2">
        <v>6.16</v>
      </c>
      <c r="C165" s="2">
        <v>3.76</v>
      </c>
      <c r="D165" s="2">
        <v>5.18</v>
      </c>
      <c r="E165" s="2">
        <v>5.45</v>
      </c>
      <c r="F165" s="2">
        <v>3.18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</row>
    <row r="166" spans="1:11" x14ac:dyDescent="0.25">
      <c r="A166" s="1">
        <v>0.113888888888889</v>
      </c>
      <c r="B166" s="2">
        <v>6.21</v>
      </c>
      <c r="C166" s="2">
        <v>3.78</v>
      </c>
      <c r="D166" s="2">
        <v>5.1999999999999993</v>
      </c>
      <c r="E166" s="2">
        <v>5.53</v>
      </c>
      <c r="F166" s="2">
        <v>3.13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</row>
    <row r="167" spans="1:11" x14ac:dyDescent="0.25">
      <c r="A167" s="1">
        <v>0.114583333333333</v>
      </c>
      <c r="B167" s="2">
        <v>6.2200000000000006</v>
      </c>
      <c r="C167" s="2">
        <v>3.84</v>
      </c>
      <c r="D167" s="2">
        <v>5.26</v>
      </c>
      <c r="E167" s="2">
        <v>5.33</v>
      </c>
      <c r="F167" s="2">
        <v>3.14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</row>
    <row r="168" spans="1:11" x14ac:dyDescent="0.25">
      <c r="A168" s="1">
        <v>0.11527777777777801</v>
      </c>
      <c r="B168" s="2">
        <v>6.24</v>
      </c>
      <c r="C168" s="2">
        <v>3.88</v>
      </c>
      <c r="D168" s="2">
        <v>5.3</v>
      </c>
      <c r="E168" s="2">
        <v>4.82</v>
      </c>
      <c r="F168" s="2">
        <v>2.96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</row>
    <row r="169" spans="1:11" x14ac:dyDescent="0.25">
      <c r="A169" s="1">
        <v>0.115972222222222</v>
      </c>
      <c r="B169" s="2">
        <v>6.13</v>
      </c>
      <c r="C169" s="2">
        <v>3.86</v>
      </c>
      <c r="D169" s="2">
        <v>5.08</v>
      </c>
      <c r="E169" s="2">
        <v>5.34</v>
      </c>
      <c r="F169" s="2">
        <v>2.93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</row>
    <row r="170" spans="1:11" x14ac:dyDescent="0.25">
      <c r="A170" s="1">
        <v>0.116666666666667</v>
      </c>
      <c r="B170" s="2">
        <v>6.1800000000000006</v>
      </c>
      <c r="C170" s="2">
        <v>3.67</v>
      </c>
      <c r="D170" s="2">
        <v>5.09</v>
      </c>
      <c r="E170" s="2">
        <v>5.53</v>
      </c>
      <c r="F170" s="2">
        <v>3.35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</row>
    <row r="171" spans="1:11" x14ac:dyDescent="0.25">
      <c r="A171" s="1">
        <v>0.117361111111111</v>
      </c>
      <c r="B171" s="2">
        <v>6.23</v>
      </c>
      <c r="C171" s="2">
        <v>3.59</v>
      </c>
      <c r="D171" s="2">
        <v>5</v>
      </c>
      <c r="E171" s="2">
        <v>5.0500000000000007</v>
      </c>
      <c r="F171" s="2">
        <v>3.06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</row>
    <row r="172" spans="1:11" x14ac:dyDescent="0.25">
      <c r="A172" s="1">
        <v>0.118055555555556</v>
      </c>
      <c r="B172" s="2">
        <v>6.3000000000000007</v>
      </c>
      <c r="C172" s="2">
        <v>3.66</v>
      </c>
      <c r="D172" s="2">
        <v>5.08</v>
      </c>
      <c r="E172" s="2">
        <v>5.25</v>
      </c>
      <c r="F172" s="2">
        <v>3.1100000000000003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</row>
    <row r="173" spans="1:11" x14ac:dyDescent="0.25">
      <c r="A173" s="1">
        <v>0.11874999999999999</v>
      </c>
      <c r="B173" s="2">
        <v>6.3000000000000007</v>
      </c>
      <c r="C173" s="2">
        <v>3.85</v>
      </c>
      <c r="D173" s="2">
        <v>5.27</v>
      </c>
      <c r="E173" s="2">
        <v>5.42</v>
      </c>
      <c r="F173" s="2">
        <v>2.9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</row>
    <row r="174" spans="1:11" x14ac:dyDescent="0.25">
      <c r="A174" s="1">
        <v>0.11944444444444401</v>
      </c>
      <c r="B174" s="2">
        <v>6.07</v>
      </c>
      <c r="C174" s="2">
        <v>3.91</v>
      </c>
      <c r="D174" s="2">
        <v>5.33</v>
      </c>
      <c r="E174" s="2">
        <v>4.9000000000000004</v>
      </c>
      <c r="F174" s="2">
        <v>2.89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</row>
    <row r="175" spans="1:11" x14ac:dyDescent="0.25">
      <c r="A175" s="1">
        <v>0.120138888888889</v>
      </c>
      <c r="B175" s="2">
        <v>6.25</v>
      </c>
      <c r="C175" s="2">
        <v>3.46</v>
      </c>
      <c r="D175" s="2">
        <v>4.88</v>
      </c>
      <c r="E175" s="2">
        <v>5.3800000000000008</v>
      </c>
      <c r="F175" s="2">
        <v>3.0700000000000003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</row>
    <row r="176" spans="1:11" x14ac:dyDescent="0.25">
      <c r="A176" s="1">
        <v>0.120833333333333</v>
      </c>
      <c r="B176" s="2">
        <v>6.09</v>
      </c>
      <c r="C176" s="2">
        <v>3.68</v>
      </c>
      <c r="D176" s="2">
        <v>5.0999999999999996</v>
      </c>
      <c r="E176" s="2">
        <v>4.82</v>
      </c>
      <c r="F176" s="2">
        <v>3.09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</row>
    <row r="177" spans="1:11" x14ac:dyDescent="0.25">
      <c r="A177" s="1">
        <v>0.121527777777778</v>
      </c>
      <c r="B177" s="2">
        <v>6.28</v>
      </c>
      <c r="C177" s="2">
        <v>3.67</v>
      </c>
      <c r="D177" s="2">
        <v>5.09</v>
      </c>
      <c r="E177" s="2">
        <v>5.2200000000000006</v>
      </c>
      <c r="F177" s="2">
        <v>3.0700000000000003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</row>
    <row r="178" spans="1:11" x14ac:dyDescent="0.25">
      <c r="A178" s="1">
        <v>0.122222222222222</v>
      </c>
      <c r="B178" s="2">
        <v>6.17</v>
      </c>
      <c r="C178" s="2">
        <v>3.61</v>
      </c>
      <c r="D178" s="2">
        <v>5.04</v>
      </c>
      <c r="E178" s="2">
        <v>5.12</v>
      </c>
      <c r="F178" s="2">
        <v>3.27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</row>
    <row r="179" spans="1:11" x14ac:dyDescent="0.25">
      <c r="A179" s="1">
        <v>0.12291666666666699</v>
      </c>
      <c r="B179" s="2">
        <v>6.16</v>
      </c>
      <c r="C179" s="2">
        <v>3.65</v>
      </c>
      <c r="D179" s="2">
        <v>5.09</v>
      </c>
      <c r="E179" s="2">
        <v>5.33</v>
      </c>
      <c r="F179" s="2">
        <v>3.13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</row>
    <row r="180" spans="1:11" x14ac:dyDescent="0.25">
      <c r="A180" s="1">
        <v>0.12361111111111101</v>
      </c>
      <c r="B180" s="2">
        <v>6.09</v>
      </c>
      <c r="C180" s="2">
        <v>3.59</v>
      </c>
      <c r="D180" s="2">
        <v>5.0199999999999996</v>
      </c>
      <c r="E180" s="2">
        <v>5.4700000000000006</v>
      </c>
      <c r="F180" s="2">
        <v>3.2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</row>
    <row r="181" spans="1:11" x14ac:dyDescent="0.25">
      <c r="A181" s="1">
        <v>0.124305555555556</v>
      </c>
      <c r="B181" s="2">
        <v>6.07</v>
      </c>
      <c r="C181" s="2">
        <v>3.84</v>
      </c>
      <c r="D181" s="2">
        <v>5.25</v>
      </c>
      <c r="E181" s="2">
        <v>4.8900000000000006</v>
      </c>
      <c r="F181" s="2">
        <v>3.09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</row>
    <row r="182" spans="1:11" x14ac:dyDescent="0.25">
      <c r="A182" s="3">
        <v>0.125</v>
      </c>
      <c r="B182" s="4">
        <v>6.19</v>
      </c>
      <c r="C182" s="4">
        <v>3.67</v>
      </c>
      <c r="D182" s="4">
        <v>5.09</v>
      </c>
      <c r="E182" s="4">
        <v>5.26</v>
      </c>
      <c r="F182" s="4">
        <v>3.09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</row>
    <row r="183" spans="1:11" x14ac:dyDescent="0.25">
      <c r="A183" s="1">
        <v>0.125694444444444</v>
      </c>
      <c r="B183" s="2">
        <v>6.2200000000000006</v>
      </c>
      <c r="C183" s="2">
        <v>3.6999999999999997</v>
      </c>
      <c r="D183" s="2">
        <v>5.0200000000000005</v>
      </c>
      <c r="E183" s="2">
        <v>5</v>
      </c>
      <c r="F183" s="2">
        <v>3.15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</row>
    <row r="184" spans="1:11" x14ac:dyDescent="0.25">
      <c r="A184" s="1">
        <v>0.12638888888888899</v>
      </c>
      <c r="B184" s="2">
        <v>6.3000000000000007</v>
      </c>
      <c r="C184" s="2">
        <v>3.71</v>
      </c>
      <c r="D184" s="2">
        <v>5.25</v>
      </c>
      <c r="E184" s="2">
        <v>5.49</v>
      </c>
      <c r="F184" s="2">
        <v>3.27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</row>
    <row r="185" spans="1:11" x14ac:dyDescent="0.25">
      <c r="A185" s="1">
        <v>0.12708333333333299</v>
      </c>
      <c r="B185" s="2">
        <v>6.25</v>
      </c>
      <c r="C185" s="2">
        <v>3.7399999999999998</v>
      </c>
      <c r="D185" s="2">
        <v>5.1400000000000006</v>
      </c>
      <c r="E185" s="2">
        <v>5.0500000000000007</v>
      </c>
      <c r="F185" s="2">
        <v>3.04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</row>
    <row r="186" spans="1:11" x14ac:dyDescent="0.25">
      <c r="A186" s="1">
        <v>0.12777777777777799</v>
      </c>
      <c r="B186" s="2">
        <v>6.25</v>
      </c>
      <c r="C186" s="2">
        <v>3.76</v>
      </c>
      <c r="D186" s="2">
        <v>4.99</v>
      </c>
      <c r="E186" s="2">
        <v>5.33</v>
      </c>
      <c r="F186" s="2">
        <v>2.88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</row>
    <row r="187" spans="1:11" x14ac:dyDescent="0.25">
      <c r="A187" s="1">
        <v>0.12847222222222199</v>
      </c>
      <c r="B187" s="2">
        <v>6.13</v>
      </c>
      <c r="C187" s="2">
        <v>3.75</v>
      </c>
      <c r="D187" s="2">
        <v>4.9400000000000004</v>
      </c>
      <c r="E187" s="2">
        <v>4.88</v>
      </c>
      <c r="F187" s="2">
        <v>3.0100000000000002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</row>
    <row r="188" spans="1:11" x14ac:dyDescent="0.25">
      <c r="A188" s="1">
        <v>0.12916666666666701</v>
      </c>
      <c r="B188" s="2">
        <v>6.1400000000000006</v>
      </c>
      <c r="C188" s="2">
        <v>3.7699999999999996</v>
      </c>
      <c r="D188" s="2">
        <v>5.24</v>
      </c>
      <c r="E188" s="2">
        <v>5.3900000000000006</v>
      </c>
      <c r="F188" s="2">
        <v>2.93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</row>
    <row r="189" spans="1:11" x14ac:dyDescent="0.25">
      <c r="A189" s="1">
        <v>0.12986111111111101</v>
      </c>
      <c r="B189" s="2">
        <v>6.2200000000000006</v>
      </c>
      <c r="C189" s="2">
        <v>3.6599999999999997</v>
      </c>
      <c r="D189" s="2">
        <v>5.0900000000000007</v>
      </c>
      <c r="E189" s="2">
        <v>5.48</v>
      </c>
      <c r="F189" s="2">
        <v>3.2600000000000002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</row>
    <row r="190" spans="1:11" x14ac:dyDescent="0.25">
      <c r="A190" s="1">
        <v>0.13055555555555601</v>
      </c>
      <c r="B190" s="2">
        <v>6.07</v>
      </c>
      <c r="C190" s="2">
        <v>3.51</v>
      </c>
      <c r="D190" s="2">
        <v>5.0500000000000007</v>
      </c>
      <c r="E190" s="2">
        <v>5.37</v>
      </c>
      <c r="F190" s="2">
        <v>3.2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</row>
    <row r="191" spans="1:11" x14ac:dyDescent="0.25">
      <c r="A191" s="1">
        <v>0.13125000000000001</v>
      </c>
      <c r="B191" s="2">
        <v>6.2200000000000006</v>
      </c>
      <c r="C191" s="2">
        <v>3.7699999999999996</v>
      </c>
      <c r="D191" s="2">
        <v>5.21</v>
      </c>
      <c r="E191" s="2">
        <v>5.36</v>
      </c>
      <c r="F191" s="2">
        <v>2.97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</row>
    <row r="192" spans="1:11" x14ac:dyDescent="0.25">
      <c r="A192" s="1">
        <v>0.131944444444444</v>
      </c>
      <c r="B192" s="2">
        <v>6.19</v>
      </c>
      <c r="C192" s="2">
        <v>3.6999999999999997</v>
      </c>
      <c r="D192" s="2">
        <v>5.25</v>
      </c>
      <c r="E192" s="2">
        <v>5.28</v>
      </c>
      <c r="F192" s="2">
        <v>3.12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</row>
    <row r="193" spans="1:11" x14ac:dyDescent="0.25">
      <c r="A193" s="1">
        <v>0.132638888888889</v>
      </c>
      <c r="B193" s="2">
        <v>6.25</v>
      </c>
      <c r="C193" s="2">
        <v>3.67</v>
      </c>
      <c r="D193" s="2">
        <v>5.1800000000000006</v>
      </c>
      <c r="E193" s="2">
        <v>4.87</v>
      </c>
      <c r="F193" s="2">
        <v>3.16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</row>
    <row r="194" spans="1:11" x14ac:dyDescent="0.25">
      <c r="A194" s="1">
        <v>0.133333333333333</v>
      </c>
      <c r="B194" s="2">
        <v>6.3100000000000005</v>
      </c>
      <c r="C194" s="2">
        <v>3.61</v>
      </c>
      <c r="D194" s="2">
        <v>4.9400000000000004</v>
      </c>
      <c r="E194" s="2">
        <v>5.07</v>
      </c>
      <c r="F194" s="2">
        <v>3.23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</row>
    <row r="195" spans="1:11" x14ac:dyDescent="0.25">
      <c r="A195" s="1">
        <v>0.134027777777778</v>
      </c>
      <c r="B195" s="2">
        <v>6.24</v>
      </c>
      <c r="C195" s="2">
        <v>3.78</v>
      </c>
      <c r="D195" s="2">
        <v>5.15</v>
      </c>
      <c r="E195" s="2">
        <v>4.83</v>
      </c>
      <c r="F195" s="2">
        <v>3.23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</row>
    <row r="196" spans="1:11" x14ac:dyDescent="0.25">
      <c r="A196" s="1">
        <v>0.13472222222222199</v>
      </c>
      <c r="B196" s="2">
        <v>6.1400000000000006</v>
      </c>
      <c r="C196" s="2">
        <v>3.71</v>
      </c>
      <c r="D196" s="2">
        <v>5.04</v>
      </c>
      <c r="E196" s="2">
        <v>5.5100000000000007</v>
      </c>
      <c r="F196" s="2">
        <v>2.98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</row>
    <row r="197" spans="1:11" x14ac:dyDescent="0.25">
      <c r="A197" s="1">
        <v>0.13541666666666699</v>
      </c>
      <c r="B197" s="2">
        <v>6.1800000000000006</v>
      </c>
      <c r="C197" s="2">
        <v>3.5799999999999996</v>
      </c>
      <c r="D197" s="2">
        <v>4.99</v>
      </c>
      <c r="E197" s="2">
        <v>4.82</v>
      </c>
      <c r="F197" s="2">
        <v>2.88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</row>
    <row r="198" spans="1:11" x14ac:dyDescent="0.25">
      <c r="A198" s="1">
        <v>0.13611111111111099</v>
      </c>
      <c r="B198" s="2">
        <v>6.23</v>
      </c>
      <c r="C198" s="2">
        <v>3.5399999999999996</v>
      </c>
      <c r="D198" s="2">
        <v>5.1400000000000006</v>
      </c>
      <c r="E198" s="2">
        <v>4.96</v>
      </c>
      <c r="F198" s="2">
        <v>3.15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</row>
    <row r="199" spans="1:11" x14ac:dyDescent="0.25">
      <c r="A199" s="1">
        <v>0.13680555555555601</v>
      </c>
      <c r="B199" s="2">
        <v>6.32</v>
      </c>
      <c r="C199" s="2">
        <v>3.5999999999999996</v>
      </c>
      <c r="D199" s="2">
        <v>4.91</v>
      </c>
      <c r="E199" s="2">
        <v>5.4</v>
      </c>
      <c r="F199" s="2">
        <v>3.2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</row>
    <row r="200" spans="1:11" x14ac:dyDescent="0.25">
      <c r="A200" s="1">
        <v>0.13750000000000001</v>
      </c>
      <c r="B200" s="2">
        <v>6.16</v>
      </c>
      <c r="C200" s="2">
        <v>3.7199999999999998</v>
      </c>
      <c r="D200" s="2">
        <v>5.24</v>
      </c>
      <c r="E200" s="2">
        <v>5.4</v>
      </c>
      <c r="F200" s="2">
        <v>2.98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</row>
    <row r="201" spans="1:11" x14ac:dyDescent="0.25">
      <c r="A201" s="1">
        <v>0.13819444444444401</v>
      </c>
      <c r="B201" s="2">
        <v>6.2</v>
      </c>
      <c r="C201" s="2">
        <v>3.53</v>
      </c>
      <c r="D201" s="2">
        <v>4.87</v>
      </c>
      <c r="E201" s="2">
        <v>4.84</v>
      </c>
      <c r="F201" s="2">
        <v>3.2600000000000002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</row>
    <row r="202" spans="1:11" x14ac:dyDescent="0.25">
      <c r="A202" s="1">
        <v>0.13888888888888901</v>
      </c>
      <c r="B202" s="2">
        <v>6.23</v>
      </c>
      <c r="C202" s="2">
        <v>3.59</v>
      </c>
      <c r="D202" s="2">
        <v>5.0900000000000007</v>
      </c>
      <c r="E202" s="2">
        <v>5.2700000000000005</v>
      </c>
      <c r="F202" s="2">
        <v>3.1100000000000003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</row>
    <row r="203" spans="1:11" x14ac:dyDescent="0.25">
      <c r="A203" s="1">
        <v>0.139583333333333</v>
      </c>
      <c r="B203" s="2">
        <v>6.1800000000000006</v>
      </c>
      <c r="C203" s="2">
        <v>3.5999999999999996</v>
      </c>
      <c r="D203" s="2">
        <v>5.25</v>
      </c>
      <c r="E203" s="2">
        <v>4.99</v>
      </c>
      <c r="F203" s="2">
        <v>3.35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</row>
    <row r="204" spans="1:11" x14ac:dyDescent="0.25">
      <c r="A204" s="1">
        <v>0.140277777777778</v>
      </c>
      <c r="B204" s="2">
        <v>6.3100000000000005</v>
      </c>
      <c r="C204" s="2">
        <v>3.6999999999999997</v>
      </c>
      <c r="D204" s="2">
        <v>5.0200000000000005</v>
      </c>
      <c r="E204" s="2">
        <v>5.29</v>
      </c>
      <c r="F204" s="2">
        <v>3.09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</row>
    <row r="205" spans="1:11" x14ac:dyDescent="0.25">
      <c r="A205" s="1">
        <v>0.140972222222222</v>
      </c>
      <c r="B205" s="2">
        <v>6.12</v>
      </c>
      <c r="C205" s="2">
        <v>3.73</v>
      </c>
      <c r="D205" s="2">
        <v>4.91</v>
      </c>
      <c r="E205" s="2">
        <v>5.0600000000000005</v>
      </c>
      <c r="F205" s="2">
        <v>3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</row>
    <row r="206" spans="1:11" x14ac:dyDescent="0.25">
      <c r="A206" s="1">
        <v>0.141666666666667</v>
      </c>
      <c r="B206" s="2">
        <v>6.25</v>
      </c>
      <c r="C206" s="2">
        <v>3.73</v>
      </c>
      <c r="D206" s="2">
        <v>4.88</v>
      </c>
      <c r="E206" s="2">
        <v>5.13</v>
      </c>
      <c r="F206" s="2">
        <v>3.3200000000000003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</row>
    <row r="207" spans="1:11" x14ac:dyDescent="0.25">
      <c r="A207" s="1">
        <v>0.14236111111111099</v>
      </c>
      <c r="B207" s="2">
        <v>6.3100000000000005</v>
      </c>
      <c r="C207" s="2">
        <v>3.78</v>
      </c>
      <c r="D207" s="2">
        <v>4.9800000000000004</v>
      </c>
      <c r="E207" s="2">
        <v>5.5</v>
      </c>
      <c r="F207" s="2">
        <v>2.96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</row>
    <row r="208" spans="1:11" x14ac:dyDescent="0.25">
      <c r="A208" s="1">
        <v>0.14305555555555599</v>
      </c>
      <c r="B208" s="2">
        <v>6.1800000000000006</v>
      </c>
      <c r="C208" s="2">
        <v>3.57</v>
      </c>
      <c r="D208" s="2">
        <v>4.88</v>
      </c>
      <c r="E208" s="2">
        <v>5.09</v>
      </c>
      <c r="F208" s="2">
        <v>3.1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</row>
    <row r="209" spans="1:11" x14ac:dyDescent="0.25">
      <c r="A209" s="1">
        <v>0.14374999999999999</v>
      </c>
      <c r="B209" s="2">
        <v>6.28</v>
      </c>
      <c r="C209" s="2">
        <v>3.7699999999999996</v>
      </c>
      <c r="D209" s="2">
        <v>4.9700000000000006</v>
      </c>
      <c r="E209" s="2">
        <v>5.44</v>
      </c>
      <c r="F209" s="2">
        <v>2.85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</row>
    <row r="210" spans="1:11" x14ac:dyDescent="0.25">
      <c r="A210" s="1">
        <v>0.14444444444444399</v>
      </c>
      <c r="B210" s="2">
        <v>6.2</v>
      </c>
      <c r="C210" s="2">
        <v>3.63</v>
      </c>
      <c r="D210" s="2">
        <v>5</v>
      </c>
      <c r="E210" s="2">
        <v>4.8600000000000003</v>
      </c>
      <c r="F210" s="2">
        <v>3.15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</row>
    <row r="211" spans="1:11" x14ac:dyDescent="0.25">
      <c r="A211" s="1">
        <v>0.14513888888888901</v>
      </c>
      <c r="B211" s="2">
        <v>6.28</v>
      </c>
      <c r="C211" s="2">
        <v>3.5599999999999996</v>
      </c>
      <c r="D211" s="2">
        <v>5.08</v>
      </c>
      <c r="E211" s="2">
        <v>5.33</v>
      </c>
      <c r="F211" s="2">
        <v>3.31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</row>
    <row r="212" spans="1:11" x14ac:dyDescent="0.25">
      <c r="A212" s="1">
        <v>0.14583333333333301</v>
      </c>
      <c r="B212" s="2">
        <v>6.29</v>
      </c>
      <c r="C212" s="2">
        <v>3.6599999999999997</v>
      </c>
      <c r="D212" s="2">
        <v>5</v>
      </c>
      <c r="E212" s="2">
        <v>5.1800000000000006</v>
      </c>
      <c r="F212" s="2">
        <v>3.18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</row>
    <row r="213" spans="1:11" x14ac:dyDescent="0.25">
      <c r="A213" s="1">
        <v>0.14652777777777801</v>
      </c>
      <c r="B213" s="2">
        <v>6.19</v>
      </c>
      <c r="C213" s="2">
        <v>3.6399999999999997</v>
      </c>
      <c r="D213" s="2">
        <v>5.1100000000000003</v>
      </c>
      <c r="E213" s="2">
        <v>5.23</v>
      </c>
      <c r="F213" s="2">
        <v>3.0500000000000003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</row>
    <row r="214" spans="1:11" x14ac:dyDescent="0.25">
      <c r="A214" s="1">
        <v>0.147222222222222</v>
      </c>
      <c r="B214" s="2">
        <v>6.13</v>
      </c>
      <c r="C214" s="2">
        <v>3.6599999999999997</v>
      </c>
      <c r="D214" s="2">
        <v>4.8600000000000003</v>
      </c>
      <c r="E214" s="2">
        <v>5.5</v>
      </c>
      <c r="F214" s="2">
        <v>3.0100000000000002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</row>
    <row r="215" spans="1:11" x14ac:dyDescent="0.25">
      <c r="A215" s="1">
        <v>0.147916666666667</v>
      </c>
      <c r="B215" s="2">
        <v>6.32</v>
      </c>
      <c r="C215" s="2">
        <v>3.7699999999999996</v>
      </c>
      <c r="D215" s="2">
        <v>5.12</v>
      </c>
      <c r="E215" s="2">
        <v>4.9700000000000006</v>
      </c>
      <c r="F215" s="2">
        <v>3.0700000000000003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</row>
    <row r="216" spans="1:11" x14ac:dyDescent="0.25">
      <c r="A216" s="1">
        <v>0.148611111111111</v>
      </c>
      <c r="B216" s="2">
        <v>6.2600000000000007</v>
      </c>
      <c r="C216" s="2">
        <v>3.61</v>
      </c>
      <c r="D216" s="2">
        <v>5.2600000000000007</v>
      </c>
      <c r="E216" s="2">
        <v>5.3500000000000005</v>
      </c>
      <c r="F216" s="2">
        <v>2.88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</row>
    <row r="217" spans="1:11" x14ac:dyDescent="0.25">
      <c r="A217" s="1">
        <v>0.149305555555556</v>
      </c>
      <c r="B217" s="2">
        <v>6.09</v>
      </c>
      <c r="C217" s="2">
        <v>3.7399999999999998</v>
      </c>
      <c r="D217" s="2">
        <v>4.9400000000000004</v>
      </c>
      <c r="E217" s="2">
        <v>5.44</v>
      </c>
      <c r="F217" s="2">
        <v>2.96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</row>
    <row r="218" spans="1:11" x14ac:dyDescent="0.25">
      <c r="A218" s="1">
        <v>0.15</v>
      </c>
      <c r="B218" s="2">
        <v>6.2</v>
      </c>
      <c r="C218" s="2">
        <v>3.5599999999999996</v>
      </c>
      <c r="D218" s="2">
        <v>4.8600000000000003</v>
      </c>
      <c r="E218" s="2">
        <v>4.9800000000000004</v>
      </c>
      <c r="F218" s="2">
        <v>3.21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</row>
    <row r="219" spans="1:11" x14ac:dyDescent="0.25">
      <c r="A219" s="1">
        <v>0.15069444444444399</v>
      </c>
      <c r="B219" s="2">
        <v>6.25</v>
      </c>
      <c r="C219" s="2">
        <v>3.53</v>
      </c>
      <c r="D219" s="2">
        <v>5.0900000000000007</v>
      </c>
      <c r="E219" s="2">
        <v>4.9300000000000006</v>
      </c>
      <c r="F219" s="2">
        <v>3.3000000000000003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</row>
    <row r="220" spans="1:11" x14ac:dyDescent="0.25">
      <c r="A220" s="1">
        <v>0.15138888888888899</v>
      </c>
      <c r="B220" s="2">
        <v>6.07</v>
      </c>
      <c r="C220" s="2">
        <v>3.57</v>
      </c>
      <c r="D220" s="2">
        <v>5.08</v>
      </c>
      <c r="E220" s="2">
        <v>5.3800000000000008</v>
      </c>
      <c r="F220" s="2">
        <v>2.98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</row>
    <row r="221" spans="1:11" x14ac:dyDescent="0.25">
      <c r="A221" s="1">
        <v>0.15208333333333299</v>
      </c>
      <c r="B221" s="2">
        <v>6.29</v>
      </c>
      <c r="C221" s="2">
        <v>3.5199999999999996</v>
      </c>
      <c r="D221" s="2">
        <v>5.1000000000000005</v>
      </c>
      <c r="E221" s="2">
        <v>5.03</v>
      </c>
      <c r="F221" s="2">
        <v>3.04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</row>
    <row r="222" spans="1:11" x14ac:dyDescent="0.25">
      <c r="A222" s="1">
        <v>0.15277777777777801</v>
      </c>
      <c r="B222" s="2">
        <v>6.24</v>
      </c>
      <c r="C222" s="2">
        <v>3.6799999999999997</v>
      </c>
      <c r="D222" s="2">
        <v>5.1400000000000006</v>
      </c>
      <c r="E222" s="2">
        <v>5.2200000000000006</v>
      </c>
      <c r="F222" s="2">
        <v>2.96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</row>
    <row r="223" spans="1:11" x14ac:dyDescent="0.25">
      <c r="A223" s="1">
        <v>0.15347222222222201</v>
      </c>
      <c r="B223" s="2">
        <v>6.17</v>
      </c>
      <c r="C223" s="2">
        <v>3.7399999999999998</v>
      </c>
      <c r="D223" s="2">
        <v>4.9300000000000006</v>
      </c>
      <c r="E223" s="2">
        <v>5.2700000000000005</v>
      </c>
      <c r="F223" s="2">
        <v>3.13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</row>
    <row r="224" spans="1:11" x14ac:dyDescent="0.25">
      <c r="A224" s="1">
        <v>0.15416666666666701</v>
      </c>
      <c r="B224" s="2">
        <v>6.2700000000000005</v>
      </c>
      <c r="C224" s="2">
        <v>3.76</v>
      </c>
      <c r="D224" s="2">
        <v>4.9300000000000006</v>
      </c>
      <c r="E224" s="2">
        <v>5.0100000000000007</v>
      </c>
      <c r="F224" s="2">
        <v>3.23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</row>
    <row r="225" spans="1:11" x14ac:dyDescent="0.25">
      <c r="A225" s="1">
        <v>0.15486111111111101</v>
      </c>
      <c r="B225" s="2">
        <v>6.17</v>
      </c>
      <c r="C225" s="2">
        <v>3.5599999999999996</v>
      </c>
      <c r="D225" s="2">
        <v>5.19</v>
      </c>
      <c r="E225" s="2">
        <v>5.17</v>
      </c>
      <c r="F225" s="2">
        <v>3.19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</row>
    <row r="226" spans="1:11" x14ac:dyDescent="0.25">
      <c r="A226" s="1">
        <v>0.155555555555556</v>
      </c>
      <c r="B226" s="2">
        <v>6.1000000000000005</v>
      </c>
      <c r="C226" s="2">
        <v>3.75</v>
      </c>
      <c r="D226" s="2">
        <v>4.8900000000000006</v>
      </c>
      <c r="E226" s="2">
        <v>5.03</v>
      </c>
      <c r="F226" s="2">
        <v>3.15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</row>
    <row r="227" spans="1:11" x14ac:dyDescent="0.25">
      <c r="A227" s="1">
        <v>0.15625</v>
      </c>
      <c r="B227" s="2">
        <v>6.07</v>
      </c>
      <c r="C227" s="2">
        <v>3.5799999999999996</v>
      </c>
      <c r="D227" s="2">
        <v>4.8900000000000006</v>
      </c>
      <c r="E227" s="2">
        <v>5.24</v>
      </c>
      <c r="F227" s="2">
        <v>2.93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</row>
    <row r="228" spans="1:11" x14ac:dyDescent="0.25">
      <c r="A228" s="1">
        <v>0.156944444444444</v>
      </c>
      <c r="B228" s="2">
        <v>6.11</v>
      </c>
      <c r="C228" s="2">
        <v>3.59</v>
      </c>
      <c r="D228" s="2">
        <v>5.0200000000000005</v>
      </c>
      <c r="E228" s="2">
        <v>4.8500000000000005</v>
      </c>
      <c r="F228" s="2">
        <v>2.83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</row>
    <row r="229" spans="1:11" x14ac:dyDescent="0.25">
      <c r="A229" s="1">
        <v>0.15763888888888899</v>
      </c>
      <c r="B229" s="2">
        <v>6.28</v>
      </c>
      <c r="C229" s="2">
        <v>3.55</v>
      </c>
      <c r="D229" s="2">
        <v>5.03</v>
      </c>
      <c r="E229" s="2">
        <v>5.13</v>
      </c>
      <c r="F229" s="2">
        <v>3.31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</row>
    <row r="230" spans="1:11" x14ac:dyDescent="0.25">
      <c r="A230" s="1">
        <v>0.15833333333333299</v>
      </c>
      <c r="B230" s="2">
        <v>6.13</v>
      </c>
      <c r="C230" s="2">
        <v>3.69</v>
      </c>
      <c r="D230" s="2">
        <v>5.08</v>
      </c>
      <c r="E230" s="2">
        <v>5.4700000000000006</v>
      </c>
      <c r="F230" s="2">
        <v>3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</row>
    <row r="231" spans="1:11" x14ac:dyDescent="0.25">
      <c r="A231" s="1">
        <v>0.15902777777777799</v>
      </c>
      <c r="B231" s="2">
        <v>6.32</v>
      </c>
      <c r="C231" s="2">
        <v>3.5799999999999996</v>
      </c>
      <c r="D231" s="2">
        <v>4.8900000000000006</v>
      </c>
      <c r="E231" s="2">
        <v>5.37</v>
      </c>
      <c r="F231" s="2">
        <v>2.85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</row>
    <row r="232" spans="1:11" x14ac:dyDescent="0.25">
      <c r="A232" s="1">
        <v>0.15972222222222199</v>
      </c>
      <c r="B232" s="2">
        <v>6.07</v>
      </c>
      <c r="C232" s="2">
        <v>3.6399999999999997</v>
      </c>
      <c r="D232" s="2">
        <v>5.07</v>
      </c>
      <c r="E232" s="2">
        <v>5.3500000000000005</v>
      </c>
      <c r="F232" s="2">
        <v>3.18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</row>
    <row r="233" spans="1:11" x14ac:dyDescent="0.25">
      <c r="A233" s="1">
        <v>0.16041666666666701</v>
      </c>
      <c r="B233" s="2">
        <v>6.2200000000000006</v>
      </c>
      <c r="C233" s="2">
        <v>3.6399999999999997</v>
      </c>
      <c r="D233" s="2">
        <v>5.25</v>
      </c>
      <c r="E233" s="2">
        <v>5.41</v>
      </c>
      <c r="F233" s="2">
        <v>3.0500000000000003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</row>
    <row r="234" spans="1:11" x14ac:dyDescent="0.25">
      <c r="A234" s="1">
        <v>0.16111111111111101</v>
      </c>
      <c r="B234" s="2">
        <v>6.07</v>
      </c>
      <c r="C234" s="2">
        <v>3.65</v>
      </c>
      <c r="D234" s="2">
        <v>5.08</v>
      </c>
      <c r="E234" s="2">
        <v>5.2</v>
      </c>
      <c r="F234" s="2">
        <v>3.1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</row>
    <row r="235" spans="1:11" x14ac:dyDescent="0.25">
      <c r="A235" s="1">
        <v>0.16180555555555601</v>
      </c>
      <c r="B235" s="2">
        <v>6.13</v>
      </c>
      <c r="C235" s="2">
        <v>3.5999999999999996</v>
      </c>
      <c r="D235" s="2">
        <v>5.0900000000000007</v>
      </c>
      <c r="E235" s="2">
        <v>5.3500000000000005</v>
      </c>
      <c r="F235" s="2">
        <v>3.13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</row>
    <row r="236" spans="1:11" x14ac:dyDescent="0.25">
      <c r="A236" s="1">
        <v>0.16250000000000001</v>
      </c>
      <c r="B236" s="2">
        <v>6.12</v>
      </c>
      <c r="C236" s="2">
        <v>3.6999999999999997</v>
      </c>
      <c r="D236" s="2">
        <v>5.23</v>
      </c>
      <c r="E236" s="2">
        <v>5.17</v>
      </c>
      <c r="F236" s="2">
        <v>2.86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</row>
    <row r="237" spans="1:11" x14ac:dyDescent="0.25">
      <c r="A237" s="1">
        <v>0.163194444444444</v>
      </c>
      <c r="B237" s="2">
        <v>6.3100000000000005</v>
      </c>
      <c r="C237" s="2">
        <v>3.7199999999999998</v>
      </c>
      <c r="D237" s="2">
        <v>5.08</v>
      </c>
      <c r="E237" s="2">
        <v>5.42</v>
      </c>
      <c r="F237" s="2">
        <v>3.15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</row>
    <row r="238" spans="1:11" x14ac:dyDescent="0.25">
      <c r="A238" s="1">
        <v>0.163888888888889</v>
      </c>
      <c r="B238" s="2">
        <v>6.23</v>
      </c>
      <c r="C238" s="2">
        <v>3.5399999999999996</v>
      </c>
      <c r="D238" s="2">
        <v>5.17</v>
      </c>
      <c r="E238" s="2">
        <v>5.5200000000000005</v>
      </c>
      <c r="F238" s="2">
        <v>2.84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</row>
    <row r="239" spans="1:11" x14ac:dyDescent="0.25">
      <c r="A239" s="1">
        <v>0.164583333333333</v>
      </c>
      <c r="B239" s="2">
        <v>6.07</v>
      </c>
      <c r="C239" s="2">
        <v>3.5999999999999996</v>
      </c>
      <c r="D239" s="2">
        <v>4.9800000000000004</v>
      </c>
      <c r="E239" s="2">
        <v>4.9800000000000004</v>
      </c>
      <c r="F239" s="2">
        <v>2.85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</row>
    <row r="240" spans="1:11" x14ac:dyDescent="0.25">
      <c r="A240" s="1">
        <v>0.165277777777778</v>
      </c>
      <c r="B240" s="2">
        <v>6.21</v>
      </c>
      <c r="C240" s="2">
        <v>3.5599999999999996</v>
      </c>
      <c r="D240" s="2">
        <v>5.2</v>
      </c>
      <c r="E240" s="2">
        <v>5.49</v>
      </c>
      <c r="F240" s="2">
        <v>3.27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</row>
    <row r="241" spans="1:11" x14ac:dyDescent="0.25">
      <c r="A241" s="1">
        <v>0.16597222222222199</v>
      </c>
      <c r="B241" s="2">
        <v>6.1000000000000005</v>
      </c>
      <c r="C241" s="2">
        <v>3.75</v>
      </c>
      <c r="D241" s="2">
        <v>5.1800000000000006</v>
      </c>
      <c r="E241" s="2">
        <v>4.87</v>
      </c>
      <c r="F241" s="2">
        <v>3.3000000000000003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</row>
    <row r="242" spans="1:11" x14ac:dyDescent="0.25">
      <c r="A242" s="3">
        <v>0.16666666666666699</v>
      </c>
      <c r="B242" s="4">
        <v>6.19</v>
      </c>
      <c r="C242" s="4">
        <v>3.67</v>
      </c>
      <c r="D242" s="4">
        <v>5.09</v>
      </c>
      <c r="E242" s="4">
        <v>5.26</v>
      </c>
      <c r="F242" s="4">
        <v>3.09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</row>
    <row r="243" spans="1:11" x14ac:dyDescent="0.25">
      <c r="A243" s="1">
        <v>0.16736111111111099</v>
      </c>
      <c r="B243" s="2">
        <v>6.1400000000000006</v>
      </c>
      <c r="C243" s="2">
        <v>3.6399999999999997</v>
      </c>
      <c r="D243" s="2">
        <v>5.0500000000000007</v>
      </c>
      <c r="E243" s="2">
        <v>4.82</v>
      </c>
      <c r="F243" s="2">
        <v>3.2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</row>
    <row r="244" spans="1:11" x14ac:dyDescent="0.25">
      <c r="A244" s="1">
        <v>0.16805555555555601</v>
      </c>
      <c r="B244" s="2">
        <v>6.15</v>
      </c>
      <c r="C244" s="2">
        <v>3.63</v>
      </c>
      <c r="D244" s="2">
        <v>5.1400000000000006</v>
      </c>
      <c r="E244" s="2">
        <v>5.28</v>
      </c>
      <c r="F244" s="2">
        <v>3.0100000000000002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</row>
    <row r="245" spans="1:11" x14ac:dyDescent="0.25">
      <c r="A245" s="1">
        <v>0.16875000000000001</v>
      </c>
      <c r="B245" s="2">
        <v>6.2</v>
      </c>
      <c r="C245" s="2">
        <v>3.7399999999999998</v>
      </c>
      <c r="D245" s="2">
        <v>5.24</v>
      </c>
      <c r="E245" s="2">
        <v>5.1000000000000005</v>
      </c>
      <c r="F245" s="2">
        <v>3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</row>
    <row r="246" spans="1:11" x14ac:dyDescent="0.25">
      <c r="A246" s="1">
        <v>0.16944444444444401</v>
      </c>
      <c r="B246" s="2">
        <v>6.08</v>
      </c>
      <c r="C246" s="2">
        <v>3.6399999999999997</v>
      </c>
      <c r="D246" s="2">
        <v>5.23</v>
      </c>
      <c r="E246" s="2">
        <v>5.3900000000000006</v>
      </c>
      <c r="F246" s="2">
        <v>3.13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</row>
    <row r="247" spans="1:11" x14ac:dyDescent="0.25">
      <c r="A247" s="1">
        <v>0.17013888888888901</v>
      </c>
      <c r="B247" s="2">
        <v>6.1800000000000006</v>
      </c>
      <c r="C247" s="2">
        <v>3.53</v>
      </c>
      <c r="D247" s="2">
        <v>5.07</v>
      </c>
      <c r="E247" s="2">
        <v>5.23</v>
      </c>
      <c r="F247" s="2">
        <v>3.0700000000000003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</row>
    <row r="248" spans="1:11" x14ac:dyDescent="0.25">
      <c r="A248" s="1">
        <v>0.170833333333333</v>
      </c>
      <c r="B248" s="2">
        <v>6.2</v>
      </c>
      <c r="C248" s="2">
        <v>3.7199999999999998</v>
      </c>
      <c r="D248" s="2">
        <v>4.87</v>
      </c>
      <c r="E248" s="2">
        <v>5.19</v>
      </c>
      <c r="F248" s="2">
        <v>2.99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</row>
    <row r="249" spans="1:11" x14ac:dyDescent="0.25">
      <c r="A249" s="1">
        <v>0.171527777777778</v>
      </c>
      <c r="B249" s="2">
        <v>6.16</v>
      </c>
      <c r="C249" s="2">
        <v>3.6599999999999997</v>
      </c>
      <c r="D249" s="2">
        <v>5.17</v>
      </c>
      <c r="E249" s="2">
        <v>5.03</v>
      </c>
      <c r="F249" s="2">
        <v>3.29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</row>
    <row r="250" spans="1:11" x14ac:dyDescent="0.25">
      <c r="A250" s="1">
        <v>0.172222222222222</v>
      </c>
      <c r="B250" s="2">
        <v>6.24</v>
      </c>
      <c r="C250" s="2">
        <v>3.67</v>
      </c>
      <c r="D250" s="2">
        <v>4.92</v>
      </c>
      <c r="E250" s="2">
        <v>5.3800000000000008</v>
      </c>
      <c r="F250" s="2">
        <v>3.25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</row>
    <row r="251" spans="1:11" x14ac:dyDescent="0.25">
      <c r="A251" s="1">
        <v>0.172916666666667</v>
      </c>
      <c r="B251" s="2">
        <v>6.15</v>
      </c>
      <c r="C251" s="2">
        <v>3.5799999999999996</v>
      </c>
      <c r="D251" s="2">
        <v>5.2</v>
      </c>
      <c r="E251" s="2">
        <v>5.3800000000000008</v>
      </c>
      <c r="F251" s="2">
        <v>3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</row>
    <row r="252" spans="1:11" x14ac:dyDescent="0.25">
      <c r="A252" s="1">
        <v>0.17361111111111099</v>
      </c>
      <c r="B252" s="2">
        <v>6.3000000000000007</v>
      </c>
      <c r="C252" s="2">
        <v>3.7699999999999996</v>
      </c>
      <c r="D252" s="2">
        <v>4.9800000000000004</v>
      </c>
      <c r="E252" s="2">
        <v>5.23</v>
      </c>
      <c r="F252" s="2">
        <v>3.0100000000000002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</row>
    <row r="253" spans="1:11" x14ac:dyDescent="0.25">
      <c r="A253" s="1">
        <v>0.17430555555555599</v>
      </c>
      <c r="B253" s="2">
        <v>6.17</v>
      </c>
      <c r="C253" s="2">
        <v>3.55</v>
      </c>
      <c r="D253" s="2">
        <v>5.07</v>
      </c>
      <c r="E253" s="2">
        <v>5.04</v>
      </c>
      <c r="F253" s="2">
        <v>2.92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</row>
    <row r="254" spans="1:11" x14ac:dyDescent="0.25">
      <c r="A254" s="1">
        <v>0.17499999999999999</v>
      </c>
      <c r="B254" s="2">
        <v>6.17</v>
      </c>
      <c r="C254" s="2">
        <v>3.5999999999999996</v>
      </c>
      <c r="D254" s="2">
        <v>5.04</v>
      </c>
      <c r="E254" s="2">
        <v>5.13</v>
      </c>
      <c r="F254" s="2">
        <v>3.34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</row>
    <row r="255" spans="1:11" x14ac:dyDescent="0.25">
      <c r="A255" s="1">
        <v>0.17569444444444399</v>
      </c>
      <c r="B255" s="2">
        <v>6.2700000000000005</v>
      </c>
      <c r="C255" s="2">
        <v>3.59</v>
      </c>
      <c r="D255" s="2">
        <v>5.1000000000000005</v>
      </c>
      <c r="E255" s="2">
        <v>5.5200000000000005</v>
      </c>
      <c r="F255" s="2">
        <v>3.33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</row>
    <row r="256" spans="1:11" x14ac:dyDescent="0.25">
      <c r="A256" s="1">
        <v>0.17638888888888901</v>
      </c>
      <c r="B256" s="2">
        <v>6.28</v>
      </c>
      <c r="C256" s="2">
        <v>3.5199999999999996</v>
      </c>
      <c r="D256" s="2">
        <v>4.9800000000000004</v>
      </c>
      <c r="E256" s="2">
        <v>5.44</v>
      </c>
      <c r="F256" s="2">
        <v>2.95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</row>
    <row r="257" spans="1:11" x14ac:dyDescent="0.25">
      <c r="A257" s="1">
        <v>0.17708333333333301</v>
      </c>
      <c r="B257" s="2">
        <v>6.08</v>
      </c>
      <c r="C257" s="2">
        <v>3.63</v>
      </c>
      <c r="D257" s="2">
        <v>5.21</v>
      </c>
      <c r="E257" s="2">
        <v>4.87</v>
      </c>
      <c r="F257" s="2">
        <v>3.06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</row>
    <row r="258" spans="1:11" x14ac:dyDescent="0.25">
      <c r="A258" s="1">
        <v>0.17777777777777801</v>
      </c>
      <c r="B258" s="2">
        <v>6.1400000000000006</v>
      </c>
      <c r="C258" s="2">
        <v>3.5399999999999996</v>
      </c>
      <c r="D258" s="2">
        <v>5.07</v>
      </c>
      <c r="E258" s="2">
        <v>5.1400000000000006</v>
      </c>
      <c r="F258" s="2">
        <v>3.15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</row>
    <row r="259" spans="1:11" x14ac:dyDescent="0.25">
      <c r="A259" s="1">
        <v>0.178472222222222</v>
      </c>
      <c r="B259" s="2">
        <v>6.28</v>
      </c>
      <c r="C259" s="2">
        <v>3.65</v>
      </c>
      <c r="D259" s="2">
        <v>4.95</v>
      </c>
      <c r="E259" s="2">
        <v>5.0200000000000005</v>
      </c>
      <c r="F259" s="2">
        <v>3.3000000000000003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</row>
    <row r="260" spans="1:11" x14ac:dyDescent="0.25">
      <c r="A260" s="1">
        <v>0.179166666666667</v>
      </c>
      <c r="B260" s="2">
        <v>6.33</v>
      </c>
      <c r="C260" s="2">
        <v>3.5999999999999996</v>
      </c>
      <c r="D260" s="2">
        <v>4.88</v>
      </c>
      <c r="E260" s="2">
        <v>4.84</v>
      </c>
      <c r="F260" s="2">
        <v>2.93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</row>
    <row r="261" spans="1:11" x14ac:dyDescent="0.25">
      <c r="A261" s="1">
        <v>0.179861111111111</v>
      </c>
      <c r="B261" s="2">
        <v>6.3100000000000005</v>
      </c>
      <c r="C261" s="2">
        <v>3.59</v>
      </c>
      <c r="D261" s="2">
        <v>5.21</v>
      </c>
      <c r="E261" s="2">
        <v>5.2</v>
      </c>
      <c r="F261" s="2">
        <v>3.14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</row>
    <row r="262" spans="1:11" x14ac:dyDescent="0.25">
      <c r="A262" s="1">
        <v>0.180555555555556</v>
      </c>
      <c r="B262" s="2">
        <v>6.3100000000000005</v>
      </c>
      <c r="C262" s="2">
        <v>3.6799999999999997</v>
      </c>
      <c r="D262" s="2">
        <v>4.8900000000000006</v>
      </c>
      <c r="E262" s="2">
        <v>5.1800000000000006</v>
      </c>
      <c r="F262" s="2">
        <v>3.04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</row>
    <row r="263" spans="1:11" x14ac:dyDescent="0.25">
      <c r="A263" s="1">
        <v>0.18124999999999999</v>
      </c>
      <c r="B263" s="2">
        <v>6.2200000000000006</v>
      </c>
      <c r="C263" s="2">
        <v>3.75</v>
      </c>
      <c r="D263" s="2">
        <v>4.92</v>
      </c>
      <c r="E263" s="2">
        <v>4.88</v>
      </c>
      <c r="F263" s="2">
        <v>2.86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</row>
    <row r="264" spans="1:11" x14ac:dyDescent="0.25">
      <c r="A264" s="1">
        <v>0.18194444444444399</v>
      </c>
      <c r="B264" s="2">
        <v>6.29</v>
      </c>
      <c r="C264" s="2">
        <v>3.6999999999999997</v>
      </c>
      <c r="D264" s="2">
        <v>5.1300000000000008</v>
      </c>
      <c r="E264" s="2">
        <v>4.84</v>
      </c>
      <c r="F264" s="2">
        <v>2.92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</row>
    <row r="265" spans="1:11" x14ac:dyDescent="0.25">
      <c r="A265" s="1">
        <v>0.18263888888888899</v>
      </c>
      <c r="B265" s="2">
        <v>6.08</v>
      </c>
      <c r="C265" s="2">
        <v>3.76</v>
      </c>
      <c r="D265" s="2">
        <v>4.9300000000000006</v>
      </c>
      <c r="E265" s="2">
        <v>5.21</v>
      </c>
      <c r="F265" s="2">
        <v>2.97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</row>
    <row r="266" spans="1:11" x14ac:dyDescent="0.25">
      <c r="A266" s="1">
        <v>0.18333333333333299</v>
      </c>
      <c r="B266" s="2">
        <v>6.1400000000000006</v>
      </c>
      <c r="C266" s="2">
        <v>3.78</v>
      </c>
      <c r="D266" s="2">
        <v>5.23</v>
      </c>
      <c r="E266" s="2">
        <v>5.2600000000000007</v>
      </c>
      <c r="F266" s="2">
        <v>3.17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</row>
    <row r="267" spans="1:11" x14ac:dyDescent="0.25">
      <c r="A267" s="1">
        <v>0.18402777777777801</v>
      </c>
      <c r="B267" s="2">
        <v>6.1400000000000006</v>
      </c>
      <c r="C267" s="2">
        <v>3.6399999999999997</v>
      </c>
      <c r="D267" s="2">
        <v>5.12</v>
      </c>
      <c r="E267" s="2">
        <v>5.23</v>
      </c>
      <c r="F267" s="2">
        <v>3.2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</row>
    <row r="268" spans="1:11" x14ac:dyDescent="0.25">
      <c r="A268" s="1">
        <v>0.18472222222222201</v>
      </c>
      <c r="B268" s="2">
        <v>6.2</v>
      </c>
      <c r="C268" s="2">
        <v>3.5599999999999996</v>
      </c>
      <c r="D268" s="2">
        <v>5.08</v>
      </c>
      <c r="E268" s="2">
        <v>5.0600000000000005</v>
      </c>
      <c r="F268" s="2">
        <v>3.0500000000000003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</row>
    <row r="269" spans="1:11" x14ac:dyDescent="0.25">
      <c r="A269" s="1">
        <v>0.18541666666666701</v>
      </c>
      <c r="B269" s="2">
        <v>6.3100000000000005</v>
      </c>
      <c r="C269" s="2">
        <v>3.76</v>
      </c>
      <c r="D269" s="2">
        <v>5.16</v>
      </c>
      <c r="E269" s="2">
        <v>5.23</v>
      </c>
      <c r="F269" s="2">
        <v>3.0500000000000003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</row>
    <row r="270" spans="1:11" x14ac:dyDescent="0.25">
      <c r="A270" s="1">
        <v>0.18611111111111101</v>
      </c>
      <c r="B270" s="2">
        <v>6.2</v>
      </c>
      <c r="C270" s="2">
        <v>3.7399999999999998</v>
      </c>
      <c r="D270" s="2">
        <v>4.87</v>
      </c>
      <c r="E270" s="2">
        <v>5.48</v>
      </c>
      <c r="F270" s="2">
        <v>3.2800000000000002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</row>
    <row r="271" spans="1:11" x14ac:dyDescent="0.25">
      <c r="A271" s="1">
        <v>0.186805555555556</v>
      </c>
      <c r="B271" s="2">
        <v>6.25</v>
      </c>
      <c r="C271" s="2">
        <v>3.67</v>
      </c>
      <c r="D271" s="2">
        <v>4.9300000000000006</v>
      </c>
      <c r="E271" s="2">
        <v>5.32</v>
      </c>
      <c r="F271" s="2">
        <v>2.99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</row>
    <row r="272" spans="1:11" x14ac:dyDescent="0.25">
      <c r="A272" s="1">
        <v>0.1875</v>
      </c>
      <c r="B272" s="2">
        <v>6.2200000000000006</v>
      </c>
      <c r="C272" s="2">
        <v>3.75</v>
      </c>
      <c r="D272" s="2">
        <v>5.1300000000000008</v>
      </c>
      <c r="E272" s="2">
        <v>4.9400000000000004</v>
      </c>
      <c r="F272" s="2">
        <v>2.89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</row>
    <row r="273" spans="1:11" x14ac:dyDescent="0.25">
      <c r="A273" s="1">
        <v>0.188194444444444</v>
      </c>
      <c r="B273" s="2">
        <v>6.09</v>
      </c>
      <c r="C273" s="2">
        <v>3.76</v>
      </c>
      <c r="D273" s="2">
        <v>5.08</v>
      </c>
      <c r="E273" s="2">
        <v>5.3800000000000008</v>
      </c>
      <c r="F273" s="2">
        <v>3.33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</row>
    <row r="274" spans="1:11" x14ac:dyDescent="0.25">
      <c r="A274" s="1">
        <v>0.18888888888888899</v>
      </c>
      <c r="B274" s="2">
        <v>6.32</v>
      </c>
      <c r="C274" s="2">
        <v>3.76</v>
      </c>
      <c r="D274" s="2">
        <v>4.9700000000000006</v>
      </c>
      <c r="E274" s="2">
        <v>5.2200000000000006</v>
      </c>
      <c r="F274" s="2">
        <v>3.18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</row>
    <row r="275" spans="1:11" x14ac:dyDescent="0.25">
      <c r="A275" s="1">
        <v>0.18958333333333299</v>
      </c>
      <c r="B275" s="2">
        <v>6.21</v>
      </c>
      <c r="C275" s="2">
        <v>3.6599999999999997</v>
      </c>
      <c r="D275" s="2">
        <v>5.1400000000000006</v>
      </c>
      <c r="E275" s="2">
        <v>5.0200000000000005</v>
      </c>
      <c r="F275" s="2">
        <v>2.88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</row>
    <row r="276" spans="1:11" x14ac:dyDescent="0.25">
      <c r="A276" s="1">
        <v>0.19027777777777799</v>
      </c>
      <c r="B276" s="2">
        <v>6.2200000000000006</v>
      </c>
      <c r="C276" s="2">
        <v>3.76</v>
      </c>
      <c r="D276" s="2">
        <v>5.0200000000000005</v>
      </c>
      <c r="E276" s="2">
        <v>4.8900000000000006</v>
      </c>
      <c r="F276" s="2">
        <v>3.1100000000000003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</row>
    <row r="277" spans="1:11" x14ac:dyDescent="0.25">
      <c r="A277" s="1">
        <v>0.19097222222222199</v>
      </c>
      <c r="B277" s="2">
        <v>6.24</v>
      </c>
      <c r="C277" s="2">
        <v>3.59</v>
      </c>
      <c r="D277" s="2">
        <v>5.1400000000000006</v>
      </c>
      <c r="E277" s="2">
        <v>4.95</v>
      </c>
      <c r="F277" s="2">
        <v>3.17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</row>
    <row r="278" spans="1:11" x14ac:dyDescent="0.25">
      <c r="A278" s="1">
        <v>0.19166666666666701</v>
      </c>
      <c r="B278" s="2">
        <v>6.28</v>
      </c>
      <c r="C278" s="2">
        <v>3.65</v>
      </c>
      <c r="D278" s="2">
        <v>4.91</v>
      </c>
      <c r="E278" s="2">
        <v>5.5100000000000007</v>
      </c>
      <c r="F278" s="2">
        <v>3.31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</row>
    <row r="279" spans="1:11" x14ac:dyDescent="0.25">
      <c r="A279" s="1">
        <v>0.19236111111111101</v>
      </c>
      <c r="B279" s="2">
        <v>6.2</v>
      </c>
      <c r="C279" s="2">
        <v>3.6599999999999997</v>
      </c>
      <c r="D279" s="2">
        <v>5.07</v>
      </c>
      <c r="E279" s="2">
        <v>5.12</v>
      </c>
      <c r="F279" s="2">
        <v>3.0700000000000003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</row>
    <row r="280" spans="1:11" x14ac:dyDescent="0.25">
      <c r="A280" s="1">
        <v>0.19305555555555601</v>
      </c>
      <c r="B280" s="2">
        <v>6.17</v>
      </c>
      <c r="C280" s="2">
        <v>3.73</v>
      </c>
      <c r="D280" s="2">
        <v>4.9300000000000006</v>
      </c>
      <c r="E280" s="2">
        <v>5.4700000000000006</v>
      </c>
      <c r="F280" s="2">
        <v>2.94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</row>
    <row r="281" spans="1:11" x14ac:dyDescent="0.25">
      <c r="A281" s="1">
        <v>0.19375000000000001</v>
      </c>
      <c r="B281" s="2">
        <v>6.21</v>
      </c>
      <c r="C281" s="2">
        <v>3.59</v>
      </c>
      <c r="D281" s="2">
        <v>5.19</v>
      </c>
      <c r="E281" s="2">
        <v>5.03</v>
      </c>
      <c r="F281" s="2">
        <v>3.0700000000000003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</row>
    <row r="282" spans="1:11" x14ac:dyDescent="0.25">
      <c r="A282" s="1">
        <v>0.194444444444444</v>
      </c>
      <c r="B282" s="2">
        <v>6.21</v>
      </c>
      <c r="C282" s="2">
        <v>3.71</v>
      </c>
      <c r="D282" s="2">
        <v>5.08</v>
      </c>
      <c r="E282" s="2">
        <v>4.9700000000000006</v>
      </c>
      <c r="F282" s="2">
        <v>2.92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</row>
    <row r="283" spans="1:11" x14ac:dyDescent="0.25">
      <c r="A283" s="1">
        <v>0.195138888888889</v>
      </c>
      <c r="B283" s="2">
        <v>6.11</v>
      </c>
      <c r="C283" s="2">
        <v>3.71</v>
      </c>
      <c r="D283" s="2">
        <v>4.91</v>
      </c>
      <c r="E283" s="2">
        <v>4.9000000000000004</v>
      </c>
      <c r="F283" s="2">
        <v>3.31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</row>
    <row r="284" spans="1:11" x14ac:dyDescent="0.25">
      <c r="A284" s="1">
        <v>0.195833333333333</v>
      </c>
      <c r="B284" s="2">
        <v>6.33</v>
      </c>
      <c r="C284" s="2">
        <v>3.5399999999999996</v>
      </c>
      <c r="D284" s="2">
        <v>5.21</v>
      </c>
      <c r="E284" s="2">
        <v>5.28</v>
      </c>
      <c r="F284" s="2">
        <v>3.1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</row>
    <row r="285" spans="1:11" x14ac:dyDescent="0.25">
      <c r="A285" s="1">
        <v>0.196527777777778</v>
      </c>
      <c r="B285" s="2">
        <v>6.15</v>
      </c>
      <c r="C285" s="2">
        <v>3.5199999999999996</v>
      </c>
      <c r="D285" s="2">
        <v>5.07</v>
      </c>
      <c r="E285" s="2">
        <v>5.4</v>
      </c>
      <c r="F285" s="2">
        <v>3.29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</row>
    <row r="286" spans="1:11" x14ac:dyDescent="0.25">
      <c r="A286" s="1">
        <v>0.19722222222222199</v>
      </c>
      <c r="B286" s="2">
        <v>6.3100000000000005</v>
      </c>
      <c r="C286" s="2">
        <v>3.63</v>
      </c>
      <c r="D286" s="2">
        <v>5.0500000000000007</v>
      </c>
      <c r="E286" s="2">
        <v>5.41</v>
      </c>
      <c r="F286" s="2">
        <v>2.94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</row>
    <row r="287" spans="1:11" x14ac:dyDescent="0.25">
      <c r="A287" s="1">
        <v>0.19791666666666699</v>
      </c>
      <c r="B287" s="2">
        <v>6.17</v>
      </c>
      <c r="C287" s="2">
        <v>3.69</v>
      </c>
      <c r="D287" s="2">
        <v>5.0500000000000007</v>
      </c>
      <c r="E287" s="2">
        <v>4.96</v>
      </c>
      <c r="F287" s="2">
        <v>2.86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</row>
    <row r="288" spans="1:11" x14ac:dyDescent="0.25">
      <c r="A288" s="1">
        <v>0.19861111111111099</v>
      </c>
      <c r="B288" s="2">
        <v>6.21</v>
      </c>
      <c r="C288" s="2">
        <v>3.5599999999999996</v>
      </c>
      <c r="D288" s="2">
        <v>5.23</v>
      </c>
      <c r="E288" s="2">
        <v>5.5</v>
      </c>
      <c r="F288" s="2">
        <v>3.02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</row>
    <row r="289" spans="1:11" x14ac:dyDescent="0.25">
      <c r="A289" s="1">
        <v>0.19930555555555601</v>
      </c>
      <c r="B289" s="2">
        <v>6.07</v>
      </c>
      <c r="C289" s="2">
        <v>3.6199999999999997</v>
      </c>
      <c r="D289" s="2">
        <v>5.0100000000000007</v>
      </c>
      <c r="E289" s="2">
        <v>5.24</v>
      </c>
      <c r="F289" s="2">
        <v>3.19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</row>
    <row r="290" spans="1:11" x14ac:dyDescent="0.25">
      <c r="A290" s="1">
        <v>0.2</v>
      </c>
      <c r="B290" s="2">
        <v>6.33</v>
      </c>
      <c r="C290" s="2">
        <v>3.76</v>
      </c>
      <c r="D290" s="2">
        <v>4.8900000000000006</v>
      </c>
      <c r="E290" s="2">
        <v>5.29</v>
      </c>
      <c r="F290" s="2">
        <v>2.86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</row>
    <row r="291" spans="1:11" x14ac:dyDescent="0.25">
      <c r="A291" s="1">
        <v>0.20069444444444401</v>
      </c>
      <c r="B291" s="2">
        <v>6.33</v>
      </c>
      <c r="C291" s="2">
        <v>3.78</v>
      </c>
      <c r="D291" s="2">
        <v>5</v>
      </c>
      <c r="E291" s="2">
        <v>5.1000000000000005</v>
      </c>
      <c r="F291" s="2">
        <v>2.84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</row>
    <row r="292" spans="1:11" x14ac:dyDescent="0.25">
      <c r="A292" s="1">
        <v>0.20138888888888901</v>
      </c>
      <c r="B292" s="2">
        <v>6.24</v>
      </c>
      <c r="C292" s="2">
        <v>3.59</v>
      </c>
      <c r="D292" s="2">
        <v>4.95</v>
      </c>
      <c r="E292" s="2">
        <v>5.2600000000000007</v>
      </c>
      <c r="F292" s="2">
        <v>2.97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</row>
    <row r="293" spans="1:11" x14ac:dyDescent="0.25">
      <c r="A293" s="1">
        <v>0.202083333333333</v>
      </c>
      <c r="B293" s="2">
        <v>6.1800000000000006</v>
      </c>
      <c r="C293" s="2">
        <v>3.6199999999999997</v>
      </c>
      <c r="D293" s="2">
        <v>5.19</v>
      </c>
      <c r="E293" s="2">
        <v>4.8600000000000003</v>
      </c>
      <c r="F293" s="2">
        <v>3.29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</row>
    <row r="294" spans="1:11" x14ac:dyDescent="0.25">
      <c r="A294" s="1">
        <v>0.202777777777778</v>
      </c>
      <c r="B294" s="2">
        <v>6.24</v>
      </c>
      <c r="C294" s="2">
        <v>3.6199999999999997</v>
      </c>
      <c r="D294" s="2">
        <v>5.2</v>
      </c>
      <c r="E294" s="2">
        <v>4.88</v>
      </c>
      <c r="F294" s="2">
        <v>2.83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</row>
    <row r="295" spans="1:11" x14ac:dyDescent="0.25">
      <c r="A295" s="1">
        <v>0.203472222222222</v>
      </c>
      <c r="B295" s="2">
        <v>6.15</v>
      </c>
      <c r="C295" s="2">
        <v>3.5599999999999996</v>
      </c>
      <c r="D295" s="2">
        <v>4.9300000000000006</v>
      </c>
      <c r="E295" s="2">
        <v>5.3900000000000006</v>
      </c>
      <c r="F295" s="2">
        <v>3.3200000000000003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</row>
    <row r="296" spans="1:11" x14ac:dyDescent="0.25">
      <c r="A296" s="1">
        <v>0.204166666666667</v>
      </c>
      <c r="B296" s="2">
        <v>6.28</v>
      </c>
      <c r="C296" s="2">
        <v>3.73</v>
      </c>
      <c r="D296" s="2">
        <v>5.23</v>
      </c>
      <c r="E296" s="2">
        <v>5.15</v>
      </c>
      <c r="F296" s="2">
        <v>3.15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</row>
    <row r="297" spans="1:11" x14ac:dyDescent="0.25">
      <c r="A297" s="1">
        <v>0.20486111111111099</v>
      </c>
      <c r="B297" s="2">
        <v>6.23</v>
      </c>
      <c r="C297" s="2">
        <v>3.6599999999999997</v>
      </c>
      <c r="D297" s="2">
        <v>5.1100000000000003</v>
      </c>
      <c r="E297" s="2">
        <v>5.24</v>
      </c>
      <c r="F297" s="2">
        <v>3.29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</row>
    <row r="298" spans="1:11" x14ac:dyDescent="0.25">
      <c r="A298" s="1">
        <v>0.20555555555555599</v>
      </c>
      <c r="B298" s="2">
        <v>6.12</v>
      </c>
      <c r="C298" s="2">
        <v>3.55</v>
      </c>
      <c r="D298" s="2">
        <v>4.9400000000000004</v>
      </c>
      <c r="E298" s="2">
        <v>5.23</v>
      </c>
      <c r="F298" s="2">
        <v>2.86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</row>
    <row r="299" spans="1:11" x14ac:dyDescent="0.25">
      <c r="A299" s="1">
        <v>0.20624999999999999</v>
      </c>
      <c r="B299" s="2">
        <v>6.23</v>
      </c>
      <c r="C299" s="2">
        <v>3.76</v>
      </c>
      <c r="D299" s="2">
        <v>5.2200000000000006</v>
      </c>
      <c r="E299" s="2">
        <v>5.15</v>
      </c>
      <c r="F299" s="2">
        <v>3.25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</row>
    <row r="300" spans="1:11" x14ac:dyDescent="0.25">
      <c r="A300" s="1">
        <v>0.20694444444444399</v>
      </c>
      <c r="B300" s="2">
        <v>6.1400000000000006</v>
      </c>
      <c r="C300" s="2">
        <v>3.5199999999999996</v>
      </c>
      <c r="D300" s="2">
        <v>5.0200000000000005</v>
      </c>
      <c r="E300" s="2">
        <v>5.09</v>
      </c>
      <c r="F300" s="2">
        <v>2.91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</row>
    <row r="301" spans="1:11" x14ac:dyDescent="0.25">
      <c r="A301" s="1">
        <v>0.20763888888888901</v>
      </c>
      <c r="B301" s="2">
        <v>6.1800000000000006</v>
      </c>
      <c r="C301" s="2">
        <v>3.73</v>
      </c>
      <c r="D301" s="2">
        <v>5.0200000000000005</v>
      </c>
      <c r="E301" s="2">
        <v>5.04</v>
      </c>
      <c r="F301" s="2">
        <v>2.84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</row>
    <row r="302" spans="1:11" x14ac:dyDescent="0.25">
      <c r="A302" s="3">
        <v>0.20833333333333301</v>
      </c>
      <c r="B302" s="4">
        <v>6.19</v>
      </c>
      <c r="C302" s="4">
        <v>3.67</v>
      </c>
      <c r="D302" s="4">
        <v>5.09</v>
      </c>
      <c r="E302" s="4">
        <v>5.26</v>
      </c>
      <c r="F302" s="4">
        <v>3.09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</row>
    <row r="303" spans="1:11" x14ac:dyDescent="0.25">
      <c r="A303" s="1">
        <v>0.20902777777777801</v>
      </c>
      <c r="B303" s="2">
        <v>6.17</v>
      </c>
      <c r="C303" s="2">
        <v>3.78</v>
      </c>
      <c r="D303" s="2">
        <v>4.88</v>
      </c>
      <c r="E303" s="2">
        <v>5.2700000000000005</v>
      </c>
      <c r="F303" s="2">
        <v>2.99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</row>
    <row r="304" spans="1:11" x14ac:dyDescent="0.25">
      <c r="A304" s="1">
        <v>0.209722222222222</v>
      </c>
      <c r="B304" s="2">
        <v>6.2200000000000006</v>
      </c>
      <c r="C304" s="2">
        <v>3.7399999999999998</v>
      </c>
      <c r="D304" s="2">
        <v>5.1100000000000003</v>
      </c>
      <c r="E304" s="2">
        <v>5.08</v>
      </c>
      <c r="F304" s="2">
        <v>3.02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</row>
    <row r="305" spans="1:11" x14ac:dyDescent="0.25">
      <c r="A305" s="1">
        <v>0.210416666666667</v>
      </c>
      <c r="B305" s="2">
        <v>6.13</v>
      </c>
      <c r="C305" s="2">
        <v>3.53</v>
      </c>
      <c r="D305" s="2">
        <v>5.19</v>
      </c>
      <c r="E305" s="2">
        <v>5.32</v>
      </c>
      <c r="F305" s="2">
        <v>2.85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</row>
    <row r="306" spans="1:11" x14ac:dyDescent="0.25">
      <c r="A306" s="1">
        <v>0.211111111111111</v>
      </c>
      <c r="B306" s="2">
        <v>6.29</v>
      </c>
      <c r="C306" s="2">
        <v>3.61</v>
      </c>
      <c r="D306" s="2">
        <v>4.96</v>
      </c>
      <c r="E306" s="2">
        <v>5.25</v>
      </c>
      <c r="F306" s="2">
        <v>3.34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</row>
    <row r="307" spans="1:11" x14ac:dyDescent="0.25">
      <c r="A307" s="1">
        <v>0.211805555555556</v>
      </c>
      <c r="B307" s="2">
        <v>6.23</v>
      </c>
      <c r="C307" s="2">
        <v>3.55</v>
      </c>
      <c r="D307" s="2">
        <v>5.21</v>
      </c>
      <c r="E307" s="2">
        <v>5.4700000000000006</v>
      </c>
      <c r="F307" s="2">
        <v>2.84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</row>
    <row r="308" spans="1:11" x14ac:dyDescent="0.25">
      <c r="A308" s="1">
        <v>0.21249999999999999</v>
      </c>
      <c r="B308" s="2">
        <v>6.2</v>
      </c>
      <c r="C308" s="2">
        <v>3.51</v>
      </c>
      <c r="D308" s="2">
        <v>5.04</v>
      </c>
      <c r="E308" s="2">
        <v>5.44</v>
      </c>
      <c r="F308" s="2">
        <v>2.95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</row>
    <row r="309" spans="1:11" x14ac:dyDescent="0.25">
      <c r="A309" s="1">
        <v>0.21319444444444399</v>
      </c>
      <c r="B309" s="2">
        <v>6.07</v>
      </c>
      <c r="C309" s="2">
        <v>3.7699999999999996</v>
      </c>
      <c r="D309" s="2">
        <v>5.1800000000000006</v>
      </c>
      <c r="E309" s="2">
        <v>5.19</v>
      </c>
      <c r="F309" s="2">
        <v>3.17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</row>
    <row r="310" spans="1:11" x14ac:dyDescent="0.25">
      <c r="A310" s="1">
        <v>0.21388888888888899</v>
      </c>
      <c r="B310" s="2">
        <v>6.1000000000000005</v>
      </c>
      <c r="C310" s="2">
        <v>3.5199999999999996</v>
      </c>
      <c r="D310" s="2">
        <v>4.91</v>
      </c>
      <c r="E310" s="2">
        <v>5.07</v>
      </c>
      <c r="F310" s="2">
        <v>3.23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</row>
    <row r="311" spans="1:11" x14ac:dyDescent="0.25">
      <c r="A311" s="1">
        <v>0.21458333333333299</v>
      </c>
      <c r="B311" s="2">
        <v>6.1000000000000005</v>
      </c>
      <c r="C311" s="2">
        <v>3.6599999999999997</v>
      </c>
      <c r="D311" s="2">
        <v>5.24</v>
      </c>
      <c r="E311" s="2">
        <v>4.9400000000000004</v>
      </c>
      <c r="F311" s="2">
        <v>3.35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</row>
    <row r="312" spans="1:11" x14ac:dyDescent="0.25">
      <c r="A312" s="1">
        <v>0.21527777777777801</v>
      </c>
      <c r="B312" s="2">
        <v>6.28</v>
      </c>
      <c r="C312" s="2">
        <v>3.67</v>
      </c>
      <c r="D312" s="2">
        <v>4.9700000000000006</v>
      </c>
      <c r="E312" s="2">
        <v>5.29</v>
      </c>
      <c r="F312" s="2">
        <v>3.14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</row>
    <row r="313" spans="1:11" x14ac:dyDescent="0.25">
      <c r="A313" s="1">
        <v>0.21597222222222201</v>
      </c>
      <c r="B313" s="2">
        <v>6.25</v>
      </c>
      <c r="C313" s="2">
        <v>3.76</v>
      </c>
      <c r="D313" s="2">
        <v>5.0200000000000005</v>
      </c>
      <c r="E313" s="2">
        <v>5.2</v>
      </c>
      <c r="F313" s="2">
        <v>2.93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</row>
    <row r="314" spans="1:11" x14ac:dyDescent="0.25">
      <c r="A314" s="1">
        <v>0.21666666666666701</v>
      </c>
      <c r="B314" s="2">
        <v>6.25</v>
      </c>
      <c r="C314" s="2">
        <v>3.5599999999999996</v>
      </c>
      <c r="D314" s="2">
        <v>5</v>
      </c>
      <c r="E314" s="2">
        <v>5.1000000000000005</v>
      </c>
      <c r="F314" s="2">
        <v>3.09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</row>
    <row r="315" spans="1:11" x14ac:dyDescent="0.25">
      <c r="A315" s="1">
        <v>0.21736111111111101</v>
      </c>
      <c r="B315" s="2">
        <v>6.3100000000000005</v>
      </c>
      <c r="C315" s="2">
        <v>3.6399999999999997</v>
      </c>
      <c r="D315" s="2">
        <v>5</v>
      </c>
      <c r="E315" s="2">
        <v>4.87</v>
      </c>
      <c r="F315" s="2">
        <v>3.35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</row>
    <row r="316" spans="1:11" x14ac:dyDescent="0.25">
      <c r="A316" s="1">
        <v>0.218055555555556</v>
      </c>
      <c r="B316" s="2">
        <v>6.1400000000000006</v>
      </c>
      <c r="C316" s="2">
        <v>3.57</v>
      </c>
      <c r="D316" s="2">
        <v>5.2600000000000007</v>
      </c>
      <c r="E316" s="2">
        <v>4.9800000000000004</v>
      </c>
      <c r="F316" s="2">
        <v>2.97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</row>
    <row r="317" spans="1:11" x14ac:dyDescent="0.25">
      <c r="A317" s="1">
        <v>0.21875</v>
      </c>
      <c r="B317" s="2">
        <v>6.07</v>
      </c>
      <c r="C317" s="2">
        <v>3.57</v>
      </c>
      <c r="D317" s="2">
        <v>5.17</v>
      </c>
      <c r="E317" s="2">
        <v>5.07</v>
      </c>
      <c r="F317" s="2">
        <v>2.99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</row>
    <row r="318" spans="1:11" x14ac:dyDescent="0.25">
      <c r="A318" s="1">
        <v>0.219444444444444</v>
      </c>
      <c r="B318" s="2">
        <v>6.15</v>
      </c>
      <c r="C318" s="2">
        <v>3.6999999999999997</v>
      </c>
      <c r="D318" s="2">
        <v>4.8900000000000006</v>
      </c>
      <c r="E318" s="2">
        <v>5.3000000000000007</v>
      </c>
      <c r="F318" s="2">
        <v>2.85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</row>
    <row r="319" spans="1:11" x14ac:dyDescent="0.25">
      <c r="A319" s="1">
        <v>0.22013888888888899</v>
      </c>
      <c r="B319" s="2">
        <v>6.16</v>
      </c>
      <c r="C319" s="2">
        <v>3.67</v>
      </c>
      <c r="D319" s="2">
        <v>4.8600000000000003</v>
      </c>
      <c r="E319" s="2">
        <v>4.9800000000000004</v>
      </c>
      <c r="F319" s="2">
        <v>3.3000000000000003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</row>
    <row r="320" spans="1:11" x14ac:dyDescent="0.25">
      <c r="A320" s="1">
        <v>0.22083333333333299</v>
      </c>
      <c r="B320" s="2">
        <v>6.12</v>
      </c>
      <c r="C320" s="2">
        <v>3.51</v>
      </c>
      <c r="D320" s="2">
        <v>5.21</v>
      </c>
      <c r="E320" s="2">
        <v>5.5100000000000007</v>
      </c>
      <c r="F320" s="2">
        <v>2.86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</row>
    <row r="321" spans="1:11" x14ac:dyDescent="0.25">
      <c r="A321" s="1">
        <v>0.22152777777777799</v>
      </c>
      <c r="B321" s="2">
        <v>6.29</v>
      </c>
      <c r="C321" s="2">
        <v>3.6999999999999997</v>
      </c>
      <c r="D321" s="2">
        <v>5.19</v>
      </c>
      <c r="E321" s="2">
        <v>5.4</v>
      </c>
      <c r="F321" s="2">
        <v>3.12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</row>
    <row r="322" spans="1:11" x14ac:dyDescent="0.25">
      <c r="A322" s="1">
        <v>0.22222222222222199</v>
      </c>
      <c r="B322" s="2">
        <v>6.25</v>
      </c>
      <c r="C322" s="2">
        <v>3.5799999999999996</v>
      </c>
      <c r="D322" s="2">
        <v>4.88</v>
      </c>
      <c r="E322" s="2">
        <v>5.21</v>
      </c>
      <c r="F322" s="2">
        <v>3.1100000000000003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</row>
    <row r="323" spans="1:11" x14ac:dyDescent="0.25">
      <c r="A323" s="1">
        <v>0.22291666666666701</v>
      </c>
      <c r="B323" s="2">
        <v>6.1400000000000006</v>
      </c>
      <c r="C323" s="2">
        <v>3.6799999999999997</v>
      </c>
      <c r="D323" s="2">
        <v>5.2</v>
      </c>
      <c r="E323" s="2">
        <v>4.99</v>
      </c>
      <c r="F323" s="2">
        <v>3.34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</row>
    <row r="324" spans="1:11" x14ac:dyDescent="0.25">
      <c r="A324" s="1">
        <v>0.22361111111111101</v>
      </c>
      <c r="B324" s="2">
        <v>6.25</v>
      </c>
      <c r="C324" s="2">
        <v>3.57</v>
      </c>
      <c r="D324" s="2">
        <v>4.9400000000000004</v>
      </c>
      <c r="E324" s="2">
        <v>5.08</v>
      </c>
      <c r="F324" s="2">
        <v>3.09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</row>
    <row r="325" spans="1:11" x14ac:dyDescent="0.25">
      <c r="A325" s="1">
        <v>0.22430555555555601</v>
      </c>
      <c r="B325" s="2">
        <v>6.28</v>
      </c>
      <c r="C325" s="2">
        <v>3.6399999999999997</v>
      </c>
      <c r="D325" s="2">
        <v>5.07</v>
      </c>
      <c r="E325" s="2">
        <v>5.19</v>
      </c>
      <c r="F325" s="2">
        <v>3.1100000000000003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</row>
    <row r="326" spans="1:11" x14ac:dyDescent="0.25">
      <c r="A326" s="1">
        <v>0.22500000000000001</v>
      </c>
      <c r="B326" s="2">
        <v>6.24</v>
      </c>
      <c r="C326" s="2">
        <v>3.75</v>
      </c>
      <c r="D326" s="2">
        <v>4.8600000000000003</v>
      </c>
      <c r="E326" s="2">
        <v>5.46</v>
      </c>
      <c r="F326" s="2">
        <v>3.35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</row>
    <row r="327" spans="1:11" x14ac:dyDescent="0.25">
      <c r="A327" s="1">
        <v>0.225694444444444</v>
      </c>
      <c r="B327" s="2">
        <v>6.29</v>
      </c>
      <c r="C327" s="2">
        <v>3.75</v>
      </c>
      <c r="D327" s="2">
        <v>4.92</v>
      </c>
      <c r="E327" s="2">
        <v>5.4700000000000006</v>
      </c>
      <c r="F327" s="2">
        <v>3.16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</row>
    <row r="328" spans="1:11" x14ac:dyDescent="0.25">
      <c r="A328" s="1">
        <v>0.226388888888889</v>
      </c>
      <c r="B328" s="2">
        <v>6.3100000000000005</v>
      </c>
      <c r="C328" s="2">
        <v>3.5599999999999996</v>
      </c>
      <c r="D328" s="2">
        <v>4.9000000000000004</v>
      </c>
      <c r="E328" s="2">
        <v>5.07</v>
      </c>
      <c r="F328" s="2">
        <v>3.15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</row>
    <row r="329" spans="1:11" x14ac:dyDescent="0.25">
      <c r="A329" s="1">
        <v>0.227083333333333</v>
      </c>
      <c r="B329" s="2">
        <v>6.2700000000000005</v>
      </c>
      <c r="C329" s="2">
        <v>3.71</v>
      </c>
      <c r="D329" s="2">
        <v>5.0200000000000005</v>
      </c>
      <c r="E329" s="2">
        <v>5.36</v>
      </c>
      <c r="F329" s="2">
        <v>2.92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</row>
    <row r="330" spans="1:11" x14ac:dyDescent="0.25">
      <c r="A330" s="1">
        <v>0.227777777777778</v>
      </c>
      <c r="B330" s="2">
        <v>6.32</v>
      </c>
      <c r="C330" s="2">
        <v>3.55</v>
      </c>
      <c r="D330" s="2">
        <v>5.21</v>
      </c>
      <c r="E330" s="2">
        <v>5.3900000000000006</v>
      </c>
      <c r="F330" s="2">
        <v>3.06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</row>
    <row r="331" spans="1:11" x14ac:dyDescent="0.25">
      <c r="A331" s="1">
        <v>0.22847222222222199</v>
      </c>
      <c r="B331" s="2">
        <v>6.25</v>
      </c>
      <c r="C331" s="2">
        <v>3.59</v>
      </c>
      <c r="D331" s="2">
        <v>5</v>
      </c>
      <c r="E331" s="2">
        <v>5.3000000000000007</v>
      </c>
      <c r="F331" s="2">
        <v>3.0500000000000003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</row>
    <row r="332" spans="1:11" x14ac:dyDescent="0.25">
      <c r="A332" s="1">
        <v>0.22916666666666699</v>
      </c>
      <c r="B332" s="2">
        <v>6.1400000000000006</v>
      </c>
      <c r="C332" s="2">
        <v>3.61</v>
      </c>
      <c r="D332" s="2">
        <v>5.08</v>
      </c>
      <c r="E332" s="2">
        <v>5.5200000000000005</v>
      </c>
      <c r="F332" s="2">
        <v>2.89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</row>
    <row r="333" spans="1:11" x14ac:dyDescent="0.25">
      <c r="A333" s="1">
        <v>0.22986111111111099</v>
      </c>
      <c r="B333" s="2">
        <v>6.32</v>
      </c>
      <c r="C333" s="2">
        <v>3.76</v>
      </c>
      <c r="D333" s="2">
        <v>4.99</v>
      </c>
      <c r="E333" s="2">
        <v>5.15</v>
      </c>
      <c r="F333" s="2">
        <v>3.0100000000000002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</row>
    <row r="334" spans="1:11" x14ac:dyDescent="0.25">
      <c r="A334" s="1">
        <v>0.23055555555555601</v>
      </c>
      <c r="B334" s="2">
        <v>6.3000000000000007</v>
      </c>
      <c r="C334" s="2">
        <v>3.61</v>
      </c>
      <c r="D334" s="2">
        <v>5.12</v>
      </c>
      <c r="E334" s="2">
        <v>4.9400000000000004</v>
      </c>
      <c r="F334" s="2">
        <v>2.9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</row>
    <row r="335" spans="1:11" x14ac:dyDescent="0.25">
      <c r="A335" s="1">
        <v>0.23125000000000001</v>
      </c>
      <c r="B335" s="2">
        <v>6.28</v>
      </c>
      <c r="C335" s="2">
        <v>3.6799999999999997</v>
      </c>
      <c r="D335" s="2">
        <v>5.1400000000000006</v>
      </c>
      <c r="E335" s="2">
        <v>5.0100000000000007</v>
      </c>
      <c r="F335" s="2">
        <v>2.9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</row>
    <row r="336" spans="1:11" x14ac:dyDescent="0.25">
      <c r="A336" s="1">
        <v>0.23194444444444401</v>
      </c>
      <c r="B336" s="2">
        <v>6.2700000000000005</v>
      </c>
      <c r="C336" s="2">
        <v>3.7699999999999996</v>
      </c>
      <c r="D336" s="2">
        <v>5.16</v>
      </c>
      <c r="E336" s="2">
        <v>5</v>
      </c>
      <c r="F336" s="2">
        <v>3.2800000000000002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</row>
    <row r="337" spans="1:11" x14ac:dyDescent="0.25">
      <c r="A337" s="1">
        <v>0.23263888888888901</v>
      </c>
      <c r="B337" s="2">
        <v>6.25</v>
      </c>
      <c r="C337" s="2">
        <v>3.7399999999999998</v>
      </c>
      <c r="D337" s="2">
        <v>5.04</v>
      </c>
      <c r="E337" s="2">
        <v>5.28</v>
      </c>
      <c r="F337" s="2">
        <v>3.15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</row>
    <row r="338" spans="1:11" x14ac:dyDescent="0.25">
      <c r="A338" s="1">
        <v>0.233333333333333</v>
      </c>
      <c r="B338" s="2">
        <v>6.19</v>
      </c>
      <c r="C338" s="2">
        <v>3.78</v>
      </c>
      <c r="D338" s="2">
        <v>5</v>
      </c>
      <c r="E338" s="2">
        <v>5.4300000000000006</v>
      </c>
      <c r="F338" s="2">
        <v>2.85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</row>
    <row r="339" spans="1:11" x14ac:dyDescent="0.25">
      <c r="A339" s="1">
        <v>0.234027777777778</v>
      </c>
      <c r="B339" s="2">
        <v>6.28</v>
      </c>
      <c r="C339" s="2">
        <v>3.7399999999999998</v>
      </c>
      <c r="D339" s="2">
        <v>5.0600000000000005</v>
      </c>
      <c r="E339" s="2">
        <v>5.37</v>
      </c>
      <c r="F339" s="2">
        <v>3.04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</row>
    <row r="340" spans="1:11" x14ac:dyDescent="0.25">
      <c r="A340" s="1">
        <v>0.234722222222222</v>
      </c>
      <c r="B340" s="2">
        <v>6.24</v>
      </c>
      <c r="C340" s="2">
        <v>3.5599999999999996</v>
      </c>
      <c r="D340" s="2">
        <v>5.1400000000000006</v>
      </c>
      <c r="E340" s="2">
        <v>5.0600000000000005</v>
      </c>
      <c r="F340" s="2">
        <v>3.02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</row>
    <row r="341" spans="1:11" x14ac:dyDescent="0.25">
      <c r="A341" s="1">
        <v>0.235416666666667</v>
      </c>
      <c r="B341" s="2">
        <v>6.16</v>
      </c>
      <c r="C341" s="2">
        <v>3.6599999999999997</v>
      </c>
      <c r="D341" s="2">
        <v>5.1000000000000005</v>
      </c>
      <c r="E341" s="2">
        <v>5.4700000000000006</v>
      </c>
      <c r="F341" s="2">
        <v>3.0700000000000003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</row>
    <row r="342" spans="1:11" x14ac:dyDescent="0.25">
      <c r="A342" s="1">
        <v>0.23611111111111099</v>
      </c>
      <c r="B342" s="2">
        <v>6.2600000000000007</v>
      </c>
      <c r="C342" s="2">
        <v>3.67</v>
      </c>
      <c r="D342" s="2">
        <v>4.91</v>
      </c>
      <c r="E342" s="2">
        <v>5.4300000000000006</v>
      </c>
      <c r="F342" s="2">
        <v>3.18</v>
      </c>
      <c r="G342" s="6">
        <v>50</v>
      </c>
      <c r="H342" s="6">
        <v>65</v>
      </c>
      <c r="I342" s="6">
        <v>68</v>
      </c>
      <c r="J342" s="6">
        <v>53</v>
      </c>
      <c r="K342" s="6">
        <v>80</v>
      </c>
    </row>
    <row r="343" spans="1:11" x14ac:dyDescent="0.25">
      <c r="A343" s="1">
        <v>0.23680555555555599</v>
      </c>
      <c r="B343" s="2">
        <v>6.1800000000000006</v>
      </c>
      <c r="C343" s="2">
        <v>3.76</v>
      </c>
      <c r="D343" s="2">
        <v>5.1100000000000003</v>
      </c>
      <c r="E343" s="2">
        <v>5.33</v>
      </c>
      <c r="F343" s="2">
        <v>2.96</v>
      </c>
      <c r="G343" s="6">
        <v>100</v>
      </c>
      <c r="H343" s="6">
        <v>150</v>
      </c>
      <c r="I343" s="6">
        <v>204</v>
      </c>
      <c r="J343" s="6">
        <v>105</v>
      </c>
      <c r="K343" s="6">
        <v>200</v>
      </c>
    </row>
    <row r="344" spans="1:11" x14ac:dyDescent="0.25">
      <c r="A344" s="1">
        <v>0.23749999999999999</v>
      </c>
      <c r="B344" s="2">
        <v>6.2200000000000006</v>
      </c>
      <c r="C344" s="2">
        <v>3.67</v>
      </c>
      <c r="D344" s="2">
        <v>4.87</v>
      </c>
      <c r="E344" s="2">
        <v>5.46</v>
      </c>
      <c r="F344" s="2">
        <v>3.25</v>
      </c>
      <c r="G344" s="6">
        <v>156</v>
      </c>
      <c r="H344" s="6">
        <v>456</v>
      </c>
      <c r="I344" s="6">
        <v>482</v>
      </c>
      <c r="J344" s="6">
        <v>346</v>
      </c>
      <c r="K344" s="6">
        <v>450</v>
      </c>
    </row>
    <row r="345" spans="1:11" x14ac:dyDescent="0.25">
      <c r="A345" s="1">
        <v>0.23819444444444399</v>
      </c>
      <c r="B345" s="2">
        <v>6.17</v>
      </c>
      <c r="C345" s="2">
        <v>3.7399999999999998</v>
      </c>
      <c r="D345" s="2">
        <v>5.1400000000000006</v>
      </c>
      <c r="E345" s="2">
        <v>5.0100000000000007</v>
      </c>
      <c r="F345" s="2">
        <v>3.0700000000000003</v>
      </c>
      <c r="G345" s="6">
        <v>200</v>
      </c>
      <c r="H345" s="6">
        <v>235</v>
      </c>
      <c r="I345" s="6">
        <v>356</v>
      </c>
      <c r="J345" s="6">
        <v>284</v>
      </c>
      <c r="K345" s="6">
        <v>678</v>
      </c>
    </row>
    <row r="346" spans="1:11" x14ac:dyDescent="0.25">
      <c r="A346" s="1">
        <v>0.23888888888888901</v>
      </c>
      <c r="B346" s="2">
        <v>6.17</v>
      </c>
      <c r="C346" s="2">
        <v>3.71</v>
      </c>
      <c r="D346" s="2">
        <v>5.19</v>
      </c>
      <c r="E346" s="2">
        <v>5.44</v>
      </c>
      <c r="F346" s="2">
        <v>2.86</v>
      </c>
      <c r="G346" s="6">
        <v>278</v>
      </c>
      <c r="H346" s="6">
        <v>348</v>
      </c>
      <c r="I346" s="6">
        <v>487</v>
      </c>
      <c r="J346" s="6">
        <v>497</v>
      </c>
      <c r="K346" s="6">
        <v>544</v>
      </c>
    </row>
    <row r="347" spans="1:11" x14ac:dyDescent="0.25">
      <c r="A347" s="1">
        <v>0.23958333333333301</v>
      </c>
      <c r="B347" s="2">
        <v>6.19</v>
      </c>
      <c r="C347" s="2">
        <v>3.71</v>
      </c>
      <c r="D347" s="2">
        <v>5.25</v>
      </c>
      <c r="E347" s="2">
        <v>5.25</v>
      </c>
      <c r="F347" s="2">
        <v>2.92</v>
      </c>
      <c r="G347" s="6">
        <v>345</v>
      </c>
      <c r="H347" s="6">
        <v>567</v>
      </c>
      <c r="I347" s="6">
        <v>461</v>
      </c>
      <c r="J347" s="6">
        <v>354</v>
      </c>
      <c r="K347" s="6">
        <v>289</v>
      </c>
    </row>
    <row r="348" spans="1:11" x14ac:dyDescent="0.25">
      <c r="A348" s="1">
        <v>0.24027777777777801</v>
      </c>
      <c r="B348" s="2">
        <v>6.24</v>
      </c>
      <c r="C348" s="2">
        <v>3.7199999999999998</v>
      </c>
      <c r="D348" s="2">
        <v>4.8900000000000006</v>
      </c>
      <c r="E348" s="2">
        <v>5.37</v>
      </c>
      <c r="F348" s="2">
        <v>2.86</v>
      </c>
      <c r="G348" s="6">
        <v>367</v>
      </c>
      <c r="H348" s="6">
        <v>481</v>
      </c>
      <c r="I348" s="6">
        <v>348</v>
      </c>
      <c r="J348" s="6">
        <v>455</v>
      </c>
      <c r="K348" s="6">
        <v>385</v>
      </c>
    </row>
    <row r="349" spans="1:11" x14ac:dyDescent="0.25">
      <c r="A349" s="1">
        <v>0.240972222222222</v>
      </c>
      <c r="B349" s="2">
        <v>6.2700000000000005</v>
      </c>
      <c r="C349" s="2">
        <v>3.6999999999999997</v>
      </c>
      <c r="D349" s="2">
        <v>5.07</v>
      </c>
      <c r="E349" s="2">
        <v>5.04</v>
      </c>
      <c r="F349" s="2">
        <v>3.33</v>
      </c>
      <c r="G349" s="6">
        <v>450</v>
      </c>
      <c r="H349" s="6">
        <v>247</v>
      </c>
      <c r="I349" s="6">
        <v>649</v>
      </c>
      <c r="J349" s="6">
        <v>573</v>
      </c>
      <c r="K349" s="6">
        <v>697</v>
      </c>
    </row>
    <row r="350" spans="1:11" x14ac:dyDescent="0.25">
      <c r="A350" s="1">
        <v>0.241666666666667</v>
      </c>
      <c r="B350" s="2">
        <v>6.21</v>
      </c>
      <c r="C350" s="2">
        <v>3.5799999999999996</v>
      </c>
      <c r="D350" s="2">
        <v>5.08</v>
      </c>
      <c r="E350" s="2">
        <v>4.83</v>
      </c>
      <c r="F350" s="2">
        <v>2.85</v>
      </c>
      <c r="G350" s="6">
        <v>478</v>
      </c>
      <c r="H350" s="6">
        <v>874</v>
      </c>
      <c r="I350" s="6">
        <v>795</v>
      </c>
      <c r="J350" s="6">
        <v>569</v>
      </c>
      <c r="K350" s="6">
        <v>891</v>
      </c>
    </row>
    <row r="351" spans="1:11" x14ac:dyDescent="0.25">
      <c r="A351" s="1">
        <v>0.242361111111111</v>
      </c>
      <c r="B351" s="2">
        <v>6.1800000000000006</v>
      </c>
      <c r="C351" s="2">
        <v>3.5799999999999996</v>
      </c>
      <c r="D351" s="2">
        <v>5.03</v>
      </c>
      <c r="E351" s="2">
        <v>5.23</v>
      </c>
      <c r="F351" s="2">
        <v>2.94</v>
      </c>
      <c r="G351" s="6">
        <v>845</v>
      </c>
      <c r="H351" s="6">
        <v>641</v>
      </c>
      <c r="I351" s="6">
        <v>245</v>
      </c>
      <c r="J351" s="6">
        <v>249</v>
      </c>
      <c r="K351" s="6">
        <v>597</v>
      </c>
    </row>
    <row r="352" spans="1:11" x14ac:dyDescent="0.25">
      <c r="A352" s="1">
        <v>0.243055555555556</v>
      </c>
      <c r="B352" s="2">
        <v>6.32</v>
      </c>
      <c r="C352" s="2">
        <v>3.53</v>
      </c>
      <c r="D352" s="2">
        <v>4.95</v>
      </c>
      <c r="E352" s="2">
        <v>5.42</v>
      </c>
      <c r="F352" s="2">
        <v>2.94</v>
      </c>
      <c r="G352" s="6">
        <v>345</v>
      </c>
      <c r="H352" s="6">
        <v>242</v>
      </c>
      <c r="I352" s="6">
        <v>349</v>
      </c>
      <c r="J352" s="6">
        <v>553</v>
      </c>
      <c r="K352" s="6">
        <v>619</v>
      </c>
    </row>
    <row r="353" spans="1:11" x14ac:dyDescent="0.25">
      <c r="A353" s="1">
        <v>0.24374999999999999</v>
      </c>
      <c r="B353" s="2">
        <v>6.24</v>
      </c>
      <c r="C353" s="2">
        <v>3.5399999999999996</v>
      </c>
      <c r="D353" s="2">
        <v>5.2</v>
      </c>
      <c r="E353" s="2">
        <v>5.12</v>
      </c>
      <c r="F353" s="2">
        <v>3.25</v>
      </c>
      <c r="G353" s="6">
        <v>560</v>
      </c>
      <c r="H353" s="6">
        <v>648</v>
      </c>
      <c r="I353" s="6">
        <v>657</v>
      </c>
      <c r="J353" s="6">
        <v>554</v>
      </c>
      <c r="K353" s="6">
        <v>780</v>
      </c>
    </row>
    <row r="354" spans="1:11" x14ac:dyDescent="0.25">
      <c r="A354" s="1">
        <v>0.24444444444444399</v>
      </c>
      <c r="B354" s="2">
        <v>6.2700000000000005</v>
      </c>
      <c r="C354" s="2">
        <v>3.7399999999999998</v>
      </c>
      <c r="D354" s="2">
        <v>5.1400000000000006</v>
      </c>
      <c r="E354" s="2">
        <v>5.48</v>
      </c>
      <c r="F354" s="2">
        <v>3.22</v>
      </c>
      <c r="G354" s="6">
        <v>735</v>
      </c>
      <c r="H354" s="6">
        <v>458</v>
      </c>
      <c r="I354" s="6">
        <v>479</v>
      </c>
      <c r="J354" s="6">
        <v>482</v>
      </c>
      <c r="K354" s="6">
        <v>570</v>
      </c>
    </row>
    <row r="355" spans="1:11" x14ac:dyDescent="0.25">
      <c r="A355" s="1">
        <v>0.24513888888888899</v>
      </c>
      <c r="B355" s="2">
        <v>6.13</v>
      </c>
      <c r="C355" s="2">
        <v>3.53</v>
      </c>
      <c r="D355" s="2">
        <v>4.8600000000000003</v>
      </c>
      <c r="E355" s="2">
        <v>5.08</v>
      </c>
      <c r="F355" s="2">
        <v>3.13</v>
      </c>
      <c r="G355" s="6">
        <v>467</v>
      </c>
      <c r="H355" s="6">
        <v>657</v>
      </c>
      <c r="I355" s="6">
        <v>672</v>
      </c>
      <c r="J355" s="6">
        <v>467</v>
      </c>
      <c r="K355" s="6">
        <v>218</v>
      </c>
    </row>
    <row r="356" spans="1:11" x14ac:dyDescent="0.25">
      <c r="A356" s="1">
        <v>0.24583333333333299</v>
      </c>
      <c r="B356" s="2">
        <v>6.11</v>
      </c>
      <c r="C356" s="2">
        <v>3.57</v>
      </c>
      <c r="D356" s="2">
        <v>5.04</v>
      </c>
      <c r="E356" s="2">
        <v>4.96</v>
      </c>
      <c r="F356" s="2">
        <v>2.88</v>
      </c>
      <c r="G356" s="6">
        <v>846</v>
      </c>
      <c r="H356" s="6">
        <v>945</v>
      </c>
      <c r="I356" s="6">
        <v>1000</v>
      </c>
      <c r="J356" s="6">
        <v>925</v>
      </c>
      <c r="K356" s="6">
        <v>998</v>
      </c>
    </row>
    <row r="357" spans="1:11" x14ac:dyDescent="0.25">
      <c r="A357" s="1">
        <v>0.24652777777777801</v>
      </c>
      <c r="B357" s="2">
        <v>6.1400000000000006</v>
      </c>
      <c r="C357" s="2">
        <v>3.5999999999999996</v>
      </c>
      <c r="D357" s="2">
        <v>5.0500000000000007</v>
      </c>
      <c r="E357" s="2">
        <v>5.13</v>
      </c>
      <c r="F357" s="2">
        <v>3.13</v>
      </c>
      <c r="G357" s="6">
        <v>256</v>
      </c>
      <c r="H357" s="6">
        <v>450</v>
      </c>
      <c r="I357" s="6">
        <v>947</v>
      </c>
      <c r="J357" s="6">
        <v>789</v>
      </c>
      <c r="K357" s="6">
        <v>874</v>
      </c>
    </row>
    <row r="358" spans="1:11" x14ac:dyDescent="0.25">
      <c r="A358" s="1">
        <v>0.24722222222222201</v>
      </c>
      <c r="B358" s="2">
        <v>6.2200000000000006</v>
      </c>
      <c r="C358" s="2">
        <v>3.71</v>
      </c>
      <c r="D358" s="2">
        <v>4.95</v>
      </c>
      <c r="E358" s="2">
        <v>5.48</v>
      </c>
      <c r="F358" s="2">
        <v>3.02</v>
      </c>
      <c r="G358" s="6">
        <v>470</v>
      </c>
      <c r="H358" s="6">
        <v>647</v>
      </c>
      <c r="I358" s="6">
        <v>875</v>
      </c>
      <c r="J358" s="6">
        <v>469</v>
      </c>
      <c r="K358" s="6">
        <v>384</v>
      </c>
    </row>
    <row r="359" spans="1:11" x14ac:dyDescent="0.25">
      <c r="A359" s="1">
        <v>0.24791666666666701</v>
      </c>
      <c r="B359" s="2">
        <v>6.16</v>
      </c>
      <c r="C359" s="2">
        <v>3.51</v>
      </c>
      <c r="D359" s="2">
        <v>4.9800000000000004</v>
      </c>
      <c r="E359" s="2">
        <v>5.2</v>
      </c>
      <c r="F359" s="2">
        <v>2.9</v>
      </c>
      <c r="G359" s="6">
        <v>574</v>
      </c>
      <c r="H359" s="6">
        <v>659</v>
      </c>
      <c r="I359" s="6">
        <v>562</v>
      </c>
      <c r="J359" s="6">
        <v>852</v>
      </c>
      <c r="K359" s="6">
        <v>950</v>
      </c>
    </row>
    <row r="360" spans="1:11" x14ac:dyDescent="0.25">
      <c r="A360" s="1">
        <v>0.24861111111111101</v>
      </c>
      <c r="B360" s="2">
        <v>6.23</v>
      </c>
      <c r="C360" s="2">
        <v>3.76</v>
      </c>
      <c r="D360" s="2">
        <v>4.91</v>
      </c>
      <c r="E360" s="2">
        <v>5.17</v>
      </c>
      <c r="F360" s="2">
        <v>2.96</v>
      </c>
      <c r="G360" s="6">
        <v>945</v>
      </c>
      <c r="H360" s="6">
        <v>345</v>
      </c>
      <c r="I360" s="6">
        <v>548</v>
      </c>
      <c r="J360" s="6">
        <v>546</v>
      </c>
      <c r="K360" s="6">
        <v>1225</v>
      </c>
    </row>
    <row r="361" spans="1:11" x14ac:dyDescent="0.25">
      <c r="A361" s="1">
        <v>0.249305555555556</v>
      </c>
      <c r="B361" s="2">
        <v>6.32</v>
      </c>
      <c r="C361" s="2">
        <v>3.51</v>
      </c>
      <c r="D361" s="2">
        <v>4.8600000000000003</v>
      </c>
      <c r="E361" s="2">
        <v>5.12</v>
      </c>
      <c r="F361" s="2">
        <v>3.23</v>
      </c>
      <c r="G361" s="6">
        <v>445</v>
      </c>
      <c r="H361" s="6">
        <v>546</v>
      </c>
      <c r="I361" s="6">
        <v>697</v>
      </c>
      <c r="J361" s="6">
        <v>640</v>
      </c>
      <c r="K361" s="6">
        <v>846</v>
      </c>
    </row>
    <row r="362" spans="1:11" x14ac:dyDescent="0.25">
      <c r="A362" s="3">
        <v>0.25</v>
      </c>
      <c r="B362" s="4">
        <v>6.19</v>
      </c>
      <c r="C362" s="4">
        <v>3.67</v>
      </c>
      <c r="D362" s="4">
        <v>5.09</v>
      </c>
      <c r="E362" s="4">
        <v>5.26</v>
      </c>
      <c r="F362" s="4">
        <v>3.09</v>
      </c>
      <c r="G362" s="7">
        <v>645</v>
      </c>
      <c r="H362" s="6">
        <v>731</v>
      </c>
      <c r="I362" s="6">
        <v>752</v>
      </c>
      <c r="J362" s="7">
        <v>675</v>
      </c>
      <c r="K362" s="7">
        <v>834</v>
      </c>
    </row>
    <row r="363" spans="1:11" x14ac:dyDescent="0.25">
      <c r="A363" s="1">
        <v>0.250694444444444</v>
      </c>
      <c r="B363" s="2">
        <v>6.32</v>
      </c>
      <c r="C363" s="2">
        <v>3.65</v>
      </c>
      <c r="D363" s="2">
        <v>4.95</v>
      </c>
      <c r="E363" s="2">
        <v>5.34</v>
      </c>
      <c r="F363" s="2">
        <v>3.0700000000000003</v>
      </c>
      <c r="G363" s="6">
        <v>790</v>
      </c>
      <c r="H363" s="6">
        <v>900</v>
      </c>
      <c r="I363" s="6">
        <v>1005</v>
      </c>
      <c r="J363" s="6">
        <v>1138</v>
      </c>
      <c r="K363" s="6">
        <f>J363+300</f>
        <v>1438</v>
      </c>
    </row>
    <row r="364" spans="1:11" x14ac:dyDescent="0.25">
      <c r="A364" s="1">
        <v>0.25138888888888899</v>
      </c>
      <c r="B364" s="2">
        <v>6.23</v>
      </c>
      <c r="C364" s="2">
        <v>3.6399999999999997</v>
      </c>
      <c r="D364" s="2">
        <v>4.96</v>
      </c>
      <c r="E364" s="2">
        <v>5.2200000000000006</v>
      </c>
      <c r="F364" s="2">
        <v>3.02</v>
      </c>
      <c r="G364" s="6">
        <v>365</v>
      </c>
      <c r="H364" s="6">
        <v>782</v>
      </c>
      <c r="I364" s="6">
        <v>871</v>
      </c>
      <c r="J364" s="6">
        <v>915</v>
      </c>
      <c r="K364" s="6">
        <v>1225</v>
      </c>
    </row>
    <row r="365" spans="1:11" x14ac:dyDescent="0.25">
      <c r="A365" s="1">
        <v>0.25208333333333299</v>
      </c>
      <c r="B365" s="2">
        <v>6.2200000000000006</v>
      </c>
      <c r="C365" s="2">
        <v>3.78</v>
      </c>
      <c r="D365" s="2">
        <v>4.9700000000000006</v>
      </c>
      <c r="E365" s="2">
        <v>4.99</v>
      </c>
      <c r="F365" s="2">
        <v>3.02</v>
      </c>
      <c r="G365" s="6">
        <v>907</v>
      </c>
      <c r="H365" s="6">
        <v>1126</v>
      </c>
      <c r="I365" s="6">
        <v>1300</v>
      </c>
      <c r="J365" s="6">
        <v>1356</v>
      </c>
      <c r="K365" s="6">
        <v>1678</v>
      </c>
    </row>
    <row r="366" spans="1:11" x14ac:dyDescent="0.25">
      <c r="A366" s="1">
        <v>0.25277777777777799</v>
      </c>
      <c r="B366" s="2">
        <v>6.07</v>
      </c>
      <c r="C366" s="2">
        <v>3.6599999999999997</v>
      </c>
      <c r="D366" s="2">
        <v>5.2200000000000006</v>
      </c>
      <c r="E366" s="2">
        <v>5.45</v>
      </c>
      <c r="F366" s="2">
        <v>3</v>
      </c>
      <c r="G366" s="6">
        <v>489</v>
      </c>
      <c r="H366" s="6">
        <v>945</v>
      </c>
      <c r="I366" s="6">
        <v>1547</v>
      </c>
      <c r="J366" s="6">
        <v>1660</v>
      </c>
      <c r="K366" s="6">
        <v>2045</v>
      </c>
    </row>
    <row r="367" spans="1:11" x14ac:dyDescent="0.25">
      <c r="A367" s="1">
        <v>0.25347222222222199</v>
      </c>
      <c r="B367" s="2">
        <v>6.1800000000000006</v>
      </c>
      <c r="C367" s="2">
        <v>3.57</v>
      </c>
      <c r="D367" s="2">
        <v>4.92</v>
      </c>
      <c r="E367" s="2">
        <v>5.03</v>
      </c>
      <c r="F367" s="2">
        <v>3.33</v>
      </c>
      <c r="G367" s="6">
        <v>759</v>
      </c>
      <c r="H367" s="6">
        <v>894</v>
      </c>
      <c r="I367" s="6">
        <v>945</v>
      </c>
      <c r="J367" s="6">
        <v>1035</v>
      </c>
      <c r="K367" s="6">
        <v>1347</v>
      </c>
    </row>
    <row r="368" spans="1:11" x14ac:dyDescent="0.25">
      <c r="A368" s="1">
        <v>0.25416666666666698</v>
      </c>
      <c r="B368" s="2">
        <v>6.09</v>
      </c>
      <c r="C368" s="2">
        <v>3.6799999999999997</v>
      </c>
      <c r="D368" s="2">
        <v>5.0600000000000005</v>
      </c>
      <c r="E368" s="2">
        <v>5.3500000000000005</v>
      </c>
      <c r="F368" s="2">
        <v>2.99</v>
      </c>
      <c r="G368" s="6">
        <v>1229</v>
      </c>
      <c r="H368" s="6">
        <v>1067</v>
      </c>
      <c r="I368" s="6">
        <v>1336</v>
      </c>
      <c r="J368" s="6">
        <v>1456</v>
      </c>
      <c r="K368" s="6">
        <f t="shared" ref="K368:K417" si="5">J368+300</f>
        <v>1756</v>
      </c>
    </row>
    <row r="369" spans="1:11" x14ac:dyDescent="0.25">
      <c r="A369" s="1">
        <v>0.25486111111111098</v>
      </c>
      <c r="B369" s="2">
        <v>6.1800000000000006</v>
      </c>
      <c r="C369" s="2">
        <v>3.75</v>
      </c>
      <c r="D369" s="2">
        <v>5.1800000000000006</v>
      </c>
      <c r="E369" s="2">
        <v>5.03</v>
      </c>
      <c r="F369" s="2">
        <v>3.09</v>
      </c>
      <c r="G369" s="6">
        <v>1480</v>
      </c>
      <c r="H369" s="6">
        <v>1298</v>
      </c>
      <c r="I369" s="6">
        <v>1287</v>
      </c>
      <c r="J369" s="6">
        <v>1354</v>
      </c>
      <c r="K369" s="6">
        <f t="shared" si="5"/>
        <v>1654</v>
      </c>
    </row>
    <row r="370" spans="1:11" x14ac:dyDescent="0.25">
      <c r="A370" s="1">
        <v>0.25555555555555598</v>
      </c>
      <c r="B370" s="2">
        <v>6.3100000000000005</v>
      </c>
      <c r="C370" s="2">
        <v>3.55</v>
      </c>
      <c r="D370" s="2">
        <v>5.23</v>
      </c>
      <c r="E370" s="2">
        <v>4.9300000000000006</v>
      </c>
      <c r="F370" s="2">
        <v>3.02</v>
      </c>
      <c r="G370" s="6">
        <v>1227</v>
      </c>
      <c r="H370" s="6">
        <v>1425</v>
      </c>
      <c r="I370" s="6">
        <v>1456</v>
      </c>
      <c r="J370" s="6">
        <v>1564</v>
      </c>
      <c r="K370" s="6">
        <v>1754</v>
      </c>
    </row>
    <row r="371" spans="1:11" x14ac:dyDescent="0.25">
      <c r="A371" s="1">
        <v>0.25624999999999998</v>
      </c>
      <c r="B371" s="2">
        <v>6.24</v>
      </c>
      <c r="C371" s="2">
        <v>3.73</v>
      </c>
      <c r="D371" s="2">
        <v>5.17</v>
      </c>
      <c r="E371" s="2">
        <v>5.1800000000000006</v>
      </c>
      <c r="F371" s="2">
        <v>3.3000000000000003</v>
      </c>
      <c r="G371" s="6">
        <v>857</v>
      </c>
      <c r="H371" s="6">
        <v>1089</v>
      </c>
      <c r="I371" s="6">
        <v>1237</v>
      </c>
      <c r="J371" s="6">
        <v>1356</v>
      </c>
      <c r="K371" s="6">
        <f t="shared" si="5"/>
        <v>1656</v>
      </c>
    </row>
    <row r="372" spans="1:11" x14ac:dyDescent="0.25">
      <c r="A372" s="1">
        <v>0.25694444444444398</v>
      </c>
      <c r="B372" s="2">
        <v>6.2600000000000007</v>
      </c>
      <c r="C372" s="2">
        <v>3.5199999999999996</v>
      </c>
      <c r="D372" s="2">
        <v>4.91</v>
      </c>
      <c r="E372" s="2">
        <v>5.0600000000000005</v>
      </c>
      <c r="F372" s="2">
        <v>3.16</v>
      </c>
      <c r="G372" s="6">
        <v>894</v>
      </c>
      <c r="H372" s="6">
        <v>1007</v>
      </c>
      <c r="I372" s="6">
        <v>1010</v>
      </c>
      <c r="J372" s="6">
        <v>1102</v>
      </c>
      <c r="K372" s="6">
        <v>1489</v>
      </c>
    </row>
    <row r="373" spans="1:11" x14ac:dyDescent="0.25">
      <c r="A373" s="1">
        <v>0.25763888888888897</v>
      </c>
      <c r="B373" s="2">
        <v>6.29</v>
      </c>
      <c r="C373" s="2">
        <v>3.75</v>
      </c>
      <c r="D373" s="2">
        <v>5.23</v>
      </c>
      <c r="E373" s="2">
        <v>4.91</v>
      </c>
      <c r="F373" s="2">
        <v>3</v>
      </c>
      <c r="G373" s="6">
        <v>1008</v>
      </c>
      <c r="H373" s="6">
        <v>1293</v>
      </c>
      <c r="I373" s="6">
        <v>1338</v>
      </c>
      <c r="J373" s="6">
        <v>1425</v>
      </c>
      <c r="K373" s="6">
        <f t="shared" si="5"/>
        <v>1725</v>
      </c>
    </row>
    <row r="374" spans="1:11" x14ac:dyDescent="0.25">
      <c r="A374" s="1">
        <v>0.25833333333333303</v>
      </c>
      <c r="B374" s="2">
        <v>6.32</v>
      </c>
      <c r="C374" s="2">
        <v>3.7199999999999998</v>
      </c>
      <c r="D374" s="2">
        <v>5.17</v>
      </c>
      <c r="E374" s="2">
        <v>4.83</v>
      </c>
      <c r="F374" s="2">
        <v>3.17</v>
      </c>
      <c r="G374" s="6">
        <v>1229</v>
      </c>
      <c r="H374" s="6">
        <v>1345</v>
      </c>
      <c r="I374" s="6">
        <v>1507</v>
      </c>
      <c r="J374" s="6">
        <v>1678</v>
      </c>
      <c r="K374" s="6">
        <f t="shared" si="5"/>
        <v>1978</v>
      </c>
    </row>
    <row r="375" spans="1:11" x14ac:dyDescent="0.25">
      <c r="A375" s="1">
        <v>0.25902777777777802</v>
      </c>
      <c r="B375" s="2">
        <v>6.07</v>
      </c>
      <c r="C375" s="2">
        <v>3.5999999999999996</v>
      </c>
      <c r="D375" s="2">
        <v>5.1400000000000006</v>
      </c>
      <c r="E375" s="2">
        <v>5.5100000000000007</v>
      </c>
      <c r="F375" s="2">
        <v>3.35</v>
      </c>
      <c r="G375" s="6">
        <v>1559</v>
      </c>
      <c r="H375" s="6">
        <v>1670</v>
      </c>
      <c r="I375" s="6">
        <v>1777</v>
      </c>
      <c r="J375" s="6">
        <v>1845</v>
      </c>
      <c r="K375" s="6">
        <f t="shared" si="5"/>
        <v>2145</v>
      </c>
    </row>
    <row r="376" spans="1:11" x14ac:dyDescent="0.25">
      <c r="A376" s="1">
        <v>0.25972222222222202</v>
      </c>
      <c r="B376" s="2">
        <v>6.23</v>
      </c>
      <c r="C376" s="2">
        <v>3.69</v>
      </c>
      <c r="D376" s="2">
        <v>5.2600000000000007</v>
      </c>
      <c r="E376" s="2">
        <v>4.87</v>
      </c>
      <c r="F376" s="2">
        <v>3.22</v>
      </c>
      <c r="G376" s="6">
        <v>895</v>
      </c>
      <c r="H376" s="6">
        <v>987</v>
      </c>
      <c r="I376" s="6">
        <v>1289</v>
      </c>
      <c r="J376" s="6">
        <v>1346</v>
      </c>
      <c r="K376" s="6">
        <f t="shared" si="5"/>
        <v>1646</v>
      </c>
    </row>
    <row r="377" spans="1:11" x14ac:dyDescent="0.25">
      <c r="A377" s="1">
        <v>0.26041666666666702</v>
      </c>
      <c r="B377" s="2">
        <v>6.23</v>
      </c>
      <c r="C377" s="2">
        <v>3.63</v>
      </c>
      <c r="D377" s="2">
        <v>5.1300000000000008</v>
      </c>
      <c r="E377" s="2">
        <v>5.44</v>
      </c>
      <c r="F377" s="2">
        <v>2.86</v>
      </c>
      <c r="G377" s="6">
        <v>498</v>
      </c>
      <c r="H377" s="6">
        <v>780</v>
      </c>
      <c r="I377" s="6">
        <v>978</v>
      </c>
      <c r="J377" s="6">
        <v>1025</v>
      </c>
      <c r="K377" s="6">
        <v>1270</v>
      </c>
    </row>
    <row r="378" spans="1:11" x14ac:dyDescent="0.25">
      <c r="A378" s="1">
        <v>0.26111111111111102</v>
      </c>
      <c r="B378" s="2">
        <v>6.21</v>
      </c>
      <c r="C378" s="2">
        <v>3.5399999999999996</v>
      </c>
      <c r="D378" s="2">
        <v>5.16</v>
      </c>
      <c r="E378" s="2">
        <v>5.0100000000000007</v>
      </c>
      <c r="F378" s="2">
        <v>3.17</v>
      </c>
      <c r="G378" s="6">
        <v>997</v>
      </c>
      <c r="H378" s="6">
        <v>897</v>
      </c>
      <c r="I378" s="6">
        <v>647</v>
      </c>
      <c r="J378" s="6">
        <v>1024</v>
      </c>
      <c r="K378" s="6">
        <f t="shared" si="5"/>
        <v>1324</v>
      </c>
    </row>
    <row r="379" spans="1:11" x14ac:dyDescent="0.25">
      <c r="A379" s="1">
        <v>0.26180555555555601</v>
      </c>
      <c r="B379" s="2">
        <v>6.24</v>
      </c>
      <c r="C379" s="2">
        <v>3.5799999999999996</v>
      </c>
      <c r="D379" s="2">
        <v>4.99</v>
      </c>
      <c r="E379" s="2">
        <v>4.88</v>
      </c>
      <c r="F379" s="2">
        <v>3.17</v>
      </c>
      <c r="G379" s="6">
        <v>1228</v>
      </c>
      <c r="H379" s="6">
        <v>976</v>
      </c>
      <c r="I379" s="6">
        <v>1238</v>
      </c>
      <c r="J379" s="6">
        <v>1348</v>
      </c>
      <c r="K379" s="6">
        <f t="shared" si="5"/>
        <v>1648</v>
      </c>
    </row>
    <row r="380" spans="1:11" x14ac:dyDescent="0.25">
      <c r="A380" s="1">
        <v>0.26250000000000001</v>
      </c>
      <c r="B380" s="2">
        <v>6.21</v>
      </c>
      <c r="C380" s="2">
        <v>3.78</v>
      </c>
      <c r="D380" s="2">
        <v>5.15</v>
      </c>
      <c r="E380" s="2">
        <v>5</v>
      </c>
      <c r="F380" s="2">
        <v>2.83</v>
      </c>
      <c r="G380" s="6">
        <v>1684</v>
      </c>
      <c r="H380" s="6">
        <v>1225</v>
      </c>
      <c r="I380" s="6">
        <v>1436</v>
      </c>
      <c r="J380" s="6">
        <v>1564</v>
      </c>
      <c r="K380" s="6">
        <v>1574</v>
      </c>
    </row>
    <row r="381" spans="1:11" x14ac:dyDescent="0.25">
      <c r="A381" s="1">
        <v>0.26319444444444401</v>
      </c>
      <c r="B381" s="2">
        <v>6.2</v>
      </c>
      <c r="C381" s="2">
        <v>3.5999999999999996</v>
      </c>
      <c r="D381" s="2">
        <v>5.15</v>
      </c>
      <c r="E381" s="2">
        <v>5.4300000000000006</v>
      </c>
      <c r="F381" s="2">
        <v>3.23</v>
      </c>
      <c r="G381" s="6">
        <v>1436</v>
      </c>
      <c r="H381" s="6">
        <v>1443</v>
      </c>
      <c r="I381" s="6">
        <v>1562</v>
      </c>
      <c r="J381" s="6">
        <v>1782</v>
      </c>
      <c r="K381" s="6">
        <f t="shared" si="5"/>
        <v>2082</v>
      </c>
    </row>
    <row r="382" spans="1:11" x14ac:dyDescent="0.25">
      <c r="A382" s="1">
        <v>0.26388888888888901</v>
      </c>
      <c r="B382" s="2">
        <v>6.1400000000000006</v>
      </c>
      <c r="C382" s="2">
        <v>3.7699999999999996</v>
      </c>
      <c r="D382" s="2">
        <v>4.92</v>
      </c>
      <c r="E382" s="2">
        <v>5.44</v>
      </c>
      <c r="F382" s="2">
        <v>2.94</v>
      </c>
      <c r="G382" s="6">
        <v>899</v>
      </c>
      <c r="H382" s="6">
        <v>948</v>
      </c>
      <c r="I382" s="6">
        <v>1111</v>
      </c>
      <c r="J382" s="6">
        <v>1249</v>
      </c>
      <c r="K382" s="6">
        <f t="shared" si="5"/>
        <v>1549</v>
      </c>
    </row>
    <row r="383" spans="1:11" x14ac:dyDescent="0.25">
      <c r="A383" s="1">
        <v>0.264583333333333</v>
      </c>
      <c r="B383" s="2">
        <v>6.21</v>
      </c>
      <c r="C383" s="2">
        <v>3.5999999999999996</v>
      </c>
      <c r="D383" s="2">
        <v>5.12</v>
      </c>
      <c r="E383" s="2">
        <v>5.44</v>
      </c>
      <c r="F383" s="2">
        <v>2.91</v>
      </c>
      <c r="G383" s="6">
        <v>1246</v>
      </c>
      <c r="H383" s="6">
        <v>1113</v>
      </c>
      <c r="I383" s="6">
        <v>1298</v>
      </c>
      <c r="J383" s="6">
        <v>1348</v>
      </c>
      <c r="K383" s="6">
        <f t="shared" si="5"/>
        <v>1648</v>
      </c>
    </row>
    <row r="384" spans="1:11" x14ac:dyDescent="0.25">
      <c r="A384" s="1">
        <v>0.265277777777778</v>
      </c>
      <c r="B384" s="2">
        <v>6.08</v>
      </c>
      <c r="C384" s="2">
        <v>3.5799999999999996</v>
      </c>
      <c r="D384" s="2">
        <v>4.96</v>
      </c>
      <c r="E384" s="2">
        <v>5.17</v>
      </c>
      <c r="F384" s="2">
        <v>2.88</v>
      </c>
      <c r="G384" s="6">
        <v>1654</v>
      </c>
      <c r="H384" s="6">
        <v>1754</v>
      </c>
      <c r="I384" s="6">
        <v>1875</v>
      </c>
      <c r="J384" s="6">
        <v>1857</v>
      </c>
      <c r="K384" s="6">
        <v>2014</v>
      </c>
    </row>
    <row r="385" spans="1:11" x14ac:dyDescent="0.25">
      <c r="A385" s="1">
        <v>0.265972222222222</v>
      </c>
      <c r="B385" s="2">
        <v>6.29</v>
      </c>
      <c r="C385" s="2">
        <v>3.55</v>
      </c>
      <c r="D385" s="2">
        <v>5.1800000000000006</v>
      </c>
      <c r="E385" s="2">
        <v>5.29</v>
      </c>
      <c r="F385" s="2">
        <v>3.24</v>
      </c>
      <c r="G385" s="6">
        <v>945</v>
      </c>
      <c r="H385" s="6">
        <v>1008</v>
      </c>
      <c r="I385" s="6">
        <v>1258</v>
      </c>
      <c r="J385" s="6">
        <v>1367</v>
      </c>
      <c r="K385" s="6">
        <f t="shared" si="5"/>
        <v>1667</v>
      </c>
    </row>
    <row r="386" spans="1:11" x14ac:dyDescent="0.25">
      <c r="A386" s="1">
        <v>0.266666666666667</v>
      </c>
      <c r="B386" s="2">
        <v>6.07</v>
      </c>
      <c r="C386" s="2">
        <v>3.6799999999999997</v>
      </c>
      <c r="D386" s="2">
        <v>4.9300000000000006</v>
      </c>
      <c r="E386" s="2">
        <v>4.96</v>
      </c>
      <c r="F386" s="2">
        <v>3.02</v>
      </c>
      <c r="G386" s="6">
        <v>1431</v>
      </c>
      <c r="H386" s="6">
        <v>1580</v>
      </c>
      <c r="I386" s="6">
        <v>1700</v>
      </c>
      <c r="J386" s="6">
        <v>1894</v>
      </c>
      <c r="K386" s="6">
        <f t="shared" si="5"/>
        <v>2194</v>
      </c>
    </row>
    <row r="387" spans="1:11" x14ac:dyDescent="0.25">
      <c r="A387" s="1">
        <v>0.26736111111111099</v>
      </c>
      <c r="B387" s="2">
        <v>6.19</v>
      </c>
      <c r="C387" s="2">
        <v>3.5799999999999996</v>
      </c>
      <c r="D387" s="2">
        <v>4.96</v>
      </c>
      <c r="E387" s="2">
        <v>5.46</v>
      </c>
      <c r="F387" s="2">
        <v>2.97</v>
      </c>
      <c r="G387" s="6">
        <v>1195</v>
      </c>
      <c r="H387" s="6">
        <v>987</v>
      </c>
      <c r="I387" s="6">
        <v>1335</v>
      </c>
      <c r="J387" s="6">
        <v>1544</v>
      </c>
      <c r="K387" s="6">
        <v>1798</v>
      </c>
    </row>
    <row r="388" spans="1:11" x14ac:dyDescent="0.25">
      <c r="A388" s="1">
        <v>0.26805555555555599</v>
      </c>
      <c r="B388" s="2">
        <v>6.32</v>
      </c>
      <c r="C388" s="2">
        <v>3.78</v>
      </c>
      <c r="D388" s="2">
        <v>5.12</v>
      </c>
      <c r="E388" s="2">
        <v>5.24</v>
      </c>
      <c r="F388" s="2">
        <v>3.04</v>
      </c>
      <c r="G388" s="6">
        <v>1265</v>
      </c>
      <c r="H388" s="6">
        <v>1456</v>
      </c>
      <c r="I388" s="6">
        <v>1654</v>
      </c>
      <c r="J388" s="6">
        <v>1596</v>
      </c>
      <c r="K388" s="6">
        <f t="shared" si="5"/>
        <v>1896</v>
      </c>
    </row>
    <row r="389" spans="1:11" x14ac:dyDescent="0.25">
      <c r="A389" s="1">
        <v>0.26874999999999999</v>
      </c>
      <c r="B389" s="2">
        <v>6.13</v>
      </c>
      <c r="C389" s="2">
        <v>3.75</v>
      </c>
      <c r="D389" s="2">
        <v>4.99</v>
      </c>
      <c r="E389" s="2">
        <v>4.92</v>
      </c>
      <c r="F389" s="2">
        <v>3.04</v>
      </c>
      <c r="G389" s="6">
        <v>1269</v>
      </c>
      <c r="H389" s="6">
        <v>1557</v>
      </c>
      <c r="I389" s="6">
        <v>1786</v>
      </c>
      <c r="J389" s="6">
        <v>1573</v>
      </c>
      <c r="K389" s="6">
        <v>1578</v>
      </c>
    </row>
    <row r="390" spans="1:11" x14ac:dyDescent="0.25">
      <c r="A390" s="1">
        <v>0.26944444444444399</v>
      </c>
      <c r="B390" s="2">
        <v>6.2200000000000006</v>
      </c>
      <c r="C390" s="2">
        <v>3.5799999999999996</v>
      </c>
      <c r="D390" s="2">
        <v>5.12</v>
      </c>
      <c r="E390" s="2">
        <v>5.3500000000000005</v>
      </c>
      <c r="F390" s="2">
        <v>3.0300000000000002</v>
      </c>
      <c r="G390" s="6">
        <v>1005</v>
      </c>
      <c r="H390" s="6">
        <v>1223</v>
      </c>
      <c r="I390" s="6">
        <v>1648</v>
      </c>
      <c r="J390" s="6">
        <v>1846</v>
      </c>
      <c r="K390" s="6">
        <f t="shared" si="5"/>
        <v>2146</v>
      </c>
    </row>
    <row r="391" spans="1:11" x14ac:dyDescent="0.25">
      <c r="A391" s="1">
        <v>0.27013888888888898</v>
      </c>
      <c r="B391" s="2">
        <v>6.25</v>
      </c>
      <c r="C391" s="2">
        <v>3.63</v>
      </c>
      <c r="D391" s="2">
        <v>5.1400000000000006</v>
      </c>
      <c r="E391" s="2">
        <v>5.24</v>
      </c>
      <c r="F391" s="2">
        <v>3.3000000000000003</v>
      </c>
      <c r="G391" s="6">
        <v>1489</v>
      </c>
      <c r="H391" s="6">
        <v>1647</v>
      </c>
      <c r="I391" s="6">
        <v>1698</v>
      </c>
      <c r="J391" s="6">
        <v>1754</v>
      </c>
      <c r="K391" s="6">
        <f t="shared" si="5"/>
        <v>2054</v>
      </c>
    </row>
    <row r="392" spans="1:11" x14ac:dyDescent="0.25">
      <c r="A392" s="1">
        <v>0.27083333333333298</v>
      </c>
      <c r="B392" s="2">
        <v>6.3100000000000005</v>
      </c>
      <c r="C392" s="2">
        <v>3.6399999999999997</v>
      </c>
      <c r="D392" s="2">
        <v>5.2600000000000007</v>
      </c>
      <c r="E392" s="2">
        <v>5.3800000000000008</v>
      </c>
      <c r="F392" s="2">
        <v>3.15</v>
      </c>
      <c r="G392" s="6">
        <v>896</v>
      </c>
      <c r="H392" s="6">
        <v>847</v>
      </c>
      <c r="I392" s="6">
        <v>1000</v>
      </c>
      <c r="J392" s="6">
        <v>1224</v>
      </c>
      <c r="K392" s="6">
        <f t="shared" si="5"/>
        <v>1524</v>
      </c>
    </row>
    <row r="393" spans="1:11" x14ac:dyDescent="0.25">
      <c r="A393" s="1">
        <v>0.27152777777777798</v>
      </c>
      <c r="B393" s="2">
        <v>6.3000000000000007</v>
      </c>
      <c r="C393" s="2">
        <v>3.71</v>
      </c>
      <c r="D393" s="2">
        <v>5.1000000000000005</v>
      </c>
      <c r="E393" s="2">
        <v>5.45</v>
      </c>
      <c r="F393" s="2">
        <v>3.17</v>
      </c>
      <c r="G393" s="6">
        <v>1378</v>
      </c>
      <c r="H393" s="6">
        <v>1125</v>
      </c>
      <c r="I393" s="6">
        <v>1456</v>
      </c>
      <c r="J393" s="6">
        <v>1547</v>
      </c>
      <c r="K393" s="6">
        <f t="shared" si="5"/>
        <v>1847</v>
      </c>
    </row>
    <row r="394" spans="1:11" x14ac:dyDescent="0.25">
      <c r="A394" s="1">
        <v>0.27222222222222198</v>
      </c>
      <c r="B394" s="2">
        <v>6.17</v>
      </c>
      <c r="C394" s="2">
        <v>3.5399999999999996</v>
      </c>
      <c r="D394" s="2">
        <v>4.95</v>
      </c>
      <c r="E394" s="2">
        <v>5.4</v>
      </c>
      <c r="F394" s="2">
        <v>2.92</v>
      </c>
      <c r="G394" s="6">
        <v>1264</v>
      </c>
      <c r="H394" s="6">
        <v>1564</v>
      </c>
      <c r="I394" s="6">
        <v>1892</v>
      </c>
      <c r="J394" s="6">
        <v>1958</v>
      </c>
      <c r="K394" s="6">
        <v>2048</v>
      </c>
    </row>
    <row r="395" spans="1:11" x14ac:dyDescent="0.25">
      <c r="A395" s="1">
        <v>0.27291666666666697</v>
      </c>
      <c r="B395" s="2">
        <v>6.19</v>
      </c>
      <c r="C395" s="2">
        <v>3.78</v>
      </c>
      <c r="D395" s="2">
        <v>4.8900000000000006</v>
      </c>
      <c r="E395" s="2">
        <v>5.3900000000000006</v>
      </c>
      <c r="F395" s="2">
        <v>2.94</v>
      </c>
      <c r="G395" s="6">
        <v>1845</v>
      </c>
      <c r="H395" s="6">
        <v>1754</v>
      </c>
      <c r="I395" s="6">
        <v>1954</v>
      </c>
      <c r="J395" s="6">
        <v>2214</v>
      </c>
      <c r="K395" s="6">
        <f t="shared" si="5"/>
        <v>2514</v>
      </c>
    </row>
    <row r="396" spans="1:11" x14ac:dyDescent="0.25">
      <c r="A396" s="1">
        <v>0.27361111111111103</v>
      </c>
      <c r="B396" s="2">
        <v>6.15</v>
      </c>
      <c r="C396" s="2">
        <v>3.76</v>
      </c>
      <c r="D396" s="2">
        <v>5.16</v>
      </c>
      <c r="E396" s="2">
        <v>4.9700000000000006</v>
      </c>
      <c r="F396" s="2">
        <v>3.29</v>
      </c>
      <c r="G396" s="6">
        <v>1672</v>
      </c>
      <c r="H396" s="6">
        <v>1640</v>
      </c>
      <c r="I396" s="6">
        <v>1789</v>
      </c>
      <c r="J396" s="6">
        <v>1945</v>
      </c>
      <c r="K396" s="6">
        <f t="shared" si="5"/>
        <v>2245</v>
      </c>
    </row>
    <row r="397" spans="1:11" x14ac:dyDescent="0.25">
      <c r="A397" s="1">
        <v>0.27430555555555602</v>
      </c>
      <c r="B397" s="2">
        <v>6.24</v>
      </c>
      <c r="C397" s="2">
        <v>3.63</v>
      </c>
      <c r="D397" s="2">
        <v>5.16</v>
      </c>
      <c r="E397" s="2">
        <v>5.3900000000000006</v>
      </c>
      <c r="F397" s="2">
        <v>3.1</v>
      </c>
      <c r="G397" s="6">
        <v>1647</v>
      </c>
      <c r="H397" s="6">
        <v>1571</v>
      </c>
      <c r="I397" s="6">
        <v>1664</v>
      </c>
      <c r="J397" s="6">
        <v>2647</v>
      </c>
      <c r="K397" s="6">
        <f t="shared" si="5"/>
        <v>2947</v>
      </c>
    </row>
    <row r="398" spans="1:11" x14ac:dyDescent="0.25">
      <c r="A398" s="1">
        <v>0.27500000000000002</v>
      </c>
      <c r="B398" s="2">
        <v>6.19</v>
      </c>
      <c r="C398" s="2">
        <v>3.5199999999999996</v>
      </c>
      <c r="D398" s="2">
        <v>5.16</v>
      </c>
      <c r="E398" s="2">
        <v>5.32</v>
      </c>
      <c r="F398" s="2">
        <v>3.25</v>
      </c>
      <c r="G398" s="6">
        <v>1116</v>
      </c>
      <c r="H398" s="6">
        <v>1264</v>
      </c>
      <c r="I398" s="6">
        <v>1269</v>
      </c>
      <c r="J398" s="6">
        <v>1360</v>
      </c>
      <c r="K398" s="6">
        <v>1247</v>
      </c>
    </row>
    <row r="399" spans="1:11" x14ac:dyDescent="0.25">
      <c r="A399" s="1">
        <v>0.27569444444444402</v>
      </c>
      <c r="B399" s="2">
        <v>6.12</v>
      </c>
      <c r="C399" s="2">
        <v>3.51</v>
      </c>
      <c r="D399" s="2">
        <v>5.23</v>
      </c>
      <c r="E399" s="2">
        <v>5.12</v>
      </c>
      <c r="F399" s="2">
        <v>3.27</v>
      </c>
      <c r="G399" s="6">
        <v>1245</v>
      </c>
      <c r="H399" s="6">
        <v>1671</v>
      </c>
      <c r="I399" s="6">
        <v>1883</v>
      </c>
      <c r="J399" s="6">
        <v>2015</v>
      </c>
      <c r="K399" s="6">
        <v>2379</v>
      </c>
    </row>
    <row r="400" spans="1:11" x14ac:dyDescent="0.25">
      <c r="A400" s="1">
        <v>0.27638888888888902</v>
      </c>
      <c r="B400" s="2">
        <v>6.17</v>
      </c>
      <c r="C400" s="2">
        <v>3.6599999999999997</v>
      </c>
      <c r="D400" s="2">
        <v>4.9700000000000006</v>
      </c>
      <c r="E400" s="2">
        <v>5.24</v>
      </c>
      <c r="F400" s="2">
        <v>3.27</v>
      </c>
      <c r="G400" s="6">
        <v>1448</v>
      </c>
      <c r="H400" s="6">
        <v>1647</v>
      </c>
      <c r="I400" s="6">
        <v>1468</v>
      </c>
      <c r="J400" s="6">
        <v>1564</v>
      </c>
      <c r="K400" s="6">
        <f t="shared" si="5"/>
        <v>1864</v>
      </c>
    </row>
    <row r="401" spans="1:11" x14ac:dyDescent="0.25">
      <c r="A401" s="1">
        <v>0.27708333333333302</v>
      </c>
      <c r="B401" s="2">
        <v>6.29</v>
      </c>
      <c r="C401" s="2">
        <v>3.6799999999999997</v>
      </c>
      <c r="D401" s="2">
        <v>4.9800000000000004</v>
      </c>
      <c r="E401" s="2">
        <v>4.8500000000000005</v>
      </c>
      <c r="F401" s="2">
        <v>3.0300000000000002</v>
      </c>
      <c r="G401" s="6">
        <v>1557</v>
      </c>
      <c r="H401" s="6">
        <v>1455</v>
      </c>
      <c r="I401" s="6">
        <v>1897</v>
      </c>
      <c r="J401" s="6">
        <v>1984</v>
      </c>
      <c r="K401" s="6">
        <f t="shared" si="5"/>
        <v>2284</v>
      </c>
    </row>
    <row r="402" spans="1:11" x14ac:dyDescent="0.25">
      <c r="A402" s="1">
        <v>0.27777777777777801</v>
      </c>
      <c r="B402" s="2">
        <v>6.29</v>
      </c>
      <c r="C402" s="2">
        <v>3.6399999999999997</v>
      </c>
      <c r="D402" s="2">
        <v>5.24</v>
      </c>
      <c r="E402" s="2">
        <v>5.53</v>
      </c>
      <c r="F402" s="2">
        <v>2.98</v>
      </c>
      <c r="G402" s="6">
        <v>1094</v>
      </c>
      <c r="H402" s="6">
        <v>1354</v>
      </c>
      <c r="I402" s="6">
        <v>1456</v>
      </c>
      <c r="J402" s="6">
        <v>1567</v>
      </c>
      <c r="K402" s="6">
        <v>1480</v>
      </c>
    </row>
    <row r="403" spans="1:11" x14ac:dyDescent="0.25">
      <c r="A403" s="1">
        <v>0.27847222222222201</v>
      </c>
      <c r="B403" s="2">
        <v>6.19</v>
      </c>
      <c r="C403" s="2">
        <v>3.53</v>
      </c>
      <c r="D403" s="2">
        <v>4.91</v>
      </c>
      <c r="E403" s="2">
        <v>5.25</v>
      </c>
      <c r="F403" s="2">
        <v>3.04</v>
      </c>
      <c r="G403" s="6">
        <v>1246</v>
      </c>
      <c r="H403" s="6">
        <v>1642</v>
      </c>
      <c r="I403" s="6">
        <v>1689</v>
      </c>
      <c r="J403" s="6">
        <v>1748</v>
      </c>
      <c r="K403" s="6">
        <f t="shared" si="5"/>
        <v>2048</v>
      </c>
    </row>
    <row r="404" spans="1:11" x14ac:dyDescent="0.25">
      <c r="A404" s="1">
        <v>0.27916666666666701</v>
      </c>
      <c r="B404" s="2">
        <v>6.25</v>
      </c>
      <c r="C404" s="2">
        <v>3.55</v>
      </c>
      <c r="D404" s="2">
        <v>5.08</v>
      </c>
      <c r="E404" s="2">
        <v>4.9400000000000004</v>
      </c>
      <c r="F404" s="2">
        <v>2.91</v>
      </c>
      <c r="G404" s="6">
        <v>1579</v>
      </c>
      <c r="H404" s="6">
        <v>1597</v>
      </c>
      <c r="I404" s="6">
        <v>1800</v>
      </c>
      <c r="J404" s="6">
        <v>1946</v>
      </c>
      <c r="K404" s="6">
        <v>247</v>
      </c>
    </row>
    <row r="405" spans="1:11" x14ac:dyDescent="0.25">
      <c r="A405" s="1">
        <v>0.27986111111111101</v>
      </c>
      <c r="B405" s="2">
        <v>6.3100000000000005</v>
      </c>
      <c r="C405" s="2">
        <v>3.57</v>
      </c>
      <c r="D405" s="2">
        <v>5.21</v>
      </c>
      <c r="E405" s="2">
        <v>4.96</v>
      </c>
      <c r="F405" s="2">
        <v>3.1</v>
      </c>
      <c r="G405" s="6">
        <v>1649</v>
      </c>
      <c r="H405" s="6">
        <v>1785</v>
      </c>
      <c r="I405" s="6">
        <v>1784</v>
      </c>
      <c r="J405" s="6">
        <v>1834</v>
      </c>
      <c r="K405" s="6">
        <f t="shared" si="5"/>
        <v>2134</v>
      </c>
    </row>
    <row r="406" spans="1:11" x14ac:dyDescent="0.25">
      <c r="A406" s="1">
        <v>0.280555555555556</v>
      </c>
      <c r="B406" s="2">
        <v>6.3100000000000005</v>
      </c>
      <c r="C406" s="2">
        <v>3.63</v>
      </c>
      <c r="D406" s="2">
        <v>4.9400000000000004</v>
      </c>
      <c r="E406" s="2">
        <v>4.8900000000000006</v>
      </c>
      <c r="F406" s="2">
        <v>3.2600000000000002</v>
      </c>
      <c r="G406" s="6">
        <v>1227</v>
      </c>
      <c r="H406" s="6">
        <v>1389</v>
      </c>
      <c r="I406" s="6">
        <v>1777</v>
      </c>
      <c r="J406" s="6">
        <v>1867</v>
      </c>
      <c r="K406" s="6">
        <f t="shared" si="5"/>
        <v>2167</v>
      </c>
    </row>
    <row r="407" spans="1:11" x14ac:dyDescent="0.25">
      <c r="A407" s="1">
        <v>0.28125</v>
      </c>
      <c r="B407" s="2">
        <v>6.21</v>
      </c>
      <c r="C407" s="2">
        <v>3.55</v>
      </c>
      <c r="D407" s="2">
        <v>5.0500000000000007</v>
      </c>
      <c r="E407" s="2">
        <v>5.4300000000000006</v>
      </c>
      <c r="F407" s="2">
        <v>3</v>
      </c>
      <c r="G407" s="6">
        <v>1671</v>
      </c>
      <c r="H407" s="6">
        <v>1800</v>
      </c>
      <c r="I407" s="6">
        <v>1456</v>
      </c>
      <c r="J407" s="6">
        <v>1679</v>
      </c>
      <c r="K407" s="6">
        <v>1857</v>
      </c>
    </row>
    <row r="408" spans="1:11" x14ac:dyDescent="0.25">
      <c r="A408" s="1">
        <v>0.281944444444444</v>
      </c>
      <c r="B408" s="2">
        <v>6.24</v>
      </c>
      <c r="C408" s="2">
        <v>3.71</v>
      </c>
      <c r="D408" s="2">
        <v>4.9400000000000004</v>
      </c>
      <c r="E408" s="2">
        <v>5.5100000000000007</v>
      </c>
      <c r="F408" s="2">
        <v>2.95</v>
      </c>
      <c r="G408" s="6">
        <v>1584</v>
      </c>
      <c r="H408" s="6">
        <v>1904</v>
      </c>
      <c r="I408" s="6">
        <v>2421</v>
      </c>
      <c r="J408" s="6">
        <v>2345</v>
      </c>
      <c r="K408" s="6">
        <f t="shared" si="5"/>
        <v>2645</v>
      </c>
    </row>
    <row r="409" spans="1:11" x14ac:dyDescent="0.25">
      <c r="A409" s="1">
        <v>0.28263888888888899</v>
      </c>
      <c r="B409" s="2">
        <v>6.2200000000000006</v>
      </c>
      <c r="C409" s="2">
        <v>3.6999999999999997</v>
      </c>
      <c r="D409" s="2">
        <v>4.91</v>
      </c>
      <c r="E409" s="2">
        <v>5.21</v>
      </c>
      <c r="F409" s="2">
        <v>2.88</v>
      </c>
      <c r="G409" s="6">
        <v>1791</v>
      </c>
      <c r="H409" s="6">
        <v>1924</v>
      </c>
      <c r="I409" s="6">
        <v>1899</v>
      </c>
      <c r="J409" s="6">
        <v>2004</v>
      </c>
      <c r="K409" s="6">
        <f t="shared" si="5"/>
        <v>2304</v>
      </c>
    </row>
    <row r="410" spans="1:11" x14ac:dyDescent="0.25">
      <c r="A410" s="1">
        <v>0.28333333333333299</v>
      </c>
      <c r="B410" s="2">
        <v>6.16</v>
      </c>
      <c r="C410" s="2">
        <v>3.7199999999999998</v>
      </c>
      <c r="D410" s="2">
        <v>5.24</v>
      </c>
      <c r="E410" s="2">
        <v>4.9300000000000006</v>
      </c>
      <c r="F410" s="2">
        <v>3.3000000000000003</v>
      </c>
      <c r="G410" s="6">
        <v>1902</v>
      </c>
      <c r="H410" s="6">
        <v>1579</v>
      </c>
      <c r="I410" s="6">
        <v>2005</v>
      </c>
      <c r="J410" s="6">
        <v>1897</v>
      </c>
      <c r="K410" s="6">
        <f t="shared" si="5"/>
        <v>2197</v>
      </c>
    </row>
    <row r="411" spans="1:11" x14ac:dyDescent="0.25">
      <c r="A411" s="1">
        <v>0.28402777777777799</v>
      </c>
      <c r="B411" s="2">
        <v>6.1000000000000005</v>
      </c>
      <c r="C411" s="2">
        <v>3.5799999999999996</v>
      </c>
      <c r="D411" s="2">
        <v>4.8600000000000003</v>
      </c>
      <c r="E411" s="2">
        <v>5.25</v>
      </c>
      <c r="F411" s="2">
        <v>3.22</v>
      </c>
      <c r="G411" s="6">
        <v>1847</v>
      </c>
      <c r="H411" s="6">
        <v>2004</v>
      </c>
      <c r="I411" s="6">
        <v>1348</v>
      </c>
      <c r="J411" s="6">
        <v>1567</v>
      </c>
      <c r="K411" s="6">
        <f t="shared" si="5"/>
        <v>1867</v>
      </c>
    </row>
    <row r="412" spans="1:11" x14ac:dyDescent="0.25">
      <c r="A412" s="1">
        <v>0.28472222222222199</v>
      </c>
      <c r="B412" s="2">
        <v>6.21</v>
      </c>
      <c r="C412" s="2">
        <v>3.6199999999999997</v>
      </c>
      <c r="D412" s="2">
        <v>5.1800000000000006</v>
      </c>
      <c r="E412" s="2">
        <v>4.92</v>
      </c>
      <c r="F412" s="2">
        <v>2.88</v>
      </c>
      <c r="G412" s="6">
        <v>1349</v>
      </c>
      <c r="H412" s="6">
        <v>1354</v>
      </c>
      <c r="I412" s="6">
        <v>1974</v>
      </c>
      <c r="J412" s="6">
        <v>1943</v>
      </c>
      <c r="K412" s="6">
        <v>2158</v>
      </c>
    </row>
    <row r="413" spans="1:11" x14ac:dyDescent="0.25">
      <c r="A413" s="1">
        <v>0.28541666666666698</v>
      </c>
      <c r="B413" s="2">
        <v>6.12</v>
      </c>
      <c r="C413" s="2">
        <v>3.76</v>
      </c>
      <c r="D413" s="2">
        <v>4.8600000000000003</v>
      </c>
      <c r="E413" s="2">
        <v>5.41</v>
      </c>
      <c r="F413" s="2">
        <v>2.99</v>
      </c>
      <c r="G413" s="6">
        <v>1349</v>
      </c>
      <c r="H413" s="6">
        <v>1648</v>
      </c>
      <c r="I413" s="6">
        <v>1754</v>
      </c>
      <c r="J413" s="6">
        <v>1974</v>
      </c>
      <c r="K413" s="6">
        <f t="shared" si="5"/>
        <v>2274</v>
      </c>
    </row>
    <row r="414" spans="1:11" x14ac:dyDescent="0.25">
      <c r="A414" s="1">
        <v>0.28611111111111098</v>
      </c>
      <c r="B414" s="2">
        <v>6.32</v>
      </c>
      <c r="C414" s="2">
        <v>3.7399999999999998</v>
      </c>
      <c r="D414" s="2">
        <v>5.1300000000000008</v>
      </c>
      <c r="E414" s="2">
        <v>4.8500000000000005</v>
      </c>
      <c r="F414" s="2">
        <v>2.88</v>
      </c>
      <c r="G414" s="6">
        <v>1687</v>
      </c>
      <c r="H414" s="6">
        <v>1754</v>
      </c>
      <c r="I414" s="6">
        <v>1862</v>
      </c>
      <c r="J414" s="6">
        <v>2109</v>
      </c>
      <c r="K414" s="6">
        <v>2333</v>
      </c>
    </row>
    <row r="415" spans="1:11" x14ac:dyDescent="0.25">
      <c r="A415" s="1">
        <v>0.28680555555555598</v>
      </c>
      <c r="B415" s="2">
        <v>6.1400000000000006</v>
      </c>
      <c r="C415" s="2">
        <v>3.55</v>
      </c>
      <c r="D415" s="2">
        <v>4.87</v>
      </c>
      <c r="E415" s="2">
        <v>4.8500000000000005</v>
      </c>
      <c r="F415" s="2">
        <v>3.31</v>
      </c>
      <c r="G415" s="6">
        <v>1940</v>
      </c>
      <c r="H415" s="6">
        <v>2214</v>
      </c>
      <c r="I415" s="6">
        <v>2564</v>
      </c>
      <c r="J415" s="6">
        <v>2347</v>
      </c>
      <c r="K415" s="6">
        <f t="shared" si="5"/>
        <v>2647</v>
      </c>
    </row>
    <row r="416" spans="1:11" x14ac:dyDescent="0.25">
      <c r="A416" s="1">
        <v>0.28749999999999998</v>
      </c>
      <c r="B416" s="2">
        <v>6.21</v>
      </c>
      <c r="C416" s="2">
        <v>3.69</v>
      </c>
      <c r="D416" s="2">
        <v>4.9800000000000004</v>
      </c>
      <c r="E416" s="2">
        <v>5.41</v>
      </c>
      <c r="F416" s="2">
        <v>3.18</v>
      </c>
      <c r="G416" s="6">
        <v>1750</v>
      </c>
      <c r="H416" s="6">
        <v>1854</v>
      </c>
      <c r="I416" s="6">
        <v>2461</v>
      </c>
      <c r="J416" s="6">
        <v>2477</v>
      </c>
      <c r="K416" s="6">
        <v>2478</v>
      </c>
    </row>
    <row r="417" spans="1:11" x14ac:dyDescent="0.25">
      <c r="A417" s="1">
        <v>0.28819444444444398</v>
      </c>
      <c r="B417" s="2">
        <v>6.13</v>
      </c>
      <c r="C417" s="2">
        <v>3.69</v>
      </c>
      <c r="D417" s="2">
        <v>4.88</v>
      </c>
      <c r="E417" s="2">
        <v>4.8600000000000003</v>
      </c>
      <c r="F417" s="2">
        <v>3.21</v>
      </c>
      <c r="G417" s="6">
        <v>1946</v>
      </c>
      <c r="H417" s="6">
        <v>2175</v>
      </c>
      <c r="I417" s="6">
        <v>2547</v>
      </c>
      <c r="J417" s="6">
        <v>2467</v>
      </c>
      <c r="K417" s="6">
        <f t="shared" si="5"/>
        <v>2767</v>
      </c>
    </row>
    <row r="418" spans="1:11" x14ac:dyDescent="0.25">
      <c r="A418" s="1">
        <v>0.28888888888888897</v>
      </c>
      <c r="B418" s="2">
        <v>6.08</v>
      </c>
      <c r="C418" s="2">
        <v>3.5999999999999996</v>
      </c>
      <c r="D418" s="2">
        <v>5.24</v>
      </c>
      <c r="E418" s="2">
        <v>5.3500000000000005</v>
      </c>
      <c r="F418" s="2">
        <v>3.22</v>
      </c>
      <c r="G418" s="6">
        <v>2156</v>
      </c>
      <c r="H418" s="6">
        <v>2275</v>
      </c>
      <c r="I418" s="6">
        <v>2456</v>
      </c>
      <c r="J418" s="6">
        <v>2598</v>
      </c>
      <c r="K418" s="6">
        <v>2754</v>
      </c>
    </row>
    <row r="419" spans="1:11" x14ac:dyDescent="0.25">
      <c r="A419" s="1">
        <v>0.28958333333333303</v>
      </c>
      <c r="B419" s="2">
        <v>6.2200000000000006</v>
      </c>
      <c r="C419" s="2">
        <v>3.6599999999999997</v>
      </c>
      <c r="D419" s="2">
        <v>4.88</v>
      </c>
      <c r="E419" s="2">
        <v>4.83</v>
      </c>
      <c r="F419" s="2">
        <v>3.13</v>
      </c>
      <c r="G419" s="6">
        <v>1720</v>
      </c>
      <c r="H419" s="6">
        <v>1852</v>
      </c>
      <c r="I419" s="6">
        <v>2345</v>
      </c>
      <c r="J419" s="6">
        <v>2470</v>
      </c>
      <c r="K419" s="6">
        <v>2974</v>
      </c>
    </row>
    <row r="420" spans="1:11" x14ac:dyDescent="0.25">
      <c r="A420" s="1">
        <v>0.29027777777777802</v>
      </c>
      <c r="B420" s="2">
        <v>6.11</v>
      </c>
      <c r="C420" s="2">
        <v>3.73</v>
      </c>
      <c r="D420" s="2">
        <v>5.24</v>
      </c>
      <c r="E420" s="2">
        <v>5.5</v>
      </c>
      <c r="F420" s="2">
        <v>2.92</v>
      </c>
      <c r="G420" s="6">
        <v>1907</v>
      </c>
      <c r="H420" s="6">
        <v>2044</v>
      </c>
      <c r="I420" s="6">
        <v>2349</v>
      </c>
      <c r="J420" s="6">
        <v>2440</v>
      </c>
      <c r="K420" s="6">
        <v>2548</v>
      </c>
    </row>
    <row r="421" spans="1:11" x14ac:dyDescent="0.25">
      <c r="A421" s="1">
        <v>0.29097222222222202</v>
      </c>
      <c r="B421" s="2">
        <v>6.12</v>
      </c>
      <c r="C421" s="2">
        <v>3.5799999999999996</v>
      </c>
      <c r="D421" s="2">
        <v>4.99</v>
      </c>
      <c r="E421" s="2">
        <v>5.34</v>
      </c>
      <c r="F421" s="2">
        <v>3.33</v>
      </c>
      <c r="G421" s="6">
        <v>1597</v>
      </c>
      <c r="H421" s="6">
        <v>1798</v>
      </c>
      <c r="I421" s="6">
        <v>2138</v>
      </c>
      <c r="J421" s="6">
        <v>2246</v>
      </c>
      <c r="K421" s="6">
        <v>2359</v>
      </c>
    </row>
    <row r="422" spans="1:11" x14ac:dyDescent="0.25">
      <c r="A422" s="3">
        <v>0.29166666666666702</v>
      </c>
      <c r="B422" s="4">
        <v>6.19</v>
      </c>
      <c r="C422" s="4">
        <v>3.67</v>
      </c>
      <c r="D422" s="4">
        <v>5.09</v>
      </c>
      <c r="E422" s="4">
        <v>5.26</v>
      </c>
      <c r="F422" s="4">
        <v>3.09</v>
      </c>
      <c r="G422" s="7">
        <v>2123</v>
      </c>
      <c r="H422" s="6">
        <v>2511</v>
      </c>
      <c r="I422" s="6">
        <v>2313</v>
      </c>
      <c r="J422" s="7">
        <v>2312</v>
      </c>
      <c r="K422" s="7">
        <v>2743</v>
      </c>
    </row>
    <row r="423" spans="1:11" x14ac:dyDescent="0.25">
      <c r="A423" s="1">
        <v>0.29236111111111102</v>
      </c>
      <c r="B423" s="2">
        <v>6.2200000000000006</v>
      </c>
      <c r="C423" s="2">
        <v>3.71</v>
      </c>
      <c r="D423" s="2">
        <v>5.21</v>
      </c>
      <c r="E423" s="2">
        <v>5.2700000000000005</v>
      </c>
      <c r="F423" s="2">
        <v>3.2</v>
      </c>
      <c r="G423" s="6">
        <v>2245</v>
      </c>
      <c r="H423" s="6">
        <v>2678</v>
      </c>
      <c r="I423" s="6">
        <v>2445</v>
      </c>
      <c r="J423" s="6">
        <v>2687</v>
      </c>
      <c r="K423" s="6">
        <v>2897</v>
      </c>
    </row>
    <row r="424" spans="1:11" x14ac:dyDescent="0.25">
      <c r="A424" s="1">
        <v>0.29305555555555601</v>
      </c>
      <c r="B424" s="2">
        <v>6.12</v>
      </c>
      <c r="C424" s="2">
        <v>3.5599999999999996</v>
      </c>
      <c r="D424" s="2">
        <v>5.0200000000000005</v>
      </c>
      <c r="E424" s="2">
        <v>4.9300000000000006</v>
      </c>
      <c r="F424" s="2">
        <v>3.29</v>
      </c>
      <c r="G424" s="6">
        <v>1257</v>
      </c>
      <c r="H424" s="6">
        <v>1455</v>
      </c>
      <c r="I424" s="6">
        <v>1589</v>
      </c>
      <c r="J424" s="6">
        <v>1874</v>
      </c>
      <c r="K424" s="6">
        <v>1947</v>
      </c>
    </row>
    <row r="425" spans="1:11" x14ac:dyDescent="0.25">
      <c r="A425" s="1">
        <v>0.29375000000000001</v>
      </c>
      <c r="B425" s="2">
        <v>6.3100000000000005</v>
      </c>
      <c r="C425" s="2">
        <v>3.6999999999999997</v>
      </c>
      <c r="D425" s="2">
        <v>5.25</v>
      </c>
      <c r="E425" s="2">
        <v>5.12</v>
      </c>
      <c r="F425" s="2">
        <v>3.31</v>
      </c>
      <c r="G425" s="6">
        <v>1115</v>
      </c>
      <c r="H425" s="6">
        <v>1225</v>
      </c>
      <c r="I425" s="6">
        <v>1354</v>
      </c>
      <c r="J425" s="6">
        <v>1458</v>
      </c>
      <c r="K425" s="6">
        <v>1582</v>
      </c>
    </row>
    <row r="426" spans="1:11" x14ac:dyDescent="0.25">
      <c r="A426" s="1">
        <v>0.29444444444444401</v>
      </c>
      <c r="B426" s="2">
        <v>6.28</v>
      </c>
      <c r="C426" s="2">
        <v>3.6999999999999997</v>
      </c>
      <c r="D426" s="2">
        <v>5.2600000000000007</v>
      </c>
      <c r="E426" s="2">
        <v>4.84</v>
      </c>
      <c r="F426" s="2">
        <v>2.91</v>
      </c>
      <c r="G426" s="6">
        <v>1897</v>
      </c>
      <c r="H426" s="6">
        <v>1875</v>
      </c>
      <c r="I426" s="6">
        <v>1780</v>
      </c>
      <c r="J426" s="6">
        <v>1958</v>
      </c>
      <c r="K426" s="6">
        <v>1954</v>
      </c>
    </row>
    <row r="427" spans="1:11" x14ac:dyDescent="0.25">
      <c r="A427" s="1">
        <v>0.29513888888888901</v>
      </c>
      <c r="B427" s="2">
        <v>6.08</v>
      </c>
      <c r="C427" s="2">
        <v>3.57</v>
      </c>
      <c r="D427" s="2">
        <v>4.9000000000000004</v>
      </c>
      <c r="E427" s="2">
        <v>4.95</v>
      </c>
      <c r="F427" s="2">
        <v>3.0700000000000003</v>
      </c>
      <c r="G427" s="6">
        <v>2004</v>
      </c>
      <c r="H427" s="6">
        <v>2354</v>
      </c>
      <c r="I427" s="6">
        <v>2487</v>
      </c>
      <c r="J427" s="6">
        <v>2782</v>
      </c>
      <c r="K427" s="6">
        <v>2874</v>
      </c>
    </row>
    <row r="428" spans="1:11" x14ac:dyDescent="0.25">
      <c r="A428" s="1">
        <v>0.295833333333333</v>
      </c>
      <c r="B428" s="2">
        <v>6.21</v>
      </c>
      <c r="C428" s="2">
        <v>3.5999999999999996</v>
      </c>
      <c r="D428" s="2">
        <v>5.2200000000000006</v>
      </c>
      <c r="E428" s="2">
        <v>4.9400000000000004</v>
      </c>
      <c r="F428" s="2">
        <v>3.2600000000000002</v>
      </c>
      <c r="G428" s="6">
        <v>2234</v>
      </c>
      <c r="H428" s="6">
        <v>2758</v>
      </c>
      <c r="I428" s="6">
        <v>2638</v>
      </c>
      <c r="J428" s="6">
        <v>3070</v>
      </c>
      <c r="K428" s="6">
        <v>3125</v>
      </c>
    </row>
    <row r="429" spans="1:11" x14ac:dyDescent="0.25">
      <c r="A429" s="1">
        <v>0.296527777777778</v>
      </c>
      <c r="B429" s="2">
        <v>6.3000000000000007</v>
      </c>
      <c r="C429" s="2">
        <v>3.69</v>
      </c>
      <c r="D429" s="2">
        <v>4.92</v>
      </c>
      <c r="E429" s="2">
        <v>5.21</v>
      </c>
      <c r="F429" s="2">
        <v>3.16</v>
      </c>
      <c r="G429" s="6">
        <v>1885</v>
      </c>
      <c r="H429" s="6">
        <v>1758</v>
      </c>
      <c r="I429" s="6">
        <v>2245</v>
      </c>
      <c r="J429" s="6">
        <v>2580</v>
      </c>
      <c r="K429" s="6">
        <v>2850</v>
      </c>
    </row>
    <row r="430" spans="1:11" x14ac:dyDescent="0.25">
      <c r="A430" s="1">
        <v>0.297222222222222</v>
      </c>
      <c r="B430" s="2">
        <v>6.12</v>
      </c>
      <c r="C430" s="2">
        <v>3.67</v>
      </c>
      <c r="D430" s="2">
        <v>5.1400000000000006</v>
      </c>
      <c r="E430" s="2">
        <v>5.08</v>
      </c>
      <c r="F430" s="2">
        <v>3.06</v>
      </c>
      <c r="G430" s="6">
        <v>1597</v>
      </c>
      <c r="H430" s="6">
        <v>1874</v>
      </c>
      <c r="I430" s="6">
        <v>1978</v>
      </c>
      <c r="J430" s="6">
        <v>2045</v>
      </c>
      <c r="K430" s="6">
        <v>2248</v>
      </c>
    </row>
    <row r="431" spans="1:11" x14ac:dyDescent="0.25">
      <c r="A431" s="1">
        <v>0.297916666666667</v>
      </c>
      <c r="B431" s="2">
        <v>6.33</v>
      </c>
      <c r="C431" s="2">
        <v>3.61</v>
      </c>
      <c r="D431" s="2">
        <v>5.1100000000000003</v>
      </c>
      <c r="E431" s="2">
        <v>4.99</v>
      </c>
      <c r="F431" s="2">
        <v>3.1100000000000003</v>
      </c>
      <c r="G431" s="6">
        <v>1774</v>
      </c>
      <c r="H431" s="6">
        <v>2045</v>
      </c>
      <c r="I431" s="6">
        <v>2240</v>
      </c>
      <c r="J431" s="6">
        <v>2356</v>
      </c>
      <c r="K431" s="6">
        <v>2564</v>
      </c>
    </row>
    <row r="432" spans="1:11" x14ac:dyDescent="0.25">
      <c r="A432" s="1">
        <v>0.29861111111111099</v>
      </c>
      <c r="B432" s="2">
        <v>6.2200000000000006</v>
      </c>
      <c r="C432" s="2">
        <v>3.73</v>
      </c>
      <c r="D432" s="2">
        <v>5.2200000000000006</v>
      </c>
      <c r="E432" s="2">
        <v>4.8900000000000006</v>
      </c>
      <c r="F432" s="2">
        <v>2.88</v>
      </c>
      <c r="G432" s="6">
        <v>2245</v>
      </c>
      <c r="H432" s="6">
        <v>2569</v>
      </c>
      <c r="I432" s="6">
        <v>2789</v>
      </c>
      <c r="J432" s="6">
        <v>2487</v>
      </c>
      <c r="K432" s="6">
        <v>2987</v>
      </c>
    </row>
    <row r="433" spans="1:11" x14ac:dyDescent="0.25">
      <c r="A433" s="1">
        <v>0.29930555555555599</v>
      </c>
      <c r="B433" s="2">
        <v>6.15</v>
      </c>
      <c r="C433" s="2">
        <v>3.7699999999999996</v>
      </c>
      <c r="D433" s="2">
        <v>5.19</v>
      </c>
      <c r="E433" s="2">
        <v>5.3000000000000007</v>
      </c>
      <c r="F433" s="2">
        <v>3.13</v>
      </c>
      <c r="G433" s="6">
        <v>2489</v>
      </c>
      <c r="H433" s="6">
        <v>2784</v>
      </c>
      <c r="I433" s="6">
        <v>2897</v>
      </c>
      <c r="J433" s="6">
        <v>2777</v>
      </c>
      <c r="K433" s="6">
        <v>3024</v>
      </c>
    </row>
    <row r="434" spans="1:11" x14ac:dyDescent="0.25">
      <c r="A434" s="1">
        <v>0.3</v>
      </c>
      <c r="B434" s="2">
        <v>6.16</v>
      </c>
      <c r="C434" s="2">
        <v>3.55</v>
      </c>
      <c r="D434" s="2">
        <v>5.21</v>
      </c>
      <c r="E434" s="2">
        <v>5.13</v>
      </c>
      <c r="F434" s="2">
        <v>3.16</v>
      </c>
      <c r="G434" s="6">
        <v>2789</v>
      </c>
      <c r="H434" s="6">
        <v>2774</v>
      </c>
      <c r="I434" s="6">
        <v>3081</v>
      </c>
      <c r="J434" s="6">
        <v>3056</v>
      </c>
      <c r="K434" s="6">
        <v>3248</v>
      </c>
    </row>
    <row r="435" spans="1:11" x14ac:dyDescent="0.25">
      <c r="A435" s="1">
        <v>0.30069444444444399</v>
      </c>
      <c r="B435" s="2">
        <v>6.24</v>
      </c>
      <c r="C435" s="2">
        <v>3.7199999999999998</v>
      </c>
      <c r="D435" s="2">
        <v>5.1400000000000006</v>
      </c>
      <c r="E435" s="2">
        <v>5.53</v>
      </c>
      <c r="F435" s="2">
        <v>2.93</v>
      </c>
      <c r="G435" s="6">
        <v>2547</v>
      </c>
      <c r="H435" s="6">
        <v>2554</v>
      </c>
      <c r="I435" s="6">
        <v>2875</v>
      </c>
      <c r="J435" s="6">
        <v>2899</v>
      </c>
      <c r="K435" s="6">
        <v>3024</v>
      </c>
    </row>
    <row r="436" spans="1:11" x14ac:dyDescent="0.25">
      <c r="A436" s="1">
        <v>0.30138888888888898</v>
      </c>
      <c r="B436" s="2">
        <v>6.2600000000000007</v>
      </c>
      <c r="C436" s="2">
        <v>3.6599999999999997</v>
      </c>
      <c r="D436" s="2">
        <v>4.87</v>
      </c>
      <c r="E436" s="2">
        <v>4.95</v>
      </c>
      <c r="F436" s="2">
        <v>3.21</v>
      </c>
      <c r="G436" s="6">
        <v>1987</v>
      </c>
      <c r="H436" s="6">
        <v>2137</v>
      </c>
      <c r="I436" s="6">
        <v>2549</v>
      </c>
      <c r="J436" s="6">
        <v>2455</v>
      </c>
      <c r="K436" s="6">
        <v>2678</v>
      </c>
    </row>
    <row r="437" spans="1:11" x14ac:dyDescent="0.25">
      <c r="A437" s="1">
        <v>0.30208333333333298</v>
      </c>
      <c r="B437" s="2">
        <v>6.08</v>
      </c>
      <c r="C437" s="2">
        <v>3.51</v>
      </c>
      <c r="D437" s="2">
        <v>5.03</v>
      </c>
      <c r="E437" s="2">
        <v>5.33</v>
      </c>
      <c r="F437" s="2">
        <v>2.91</v>
      </c>
      <c r="G437" s="6">
        <v>2245</v>
      </c>
      <c r="H437" s="6">
        <v>2445</v>
      </c>
      <c r="I437" s="6">
        <v>2843</v>
      </c>
      <c r="J437" s="6">
        <v>2522</v>
      </c>
      <c r="K437" s="6">
        <v>2574</v>
      </c>
    </row>
    <row r="438" spans="1:11" x14ac:dyDescent="0.25">
      <c r="A438" s="1">
        <v>0.30277777777777798</v>
      </c>
      <c r="B438" s="2">
        <v>6.08</v>
      </c>
      <c r="C438" s="2">
        <v>3.55</v>
      </c>
      <c r="D438" s="2">
        <v>4.99</v>
      </c>
      <c r="E438" s="2">
        <v>5.33</v>
      </c>
      <c r="F438" s="2">
        <v>3.23</v>
      </c>
      <c r="G438" s="6">
        <v>2680</v>
      </c>
      <c r="H438" s="6">
        <v>2541</v>
      </c>
      <c r="I438" s="6">
        <f>G438+550</f>
        <v>3230</v>
      </c>
      <c r="J438" s="6">
        <f>G438+900</f>
        <v>3580</v>
      </c>
      <c r="K438" s="6">
        <f>J438+400</f>
        <v>3980</v>
      </c>
    </row>
    <row r="439" spans="1:11" x14ac:dyDescent="0.25">
      <c r="A439" s="1">
        <v>0.30347222222222198</v>
      </c>
      <c r="B439" s="2">
        <v>6.29</v>
      </c>
      <c r="C439" s="2">
        <v>3.5799999999999996</v>
      </c>
      <c r="D439" s="2">
        <v>5.17</v>
      </c>
      <c r="E439" s="2">
        <v>4.91</v>
      </c>
      <c r="F439" s="2">
        <v>3.04</v>
      </c>
      <c r="G439" s="6">
        <v>3288</v>
      </c>
      <c r="H439" s="6">
        <v>3304</v>
      </c>
      <c r="I439" s="6">
        <f t="shared" ref="I439:I481" si="6">G439+550</f>
        <v>3838</v>
      </c>
      <c r="J439" s="6">
        <f t="shared" ref="J439:J481" si="7">G439+900</f>
        <v>4188</v>
      </c>
      <c r="K439" s="6">
        <f t="shared" ref="K439:K481" si="8">J439+400</f>
        <v>4588</v>
      </c>
    </row>
    <row r="440" spans="1:11" x14ac:dyDescent="0.25">
      <c r="A440" s="1">
        <v>0.30416666666666697</v>
      </c>
      <c r="B440" s="2">
        <v>6.19</v>
      </c>
      <c r="C440" s="2">
        <v>3.78</v>
      </c>
      <c r="D440" s="2">
        <v>5.16</v>
      </c>
      <c r="E440" s="2">
        <v>4.92</v>
      </c>
      <c r="F440" s="2">
        <v>3.16</v>
      </c>
      <c r="G440" s="6">
        <v>3458</v>
      </c>
      <c r="H440" s="6">
        <v>3216</v>
      </c>
      <c r="I440" s="6">
        <f t="shared" si="6"/>
        <v>4008</v>
      </c>
      <c r="J440" s="6">
        <f t="shared" si="7"/>
        <v>4358</v>
      </c>
      <c r="K440" s="6">
        <f t="shared" si="8"/>
        <v>4758</v>
      </c>
    </row>
    <row r="441" spans="1:11" x14ac:dyDescent="0.25">
      <c r="A441" s="1">
        <v>0.30486111111111103</v>
      </c>
      <c r="B441" s="2">
        <v>6.11</v>
      </c>
      <c r="C441" s="2">
        <v>3.59</v>
      </c>
      <c r="D441" s="2">
        <v>5.2200000000000006</v>
      </c>
      <c r="E441" s="2">
        <v>4.83</v>
      </c>
      <c r="F441" s="2">
        <v>2.91</v>
      </c>
      <c r="G441" s="6">
        <v>3248</v>
      </c>
      <c r="H441" s="6">
        <v>3327</v>
      </c>
      <c r="I441" s="6">
        <f t="shared" si="6"/>
        <v>3798</v>
      </c>
      <c r="J441" s="6">
        <f t="shared" si="7"/>
        <v>4148</v>
      </c>
      <c r="K441" s="6">
        <f t="shared" si="8"/>
        <v>4548</v>
      </c>
    </row>
    <row r="442" spans="1:11" x14ac:dyDescent="0.25">
      <c r="A442" s="1">
        <v>0.30555555555555602</v>
      </c>
      <c r="B442" s="2">
        <v>6.3000000000000007</v>
      </c>
      <c r="C442" s="2">
        <v>3.73</v>
      </c>
      <c r="D442" s="2">
        <v>4.9800000000000004</v>
      </c>
      <c r="E442" s="2">
        <v>5.21</v>
      </c>
      <c r="F442" s="2">
        <v>3.27</v>
      </c>
      <c r="G442" s="6">
        <v>2245</v>
      </c>
      <c r="H442" s="6">
        <v>2169</v>
      </c>
      <c r="I442" s="6">
        <f t="shared" si="6"/>
        <v>2795</v>
      </c>
      <c r="J442" s="6">
        <f t="shared" si="7"/>
        <v>3145</v>
      </c>
      <c r="K442" s="6">
        <f t="shared" si="8"/>
        <v>3545</v>
      </c>
    </row>
    <row r="443" spans="1:11" x14ac:dyDescent="0.25">
      <c r="A443" s="1">
        <v>0.30625000000000002</v>
      </c>
      <c r="B443" s="2">
        <v>6.15</v>
      </c>
      <c r="C443" s="2">
        <v>3.5399999999999996</v>
      </c>
      <c r="D443" s="2">
        <v>5.25</v>
      </c>
      <c r="E443" s="2">
        <v>5.28</v>
      </c>
      <c r="F443" s="2">
        <v>2.89</v>
      </c>
      <c r="G443" s="6">
        <v>2854</v>
      </c>
      <c r="H443" s="6">
        <v>3024</v>
      </c>
      <c r="I443" s="6">
        <f t="shared" si="6"/>
        <v>3404</v>
      </c>
      <c r="J443" s="6">
        <f t="shared" si="7"/>
        <v>3754</v>
      </c>
      <c r="K443" s="6">
        <f t="shared" si="8"/>
        <v>4154</v>
      </c>
    </row>
    <row r="444" spans="1:11" x14ac:dyDescent="0.25">
      <c r="A444" s="1">
        <v>0.30694444444444402</v>
      </c>
      <c r="B444" s="2">
        <v>6.2200000000000006</v>
      </c>
      <c r="C444" s="2">
        <v>3.7699999999999996</v>
      </c>
      <c r="D444" s="2">
        <v>4.87</v>
      </c>
      <c r="E444" s="2">
        <v>5.3800000000000008</v>
      </c>
      <c r="F444" s="2">
        <v>3.17</v>
      </c>
      <c r="G444" s="6">
        <v>2274</v>
      </c>
      <c r="H444" s="6">
        <v>2745</v>
      </c>
      <c r="I444" s="6">
        <f t="shared" si="6"/>
        <v>2824</v>
      </c>
      <c r="J444" s="6">
        <f t="shared" si="7"/>
        <v>3174</v>
      </c>
      <c r="K444" s="6">
        <f t="shared" si="8"/>
        <v>3574</v>
      </c>
    </row>
    <row r="445" spans="1:11" x14ac:dyDescent="0.25">
      <c r="A445" s="1">
        <v>0.30763888888888902</v>
      </c>
      <c r="B445" s="2">
        <v>6.1400000000000006</v>
      </c>
      <c r="C445" s="2">
        <v>3.75</v>
      </c>
      <c r="D445" s="2">
        <v>5.1100000000000003</v>
      </c>
      <c r="E445" s="2">
        <v>5.34</v>
      </c>
      <c r="F445" s="2">
        <v>3.15</v>
      </c>
      <c r="G445" s="6">
        <v>1456</v>
      </c>
      <c r="H445" s="6">
        <v>2234</v>
      </c>
      <c r="I445" s="6">
        <f t="shared" si="6"/>
        <v>2006</v>
      </c>
      <c r="J445" s="6">
        <f t="shared" si="7"/>
        <v>2356</v>
      </c>
      <c r="K445" s="6">
        <f t="shared" si="8"/>
        <v>2756</v>
      </c>
    </row>
    <row r="446" spans="1:11" x14ac:dyDescent="0.25">
      <c r="A446" s="1">
        <v>0.30833333333333302</v>
      </c>
      <c r="B446" s="2">
        <v>6.17</v>
      </c>
      <c r="C446" s="2">
        <v>3.51</v>
      </c>
      <c r="D446" s="2">
        <v>5.1400000000000006</v>
      </c>
      <c r="E446" s="2">
        <v>5.4</v>
      </c>
      <c r="F446" s="2">
        <v>2.85</v>
      </c>
      <c r="G446" s="6">
        <v>1389</v>
      </c>
      <c r="H446" s="6">
        <v>1433</v>
      </c>
      <c r="I446" s="6">
        <f t="shared" si="6"/>
        <v>1939</v>
      </c>
      <c r="J446" s="6">
        <f t="shared" si="7"/>
        <v>2289</v>
      </c>
      <c r="K446" s="6">
        <f t="shared" si="8"/>
        <v>2689</v>
      </c>
    </row>
    <row r="447" spans="1:11" x14ac:dyDescent="0.25">
      <c r="A447" s="1">
        <v>0.30902777777777801</v>
      </c>
      <c r="B447" s="2">
        <v>6.2</v>
      </c>
      <c r="C447" s="2">
        <v>3.75</v>
      </c>
      <c r="D447" s="2">
        <v>5</v>
      </c>
      <c r="E447" s="2">
        <v>5.5</v>
      </c>
      <c r="F447" s="2">
        <v>3.35</v>
      </c>
      <c r="G447" s="6">
        <v>2745</v>
      </c>
      <c r="H447" s="6">
        <v>3045</v>
      </c>
      <c r="I447" s="6">
        <f t="shared" si="6"/>
        <v>3295</v>
      </c>
      <c r="J447" s="6">
        <f t="shared" si="7"/>
        <v>3645</v>
      </c>
      <c r="K447" s="6">
        <f t="shared" si="8"/>
        <v>4045</v>
      </c>
    </row>
    <row r="448" spans="1:11" x14ac:dyDescent="0.25">
      <c r="A448" s="1">
        <v>0.30972222222222201</v>
      </c>
      <c r="B448" s="2">
        <v>6.07</v>
      </c>
      <c r="C448" s="2">
        <v>3.75</v>
      </c>
      <c r="D448" s="2">
        <v>4.99</v>
      </c>
      <c r="E448" s="2">
        <v>5.3500000000000005</v>
      </c>
      <c r="F448" s="2">
        <v>3.2600000000000002</v>
      </c>
      <c r="G448" s="6">
        <v>3687</v>
      </c>
      <c r="H448" s="6">
        <v>3745</v>
      </c>
      <c r="I448" s="6">
        <f t="shared" si="6"/>
        <v>4237</v>
      </c>
      <c r="J448" s="6">
        <f t="shared" si="7"/>
        <v>4587</v>
      </c>
      <c r="K448" s="6">
        <f t="shared" si="8"/>
        <v>4987</v>
      </c>
    </row>
    <row r="449" spans="1:11" x14ac:dyDescent="0.25">
      <c r="A449" s="1">
        <v>0.31041666666666701</v>
      </c>
      <c r="B449" s="2">
        <v>6.17</v>
      </c>
      <c r="C449" s="2">
        <v>3.76</v>
      </c>
      <c r="D449" s="2">
        <v>5.07</v>
      </c>
      <c r="E449" s="2">
        <v>5.16</v>
      </c>
      <c r="F449" s="2">
        <v>2.87</v>
      </c>
      <c r="G449" s="6">
        <v>3589</v>
      </c>
      <c r="H449" s="6">
        <v>3627</v>
      </c>
      <c r="I449" s="6">
        <f t="shared" si="6"/>
        <v>4139</v>
      </c>
      <c r="J449" s="6">
        <f t="shared" si="7"/>
        <v>4489</v>
      </c>
      <c r="K449" s="6">
        <f t="shared" si="8"/>
        <v>4889</v>
      </c>
    </row>
    <row r="450" spans="1:11" x14ac:dyDescent="0.25">
      <c r="A450" s="1">
        <v>0.31111111111111101</v>
      </c>
      <c r="B450" s="2">
        <v>6.1000000000000005</v>
      </c>
      <c r="C450" s="2">
        <v>3.69</v>
      </c>
      <c r="D450" s="2">
        <v>5.16</v>
      </c>
      <c r="E450" s="2">
        <v>5.4300000000000006</v>
      </c>
      <c r="F450" s="2">
        <v>2.85</v>
      </c>
      <c r="G450" s="6">
        <v>3791</v>
      </c>
      <c r="H450" s="6">
        <v>3542</v>
      </c>
      <c r="I450" s="6">
        <f t="shared" si="6"/>
        <v>4341</v>
      </c>
      <c r="J450" s="6">
        <f t="shared" si="7"/>
        <v>4691</v>
      </c>
      <c r="K450" s="6">
        <f t="shared" si="8"/>
        <v>5091</v>
      </c>
    </row>
    <row r="451" spans="1:11" x14ac:dyDescent="0.25">
      <c r="A451" s="1">
        <v>0.311805555555556</v>
      </c>
      <c r="B451" s="2">
        <v>6.12</v>
      </c>
      <c r="C451" s="2">
        <v>3.7399999999999998</v>
      </c>
      <c r="D451" s="2">
        <v>4.8900000000000006</v>
      </c>
      <c r="E451" s="2">
        <v>4.92</v>
      </c>
      <c r="F451" s="2">
        <v>2.85</v>
      </c>
      <c r="G451" s="6">
        <v>2247</v>
      </c>
      <c r="H451" s="6">
        <v>2573</v>
      </c>
      <c r="I451" s="6">
        <f t="shared" si="6"/>
        <v>2797</v>
      </c>
      <c r="J451" s="6">
        <f t="shared" si="7"/>
        <v>3147</v>
      </c>
      <c r="K451" s="6">
        <f t="shared" si="8"/>
        <v>3547</v>
      </c>
    </row>
    <row r="452" spans="1:11" x14ac:dyDescent="0.25">
      <c r="A452" s="1">
        <v>0.3125</v>
      </c>
      <c r="B452" s="2">
        <v>6.12</v>
      </c>
      <c r="C452" s="2">
        <v>3.6199999999999997</v>
      </c>
      <c r="D452" s="2">
        <v>5.1800000000000006</v>
      </c>
      <c r="E452" s="2">
        <v>5.17</v>
      </c>
      <c r="F452" s="2">
        <v>3.25</v>
      </c>
      <c r="G452" s="6">
        <v>2437</v>
      </c>
      <c r="H452" s="6">
        <v>2678</v>
      </c>
      <c r="I452" s="6">
        <f t="shared" si="6"/>
        <v>2987</v>
      </c>
      <c r="J452" s="6">
        <f t="shared" si="7"/>
        <v>3337</v>
      </c>
      <c r="K452" s="6">
        <f t="shared" si="8"/>
        <v>3737</v>
      </c>
    </row>
    <row r="453" spans="1:11" x14ac:dyDescent="0.25">
      <c r="A453" s="1">
        <v>0.313194444444444</v>
      </c>
      <c r="B453" s="2">
        <v>6.32</v>
      </c>
      <c r="C453" s="2">
        <v>3.51</v>
      </c>
      <c r="D453" s="2">
        <v>5.08</v>
      </c>
      <c r="E453" s="2">
        <v>5.1400000000000006</v>
      </c>
      <c r="F453" s="2">
        <v>2.85</v>
      </c>
      <c r="G453" s="6">
        <v>3874</v>
      </c>
      <c r="H453" s="6">
        <v>4033</v>
      </c>
      <c r="I453" s="6">
        <f t="shared" si="6"/>
        <v>4424</v>
      </c>
      <c r="J453" s="6">
        <f t="shared" si="7"/>
        <v>4774</v>
      </c>
      <c r="K453" s="6">
        <f t="shared" si="8"/>
        <v>5174</v>
      </c>
    </row>
    <row r="454" spans="1:11" x14ac:dyDescent="0.25">
      <c r="A454" s="1">
        <v>0.31388888888888899</v>
      </c>
      <c r="B454" s="2">
        <v>6.16</v>
      </c>
      <c r="C454" s="2">
        <v>3.59</v>
      </c>
      <c r="D454" s="2">
        <v>5.1800000000000006</v>
      </c>
      <c r="E454" s="2">
        <v>5.2</v>
      </c>
      <c r="F454" s="2">
        <v>3.19</v>
      </c>
      <c r="G454" s="6">
        <v>2378</v>
      </c>
      <c r="H454" s="6">
        <v>2754</v>
      </c>
      <c r="I454" s="6">
        <f t="shared" si="6"/>
        <v>2928</v>
      </c>
      <c r="J454" s="6">
        <f t="shared" si="7"/>
        <v>3278</v>
      </c>
      <c r="K454" s="6">
        <f t="shared" si="8"/>
        <v>3678</v>
      </c>
    </row>
    <row r="455" spans="1:11" x14ac:dyDescent="0.25">
      <c r="A455" s="1">
        <v>0.31458333333333299</v>
      </c>
      <c r="B455" s="2">
        <v>6.07</v>
      </c>
      <c r="C455" s="2">
        <v>3.6399999999999997</v>
      </c>
      <c r="D455" s="2">
        <v>5.2200000000000006</v>
      </c>
      <c r="E455" s="2">
        <v>5.28</v>
      </c>
      <c r="F455" s="2">
        <v>3.2600000000000002</v>
      </c>
      <c r="G455" s="6">
        <v>1478</v>
      </c>
      <c r="H455" s="6">
        <v>1834</v>
      </c>
      <c r="I455" s="6">
        <f t="shared" si="6"/>
        <v>2028</v>
      </c>
      <c r="J455" s="6">
        <f t="shared" si="7"/>
        <v>2378</v>
      </c>
      <c r="K455" s="6">
        <f t="shared" si="8"/>
        <v>2778</v>
      </c>
    </row>
    <row r="456" spans="1:11" x14ac:dyDescent="0.25">
      <c r="A456" s="1">
        <v>0.31527777777777799</v>
      </c>
      <c r="B456" s="2">
        <v>6.25</v>
      </c>
      <c r="C456" s="2">
        <v>3.57</v>
      </c>
      <c r="D456" s="2">
        <v>5.1300000000000008</v>
      </c>
      <c r="E456" s="2">
        <v>5.2600000000000007</v>
      </c>
      <c r="F456" s="2">
        <v>3.22</v>
      </c>
      <c r="G456" s="6">
        <v>2574</v>
      </c>
      <c r="H456" s="6">
        <v>2754</v>
      </c>
      <c r="I456" s="6">
        <f t="shared" si="6"/>
        <v>3124</v>
      </c>
      <c r="J456" s="6">
        <f t="shared" si="7"/>
        <v>3474</v>
      </c>
      <c r="K456" s="6">
        <f t="shared" si="8"/>
        <v>3874</v>
      </c>
    </row>
    <row r="457" spans="1:11" x14ac:dyDescent="0.25">
      <c r="A457" s="1">
        <v>0.31597222222222199</v>
      </c>
      <c r="B457" s="2">
        <v>6.08</v>
      </c>
      <c r="C457" s="2">
        <v>3.75</v>
      </c>
      <c r="D457" s="2">
        <v>4.92</v>
      </c>
      <c r="E457" s="2">
        <v>5.13</v>
      </c>
      <c r="F457" s="2">
        <v>3.18</v>
      </c>
      <c r="G457" s="6">
        <v>3346</v>
      </c>
      <c r="H457" s="6">
        <v>3547</v>
      </c>
      <c r="I457" s="6">
        <f t="shared" si="6"/>
        <v>3896</v>
      </c>
      <c r="J457" s="6">
        <f t="shared" si="7"/>
        <v>4246</v>
      </c>
      <c r="K457" s="6">
        <f t="shared" si="8"/>
        <v>4646</v>
      </c>
    </row>
    <row r="458" spans="1:11" x14ac:dyDescent="0.25">
      <c r="A458" s="1">
        <v>0.31666666666666698</v>
      </c>
      <c r="B458" s="2">
        <v>6.15</v>
      </c>
      <c r="C458" s="2">
        <v>3.5199999999999996</v>
      </c>
      <c r="D458" s="2">
        <v>5.0200000000000005</v>
      </c>
      <c r="E458" s="2">
        <v>5.32</v>
      </c>
      <c r="F458" s="2">
        <v>3.2600000000000002</v>
      </c>
      <c r="G458" s="6">
        <v>3871</v>
      </c>
      <c r="H458" s="6">
        <v>4026</v>
      </c>
      <c r="I458" s="6">
        <f t="shared" si="6"/>
        <v>4421</v>
      </c>
      <c r="J458" s="6">
        <f t="shared" si="7"/>
        <v>4771</v>
      </c>
      <c r="K458" s="6">
        <f t="shared" si="8"/>
        <v>5171</v>
      </c>
    </row>
    <row r="459" spans="1:11" x14ac:dyDescent="0.25">
      <c r="A459" s="1">
        <v>0.31736111111111098</v>
      </c>
      <c r="B459" s="2">
        <v>6.16</v>
      </c>
      <c r="C459" s="2">
        <v>3.63</v>
      </c>
      <c r="D459" s="2">
        <v>5.24</v>
      </c>
      <c r="E459" s="2">
        <v>5.53</v>
      </c>
      <c r="F459" s="2">
        <v>3.22</v>
      </c>
      <c r="G459" s="6">
        <v>2678</v>
      </c>
      <c r="H459" s="6">
        <v>3077</v>
      </c>
      <c r="I459" s="6">
        <f t="shared" si="6"/>
        <v>3228</v>
      </c>
      <c r="J459" s="6">
        <f t="shared" si="7"/>
        <v>3578</v>
      </c>
      <c r="K459" s="6">
        <f t="shared" si="8"/>
        <v>3978</v>
      </c>
    </row>
    <row r="460" spans="1:11" x14ac:dyDescent="0.25">
      <c r="A460" s="1">
        <v>0.31805555555555598</v>
      </c>
      <c r="B460" s="2">
        <v>6.08</v>
      </c>
      <c r="C460" s="2">
        <v>3.75</v>
      </c>
      <c r="D460" s="2">
        <v>4.8900000000000006</v>
      </c>
      <c r="E460" s="2">
        <v>5.0500000000000007</v>
      </c>
      <c r="F460" s="2">
        <v>2.95</v>
      </c>
      <c r="G460" s="6">
        <v>2957</v>
      </c>
      <c r="H460" s="6">
        <v>3210</v>
      </c>
      <c r="I460" s="6">
        <f t="shared" si="6"/>
        <v>3507</v>
      </c>
      <c r="J460" s="6">
        <f t="shared" si="7"/>
        <v>3857</v>
      </c>
      <c r="K460" s="6">
        <f t="shared" si="8"/>
        <v>4257</v>
      </c>
    </row>
    <row r="461" spans="1:11" x14ac:dyDescent="0.25">
      <c r="A461" s="1">
        <v>0.31874999999999998</v>
      </c>
      <c r="B461" s="2">
        <v>6.07</v>
      </c>
      <c r="C461" s="2">
        <v>3.61</v>
      </c>
      <c r="D461" s="2">
        <v>5</v>
      </c>
      <c r="E461" s="2">
        <v>5.1100000000000003</v>
      </c>
      <c r="F461" s="2">
        <v>3.17</v>
      </c>
      <c r="G461" s="6">
        <v>3586</v>
      </c>
      <c r="H461" s="6">
        <v>3271</v>
      </c>
      <c r="I461" s="6">
        <f t="shared" si="6"/>
        <v>4136</v>
      </c>
      <c r="J461" s="6">
        <v>4267</v>
      </c>
      <c r="K461" s="6">
        <v>4399</v>
      </c>
    </row>
    <row r="462" spans="1:11" x14ac:dyDescent="0.25">
      <c r="A462" s="1">
        <v>0.31944444444444398</v>
      </c>
      <c r="B462" s="2">
        <v>6.2700000000000005</v>
      </c>
      <c r="C462" s="2">
        <v>3.6999999999999997</v>
      </c>
      <c r="D462" s="2">
        <v>5.1300000000000008</v>
      </c>
      <c r="E462" s="2">
        <v>5.3900000000000006</v>
      </c>
      <c r="F462" s="2">
        <v>3.12</v>
      </c>
      <c r="G462" s="6">
        <v>3178</v>
      </c>
      <c r="H462" s="6">
        <v>3324</v>
      </c>
      <c r="I462" s="6">
        <v>3456</v>
      </c>
      <c r="J462" s="6">
        <f t="shared" si="7"/>
        <v>4078</v>
      </c>
      <c r="K462" s="6">
        <f t="shared" si="8"/>
        <v>4478</v>
      </c>
    </row>
    <row r="463" spans="1:11" x14ac:dyDescent="0.25">
      <c r="A463" s="1">
        <v>0.32013888888888897</v>
      </c>
      <c r="B463" s="2">
        <v>6.19</v>
      </c>
      <c r="C463" s="2">
        <v>3.65</v>
      </c>
      <c r="D463" s="2">
        <v>5.19</v>
      </c>
      <c r="E463" s="2">
        <v>5.4700000000000006</v>
      </c>
      <c r="F463" s="2">
        <v>3.15</v>
      </c>
      <c r="G463" s="6">
        <v>4100</v>
      </c>
      <c r="H463" s="6">
        <v>4216</v>
      </c>
      <c r="I463" s="6">
        <v>3678</v>
      </c>
      <c r="J463" s="6">
        <f t="shared" si="7"/>
        <v>5000</v>
      </c>
      <c r="K463" s="6">
        <f t="shared" si="8"/>
        <v>5400</v>
      </c>
    </row>
    <row r="464" spans="1:11" x14ac:dyDescent="0.25">
      <c r="A464" s="1">
        <v>0.32083333333333303</v>
      </c>
      <c r="B464" s="2">
        <v>6.2700000000000005</v>
      </c>
      <c r="C464" s="2">
        <v>3.5399999999999996</v>
      </c>
      <c r="D464" s="2">
        <v>5.24</v>
      </c>
      <c r="E464" s="2">
        <v>4.95</v>
      </c>
      <c r="F464" s="2">
        <v>3.17</v>
      </c>
      <c r="G464" s="6">
        <v>3789</v>
      </c>
      <c r="H464" s="6">
        <v>3991</v>
      </c>
      <c r="I464" s="6">
        <f t="shared" si="6"/>
        <v>4339</v>
      </c>
      <c r="J464" s="6">
        <v>4278</v>
      </c>
      <c r="K464" s="6">
        <v>4627</v>
      </c>
    </row>
    <row r="465" spans="1:11" x14ac:dyDescent="0.25">
      <c r="A465" s="1">
        <v>0.32152777777777802</v>
      </c>
      <c r="B465" s="2">
        <v>6.08</v>
      </c>
      <c r="C465" s="2">
        <v>3.6799999999999997</v>
      </c>
      <c r="D465" s="2">
        <v>5.1800000000000006</v>
      </c>
      <c r="E465" s="2">
        <v>4.9300000000000006</v>
      </c>
      <c r="F465" s="2">
        <v>3.14</v>
      </c>
      <c r="G465" s="6">
        <v>3894</v>
      </c>
      <c r="H465" s="6">
        <v>4027</v>
      </c>
      <c r="I465" s="6">
        <f t="shared" si="6"/>
        <v>4444</v>
      </c>
      <c r="J465" s="6">
        <f t="shared" si="7"/>
        <v>4794</v>
      </c>
      <c r="K465" s="6">
        <f t="shared" si="8"/>
        <v>5194</v>
      </c>
    </row>
    <row r="466" spans="1:11" x14ac:dyDescent="0.25">
      <c r="A466" s="1">
        <v>0.32222222222222202</v>
      </c>
      <c r="B466" s="2">
        <v>6.2</v>
      </c>
      <c r="C466" s="2">
        <v>3.53</v>
      </c>
      <c r="D466" s="2">
        <v>5.16</v>
      </c>
      <c r="E466" s="2">
        <v>5.3500000000000005</v>
      </c>
      <c r="F466" s="2">
        <v>3.1100000000000003</v>
      </c>
      <c r="G466" s="6">
        <v>3547</v>
      </c>
      <c r="H466" s="6">
        <v>3547</v>
      </c>
      <c r="I466" s="6">
        <f t="shared" si="6"/>
        <v>4097</v>
      </c>
      <c r="J466" s="6">
        <f t="shared" si="7"/>
        <v>4447</v>
      </c>
      <c r="K466" s="6">
        <v>4570</v>
      </c>
    </row>
    <row r="467" spans="1:11" x14ac:dyDescent="0.25">
      <c r="A467" s="1">
        <v>0.32291666666666702</v>
      </c>
      <c r="B467" s="2">
        <v>6.08</v>
      </c>
      <c r="C467" s="2">
        <v>3.5199999999999996</v>
      </c>
      <c r="D467" s="2">
        <v>5.1400000000000006</v>
      </c>
      <c r="E467" s="2">
        <v>5.3100000000000005</v>
      </c>
      <c r="F467" s="2">
        <v>3.1</v>
      </c>
      <c r="G467" s="6">
        <v>3678</v>
      </c>
      <c r="H467" s="6">
        <v>3749</v>
      </c>
      <c r="I467" s="6">
        <f t="shared" si="6"/>
        <v>4228</v>
      </c>
      <c r="J467" s="6">
        <f t="shared" si="7"/>
        <v>4578</v>
      </c>
      <c r="K467" s="6">
        <f t="shared" si="8"/>
        <v>4978</v>
      </c>
    </row>
    <row r="468" spans="1:11" x14ac:dyDescent="0.25">
      <c r="A468" s="1">
        <v>0.32361111111111102</v>
      </c>
      <c r="B468" s="2">
        <v>6.25</v>
      </c>
      <c r="C468" s="2">
        <v>3.6599999999999997</v>
      </c>
      <c r="D468" s="2">
        <v>4.8900000000000006</v>
      </c>
      <c r="E468" s="2">
        <v>4.9700000000000006</v>
      </c>
      <c r="F468" s="2">
        <v>3.1100000000000003</v>
      </c>
      <c r="G468" s="6">
        <v>4587</v>
      </c>
      <c r="H468" s="6">
        <v>4821</v>
      </c>
      <c r="I468" s="6">
        <v>5279</v>
      </c>
      <c r="J468" s="6">
        <v>5347</v>
      </c>
      <c r="K468" s="6">
        <f t="shared" si="8"/>
        <v>5747</v>
      </c>
    </row>
    <row r="469" spans="1:11" x14ac:dyDescent="0.25">
      <c r="A469" s="1">
        <v>0.32430555555555601</v>
      </c>
      <c r="B469" s="2">
        <v>6.15</v>
      </c>
      <c r="C469" s="2">
        <v>3.6599999999999997</v>
      </c>
      <c r="D469" s="2">
        <v>4.8900000000000006</v>
      </c>
      <c r="E469" s="2">
        <v>5.0100000000000007</v>
      </c>
      <c r="F469" s="2">
        <v>2.97</v>
      </c>
      <c r="G469" s="6">
        <v>4236</v>
      </c>
      <c r="H469" s="6">
        <v>4521</v>
      </c>
      <c r="I469" s="6">
        <f t="shared" si="6"/>
        <v>4786</v>
      </c>
      <c r="J469" s="6">
        <f t="shared" si="7"/>
        <v>5136</v>
      </c>
      <c r="K469" s="6">
        <f t="shared" si="8"/>
        <v>5536</v>
      </c>
    </row>
    <row r="470" spans="1:11" x14ac:dyDescent="0.25">
      <c r="A470" s="1">
        <v>0.32500000000000001</v>
      </c>
      <c r="B470" s="2">
        <v>6.21</v>
      </c>
      <c r="C470" s="2">
        <v>3.75</v>
      </c>
      <c r="D470" s="2">
        <v>5.1800000000000006</v>
      </c>
      <c r="E470" s="2">
        <v>4.9000000000000004</v>
      </c>
      <c r="F470" s="2">
        <v>3.18</v>
      </c>
      <c r="G470" s="6">
        <v>5549</v>
      </c>
      <c r="H470" s="6">
        <v>5749</v>
      </c>
      <c r="I470" s="6">
        <f t="shared" si="6"/>
        <v>6099</v>
      </c>
      <c r="J470" s="6">
        <f t="shared" si="7"/>
        <v>6449</v>
      </c>
      <c r="K470" s="6">
        <v>6758</v>
      </c>
    </row>
    <row r="471" spans="1:11" x14ac:dyDescent="0.25">
      <c r="A471" s="1">
        <v>0.32569444444444401</v>
      </c>
      <c r="B471" s="2">
        <v>6.21</v>
      </c>
      <c r="C471" s="2">
        <v>3.5799999999999996</v>
      </c>
      <c r="D471" s="2">
        <v>4.8600000000000003</v>
      </c>
      <c r="E471" s="2">
        <v>5.32</v>
      </c>
      <c r="F471" s="2">
        <v>3.29</v>
      </c>
      <c r="G471" s="6">
        <v>5137</v>
      </c>
      <c r="H471" s="6">
        <v>5347</v>
      </c>
      <c r="I471" s="6">
        <v>5482</v>
      </c>
      <c r="J471" s="6">
        <f t="shared" si="7"/>
        <v>6037</v>
      </c>
      <c r="K471" s="6">
        <f t="shared" si="8"/>
        <v>6437</v>
      </c>
    </row>
    <row r="472" spans="1:11" x14ac:dyDescent="0.25">
      <c r="A472" s="1">
        <v>0.32638888888888901</v>
      </c>
      <c r="B472" s="2">
        <v>6.25</v>
      </c>
      <c r="C472" s="2">
        <v>3.5799999999999996</v>
      </c>
      <c r="D472" s="2">
        <v>5.23</v>
      </c>
      <c r="E472" s="2">
        <v>4.8500000000000005</v>
      </c>
      <c r="F472" s="2">
        <v>3.1</v>
      </c>
      <c r="G472" s="6">
        <v>2480</v>
      </c>
      <c r="H472" s="6">
        <v>2564</v>
      </c>
      <c r="I472" s="6">
        <f t="shared" si="6"/>
        <v>3030</v>
      </c>
      <c r="J472" s="6">
        <v>3147</v>
      </c>
      <c r="K472" s="6">
        <f t="shared" si="8"/>
        <v>3547</v>
      </c>
    </row>
    <row r="473" spans="1:11" x14ac:dyDescent="0.25">
      <c r="A473" s="1">
        <v>0.327083333333333</v>
      </c>
      <c r="B473" s="2">
        <v>6.15</v>
      </c>
      <c r="C473" s="2">
        <v>3.6399999999999997</v>
      </c>
      <c r="D473" s="2">
        <v>5.07</v>
      </c>
      <c r="E473" s="2">
        <v>5.0500000000000007</v>
      </c>
      <c r="F473" s="2">
        <v>3.08</v>
      </c>
      <c r="G473" s="6">
        <v>3477</v>
      </c>
      <c r="H473" s="6">
        <v>4557</v>
      </c>
      <c r="I473" s="6">
        <v>4127</v>
      </c>
      <c r="J473" s="6">
        <f t="shared" si="7"/>
        <v>4377</v>
      </c>
      <c r="K473" s="6">
        <f t="shared" si="8"/>
        <v>4777</v>
      </c>
    </row>
    <row r="474" spans="1:11" x14ac:dyDescent="0.25">
      <c r="A474" s="1">
        <v>0.327777777777778</v>
      </c>
      <c r="B474" s="2">
        <v>6.1000000000000005</v>
      </c>
      <c r="C474" s="2">
        <v>3.5799999999999996</v>
      </c>
      <c r="D474" s="2">
        <v>5.2600000000000007</v>
      </c>
      <c r="E474" s="2">
        <v>5.16</v>
      </c>
      <c r="F474" s="2">
        <v>3.3200000000000003</v>
      </c>
      <c r="G474" s="6">
        <v>4895</v>
      </c>
      <c r="H474" s="6">
        <v>5488</v>
      </c>
      <c r="I474" s="6">
        <f t="shared" si="6"/>
        <v>5445</v>
      </c>
      <c r="J474" s="6">
        <f t="shared" si="7"/>
        <v>5795</v>
      </c>
      <c r="K474" s="6">
        <f t="shared" si="8"/>
        <v>6195</v>
      </c>
    </row>
    <row r="475" spans="1:11" x14ac:dyDescent="0.25">
      <c r="A475" s="1">
        <v>0.328472222222222</v>
      </c>
      <c r="B475" s="2">
        <v>6.19</v>
      </c>
      <c r="C475" s="2">
        <v>3.69</v>
      </c>
      <c r="D475" s="2">
        <v>4.91</v>
      </c>
      <c r="E475" s="2">
        <v>5.0200000000000005</v>
      </c>
      <c r="F475" s="2">
        <v>3.22</v>
      </c>
      <c r="G475" s="6">
        <v>5742</v>
      </c>
      <c r="H475" s="6">
        <v>5881</v>
      </c>
      <c r="I475" s="6">
        <f t="shared" si="6"/>
        <v>6292</v>
      </c>
      <c r="J475" s="6">
        <f t="shared" si="7"/>
        <v>6642</v>
      </c>
      <c r="K475" s="6">
        <f t="shared" si="8"/>
        <v>7042</v>
      </c>
    </row>
    <row r="476" spans="1:11" x14ac:dyDescent="0.25">
      <c r="A476" s="1">
        <v>0.329166666666667</v>
      </c>
      <c r="B476" s="2">
        <v>6.13</v>
      </c>
      <c r="C476" s="2">
        <v>3.7199999999999998</v>
      </c>
      <c r="D476" s="2">
        <v>5.21</v>
      </c>
      <c r="E476" s="2">
        <v>5.2200000000000006</v>
      </c>
      <c r="F476" s="2">
        <v>2.93</v>
      </c>
      <c r="G476" s="6">
        <v>4720</v>
      </c>
      <c r="H476" s="6">
        <v>4915</v>
      </c>
      <c r="I476" s="6">
        <f t="shared" si="6"/>
        <v>5270</v>
      </c>
      <c r="J476" s="6">
        <f t="shared" si="7"/>
        <v>5620</v>
      </c>
      <c r="K476" s="6">
        <f t="shared" si="8"/>
        <v>6020</v>
      </c>
    </row>
    <row r="477" spans="1:11" x14ac:dyDescent="0.25">
      <c r="A477" s="1">
        <v>0.32986111111111099</v>
      </c>
      <c r="B477" s="2">
        <v>6.11</v>
      </c>
      <c r="C477" s="2">
        <v>3.57</v>
      </c>
      <c r="D477" s="2">
        <v>4.8600000000000003</v>
      </c>
      <c r="E477" s="2">
        <v>5.07</v>
      </c>
      <c r="F477" s="2">
        <v>3.29</v>
      </c>
      <c r="G477" s="6">
        <v>5579</v>
      </c>
      <c r="H477" s="6">
        <v>5784</v>
      </c>
      <c r="I477" s="6">
        <f t="shared" si="6"/>
        <v>6129</v>
      </c>
      <c r="J477" s="6">
        <f t="shared" si="7"/>
        <v>6479</v>
      </c>
      <c r="K477" s="6">
        <f t="shared" si="8"/>
        <v>6879</v>
      </c>
    </row>
    <row r="478" spans="1:11" x14ac:dyDescent="0.25">
      <c r="A478" s="1">
        <v>0.33055555555555599</v>
      </c>
      <c r="B478" s="2">
        <v>6.15</v>
      </c>
      <c r="C478" s="2">
        <v>3.57</v>
      </c>
      <c r="D478" s="2">
        <v>5.17</v>
      </c>
      <c r="E478" s="2">
        <v>4.87</v>
      </c>
      <c r="F478" s="2">
        <v>3.14</v>
      </c>
      <c r="G478" s="6">
        <v>6242</v>
      </c>
      <c r="H478" s="6">
        <v>6345</v>
      </c>
      <c r="I478" s="6">
        <v>6578</v>
      </c>
      <c r="J478" s="6">
        <v>6857</v>
      </c>
      <c r="K478" s="6">
        <v>7028</v>
      </c>
    </row>
    <row r="479" spans="1:11" x14ac:dyDescent="0.25">
      <c r="A479" s="1">
        <v>0.33124999999999999</v>
      </c>
      <c r="B479" s="2">
        <v>6.33</v>
      </c>
      <c r="C479" s="2">
        <v>3.59</v>
      </c>
      <c r="D479" s="2">
        <v>5.0100000000000007</v>
      </c>
      <c r="E479" s="2">
        <v>5.36</v>
      </c>
      <c r="F479" s="2">
        <v>3.04</v>
      </c>
      <c r="G479" s="6">
        <v>5400</v>
      </c>
      <c r="H479" s="6">
        <v>5189</v>
      </c>
      <c r="I479" s="6">
        <f t="shared" si="6"/>
        <v>5950</v>
      </c>
      <c r="J479" s="6">
        <f t="shared" si="7"/>
        <v>6300</v>
      </c>
      <c r="K479" s="6">
        <f t="shared" si="8"/>
        <v>6700</v>
      </c>
    </row>
    <row r="480" spans="1:11" x14ac:dyDescent="0.25">
      <c r="A480" s="1">
        <v>0.33194444444444399</v>
      </c>
      <c r="B480" s="2">
        <v>6.2600000000000007</v>
      </c>
      <c r="C480" s="2">
        <v>3.65</v>
      </c>
      <c r="D480" s="2">
        <v>5.08</v>
      </c>
      <c r="E480" s="2">
        <v>5.19</v>
      </c>
      <c r="F480" s="2">
        <v>3.1</v>
      </c>
      <c r="G480" s="6">
        <v>5855</v>
      </c>
      <c r="H480" s="6">
        <v>6013</v>
      </c>
      <c r="I480" s="6">
        <f t="shared" si="6"/>
        <v>6405</v>
      </c>
      <c r="J480" s="6">
        <v>6438</v>
      </c>
      <c r="K480" s="6">
        <v>6479</v>
      </c>
    </row>
    <row r="481" spans="1:11" x14ac:dyDescent="0.25">
      <c r="A481" s="1">
        <v>0.33263888888888898</v>
      </c>
      <c r="B481" s="2">
        <v>6.2200000000000006</v>
      </c>
      <c r="C481" s="2">
        <v>3.57</v>
      </c>
      <c r="D481" s="2">
        <v>4.87</v>
      </c>
      <c r="E481" s="2">
        <v>5.1800000000000006</v>
      </c>
      <c r="F481" s="2">
        <v>2.98</v>
      </c>
      <c r="G481" s="6">
        <v>5543</v>
      </c>
      <c r="H481" s="6">
        <v>5643</v>
      </c>
      <c r="I481" s="6">
        <f t="shared" si="6"/>
        <v>6093</v>
      </c>
      <c r="J481" s="6">
        <f t="shared" si="7"/>
        <v>6443</v>
      </c>
      <c r="K481" s="6">
        <f t="shared" si="8"/>
        <v>6843</v>
      </c>
    </row>
    <row r="482" spans="1:11" x14ac:dyDescent="0.25">
      <c r="A482" s="3">
        <v>0.33333333333333298</v>
      </c>
      <c r="B482" s="4">
        <v>6.19</v>
      </c>
      <c r="C482" s="4">
        <v>3.65</v>
      </c>
      <c r="D482" s="4">
        <v>5.07</v>
      </c>
      <c r="E482" s="4">
        <v>5.25</v>
      </c>
      <c r="F482" s="4">
        <v>3.07</v>
      </c>
      <c r="G482" s="7">
        <v>5943</v>
      </c>
      <c r="H482" s="7">
        <v>5883</v>
      </c>
      <c r="I482" s="7">
        <v>6412</v>
      </c>
      <c r="J482" s="7">
        <v>6743</v>
      </c>
      <c r="K482" s="7">
        <v>7212</v>
      </c>
    </row>
    <row r="483" spans="1:11" x14ac:dyDescent="0.25">
      <c r="A483" s="1">
        <v>0.33402777777777798</v>
      </c>
      <c r="B483" s="2">
        <v>6.11</v>
      </c>
      <c r="C483" s="2">
        <v>3.6399999999999997</v>
      </c>
      <c r="D483" s="2">
        <v>5.08</v>
      </c>
      <c r="E483" s="2">
        <v>4.84</v>
      </c>
      <c r="F483" s="2">
        <v>3.08</v>
      </c>
      <c r="G483" s="6">
        <v>5789</v>
      </c>
      <c r="H483" s="6">
        <v>5846</v>
      </c>
      <c r="I483" s="6">
        <f>H483+624</f>
        <v>6470</v>
      </c>
      <c r="J483" s="6">
        <v>6789</v>
      </c>
      <c r="K483" s="6">
        <f>J483+486</f>
        <v>7275</v>
      </c>
    </row>
    <row r="484" spans="1:11" x14ac:dyDescent="0.25">
      <c r="A484" s="1">
        <v>0.33472222222222198</v>
      </c>
      <c r="B484" s="2">
        <v>6.1400000000000006</v>
      </c>
      <c r="C484" s="2">
        <v>3.5599999999999996</v>
      </c>
      <c r="D484" s="2">
        <v>5.0600000000000005</v>
      </c>
      <c r="E484" s="2">
        <v>4.82</v>
      </c>
      <c r="F484" s="2">
        <v>3.1100000000000003</v>
      </c>
      <c r="G484" s="6">
        <v>1274</v>
      </c>
      <c r="H484" s="6">
        <v>1844</v>
      </c>
      <c r="I484" s="6">
        <v>2437</v>
      </c>
      <c r="J484" s="6">
        <v>2567</v>
      </c>
      <c r="K484" s="6">
        <v>3127</v>
      </c>
    </row>
    <row r="485" spans="1:11" x14ac:dyDescent="0.25">
      <c r="A485" s="1">
        <v>0.33541666666666697</v>
      </c>
      <c r="B485" s="2">
        <v>6.07</v>
      </c>
      <c r="C485" s="2">
        <v>3.5599999999999996</v>
      </c>
      <c r="D485" s="2">
        <v>5.07</v>
      </c>
      <c r="E485" s="2">
        <v>5.3000000000000007</v>
      </c>
      <c r="F485" s="2">
        <v>2.83</v>
      </c>
      <c r="G485" s="6">
        <f t="shared" ref="G485:G541" si="9">G425+550</f>
        <v>1665</v>
      </c>
      <c r="H485" s="6">
        <v>1973</v>
      </c>
      <c r="I485" s="6">
        <f t="shared" ref="I485:I540" si="10">H485+624</f>
        <v>2597</v>
      </c>
      <c r="J485" s="6">
        <v>3124</v>
      </c>
      <c r="K485" s="6">
        <v>3546</v>
      </c>
    </row>
    <row r="486" spans="1:11" x14ac:dyDescent="0.25">
      <c r="A486" s="1">
        <v>0.33611111111111103</v>
      </c>
      <c r="B486" s="2">
        <v>6.2200000000000006</v>
      </c>
      <c r="C486" s="2">
        <v>3.5999999999999996</v>
      </c>
      <c r="D486" s="2">
        <v>4.9700000000000006</v>
      </c>
      <c r="E486" s="2">
        <v>5.23</v>
      </c>
      <c r="F486" s="2">
        <v>3.0100000000000002</v>
      </c>
      <c r="G486" s="6">
        <v>2546</v>
      </c>
      <c r="H486" s="6">
        <f t="shared" ref="H486:H540" si="11">G486+200</f>
        <v>2746</v>
      </c>
      <c r="I486" s="6">
        <v>2974</v>
      </c>
      <c r="J486" s="6">
        <v>3347</v>
      </c>
      <c r="K486" s="6">
        <v>3755</v>
      </c>
    </row>
    <row r="487" spans="1:11" x14ac:dyDescent="0.25">
      <c r="A487" s="1">
        <v>0.33680555555555602</v>
      </c>
      <c r="B487" s="2">
        <v>6.24</v>
      </c>
      <c r="C487" s="2">
        <v>3.6399999999999997</v>
      </c>
      <c r="D487" s="2">
        <v>4.9700000000000006</v>
      </c>
      <c r="E487" s="2">
        <v>4.92</v>
      </c>
      <c r="F487" s="2">
        <v>2.86</v>
      </c>
      <c r="G487" s="6">
        <v>3598</v>
      </c>
      <c r="H487" s="6">
        <v>3695</v>
      </c>
      <c r="I487" s="6">
        <v>4437</v>
      </c>
      <c r="J487" s="6">
        <v>4681</v>
      </c>
      <c r="K487" s="6">
        <v>4957</v>
      </c>
    </row>
    <row r="488" spans="1:11" x14ac:dyDescent="0.25">
      <c r="A488" s="1">
        <v>0.33750000000000002</v>
      </c>
      <c r="B488" s="2">
        <v>6.23</v>
      </c>
      <c r="C488" s="2">
        <v>3.67</v>
      </c>
      <c r="D488" s="2">
        <v>5.04</v>
      </c>
      <c r="E488" s="2">
        <v>5.46</v>
      </c>
      <c r="F488" s="2">
        <v>3.2800000000000002</v>
      </c>
      <c r="G488" s="6">
        <v>3897</v>
      </c>
      <c r="H488" s="6">
        <f t="shared" si="11"/>
        <v>4097</v>
      </c>
      <c r="I488" s="6">
        <v>4875</v>
      </c>
      <c r="J488" s="6">
        <f t="shared" ref="J488:J540" si="12">I488+423</f>
        <v>5298</v>
      </c>
      <c r="K488" s="6">
        <v>5549</v>
      </c>
    </row>
    <row r="489" spans="1:11" x14ac:dyDescent="0.25">
      <c r="A489" s="1">
        <v>0.33819444444444402</v>
      </c>
      <c r="B489" s="2">
        <v>6.28</v>
      </c>
      <c r="C489" s="2">
        <v>3.76</v>
      </c>
      <c r="D489" s="2">
        <v>5.1100000000000003</v>
      </c>
      <c r="E489" s="2">
        <v>5.32</v>
      </c>
      <c r="F489" s="2">
        <v>2.89</v>
      </c>
      <c r="G489" s="6">
        <v>4581</v>
      </c>
      <c r="H489" s="6">
        <v>4627</v>
      </c>
      <c r="I489" s="6">
        <v>5127</v>
      </c>
      <c r="J489" s="6">
        <v>5429</v>
      </c>
      <c r="K489" s="6">
        <v>5846</v>
      </c>
    </row>
    <row r="490" spans="1:11" x14ac:dyDescent="0.25">
      <c r="A490" s="1">
        <v>0.33888888888888902</v>
      </c>
      <c r="B490" s="2">
        <v>6.33</v>
      </c>
      <c r="C490" s="2">
        <v>3.6999999999999997</v>
      </c>
      <c r="D490" s="2">
        <v>5.07</v>
      </c>
      <c r="E490" s="2">
        <v>5.3800000000000008</v>
      </c>
      <c r="F490" s="2">
        <v>2.86</v>
      </c>
      <c r="G490" s="6">
        <v>5042</v>
      </c>
      <c r="H490" s="6">
        <f t="shared" si="11"/>
        <v>5242</v>
      </c>
      <c r="I490" s="6">
        <v>5678</v>
      </c>
      <c r="J490" s="6">
        <v>6274</v>
      </c>
      <c r="K490" s="6">
        <v>6542</v>
      </c>
    </row>
    <row r="491" spans="1:11" x14ac:dyDescent="0.25">
      <c r="A491" s="1">
        <v>0.33958333333333302</v>
      </c>
      <c r="B491" s="2">
        <v>6.17</v>
      </c>
      <c r="C491" s="2">
        <v>3.5799999999999996</v>
      </c>
      <c r="D491" s="2">
        <v>4.91</v>
      </c>
      <c r="E491" s="2">
        <v>5.49</v>
      </c>
      <c r="F491" s="2">
        <v>3.31</v>
      </c>
      <c r="G491" s="6">
        <v>4539</v>
      </c>
      <c r="H491" s="6">
        <f t="shared" si="11"/>
        <v>4739</v>
      </c>
      <c r="I491" s="6">
        <f t="shared" si="10"/>
        <v>5363</v>
      </c>
      <c r="J491" s="6">
        <v>5697</v>
      </c>
      <c r="K491" s="6">
        <v>6238</v>
      </c>
    </row>
    <row r="492" spans="1:11" x14ac:dyDescent="0.25">
      <c r="A492" s="1">
        <v>0.34027777777777801</v>
      </c>
      <c r="B492" s="2">
        <v>6.2600000000000007</v>
      </c>
      <c r="C492" s="2">
        <v>3.7399999999999998</v>
      </c>
      <c r="D492" s="2">
        <v>4.99</v>
      </c>
      <c r="E492" s="2">
        <v>5.1800000000000006</v>
      </c>
      <c r="F492" s="2">
        <v>3.1</v>
      </c>
      <c r="G492" s="6">
        <v>4039</v>
      </c>
      <c r="H492" s="6">
        <f t="shared" si="11"/>
        <v>4239</v>
      </c>
      <c r="I492" s="6">
        <f t="shared" si="10"/>
        <v>4863</v>
      </c>
      <c r="J492" s="6">
        <v>5524</v>
      </c>
      <c r="K492" s="6">
        <v>6177</v>
      </c>
    </row>
    <row r="493" spans="1:11" x14ac:dyDescent="0.25">
      <c r="A493" s="1">
        <v>0.34097222222222201</v>
      </c>
      <c r="B493" s="2">
        <v>6.33</v>
      </c>
      <c r="C493" s="2">
        <v>3.6799999999999997</v>
      </c>
      <c r="D493" s="2">
        <v>5.23</v>
      </c>
      <c r="E493" s="2">
        <v>4.8900000000000006</v>
      </c>
      <c r="F493" s="2">
        <v>3.16</v>
      </c>
      <c r="G493" s="6">
        <v>4264</v>
      </c>
      <c r="H493" s="6">
        <f t="shared" si="11"/>
        <v>4464</v>
      </c>
      <c r="I493" s="6">
        <v>5296</v>
      </c>
      <c r="J493" s="6">
        <v>5744</v>
      </c>
      <c r="K493" s="6">
        <v>6351</v>
      </c>
    </row>
    <row r="494" spans="1:11" x14ac:dyDescent="0.25">
      <c r="A494" s="1">
        <v>0.34166666666666701</v>
      </c>
      <c r="B494" s="2">
        <v>6.2</v>
      </c>
      <c r="C494" s="2">
        <v>3.67</v>
      </c>
      <c r="D494" s="2">
        <v>4.8900000000000006</v>
      </c>
      <c r="E494" s="2">
        <v>4.87</v>
      </c>
      <c r="F494" s="2">
        <v>2.93</v>
      </c>
      <c r="G494" s="6">
        <v>5027</v>
      </c>
      <c r="H494" s="6">
        <v>5378</v>
      </c>
      <c r="I494" s="6">
        <v>6188</v>
      </c>
      <c r="J494" s="6">
        <v>6613</v>
      </c>
      <c r="K494" s="6">
        <v>6854</v>
      </c>
    </row>
    <row r="495" spans="1:11" x14ac:dyDescent="0.25">
      <c r="A495" s="1">
        <v>0.34236111111111101</v>
      </c>
      <c r="B495" s="2">
        <v>6.1000000000000005</v>
      </c>
      <c r="C495" s="2">
        <v>3.6999999999999997</v>
      </c>
      <c r="D495" s="2">
        <v>5.08</v>
      </c>
      <c r="E495" s="2">
        <v>5.41</v>
      </c>
      <c r="F495" s="2">
        <v>3.24</v>
      </c>
      <c r="G495" s="6">
        <v>4861</v>
      </c>
      <c r="H495" s="6">
        <f t="shared" si="11"/>
        <v>5061</v>
      </c>
      <c r="I495" s="6">
        <v>5542</v>
      </c>
      <c r="J495" s="6">
        <v>6241</v>
      </c>
      <c r="K495" s="6">
        <v>6598</v>
      </c>
    </row>
    <row r="496" spans="1:11" x14ac:dyDescent="0.25">
      <c r="A496" s="1">
        <v>0.343055555555556</v>
      </c>
      <c r="B496" s="2">
        <v>6.07</v>
      </c>
      <c r="C496" s="2">
        <v>3.63</v>
      </c>
      <c r="D496" s="2">
        <v>4.9300000000000006</v>
      </c>
      <c r="E496" s="2">
        <v>5.3100000000000005</v>
      </c>
      <c r="F496" s="2">
        <v>3.0300000000000002</v>
      </c>
      <c r="G496" s="6">
        <v>3949</v>
      </c>
      <c r="H496" s="6">
        <f t="shared" si="11"/>
        <v>4149</v>
      </c>
      <c r="I496" s="6">
        <v>4438</v>
      </c>
      <c r="J496" s="6">
        <v>5021</v>
      </c>
      <c r="K496" s="6">
        <v>5426</v>
      </c>
    </row>
    <row r="497" spans="1:11" x14ac:dyDescent="0.25">
      <c r="A497" s="1">
        <v>0.34375</v>
      </c>
      <c r="B497" s="2">
        <v>6.23</v>
      </c>
      <c r="C497" s="2">
        <v>3.6399999999999997</v>
      </c>
      <c r="D497" s="2">
        <v>5.04</v>
      </c>
      <c r="E497" s="2">
        <v>4.99</v>
      </c>
      <c r="F497" s="2">
        <v>3.2800000000000002</v>
      </c>
      <c r="G497" s="6">
        <f t="shared" si="9"/>
        <v>2795</v>
      </c>
      <c r="H497" s="6">
        <f t="shared" si="11"/>
        <v>2995</v>
      </c>
      <c r="I497" s="6">
        <v>3546</v>
      </c>
      <c r="J497" s="6">
        <f t="shared" si="12"/>
        <v>3969</v>
      </c>
      <c r="K497" s="6">
        <v>4392</v>
      </c>
    </row>
    <row r="498" spans="1:11" x14ac:dyDescent="0.25">
      <c r="A498" s="1">
        <v>0.344444444444444</v>
      </c>
      <c r="B498" s="2">
        <v>6.12</v>
      </c>
      <c r="C498" s="2">
        <v>3.5399999999999996</v>
      </c>
      <c r="D498" s="2">
        <v>5.08</v>
      </c>
      <c r="E498" s="2">
        <v>5.46</v>
      </c>
      <c r="F498" s="2">
        <v>3.0100000000000002</v>
      </c>
      <c r="G498" s="6">
        <v>3597</v>
      </c>
      <c r="H498" s="6">
        <v>3456</v>
      </c>
      <c r="I498" s="6">
        <f t="shared" si="10"/>
        <v>4080</v>
      </c>
      <c r="J498" s="6">
        <v>4429</v>
      </c>
      <c r="K498" s="6">
        <v>4869</v>
      </c>
    </row>
    <row r="499" spans="1:11" x14ac:dyDescent="0.25">
      <c r="A499" s="1">
        <v>0.34513888888888899</v>
      </c>
      <c r="B499" s="2">
        <v>6.2200000000000006</v>
      </c>
      <c r="C499" s="2">
        <v>3.7199999999999998</v>
      </c>
      <c r="D499" s="2">
        <v>4.9400000000000004</v>
      </c>
      <c r="E499" s="2">
        <v>5.44</v>
      </c>
      <c r="F499" s="2">
        <v>2.89</v>
      </c>
      <c r="G499" s="6">
        <v>3846</v>
      </c>
      <c r="H499" s="6">
        <f t="shared" si="11"/>
        <v>4046</v>
      </c>
      <c r="I499" s="6">
        <v>4597</v>
      </c>
      <c r="J499" s="6">
        <v>5127</v>
      </c>
      <c r="K499" s="6">
        <v>5529</v>
      </c>
    </row>
    <row r="500" spans="1:11" x14ac:dyDescent="0.25">
      <c r="A500" s="1">
        <v>0.34583333333333299</v>
      </c>
      <c r="B500" s="2">
        <v>6.1800000000000006</v>
      </c>
      <c r="C500" s="2">
        <v>3.5999999999999996</v>
      </c>
      <c r="D500" s="2">
        <v>4.92</v>
      </c>
      <c r="E500" s="2">
        <v>5.09</v>
      </c>
      <c r="F500" s="2">
        <v>2.91</v>
      </c>
      <c r="G500" s="6">
        <f t="shared" si="9"/>
        <v>4008</v>
      </c>
      <c r="H500" s="6">
        <v>4478</v>
      </c>
      <c r="I500" s="6">
        <v>5216</v>
      </c>
      <c r="J500" s="6">
        <v>5534</v>
      </c>
      <c r="K500" s="6">
        <v>6249</v>
      </c>
    </row>
    <row r="501" spans="1:11" x14ac:dyDescent="0.25">
      <c r="A501" s="1">
        <v>0.34652777777777799</v>
      </c>
      <c r="B501" s="2">
        <v>6.23</v>
      </c>
      <c r="C501" s="2">
        <v>3.6599999999999997</v>
      </c>
      <c r="D501" s="2">
        <v>5.16</v>
      </c>
      <c r="E501" s="2">
        <v>4.8500000000000005</v>
      </c>
      <c r="F501" s="2">
        <v>3.0700000000000003</v>
      </c>
      <c r="G501" s="6">
        <f t="shared" si="9"/>
        <v>3798</v>
      </c>
      <c r="H501" s="6">
        <f t="shared" si="11"/>
        <v>3998</v>
      </c>
      <c r="I501" s="6">
        <v>4522</v>
      </c>
      <c r="J501" s="6">
        <v>4951</v>
      </c>
      <c r="K501" s="6">
        <v>5349</v>
      </c>
    </row>
    <row r="502" spans="1:11" x14ac:dyDescent="0.25">
      <c r="A502" s="1">
        <v>0.34722222222222199</v>
      </c>
      <c r="B502" s="2">
        <v>6.23</v>
      </c>
      <c r="C502" s="2">
        <v>3.7199999999999998</v>
      </c>
      <c r="D502" s="2">
        <v>4.92</v>
      </c>
      <c r="E502" s="2">
        <v>4.87</v>
      </c>
      <c r="F502" s="2">
        <v>2.85</v>
      </c>
      <c r="G502" s="6">
        <f t="shared" si="9"/>
        <v>2795</v>
      </c>
      <c r="H502" s="6">
        <f t="shared" si="11"/>
        <v>2995</v>
      </c>
      <c r="I502" s="6">
        <f t="shared" si="10"/>
        <v>3619</v>
      </c>
      <c r="J502" s="6">
        <v>3985</v>
      </c>
      <c r="K502" s="6">
        <v>4529</v>
      </c>
    </row>
    <row r="503" spans="1:11" x14ac:dyDescent="0.25">
      <c r="A503" s="1">
        <v>0.34791666666666698</v>
      </c>
      <c r="B503" s="2">
        <v>6.13</v>
      </c>
      <c r="C503" s="2">
        <v>3.6199999999999997</v>
      </c>
      <c r="D503" s="2">
        <v>4.9000000000000004</v>
      </c>
      <c r="E503" s="2">
        <v>5.4</v>
      </c>
      <c r="F503" s="2">
        <v>3.21</v>
      </c>
      <c r="G503" s="6">
        <f t="shared" si="9"/>
        <v>3404</v>
      </c>
      <c r="H503" s="6">
        <f t="shared" si="11"/>
        <v>3604</v>
      </c>
      <c r="I503" s="6">
        <v>4395</v>
      </c>
      <c r="J503" s="6">
        <v>4529</v>
      </c>
      <c r="K503" s="6">
        <v>5129</v>
      </c>
    </row>
    <row r="504" spans="1:11" x14ac:dyDescent="0.25">
      <c r="A504" s="1">
        <v>0.34861111111111098</v>
      </c>
      <c r="B504" s="2">
        <v>6.33</v>
      </c>
      <c r="C504" s="2">
        <v>3.76</v>
      </c>
      <c r="D504" s="2">
        <v>5.17</v>
      </c>
      <c r="E504" s="2">
        <v>5.03</v>
      </c>
      <c r="F504" s="2">
        <v>3.09</v>
      </c>
      <c r="G504" s="6">
        <f t="shared" si="9"/>
        <v>2824</v>
      </c>
      <c r="H504" s="6">
        <v>2978</v>
      </c>
      <c r="I504" s="6">
        <v>3976</v>
      </c>
      <c r="J504" s="6">
        <f t="shared" si="12"/>
        <v>4399</v>
      </c>
      <c r="K504" s="6">
        <f t="shared" ref="K504:K541" si="13">J504+486</f>
        <v>4885</v>
      </c>
    </row>
    <row r="505" spans="1:11" x14ac:dyDescent="0.25">
      <c r="A505" s="1">
        <v>0.34930555555555598</v>
      </c>
      <c r="B505" s="2">
        <v>6.21</v>
      </c>
      <c r="C505" s="2">
        <v>3.65</v>
      </c>
      <c r="D505" s="2">
        <v>5.03</v>
      </c>
      <c r="E505" s="2">
        <v>4.96</v>
      </c>
      <c r="F505" s="2">
        <v>2.97</v>
      </c>
      <c r="G505" s="6">
        <f t="shared" si="9"/>
        <v>2006</v>
      </c>
      <c r="H505" s="6">
        <f t="shared" si="11"/>
        <v>2206</v>
      </c>
      <c r="I505" s="6">
        <v>2543</v>
      </c>
      <c r="J505" s="6">
        <v>2876</v>
      </c>
      <c r="K505" s="6">
        <f t="shared" si="13"/>
        <v>3362</v>
      </c>
    </row>
    <row r="506" spans="1:11" x14ac:dyDescent="0.25">
      <c r="A506" s="1">
        <v>0.35</v>
      </c>
      <c r="B506" s="2">
        <v>6.1800000000000006</v>
      </c>
      <c r="C506" s="2">
        <v>3.53</v>
      </c>
      <c r="D506" s="2">
        <v>5.24</v>
      </c>
      <c r="E506" s="2">
        <v>4.87</v>
      </c>
      <c r="F506" s="2">
        <v>3.0300000000000002</v>
      </c>
      <c r="G506" s="6">
        <f t="shared" si="9"/>
        <v>1939</v>
      </c>
      <c r="H506" s="6">
        <f>G506+198</f>
        <v>2137</v>
      </c>
      <c r="I506" s="6">
        <f t="shared" si="10"/>
        <v>2761</v>
      </c>
      <c r="J506" s="6">
        <f t="shared" si="12"/>
        <v>3184</v>
      </c>
      <c r="K506" s="6">
        <f t="shared" si="13"/>
        <v>3670</v>
      </c>
    </row>
    <row r="507" spans="1:11" x14ac:dyDescent="0.25">
      <c r="A507" s="1">
        <v>0.35069444444444398</v>
      </c>
      <c r="B507" s="2">
        <v>6.08</v>
      </c>
      <c r="C507" s="2">
        <v>3.5799999999999996</v>
      </c>
      <c r="D507" s="2">
        <v>5.0900000000000007</v>
      </c>
      <c r="E507" s="2">
        <v>5.2600000000000007</v>
      </c>
      <c r="F507" s="2">
        <v>3.16</v>
      </c>
      <c r="G507" s="6">
        <f t="shared" si="9"/>
        <v>3295</v>
      </c>
      <c r="H507" s="6">
        <v>3399</v>
      </c>
      <c r="I507" s="6">
        <v>3872</v>
      </c>
      <c r="J507" s="6">
        <f t="shared" si="12"/>
        <v>4295</v>
      </c>
      <c r="K507" s="6">
        <f t="shared" si="13"/>
        <v>4781</v>
      </c>
    </row>
    <row r="508" spans="1:11" x14ac:dyDescent="0.25">
      <c r="A508" s="1">
        <v>0.35138888888888897</v>
      </c>
      <c r="B508" s="2">
        <v>6.28</v>
      </c>
      <c r="C508" s="2">
        <v>3.5999999999999996</v>
      </c>
      <c r="D508" s="2">
        <v>4.9300000000000006</v>
      </c>
      <c r="E508" s="2">
        <v>5.33</v>
      </c>
      <c r="F508" s="2">
        <v>3.0100000000000002</v>
      </c>
      <c r="G508" s="6">
        <f t="shared" si="9"/>
        <v>4237</v>
      </c>
      <c r="H508" s="6">
        <f t="shared" si="11"/>
        <v>4437</v>
      </c>
      <c r="I508" s="6">
        <v>4681</v>
      </c>
      <c r="J508" s="6">
        <v>4956</v>
      </c>
      <c r="K508" s="6">
        <f t="shared" si="13"/>
        <v>5442</v>
      </c>
    </row>
    <row r="509" spans="1:11" x14ac:dyDescent="0.25">
      <c r="A509" s="1">
        <v>0.35208333333333303</v>
      </c>
      <c r="B509" s="2">
        <v>6.19</v>
      </c>
      <c r="C509" s="2">
        <v>3.69</v>
      </c>
      <c r="D509" s="2">
        <v>5.24</v>
      </c>
      <c r="E509" s="2">
        <v>5.34</v>
      </c>
      <c r="F509" s="2">
        <v>2.98</v>
      </c>
      <c r="G509" s="6">
        <v>4523</v>
      </c>
      <c r="H509" s="6">
        <v>4755</v>
      </c>
      <c r="I509" s="6">
        <v>4958</v>
      </c>
      <c r="J509" s="6">
        <f t="shared" si="12"/>
        <v>5381</v>
      </c>
      <c r="K509" s="6">
        <v>5749</v>
      </c>
    </row>
    <row r="510" spans="1:11" x14ac:dyDescent="0.25">
      <c r="A510" s="1">
        <v>0.35277777777777802</v>
      </c>
      <c r="B510" s="2">
        <v>6.28</v>
      </c>
      <c r="C510" s="2">
        <v>3.69</v>
      </c>
      <c r="D510" s="2">
        <v>4.99</v>
      </c>
      <c r="E510" s="2">
        <v>5.13</v>
      </c>
      <c r="F510" s="2">
        <v>3.34</v>
      </c>
      <c r="G510" s="6">
        <v>4795</v>
      </c>
      <c r="H510" s="6">
        <f t="shared" si="11"/>
        <v>4995</v>
      </c>
      <c r="I510" s="6">
        <v>5542</v>
      </c>
      <c r="J510" s="6">
        <v>5874</v>
      </c>
      <c r="K510" s="6">
        <v>6289</v>
      </c>
    </row>
    <row r="511" spans="1:11" x14ac:dyDescent="0.25">
      <c r="A511" s="1">
        <v>0.35347222222222202</v>
      </c>
      <c r="B511" s="2">
        <v>6.28</v>
      </c>
      <c r="C511" s="2">
        <v>3.73</v>
      </c>
      <c r="D511" s="2">
        <v>5.21</v>
      </c>
      <c r="E511" s="2">
        <v>5.53</v>
      </c>
      <c r="F511" s="2">
        <v>2.97</v>
      </c>
      <c r="G511" s="6">
        <v>3327</v>
      </c>
      <c r="H511" s="6">
        <v>3427</v>
      </c>
      <c r="I511" s="6">
        <v>3954</v>
      </c>
      <c r="J511" s="6">
        <f t="shared" si="12"/>
        <v>4377</v>
      </c>
      <c r="K511" s="6">
        <v>4568</v>
      </c>
    </row>
    <row r="512" spans="1:11" x14ac:dyDescent="0.25">
      <c r="A512" s="1">
        <v>0.35416666666666702</v>
      </c>
      <c r="B512" s="2">
        <v>6.19</v>
      </c>
      <c r="C512" s="2">
        <v>3.55</v>
      </c>
      <c r="D512" s="2">
        <v>5.2600000000000007</v>
      </c>
      <c r="E512" s="2">
        <v>5.2</v>
      </c>
      <c r="F512" s="2">
        <v>3.09</v>
      </c>
      <c r="G512" s="6">
        <v>3926</v>
      </c>
      <c r="H512" s="6">
        <f t="shared" si="11"/>
        <v>4126</v>
      </c>
      <c r="I512" s="6">
        <v>4597</v>
      </c>
      <c r="J512" s="6">
        <f t="shared" si="12"/>
        <v>5020</v>
      </c>
      <c r="K512" s="6">
        <v>5429</v>
      </c>
    </row>
    <row r="513" spans="1:11" x14ac:dyDescent="0.25">
      <c r="A513" s="1">
        <v>0.35486111111111102</v>
      </c>
      <c r="B513" s="2">
        <v>6.12</v>
      </c>
      <c r="C513" s="2">
        <v>3.57</v>
      </c>
      <c r="D513" s="2">
        <v>5.1300000000000008</v>
      </c>
      <c r="E513" s="2">
        <v>5.33</v>
      </c>
      <c r="F513" s="2">
        <v>3.29</v>
      </c>
      <c r="G513" s="6">
        <f t="shared" si="9"/>
        <v>4424</v>
      </c>
      <c r="H513" s="6">
        <f t="shared" si="11"/>
        <v>4624</v>
      </c>
      <c r="I513" s="6">
        <v>2897</v>
      </c>
      <c r="J513" s="6">
        <v>3526</v>
      </c>
      <c r="K513" s="6">
        <v>3975</v>
      </c>
    </row>
    <row r="514" spans="1:11" x14ac:dyDescent="0.25">
      <c r="A514" s="1">
        <v>0.35555555555555601</v>
      </c>
      <c r="B514" s="2">
        <v>6.2200000000000006</v>
      </c>
      <c r="C514" s="2">
        <v>3.5999999999999996</v>
      </c>
      <c r="D514" s="2">
        <v>5.24</v>
      </c>
      <c r="E514" s="2">
        <v>5.1400000000000006</v>
      </c>
      <c r="F514" s="2">
        <v>2.93</v>
      </c>
      <c r="G514" s="6">
        <f t="shared" si="9"/>
        <v>2928</v>
      </c>
      <c r="H514" s="6">
        <f t="shared" si="11"/>
        <v>3128</v>
      </c>
      <c r="I514" s="6">
        <v>6347</v>
      </c>
      <c r="J514" s="6">
        <v>6847</v>
      </c>
      <c r="K514" s="6">
        <v>6859</v>
      </c>
    </row>
    <row r="515" spans="1:11" x14ac:dyDescent="0.25">
      <c r="A515" s="1">
        <v>0.35625000000000001</v>
      </c>
      <c r="B515" s="2">
        <v>6.29</v>
      </c>
      <c r="C515" s="2">
        <v>3.7399999999999998</v>
      </c>
      <c r="D515" s="2">
        <v>5.2</v>
      </c>
      <c r="E515" s="2">
        <v>5.0500000000000007</v>
      </c>
      <c r="F515" s="2">
        <v>3.2600000000000002</v>
      </c>
      <c r="G515" s="6">
        <f t="shared" si="9"/>
        <v>2028</v>
      </c>
      <c r="H515" s="6">
        <f t="shared" si="11"/>
        <v>2228</v>
      </c>
      <c r="I515" s="6">
        <f t="shared" si="10"/>
        <v>2852</v>
      </c>
      <c r="J515" s="6">
        <v>3325</v>
      </c>
      <c r="K515" s="6">
        <f t="shared" si="13"/>
        <v>3811</v>
      </c>
    </row>
    <row r="516" spans="1:11" x14ac:dyDescent="0.25">
      <c r="A516" s="1">
        <v>0.35694444444444401</v>
      </c>
      <c r="B516" s="2">
        <v>6.2</v>
      </c>
      <c r="C516" s="2">
        <v>3.51</v>
      </c>
      <c r="D516" s="2">
        <v>5.24</v>
      </c>
      <c r="E516" s="2">
        <v>5.2700000000000005</v>
      </c>
      <c r="F516" s="2">
        <v>3.08</v>
      </c>
      <c r="G516" s="6">
        <f t="shared" si="9"/>
        <v>3124</v>
      </c>
      <c r="H516" s="6">
        <v>3217</v>
      </c>
      <c r="I516" s="6">
        <v>6958</v>
      </c>
      <c r="J516" s="6">
        <v>7421</v>
      </c>
      <c r="K516" s="6">
        <v>7734</v>
      </c>
    </row>
    <row r="517" spans="1:11" x14ac:dyDescent="0.25">
      <c r="A517" s="1">
        <v>0.35763888888888901</v>
      </c>
      <c r="B517" s="2">
        <v>6.2700000000000005</v>
      </c>
      <c r="C517" s="2">
        <v>3.76</v>
      </c>
      <c r="D517" s="2">
        <v>5</v>
      </c>
      <c r="E517" s="2">
        <v>5.0500000000000007</v>
      </c>
      <c r="F517" s="2">
        <v>3.04</v>
      </c>
      <c r="G517" s="6">
        <f t="shared" si="9"/>
        <v>3896</v>
      </c>
      <c r="H517" s="6">
        <f t="shared" si="11"/>
        <v>4096</v>
      </c>
      <c r="I517" s="6">
        <v>4968</v>
      </c>
      <c r="J517" s="6">
        <v>5216</v>
      </c>
      <c r="K517" s="6">
        <v>5841</v>
      </c>
    </row>
    <row r="518" spans="1:11" x14ac:dyDescent="0.25">
      <c r="A518" s="1">
        <v>0.358333333333333</v>
      </c>
      <c r="B518" s="2">
        <v>6.08</v>
      </c>
      <c r="C518" s="2">
        <v>3.69</v>
      </c>
      <c r="D518" s="2">
        <v>5.0500000000000007</v>
      </c>
      <c r="E518" s="2">
        <v>4.92</v>
      </c>
      <c r="F518" s="2">
        <v>3.16</v>
      </c>
      <c r="G518" s="6">
        <f t="shared" si="9"/>
        <v>4421</v>
      </c>
      <c r="H518" s="6">
        <f t="shared" si="11"/>
        <v>4621</v>
      </c>
      <c r="I518" s="6">
        <v>2857</v>
      </c>
      <c r="J518" s="6">
        <v>3298</v>
      </c>
      <c r="K518" s="6">
        <f t="shared" si="13"/>
        <v>3784</v>
      </c>
    </row>
    <row r="519" spans="1:11" x14ac:dyDescent="0.25">
      <c r="A519" s="1">
        <v>0.359027777777778</v>
      </c>
      <c r="B519" s="2">
        <v>6.17</v>
      </c>
      <c r="C519" s="2">
        <v>3.5199999999999996</v>
      </c>
      <c r="D519" s="2">
        <v>5.21</v>
      </c>
      <c r="E519" s="2">
        <v>5.42</v>
      </c>
      <c r="F519" s="2">
        <v>3.29</v>
      </c>
      <c r="G519" s="6">
        <v>2228</v>
      </c>
      <c r="H519" s="6">
        <f t="shared" si="11"/>
        <v>2428</v>
      </c>
      <c r="I519" s="6">
        <v>2852</v>
      </c>
      <c r="J519" s="6">
        <v>3216</v>
      </c>
      <c r="K519" s="6">
        <v>3578</v>
      </c>
    </row>
    <row r="520" spans="1:11" x14ac:dyDescent="0.25">
      <c r="A520" s="1">
        <v>0.359722222222222</v>
      </c>
      <c r="B520" s="2">
        <v>6.11</v>
      </c>
      <c r="C520" s="2">
        <v>3.7699999999999996</v>
      </c>
      <c r="D520" s="2">
        <v>4.96</v>
      </c>
      <c r="E520" s="2">
        <v>5.13</v>
      </c>
      <c r="F520" s="2">
        <v>3.1</v>
      </c>
      <c r="G520" s="6">
        <v>4527</v>
      </c>
      <c r="H520" s="6">
        <v>4985</v>
      </c>
      <c r="I520" s="6">
        <v>5524</v>
      </c>
      <c r="J520" s="6">
        <v>5423</v>
      </c>
      <c r="K520" s="6">
        <f t="shared" si="13"/>
        <v>5909</v>
      </c>
    </row>
    <row r="521" spans="1:11" x14ac:dyDescent="0.25">
      <c r="A521" s="1">
        <v>0.360416666666667</v>
      </c>
      <c r="B521" s="2">
        <v>6.07</v>
      </c>
      <c r="C521" s="2">
        <v>3.6599999999999997</v>
      </c>
      <c r="D521" s="2">
        <v>5.0600000000000005</v>
      </c>
      <c r="E521" s="2">
        <v>4.8900000000000006</v>
      </c>
      <c r="F521" s="2">
        <v>3.2800000000000002</v>
      </c>
      <c r="G521" s="6">
        <f t="shared" si="9"/>
        <v>4136</v>
      </c>
      <c r="H521" s="6">
        <f t="shared" si="11"/>
        <v>4336</v>
      </c>
      <c r="I521" s="6">
        <f t="shared" si="10"/>
        <v>4960</v>
      </c>
      <c r="J521" s="6">
        <v>5322</v>
      </c>
      <c r="K521" s="6">
        <f t="shared" si="13"/>
        <v>5808</v>
      </c>
    </row>
    <row r="522" spans="1:11" x14ac:dyDescent="0.25">
      <c r="A522" s="1">
        <v>0.36111111111111099</v>
      </c>
      <c r="B522" s="2">
        <v>6.28</v>
      </c>
      <c r="C522" s="2">
        <v>3.67</v>
      </c>
      <c r="D522" s="2">
        <v>4.88</v>
      </c>
      <c r="E522" s="2">
        <v>5.1800000000000006</v>
      </c>
      <c r="F522" s="2">
        <v>3.21</v>
      </c>
      <c r="G522" s="6">
        <v>4028</v>
      </c>
      <c r="H522" s="6">
        <v>4185</v>
      </c>
      <c r="I522" s="6">
        <v>4639</v>
      </c>
      <c r="J522" s="6">
        <v>5169</v>
      </c>
      <c r="K522" s="6">
        <f t="shared" si="13"/>
        <v>5655</v>
      </c>
    </row>
    <row r="523" spans="1:11" x14ac:dyDescent="0.25">
      <c r="A523" s="1">
        <v>0.36180555555555599</v>
      </c>
      <c r="B523" s="2">
        <v>6.2700000000000005</v>
      </c>
      <c r="C523" s="2">
        <v>3.7699999999999996</v>
      </c>
      <c r="D523" s="2">
        <v>4.8900000000000006</v>
      </c>
      <c r="E523" s="2">
        <v>5.5100000000000007</v>
      </c>
      <c r="F523" s="2">
        <v>3.0100000000000002</v>
      </c>
      <c r="G523" s="6">
        <f t="shared" si="9"/>
        <v>4650</v>
      </c>
      <c r="H523" s="6">
        <f t="shared" si="11"/>
        <v>4850</v>
      </c>
      <c r="I523" s="6">
        <v>5122</v>
      </c>
      <c r="J523" s="6">
        <v>5429</v>
      </c>
      <c r="K523" s="6">
        <f t="shared" si="13"/>
        <v>5915</v>
      </c>
    </row>
    <row r="524" spans="1:11" x14ac:dyDescent="0.25">
      <c r="A524" s="1">
        <v>0.36249999999999999</v>
      </c>
      <c r="B524" s="2">
        <v>6.17</v>
      </c>
      <c r="C524" s="2">
        <v>3.65</v>
      </c>
      <c r="D524" s="2">
        <v>5.19</v>
      </c>
      <c r="E524" s="2">
        <v>5.3500000000000005</v>
      </c>
      <c r="F524" s="2">
        <v>3.35</v>
      </c>
      <c r="G524" s="6">
        <f t="shared" si="9"/>
        <v>4339</v>
      </c>
      <c r="H524" s="6">
        <v>4389</v>
      </c>
      <c r="I524" s="6">
        <f t="shared" si="10"/>
        <v>5013</v>
      </c>
      <c r="J524" s="6">
        <v>5249</v>
      </c>
      <c r="K524" s="6">
        <f t="shared" si="13"/>
        <v>5735</v>
      </c>
    </row>
    <row r="525" spans="1:11" x14ac:dyDescent="0.25">
      <c r="A525" s="1">
        <v>0.36319444444444399</v>
      </c>
      <c r="B525" s="2">
        <v>6.2700000000000005</v>
      </c>
      <c r="C525" s="2">
        <v>3.5799999999999996</v>
      </c>
      <c r="D525" s="2">
        <v>5.0200000000000005</v>
      </c>
      <c r="E525" s="2">
        <v>5.13</v>
      </c>
      <c r="F525" s="2">
        <v>2.83</v>
      </c>
      <c r="G525" s="6">
        <f t="shared" si="9"/>
        <v>4444</v>
      </c>
      <c r="H525" s="6">
        <f t="shared" si="11"/>
        <v>4644</v>
      </c>
      <c r="I525" s="6">
        <f t="shared" si="10"/>
        <v>5268</v>
      </c>
      <c r="J525" s="6">
        <v>5496</v>
      </c>
      <c r="K525" s="6">
        <f t="shared" si="13"/>
        <v>5982</v>
      </c>
    </row>
    <row r="526" spans="1:11" x14ac:dyDescent="0.25">
      <c r="A526" s="1">
        <v>0.36388888888888898</v>
      </c>
      <c r="B526" s="2">
        <v>6.3000000000000007</v>
      </c>
      <c r="C526" s="2">
        <v>3.6199999999999997</v>
      </c>
      <c r="D526" s="2">
        <v>5.19</v>
      </c>
      <c r="E526" s="2">
        <v>5.45</v>
      </c>
      <c r="F526" s="2">
        <v>3.2600000000000002</v>
      </c>
      <c r="G526" s="6">
        <f t="shared" si="9"/>
        <v>4097</v>
      </c>
      <c r="H526" s="6">
        <f t="shared" si="11"/>
        <v>4297</v>
      </c>
      <c r="I526" s="6">
        <v>4896</v>
      </c>
      <c r="J526" s="6">
        <v>5163</v>
      </c>
      <c r="K526" s="6">
        <f t="shared" si="13"/>
        <v>5649</v>
      </c>
    </row>
    <row r="527" spans="1:11" x14ac:dyDescent="0.25">
      <c r="A527" s="1">
        <v>0.36458333333333298</v>
      </c>
      <c r="B527" s="2">
        <v>6.3100000000000005</v>
      </c>
      <c r="C527" s="2">
        <v>3.78</v>
      </c>
      <c r="D527" s="2">
        <v>5.19</v>
      </c>
      <c r="E527" s="2">
        <v>5.49</v>
      </c>
      <c r="F527" s="2">
        <v>3.14</v>
      </c>
      <c r="G527" s="6">
        <f t="shared" si="9"/>
        <v>4228</v>
      </c>
      <c r="H527" s="6">
        <f t="shared" si="11"/>
        <v>4428</v>
      </c>
      <c r="I527" s="6">
        <f t="shared" si="10"/>
        <v>5052</v>
      </c>
      <c r="J527" s="6">
        <v>5398</v>
      </c>
      <c r="K527" s="6">
        <f t="shared" si="13"/>
        <v>5884</v>
      </c>
    </row>
    <row r="528" spans="1:11" x14ac:dyDescent="0.25">
      <c r="A528" s="1">
        <v>0.36527777777777798</v>
      </c>
      <c r="B528" s="2">
        <v>6.07</v>
      </c>
      <c r="C528" s="2">
        <v>3.6399999999999997</v>
      </c>
      <c r="D528" s="2">
        <v>4.8600000000000003</v>
      </c>
      <c r="E528" s="2">
        <v>5.41</v>
      </c>
      <c r="F528" s="2">
        <v>3.3000000000000003</v>
      </c>
      <c r="G528" s="6">
        <f t="shared" si="9"/>
        <v>5137</v>
      </c>
      <c r="H528" s="6">
        <f t="shared" si="11"/>
        <v>5337</v>
      </c>
      <c r="I528" s="6">
        <v>5791</v>
      </c>
      <c r="J528" s="6">
        <v>6177</v>
      </c>
      <c r="K528" s="6">
        <f t="shared" si="13"/>
        <v>6663</v>
      </c>
    </row>
    <row r="529" spans="1:11" x14ac:dyDescent="0.25">
      <c r="A529" s="1">
        <v>0.36597222222222198</v>
      </c>
      <c r="B529" s="2">
        <v>6.2700000000000005</v>
      </c>
      <c r="C529" s="2">
        <v>3.6799999999999997</v>
      </c>
      <c r="D529" s="2">
        <v>4.87</v>
      </c>
      <c r="E529" s="2">
        <v>5.1000000000000005</v>
      </c>
      <c r="F529" s="2">
        <v>3.14</v>
      </c>
      <c r="G529" s="6">
        <f t="shared" si="9"/>
        <v>4786</v>
      </c>
      <c r="H529" s="6">
        <f t="shared" si="11"/>
        <v>4986</v>
      </c>
      <c r="I529" s="6">
        <v>5589</v>
      </c>
      <c r="J529" s="6">
        <v>6024</v>
      </c>
      <c r="K529" s="6">
        <f t="shared" si="13"/>
        <v>6510</v>
      </c>
    </row>
    <row r="530" spans="1:11" x14ac:dyDescent="0.25">
      <c r="A530" s="1">
        <v>0.36666666666666697</v>
      </c>
      <c r="B530" s="2">
        <v>6.1000000000000005</v>
      </c>
      <c r="C530" s="2">
        <v>3.76</v>
      </c>
      <c r="D530" s="2">
        <v>5.0600000000000005</v>
      </c>
      <c r="E530" s="2">
        <v>5.3100000000000005</v>
      </c>
      <c r="F530" s="2">
        <v>2.99</v>
      </c>
      <c r="G530" s="6">
        <f t="shared" si="9"/>
        <v>6099</v>
      </c>
      <c r="H530" s="6">
        <v>6344</v>
      </c>
      <c r="I530" s="6">
        <v>6817</v>
      </c>
      <c r="J530" s="6">
        <f t="shared" si="12"/>
        <v>7240</v>
      </c>
      <c r="K530" s="6">
        <f t="shared" si="13"/>
        <v>7726</v>
      </c>
    </row>
    <row r="531" spans="1:11" x14ac:dyDescent="0.25">
      <c r="A531" s="1">
        <v>0.36736111111111103</v>
      </c>
      <c r="B531" s="2">
        <v>6.15</v>
      </c>
      <c r="C531" s="2">
        <v>3.75</v>
      </c>
      <c r="D531" s="2">
        <v>4.96</v>
      </c>
      <c r="E531" s="2">
        <v>5.3800000000000008</v>
      </c>
      <c r="F531" s="2">
        <v>3.23</v>
      </c>
      <c r="G531" s="6">
        <f t="shared" si="9"/>
        <v>5687</v>
      </c>
      <c r="H531" s="6">
        <f t="shared" si="11"/>
        <v>5887</v>
      </c>
      <c r="I531" s="6">
        <v>6428</v>
      </c>
      <c r="J531" s="6">
        <v>6475</v>
      </c>
      <c r="K531" s="6">
        <f t="shared" si="13"/>
        <v>6961</v>
      </c>
    </row>
    <row r="532" spans="1:11" x14ac:dyDescent="0.25">
      <c r="A532" s="1">
        <v>0.36805555555555602</v>
      </c>
      <c r="B532" s="2">
        <v>6.21</v>
      </c>
      <c r="C532" s="2">
        <v>3.67</v>
      </c>
      <c r="D532" s="2">
        <v>5.0500000000000007</v>
      </c>
      <c r="E532" s="2">
        <v>5.33</v>
      </c>
      <c r="F532" s="2">
        <v>3.25</v>
      </c>
      <c r="G532" s="6">
        <v>4528</v>
      </c>
      <c r="H532" s="6">
        <v>4525</v>
      </c>
      <c r="I532" s="6">
        <v>4890</v>
      </c>
      <c r="J532" s="6">
        <v>5219</v>
      </c>
      <c r="K532" s="6">
        <f t="shared" si="13"/>
        <v>5705</v>
      </c>
    </row>
    <row r="533" spans="1:11" x14ac:dyDescent="0.25">
      <c r="A533" s="1">
        <v>0.36875000000000002</v>
      </c>
      <c r="B533" s="2">
        <v>6.1800000000000006</v>
      </c>
      <c r="C533" s="2">
        <v>3.5599999999999996</v>
      </c>
      <c r="D533" s="2">
        <v>5.0600000000000005</v>
      </c>
      <c r="E533" s="2">
        <v>5.28</v>
      </c>
      <c r="F533" s="2">
        <v>3.2600000000000002</v>
      </c>
      <c r="G533" s="6">
        <f t="shared" si="9"/>
        <v>4027</v>
      </c>
      <c r="H533" s="6">
        <f t="shared" si="11"/>
        <v>4227</v>
      </c>
      <c r="I533" s="6">
        <f t="shared" si="10"/>
        <v>4851</v>
      </c>
      <c r="J533" s="6">
        <f t="shared" si="12"/>
        <v>5274</v>
      </c>
      <c r="K533" s="6">
        <f t="shared" si="13"/>
        <v>5760</v>
      </c>
    </row>
    <row r="534" spans="1:11" x14ac:dyDescent="0.25">
      <c r="A534" s="1">
        <v>0.36944444444444402</v>
      </c>
      <c r="B534" s="2">
        <v>6.32</v>
      </c>
      <c r="C534" s="2">
        <v>3.51</v>
      </c>
      <c r="D534" s="2">
        <v>5.1100000000000003</v>
      </c>
      <c r="E534" s="2">
        <v>5.1100000000000003</v>
      </c>
      <c r="F534" s="2">
        <v>2.85</v>
      </c>
      <c r="G534" s="6">
        <f t="shared" si="9"/>
        <v>5445</v>
      </c>
      <c r="H534" s="6">
        <f t="shared" si="11"/>
        <v>5645</v>
      </c>
      <c r="I534" s="6">
        <v>6417</v>
      </c>
      <c r="J534" s="6">
        <v>6759</v>
      </c>
      <c r="K534" s="6">
        <f t="shared" si="13"/>
        <v>7245</v>
      </c>
    </row>
    <row r="535" spans="1:11" x14ac:dyDescent="0.25">
      <c r="A535" s="1">
        <v>0.37013888888888902</v>
      </c>
      <c r="B535" s="2">
        <v>6.33</v>
      </c>
      <c r="C535" s="2">
        <v>3.6199999999999997</v>
      </c>
      <c r="D535" s="2">
        <v>5.0500000000000007</v>
      </c>
      <c r="E535" s="2">
        <v>5.1100000000000003</v>
      </c>
      <c r="F535" s="2">
        <v>3.1100000000000003</v>
      </c>
      <c r="G535" s="6">
        <f t="shared" si="9"/>
        <v>6292</v>
      </c>
      <c r="H535" s="6">
        <f t="shared" si="11"/>
        <v>6492</v>
      </c>
      <c r="I535" s="6">
        <f t="shared" si="10"/>
        <v>7116</v>
      </c>
      <c r="J535" s="6">
        <v>7384</v>
      </c>
      <c r="K535" s="6">
        <f t="shared" si="13"/>
        <v>7870</v>
      </c>
    </row>
    <row r="536" spans="1:11" x14ac:dyDescent="0.25">
      <c r="A536" s="1">
        <v>0.37083333333333302</v>
      </c>
      <c r="B536" s="2">
        <v>6.2200000000000006</v>
      </c>
      <c r="C536" s="2">
        <v>3.6799999999999997</v>
      </c>
      <c r="D536" s="2">
        <v>4.99</v>
      </c>
      <c r="E536" s="2">
        <v>5.4</v>
      </c>
      <c r="F536" s="2">
        <v>3.25</v>
      </c>
      <c r="G536" s="6">
        <f t="shared" si="9"/>
        <v>5270</v>
      </c>
      <c r="H536" s="6">
        <v>5237</v>
      </c>
      <c r="I536" s="6">
        <v>5974</v>
      </c>
      <c r="J536" s="6">
        <v>6271</v>
      </c>
      <c r="K536" s="6">
        <f t="shared" si="13"/>
        <v>6757</v>
      </c>
    </row>
    <row r="537" spans="1:11" x14ac:dyDescent="0.25">
      <c r="A537" s="1">
        <v>0.37152777777777801</v>
      </c>
      <c r="B537" s="2">
        <v>6.13</v>
      </c>
      <c r="C537" s="2">
        <v>3.59</v>
      </c>
      <c r="D537" s="2">
        <v>5.1100000000000003</v>
      </c>
      <c r="E537" s="2">
        <v>5.41</v>
      </c>
      <c r="F537" s="2">
        <v>2.92</v>
      </c>
      <c r="G537" s="6">
        <f t="shared" si="9"/>
        <v>6129</v>
      </c>
      <c r="H537" s="6">
        <f t="shared" si="11"/>
        <v>6329</v>
      </c>
      <c r="I537" s="6">
        <f t="shared" si="10"/>
        <v>6953</v>
      </c>
      <c r="J537" s="6">
        <v>7377</v>
      </c>
      <c r="K537" s="6">
        <f t="shared" si="13"/>
        <v>7863</v>
      </c>
    </row>
    <row r="538" spans="1:11" x14ac:dyDescent="0.25">
      <c r="A538" s="1">
        <v>0.37222222222222201</v>
      </c>
      <c r="B538" s="2">
        <v>6.32</v>
      </c>
      <c r="C538" s="2">
        <v>3.5799999999999996</v>
      </c>
      <c r="D538" s="2">
        <v>5.1100000000000003</v>
      </c>
      <c r="E538" s="2">
        <v>5.36</v>
      </c>
      <c r="F538" s="2">
        <v>2.9</v>
      </c>
      <c r="G538" s="6">
        <v>6589</v>
      </c>
      <c r="H538" s="6">
        <v>6679</v>
      </c>
      <c r="I538" s="6">
        <v>7239</v>
      </c>
      <c r="J538" s="6">
        <v>7528</v>
      </c>
      <c r="K538" s="6">
        <f t="shared" si="13"/>
        <v>8014</v>
      </c>
    </row>
    <row r="539" spans="1:11" x14ac:dyDescent="0.25">
      <c r="A539" s="1">
        <v>0.37291666666666701</v>
      </c>
      <c r="B539" s="2">
        <v>6.3100000000000005</v>
      </c>
      <c r="C539" s="2">
        <v>3.57</v>
      </c>
      <c r="D539" s="2">
        <v>5.1100000000000003</v>
      </c>
      <c r="E539" s="2">
        <v>5.49</v>
      </c>
      <c r="F539" s="2">
        <v>3.31</v>
      </c>
      <c r="G539" s="6">
        <f t="shared" si="9"/>
        <v>5950</v>
      </c>
      <c r="H539" s="6">
        <f t="shared" si="11"/>
        <v>6150</v>
      </c>
      <c r="I539" s="6">
        <v>6581</v>
      </c>
      <c r="J539" s="6">
        <f t="shared" si="12"/>
        <v>7004</v>
      </c>
      <c r="K539" s="6">
        <f t="shared" si="13"/>
        <v>7490</v>
      </c>
    </row>
    <row r="540" spans="1:11" x14ac:dyDescent="0.25">
      <c r="A540" s="1">
        <v>0.37361111111111101</v>
      </c>
      <c r="B540" s="2">
        <v>6.09</v>
      </c>
      <c r="C540" s="2">
        <v>3.7399999999999998</v>
      </c>
      <c r="D540" s="2">
        <v>5.0500000000000007</v>
      </c>
      <c r="E540" s="2">
        <v>5.3100000000000005</v>
      </c>
      <c r="F540" s="2">
        <v>3.31</v>
      </c>
      <c r="G540" s="6">
        <v>6527</v>
      </c>
      <c r="H540" s="6">
        <f t="shared" si="11"/>
        <v>6727</v>
      </c>
      <c r="I540" s="6">
        <f t="shared" si="10"/>
        <v>7351</v>
      </c>
      <c r="J540" s="6">
        <f t="shared" si="12"/>
        <v>7774</v>
      </c>
      <c r="K540" s="6">
        <f t="shared" si="13"/>
        <v>8260</v>
      </c>
    </row>
    <row r="541" spans="1:11" x14ac:dyDescent="0.25">
      <c r="A541" s="1">
        <v>0.374305555555556</v>
      </c>
      <c r="B541" s="2">
        <v>6.3000000000000007</v>
      </c>
      <c r="C541" s="2">
        <v>3.5199999999999996</v>
      </c>
      <c r="D541" s="2">
        <v>5.1100000000000003</v>
      </c>
      <c r="E541" s="2">
        <v>5.5200000000000005</v>
      </c>
      <c r="F541" s="2">
        <v>3.0700000000000003</v>
      </c>
      <c r="G541" s="6">
        <f t="shared" si="9"/>
        <v>6093</v>
      </c>
      <c r="H541" s="6">
        <v>6942</v>
      </c>
      <c r="I541" s="6">
        <v>7429</v>
      </c>
      <c r="J541" s="6">
        <v>7853</v>
      </c>
      <c r="K541" s="6">
        <f t="shared" si="13"/>
        <v>8339</v>
      </c>
    </row>
    <row r="542" spans="1:11" x14ac:dyDescent="0.25">
      <c r="A542" s="3">
        <v>0.375</v>
      </c>
      <c r="B542" s="4">
        <v>6.19</v>
      </c>
      <c r="C542" s="4">
        <v>3.65</v>
      </c>
      <c r="D542" s="4">
        <v>5.08</v>
      </c>
      <c r="E542" s="4">
        <v>5.25</v>
      </c>
      <c r="F542" s="4">
        <v>3.07</v>
      </c>
      <c r="G542" s="7">
        <v>6434</v>
      </c>
      <c r="H542" s="7">
        <v>7341</v>
      </c>
      <c r="I542" s="7">
        <v>8342</v>
      </c>
      <c r="J542" s="7">
        <v>7843</v>
      </c>
      <c r="K542" s="7">
        <v>8843</v>
      </c>
    </row>
    <row r="543" spans="1:11" x14ac:dyDescent="0.25">
      <c r="A543" s="1">
        <v>0.375694444444444</v>
      </c>
      <c r="B543" s="2">
        <v>6.3000000000000007</v>
      </c>
      <c r="C543" s="2">
        <v>3.71</v>
      </c>
      <c r="D543" s="2">
        <v>5.0900000000000007</v>
      </c>
      <c r="E543" s="2">
        <v>4.9400000000000004</v>
      </c>
      <c r="F543" s="2">
        <v>3.0700000000000003</v>
      </c>
      <c r="G543" s="6">
        <v>7854</v>
      </c>
      <c r="H543" s="6">
        <f>G543+824</f>
        <v>8678</v>
      </c>
      <c r="I543" s="6">
        <v>10248</v>
      </c>
      <c r="J543" s="6">
        <f>I543-429</f>
        <v>9819</v>
      </c>
      <c r="K543" s="6">
        <v>10759</v>
      </c>
    </row>
    <row r="544" spans="1:11" x14ac:dyDescent="0.25">
      <c r="A544" s="1">
        <v>0.37638888888888899</v>
      </c>
      <c r="B544" s="2">
        <v>6.07</v>
      </c>
      <c r="C544" s="2">
        <v>3.53</v>
      </c>
      <c r="D544" s="2">
        <v>5.25</v>
      </c>
      <c r="E544" s="2">
        <v>5.3500000000000005</v>
      </c>
      <c r="F544" s="2">
        <v>2.85</v>
      </c>
      <c r="G544" s="6">
        <v>8245</v>
      </c>
      <c r="H544" s="6">
        <v>8975</v>
      </c>
      <c r="I544" s="6">
        <v>9438</v>
      </c>
      <c r="J544" s="6">
        <v>10282</v>
      </c>
      <c r="K544" s="6">
        <f t="shared" ref="K544:K595" si="14">J544+1000</f>
        <v>11282</v>
      </c>
    </row>
    <row r="545" spans="1:11" x14ac:dyDescent="0.25">
      <c r="A545" s="1">
        <v>0.37708333333333299</v>
      </c>
      <c r="B545" s="2">
        <v>6.16</v>
      </c>
      <c r="C545" s="2">
        <v>3.6999999999999997</v>
      </c>
      <c r="D545" s="2">
        <v>5.0600000000000005</v>
      </c>
      <c r="E545" s="2">
        <v>5.1400000000000006</v>
      </c>
      <c r="F545" s="2">
        <v>3.3000000000000003</v>
      </c>
      <c r="G545" s="6">
        <v>4255</v>
      </c>
      <c r="H545" s="6">
        <v>4597</v>
      </c>
      <c r="I545" s="6">
        <v>7749</v>
      </c>
      <c r="J545" s="6">
        <v>7025</v>
      </c>
      <c r="K545" s="6">
        <v>8129</v>
      </c>
    </row>
    <row r="546" spans="1:11" x14ac:dyDescent="0.25">
      <c r="A546" s="1">
        <v>0.37777777777777799</v>
      </c>
      <c r="B546" s="2">
        <v>6.1400000000000006</v>
      </c>
      <c r="C546" s="2">
        <v>3.5799999999999996</v>
      </c>
      <c r="D546" s="2">
        <v>5.0200000000000005</v>
      </c>
      <c r="E546" s="2">
        <v>5.16</v>
      </c>
      <c r="F546" s="2">
        <v>3.0700000000000003</v>
      </c>
      <c r="G546" s="6">
        <v>2357</v>
      </c>
      <c r="H546" s="6">
        <f t="shared" ref="H546:I601" si="15">G546+824</f>
        <v>3181</v>
      </c>
      <c r="I546" s="6">
        <v>3384</v>
      </c>
      <c r="J546" s="6">
        <f t="shared" ref="J546:J595" si="16">I546-429</f>
        <v>2955</v>
      </c>
      <c r="K546" s="6">
        <v>4039</v>
      </c>
    </row>
    <row r="547" spans="1:11" x14ac:dyDescent="0.25">
      <c r="A547" s="1">
        <v>0.37847222222222199</v>
      </c>
      <c r="B547" s="2">
        <v>6.12</v>
      </c>
      <c r="C547" s="2">
        <v>3.5199999999999996</v>
      </c>
      <c r="D547" s="2">
        <v>4.8900000000000006</v>
      </c>
      <c r="E547" s="2">
        <v>5.2200000000000006</v>
      </c>
      <c r="F547" s="2">
        <v>3.15</v>
      </c>
      <c r="G547" s="6">
        <v>1349</v>
      </c>
      <c r="H547" s="6">
        <v>2248</v>
      </c>
      <c r="I547" s="6">
        <v>2598</v>
      </c>
      <c r="J547" s="6">
        <f t="shared" si="16"/>
        <v>2169</v>
      </c>
      <c r="K547" s="6">
        <v>3258</v>
      </c>
    </row>
    <row r="548" spans="1:11" x14ac:dyDescent="0.25">
      <c r="A548" s="1">
        <v>0.37916666666666698</v>
      </c>
      <c r="B548" s="2">
        <v>6.12</v>
      </c>
      <c r="C548" s="2">
        <v>3.5799999999999996</v>
      </c>
      <c r="D548" s="2">
        <v>4.88</v>
      </c>
      <c r="E548" s="2">
        <v>5.33</v>
      </c>
      <c r="F548" s="2">
        <v>2.85</v>
      </c>
      <c r="G548" s="6">
        <v>1855</v>
      </c>
      <c r="H548" s="6">
        <v>2478</v>
      </c>
      <c r="I548" s="6">
        <v>4857</v>
      </c>
      <c r="J548" s="6">
        <f t="shared" si="16"/>
        <v>4428</v>
      </c>
      <c r="K548" s="6">
        <v>5548</v>
      </c>
    </row>
    <row r="549" spans="1:11" x14ac:dyDescent="0.25">
      <c r="A549" s="1">
        <v>0.37986111111111098</v>
      </c>
      <c r="B549" s="2">
        <v>6.2700000000000005</v>
      </c>
      <c r="C549" s="2">
        <v>3.51</v>
      </c>
      <c r="D549" s="2">
        <v>5.08</v>
      </c>
      <c r="E549" s="2">
        <v>5.0200000000000005</v>
      </c>
      <c r="F549" s="2">
        <v>3.18</v>
      </c>
      <c r="G549" s="6">
        <v>1956</v>
      </c>
      <c r="H549" s="6">
        <v>2597</v>
      </c>
      <c r="I549" s="6">
        <f t="shared" si="15"/>
        <v>3421</v>
      </c>
      <c r="J549" s="6">
        <v>4857</v>
      </c>
      <c r="K549" s="6">
        <v>6027</v>
      </c>
    </row>
    <row r="550" spans="1:11" x14ac:dyDescent="0.25">
      <c r="A550" s="1">
        <v>0.38055555555555598</v>
      </c>
      <c r="B550" s="2">
        <v>6.19</v>
      </c>
      <c r="C550" s="2">
        <v>3.76</v>
      </c>
      <c r="D550" s="2">
        <v>5.0600000000000005</v>
      </c>
      <c r="E550" s="2">
        <v>5.48</v>
      </c>
      <c r="F550" s="2">
        <v>3.3000000000000003</v>
      </c>
      <c r="G550" s="6">
        <v>3327</v>
      </c>
      <c r="H550" s="6">
        <v>3789</v>
      </c>
      <c r="I550" s="6">
        <f t="shared" si="15"/>
        <v>4613</v>
      </c>
      <c r="J550" s="6">
        <f t="shared" si="16"/>
        <v>4184</v>
      </c>
      <c r="K550" s="6">
        <v>5278</v>
      </c>
    </row>
    <row r="551" spans="1:11" x14ac:dyDescent="0.25">
      <c r="A551" s="1">
        <v>0.38124999999999998</v>
      </c>
      <c r="B551" s="2">
        <v>6.24</v>
      </c>
      <c r="C551" s="2">
        <v>3.67</v>
      </c>
      <c r="D551" s="2">
        <v>4.9700000000000006</v>
      </c>
      <c r="E551" s="2">
        <v>5.3100000000000005</v>
      </c>
      <c r="F551" s="2">
        <v>2.89</v>
      </c>
      <c r="G551" s="6">
        <v>5947</v>
      </c>
      <c r="H551" s="6">
        <f t="shared" si="15"/>
        <v>6771</v>
      </c>
      <c r="I551" s="6">
        <v>8428</v>
      </c>
      <c r="J551" s="6">
        <f t="shared" si="16"/>
        <v>7999</v>
      </c>
      <c r="K551" s="6">
        <v>9027</v>
      </c>
    </row>
    <row r="552" spans="1:11" x14ac:dyDescent="0.25">
      <c r="A552" s="1">
        <v>0.38194444444444398</v>
      </c>
      <c r="B552" s="2">
        <v>6.08</v>
      </c>
      <c r="C552" s="2">
        <v>3.6199999999999997</v>
      </c>
      <c r="D552" s="2">
        <v>4.9400000000000004</v>
      </c>
      <c r="E552" s="2">
        <v>5</v>
      </c>
      <c r="F552" s="2">
        <v>2.95</v>
      </c>
      <c r="G552" s="6">
        <v>6473</v>
      </c>
      <c r="H552" s="6">
        <v>7589</v>
      </c>
      <c r="I552" s="6">
        <v>11397</v>
      </c>
      <c r="J552" s="6">
        <f t="shared" si="16"/>
        <v>10968</v>
      </c>
      <c r="K552" s="6">
        <v>12398</v>
      </c>
    </row>
    <row r="553" spans="1:11" x14ac:dyDescent="0.25">
      <c r="A553" s="1">
        <v>0.38263888888888897</v>
      </c>
      <c r="B553" s="2">
        <v>6.2700000000000005</v>
      </c>
      <c r="C553" s="2">
        <v>3.6999999999999997</v>
      </c>
      <c r="D553" s="2">
        <v>4.87</v>
      </c>
      <c r="E553" s="2">
        <v>4.9300000000000006</v>
      </c>
      <c r="F553" s="2">
        <v>2.98</v>
      </c>
      <c r="G553" s="6">
        <v>8529</v>
      </c>
      <c r="H553" s="6">
        <v>9857</v>
      </c>
      <c r="I553" s="6">
        <f t="shared" si="15"/>
        <v>10681</v>
      </c>
      <c r="J553" s="6">
        <v>8957</v>
      </c>
      <c r="K553" s="6">
        <v>10258</v>
      </c>
    </row>
    <row r="554" spans="1:11" x14ac:dyDescent="0.25">
      <c r="A554" s="1">
        <v>0.38333333333333303</v>
      </c>
      <c r="B554" s="2">
        <v>6.12</v>
      </c>
      <c r="C554" s="2">
        <v>3.55</v>
      </c>
      <c r="D554" s="2">
        <v>4.9700000000000006</v>
      </c>
      <c r="E554" s="2">
        <v>4.83</v>
      </c>
      <c r="F554" s="2">
        <v>3.29</v>
      </c>
      <c r="G554" s="6">
        <v>7289</v>
      </c>
      <c r="H554" s="6">
        <v>7854</v>
      </c>
      <c r="I554" s="6">
        <v>4569</v>
      </c>
      <c r="J554" s="6">
        <f t="shared" si="16"/>
        <v>4140</v>
      </c>
      <c r="K554" s="6">
        <f t="shared" si="14"/>
        <v>5140</v>
      </c>
    </row>
    <row r="555" spans="1:11" x14ac:dyDescent="0.25">
      <c r="A555" s="1">
        <v>0.38402777777777802</v>
      </c>
      <c r="B555" s="2">
        <v>6.19</v>
      </c>
      <c r="C555" s="2">
        <v>3.61</v>
      </c>
      <c r="D555" s="2">
        <v>5.0100000000000007</v>
      </c>
      <c r="E555" s="2">
        <v>5.1800000000000006</v>
      </c>
      <c r="F555" s="2">
        <v>2.83</v>
      </c>
      <c r="G555" s="6">
        <v>8588</v>
      </c>
      <c r="H555" s="6">
        <v>9004</v>
      </c>
      <c r="I555" s="6">
        <v>7859</v>
      </c>
      <c r="J555" s="6">
        <v>7425</v>
      </c>
      <c r="K555" s="6">
        <f t="shared" si="14"/>
        <v>8425</v>
      </c>
    </row>
    <row r="556" spans="1:11" x14ac:dyDescent="0.25">
      <c r="A556" s="1">
        <v>0.38472222222222202</v>
      </c>
      <c r="B556" s="2">
        <v>6.23</v>
      </c>
      <c r="C556" s="2">
        <v>3.6999999999999997</v>
      </c>
      <c r="D556" s="2">
        <v>5.2</v>
      </c>
      <c r="E556" s="2">
        <v>5.37</v>
      </c>
      <c r="F556" s="2">
        <v>2.98</v>
      </c>
      <c r="G556" s="6">
        <v>7642</v>
      </c>
      <c r="H556" s="6">
        <v>8567</v>
      </c>
      <c r="I556" s="6">
        <v>9487</v>
      </c>
      <c r="J556" s="6">
        <f t="shared" si="16"/>
        <v>9058</v>
      </c>
      <c r="K556" s="6">
        <v>10398</v>
      </c>
    </row>
    <row r="557" spans="1:11" x14ac:dyDescent="0.25">
      <c r="A557" s="1">
        <v>0.38541666666666702</v>
      </c>
      <c r="B557" s="2">
        <v>6.19</v>
      </c>
      <c r="C557" s="2">
        <v>3.76</v>
      </c>
      <c r="D557" s="2">
        <v>5.1100000000000003</v>
      </c>
      <c r="E557" s="2">
        <v>5.5</v>
      </c>
      <c r="F557" s="2">
        <v>2.89</v>
      </c>
      <c r="G557" s="6">
        <v>7954</v>
      </c>
      <c r="H557" s="6">
        <v>9105</v>
      </c>
      <c r="I557" s="6">
        <v>9578</v>
      </c>
      <c r="J557" s="6">
        <f t="shared" si="16"/>
        <v>9149</v>
      </c>
      <c r="K557" s="6">
        <v>11089</v>
      </c>
    </row>
    <row r="558" spans="1:11" x14ac:dyDescent="0.25">
      <c r="A558" s="1">
        <v>0.38611111111111102</v>
      </c>
      <c r="B558" s="2">
        <v>6.11</v>
      </c>
      <c r="C558" s="2">
        <v>3.5599999999999996</v>
      </c>
      <c r="D558" s="2">
        <v>5.03</v>
      </c>
      <c r="E558" s="2">
        <v>5.49</v>
      </c>
      <c r="F558" s="2">
        <v>3.08</v>
      </c>
      <c r="G558" s="6">
        <v>6775</v>
      </c>
      <c r="H558" s="6">
        <v>7345</v>
      </c>
      <c r="I558" s="6">
        <v>8574</v>
      </c>
      <c r="J558" s="6">
        <f t="shared" si="16"/>
        <v>8145</v>
      </c>
      <c r="K558" s="6">
        <v>9038</v>
      </c>
    </row>
    <row r="559" spans="1:11" x14ac:dyDescent="0.25">
      <c r="A559" s="1">
        <v>0.38680555555555601</v>
      </c>
      <c r="B559" s="2">
        <v>6.24</v>
      </c>
      <c r="C559" s="2">
        <v>3.6199999999999997</v>
      </c>
      <c r="D559" s="2">
        <v>5.1300000000000008</v>
      </c>
      <c r="E559" s="2">
        <v>4.83</v>
      </c>
      <c r="F559" s="2">
        <v>2.89</v>
      </c>
      <c r="G559" s="6">
        <v>4237</v>
      </c>
      <c r="H559" s="6">
        <v>4972</v>
      </c>
      <c r="I559" s="6">
        <v>5542</v>
      </c>
      <c r="J559" s="6">
        <v>6875</v>
      </c>
      <c r="K559" s="6">
        <f t="shared" si="14"/>
        <v>7875</v>
      </c>
    </row>
    <row r="560" spans="1:11" x14ac:dyDescent="0.25">
      <c r="A560" s="1">
        <v>0.38750000000000001</v>
      </c>
      <c r="B560" s="2">
        <v>6.1400000000000006</v>
      </c>
      <c r="C560" s="2">
        <v>3.67</v>
      </c>
      <c r="D560" s="2">
        <v>4.91</v>
      </c>
      <c r="E560" s="2">
        <v>5.25</v>
      </c>
      <c r="F560" s="2">
        <v>3.1100000000000003</v>
      </c>
      <c r="G560" s="6">
        <v>2242</v>
      </c>
      <c r="H560" s="6">
        <v>3359</v>
      </c>
      <c r="I560" s="6">
        <v>1359</v>
      </c>
      <c r="J560" s="6">
        <v>1859</v>
      </c>
      <c r="K560" s="6">
        <v>3069</v>
      </c>
    </row>
    <row r="561" spans="1:11" x14ac:dyDescent="0.25">
      <c r="A561" s="1">
        <v>0.38819444444444401</v>
      </c>
      <c r="B561" s="2">
        <v>6.08</v>
      </c>
      <c r="C561" s="2">
        <v>3.6999999999999997</v>
      </c>
      <c r="D561" s="2">
        <v>5.0600000000000005</v>
      </c>
      <c r="E561" s="2">
        <v>5.2600000000000007</v>
      </c>
      <c r="F561" s="2">
        <v>3.3200000000000003</v>
      </c>
      <c r="G561" s="6">
        <v>2654</v>
      </c>
      <c r="H561" s="6">
        <v>3258</v>
      </c>
      <c r="I561" s="6">
        <v>3587</v>
      </c>
      <c r="J561" s="6">
        <f t="shared" si="16"/>
        <v>3158</v>
      </c>
      <c r="K561" s="6">
        <f t="shared" si="14"/>
        <v>4158</v>
      </c>
    </row>
    <row r="562" spans="1:11" x14ac:dyDescent="0.25">
      <c r="A562" s="1">
        <v>0.38888888888888901</v>
      </c>
      <c r="B562" s="2">
        <v>6.3000000000000007</v>
      </c>
      <c r="C562" s="2">
        <v>3.73</v>
      </c>
      <c r="D562" s="2">
        <v>5.17</v>
      </c>
      <c r="E562" s="2">
        <v>5.3000000000000007</v>
      </c>
      <c r="F562" s="2">
        <v>3.24</v>
      </c>
      <c r="G562" s="6">
        <v>3489</v>
      </c>
      <c r="H562" s="6">
        <v>4459</v>
      </c>
      <c r="I562" s="6">
        <v>4987</v>
      </c>
      <c r="J562" s="6">
        <v>5528</v>
      </c>
      <c r="K562" s="6">
        <v>6479</v>
      </c>
    </row>
    <row r="563" spans="1:11" x14ac:dyDescent="0.25">
      <c r="A563" s="1">
        <v>0.389583333333333</v>
      </c>
      <c r="B563" s="2">
        <v>6.11</v>
      </c>
      <c r="C563" s="2">
        <v>3.7399999999999998</v>
      </c>
      <c r="D563" s="2">
        <v>5.2200000000000006</v>
      </c>
      <c r="E563" s="2">
        <v>5.46</v>
      </c>
      <c r="F563" s="2">
        <v>2.94</v>
      </c>
      <c r="G563" s="6">
        <v>5397</v>
      </c>
      <c r="H563" s="6">
        <v>5987</v>
      </c>
      <c r="I563" s="6">
        <v>6348</v>
      </c>
      <c r="J563" s="6">
        <f t="shared" si="16"/>
        <v>5919</v>
      </c>
      <c r="K563" s="6">
        <f t="shared" si="14"/>
        <v>6919</v>
      </c>
    </row>
    <row r="564" spans="1:11" x14ac:dyDescent="0.25">
      <c r="A564" s="1">
        <v>0.390277777777778</v>
      </c>
      <c r="B564" s="2">
        <v>6.2600000000000007</v>
      </c>
      <c r="C564" s="2">
        <v>3.7399999999999998</v>
      </c>
      <c r="D564" s="2">
        <v>5.23</v>
      </c>
      <c r="E564" s="2">
        <v>4.82</v>
      </c>
      <c r="F564" s="2">
        <v>3.1</v>
      </c>
      <c r="G564" s="6">
        <v>6278</v>
      </c>
      <c r="H564" s="6">
        <v>6857</v>
      </c>
      <c r="I564" s="6">
        <v>6877</v>
      </c>
      <c r="J564" s="6">
        <v>7597</v>
      </c>
      <c r="K564" s="6">
        <v>8574</v>
      </c>
    </row>
    <row r="565" spans="1:11" x14ac:dyDescent="0.25">
      <c r="A565" s="1">
        <v>0.390972222222222</v>
      </c>
      <c r="B565" s="2">
        <v>6.28</v>
      </c>
      <c r="C565" s="2">
        <v>3.6999999999999997</v>
      </c>
      <c r="D565" s="2">
        <v>4.88</v>
      </c>
      <c r="E565" s="2">
        <v>5.19</v>
      </c>
      <c r="F565" s="2">
        <v>3.08</v>
      </c>
      <c r="G565" s="6">
        <v>7894</v>
      </c>
      <c r="H565" s="6">
        <v>8574</v>
      </c>
      <c r="I565" s="6">
        <v>8544</v>
      </c>
      <c r="J565" s="6">
        <f t="shared" si="16"/>
        <v>8115</v>
      </c>
      <c r="K565" s="6">
        <f t="shared" si="14"/>
        <v>9115</v>
      </c>
    </row>
    <row r="566" spans="1:11" x14ac:dyDescent="0.25">
      <c r="A566" s="1">
        <v>0.391666666666667</v>
      </c>
      <c r="B566" s="2">
        <v>6.24</v>
      </c>
      <c r="C566" s="2">
        <v>3.76</v>
      </c>
      <c r="D566" s="2">
        <v>5.1800000000000006</v>
      </c>
      <c r="E566" s="2">
        <v>5.49</v>
      </c>
      <c r="F566" s="2">
        <v>3.27</v>
      </c>
      <c r="G566" s="6">
        <v>6579</v>
      </c>
      <c r="H566" s="6">
        <v>7349</v>
      </c>
      <c r="I566" s="6">
        <v>6744</v>
      </c>
      <c r="J566" s="6">
        <f t="shared" si="16"/>
        <v>6315</v>
      </c>
      <c r="K566" s="6">
        <f t="shared" si="14"/>
        <v>7315</v>
      </c>
    </row>
    <row r="567" spans="1:11" x14ac:dyDescent="0.25">
      <c r="A567" s="1">
        <v>0.39236111111111099</v>
      </c>
      <c r="B567" s="2">
        <v>6.12</v>
      </c>
      <c r="C567" s="2">
        <v>3.63</v>
      </c>
      <c r="D567" s="2">
        <v>5.23</v>
      </c>
      <c r="E567" s="2">
        <v>5.19</v>
      </c>
      <c r="F567" s="2">
        <v>2.94</v>
      </c>
      <c r="G567" s="6">
        <v>8764</v>
      </c>
      <c r="H567" s="6">
        <v>9589</v>
      </c>
      <c r="I567" s="6">
        <v>7597</v>
      </c>
      <c r="J567" s="6">
        <v>8597</v>
      </c>
      <c r="K567" s="6">
        <v>9657</v>
      </c>
    </row>
    <row r="568" spans="1:11" x14ac:dyDescent="0.25">
      <c r="A568" s="1">
        <v>0.39305555555555599</v>
      </c>
      <c r="B568" s="2">
        <v>6.09</v>
      </c>
      <c r="C568" s="2">
        <v>3.5999999999999996</v>
      </c>
      <c r="D568" s="2">
        <v>5.1300000000000008</v>
      </c>
      <c r="E568" s="2">
        <v>4.9700000000000006</v>
      </c>
      <c r="F568" s="2">
        <v>2.94</v>
      </c>
      <c r="G568" s="6">
        <v>7854</v>
      </c>
      <c r="H568" s="6">
        <v>9249</v>
      </c>
      <c r="I568" s="6">
        <v>7789</v>
      </c>
      <c r="J568" s="6">
        <v>9587</v>
      </c>
      <c r="K568" s="6">
        <v>10957</v>
      </c>
    </row>
    <row r="569" spans="1:11" x14ac:dyDescent="0.25">
      <c r="A569" s="1">
        <v>0.39374999999999999</v>
      </c>
      <c r="B569" s="2">
        <v>6.2</v>
      </c>
      <c r="C569" s="2">
        <v>3.57</v>
      </c>
      <c r="D569" s="2">
        <v>5.07</v>
      </c>
      <c r="E569" s="2">
        <v>5.53</v>
      </c>
      <c r="F569" s="2">
        <v>3.09</v>
      </c>
      <c r="G569" s="6">
        <v>6847</v>
      </c>
      <c r="H569" s="6">
        <v>7946</v>
      </c>
      <c r="I569" s="6">
        <v>6974</v>
      </c>
      <c r="J569" s="6">
        <f t="shared" si="16"/>
        <v>6545</v>
      </c>
      <c r="K569" s="6">
        <v>7857</v>
      </c>
    </row>
    <row r="570" spans="1:11" x14ac:dyDescent="0.25">
      <c r="A570" s="1">
        <v>0.39444444444444399</v>
      </c>
      <c r="B570" s="2">
        <v>6.08</v>
      </c>
      <c r="C570" s="2">
        <v>3.5999999999999996</v>
      </c>
      <c r="D570" s="2">
        <v>5</v>
      </c>
      <c r="E570" s="2">
        <v>5.1800000000000006</v>
      </c>
      <c r="F570" s="2">
        <v>3.22</v>
      </c>
      <c r="G570" s="6">
        <v>4558</v>
      </c>
      <c r="H570" s="6">
        <f t="shared" si="15"/>
        <v>5382</v>
      </c>
      <c r="I570" s="6">
        <v>5579</v>
      </c>
      <c r="J570" s="6">
        <v>7158</v>
      </c>
      <c r="K570" s="6">
        <f t="shared" si="14"/>
        <v>8158</v>
      </c>
    </row>
    <row r="571" spans="1:11" x14ac:dyDescent="0.25">
      <c r="A571" s="1">
        <v>0.39513888888888898</v>
      </c>
      <c r="B571" s="2">
        <v>6.2</v>
      </c>
      <c r="C571" s="2">
        <v>3.6199999999999997</v>
      </c>
      <c r="D571" s="2">
        <v>5.0900000000000007</v>
      </c>
      <c r="E571" s="2">
        <v>4.88</v>
      </c>
      <c r="F571" s="2">
        <v>3.3000000000000003</v>
      </c>
      <c r="G571" s="6">
        <v>3598</v>
      </c>
      <c r="H571" s="6">
        <v>4958</v>
      </c>
      <c r="I571" s="6">
        <v>5428</v>
      </c>
      <c r="J571" s="6">
        <f t="shared" si="16"/>
        <v>4999</v>
      </c>
      <c r="K571" s="6">
        <v>6142</v>
      </c>
    </row>
    <row r="572" spans="1:11" x14ac:dyDescent="0.25">
      <c r="A572" s="1">
        <v>0.39583333333333298</v>
      </c>
      <c r="B572" s="2">
        <v>6.2200000000000006</v>
      </c>
      <c r="C572" s="2">
        <v>3.51</v>
      </c>
      <c r="D572" s="2">
        <v>5.2600000000000007</v>
      </c>
      <c r="E572" s="2">
        <v>5.4300000000000006</v>
      </c>
      <c r="F572" s="2">
        <v>2.91</v>
      </c>
      <c r="G572" s="6">
        <v>4468</v>
      </c>
      <c r="H572" s="6">
        <v>6578</v>
      </c>
      <c r="I572" s="6">
        <v>6974</v>
      </c>
      <c r="J572" s="6">
        <f t="shared" si="16"/>
        <v>6545</v>
      </c>
      <c r="K572" s="6">
        <f t="shared" si="14"/>
        <v>7545</v>
      </c>
    </row>
    <row r="573" spans="1:11" x14ac:dyDescent="0.25">
      <c r="A573" s="1">
        <v>0.39652777777777798</v>
      </c>
      <c r="B573" s="2">
        <v>6.1000000000000005</v>
      </c>
      <c r="C573" s="2">
        <v>3.69</v>
      </c>
      <c r="D573" s="2">
        <v>4.88</v>
      </c>
      <c r="E573" s="2">
        <v>4.95</v>
      </c>
      <c r="F573" s="2">
        <v>3.3000000000000003</v>
      </c>
      <c r="G573" s="6">
        <v>5892</v>
      </c>
      <c r="H573" s="6">
        <v>6987</v>
      </c>
      <c r="I573" s="6">
        <v>7428</v>
      </c>
      <c r="J573" s="6">
        <v>9948</v>
      </c>
      <c r="K573" s="6">
        <f t="shared" si="14"/>
        <v>10948</v>
      </c>
    </row>
    <row r="574" spans="1:11" x14ac:dyDescent="0.25">
      <c r="A574" s="1">
        <v>0.39722222222222198</v>
      </c>
      <c r="B574" s="2">
        <v>6.16</v>
      </c>
      <c r="C574" s="2">
        <v>3.7199999999999998</v>
      </c>
      <c r="D574" s="2">
        <v>5.08</v>
      </c>
      <c r="E574" s="2">
        <v>5.34</v>
      </c>
      <c r="F574" s="2">
        <v>2.86</v>
      </c>
      <c r="G574" s="6">
        <v>8439</v>
      </c>
      <c r="H574" s="6">
        <v>8967</v>
      </c>
      <c r="I574" s="6">
        <v>7420</v>
      </c>
      <c r="J574" s="6">
        <v>8991</v>
      </c>
      <c r="K574" s="6">
        <f t="shared" si="14"/>
        <v>9991</v>
      </c>
    </row>
    <row r="575" spans="1:11" x14ac:dyDescent="0.25">
      <c r="A575" s="1">
        <v>0.39791666666666697</v>
      </c>
      <c r="B575" s="2">
        <v>6.17</v>
      </c>
      <c r="C575" s="2">
        <v>3.55</v>
      </c>
      <c r="D575" s="2">
        <v>5.19</v>
      </c>
      <c r="E575" s="2">
        <v>4.9400000000000004</v>
      </c>
      <c r="F575" s="2">
        <v>3.17</v>
      </c>
      <c r="G575" s="6">
        <v>7854</v>
      </c>
      <c r="H575" s="6">
        <v>8857</v>
      </c>
      <c r="I575" s="6">
        <v>6897</v>
      </c>
      <c r="J575" s="6">
        <f t="shared" si="16"/>
        <v>6468</v>
      </c>
      <c r="K575" s="6">
        <f t="shared" si="14"/>
        <v>7468</v>
      </c>
    </row>
    <row r="576" spans="1:11" x14ac:dyDescent="0.25">
      <c r="A576" s="1">
        <v>0.39861111111111103</v>
      </c>
      <c r="B576" s="2">
        <v>6.3000000000000007</v>
      </c>
      <c r="C576" s="2">
        <v>3.76</v>
      </c>
      <c r="D576" s="2">
        <v>4.8600000000000003</v>
      </c>
      <c r="E576" s="2">
        <v>5.25</v>
      </c>
      <c r="F576" s="2">
        <v>2.85</v>
      </c>
      <c r="G576" s="6">
        <v>8848</v>
      </c>
      <c r="H576" s="6">
        <v>9579</v>
      </c>
      <c r="I576" s="6">
        <v>10138</v>
      </c>
      <c r="J576" s="6">
        <f t="shared" si="16"/>
        <v>9709</v>
      </c>
      <c r="K576" s="6">
        <v>10897</v>
      </c>
    </row>
    <row r="577" spans="1:11" x14ac:dyDescent="0.25">
      <c r="A577" s="1">
        <v>0.39930555555555602</v>
      </c>
      <c r="B577" s="2">
        <v>6.25</v>
      </c>
      <c r="C577" s="2">
        <v>3.78</v>
      </c>
      <c r="D577" s="2">
        <v>5.2600000000000007</v>
      </c>
      <c r="E577" s="2">
        <v>4.9400000000000004</v>
      </c>
      <c r="F577" s="2">
        <v>2.94</v>
      </c>
      <c r="G577" s="6">
        <v>9489</v>
      </c>
      <c r="H577" s="6">
        <f t="shared" si="15"/>
        <v>10313</v>
      </c>
      <c r="I577" s="6">
        <v>8577</v>
      </c>
      <c r="J577" s="6">
        <f t="shared" si="16"/>
        <v>8148</v>
      </c>
      <c r="K577" s="6">
        <v>9247</v>
      </c>
    </row>
    <row r="578" spans="1:11" x14ac:dyDescent="0.25">
      <c r="A578" s="1">
        <v>0.4</v>
      </c>
      <c r="B578" s="2">
        <v>6.2200000000000006</v>
      </c>
      <c r="C578" s="2">
        <v>3.5399999999999996</v>
      </c>
      <c r="D578" s="2">
        <v>4.8600000000000003</v>
      </c>
      <c r="E578" s="2">
        <v>5.0100000000000007</v>
      </c>
      <c r="F578" s="2">
        <v>3.08</v>
      </c>
      <c r="G578" s="6">
        <v>8876</v>
      </c>
      <c r="H578" s="6">
        <v>12394</v>
      </c>
      <c r="I578" s="6">
        <v>9958</v>
      </c>
      <c r="J578" s="6">
        <v>11529</v>
      </c>
      <c r="K578" s="6">
        <v>12267</v>
      </c>
    </row>
    <row r="579" spans="1:11" x14ac:dyDescent="0.25">
      <c r="A579" s="1">
        <v>0.40069444444444402</v>
      </c>
      <c r="B579" s="2">
        <v>6.21</v>
      </c>
      <c r="C579" s="2">
        <v>3.6599999999999997</v>
      </c>
      <c r="D579" s="2">
        <v>4.9000000000000004</v>
      </c>
      <c r="E579" s="2">
        <v>5.0500000000000007</v>
      </c>
      <c r="F579" s="2">
        <v>3.1</v>
      </c>
      <c r="G579" s="6">
        <v>5348</v>
      </c>
      <c r="H579" s="6">
        <v>7984</v>
      </c>
      <c r="I579" s="6">
        <v>4577</v>
      </c>
      <c r="J579" s="6">
        <f t="shared" si="16"/>
        <v>4148</v>
      </c>
      <c r="K579" s="6">
        <f t="shared" si="14"/>
        <v>5148</v>
      </c>
    </row>
    <row r="580" spans="1:11" x14ac:dyDescent="0.25">
      <c r="A580" s="1">
        <v>0.40138888888888902</v>
      </c>
      <c r="B580" s="2">
        <v>6.17</v>
      </c>
      <c r="C580" s="2">
        <v>3.67</v>
      </c>
      <c r="D580" s="2">
        <v>5.0100000000000007</v>
      </c>
      <c r="E580" s="2">
        <v>4.87</v>
      </c>
      <c r="F580" s="2">
        <v>3.04</v>
      </c>
      <c r="G580" s="6">
        <v>5477</v>
      </c>
      <c r="H580" s="6">
        <v>6944</v>
      </c>
      <c r="I580" s="6">
        <v>4389</v>
      </c>
      <c r="J580" s="6">
        <v>5789</v>
      </c>
      <c r="K580" s="6">
        <f t="shared" si="14"/>
        <v>6789</v>
      </c>
    </row>
    <row r="581" spans="1:11" x14ac:dyDescent="0.25">
      <c r="A581" s="1">
        <v>0.40208333333333302</v>
      </c>
      <c r="B581" s="2">
        <v>6.16</v>
      </c>
      <c r="C581" s="2">
        <v>3.67</v>
      </c>
      <c r="D581" s="2">
        <v>4.9700000000000006</v>
      </c>
      <c r="E581" s="2">
        <v>4.9700000000000006</v>
      </c>
      <c r="F581" s="2">
        <v>3.02</v>
      </c>
      <c r="G581" s="6">
        <v>6874</v>
      </c>
      <c r="H581" s="6">
        <v>8764</v>
      </c>
      <c r="I581" s="6">
        <v>6974</v>
      </c>
      <c r="J581" s="6">
        <f t="shared" si="16"/>
        <v>6545</v>
      </c>
      <c r="K581" s="6">
        <f t="shared" si="14"/>
        <v>7545</v>
      </c>
    </row>
    <row r="582" spans="1:11" x14ac:dyDescent="0.25">
      <c r="A582" s="1">
        <v>0.40277777777777801</v>
      </c>
      <c r="B582" s="2">
        <v>6.09</v>
      </c>
      <c r="C582" s="2">
        <v>3.76</v>
      </c>
      <c r="D582" s="2">
        <v>4.96</v>
      </c>
      <c r="E582" s="2">
        <v>4.9000000000000004</v>
      </c>
      <c r="F582" s="2">
        <v>3.14</v>
      </c>
      <c r="G582" s="6">
        <v>9857</v>
      </c>
      <c r="H582" s="6">
        <v>12897</v>
      </c>
      <c r="I582" s="6">
        <v>10287</v>
      </c>
      <c r="J582" s="6">
        <f t="shared" si="16"/>
        <v>9858</v>
      </c>
      <c r="K582" s="6">
        <v>11037</v>
      </c>
    </row>
    <row r="583" spans="1:11" x14ac:dyDescent="0.25">
      <c r="A583" s="1">
        <v>0.40347222222222201</v>
      </c>
      <c r="B583" s="2">
        <v>6.19</v>
      </c>
      <c r="C583" s="2">
        <v>3.6599999999999997</v>
      </c>
      <c r="D583" s="2">
        <v>4.92</v>
      </c>
      <c r="E583" s="2">
        <v>4.9000000000000004</v>
      </c>
      <c r="F583" s="2">
        <v>3.18</v>
      </c>
      <c r="G583" s="6">
        <v>5549</v>
      </c>
      <c r="H583" s="6">
        <v>7854</v>
      </c>
      <c r="I583" s="6">
        <v>6587</v>
      </c>
      <c r="J583" s="6">
        <v>8159</v>
      </c>
      <c r="K583" s="6">
        <v>8573</v>
      </c>
    </row>
    <row r="584" spans="1:11" x14ac:dyDescent="0.25">
      <c r="A584" s="1">
        <v>0.40416666666666701</v>
      </c>
      <c r="B584" s="2">
        <v>6.15</v>
      </c>
      <c r="C584" s="2">
        <v>3.6999999999999997</v>
      </c>
      <c r="D584" s="2">
        <v>4.92</v>
      </c>
      <c r="E584" s="2">
        <v>5.4700000000000006</v>
      </c>
      <c r="F584" s="2">
        <v>3.2</v>
      </c>
      <c r="G584" s="6">
        <v>6671</v>
      </c>
      <c r="H584" s="6">
        <v>8857</v>
      </c>
      <c r="I584" s="6">
        <v>8896</v>
      </c>
      <c r="J584" s="6">
        <v>11347</v>
      </c>
      <c r="K584" s="6">
        <v>13262</v>
      </c>
    </row>
    <row r="585" spans="1:11" x14ac:dyDescent="0.25">
      <c r="A585" s="1">
        <v>0.40486111111111101</v>
      </c>
      <c r="B585" s="2">
        <v>6.32</v>
      </c>
      <c r="C585" s="2">
        <v>3.6199999999999997</v>
      </c>
      <c r="D585" s="2">
        <v>5.03</v>
      </c>
      <c r="E585" s="2">
        <v>5.08</v>
      </c>
      <c r="F585" s="2">
        <v>3.1100000000000003</v>
      </c>
      <c r="G585" s="6">
        <v>4324</v>
      </c>
      <c r="H585" s="6">
        <f t="shared" si="15"/>
        <v>5148</v>
      </c>
      <c r="I585" s="6">
        <v>6789</v>
      </c>
      <c r="J585" s="6">
        <v>8597</v>
      </c>
      <c r="K585" s="6">
        <f t="shared" si="14"/>
        <v>9597</v>
      </c>
    </row>
    <row r="586" spans="1:11" x14ac:dyDescent="0.25">
      <c r="A586" s="1">
        <v>0.405555555555556</v>
      </c>
      <c r="B586" s="2">
        <v>6.25</v>
      </c>
      <c r="C586" s="2">
        <v>3.5599999999999996</v>
      </c>
      <c r="D586" s="2">
        <v>5.0600000000000005</v>
      </c>
      <c r="E586" s="2">
        <v>5.4700000000000006</v>
      </c>
      <c r="F586" s="2">
        <v>2.94</v>
      </c>
      <c r="G586" s="6">
        <v>2674</v>
      </c>
      <c r="H586" s="6">
        <f t="shared" si="15"/>
        <v>3498</v>
      </c>
      <c r="I586" s="6">
        <v>4437</v>
      </c>
      <c r="J586" s="6">
        <v>4598</v>
      </c>
      <c r="K586" s="6">
        <v>5847</v>
      </c>
    </row>
    <row r="587" spans="1:11" x14ac:dyDescent="0.25">
      <c r="A587" s="1">
        <v>0.40625</v>
      </c>
      <c r="B587" s="2">
        <v>6.29</v>
      </c>
      <c r="C587" s="2">
        <v>3.67</v>
      </c>
      <c r="D587" s="2">
        <v>5.1100000000000003</v>
      </c>
      <c r="E587" s="2">
        <v>5</v>
      </c>
      <c r="F587" s="2">
        <v>3.25</v>
      </c>
      <c r="G587" s="6">
        <v>7892</v>
      </c>
      <c r="H587" s="6">
        <v>10248</v>
      </c>
      <c r="I587" s="6">
        <v>8754</v>
      </c>
      <c r="J587" s="6">
        <f t="shared" si="16"/>
        <v>8325</v>
      </c>
      <c r="K587" s="6">
        <f t="shared" si="14"/>
        <v>9325</v>
      </c>
    </row>
    <row r="588" spans="1:11" x14ac:dyDescent="0.25">
      <c r="A588" s="1">
        <v>0.406944444444444</v>
      </c>
      <c r="B588" s="2">
        <v>6.07</v>
      </c>
      <c r="C588" s="2">
        <v>3.51</v>
      </c>
      <c r="D588" s="2">
        <v>5</v>
      </c>
      <c r="E588" s="2">
        <v>4.99</v>
      </c>
      <c r="F588" s="2">
        <v>3.13</v>
      </c>
      <c r="G588" s="6">
        <v>9544</v>
      </c>
      <c r="H588" s="6">
        <v>11397</v>
      </c>
      <c r="I588" s="6">
        <v>8845</v>
      </c>
      <c r="J588" s="6">
        <f t="shared" si="16"/>
        <v>8416</v>
      </c>
      <c r="K588" s="6">
        <v>9547</v>
      </c>
    </row>
    <row r="589" spans="1:11" x14ac:dyDescent="0.25">
      <c r="A589" s="1">
        <v>0.40763888888888899</v>
      </c>
      <c r="B589" s="2">
        <v>6.2</v>
      </c>
      <c r="C589" s="2">
        <v>3.57</v>
      </c>
      <c r="D589" s="2">
        <v>4.99</v>
      </c>
      <c r="E589" s="2">
        <v>5.0600000000000005</v>
      </c>
      <c r="F589" s="2">
        <v>3.02</v>
      </c>
      <c r="G589" s="6">
        <v>10285</v>
      </c>
      <c r="H589" s="6">
        <f t="shared" si="15"/>
        <v>11109</v>
      </c>
      <c r="I589" s="6">
        <v>7948</v>
      </c>
      <c r="J589" s="6">
        <f t="shared" si="16"/>
        <v>7519</v>
      </c>
      <c r="K589" s="6">
        <v>8812</v>
      </c>
    </row>
    <row r="590" spans="1:11" x14ac:dyDescent="0.25">
      <c r="A590" s="1">
        <v>0.40833333333333299</v>
      </c>
      <c r="B590" s="2">
        <v>6.16</v>
      </c>
      <c r="C590" s="2">
        <v>3.6399999999999997</v>
      </c>
      <c r="D590" s="2">
        <v>5.0900000000000007</v>
      </c>
      <c r="E590" s="2">
        <v>5.07</v>
      </c>
      <c r="F590" s="2">
        <v>3.16</v>
      </c>
      <c r="G590" s="6">
        <v>8947</v>
      </c>
      <c r="H590" s="6">
        <f t="shared" si="15"/>
        <v>9771</v>
      </c>
      <c r="I590" s="6">
        <v>10288</v>
      </c>
      <c r="J590" s="6">
        <f t="shared" si="16"/>
        <v>9859</v>
      </c>
      <c r="K590" s="6">
        <v>9978</v>
      </c>
    </row>
    <row r="591" spans="1:11" x14ac:dyDescent="0.25">
      <c r="A591" s="1">
        <v>0.40902777777777799</v>
      </c>
      <c r="B591" s="2">
        <v>6.1800000000000006</v>
      </c>
      <c r="C591" s="2">
        <v>3.7399999999999998</v>
      </c>
      <c r="D591" s="2">
        <v>5.0200000000000005</v>
      </c>
      <c r="E591" s="2">
        <v>4.9000000000000004</v>
      </c>
      <c r="F591" s="2">
        <v>2.87</v>
      </c>
      <c r="G591" s="6">
        <v>10389</v>
      </c>
      <c r="H591" s="6">
        <v>13897</v>
      </c>
      <c r="I591" s="6">
        <v>10258</v>
      </c>
      <c r="J591" s="6">
        <v>12394</v>
      </c>
      <c r="K591" s="6">
        <v>13424</v>
      </c>
    </row>
    <row r="592" spans="1:11" x14ac:dyDescent="0.25">
      <c r="A592" s="1">
        <v>0.40972222222222199</v>
      </c>
      <c r="B592" s="2">
        <v>6.32</v>
      </c>
      <c r="C592" s="2">
        <v>3.65</v>
      </c>
      <c r="D592" s="2">
        <v>5</v>
      </c>
      <c r="E592" s="2">
        <v>5.03</v>
      </c>
      <c r="F592" s="2">
        <v>3</v>
      </c>
      <c r="G592" s="6">
        <v>11289</v>
      </c>
      <c r="H592" s="6">
        <f t="shared" si="15"/>
        <v>12113</v>
      </c>
      <c r="I592" s="6">
        <v>9548</v>
      </c>
      <c r="J592" s="6">
        <v>10298</v>
      </c>
      <c r="K592" s="6">
        <v>12573</v>
      </c>
    </row>
    <row r="593" spans="1:11" x14ac:dyDescent="0.25">
      <c r="A593" s="1">
        <v>0.41041666666666698</v>
      </c>
      <c r="B593" s="2">
        <v>6.08</v>
      </c>
      <c r="C593" s="2">
        <v>3.5799999999999996</v>
      </c>
      <c r="D593" s="2">
        <v>5.1100000000000003</v>
      </c>
      <c r="E593" s="2">
        <v>5.1800000000000006</v>
      </c>
      <c r="F593" s="2">
        <v>3.08</v>
      </c>
      <c r="G593" s="6">
        <v>8527</v>
      </c>
      <c r="H593" s="6">
        <f t="shared" si="15"/>
        <v>9351</v>
      </c>
      <c r="I593" s="6">
        <v>8754</v>
      </c>
      <c r="J593" s="6">
        <f t="shared" si="16"/>
        <v>8325</v>
      </c>
      <c r="K593" s="6">
        <f t="shared" si="14"/>
        <v>9325</v>
      </c>
    </row>
    <row r="594" spans="1:11" x14ac:dyDescent="0.25">
      <c r="A594" s="1">
        <v>0.41111111111111098</v>
      </c>
      <c r="B594" s="2">
        <v>6.2700000000000005</v>
      </c>
      <c r="C594" s="2">
        <v>3.76</v>
      </c>
      <c r="D594" s="2">
        <v>4.88</v>
      </c>
      <c r="E594" s="2">
        <v>4.87</v>
      </c>
      <c r="F594" s="2">
        <v>2.99</v>
      </c>
      <c r="G594" s="6">
        <v>5479</v>
      </c>
      <c r="H594" s="6">
        <v>7428</v>
      </c>
      <c r="I594" s="6">
        <v>8857</v>
      </c>
      <c r="J594" s="6">
        <v>9527</v>
      </c>
      <c r="K594" s="6">
        <f t="shared" si="14"/>
        <v>10527</v>
      </c>
    </row>
    <row r="595" spans="1:11" x14ac:dyDescent="0.25">
      <c r="A595" s="1">
        <v>0.41180555555555598</v>
      </c>
      <c r="B595" s="2">
        <v>6.3100000000000005</v>
      </c>
      <c r="C595" s="2">
        <v>3.55</v>
      </c>
      <c r="D595" s="2">
        <v>5.25</v>
      </c>
      <c r="E595" s="2">
        <v>5.1100000000000003</v>
      </c>
      <c r="F595" s="2">
        <v>2.93</v>
      </c>
      <c r="G595" s="6">
        <v>6857</v>
      </c>
      <c r="H595" s="6">
        <f t="shared" si="15"/>
        <v>7681</v>
      </c>
      <c r="I595" s="6">
        <v>7946</v>
      </c>
      <c r="J595" s="6">
        <f t="shared" si="16"/>
        <v>7517</v>
      </c>
      <c r="K595" s="6">
        <f t="shared" si="14"/>
        <v>8517</v>
      </c>
    </row>
    <row r="596" spans="1:11" x14ac:dyDescent="0.25">
      <c r="A596" s="1">
        <v>0.41249999999999998</v>
      </c>
      <c r="B596" s="2">
        <v>6.17</v>
      </c>
      <c r="C596" s="2">
        <v>3.7199999999999998</v>
      </c>
      <c r="D596" s="2">
        <v>5.1800000000000006</v>
      </c>
      <c r="E596" s="2">
        <v>5.0100000000000007</v>
      </c>
      <c r="F596" s="2">
        <v>3.22</v>
      </c>
      <c r="G596" s="6">
        <v>8888</v>
      </c>
      <c r="H596" s="6">
        <v>9875</v>
      </c>
      <c r="I596" s="6">
        <v>8947</v>
      </c>
      <c r="J596" s="6">
        <v>10148</v>
      </c>
      <c r="K596" s="6">
        <v>10958</v>
      </c>
    </row>
    <row r="597" spans="1:11" x14ac:dyDescent="0.25">
      <c r="A597" s="1">
        <v>0.41319444444444398</v>
      </c>
      <c r="B597" s="2">
        <v>6.09</v>
      </c>
      <c r="C597" s="2">
        <v>3.7699999999999996</v>
      </c>
      <c r="D597" s="2">
        <v>4.95</v>
      </c>
      <c r="E597" s="2">
        <v>5.0500000000000007</v>
      </c>
      <c r="F597" s="2">
        <v>2.9</v>
      </c>
      <c r="G597" s="6">
        <v>9687</v>
      </c>
      <c r="H597" s="6">
        <f t="shared" si="15"/>
        <v>10511</v>
      </c>
      <c r="I597" s="6">
        <v>10571</v>
      </c>
      <c r="J597" s="6">
        <v>12859</v>
      </c>
      <c r="K597" s="6">
        <v>14257</v>
      </c>
    </row>
    <row r="598" spans="1:11" x14ac:dyDescent="0.25">
      <c r="A598" s="1">
        <v>0.41388888888888897</v>
      </c>
      <c r="B598" s="2">
        <v>6.3000000000000007</v>
      </c>
      <c r="C598" s="2">
        <v>3.78</v>
      </c>
      <c r="D598" s="2">
        <v>5.2</v>
      </c>
      <c r="E598" s="2">
        <v>5.2600000000000007</v>
      </c>
      <c r="F598" s="2">
        <v>3.23</v>
      </c>
      <c r="G598" s="6">
        <v>12354</v>
      </c>
      <c r="H598" s="6">
        <v>15298</v>
      </c>
      <c r="I598" s="6">
        <v>11297</v>
      </c>
      <c r="J598" s="6">
        <v>13497</v>
      </c>
      <c r="K598" s="6">
        <v>13985</v>
      </c>
    </row>
    <row r="599" spans="1:11" x14ac:dyDescent="0.25">
      <c r="A599" s="1">
        <v>0.41458333333333303</v>
      </c>
      <c r="B599" s="2">
        <v>6.17</v>
      </c>
      <c r="C599" s="2">
        <v>3.7399999999999998</v>
      </c>
      <c r="D599" s="2">
        <v>4.8600000000000003</v>
      </c>
      <c r="E599" s="2">
        <v>4.8900000000000006</v>
      </c>
      <c r="F599" s="2">
        <v>3.19</v>
      </c>
      <c r="G599" s="6">
        <v>8947</v>
      </c>
      <c r="H599" s="6">
        <v>12278</v>
      </c>
      <c r="I599" s="6">
        <v>9527</v>
      </c>
      <c r="J599" s="6">
        <v>13975</v>
      </c>
      <c r="K599" s="6">
        <v>10387</v>
      </c>
    </row>
    <row r="600" spans="1:11" x14ac:dyDescent="0.25">
      <c r="A600" s="1">
        <v>0.41527777777777802</v>
      </c>
      <c r="B600" s="2">
        <v>6.28</v>
      </c>
      <c r="C600" s="2">
        <v>3.6399999999999997</v>
      </c>
      <c r="D600" s="2">
        <v>5.1000000000000005</v>
      </c>
      <c r="E600" s="2">
        <v>5.19</v>
      </c>
      <c r="F600" s="2">
        <v>2.85</v>
      </c>
      <c r="G600" s="6">
        <v>7858</v>
      </c>
      <c r="H600" s="6">
        <f t="shared" si="15"/>
        <v>8682</v>
      </c>
      <c r="I600" s="6">
        <v>8577</v>
      </c>
      <c r="J600" s="6">
        <v>10289</v>
      </c>
      <c r="K600" s="6">
        <v>12263</v>
      </c>
    </row>
    <row r="601" spans="1:11" x14ac:dyDescent="0.25">
      <c r="A601" s="1">
        <v>0.41597222222222202</v>
      </c>
      <c r="B601" s="2">
        <v>6.21</v>
      </c>
      <c r="C601" s="2">
        <v>3.53</v>
      </c>
      <c r="D601" s="2">
        <v>4.87</v>
      </c>
      <c r="E601" s="2">
        <v>5.41</v>
      </c>
      <c r="F601" s="2">
        <v>2.96</v>
      </c>
      <c r="G601" s="6">
        <v>9456</v>
      </c>
      <c r="H601" s="6">
        <f t="shared" si="15"/>
        <v>10280</v>
      </c>
      <c r="I601" s="6">
        <v>8897</v>
      </c>
      <c r="J601" s="6">
        <v>11493</v>
      </c>
      <c r="K601" s="6">
        <v>11958</v>
      </c>
    </row>
    <row r="602" spans="1:11" x14ac:dyDescent="0.25">
      <c r="A602" s="3">
        <v>0.41666666666666702</v>
      </c>
      <c r="B602" s="4">
        <v>6.19</v>
      </c>
      <c r="C602" s="4">
        <v>3.66</v>
      </c>
      <c r="D602" s="4">
        <v>5.08</v>
      </c>
      <c r="E602" s="4">
        <v>5.25</v>
      </c>
      <c r="F602" s="4">
        <v>3.07</v>
      </c>
      <c r="G602" s="7">
        <v>10231</v>
      </c>
      <c r="H602" s="7">
        <v>13121</v>
      </c>
      <c r="I602" s="7">
        <v>9341</v>
      </c>
      <c r="J602" s="7">
        <v>12134</v>
      </c>
      <c r="K602" s="7">
        <v>13411</v>
      </c>
    </row>
    <row r="603" spans="1:11" x14ac:dyDescent="0.25">
      <c r="A603" s="1">
        <v>0.41736111111111102</v>
      </c>
      <c r="B603" s="2">
        <v>6.08</v>
      </c>
      <c r="C603" s="2">
        <v>3.75</v>
      </c>
      <c r="D603" s="2">
        <v>5.2</v>
      </c>
      <c r="E603" s="2">
        <v>5.28</v>
      </c>
      <c r="F603" s="2">
        <v>3.33</v>
      </c>
      <c r="G603" s="6">
        <v>9985</v>
      </c>
      <c r="H603" s="6">
        <v>10354</v>
      </c>
      <c r="I603" s="6">
        <v>8454</v>
      </c>
      <c r="J603" s="6">
        <v>12325</v>
      </c>
      <c r="K603" s="6">
        <v>14254</v>
      </c>
    </row>
    <row r="604" spans="1:11" x14ac:dyDescent="0.25">
      <c r="A604" s="1">
        <v>0.41805555555555601</v>
      </c>
      <c r="B604" s="2">
        <v>6.1000000000000005</v>
      </c>
      <c r="C604" s="2">
        <v>3.53</v>
      </c>
      <c r="D604" s="2">
        <v>5.2600000000000007</v>
      </c>
      <c r="E604" s="2">
        <v>5.3500000000000005</v>
      </c>
      <c r="F604" s="2">
        <v>2.99</v>
      </c>
      <c r="G604" s="6">
        <v>11204</v>
      </c>
      <c r="H604" s="6">
        <v>12674</v>
      </c>
      <c r="I604" s="6">
        <v>8645</v>
      </c>
      <c r="J604" s="6">
        <v>12454</v>
      </c>
      <c r="K604" s="6">
        <v>14512</v>
      </c>
    </row>
    <row r="605" spans="1:11" x14ac:dyDescent="0.25">
      <c r="A605" s="1">
        <v>0.41875000000000001</v>
      </c>
      <c r="B605" s="2">
        <v>6.2</v>
      </c>
      <c r="C605" s="2">
        <v>3.53</v>
      </c>
      <c r="D605" s="2">
        <v>5.17</v>
      </c>
      <c r="E605" s="2">
        <v>5.37</v>
      </c>
      <c r="F605" s="2">
        <v>3.25</v>
      </c>
      <c r="G605" s="6">
        <v>8547</v>
      </c>
      <c r="H605" s="6">
        <v>9362</v>
      </c>
      <c r="I605" s="6">
        <v>6452</v>
      </c>
      <c r="J605" s="6">
        <v>8461</v>
      </c>
      <c r="K605" s="6">
        <v>9457</v>
      </c>
    </row>
    <row r="606" spans="1:11" x14ac:dyDescent="0.25">
      <c r="A606" s="1">
        <v>0.41944444444444401</v>
      </c>
      <c r="B606" s="2">
        <v>6.07</v>
      </c>
      <c r="C606" s="2">
        <v>3.55</v>
      </c>
      <c r="D606" s="2">
        <v>5.1000000000000005</v>
      </c>
      <c r="E606" s="2">
        <v>5.46</v>
      </c>
      <c r="F606" s="2">
        <v>2.97</v>
      </c>
      <c r="G606" s="6">
        <v>12340</v>
      </c>
      <c r="H606" s="6">
        <v>11517</v>
      </c>
      <c r="I606" s="6">
        <v>6482</v>
      </c>
      <c r="J606" s="6">
        <v>7515</v>
      </c>
      <c r="K606" s="6">
        <v>8779</v>
      </c>
    </row>
    <row r="607" spans="1:11" x14ac:dyDescent="0.25">
      <c r="A607" s="1">
        <v>0.42013888888888901</v>
      </c>
      <c r="B607" s="2">
        <v>6.1400000000000006</v>
      </c>
      <c r="C607" s="2">
        <v>3.5799999999999996</v>
      </c>
      <c r="D607" s="2">
        <v>5.19</v>
      </c>
      <c r="E607" s="2">
        <v>5.03</v>
      </c>
      <c r="F607" s="2">
        <v>2.85</v>
      </c>
      <c r="G607" s="6">
        <v>9845</v>
      </c>
      <c r="H607" s="6">
        <v>9917</v>
      </c>
      <c r="I607" s="6">
        <v>5642</v>
      </c>
      <c r="J607" s="6">
        <v>6548</v>
      </c>
      <c r="K607" s="6">
        <v>7812</v>
      </c>
    </row>
    <row r="608" spans="1:11" x14ac:dyDescent="0.25">
      <c r="A608" s="1">
        <v>0.420833333333333</v>
      </c>
      <c r="B608" s="2">
        <v>6.3000000000000007</v>
      </c>
      <c r="C608" s="2">
        <v>3.7399999999999998</v>
      </c>
      <c r="D608" s="2">
        <v>5.0600000000000005</v>
      </c>
      <c r="E608" s="2">
        <v>5.1000000000000005</v>
      </c>
      <c r="F608" s="2">
        <v>3.04</v>
      </c>
      <c r="G608" s="6">
        <v>9475</v>
      </c>
      <c r="H608" s="6">
        <v>8437</v>
      </c>
      <c r="I608" s="6">
        <v>6452</v>
      </c>
      <c r="J608" s="6">
        <v>8457</v>
      </c>
      <c r="K608" s="6">
        <v>10244</v>
      </c>
    </row>
    <row r="609" spans="1:11" x14ac:dyDescent="0.25">
      <c r="A609" s="1">
        <v>0.421527777777778</v>
      </c>
      <c r="B609" s="2">
        <v>6.11</v>
      </c>
      <c r="C609" s="2">
        <v>3.5599999999999996</v>
      </c>
      <c r="D609" s="2">
        <v>4.9400000000000004</v>
      </c>
      <c r="E609" s="2">
        <v>4.8500000000000005</v>
      </c>
      <c r="F609" s="2">
        <v>3.19</v>
      </c>
      <c r="G609" s="6">
        <v>8547</v>
      </c>
      <c r="H609" s="6">
        <v>7618</v>
      </c>
      <c r="I609" s="6">
        <v>8524</v>
      </c>
      <c r="J609" s="6">
        <v>7542</v>
      </c>
      <c r="K609" s="6">
        <v>8806</v>
      </c>
    </row>
    <row r="610" spans="1:11" x14ac:dyDescent="0.25">
      <c r="A610" s="1">
        <v>0.422222222222222</v>
      </c>
      <c r="B610" s="2">
        <v>6.2200000000000006</v>
      </c>
      <c r="C610" s="2">
        <v>3.78</v>
      </c>
      <c r="D610" s="2">
        <v>5.1300000000000008</v>
      </c>
      <c r="E610" s="2">
        <v>5.1400000000000006</v>
      </c>
      <c r="F610" s="2">
        <v>3.08</v>
      </c>
      <c r="G610" s="6">
        <v>6587</v>
      </c>
      <c r="H610" s="6">
        <v>8264</v>
      </c>
      <c r="I610" s="6">
        <v>6545</v>
      </c>
      <c r="J610" s="6">
        <v>7548</v>
      </c>
      <c r="K610" s="6">
        <v>9245</v>
      </c>
    </row>
    <row r="611" spans="1:11" x14ac:dyDescent="0.25">
      <c r="A611" s="1">
        <v>0.422916666666667</v>
      </c>
      <c r="B611" s="2">
        <v>6.15</v>
      </c>
      <c r="C611" s="2">
        <v>3.65</v>
      </c>
      <c r="D611" s="2">
        <v>5.15</v>
      </c>
      <c r="E611" s="2">
        <v>5.3000000000000007</v>
      </c>
      <c r="F611" s="2">
        <v>2.87</v>
      </c>
      <c r="G611" s="6">
        <v>7548</v>
      </c>
      <c r="H611" s="6">
        <v>8047</v>
      </c>
      <c r="I611" s="6">
        <v>7892</v>
      </c>
      <c r="J611" s="6">
        <v>8524</v>
      </c>
      <c r="K611" s="6">
        <v>10645</v>
      </c>
    </row>
    <row r="612" spans="1:11" x14ac:dyDescent="0.25">
      <c r="A612" s="1">
        <v>0.42361111111111099</v>
      </c>
      <c r="B612" s="2">
        <v>6.1000000000000005</v>
      </c>
      <c r="C612" s="2">
        <v>3.7699999999999996</v>
      </c>
      <c r="D612" s="2">
        <v>5.1300000000000008</v>
      </c>
      <c r="E612" s="2">
        <v>5.15</v>
      </c>
      <c r="F612" s="2">
        <v>3.12</v>
      </c>
      <c r="G612" s="6">
        <v>9752</v>
      </c>
      <c r="H612" s="6">
        <v>11159</v>
      </c>
      <c r="I612" s="6">
        <v>8452</v>
      </c>
      <c r="J612" s="6">
        <v>9542</v>
      </c>
      <c r="K612" s="6">
        <v>10806</v>
      </c>
    </row>
    <row r="613" spans="1:11" x14ac:dyDescent="0.25">
      <c r="A613" s="1">
        <v>0.42430555555555599</v>
      </c>
      <c r="B613" s="2">
        <v>6.24</v>
      </c>
      <c r="C613" s="2">
        <v>3.6799999999999997</v>
      </c>
      <c r="D613" s="2">
        <v>4.95</v>
      </c>
      <c r="E613" s="2">
        <v>5.2200000000000006</v>
      </c>
      <c r="F613" s="2">
        <v>3.23</v>
      </c>
      <c r="G613" s="6">
        <v>11045</v>
      </c>
      <c r="H613" s="6">
        <v>13158</v>
      </c>
      <c r="I613" s="6">
        <v>10224</v>
      </c>
      <c r="J613" s="6">
        <v>13456</v>
      </c>
      <c r="K613" s="6">
        <v>14720</v>
      </c>
    </row>
    <row r="614" spans="1:11" x14ac:dyDescent="0.25">
      <c r="A614" s="1">
        <v>0.42499999999999999</v>
      </c>
      <c r="B614" s="2">
        <v>6.21</v>
      </c>
      <c r="C614" s="2">
        <v>3.75</v>
      </c>
      <c r="D614" s="2">
        <v>4.9400000000000004</v>
      </c>
      <c r="E614" s="2">
        <v>5.53</v>
      </c>
      <c r="F614" s="2">
        <v>3.31</v>
      </c>
      <c r="G614" s="6">
        <v>13345</v>
      </c>
      <c r="H614" s="6">
        <v>13654</v>
      </c>
      <c r="I614" s="6">
        <v>10254</v>
      </c>
      <c r="J614" s="6">
        <v>16455</v>
      </c>
      <c r="K614" s="6">
        <v>15424</v>
      </c>
    </row>
    <row r="615" spans="1:11" x14ac:dyDescent="0.25">
      <c r="A615" s="1">
        <v>0.42569444444444399</v>
      </c>
      <c r="B615" s="2">
        <v>6.17</v>
      </c>
      <c r="C615" s="2">
        <v>3.6399999999999997</v>
      </c>
      <c r="D615" s="2">
        <v>5.0600000000000005</v>
      </c>
      <c r="E615" s="2">
        <v>4.84</v>
      </c>
      <c r="F615" s="2">
        <v>2.91</v>
      </c>
      <c r="G615" s="6">
        <v>9834</v>
      </c>
      <c r="H615" s="6">
        <v>11354</v>
      </c>
      <c r="I615" s="6">
        <v>8542</v>
      </c>
      <c r="J615" s="6">
        <v>11568</v>
      </c>
      <c r="K615" s="6">
        <v>11452</v>
      </c>
    </row>
    <row r="616" spans="1:11" x14ac:dyDescent="0.25">
      <c r="A616" s="1">
        <v>0.42638888888888898</v>
      </c>
      <c r="B616" s="2">
        <v>6.19</v>
      </c>
      <c r="C616" s="2">
        <v>3.5999999999999996</v>
      </c>
      <c r="D616" s="2">
        <v>5.07</v>
      </c>
      <c r="E616" s="2">
        <v>5.2700000000000005</v>
      </c>
      <c r="F616" s="2">
        <v>3.08</v>
      </c>
      <c r="G616" s="6">
        <v>7654</v>
      </c>
      <c r="H616" s="6">
        <v>8246</v>
      </c>
      <c r="I616" s="6">
        <v>7566</v>
      </c>
      <c r="J616" s="6">
        <v>8246</v>
      </c>
      <c r="K616" s="6">
        <v>10245</v>
      </c>
    </row>
    <row r="617" spans="1:11" x14ac:dyDescent="0.25">
      <c r="A617" s="1">
        <v>0.42708333333333298</v>
      </c>
      <c r="B617" s="2">
        <v>6.16</v>
      </c>
      <c r="C617" s="2">
        <v>3.71</v>
      </c>
      <c r="D617" s="2">
        <v>4.99</v>
      </c>
      <c r="E617" s="2">
        <v>5.23</v>
      </c>
      <c r="F617" s="2">
        <v>3.23</v>
      </c>
      <c r="G617" s="6">
        <v>9547</v>
      </c>
      <c r="H617" s="6">
        <v>11567</v>
      </c>
      <c r="I617" s="6">
        <v>8524</v>
      </c>
      <c r="J617" s="6">
        <v>9545</v>
      </c>
      <c r="K617" s="6">
        <v>10809</v>
      </c>
    </row>
    <row r="618" spans="1:11" x14ac:dyDescent="0.25">
      <c r="A618" s="1">
        <v>0.42777777777777798</v>
      </c>
      <c r="B618" s="2">
        <v>6.24</v>
      </c>
      <c r="C618" s="2">
        <v>3.7699999999999996</v>
      </c>
      <c r="D618" s="2">
        <v>4.9000000000000004</v>
      </c>
      <c r="E618" s="2">
        <v>5.3800000000000008</v>
      </c>
      <c r="F618" s="2">
        <v>3.2800000000000002</v>
      </c>
      <c r="G618" s="6">
        <v>13548</v>
      </c>
      <c r="H618" s="6">
        <v>10515</v>
      </c>
      <c r="I618" s="6">
        <v>6489</v>
      </c>
      <c r="J618" s="6">
        <v>7548</v>
      </c>
      <c r="K618" s="6">
        <v>8942</v>
      </c>
    </row>
    <row r="619" spans="1:11" x14ac:dyDescent="0.25">
      <c r="A619" s="1">
        <v>0.42847222222222198</v>
      </c>
      <c r="B619" s="2">
        <v>6.2700000000000005</v>
      </c>
      <c r="C619" s="2">
        <v>3.67</v>
      </c>
      <c r="D619" s="2">
        <v>5.03</v>
      </c>
      <c r="E619" s="2">
        <v>5.12</v>
      </c>
      <c r="F619" s="2">
        <v>3.18</v>
      </c>
      <c r="G619" s="6">
        <v>8512</v>
      </c>
      <c r="H619" s="6">
        <v>9324</v>
      </c>
      <c r="I619" s="6">
        <v>7541</v>
      </c>
      <c r="J619" s="6">
        <v>8547</v>
      </c>
      <c r="K619" s="6">
        <v>9475</v>
      </c>
    </row>
    <row r="620" spans="1:11" x14ac:dyDescent="0.25">
      <c r="A620" s="1">
        <v>0.42916666666666697</v>
      </c>
      <c r="B620" s="2">
        <v>6.16</v>
      </c>
      <c r="C620" s="2">
        <v>3.5999999999999996</v>
      </c>
      <c r="D620" s="2">
        <v>5.2600000000000007</v>
      </c>
      <c r="E620" s="2">
        <v>5.07</v>
      </c>
      <c r="F620" s="2">
        <v>2.87</v>
      </c>
      <c r="G620" s="6">
        <v>7534</v>
      </c>
      <c r="H620" s="6">
        <v>9959</v>
      </c>
      <c r="I620" s="6">
        <v>8547</v>
      </c>
      <c r="J620" s="6">
        <v>9548</v>
      </c>
      <c r="K620" s="6">
        <v>9578</v>
      </c>
    </row>
    <row r="621" spans="1:11" x14ac:dyDescent="0.25">
      <c r="A621" s="1">
        <v>0.42986111111111103</v>
      </c>
      <c r="B621" s="2">
        <v>6.32</v>
      </c>
      <c r="C621" s="2">
        <v>3.7699999999999996</v>
      </c>
      <c r="D621" s="2">
        <v>5</v>
      </c>
      <c r="E621" s="2">
        <v>5.48</v>
      </c>
      <c r="F621" s="2">
        <v>3.22</v>
      </c>
      <c r="G621" s="6">
        <v>11065</v>
      </c>
      <c r="H621" s="6">
        <v>14180</v>
      </c>
      <c r="I621" s="6">
        <v>9547</v>
      </c>
      <c r="J621" s="6">
        <v>9541</v>
      </c>
      <c r="K621" s="6">
        <v>9991</v>
      </c>
    </row>
    <row r="622" spans="1:11" x14ac:dyDescent="0.25">
      <c r="A622" s="1">
        <v>0.43055555555555602</v>
      </c>
      <c r="B622" s="2">
        <v>6.23</v>
      </c>
      <c r="C622" s="2">
        <v>3.73</v>
      </c>
      <c r="D622" s="2">
        <v>4.92</v>
      </c>
      <c r="E622" s="2">
        <v>5.07</v>
      </c>
      <c r="F622" s="2">
        <v>3.23</v>
      </c>
      <c r="G622" s="6">
        <v>8846</v>
      </c>
      <c r="H622" s="6">
        <v>9664</v>
      </c>
      <c r="I622" s="6">
        <v>7854</v>
      </c>
      <c r="J622" s="6">
        <v>9542</v>
      </c>
      <c r="K622" s="6">
        <v>9472</v>
      </c>
    </row>
    <row r="623" spans="1:11" x14ac:dyDescent="0.25">
      <c r="A623" s="1">
        <v>0.43125000000000002</v>
      </c>
      <c r="B623" s="2">
        <v>6.07</v>
      </c>
      <c r="C623" s="2">
        <v>3.75</v>
      </c>
      <c r="D623" s="2">
        <v>4.9800000000000004</v>
      </c>
      <c r="E623" s="2">
        <v>4.9000000000000004</v>
      </c>
      <c r="F623" s="2">
        <v>3.17</v>
      </c>
      <c r="G623" s="6">
        <v>6549</v>
      </c>
      <c r="H623" s="6">
        <v>8063</v>
      </c>
      <c r="I623" s="6">
        <v>7524</v>
      </c>
      <c r="J623" s="6">
        <v>7855</v>
      </c>
      <c r="K623" s="6">
        <v>8424</v>
      </c>
    </row>
    <row r="624" spans="1:11" x14ac:dyDescent="0.25">
      <c r="A624" s="1">
        <v>0.43194444444444402</v>
      </c>
      <c r="B624" s="2">
        <v>6.19</v>
      </c>
      <c r="C624" s="2">
        <v>3.6399999999999997</v>
      </c>
      <c r="D624" s="2">
        <v>5.1000000000000005</v>
      </c>
      <c r="E624" s="2">
        <v>5.1100000000000003</v>
      </c>
      <c r="F624" s="2">
        <v>3.02</v>
      </c>
      <c r="G624" s="6">
        <v>5462</v>
      </c>
      <c r="H624" s="6">
        <v>6578</v>
      </c>
      <c r="I624" s="6">
        <v>5345</v>
      </c>
      <c r="J624" s="6">
        <v>6548</v>
      </c>
      <c r="K624" s="6">
        <v>7542</v>
      </c>
    </row>
    <row r="625" spans="1:11" x14ac:dyDescent="0.25">
      <c r="A625" s="1">
        <v>0.43263888888888902</v>
      </c>
      <c r="B625" s="2">
        <v>6.15</v>
      </c>
      <c r="C625" s="2">
        <v>3.53</v>
      </c>
      <c r="D625" s="2">
        <v>4.9400000000000004</v>
      </c>
      <c r="E625" s="2">
        <v>5.32</v>
      </c>
      <c r="F625" s="2">
        <v>3.12</v>
      </c>
      <c r="G625" s="6">
        <v>8838</v>
      </c>
      <c r="H625" s="6">
        <v>9548</v>
      </c>
      <c r="I625" s="6">
        <v>8546</v>
      </c>
      <c r="J625" s="6">
        <v>9542</v>
      </c>
      <c r="K625" s="6">
        <v>11454</v>
      </c>
    </row>
    <row r="626" spans="1:11" x14ac:dyDescent="0.25">
      <c r="A626" s="1">
        <v>0.43333333333333302</v>
      </c>
      <c r="B626" s="2">
        <v>6.21</v>
      </c>
      <c r="C626" s="2">
        <v>3.5199999999999996</v>
      </c>
      <c r="D626" s="2">
        <v>5.21</v>
      </c>
      <c r="E626" s="2">
        <v>5.19</v>
      </c>
      <c r="F626" s="2">
        <v>3.15</v>
      </c>
      <c r="G626" s="6">
        <v>12587</v>
      </c>
      <c r="H626" s="6">
        <v>14046</v>
      </c>
      <c r="I626" s="6">
        <v>13645</v>
      </c>
      <c r="J626" s="6">
        <v>11245</v>
      </c>
      <c r="K626" s="6">
        <v>13454</v>
      </c>
    </row>
    <row r="627" spans="1:11" x14ac:dyDescent="0.25">
      <c r="A627" s="1">
        <v>0.43402777777777801</v>
      </c>
      <c r="B627" s="2">
        <v>6.15</v>
      </c>
      <c r="C627" s="2">
        <v>3.55</v>
      </c>
      <c r="D627" s="2">
        <v>5.1100000000000003</v>
      </c>
      <c r="E627" s="2">
        <v>5.09</v>
      </c>
      <c r="F627" s="2">
        <v>3.0300000000000002</v>
      </c>
      <c r="G627" s="6">
        <v>15587</v>
      </c>
      <c r="H627" s="6">
        <v>11000</v>
      </c>
      <c r="I627" s="6">
        <v>8244</v>
      </c>
      <c r="J627" s="6">
        <v>9512</v>
      </c>
      <c r="K627" s="6">
        <v>12452</v>
      </c>
    </row>
    <row r="628" spans="1:11" x14ac:dyDescent="0.25">
      <c r="A628" s="1">
        <v>0.43472222222222201</v>
      </c>
      <c r="B628" s="2">
        <v>6.19</v>
      </c>
      <c r="C628" s="2">
        <v>3.6799999999999997</v>
      </c>
      <c r="D628" s="2">
        <v>5.07</v>
      </c>
      <c r="E628" s="2">
        <v>5.16</v>
      </c>
      <c r="F628" s="2">
        <v>3.06</v>
      </c>
      <c r="G628" s="6">
        <v>12468</v>
      </c>
      <c r="H628" s="6">
        <v>9548</v>
      </c>
      <c r="I628" s="6">
        <v>6542</v>
      </c>
      <c r="J628" s="6">
        <v>8245</v>
      </c>
      <c r="K628" s="6">
        <v>8988</v>
      </c>
    </row>
    <row r="629" spans="1:11" x14ac:dyDescent="0.25">
      <c r="A629" s="1">
        <v>0.43541666666666701</v>
      </c>
      <c r="B629" s="2">
        <v>6.24</v>
      </c>
      <c r="C629" s="2">
        <v>3.6999999999999997</v>
      </c>
      <c r="D629" s="2">
        <v>5.2200000000000006</v>
      </c>
      <c r="E629" s="2">
        <v>4.87</v>
      </c>
      <c r="F629" s="2">
        <v>3.17</v>
      </c>
      <c r="G629" s="6">
        <v>10364</v>
      </c>
      <c r="H629" s="6">
        <v>12648</v>
      </c>
      <c r="I629" s="6">
        <v>4524</v>
      </c>
      <c r="J629" s="6">
        <v>4568</v>
      </c>
      <c r="K629" s="6">
        <v>5942</v>
      </c>
    </row>
    <row r="630" spans="1:11" x14ac:dyDescent="0.25">
      <c r="A630" s="1">
        <v>0.43611111111111101</v>
      </c>
      <c r="B630" s="2">
        <v>6.2600000000000007</v>
      </c>
      <c r="C630" s="2">
        <v>3.57</v>
      </c>
      <c r="D630" s="2">
        <v>5.1000000000000005</v>
      </c>
      <c r="E630" s="2">
        <v>5.4</v>
      </c>
      <c r="F630" s="2">
        <v>3.2</v>
      </c>
      <c r="G630" s="6">
        <v>9975</v>
      </c>
      <c r="H630" s="6">
        <v>8548</v>
      </c>
      <c r="I630" s="6">
        <v>5245</v>
      </c>
      <c r="J630" s="6">
        <v>6542</v>
      </c>
      <c r="K630" s="6">
        <v>7821</v>
      </c>
    </row>
    <row r="631" spans="1:11" x14ac:dyDescent="0.25">
      <c r="A631" s="1">
        <v>0.436805555555556</v>
      </c>
      <c r="B631" s="2">
        <v>6.16</v>
      </c>
      <c r="C631" s="2">
        <v>3.7199999999999998</v>
      </c>
      <c r="D631" s="2">
        <v>4.99</v>
      </c>
      <c r="E631" s="2">
        <v>5.21</v>
      </c>
      <c r="F631" s="2">
        <v>3.04</v>
      </c>
      <c r="G631" s="6">
        <v>7553</v>
      </c>
      <c r="H631" s="6">
        <v>8814</v>
      </c>
      <c r="I631" s="6">
        <v>3697</v>
      </c>
      <c r="J631" s="6">
        <v>5458</v>
      </c>
      <c r="K631" s="6">
        <v>6447</v>
      </c>
    </row>
    <row r="632" spans="1:11" x14ac:dyDescent="0.25">
      <c r="A632" s="1">
        <v>0.4375</v>
      </c>
      <c r="B632" s="2">
        <v>6.28</v>
      </c>
      <c r="C632" s="2">
        <v>3.6799999999999997</v>
      </c>
      <c r="D632" s="2">
        <v>5.23</v>
      </c>
      <c r="E632" s="2">
        <v>4.9700000000000006</v>
      </c>
      <c r="F632" s="2">
        <v>3.3000000000000003</v>
      </c>
      <c r="G632" s="6">
        <v>8619</v>
      </c>
      <c r="H632" s="6">
        <v>7854</v>
      </c>
      <c r="I632" s="6">
        <v>5245</v>
      </c>
      <c r="J632" s="6">
        <v>5942</v>
      </c>
      <c r="K632" s="6">
        <v>7206</v>
      </c>
    </row>
    <row r="633" spans="1:11" x14ac:dyDescent="0.25">
      <c r="A633" s="1">
        <v>0.438194444444444</v>
      </c>
      <c r="B633" s="2">
        <v>6.2600000000000007</v>
      </c>
      <c r="C633" s="2">
        <v>3.6799999999999997</v>
      </c>
      <c r="D633" s="2">
        <v>5.1000000000000005</v>
      </c>
      <c r="E633" s="2">
        <v>5.17</v>
      </c>
      <c r="F633" s="2">
        <v>2.83</v>
      </c>
      <c r="G633" s="6">
        <v>12634</v>
      </c>
      <c r="H633" s="6">
        <v>11648</v>
      </c>
      <c r="I633" s="6">
        <v>8247</v>
      </c>
      <c r="J633" s="6">
        <v>8452</v>
      </c>
      <c r="K633" s="6">
        <v>8955</v>
      </c>
    </row>
    <row r="634" spans="1:11" x14ac:dyDescent="0.25">
      <c r="A634" s="1">
        <v>0.43888888888888899</v>
      </c>
      <c r="B634" s="2">
        <v>6.2600000000000007</v>
      </c>
      <c r="C634" s="2">
        <v>3.7399999999999998</v>
      </c>
      <c r="D634" s="2">
        <v>4.88</v>
      </c>
      <c r="E634" s="2">
        <v>5.49</v>
      </c>
      <c r="F634" s="2">
        <v>3.1</v>
      </c>
      <c r="G634" s="6">
        <v>15794</v>
      </c>
      <c r="H634" s="6">
        <v>11858</v>
      </c>
      <c r="I634" s="6">
        <v>11024</v>
      </c>
      <c r="J634" s="6">
        <v>10278</v>
      </c>
      <c r="K634" s="6">
        <v>11542</v>
      </c>
    </row>
    <row r="635" spans="1:11" x14ac:dyDescent="0.25">
      <c r="A635" s="1">
        <v>0.43958333333333299</v>
      </c>
      <c r="B635" s="2">
        <v>6.08</v>
      </c>
      <c r="C635" s="2">
        <v>3.51</v>
      </c>
      <c r="D635" s="2">
        <v>5.04</v>
      </c>
      <c r="E635" s="2">
        <v>4.96</v>
      </c>
      <c r="F635" s="2">
        <v>3.08</v>
      </c>
      <c r="G635" s="6">
        <v>16459</v>
      </c>
      <c r="H635" s="6">
        <v>12670</v>
      </c>
      <c r="I635" s="6">
        <v>10325</v>
      </c>
      <c r="J635" s="6">
        <v>8642</v>
      </c>
      <c r="K635" s="6">
        <v>9906</v>
      </c>
    </row>
    <row r="636" spans="1:11" x14ac:dyDescent="0.25">
      <c r="A636" s="1">
        <v>0.44027777777777799</v>
      </c>
      <c r="B636" s="2">
        <v>6.28</v>
      </c>
      <c r="C636" s="2">
        <v>3.76</v>
      </c>
      <c r="D636" s="2">
        <v>4.99</v>
      </c>
      <c r="E636" s="2">
        <v>5.0600000000000005</v>
      </c>
      <c r="F636" s="2">
        <v>3.0500000000000003</v>
      </c>
      <c r="G636" s="6">
        <v>8539</v>
      </c>
      <c r="H636" s="6">
        <v>6495</v>
      </c>
      <c r="I636" s="6">
        <v>7556</v>
      </c>
      <c r="J636" s="6">
        <v>8214</v>
      </c>
      <c r="K636" s="6">
        <v>9452</v>
      </c>
    </row>
    <row r="637" spans="1:11" x14ac:dyDescent="0.25">
      <c r="A637" s="1">
        <v>0.44097222222222199</v>
      </c>
      <c r="B637" s="2">
        <v>6.1800000000000006</v>
      </c>
      <c r="C637" s="2">
        <v>3.78</v>
      </c>
      <c r="D637" s="2">
        <v>4.96</v>
      </c>
      <c r="E637" s="2">
        <v>4.8600000000000003</v>
      </c>
      <c r="F637" s="2">
        <v>3.1100000000000003</v>
      </c>
      <c r="G637" s="6">
        <v>5346</v>
      </c>
      <c r="H637" s="6">
        <v>7648</v>
      </c>
      <c r="I637" s="6">
        <v>3546</v>
      </c>
      <c r="J637" s="6">
        <v>4541</v>
      </c>
      <c r="K637" s="6">
        <v>5805</v>
      </c>
    </row>
    <row r="638" spans="1:11" x14ac:dyDescent="0.25">
      <c r="A638" s="1">
        <v>0.44166666666666698</v>
      </c>
      <c r="B638" s="2">
        <v>6.21</v>
      </c>
      <c r="C638" s="2">
        <v>3.6799999999999997</v>
      </c>
      <c r="D638" s="2">
        <v>5.17</v>
      </c>
      <c r="E638" s="2">
        <v>5.33</v>
      </c>
      <c r="F638" s="2">
        <v>3.35</v>
      </c>
      <c r="G638" s="6">
        <v>8761</v>
      </c>
      <c r="H638" s="6">
        <v>10697</v>
      </c>
      <c r="I638" s="6">
        <v>7565</v>
      </c>
      <c r="J638" s="6">
        <v>7842</v>
      </c>
      <c r="K638" s="6">
        <v>9456</v>
      </c>
    </row>
    <row r="639" spans="1:11" x14ac:dyDescent="0.25">
      <c r="A639" s="1">
        <v>0.44236111111111098</v>
      </c>
      <c r="B639" s="2">
        <v>6.07</v>
      </c>
      <c r="C639" s="2">
        <v>3.6399999999999997</v>
      </c>
      <c r="D639" s="2">
        <v>5.0200000000000005</v>
      </c>
      <c r="E639" s="2">
        <v>5.3800000000000008</v>
      </c>
      <c r="F639" s="2">
        <v>2.89</v>
      </c>
      <c r="G639" s="6">
        <v>13347</v>
      </c>
      <c r="H639" s="6">
        <v>14326</v>
      </c>
      <c r="I639" s="6">
        <v>11245</v>
      </c>
      <c r="J639" s="6">
        <v>10542</v>
      </c>
      <c r="K639" s="6">
        <v>10452</v>
      </c>
    </row>
    <row r="640" spans="1:11" x14ac:dyDescent="0.25">
      <c r="A640" s="1">
        <v>0.44305555555555598</v>
      </c>
      <c r="B640" s="2">
        <v>6.12</v>
      </c>
      <c r="C640" s="2">
        <v>3.61</v>
      </c>
      <c r="D640" s="2">
        <v>5.04</v>
      </c>
      <c r="E640" s="2">
        <v>4.9400000000000004</v>
      </c>
      <c r="F640" s="2">
        <v>3.09</v>
      </c>
      <c r="G640" s="6">
        <v>12436</v>
      </c>
      <c r="H640" s="6">
        <v>11062</v>
      </c>
      <c r="I640" s="6">
        <v>8242</v>
      </c>
      <c r="J640" s="6">
        <v>9424</v>
      </c>
      <c r="K640" s="6">
        <v>9452</v>
      </c>
    </row>
    <row r="641" spans="1:11" x14ac:dyDescent="0.25">
      <c r="A641" s="1">
        <v>0.44374999999999998</v>
      </c>
      <c r="B641" s="2">
        <v>6.2700000000000005</v>
      </c>
      <c r="C641" s="2">
        <v>3.57</v>
      </c>
      <c r="D641" s="2">
        <v>4.9300000000000006</v>
      </c>
      <c r="E641" s="2">
        <v>4.91</v>
      </c>
      <c r="F641" s="2">
        <v>3.08</v>
      </c>
      <c r="G641" s="6">
        <v>9954</v>
      </c>
      <c r="H641" s="6">
        <v>7906</v>
      </c>
      <c r="I641" s="6">
        <v>6542</v>
      </c>
      <c r="J641" s="6">
        <v>6547</v>
      </c>
      <c r="K641" s="6">
        <v>7841</v>
      </c>
    </row>
    <row r="642" spans="1:11" x14ac:dyDescent="0.25">
      <c r="A642" s="1">
        <v>0.44444444444444398</v>
      </c>
      <c r="B642" s="2">
        <v>6.1000000000000005</v>
      </c>
      <c r="C642" s="2">
        <v>3.5599999999999996</v>
      </c>
      <c r="D642" s="2">
        <v>4.91</v>
      </c>
      <c r="E642" s="2">
        <v>4.8600000000000003</v>
      </c>
      <c r="F642" s="2">
        <v>3.3200000000000003</v>
      </c>
      <c r="G642" s="6">
        <v>7638</v>
      </c>
      <c r="H642" s="6">
        <v>6972</v>
      </c>
      <c r="I642" s="6">
        <v>5246</v>
      </c>
      <c r="J642" s="6">
        <v>6542</v>
      </c>
      <c r="K642" s="6">
        <v>7806</v>
      </c>
    </row>
    <row r="643" spans="1:11" x14ac:dyDescent="0.25">
      <c r="A643" s="1">
        <v>0.44513888888888897</v>
      </c>
      <c r="B643" s="2">
        <v>6.2600000000000007</v>
      </c>
      <c r="C643" s="2">
        <v>3.5399999999999996</v>
      </c>
      <c r="D643" s="2">
        <v>4.8900000000000006</v>
      </c>
      <c r="E643" s="2">
        <v>5.0100000000000007</v>
      </c>
      <c r="F643" s="2">
        <v>2.94</v>
      </c>
      <c r="G643" s="6">
        <v>5591</v>
      </c>
      <c r="H643" s="6">
        <v>7564</v>
      </c>
      <c r="I643" s="6">
        <v>3654</v>
      </c>
      <c r="J643" s="6">
        <v>4568</v>
      </c>
      <c r="K643" s="6">
        <v>5942</v>
      </c>
    </row>
    <row r="644" spans="1:11" x14ac:dyDescent="0.25">
      <c r="A644" s="1">
        <v>0.44583333333333303</v>
      </c>
      <c r="B644" s="2">
        <v>6.2600000000000007</v>
      </c>
      <c r="C644" s="2">
        <v>3.71</v>
      </c>
      <c r="D644" s="2">
        <v>4.99</v>
      </c>
      <c r="E644" s="2">
        <v>5.03</v>
      </c>
      <c r="F644" s="2">
        <v>3.15</v>
      </c>
      <c r="G644" s="6">
        <v>6537</v>
      </c>
      <c r="H644" s="6">
        <v>8531</v>
      </c>
      <c r="I644" s="6">
        <v>5634</v>
      </c>
      <c r="J644" s="6">
        <v>6542</v>
      </c>
      <c r="K644" s="6">
        <v>7806</v>
      </c>
    </row>
    <row r="645" spans="1:11" x14ac:dyDescent="0.25">
      <c r="A645" s="1">
        <v>0.44652777777777802</v>
      </c>
      <c r="B645" s="2">
        <v>6.25</v>
      </c>
      <c r="C645" s="2">
        <v>3.6799999999999997</v>
      </c>
      <c r="D645" s="2">
        <v>4.88</v>
      </c>
      <c r="E645" s="2">
        <v>5</v>
      </c>
      <c r="F645" s="2">
        <v>2.94</v>
      </c>
      <c r="G645" s="6">
        <v>8946</v>
      </c>
      <c r="H645" s="6">
        <v>9664</v>
      </c>
      <c r="I645" s="6">
        <v>8545</v>
      </c>
      <c r="J645" s="6">
        <v>9542</v>
      </c>
      <c r="K645" s="6">
        <v>11245</v>
      </c>
    </row>
    <row r="646" spans="1:11" x14ac:dyDescent="0.25">
      <c r="A646" s="1">
        <v>0.44722222222222202</v>
      </c>
      <c r="B646" s="2">
        <v>6.15</v>
      </c>
      <c r="C646" s="2">
        <v>3.7399999999999998</v>
      </c>
      <c r="D646" s="2">
        <v>5.04</v>
      </c>
      <c r="E646" s="2">
        <v>5.12</v>
      </c>
      <c r="F646" s="2">
        <v>3.24</v>
      </c>
      <c r="G646" s="6">
        <v>9761</v>
      </c>
      <c r="H646" s="6">
        <v>12552</v>
      </c>
      <c r="I646" s="6">
        <v>10258</v>
      </c>
      <c r="J646" s="6">
        <v>11255</v>
      </c>
      <c r="K646" s="6">
        <v>13452</v>
      </c>
    </row>
    <row r="647" spans="1:11" x14ac:dyDescent="0.25">
      <c r="A647" s="1">
        <v>0.44791666666666702</v>
      </c>
      <c r="B647" s="2">
        <v>6.1800000000000006</v>
      </c>
      <c r="C647" s="2">
        <v>3.73</v>
      </c>
      <c r="D647" s="2">
        <v>5.12</v>
      </c>
      <c r="E647" s="2">
        <v>4.99</v>
      </c>
      <c r="F647" s="2">
        <v>3.2800000000000002</v>
      </c>
      <c r="G647" s="6">
        <v>12237</v>
      </c>
      <c r="H647" s="6">
        <v>10279</v>
      </c>
      <c r="I647" s="6">
        <v>8545</v>
      </c>
      <c r="J647" s="6">
        <v>9542</v>
      </c>
      <c r="K647" s="6">
        <v>10806</v>
      </c>
    </row>
    <row r="648" spans="1:11" x14ac:dyDescent="0.25">
      <c r="A648" s="1">
        <v>0.44861111111111102</v>
      </c>
      <c r="B648" s="2">
        <v>6.29</v>
      </c>
      <c r="C648" s="2">
        <v>3.7399999999999998</v>
      </c>
      <c r="D648" s="2">
        <v>5</v>
      </c>
      <c r="E648" s="2">
        <v>5.2</v>
      </c>
      <c r="F648" s="2">
        <v>3.1</v>
      </c>
      <c r="G648" s="6">
        <v>9764</v>
      </c>
      <c r="H648" s="6">
        <v>10325</v>
      </c>
      <c r="I648" s="6">
        <v>8246</v>
      </c>
      <c r="J648" s="6">
        <v>8542</v>
      </c>
      <c r="K648" s="6">
        <v>10242</v>
      </c>
    </row>
    <row r="649" spans="1:11" x14ac:dyDescent="0.25">
      <c r="A649" s="1">
        <v>0.44930555555555601</v>
      </c>
      <c r="B649" s="2">
        <v>6.24</v>
      </c>
      <c r="C649" s="2">
        <v>3.7399999999999998</v>
      </c>
      <c r="D649" s="2">
        <v>4.8900000000000006</v>
      </c>
      <c r="E649" s="2">
        <v>5.04</v>
      </c>
      <c r="F649" s="2">
        <v>2.98</v>
      </c>
      <c r="G649" s="6">
        <v>8647</v>
      </c>
      <c r="H649" s="6">
        <v>8007</v>
      </c>
      <c r="I649" s="6">
        <v>7533</v>
      </c>
      <c r="J649" s="6">
        <v>8164</v>
      </c>
      <c r="K649" s="6">
        <v>9428</v>
      </c>
    </row>
    <row r="650" spans="1:11" x14ac:dyDescent="0.25">
      <c r="A650" s="1">
        <v>0.45</v>
      </c>
      <c r="B650" s="2">
        <v>6.24</v>
      </c>
      <c r="C650" s="2">
        <v>3.69</v>
      </c>
      <c r="D650" s="2">
        <v>5.0100000000000007</v>
      </c>
      <c r="E650" s="2">
        <v>4.9700000000000006</v>
      </c>
      <c r="F650" s="2">
        <v>3.06</v>
      </c>
      <c r="G650" s="6">
        <v>6597</v>
      </c>
      <c r="H650" s="6">
        <v>8183</v>
      </c>
      <c r="I650" s="6">
        <v>5344</v>
      </c>
      <c r="J650" s="6">
        <v>6482</v>
      </c>
      <c r="K650" s="6">
        <v>8824</v>
      </c>
    </row>
    <row r="651" spans="1:11" x14ac:dyDescent="0.25">
      <c r="A651" s="1">
        <v>0.45069444444444401</v>
      </c>
      <c r="B651" s="2">
        <v>6.09</v>
      </c>
      <c r="C651" s="2">
        <v>3.55</v>
      </c>
      <c r="D651" s="2">
        <v>4.9400000000000004</v>
      </c>
      <c r="E651" s="2">
        <v>4.92</v>
      </c>
      <c r="F651" s="2">
        <v>3.1</v>
      </c>
      <c r="G651" s="6">
        <v>9569</v>
      </c>
      <c r="H651" s="6">
        <v>9159</v>
      </c>
      <c r="I651" s="6">
        <v>7662</v>
      </c>
      <c r="J651" s="6">
        <v>8244</v>
      </c>
      <c r="K651" s="6">
        <v>9508</v>
      </c>
    </row>
    <row r="652" spans="1:11" x14ac:dyDescent="0.25">
      <c r="A652" s="1">
        <v>0.45138888888888901</v>
      </c>
      <c r="B652" s="2">
        <v>6.11</v>
      </c>
      <c r="C652" s="2">
        <v>3.65</v>
      </c>
      <c r="D652" s="2">
        <v>5.25</v>
      </c>
      <c r="E652" s="2">
        <v>4.9000000000000004</v>
      </c>
      <c r="F652" s="2">
        <v>3.27</v>
      </c>
      <c r="G652" s="6">
        <v>13348</v>
      </c>
      <c r="H652" s="6">
        <v>14115</v>
      </c>
      <c r="I652" s="6">
        <v>8552</v>
      </c>
      <c r="J652" s="6">
        <v>9542</v>
      </c>
      <c r="K652" s="6">
        <v>11242</v>
      </c>
    </row>
    <row r="653" spans="1:11" x14ac:dyDescent="0.25">
      <c r="A653" s="1">
        <v>0.452083333333333</v>
      </c>
      <c r="B653" s="2">
        <v>6.07</v>
      </c>
      <c r="C653" s="2">
        <v>3.7399999999999998</v>
      </c>
      <c r="D653" s="2">
        <v>5.0500000000000007</v>
      </c>
      <c r="E653" s="2">
        <v>5.45</v>
      </c>
      <c r="F653" s="2">
        <v>3.17</v>
      </c>
      <c r="G653" s="6">
        <v>10452</v>
      </c>
      <c r="H653" s="6">
        <v>11869</v>
      </c>
      <c r="I653" s="6">
        <v>10546</v>
      </c>
      <c r="J653" s="6">
        <v>11254</v>
      </c>
      <c r="K653" s="6">
        <v>12518</v>
      </c>
    </row>
    <row r="654" spans="1:11" x14ac:dyDescent="0.25">
      <c r="A654" s="1">
        <v>0.452777777777778</v>
      </c>
      <c r="B654" s="2">
        <v>6.2600000000000007</v>
      </c>
      <c r="C654" s="2">
        <v>3.7399999999999998</v>
      </c>
      <c r="D654" s="2">
        <v>5.0600000000000005</v>
      </c>
      <c r="E654" s="2">
        <v>5.4</v>
      </c>
      <c r="F654" s="2">
        <v>3.15</v>
      </c>
      <c r="G654" s="6">
        <v>8596</v>
      </c>
      <c r="H654" s="6">
        <v>8517</v>
      </c>
      <c r="I654" s="6">
        <v>8246</v>
      </c>
      <c r="J654" s="6">
        <v>9542</v>
      </c>
      <c r="K654" s="6">
        <v>10546</v>
      </c>
    </row>
    <row r="655" spans="1:11" x14ac:dyDescent="0.25">
      <c r="A655" s="1">
        <v>0.453472222222222</v>
      </c>
      <c r="B655" s="2">
        <v>6.2</v>
      </c>
      <c r="C655" s="2">
        <v>3.6399999999999997</v>
      </c>
      <c r="D655" s="2">
        <v>5.25</v>
      </c>
      <c r="E655" s="2">
        <v>5.3900000000000006</v>
      </c>
      <c r="F655" s="2">
        <v>3.0700000000000003</v>
      </c>
      <c r="G655" s="6">
        <v>6598</v>
      </c>
      <c r="H655" s="6">
        <v>6526</v>
      </c>
      <c r="I655" s="6">
        <v>4000</v>
      </c>
      <c r="J655" s="6">
        <v>6548</v>
      </c>
      <c r="K655" s="6">
        <v>7812</v>
      </c>
    </row>
    <row r="656" spans="1:11" x14ac:dyDescent="0.25">
      <c r="A656" s="1">
        <v>0.454166666666667</v>
      </c>
      <c r="B656" s="2">
        <v>6.23</v>
      </c>
      <c r="C656" s="2">
        <v>3.6199999999999997</v>
      </c>
      <c r="D656" s="2">
        <v>5.03</v>
      </c>
      <c r="E656" s="2">
        <v>4.95</v>
      </c>
      <c r="F656" s="2">
        <v>3.29</v>
      </c>
      <c r="G656" s="6">
        <v>9463</v>
      </c>
      <c r="H656" s="6">
        <v>9372</v>
      </c>
      <c r="I656" s="6">
        <v>5224</v>
      </c>
      <c r="J656" s="6">
        <v>6489</v>
      </c>
      <c r="K656" s="6">
        <v>8425</v>
      </c>
    </row>
    <row r="657" spans="1:11" x14ac:dyDescent="0.25">
      <c r="A657" s="1">
        <v>0.45486111111111099</v>
      </c>
      <c r="B657" s="2">
        <v>6.09</v>
      </c>
      <c r="C657" s="2">
        <v>3.51</v>
      </c>
      <c r="D657" s="2">
        <v>4.95</v>
      </c>
      <c r="E657" s="2">
        <v>5.44</v>
      </c>
      <c r="F657" s="2">
        <v>2.93</v>
      </c>
      <c r="G657" s="6">
        <v>12697</v>
      </c>
      <c r="H657" s="6">
        <v>11055</v>
      </c>
      <c r="I657" s="6">
        <v>6984</v>
      </c>
      <c r="J657" s="6">
        <v>7994</v>
      </c>
      <c r="K657" s="6">
        <v>10424</v>
      </c>
    </row>
    <row r="658" spans="1:11" x14ac:dyDescent="0.25">
      <c r="A658" s="1">
        <v>0.45555555555555599</v>
      </c>
      <c r="B658" s="2">
        <v>6.24</v>
      </c>
      <c r="C658" s="2">
        <v>3.55</v>
      </c>
      <c r="D658" s="2">
        <v>5</v>
      </c>
      <c r="E658" s="2">
        <v>5.15</v>
      </c>
      <c r="F658" s="2">
        <v>2.92</v>
      </c>
      <c r="G658" s="6">
        <v>8647</v>
      </c>
      <c r="H658" s="6">
        <v>9488</v>
      </c>
      <c r="I658" s="6">
        <v>5485</v>
      </c>
      <c r="J658" s="6">
        <v>6492</v>
      </c>
      <c r="K658" s="6">
        <v>8485</v>
      </c>
    </row>
    <row r="659" spans="1:11" x14ac:dyDescent="0.25">
      <c r="A659" s="1">
        <v>0.45624999999999999</v>
      </c>
      <c r="B659" s="2">
        <v>6.2600000000000007</v>
      </c>
      <c r="C659" s="2">
        <v>3.5199999999999996</v>
      </c>
      <c r="D659" s="2">
        <v>5.08</v>
      </c>
      <c r="E659" s="2">
        <v>4.92</v>
      </c>
      <c r="F659" s="2">
        <v>3</v>
      </c>
      <c r="G659" s="6">
        <v>9528</v>
      </c>
      <c r="H659" s="6">
        <v>10354</v>
      </c>
      <c r="I659" s="6">
        <v>7521</v>
      </c>
      <c r="J659" s="6">
        <v>8462</v>
      </c>
      <c r="K659" s="6">
        <v>10245</v>
      </c>
    </row>
    <row r="660" spans="1:11" x14ac:dyDescent="0.25">
      <c r="A660" s="1">
        <v>0.45694444444444399</v>
      </c>
      <c r="B660" s="2">
        <v>6.11</v>
      </c>
      <c r="C660" s="2">
        <v>3.55</v>
      </c>
      <c r="D660" s="2">
        <v>5.1300000000000008</v>
      </c>
      <c r="E660" s="2">
        <v>5.1400000000000006</v>
      </c>
      <c r="F660" s="2">
        <v>3.2</v>
      </c>
      <c r="G660" s="6">
        <v>11362</v>
      </c>
      <c r="H660" s="6">
        <v>11917</v>
      </c>
      <c r="I660" s="6">
        <v>8245</v>
      </c>
      <c r="J660" s="6">
        <v>9478</v>
      </c>
      <c r="K660" s="6">
        <v>10742</v>
      </c>
    </row>
    <row r="661" spans="1:11" x14ac:dyDescent="0.25">
      <c r="A661" s="1">
        <v>0.45763888888888898</v>
      </c>
      <c r="B661" s="2">
        <v>6.3100000000000005</v>
      </c>
      <c r="C661" s="2">
        <v>3.6799999999999997</v>
      </c>
      <c r="D661" s="2">
        <v>5.2200000000000006</v>
      </c>
      <c r="E661" s="2">
        <v>5.15</v>
      </c>
      <c r="F661" s="2">
        <v>3.1</v>
      </c>
      <c r="G661" s="6">
        <v>12873</v>
      </c>
      <c r="H661" s="6">
        <v>11823</v>
      </c>
      <c r="I661" s="6">
        <v>7542</v>
      </c>
      <c r="J661" s="6">
        <v>8466</v>
      </c>
      <c r="K661" s="6">
        <v>9485</v>
      </c>
    </row>
    <row r="662" spans="1:11" x14ac:dyDescent="0.25">
      <c r="A662" s="3">
        <v>0.45833333333333298</v>
      </c>
      <c r="B662" s="4">
        <v>6.19</v>
      </c>
      <c r="C662" s="4">
        <v>3.66</v>
      </c>
      <c r="D662" s="4">
        <v>5.09</v>
      </c>
      <c r="E662" s="4">
        <v>5.26</v>
      </c>
      <c r="F662" s="4">
        <v>3.08</v>
      </c>
      <c r="G662" s="7">
        <v>14710</v>
      </c>
      <c r="H662" s="7">
        <v>12820</v>
      </c>
      <c r="I662" s="7">
        <v>6962</v>
      </c>
      <c r="J662" s="7">
        <v>8713</v>
      </c>
      <c r="K662" s="7">
        <v>10280</v>
      </c>
    </row>
    <row r="663" spans="1:11" x14ac:dyDescent="0.25">
      <c r="A663" s="1">
        <v>0.45902777777777798</v>
      </c>
      <c r="B663" s="2">
        <v>6.1800000000000006</v>
      </c>
      <c r="C663" s="2">
        <v>3.6199999999999997</v>
      </c>
      <c r="D663" s="2">
        <v>5.0600000000000005</v>
      </c>
      <c r="E663" s="2">
        <v>5.3000000000000007</v>
      </c>
      <c r="F663" s="2">
        <v>3.19</v>
      </c>
      <c r="G663" s="6">
        <v>13452</v>
      </c>
      <c r="H663" s="6">
        <v>11228</v>
      </c>
      <c r="I663" s="6">
        <v>8674</v>
      </c>
      <c r="J663" s="6">
        <v>10245</v>
      </c>
      <c r="K663" s="8">
        <f t="shared" ref="K663" si="17">I663+1264</f>
        <v>9938</v>
      </c>
    </row>
    <row r="664" spans="1:11" x14ac:dyDescent="0.25">
      <c r="A664" s="1">
        <v>0.45972222222222198</v>
      </c>
      <c r="B664" s="2">
        <v>6.1800000000000006</v>
      </c>
      <c r="C664" s="2">
        <v>3.78</v>
      </c>
      <c r="D664" s="2">
        <v>4.87</v>
      </c>
      <c r="E664" s="2">
        <v>5.23</v>
      </c>
      <c r="F664" s="2">
        <v>3.1</v>
      </c>
      <c r="G664" s="6">
        <v>13548</v>
      </c>
      <c r="H664" s="6">
        <v>11229</v>
      </c>
      <c r="I664" s="6">
        <v>13896</v>
      </c>
      <c r="J664" s="6">
        <v>13454</v>
      </c>
      <c r="K664" s="8">
        <v>15421</v>
      </c>
    </row>
    <row r="665" spans="1:11" x14ac:dyDescent="0.25">
      <c r="A665" s="1">
        <v>0.46041666666666697</v>
      </c>
      <c r="B665" s="2">
        <v>6.12</v>
      </c>
      <c r="C665" s="2">
        <v>3.73</v>
      </c>
      <c r="D665" s="2">
        <v>5.19</v>
      </c>
      <c r="E665" s="2">
        <v>5</v>
      </c>
      <c r="F665" s="2">
        <v>2.99</v>
      </c>
      <c r="G665" s="6">
        <v>9564</v>
      </c>
      <c r="H665" s="6">
        <v>9370</v>
      </c>
      <c r="I665" s="6">
        <v>8421</v>
      </c>
      <c r="J665" s="6">
        <v>11252</v>
      </c>
      <c r="K665" s="8">
        <v>9464</v>
      </c>
    </row>
    <row r="666" spans="1:11" x14ac:dyDescent="0.25">
      <c r="A666" s="1">
        <v>0.46111111111111103</v>
      </c>
      <c r="B666" s="2">
        <v>6.15</v>
      </c>
      <c r="C666" s="2">
        <v>3.6599999999999997</v>
      </c>
      <c r="D666" s="2">
        <v>5.0200000000000005</v>
      </c>
      <c r="E666" s="2">
        <v>5.5</v>
      </c>
      <c r="F666" s="2">
        <v>3.0500000000000003</v>
      </c>
      <c r="G666" s="6">
        <v>10350</v>
      </c>
      <c r="H666" s="6">
        <v>8362</v>
      </c>
      <c r="I666" s="6">
        <v>8524</v>
      </c>
      <c r="J666" s="6">
        <v>12042</v>
      </c>
      <c r="K666" s="8">
        <v>9488</v>
      </c>
    </row>
    <row r="667" spans="1:11" x14ac:dyDescent="0.25">
      <c r="A667" s="1">
        <v>0.46180555555555602</v>
      </c>
      <c r="B667" s="2">
        <v>6.24</v>
      </c>
      <c r="C667" s="2">
        <v>3.75</v>
      </c>
      <c r="D667" s="2">
        <v>4.9300000000000006</v>
      </c>
      <c r="E667" s="2">
        <v>5.42</v>
      </c>
      <c r="F667" s="2">
        <v>2.99</v>
      </c>
      <c r="G667" s="6">
        <v>15589</v>
      </c>
      <c r="H667" s="6">
        <v>10536</v>
      </c>
      <c r="I667" s="6">
        <v>12225</v>
      </c>
      <c r="J667" s="6">
        <v>13452</v>
      </c>
      <c r="K667" s="8">
        <v>12454</v>
      </c>
    </row>
    <row r="668" spans="1:11" x14ac:dyDescent="0.25">
      <c r="A668" s="1">
        <v>0.46250000000000002</v>
      </c>
      <c r="B668" s="2">
        <v>6.24</v>
      </c>
      <c r="C668" s="2">
        <v>3.69</v>
      </c>
      <c r="D668" s="2">
        <v>5.23</v>
      </c>
      <c r="E668" s="2">
        <v>5.2700000000000005</v>
      </c>
      <c r="F668" s="2">
        <v>3.33</v>
      </c>
      <c r="G668" s="6">
        <v>12345</v>
      </c>
      <c r="H668" s="6">
        <v>9548</v>
      </c>
      <c r="I668" s="6">
        <v>10254</v>
      </c>
      <c r="J668" s="6">
        <v>12462</v>
      </c>
      <c r="K668" s="8">
        <v>13454</v>
      </c>
    </row>
    <row r="669" spans="1:11" x14ac:dyDescent="0.25">
      <c r="A669" s="1">
        <v>0.46319444444444402</v>
      </c>
      <c r="B669" s="2">
        <v>6.3000000000000007</v>
      </c>
      <c r="C669" s="2">
        <v>3.71</v>
      </c>
      <c r="D669" s="2">
        <v>5.0500000000000007</v>
      </c>
      <c r="E669" s="2">
        <v>5.25</v>
      </c>
      <c r="F669" s="2">
        <v>3.06</v>
      </c>
      <c r="G669" s="6">
        <v>9356</v>
      </c>
      <c r="H669" s="6">
        <v>10364</v>
      </c>
      <c r="I669" s="6">
        <v>8645</v>
      </c>
      <c r="J669" s="6">
        <v>10546</v>
      </c>
      <c r="K669" s="8">
        <f t="shared" ref="K669:K712" si="18">I669+1264</f>
        <v>9909</v>
      </c>
    </row>
    <row r="670" spans="1:11" x14ac:dyDescent="0.25">
      <c r="A670" s="1">
        <v>0.46388888888888902</v>
      </c>
      <c r="B670" s="2">
        <v>6.17</v>
      </c>
      <c r="C670" s="2">
        <v>3.55</v>
      </c>
      <c r="D670" s="2">
        <v>5.16</v>
      </c>
      <c r="E670" s="2">
        <v>5.2600000000000007</v>
      </c>
      <c r="F670" s="2">
        <v>2.9</v>
      </c>
      <c r="G670" s="6">
        <v>13645</v>
      </c>
      <c r="H670" s="6">
        <v>10354</v>
      </c>
      <c r="I670" s="6">
        <v>12458</v>
      </c>
      <c r="J670" s="6">
        <v>13088</v>
      </c>
      <c r="K670" s="8">
        <v>12452</v>
      </c>
    </row>
    <row r="671" spans="1:11" x14ac:dyDescent="0.25">
      <c r="A671" s="1">
        <v>0.46458333333333302</v>
      </c>
      <c r="B671" s="2">
        <v>6.17</v>
      </c>
      <c r="C671" s="2">
        <v>3.51</v>
      </c>
      <c r="D671" s="2">
        <v>5.08</v>
      </c>
      <c r="E671" s="2">
        <v>5.5100000000000007</v>
      </c>
      <c r="F671" s="2">
        <v>2.91</v>
      </c>
      <c r="G671" s="6">
        <v>9564</v>
      </c>
      <c r="H671" s="6">
        <v>10354</v>
      </c>
      <c r="I671" s="6">
        <v>10354</v>
      </c>
      <c r="J671" s="6">
        <v>12647</v>
      </c>
      <c r="K671" s="8">
        <v>13448</v>
      </c>
    </row>
    <row r="672" spans="1:11" x14ac:dyDescent="0.25">
      <c r="A672" s="1">
        <v>0.46527777777777801</v>
      </c>
      <c r="B672" s="2">
        <v>6.3100000000000005</v>
      </c>
      <c r="C672" s="2">
        <v>3.6399999999999997</v>
      </c>
      <c r="D672" s="2">
        <v>5.25</v>
      </c>
      <c r="E672" s="2">
        <v>4.96</v>
      </c>
      <c r="F672" s="2">
        <v>3.21</v>
      </c>
      <c r="G672" s="6">
        <v>17357</v>
      </c>
      <c r="H672" s="6">
        <v>15457</v>
      </c>
      <c r="I672" s="6">
        <v>10254</v>
      </c>
      <c r="J672" s="6">
        <v>11648</v>
      </c>
      <c r="K672" s="8">
        <v>14542</v>
      </c>
    </row>
    <row r="673" spans="1:11" x14ac:dyDescent="0.25">
      <c r="A673" s="1">
        <v>0.46597222222222201</v>
      </c>
      <c r="B673" s="2">
        <v>6.1400000000000006</v>
      </c>
      <c r="C673" s="2">
        <v>3.6399999999999997</v>
      </c>
      <c r="D673" s="2">
        <v>4.96</v>
      </c>
      <c r="E673" s="2">
        <v>5.07</v>
      </c>
      <c r="F673" s="2">
        <v>2.96</v>
      </c>
      <c r="G673" s="6">
        <v>9531</v>
      </c>
      <c r="H673" s="6">
        <v>11235</v>
      </c>
      <c r="I673" s="6">
        <v>10548</v>
      </c>
      <c r="J673" s="6">
        <v>11364</v>
      </c>
      <c r="K673" s="8">
        <v>12455</v>
      </c>
    </row>
    <row r="674" spans="1:11" x14ac:dyDescent="0.25">
      <c r="A674" s="1">
        <v>0.46666666666666701</v>
      </c>
      <c r="B674" s="2">
        <v>6.08</v>
      </c>
      <c r="C674" s="2">
        <v>3.61</v>
      </c>
      <c r="D674" s="2">
        <v>4.8600000000000003</v>
      </c>
      <c r="E674" s="2">
        <v>4.9700000000000006</v>
      </c>
      <c r="F674" s="2">
        <v>3.0300000000000002</v>
      </c>
      <c r="G674" s="6">
        <v>7526</v>
      </c>
      <c r="H674" s="6">
        <v>9507</v>
      </c>
      <c r="I674" s="6">
        <v>8541</v>
      </c>
      <c r="J674" s="6">
        <v>8495</v>
      </c>
      <c r="K674" s="8">
        <v>10545</v>
      </c>
    </row>
    <row r="675" spans="1:11" x14ac:dyDescent="0.25">
      <c r="A675" s="1">
        <v>0.46736111111111101</v>
      </c>
      <c r="B675" s="2">
        <v>6.29</v>
      </c>
      <c r="C675" s="2">
        <v>3.59</v>
      </c>
      <c r="D675" s="2">
        <v>4.9400000000000004</v>
      </c>
      <c r="E675" s="2">
        <v>5.4700000000000006</v>
      </c>
      <c r="F675" s="2">
        <v>3.13</v>
      </c>
      <c r="G675" s="6">
        <v>6214</v>
      </c>
      <c r="H675" s="6">
        <v>8647</v>
      </c>
      <c r="I675" s="6">
        <v>8642</v>
      </c>
      <c r="J675" s="6">
        <v>9642</v>
      </c>
      <c r="K675" s="8">
        <f t="shared" si="18"/>
        <v>9906</v>
      </c>
    </row>
    <row r="676" spans="1:11" x14ac:dyDescent="0.25">
      <c r="A676" s="1">
        <v>0.468055555555556</v>
      </c>
      <c r="B676" s="2">
        <v>6.1800000000000006</v>
      </c>
      <c r="C676" s="2">
        <v>3.51</v>
      </c>
      <c r="D676" s="2">
        <v>5.1800000000000006</v>
      </c>
      <c r="E676" s="2">
        <v>5.1400000000000006</v>
      </c>
      <c r="F676" s="2">
        <v>2.95</v>
      </c>
      <c r="G676" s="6">
        <v>8642</v>
      </c>
      <c r="H676" s="6">
        <v>9964</v>
      </c>
      <c r="I676" s="6">
        <v>8985</v>
      </c>
      <c r="J676" s="6">
        <v>8954</v>
      </c>
      <c r="K676" s="8">
        <v>11245</v>
      </c>
    </row>
    <row r="677" spans="1:11" x14ac:dyDescent="0.25">
      <c r="A677" s="1">
        <v>0.46875</v>
      </c>
      <c r="B677" s="2">
        <v>6.15</v>
      </c>
      <c r="C677" s="2">
        <v>3.53</v>
      </c>
      <c r="D677" s="2">
        <v>5.07</v>
      </c>
      <c r="E677" s="2">
        <v>5.25</v>
      </c>
      <c r="F677" s="2">
        <v>3.25</v>
      </c>
      <c r="G677" s="6">
        <v>10356</v>
      </c>
      <c r="H677" s="6">
        <v>15248</v>
      </c>
      <c r="I677" s="6">
        <v>12564</v>
      </c>
      <c r="J677" s="6">
        <v>16485</v>
      </c>
      <c r="K677" s="8">
        <v>14562</v>
      </c>
    </row>
    <row r="678" spans="1:11" x14ac:dyDescent="0.25">
      <c r="A678" s="1">
        <v>0.469444444444444</v>
      </c>
      <c r="B678" s="2">
        <v>6.16</v>
      </c>
      <c r="C678" s="2">
        <v>3.5999999999999996</v>
      </c>
      <c r="D678" s="2">
        <v>4.92</v>
      </c>
      <c r="E678" s="2">
        <v>5.36</v>
      </c>
      <c r="F678" s="2">
        <v>3.29</v>
      </c>
      <c r="G678" s="6">
        <v>13647</v>
      </c>
      <c r="H678" s="6">
        <v>18421</v>
      </c>
      <c r="I678" s="6">
        <v>14528</v>
      </c>
      <c r="J678" s="6">
        <v>18452</v>
      </c>
      <c r="K678" s="8">
        <v>13645</v>
      </c>
    </row>
    <row r="679" spans="1:11" x14ac:dyDescent="0.25">
      <c r="A679" s="1">
        <v>0.47013888888888899</v>
      </c>
      <c r="B679" s="2">
        <v>6.1400000000000006</v>
      </c>
      <c r="C679" s="2">
        <v>3.63</v>
      </c>
      <c r="D679" s="2">
        <v>4.9400000000000004</v>
      </c>
      <c r="E679" s="2">
        <v>5.29</v>
      </c>
      <c r="F679" s="2">
        <v>2.86</v>
      </c>
      <c r="G679" s="6">
        <v>16648</v>
      </c>
      <c r="H679" s="6">
        <v>12344</v>
      </c>
      <c r="I679" s="6">
        <v>16452</v>
      </c>
      <c r="J679" s="6">
        <v>25491</v>
      </c>
      <c r="K679" s="8">
        <v>15462</v>
      </c>
    </row>
    <row r="680" spans="1:11" x14ac:dyDescent="0.25">
      <c r="A680" s="1">
        <v>0.47083333333333299</v>
      </c>
      <c r="B680" s="2">
        <v>6.21</v>
      </c>
      <c r="C680" s="2">
        <v>3.7199999999999998</v>
      </c>
      <c r="D680" s="2">
        <v>5.2200000000000006</v>
      </c>
      <c r="E680" s="2">
        <v>4.99</v>
      </c>
      <c r="F680" s="2">
        <v>2.91</v>
      </c>
      <c r="G680" s="6">
        <v>13465</v>
      </c>
      <c r="H680" s="6">
        <v>11264</v>
      </c>
      <c r="I680" s="6">
        <v>14528</v>
      </c>
      <c r="J680" s="6">
        <v>18634</v>
      </c>
      <c r="K680" s="8">
        <v>16482</v>
      </c>
    </row>
    <row r="681" spans="1:11" x14ac:dyDescent="0.25">
      <c r="A681" s="1">
        <v>0.47152777777777799</v>
      </c>
      <c r="B681" s="2">
        <v>6.32</v>
      </c>
      <c r="C681" s="2">
        <v>3.6199999999999997</v>
      </c>
      <c r="D681" s="2">
        <v>4.92</v>
      </c>
      <c r="E681" s="2">
        <v>5.0200000000000005</v>
      </c>
      <c r="F681" s="2">
        <v>2.84</v>
      </c>
      <c r="G681" s="6">
        <v>7648</v>
      </c>
      <c r="H681" s="6">
        <v>7895</v>
      </c>
      <c r="I681" s="6">
        <v>8542</v>
      </c>
      <c r="J681" s="6">
        <v>10245</v>
      </c>
      <c r="K681" s="8">
        <v>9587</v>
      </c>
    </row>
    <row r="682" spans="1:11" x14ac:dyDescent="0.25">
      <c r="A682" s="1">
        <v>0.47222222222222199</v>
      </c>
      <c r="B682" s="2">
        <v>6.25</v>
      </c>
      <c r="C682" s="2">
        <v>3.69</v>
      </c>
      <c r="D682" s="2">
        <v>5.1000000000000005</v>
      </c>
      <c r="E682" s="2">
        <v>5.34</v>
      </c>
      <c r="F682" s="2">
        <v>3.1100000000000003</v>
      </c>
      <c r="G682" s="6">
        <v>14672</v>
      </c>
      <c r="H682" s="6">
        <v>13545</v>
      </c>
      <c r="I682" s="6">
        <v>15246</v>
      </c>
      <c r="J682" s="6">
        <v>16942</v>
      </c>
      <c r="K682" s="8">
        <v>14565</v>
      </c>
    </row>
    <row r="683" spans="1:11" x14ac:dyDescent="0.25">
      <c r="A683" s="1">
        <v>0.47291666666666698</v>
      </c>
      <c r="B683" s="2">
        <v>6.23</v>
      </c>
      <c r="C683" s="2">
        <v>3.6799999999999997</v>
      </c>
      <c r="D683" s="2">
        <v>5.25</v>
      </c>
      <c r="E683" s="2">
        <v>5.45</v>
      </c>
      <c r="F683" s="2">
        <v>3.02</v>
      </c>
      <c r="G683" s="6">
        <v>13405</v>
      </c>
      <c r="H683" s="6">
        <v>16771</v>
      </c>
      <c r="I683" s="6">
        <v>10867</v>
      </c>
      <c r="J683" s="6">
        <v>8546</v>
      </c>
      <c r="K683" s="8">
        <v>10245</v>
      </c>
    </row>
    <row r="684" spans="1:11" x14ac:dyDescent="0.25">
      <c r="A684" s="1">
        <v>0.47361111111111098</v>
      </c>
      <c r="B684" s="2">
        <v>6.2</v>
      </c>
      <c r="C684" s="2">
        <v>3.55</v>
      </c>
      <c r="D684" s="2">
        <v>5.08</v>
      </c>
      <c r="E684" s="2">
        <v>5.13</v>
      </c>
      <c r="F684" s="2">
        <v>3.19</v>
      </c>
      <c r="G684" s="6">
        <v>9264</v>
      </c>
      <c r="H684" s="6">
        <v>6038</v>
      </c>
      <c r="I684" s="6">
        <v>8546</v>
      </c>
      <c r="J684" s="6">
        <v>10346</v>
      </c>
      <c r="K684" s="8">
        <f t="shared" si="18"/>
        <v>9810</v>
      </c>
    </row>
    <row r="685" spans="1:11" x14ac:dyDescent="0.25">
      <c r="A685" s="1">
        <v>0.47430555555555598</v>
      </c>
      <c r="B685" s="2">
        <v>6.12</v>
      </c>
      <c r="C685" s="2">
        <v>3.7699999999999996</v>
      </c>
      <c r="D685" s="2">
        <v>5.1300000000000008</v>
      </c>
      <c r="E685" s="2">
        <v>5.12</v>
      </c>
      <c r="F685" s="2">
        <v>3.02</v>
      </c>
      <c r="G685" s="6">
        <v>4675</v>
      </c>
      <c r="H685" s="6">
        <v>5826</v>
      </c>
      <c r="I685" s="6">
        <v>5246</v>
      </c>
      <c r="J685" s="6">
        <v>7564</v>
      </c>
      <c r="K685" s="8">
        <v>8745</v>
      </c>
    </row>
    <row r="686" spans="1:11" x14ac:dyDescent="0.25">
      <c r="A686" s="1">
        <v>0.47499999999999998</v>
      </c>
      <c r="B686" s="2">
        <v>6.2600000000000007</v>
      </c>
      <c r="C686" s="2">
        <v>3.6199999999999997</v>
      </c>
      <c r="D686" s="2">
        <v>5.24</v>
      </c>
      <c r="E686" s="2">
        <v>5.13</v>
      </c>
      <c r="F686" s="2">
        <v>3.2800000000000002</v>
      </c>
      <c r="G686" s="6">
        <v>8347</v>
      </c>
      <c r="H686" s="6">
        <v>9946</v>
      </c>
      <c r="I686" s="6">
        <v>10549</v>
      </c>
      <c r="J686" s="6">
        <v>12456</v>
      </c>
      <c r="K686" s="8">
        <f t="shared" si="18"/>
        <v>11813</v>
      </c>
    </row>
    <row r="687" spans="1:11" x14ac:dyDescent="0.25">
      <c r="A687" s="1">
        <v>0.47569444444444398</v>
      </c>
      <c r="B687" s="2">
        <v>6.17</v>
      </c>
      <c r="C687" s="2">
        <v>3.69</v>
      </c>
      <c r="D687" s="2">
        <v>5.1000000000000005</v>
      </c>
      <c r="E687" s="2">
        <v>5.33</v>
      </c>
      <c r="F687" s="2">
        <v>3.1100000000000003</v>
      </c>
      <c r="G687" s="6">
        <v>9834</v>
      </c>
      <c r="H687" s="6">
        <v>14382</v>
      </c>
      <c r="I687" s="6">
        <v>14058</v>
      </c>
      <c r="J687" s="6">
        <v>18452</v>
      </c>
      <c r="K687" s="8">
        <v>16452</v>
      </c>
    </row>
    <row r="688" spans="1:11" x14ac:dyDescent="0.25">
      <c r="A688" s="1">
        <v>0.47638888888888897</v>
      </c>
      <c r="B688" s="2">
        <v>6.32</v>
      </c>
      <c r="C688" s="2">
        <v>3.61</v>
      </c>
      <c r="D688" s="2">
        <v>4.8600000000000003</v>
      </c>
      <c r="E688" s="2">
        <v>5.09</v>
      </c>
      <c r="F688" s="2">
        <v>3.34</v>
      </c>
      <c r="G688" s="6">
        <v>12697</v>
      </c>
      <c r="H688" s="6">
        <v>12540</v>
      </c>
      <c r="I688" s="6">
        <v>12346</v>
      </c>
      <c r="J688" s="6">
        <v>15452</v>
      </c>
      <c r="K688" s="8">
        <v>13458</v>
      </c>
    </row>
    <row r="689" spans="1:11" x14ac:dyDescent="0.25">
      <c r="A689" s="1">
        <v>0.47708333333333303</v>
      </c>
      <c r="B689" s="2">
        <v>6.07</v>
      </c>
      <c r="C689" s="2">
        <v>3.65</v>
      </c>
      <c r="D689" s="2">
        <v>5.0900000000000007</v>
      </c>
      <c r="E689" s="2">
        <v>5.19</v>
      </c>
      <c r="F689" s="2">
        <v>3.13</v>
      </c>
      <c r="G689" s="6">
        <v>16479</v>
      </c>
      <c r="H689" s="6">
        <v>14119</v>
      </c>
      <c r="I689" s="6">
        <v>15462</v>
      </c>
      <c r="J689" s="6">
        <v>17524</v>
      </c>
      <c r="K689" s="8">
        <v>15455</v>
      </c>
    </row>
    <row r="690" spans="1:11" x14ac:dyDescent="0.25">
      <c r="A690" s="1">
        <v>0.47777777777777802</v>
      </c>
      <c r="B690" s="2">
        <v>6.1000000000000005</v>
      </c>
      <c r="C690" s="2">
        <v>3.57</v>
      </c>
      <c r="D690" s="2">
        <v>5.1300000000000008</v>
      </c>
      <c r="E690" s="2">
        <v>5.2700000000000005</v>
      </c>
      <c r="F690" s="2">
        <v>3.06</v>
      </c>
      <c r="G690" s="6">
        <v>13697</v>
      </c>
      <c r="H690" s="6">
        <v>16869</v>
      </c>
      <c r="I690" s="6">
        <v>8545</v>
      </c>
      <c r="J690" s="6">
        <v>10545</v>
      </c>
      <c r="K690" s="8">
        <f t="shared" si="18"/>
        <v>9809</v>
      </c>
    </row>
    <row r="691" spans="1:11" x14ac:dyDescent="0.25">
      <c r="A691" s="1">
        <v>0.47847222222222202</v>
      </c>
      <c r="B691" s="2">
        <v>6.2600000000000007</v>
      </c>
      <c r="C691" s="2">
        <v>3.7199999999999998</v>
      </c>
      <c r="D691" s="2">
        <v>5</v>
      </c>
      <c r="E691" s="2">
        <v>5.46</v>
      </c>
      <c r="F691" s="2">
        <v>3.06</v>
      </c>
      <c r="G691" s="6">
        <v>15924</v>
      </c>
      <c r="H691" s="6">
        <v>17410</v>
      </c>
      <c r="I691" s="6">
        <v>13645</v>
      </c>
      <c r="J691" s="6">
        <v>10246</v>
      </c>
      <c r="K691" s="8">
        <f t="shared" si="18"/>
        <v>14909</v>
      </c>
    </row>
    <row r="692" spans="1:11" x14ac:dyDescent="0.25">
      <c r="A692" s="1">
        <v>0.47916666666666702</v>
      </c>
      <c r="B692" s="2">
        <v>6.17</v>
      </c>
      <c r="C692" s="2">
        <v>3.7199999999999998</v>
      </c>
      <c r="D692" s="2">
        <v>5.2600000000000007</v>
      </c>
      <c r="E692" s="2">
        <v>5.3100000000000005</v>
      </c>
      <c r="F692" s="2">
        <v>3.14</v>
      </c>
      <c r="G692" s="6">
        <v>16702</v>
      </c>
      <c r="H692" s="6">
        <v>14460</v>
      </c>
      <c r="I692" s="6">
        <v>12452</v>
      </c>
      <c r="J692" s="6">
        <v>10275</v>
      </c>
      <c r="K692" s="8">
        <v>12485</v>
      </c>
    </row>
    <row r="693" spans="1:11" x14ac:dyDescent="0.25">
      <c r="A693" s="1">
        <v>0.47986111111111102</v>
      </c>
      <c r="B693" s="2">
        <v>6.2200000000000006</v>
      </c>
      <c r="C693" s="2">
        <v>3.71</v>
      </c>
      <c r="D693" s="2">
        <v>4.87</v>
      </c>
      <c r="E693" s="2">
        <v>5.03</v>
      </c>
      <c r="F693" s="2">
        <v>3.25</v>
      </c>
      <c r="G693" s="6">
        <v>12347</v>
      </c>
      <c r="H693" s="6">
        <v>20943</v>
      </c>
      <c r="I693" s="6">
        <v>16485</v>
      </c>
      <c r="J693" s="6">
        <v>18454</v>
      </c>
      <c r="K693" s="8">
        <v>16458</v>
      </c>
    </row>
    <row r="694" spans="1:11" x14ac:dyDescent="0.25">
      <c r="A694" s="1">
        <v>0.48055555555555601</v>
      </c>
      <c r="B694" s="2">
        <v>6.33</v>
      </c>
      <c r="C694" s="2">
        <v>3.6999999999999997</v>
      </c>
      <c r="D694" s="2">
        <v>5</v>
      </c>
      <c r="E694" s="2">
        <v>5.17</v>
      </c>
      <c r="F694" s="2">
        <v>3.16</v>
      </c>
      <c r="G694" s="6">
        <v>18645</v>
      </c>
      <c r="H694" s="6">
        <v>25245</v>
      </c>
      <c r="I694" s="6">
        <v>17679</v>
      </c>
      <c r="J694" s="6">
        <v>15648</v>
      </c>
      <c r="K694" s="8">
        <v>15482</v>
      </c>
    </row>
    <row r="695" spans="1:11" x14ac:dyDescent="0.25">
      <c r="A695" s="1">
        <v>0.48125000000000001</v>
      </c>
      <c r="B695" s="2">
        <v>6.3000000000000007</v>
      </c>
      <c r="C695" s="2">
        <v>3.55</v>
      </c>
      <c r="D695" s="2">
        <v>5.0600000000000005</v>
      </c>
      <c r="E695" s="2">
        <v>4.87</v>
      </c>
      <c r="F695" s="2">
        <v>3.1</v>
      </c>
      <c r="G695" s="6">
        <v>13457</v>
      </c>
      <c r="H695" s="6">
        <v>8940</v>
      </c>
      <c r="I695" s="6">
        <v>7542</v>
      </c>
      <c r="J695" s="6">
        <v>8014</v>
      </c>
      <c r="K695" s="8">
        <v>9452</v>
      </c>
    </row>
    <row r="696" spans="1:11" x14ac:dyDescent="0.25">
      <c r="A696" s="1">
        <v>0.48194444444444401</v>
      </c>
      <c r="B696" s="2">
        <v>6.11</v>
      </c>
      <c r="C696" s="2">
        <v>3.5799999999999996</v>
      </c>
      <c r="D696" s="2">
        <v>5</v>
      </c>
      <c r="E696" s="2">
        <v>4.99</v>
      </c>
      <c r="F696" s="2">
        <v>3.18</v>
      </c>
      <c r="G696" s="6">
        <v>19546</v>
      </c>
      <c r="H696" s="6">
        <v>11694</v>
      </c>
      <c r="I696" s="6">
        <v>13556</v>
      </c>
      <c r="J696" s="6">
        <v>12456</v>
      </c>
      <c r="K696" s="8">
        <f t="shared" si="18"/>
        <v>14820</v>
      </c>
    </row>
    <row r="697" spans="1:11" x14ac:dyDescent="0.25">
      <c r="A697" s="1">
        <v>0.48263888888888901</v>
      </c>
      <c r="B697" s="2">
        <v>6.29</v>
      </c>
      <c r="C697" s="2">
        <v>3.59</v>
      </c>
      <c r="D697" s="2">
        <v>5.17</v>
      </c>
      <c r="E697" s="2">
        <v>5.2700000000000005</v>
      </c>
      <c r="F697" s="2">
        <v>3.31</v>
      </c>
      <c r="G697" s="6">
        <v>10264</v>
      </c>
      <c r="H697" s="6">
        <v>16559</v>
      </c>
      <c r="I697" s="6">
        <v>14483</v>
      </c>
      <c r="J697" s="6">
        <v>16489</v>
      </c>
      <c r="K697" s="8">
        <v>16452</v>
      </c>
    </row>
    <row r="698" spans="1:11" x14ac:dyDescent="0.25">
      <c r="A698" s="1">
        <v>0.483333333333333</v>
      </c>
      <c r="B698" s="2">
        <v>6.33</v>
      </c>
      <c r="C698" s="2">
        <v>3.51</v>
      </c>
      <c r="D698" s="2">
        <v>5.19</v>
      </c>
      <c r="E698" s="2">
        <v>5.2700000000000005</v>
      </c>
      <c r="F698" s="2">
        <v>3.17</v>
      </c>
      <c r="G698" s="6">
        <v>12695</v>
      </c>
      <c r="H698" s="6">
        <v>25841</v>
      </c>
      <c r="I698" s="6">
        <v>16584</v>
      </c>
      <c r="J698" s="6">
        <v>14568</v>
      </c>
      <c r="K698" s="8">
        <v>15248</v>
      </c>
    </row>
    <row r="699" spans="1:11" x14ac:dyDescent="0.25">
      <c r="A699" s="1">
        <v>0.484027777777778</v>
      </c>
      <c r="B699" s="2">
        <v>6.29</v>
      </c>
      <c r="C699" s="2">
        <v>3.61</v>
      </c>
      <c r="D699" s="2">
        <v>4.95</v>
      </c>
      <c r="E699" s="2">
        <v>5.07</v>
      </c>
      <c r="F699" s="2">
        <v>3.18</v>
      </c>
      <c r="G699" s="6">
        <v>16478</v>
      </c>
      <c r="H699" s="6">
        <v>12620</v>
      </c>
      <c r="I699" s="6">
        <v>15462</v>
      </c>
      <c r="J699" s="6">
        <v>16482</v>
      </c>
      <c r="K699" s="8">
        <f t="shared" si="18"/>
        <v>16726</v>
      </c>
    </row>
    <row r="700" spans="1:11" x14ac:dyDescent="0.25">
      <c r="A700" s="1">
        <v>0.484722222222222</v>
      </c>
      <c r="B700" s="2">
        <v>6.16</v>
      </c>
      <c r="C700" s="2">
        <v>3.57</v>
      </c>
      <c r="D700" s="2">
        <v>4.88</v>
      </c>
      <c r="E700" s="2">
        <v>5.17</v>
      </c>
      <c r="F700" s="2">
        <v>3.25</v>
      </c>
      <c r="G700" s="6">
        <v>12364</v>
      </c>
      <c r="H700" s="6">
        <v>25654</v>
      </c>
      <c r="I700" s="6">
        <v>19136</v>
      </c>
      <c r="J700" s="6">
        <v>17594</v>
      </c>
      <c r="K700" s="8">
        <f t="shared" si="18"/>
        <v>20400</v>
      </c>
    </row>
    <row r="701" spans="1:11" x14ac:dyDescent="0.25">
      <c r="A701" s="1">
        <v>0.485416666666667</v>
      </c>
      <c r="B701" s="2">
        <v>6.11</v>
      </c>
      <c r="C701" s="2">
        <v>3.7199999999999998</v>
      </c>
      <c r="D701" s="2">
        <v>4.95</v>
      </c>
      <c r="E701" s="2">
        <v>5.4</v>
      </c>
      <c r="F701" s="2">
        <v>2.85</v>
      </c>
      <c r="G701" s="6">
        <v>8647</v>
      </c>
      <c r="H701" s="6">
        <v>14683</v>
      </c>
      <c r="I701" s="6">
        <v>12648</v>
      </c>
      <c r="J701" s="6">
        <v>13549</v>
      </c>
      <c r="K701" s="8">
        <f t="shared" si="18"/>
        <v>13912</v>
      </c>
    </row>
    <row r="702" spans="1:11" x14ac:dyDescent="0.25">
      <c r="A702" s="1">
        <v>0.48611111111111099</v>
      </c>
      <c r="B702" s="2">
        <v>6.19</v>
      </c>
      <c r="C702" s="2">
        <v>3.75</v>
      </c>
      <c r="D702" s="2">
        <v>5.21</v>
      </c>
      <c r="E702" s="2">
        <v>5.25</v>
      </c>
      <c r="F702" s="2">
        <v>3.27</v>
      </c>
      <c r="G702" s="6">
        <v>6592</v>
      </c>
      <c r="H702" s="6">
        <v>8057</v>
      </c>
      <c r="I702" s="6">
        <v>9245</v>
      </c>
      <c r="J702" s="6">
        <v>10648</v>
      </c>
      <c r="K702" s="8">
        <f t="shared" si="18"/>
        <v>10509</v>
      </c>
    </row>
    <row r="703" spans="1:11" x14ac:dyDescent="0.25">
      <c r="A703" s="1">
        <v>0.48680555555555599</v>
      </c>
      <c r="B703" s="2">
        <v>6.13</v>
      </c>
      <c r="C703" s="2">
        <v>3.63</v>
      </c>
      <c r="D703" s="2">
        <v>5.25</v>
      </c>
      <c r="E703" s="2">
        <v>4.96</v>
      </c>
      <c r="F703" s="2">
        <v>3.0700000000000003</v>
      </c>
      <c r="G703" s="6">
        <v>4435</v>
      </c>
      <c r="H703" s="6">
        <v>11995</v>
      </c>
      <c r="I703" s="6">
        <v>17524</v>
      </c>
      <c r="J703" s="6">
        <v>16485</v>
      </c>
      <c r="K703" s="8">
        <v>17584</v>
      </c>
    </row>
    <row r="704" spans="1:11" x14ac:dyDescent="0.25">
      <c r="A704" s="1">
        <v>0.48749999999999999</v>
      </c>
      <c r="B704" s="2">
        <v>6.13</v>
      </c>
      <c r="C704" s="2">
        <v>3.61</v>
      </c>
      <c r="D704" s="2">
        <v>5.0200000000000005</v>
      </c>
      <c r="E704" s="2">
        <v>5.48</v>
      </c>
      <c r="F704" s="2">
        <v>3.14</v>
      </c>
      <c r="G704" s="6">
        <v>8365</v>
      </c>
      <c r="H704" s="6">
        <v>10052</v>
      </c>
      <c r="I704" s="6">
        <v>8174</v>
      </c>
      <c r="J704" s="6">
        <v>9456</v>
      </c>
      <c r="K704" s="8">
        <f t="shared" si="18"/>
        <v>9438</v>
      </c>
    </row>
    <row r="705" spans="1:11" x14ac:dyDescent="0.25">
      <c r="A705" s="1">
        <v>0.48819444444444399</v>
      </c>
      <c r="B705" s="2">
        <v>6.23</v>
      </c>
      <c r="C705" s="2">
        <v>3.63</v>
      </c>
      <c r="D705" s="2">
        <v>5.23</v>
      </c>
      <c r="E705" s="2">
        <v>5.46</v>
      </c>
      <c r="F705" s="2">
        <v>3.1</v>
      </c>
      <c r="G705" s="6">
        <v>11264</v>
      </c>
      <c r="H705" s="6">
        <v>8125</v>
      </c>
      <c r="I705" s="6">
        <v>12245</v>
      </c>
      <c r="J705" s="6">
        <v>10245</v>
      </c>
      <c r="K705" s="8">
        <v>12456</v>
      </c>
    </row>
    <row r="706" spans="1:11" x14ac:dyDescent="0.25">
      <c r="A706" s="1">
        <v>0.48888888888888898</v>
      </c>
      <c r="B706" s="2">
        <v>6.33</v>
      </c>
      <c r="C706" s="2">
        <v>3.67</v>
      </c>
      <c r="D706" s="2">
        <v>4.88</v>
      </c>
      <c r="E706" s="2">
        <v>5.17</v>
      </c>
      <c r="F706" s="2">
        <v>2.91</v>
      </c>
      <c r="G706" s="6">
        <v>14530</v>
      </c>
      <c r="H706" s="6">
        <v>8419</v>
      </c>
      <c r="I706" s="6">
        <v>12454</v>
      </c>
      <c r="J706" s="6">
        <v>11245</v>
      </c>
      <c r="K706" s="8">
        <v>13545</v>
      </c>
    </row>
    <row r="707" spans="1:11" x14ac:dyDescent="0.25">
      <c r="A707" s="1">
        <v>0.48958333333333298</v>
      </c>
      <c r="B707" s="2">
        <v>6.16</v>
      </c>
      <c r="C707" s="2">
        <v>3.6399999999999997</v>
      </c>
      <c r="D707" s="2">
        <v>5.2200000000000006</v>
      </c>
      <c r="E707" s="2">
        <v>5.12</v>
      </c>
      <c r="F707" s="2">
        <v>3.13</v>
      </c>
      <c r="G707" s="6">
        <v>16057</v>
      </c>
      <c r="H707" s="6">
        <v>18246</v>
      </c>
      <c r="I707" s="6">
        <v>14782</v>
      </c>
      <c r="J707" s="6">
        <v>12458</v>
      </c>
      <c r="K707" s="8">
        <f t="shared" si="18"/>
        <v>16046</v>
      </c>
    </row>
    <row r="708" spans="1:11" x14ac:dyDescent="0.25">
      <c r="A708" s="1">
        <v>0.49027777777777798</v>
      </c>
      <c r="B708" s="2">
        <v>6.3000000000000007</v>
      </c>
      <c r="C708" s="2">
        <v>3.55</v>
      </c>
      <c r="D708" s="2">
        <v>5</v>
      </c>
      <c r="E708" s="2">
        <v>5.44</v>
      </c>
      <c r="F708" s="2">
        <v>2.95</v>
      </c>
      <c r="G708" s="6">
        <v>10608</v>
      </c>
      <c r="H708" s="6">
        <v>10693</v>
      </c>
      <c r="I708" s="6">
        <v>9542</v>
      </c>
      <c r="J708" s="6">
        <v>10246</v>
      </c>
      <c r="K708" s="8">
        <f t="shared" si="18"/>
        <v>10806</v>
      </c>
    </row>
    <row r="709" spans="1:11" x14ac:dyDescent="0.25">
      <c r="A709" s="1">
        <v>0.49097222222222198</v>
      </c>
      <c r="B709" s="2">
        <v>6.3000000000000007</v>
      </c>
      <c r="C709" s="2">
        <v>3.69</v>
      </c>
      <c r="D709" s="2">
        <v>4.88</v>
      </c>
      <c r="E709" s="2">
        <v>5.16</v>
      </c>
      <c r="F709" s="2">
        <v>3.25</v>
      </c>
      <c r="G709" s="6">
        <v>16385</v>
      </c>
      <c r="H709" s="6">
        <v>26225</v>
      </c>
      <c r="I709" s="6">
        <v>19023</v>
      </c>
      <c r="J709" s="6">
        <v>22015</v>
      </c>
      <c r="K709" s="8">
        <v>22154</v>
      </c>
    </row>
    <row r="710" spans="1:11" x14ac:dyDescent="0.25">
      <c r="A710" s="1">
        <v>0.49166666666666697</v>
      </c>
      <c r="B710" s="2">
        <v>6.3000000000000007</v>
      </c>
      <c r="C710" s="2">
        <v>3.63</v>
      </c>
      <c r="D710" s="2">
        <v>5.17</v>
      </c>
      <c r="E710" s="2">
        <v>5.3800000000000008</v>
      </c>
      <c r="F710" s="2">
        <v>3.33</v>
      </c>
      <c r="G710" s="6">
        <v>11675</v>
      </c>
      <c r="H710" s="6">
        <v>9056</v>
      </c>
      <c r="I710" s="6">
        <v>8671</v>
      </c>
      <c r="J710" s="6">
        <v>10455</v>
      </c>
      <c r="K710" s="8">
        <f t="shared" si="18"/>
        <v>9935</v>
      </c>
    </row>
    <row r="711" spans="1:11" x14ac:dyDescent="0.25">
      <c r="A711" s="1">
        <v>0.49236111111111103</v>
      </c>
      <c r="B711" s="2">
        <v>6.2600000000000007</v>
      </c>
      <c r="C711" s="2">
        <v>3.6599999999999997</v>
      </c>
      <c r="D711" s="2">
        <v>5.1400000000000006</v>
      </c>
      <c r="E711" s="2">
        <v>5.24</v>
      </c>
      <c r="F711" s="2">
        <v>3.14</v>
      </c>
      <c r="G711" s="6">
        <v>10387</v>
      </c>
      <c r="H711" s="6">
        <v>21729</v>
      </c>
      <c r="I711" s="6">
        <v>15234</v>
      </c>
      <c r="J711" s="6">
        <v>18462</v>
      </c>
      <c r="K711" s="8">
        <v>15435</v>
      </c>
    </row>
    <row r="712" spans="1:11" x14ac:dyDescent="0.25">
      <c r="A712" s="1">
        <v>0.49305555555555602</v>
      </c>
      <c r="B712" s="2">
        <v>6.28</v>
      </c>
      <c r="C712" s="2">
        <v>3.55</v>
      </c>
      <c r="D712" s="2">
        <v>5.0500000000000007</v>
      </c>
      <c r="E712" s="2">
        <v>5.15</v>
      </c>
      <c r="F712" s="2">
        <v>3.0300000000000002</v>
      </c>
      <c r="G712" s="6">
        <v>9563</v>
      </c>
      <c r="H712" s="6">
        <v>25457</v>
      </c>
      <c r="I712" s="6">
        <v>21299</v>
      </c>
      <c r="J712" s="6">
        <v>26485</v>
      </c>
      <c r="K712" s="8">
        <f t="shared" si="18"/>
        <v>22563</v>
      </c>
    </row>
    <row r="713" spans="1:11" x14ac:dyDescent="0.25">
      <c r="A713" s="1">
        <v>0.49375000000000002</v>
      </c>
      <c r="B713" s="2">
        <v>6.09</v>
      </c>
      <c r="C713" s="2">
        <v>3.5599999999999996</v>
      </c>
      <c r="D713" s="2">
        <v>5.0500000000000007</v>
      </c>
      <c r="E713" s="2">
        <v>5.29</v>
      </c>
      <c r="F713" s="2">
        <v>3.3200000000000003</v>
      </c>
      <c r="G713" s="6">
        <v>13080</v>
      </c>
      <c r="H713" s="6">
        <v>11289</v>
      </c>
      <c r="I713" s="6">
        <v>9435</v>
      </c>
      <c r="J713" s="6">
        <v>15465</v>
      </c>
      <c r="K713" s="8">
        <v>11264</v>
      </c>
    </row>
    <row r="714" spans="1:11" x14ac:dyDescent="0.25">
      <c r="A714" s="1">
        <v>0.49444444444444402</v>
      </c>
      <c r="B714" s="2">
        <v>6.19</v>
      </c>
      <c r="C714" s="2">
        <v>3.6399999999999997</v>
      </c>
      <c r="D714" s="2">
        <v>5.07</v>
      </c>
      <c r="E714" s="2">
        <v>5.2200000000000006</v>
      </c>
      <c r="F714" s="2">
        <v>3.3200000000000003</v>
      </c>
      <c r="G714" s="6">
        <v>16942</v>
      </c>
      <c r="H714" s="6">
        <v>20797</v>
      </c>
      <c r="I714" s="6">
        <v>15352</v>
      </c>
      <c r="J714" s="6">
        <v>21545</v>
      </c>
      <c r="K714" s="8">
        <v>14586</v>
      </c>
    </row>
    <row r="715" spans="1:11" x14ac:dyDescent="0.25">
      <c r="A715" s="1">
        <v>0.49513888888888902</v>
      </c>
      <c r="B715" s="2">
        <v>6.24</v>
      </c>
      <c r="C715" s="2">
        <v>3.7199999999999998</v>
      </c>
      <c r="D715" s="2">
        <v>5.0900000000000007</v>
      </c>
      <c r="E715" s="2">
        <v>5.2</v>
      </c>
      <c r="F715" s="2">
        <v>3.2600000000000002</v>
      </c>
      <c r="G715" s="6">
        <v>11340</v>
      </c>
      <c r="H715" s="6">
        <v>18714</v>
      </c>
      <c r="I715" s="6">
        <v>10345</v>
      </c>
      <c r="J715" s="6">
        <v>15464</v>
      </c>
      <c r="K715" s="8">
        <v>12465</v>
      </c>
    </row>
    <row r="716" spans="1:11" x14ac:dyDescent="0.25">
      <c r="A716" s="1">
        <v>0.49583333333333302</v>
      </c>
      <c r="B716" s="2">
        <v>6.1400000000000006</v>
      </c>
      <c r="C716" s="2">
        <v>3.76</v>
      </c>
      <c r="D716" s="2">
        <v>5.1000000000000005</v>
      </c>
      <c r="E716" s="2">
        <v>5.53</v>
      </c>
      <c r="F716" s="2">
        <v>3.04</v>
      </c>
      <c r="G716" s="6">
        <v>13575</v>
      </c>
      <c r="H716" s="6">
        <v>16090</v>
      </c>
      <c r="I716" s="6">
        <v>18278</v>
      </c>
      <c r="J716" s="6">
        <v>23451</v>
      </c>
      <c r="K716" s="8">
        <v>21545</v>
      </c>
    </row>
    <row r="717" spans="1:11" x14ac:dyDescent="0.25">
      <c r="A717" s="1">
        <v>0.49652777777777801</v>
      </c>
      <c r="B717" s="2">
        <v>6.16</v>
      </c>
      <c r="C717" s="2">
        <v>3.78</v>
      </c>
      <c r="D717" s="2">
        <v>5.19</v>
      </c>
      <c r="E717" s="2">
        <v>4.95</v>
      </c>
      <c r="F717" s="2">
        <v>2.84</v>
      </c>
      <c r="G717" s="6">
        <v>10258</v>
      </c>
      <c r="H717" s="6">
        <v>17230</v>
      </c>
      <c r="I717" s="6">
        <v>21496</v>
      </c>
      <c r="J717" s="6">
        <v>16452</v>
      </c>
      <c r="K717" s="8">
        <v>18452</v>
      </c>
    </row>
    <row r="718" spans="1:11" x14ac:dyDescent="0.25">
      <c r="A718" s="1">
        <v>0.49722222222222201</v>
      </c>
      <c r="B718" s="2">
        <v>6.3000000000000007</v>
      </c>
      <c r="C718" s="2">
        <v>3.5599999999999996</v>
      </c>
      <c r="D718" s="2">
        <v>5.0900000000000007</v>
      </c>
      <c r="E718" s="2">
        <v>5.4300000000000006</v>
      </c>
      <c r="F718" s="2">
        <v>3.1</v>
      </c>
      <c r="G718" s="6">
        <v>14364</v>
      </c>
      <c r="H718" s="6">
        <v>23651</v>
      </c>
      <c r="I718" s="6">
        <v>21324</v>
      </c>
      <c r="J718" s="6">
        <v>26458</v>
      </c>
      <c r="K718" s="8">
        <v>24565</v>
      </c>
    </row>
    <row r="719" spans="1:11" x14ac:dyDescent="0.25">
      <c r="A719" s="1">
        <v>0.49791666666666701</v>
      </c>
      <c r="B719" s="2">
        <v>6.07</v>
      </c>
      <c r="C719" s="2">
        <v>3.6599999999999997</v>
      </c>
      <c r="D719" s="2">
        <v>5.1000000000000005</v>
      </c>
      <c r="E719" s="2">
        <v>4.99</v>
      </c>
      <c r="F719" s="2">
        <v>3.15</v>
      </c>
      <c r="G719" s="6">
        <v>19850</v>
      </c>
      <c r="H719" s="6">
        <v>24317</v>
      </c>
      <c r="I719" s="6">
        <v>15534</v>
      </c>
      <c r="J719" s="6">
        <v>21464</v>
      </c>
      <c r="K719" s="8">
        <v>17524</v>
      </c>
    </row>
    <row r="720" spans="1:11" x14ac:dyDescent="0.25">
      <c r="A720" s="1">
        <v>0.49861111111111101</v>
      </c>
      <c r="B720" s="2">
        <v>6.19</v>
      </c>
      <c r="C720" s="2">
        <v>3.7699999999999996</v>
      </c>
      <c r="D720" s="2">
        <v>4.9800000000000004</v>
      </c>
      <c r="E720" s="2">
        <v>5.0600000000000005</v>
      </c>
      <c r="F720" s="2">
        <v>3.13</v>
      </c>
      <c r="G720" s="6">
        <v>15647</v>
      </c>
      <c r="H720" s="6">
        <v>16590</v>
      </c>
      <c r="I720" s="6">
        <v>12448</v>
      </c>
      <c r="J720" s="6">
        <v>16452</v>
      </c>
      <c r="K720" s="8">
        <v>15298</v>
      </c>
    </row>
    <row r="721" spans="1:11" x14ac:dyDescent="0.25">
      <c r="A721" s="1">
        <v>0.499305555555556</v>
      </c>
      <c r="B721" s="2">
        <v>6.3100000000000005</v>
      </c>
      <c r="C721" s="2">
        <v>3.5199999999999996</v>
      </c>
      <c r="D721" s="2">
        <v>5.17</v>
      </c>
      <c r="E721" s="2">
        <v>5.5100000000000007</v>
      </c>
      <c r="F721" s="2">
        <v>2.92</v>
      </c>
      <c r="G721" s="6">
        <v>14697</v>
      </c>
      <c r="H721" s="6">
        <v>13606</v>
      </c>
      <c r="I721" s="6">
        <v>15624</v>
      </c>
      <c r="J721" s="6">
        <v>18424</v>
      </c>
      <c r="K721" s="8">
        <v>17565</v>
      </c>
    </row>
    <row r="722" spans="1:11" x14ac:dyDescent="0.25">
      <c r="A722" s="3">
        <v>0.5</v>
      </c>
      <c r="B722" s="4">
        <v>6.19</v>
      </c>
      <c r="C722" s="4">
        <v>3.66</v>
      </c>
      <c r="D722" s="4">
        <v>5.09</v>
      </c>
      <c r="E722" s="4">
        <v>5.26</v>
      </c>
      <c r="F722" s="4">
        <v>3.08</v>
      </c>
      <c r="G722" s="7">
        <v>17240</v>
      </c>
      <c r="H722" s="6">
        <v>21880</v>
      </c>
      <c r="I722" s="6">
        <v>21520</v>
      </c>
      <c r="J722" s="7">
        <v>20330</v>
      </c>
      <c r="K722" s="7">
        <v>20820</v>
      </c>
    </row>
    <row r="723" spans="1:11" x14ac:dyDescent="0.25">
      <c r="A723" s="1">
        <v>0.500694444444444</v>
      </c>
      <c r="B723" s="2">
        <v>6.33</v>
      </c>
      <c r="C723" s="2">
        <v>3.51</v>
      </c>
      <c r="D723" s="2">
        <v>5.17</v>
      </c>
      <c r="E723" s="2">
        <v>5.19</v>
      </c>
      <c r="F723" s="2">
        <v>3.0500000000000003</v>
      </c>
      <c r="G723" s="6">
        <v>15640</v>
      </c>
      <c r="H723" s="6">
        <v>18494</v>
      </c>
      <c r="I723" s="6">
        <v>18356</v>
      </c>
      <c r="J723" s="6">
        <v>17282</v>
      </c>
      <c r="K723" s="6">
        <v>19435</v>
      </c>
    </row>
    <row r="724" spans="1:11" x14ac:dyDescent="0.25">
      <c r="A724" s="1">
        <v>0.50138888888888899</v>
      </c>
      <c r="B724" s="2">
        <v>6.2700000000000005</v>
      </c>
      <c r="C724" s="2">
        <v>3.67</v>
      </c>
      <c r="D724" s="2">
        <v>5.1100000000000003</v>
      </c>
      <c r="E724" s="2">
        <v>4.9800000000000004</v>
      </c>
      <c r="F724" s="2">
        <v>3.25</v>
      </c>
      <c r="G724" s="6">
        <v>16852</v>
      </c>
      <c r="H724" s="6">
        <v>19706</v>
      </c>
      <c r="I724" s="6">
        <v>19568</v>
      </c>
      <c r="J724" s="6">
        <v>18494</v>
      </c>
      <c r="K724" s="6">
        <v>18353</v>
      </c>
    </row>
    <row r="725" spans="1:11" x14ac:dyDescent="0.25">
      <c r="A725" s="1">
        <v>0.50208333333333299</v>
      </c>
      <c r="B725" s="2">
        <v>6.11</v>
      </c>
      <c r="C725" s="2">
        <v>3.6999999999999997</v>
      </c>
      <c r="D725" s="2">
        <v>4.9700000000000006</v>
      </c>
      <c r="E725" s="2">
        <v>5.34</v>
      </c>
      <c r="F725" s="2">
        <v>3.0700000000000003</v>
      </c>
      <c r="G725" s="6">
        <v>14254</v>
      </c>
      <c r="H725" s="6">
        <v>17108</v>
      </c>
      <c r="I725" s="6">
        <v>16970</v>
      </c>
      <c r="J725" s="6">
        <v>15896</v>
      </c>
      <c r="K725" s="6">
        <v>17221</v>
      </c>
    </row>
    <row r="726" spans="1:11" x14ac:dyDescent="0.25">
      <c r="A726" s="1">
        <v>0.50277777777777799</v>
      </c>
      <c r="B726" s="2">
        <v>6.2700000000000005</v>
      </c>
      <c r="C726" s="2">
        <v>3.6399999999999997</v>
      </c>
      <c r="D726" s="2">
        <v>4.8900000000000006</v>
      </c>
      <c r="E726" s="2">
        <v>4.8600000000000003</v>
      </c>
      <c r="F726" s="2">
        <v>2.99</v>
      </c>
      <c r="G726" s="6">
        <v>15654</v>
      </c>
      <c r="H726" s="6">
        <v>18508</v>
      </c>
      <c r="I726" s="6">
        <v>18370</v>
      </c>
      <c r="J726" s="6">
        <v>17296</v>
      </c>
      <c r="K726" s="6">
        <v>14070</v>
      </c>
    </row>
    <row r="727" spans="1:11" x14ac:dyDescent="0.25">
      <c r="A727" s="1">
        <v>0.50347222222222199</v>
      </c>
      <c r="B727" s="2">
        <v>6.2600000000000007</v>
      </c>
      <c r="C727" s="2">
        <v>3.7199999999999998</v>
      </c>
      <c r="D727" s="2">
        <v>5.21</v>
      </c>
      <c r="E727" s="2">
        <v>5.2200000000000006</v>
      </c>
      <c r="F727" s="2">
        <v>3.24</v>
      </c>
      <c r="G727" s="6">
        <v>22345</v>
      </c>
      <c r="H727" s="6">
        <v>25199</v>
      </c>
      <c r="I727" s="6">
        <v>25061</v>
      </c>
      <c r="J727" s="6">
        <v>23987</v>
      </c>
      <c r="K727" s="6">
        <v>12230</v>
      </c>
    </row>
    <row r="728" spans="1:11" x14ac:dyDescent="0.25">
      <c r="A728" s="1">
        <v>0.50416666666666698</v>
      </c>
      <c r="B728" s="2">
        <v>6.09</v>
      </c>
      <c r="C728" s="2">
        <v>3.53</v>
      </c>
      <c r="D728" s="2">
        <v>5.2200000000000006</v>
      </c>
      <c r="E728" s="2">
        <v>5.36</v>
      </c>
      <c r="F728" s="2">
        <v>2.84</v>
      </c>
      <c r="G728" s="6">
        <v>20354</v>
      </c>
      <c r="H728" s="6">
        <v>23208</v>
      </c>
      <c r="I728" s="6">
        <v>23070</v>
      </c>
      <c r="J728" s="6">
        <v>21996</v>
      </c>
      <c r="K728" s="6">
        <v>9436</v>
      </c>
    </row>
    <row r="729" spans="1:11" x14ac:dyDescent="0.25">
      <c r="A729" s="1">
        <v>0.50486111111111098</v>
      </c>
      <c r="B729" s="2">
        <v>6.2600000000000007</v>
      </c>
      <c r="C729" s="2">
        <v>3.5799999999999996</v>
      </c>
      <c r="D729" s="2">
        <v>5.2600000000000007</v>
      </c>
      <c r="E729" s="2">
        <v>5.19</v>
      </c>
      <c r="F729" s="2">
        <v>2.9</v>
      </c>
      <c r="G729" s="6">
        <v>12212</v>
      </c>
      <c r="H729" s="6">
        <v>15066</v>
      </c>
      <c r="I729" s="6">
        <v>14928</v>
      </c>
      <c r="J729" s="6">
        <v>13854</v>
      </c>
      <c r="K729" s="6">
        <v>19322</v>
      </c>
    </row>
    <row r="730" spans="1:11" x14ac:dyDescent="0.25">
      <c r="A730" s="1">
        <v>0.50555555555555598</v>
      </c>
      <c r="B730" s="2">
        <v>6.19</v>
      </c>
      <c r="C730" s="2">
        <v>3.51</v>
      </c>
      <c r="D730" s="2">
        <v>5.12</v>
      </c>
      <c r="E730" s="2">
        <v>5.4300000000000006</v>
      </c>
      <c r="F730" s="2">
        <v>3.09</v>
      </c>
      <c r="G730" s="6">
        <v>21125</v>
      </c>
      <c r="H730" s="6">
        <v>23979</v>
      </c>
      <c r="I730" s="6">
        <v>23841</v>
      </c>
      <c r="J730" s="6">
        <v>22767</v>
      </c>
      <c r="K730" s="6">
        <v>10467</v>
      </c>
    </row>
    <row r="731" spans="1:11" x14ac:dyDescent="0.25">
      <c r="A731" s="1">
        <v>0.50624999999999998</v>
      </c>
      <c r="B731" s="2">
        <v>6.23</v>
      </c>
      <c r="C731" s="2">
        <v>3.73</v>
      </c>
      <c r="D731" s="2">
        <v>5.0500000000000007</v>
      </c>
      <c r="E731" s="2">
        <v>5.45</v>
      </c>
      <c r="F731" s="2">
        <v>3.25</v>
      </c>
      <c r="G731" s="6">
        <v>12333</v>
      </c>
      <c r="H731" s="6">
        <v>15187</v>
      </c>
      <c r="I731" s="6">
        <v>15049</v>
      </c>
      <c r="J731" s="6">
        <v>13975</v>
      </c>
      <c r="K731" s="6">
        <v>18693</v>
      </c>
    </row>
    <row r="732" spans="1:11" x14ac:dyDescent="0.25">
      <c r="A732" s="1">
        <v>0.50694444444444398</v>
      </c>
      <c r="B732" s="2">
        <v>6.19</v>
      </c>
      <c r="C732" s="2">
        <v>3.67</v>
      </c>
      <c r="D732" s="2">
        <v>5.0500000000000007</v>
      </c>
      <c r="E732" s="2">
        <v>5.45</v>
      </c>
      <c r="F732" s="2">
        <v>3.0300000000000002</v>
      </c>
      <c r="G732" s="6">
        <v>14541</v>
      </c>
      <c r="H732" s="6">
        <v>17395</v>
      </c>
      <c r="I732" s="6">
        <v>17257</v>
      </c>
      <c r="J732" s="6">
        <v>16183</v>
      </c>
      <c r="K732" s="6">
        <v>6839</v>
      </c>
    </row>
    <row r="733" spans="1:11" x14ac:dyDescent="0.25">
      <c r="A733" s="1">
        <v>0.50763888888888897</v>
      </c>
      <c r="B733" s="2">
        <v>6.24</v>
      </c>
      <c r="C733" s="2">
        <v>3.53</v>
      </c>
      <c r="D733" s="2">
        <v>4.8900000000000006</v>
      </c>
      <c r="E733" s="2">
        <v>4.82</v>
      </c>
      <c r="F733" s="2">
        <v>2.91</v>
      </c>
      <c r="G733" s="6">
        <v>25455</v>
      </c>
      <c r="H733" s="6">
        <v>28309</v>
      </c>
      <c r="I733" s="6">
        <v>28171</v>
      </c>
      <c r="J733" s="6">
        <v>27097</v>
      </c>
      <c r="K733" s="6">
        <v>10492</v>
      </c>
    </row>
    <row r="734" spans="1:11" x14ac:dyDescent="0.25">
      <c r="A734" s="1">
        <v>0.50833333333333297</v>
      </c>
      <c r="B734" s="2">
        <v>6.3000000000000007</v>
      </c>
      <c r="C734" s="2">
        <v>3.6399999999999997</v>
      </c>
      <c r="D734" s="2">
        <v>5.24</v>
      </c>
      <c r="E734" s="2">
        <v>5.5100000000000007</v>
      </c>
      <c r="F734" s="2">
        <v>3.04</v>
      </c>
      <c r="G734" s="6">
        <v>15974</v>
      </c>
      <c r="H734" s="6">
        <v>18828</v>
      </c>
      <c r="I734" s="6">
        <v>18690</v>
      </c>
      <c r="J734" s="6">
        <v>17616</v>
      </c>
      <c r="K734" s="6">
        <v>15573</v>
      </c>
    </row>
    <row r="735" spans="1:11" x14ac:dyDescent="0.25">
      <c r="A735" s="1">
        <v>0.50902777777777797</v>
      </c>
      <c r="B735" s="2">
        <v>6.32</v>
      </c>
      <c r="C735" s="2">
        <v>3.6599999999999997</v>
      </c>
      <c r="D735" s="2">
        <v>4.92</v>
      </c>
      <c r="E735" s="2">
        <v>4.88</v>
      </c>
      <c r="F735" s="2">
        <v>3.09</v>
      </c>
      <c r="G735" s="6">
        <v>15625</v>
      </c>
      <c r="H735" s="6">
        <v>18479</v>
      </c>
      <c r="I735" s="6">
        <v>18341</v>
      </c>
      <c r="J735" s="6">
        <v>17267</v>
      </c>
      <c r="K735" s="6">
        <v>11276</v>
      </c>
    </row>
    <row r="736" spans="1:11" x14ac:dyDescent="0.25">
      <c r="A736" s="1">
        <v>0.50972222222222197</v>
      </c>
      <c r="B736" s="2">
        <v>6.3100000000000005</v>
      </c>
      <c r="C736" s="2">
        <v>3.7399999999999998</v>
      </c>
      <c r="D736" s="2">
        <v>4.91</v>
      </c>
      <c r="E736" s="2">
        <v>5.5</v>
      </c>
      <c r="F736" s="2">
        <v>2.98</v>
      </c>
      <c r="G736" s="6">
        <v>23448</v>
      </c>
      <c r="H736" s="6">
        <v>26302</v>
      </c>
      <c r="I736" s="6">
        <v>26164</v>
      </c>
      <c r="J736" s="6">
        <v>25090</v>
      </c>
      <c r="K736" s="6">
        <v>9142</v>
      </c>
    </row>
    <row r="737" spans="1:11" x14ac:dyDescent="0.25">
      <c r="A737" s="1">
        <v>0.51041666666666696</v>
      </c>
      <c r="B737" s="2">
        <v>6.1400000000000006</v>
      </c>
      <c r="C737" s="2">
        <v>3.5199999999999996</v>
      </c>
      <c r="D737" s="2">
        <v>5.04</v>
      </c>
      <c r="E737" s="2">
        <v>4.84</v>
      </c>
      <c r="F737" s="2">
        <v>3.17</v>
      </c>
      <c r="G737" s="6">
        <v>28752</v>
      </c>
      <c r="H737" s="6">
        <v>31606</v>
      </c>
      <c r="I737" s="6">
        <v>31468</v>
      </c>
      <c r="J737" s="6">
        <v>30394</v>
      </c>
      <c r="K737" s="6">
        <v>7176</v>
      </c>
    </row>
    <row r="738" spans="1:11" x14ac:dyDescent="0.25">
      <c r="A738" s="1">
        <v>0.51111111111111096</v>
      </c>
      <c r="B738" s="2">
        <v>6.17</v>
      </c>
      <c r="C738" s="2">
        <v>3.78</v>
      </c>
      <c r="D738" s="2">
        <v>4.91</v>
      </c>
      <c r="E738" s="2">
        <v>5.1100000000000003</v>
      </c>
      <c r="F738" s="2">
        <v>3.18</v>
      </c>
      <c r="G738" s="6">
        <v>24621</v>
      </c>
      <c r="H738" s="6">
        <v>27475</v>
      </c>
      <c r="I738" s="6">
        <v>27337</v>
      </c>
      <c r="J738" s="6">
        <v>26263</v>
      </c>
      <c r="K738" s="6">
        <v>18493</v>
      </c>
    </row>
    <row r="739" spans="1:11" x14ac:dyDescent="0.25">
      <c r="A739" s="1">
        <v>0.51180555555555596</v>
      </c>
      <c r="B739" s="2">
        <v>6.25</v>
      </c>
      <c r="C739" s="2">
        <v>3.59</v>
      </c>
      <c r="D739" s="2">
        <v>5.24</v>
      </c>
      <c r="E739" s="2">
        <v>5.1000000000000005</v>
      </c>
      <c r="F739" s="2">
        <v>3.21</v>
      </c>
      <c r="G739" s="6">
        <v>16972</v>
      </c>
      <c r="H739" s="6">
        <v>19826</v>
      </c>
      <c r="I739" s="6">
        <v>19688</v>
      </c>
      <c r="J739" s="6">
        <v>18614</v>
      </c>
      <c r="K739" s="6">
        <v>12349</v>
      </c>
    </row>
    <row r="740" spans="1:11" x14ac:dyDescent="0.25">
      <c r="A740" s="1">
        <v>0.51249999999999996</v>
      </c>
      <c r="B740" s="2">
        <v>6.13</v>
      </c>
      <c r="C740" s="2">
        <v>3.55</v>
      </c>
      <c r="D740" s="2">
        <v>5.24</v>
      </c>
      <c r="E740" s="2">
        <v>5.03</v>
      </c>
      <c r="F740" s="2">
        <v>3.2800000000000002</v>
      </c>
      <c r="G740" s="6">
        <v>12456</v>
      </c>
      <c r="H740" s="6">
        <v>15310</v>
      </c>
      <c r="I740" s="6">
        <v>15172</v>
      </c>
      <c r="J740" s="6">
        <v>14098</v>
      </c>
      <c r="K740" s="6">
        <v>10175</v>
      </c>
    </row>
    <row r="741" spans="1:11" x14ac:dyDescent="0.25">
      <c r="A741" s="1">
        <v>0.51319444444444495</v>
      </c>
      <c r="B741" s="2">
        <v>6.28</v>
      </c>
      <c r="C741" s="2">
        <v>3.71</v>
      </c>
      <c r="D741" s="2">
        <v>5.2</v>
      </c>
      <c r="E741" s="2">
        <v>5.1000000000000005</v>
      </c>
      <c r="F741" s="2">
        <v>3.08</v>
      </c>
      <c r="G741" s="6">
        <v>18540</v>
      </c>
      <c r="H741" s="6">
        <v>21394</v>
      </c>
      <c r="I741" s="6">
        <v>21256</v>
      </c>
      <c r="J741" s="6">
        <v>20182</v>
      </c>
      <c r="K741" s="6">
        <v>10070</v>
      </c>
    </row>
    <row r="742" spans="1:11" x14ac:dyDescent="0.25">
      <c r="A742" s="1">
        <v>0.51388888888888895</v>
      </c>
      <c r="B742" s="2">
        <v>6.2200000000000006</v>
      </c>
      <c r="C742" s="2">
        <v>3.55</v>
      </c>
      <c r="D742" s="2">
        <v>5.19</v>
      </c>
      <c r="E742" s="2">
        <v>5.08</v>
      </c>
      <c r="F742" s="2">
        <v>3.24</v>
      </c>
      <c r="G742" s="6">
        <v>16487</v>
      </c>
      <c r="H742" s="6">
        <v>19341</v>
      </c>
      <c r="I742" s="6">
        <v>19203</v>
      </c>
      <c r="J742" s="6">
        <v>18129</v>
      </c>
      <c r="K742" s="6">
        <v>10574</v>
      </c>
    </row>
    <row r="743" spans="1:11" x14ac:dyDescent="0.25">
      <c r="A743" s="1">
        <v>0.51458333333333295</v>
      </c>
      <c r="B743" s="2">
        <v>6.33</v>
      </c>
      <c r="C743" s="2">
        <v>3.61</v>
      </c>
      <c r="D743" s="2">
        <v>5.12</v>
      </c>
      <c r="E743" s="2">
        <v>5.2600000000000007</v>
      </c>
      <c r="F743" s="2">
        <v>3.24</v>
      </c>
      <c r="G743" s="6">
        <v>24557</v>
      </c>
      <c r="H743" s="6">
        <v>27411</v>
      </c>
      <c r="I743" s="6">
        <v>27273</v>
      </c>
      <c r="J743" s="6">
        <v>26199</v>
      </c>
      <c r="K743" s="6">
        <v>7556</v>
      </c>
    </row>
    <row r="744" spans="1:11" x14ac:dyDescent="0.25">
      <c r="A744" s="1">
        <v>0.51527777777777795</v>
      </c>
      <c r="B744" s="2">
        <v>6.3100000000000005</v>
      </c>
      <c r="C744" s="2">
        <v>3.6599999999999997</v>
      </c>
      <c r="D744" s="2">
        <v>5.1800000000000006</v>
      </c>
      <c r="E744" s="2">
        <v>5.25</v>
      </c>
      <c r="F744" s="2">
        <v>3.21</v>
      </c>
      <c r="G744" s="6">
        <v>26482</v>
      </c>
      <c r="H744" s="6">
        <v>29336</v>
      </c>
      <c r="I744" s="6">
        <v>29198</v>
      </c>
      <c r="J744" s="6">
        <v>28124</v>
      </c>
      <c r="K744" s="6">
        <v>8940</v>
      </c>
    </row>
    <row r="745" spans="1:11" x14ac:dyDescent="0.25">
      <c r="A745" s="1">
        <v>0.51597222222222205</v>
      </c>
      <c r="B745" s="2">
        <v>6.15</v>
      </c>
      <c r="C745" s="2">
        <v>3.5399999999999996</v>
      </c>
      <c r="D745" s="2">
        <v>5.1300000000000008</v>
      </c>
      <c r="E745" s="2">
        <v>5.44</v>
      </c>
      <c r="F745" s="2">
        <v>2.88</v>
      </c>
      <c r="G745" s="6">
        <v>19546</v>
      </c>
      <c r="H745" s="6">
        <v>22400</v>
      </c>
      <c r="I745" s="6">
        <v>22262</v>
      </c>
      <c r="J745" s="6">
        <v>10246</v>
      </c>
      <c r="K745" s="6">
        <v>19360</v>
      </c>
    </row>
    <row r="746" spans="1:11" x14ac:dyDescent="0.25">
      <c r="A746" s="1">
        <v>0.51666666666666705</v>
      </c>
      <c r="B746" s="2">
        <v>6.2200000000000006</v>
      </c>
      <c r="C746" s="2">
        <v>3.6999999999999997</v>
      </c>
      <c r="D746" s="2">
        <v>5.0600000000000005</v>
      </c>
      <c r="E746" s="2">
        <v>4.9000000000000004</v>
      </c>
      <c r="F746" s="2">
        <v>3.0500000000000003</v>
      </c>
      <c r="G746" s="6">
        <v>15357</v>
      </c>
      <c r="H746" s="6">
        <v>18211</v>
      </c>
      <c r="I746" s="6">
        <v>18073</v>
      </c>
      <c r="J746" s="6">
        <v>16999</v>
      </c>
      <c r="K746" s="6">
        <v>14704</v>
      </c>
    </row>
    <row r="747" spans="1:11" x14ac:dyDescent="0.25">
      <c r="A747" s="1">
        <v>0.51736111111111105</v>
      </c>
      <c r="B747" s="2">
        <v>6.23</v>
      </c>
      <c r="C747" s="2">
        <v>3.76</v>
      </c>
      <c r="D747" s="2">
        <v>4.9700000000000006</v>
      </c>
      <c r="E747" s="2">
        <v>4.9800000000000004</v>
      </c>
      <c r="F747" s="2">
        <v>3.08</v>
      </c>
      <c r="G747" s="6">
        <v>16452</v>
      </c>
      <c r="H747" s="6">
        <v>19306</v>
      </c>
      <c r="I747" s="6">
        <v>19168</v>
      </c>
      <c r="J747" s="6">
        <v>18094</v>
      </c>
      <c r="K747" s="6">
        <v>7930</v>
      </c>
    </row>
    <row r="748" spans="1:11" x14ac:dyDescent="0.25">
      <c r="A748" s="1">
        <v>0.51805555555555605</v>
      </c>
      <c r="B748" s="2">
        <v>6.19</v>
      </c>
      <c r="C748" s="2">
        <v>3.6599999999999997</v>
      </c>
      <c r="D748" s="2">
        <v>5.25</v>
      </c>
      <c r="E748" s="2">
        <v>5.16</v>
      </c>
      <c r="F748" s="2">
        <v>3.31</v>
      </c>
      <c r="G748" s="6">
        <v>16972</v>
      </c>
      <c r="H748" s="6">
        <v>19826</v>
      </c>
      <c r="I748" s="6">
        <v>19688</v>
      </c>
      <c r="J748" s="6">
        <v>18614</v>
      </c>
      <c r="K748" s="6">
        <v>18282</v>
      </c>
    </row>
    <row r="749" spans="1:11" x14ac:dyDescent="0.25">
      <c r="A749" s="1">
        <v>0.51875000000000004</v>
      </c>
      <c r="B749" s="2">
        <v>6.32</v>
      </c>
      <c r="C749" s="2">
        <v>3.5599999999999996</v>
      </c>
      <c r="D749" s="2">
        <v>4.91</v>
      </c>
      <c r="E749" s="2">
        <v>5.12</v>
      </c>
      <c r="F749" s="2">
        <v>3.23</v>
      </c>
      <c r="G749" s="6">
        <v>19987</v>
      </c>
      <c r="H749" s="6">
        <v>22841</v>
      </c>
      <c r="I749" s="6">
        <v>22703</v>
      </c>
      <c r="J749" s="6">
        <v>10648</v>
      </c>
      <c r="K749" s="6">
        <v>8698</v>
      </c>
    </row>
    <row r="750" spans="1:11" x14ac:dyDescent="0.25">
      <c r="A750" s="1">
        <v>0.51944444444444404</v>
      </c>
      <c r="B750" s="2">
        <v>6.15</v>
      </c>
      <c r="C750" s="2">
        <v>3.5399999999999996</v>
      </c>
      <c r="D750" s="2">
        <v>5.03</v>
      </c>
      <c r="E750" s="2">
        <v>4.9800000000000004</v>
      </c>
      <c r="F750" s="2">
        <v>3.35</v>
      </c>
      <c r="G750" s="6">
        <v>22354</v>
      </c>
      <c r="H750" s="6">
        <v>25208</v>
      </c>
      <c r="I750" s="6">
        <v>25070</v>
      </c>
      <c r="J750" s="6">
        <v>23996</v>
      </c>
      <c r="K750" s="6">
        <v>13351</v>
      </c>
    </row>
    <row r="751" spans="1:11" x14ac:dyDescent="0.25">
      <c r="A751" s="1">
        <v>0.52013888888888904</v>
      </c>
      <c r="B751" s="2">
        <v>6.28</v>
      </c>
      <c r="C751" s="2">
        <v>3.7199999999999998</v>
      </c>
      <c r="D751" s="2">
        <v>5.17</v>
      </c>
      <c r="E751" s="2">
        <v>5.3900000000000006</v>
      </c>
      <c r="F751" s="2">
        <v>3.09</v>
      </c>
      <c r="G751" s="6">
        <v>11247</v>
      </c>
      <c r="H751" s="6">
        <v>14101</v>
      </c>
      <c r="I751" s="6">
        <v>13963</v>
      </c>
      <c r="J751" s="6">
        <v>12889</v>
      </c>
      <c r="K751" s="6">
        <v>10747</v>
      </c>
    </row>
    <row r="752" spans="1:11" x14ac:dyDescent="0.25">
      <c r="A752" s="1">
        <v>0.52083333333333304</v>
      </c>
      <c r="B752" s="2">
        <v>6.28</v>
      </c>
      <c r="C752" s="2">
        <v>3.73</v>
      </c>
      <c r="D752" s="2">
        <v>4.87</v>
      </c>
      <c r="E752" s="2">
        <v>5</v>
      </c>
      <c r="F752" s="2">
        <v>2.87</v>
      </c>
      <c r="G752" s="6">
        <v>16988</v>
      </c>
      <c r="H752" s="6">
        <v>19842</v>
      </c>
      <c r="I752" s="6">
        <v>19704</v>
      </c>
      <c r="J752" s="6">
        <v>18630</v>
      </c>
      <c r="K752" s="6">
        <v>17307</v>
      </c>
    </row>
    <row r="753" spans="1:11" x14ac:dyDescent="0.25">
      <c r="A753" s="1">
        <v>0.52152777777777803</v>
      </c>
      <c r="B753" s="2">
        <v>6.1400000000000006</v>
      </c>
      <c r="C753" s="2">
        <v>3.5399999999999996</v>
      </c>
      <c r="D753" s="2">
        <v>5.08</v>
      </c>
      <c r="E753" s="2">
        <v>5.3900000000000006</v>
      </c>
      <c r="F753" s="2">
        <v>3.2600000000000002</v>
      </c>
      <c r="G753" s="6">
        <v>19785</v>
      </c>
      <c r="H753" s="6">
        <v>22639</v>
      </c>
      <c r="I753" s="6">
        <v>22501</v>
      </c>
      <c r="J753" s="6">
        <v>10355</v>
      </c>
      <c r="K753" s="6">
        <v>7948</v>
      </c>
    </row>
    <row r="754" spans="1:11" x14ac:dyDescent="0.25">
      <c r="A754" s="1">
        <v>0.52222222222222203</v>
      </c>
      <c r="B754" s="2">
        <v>6.12</v>
      </c>
      <c r="C754" s="2">
        <v>3.6799999999999997</v>
      </c>
      <c r="D754" s="2">
        <v>5.0600000000000005</v>
      </c>
      <c r="E754" s="2">
        <v>4.8600000000000003</v>
      </c>
      <c r="F754" s="2">
        <v>3.04</v>
      </c>
      <c r="G754" s="6">
        <v>13496</v>
      </c>
      <c r="H754" s="6">
        <v>16350</v>
      </c>
      <c r="I754" s="6">
        <v>16212</v>
      </c>
      <c r="J754" s="6">
        <v>15138</v>
      </c>
      <c r="K754" s="6">
        <v>15369</v>
      </c>
    </row>
    <row r="755" spans="1:11" x14ac:dyDescent="0.25">
      <c r="A755" s="1">
        <v>0.52291666666666703</v>
      </c>
      <c r="B755" s="2">
        <v>6.1800000000000006</v>
      </c>
      <c r="C755" s="2">
        <v>3.6799999999999997</v>
      </c>
      <c r="D755" s="2">
        <v>5.2</v>
      </c>
      <c r="E755" s="2">
        <v>5.2600000000000007</v>
      </c>
      <c r="F755" s="2">
        <v>3.24</v>
      </c>
      <c r="G755" s="6">
        <v>16975</v>
      </c>
      <c r="H755" s="6">
        <v>19829</v>
      </c>
      <c r="I755" s="6">
        <v>19691</v>
      </c>
      <c r="J755" s="6">
        <v>18617</v>
      </c>
      <c r="K755" s="6">
        <v>9136</v>
      </c>
    </row>
    <row r="756" spans="1:11" x14ac:dyDescent="0.25">
      <c r="A756" s="1">
        <v>0.52361111111111103</v>
      </c>
      <c r="B756" s="2">
        <v>6.12</v>
      </c>
      <c r="C756" s="2">
        <v>3.61</v>
      </c>
      <c r="D756" s="2">
        <v>4.88</v>
      </c>
      <c r="E756" s="2">
        <v>4.9300000000000006</v>
      </c>
      <c r="F756" s="2">
        <v>3.33</v>
      </c>
      <c r="G756" s="6">
        <v>13349</v>
      </c>
      <c r="H756" s="6">
        <v>16203</v>
      </c>
      <c r="I756" s="6">
        <v>16065</v>
      </c>
      <c r="J756" s="6">
        <v>14991</v>
      </c>
      <c r="K756" s="6">
        <v>12562</v>
      </c>
    </row>
    <row r="757" spans="1:11" x14ac:dyDescent="0.25">
      <c r="A757" s="1">
        <v>0.52430555555555602</v>
      </c>
      <c r="B757" s="2">
        <v>6.13</v>
      </c>
      <c r="C757" s="2">
        <v>3.61</v>
      </c>
      <c r="D757" s="2">
        <v>5.21</v>
      </c>
      <c r="E757" s="2">
        <v>5.0100000000000007</v>
      </c>
      <c r="F757" s="2">
        <v>3.0500000000000003</v>
      </c>
      <c r="G757" s="6">
        <v>19468</v>
      </c>
      <c r="H757" s="6">
        <v>22322</v>
      </c>
      <c r="I757" s="6">
        <v>22184</v>
      </c>
      <c r="J757" s="6">
        <v>10465</v>
      </c>
      <c r="K757" s="6">
        <v>9663</v>
      </c>
    </row>
    <row r="758" spans="1:11" x14ac:dyDescent="0.25">
      <c r="A758" s="1">
        <v>0.52500000000000002</v>
      </c>
      <c r="B758" s="2">
        <v>6.07</v>
      </c>
      <c r="C758" s="2">
        <v>3.6199999999999997</v>
      </c>
      <c r="D758" s="2">
        <v>5.12</v>
      </c>
      <c r="E758" s="2">
        <v>5.1000000000000005</v>
      </c>
      <c r="F758" s="2">
        <v>2.97</v>
      </c>
      <c r="G758" s="6">
        <v>24645</v>
      </c>
      <c r="H758" s="6">
        <v>27499</v>
      </c>
      <c r="I758" s="6">
        <v>27361</v>
      </c>
      <c r="J758" s="6">
        <v>10368</v>
      </c>
      <c r="K758" s="6">
        <v>6537</v>
      </c>
    </row>
    <row r="759" spans="1:11" x14ac:dyDescent="0.25">
      <c r="A759" s="1">
        <v>0.52569444444444402</v>
      </c>
      <c r="B759" s="2">
        <v>6.15</v>
      </c>
      <c r="C759" s="2">
        <v>3.59</v>
      </c>
      <c r="D759" s="2">
        <v>5</v>
      </c>
      <c r="E759" s="2">
        <v>5.25</v>
      </c>
      <c r="F759" s="2">
        <v>3</v>
      </c>
      <c r="G759" s="6">
        <v>21567</v>
      </c>
      <c r="H759" s="6">
        <v>24421</v>
      </c>
      <c r="I759" s="6">
        <v>24283</v>
      </c>
      <c r="J759" s="6">
        <v>23209</v>
      </c>
      <c r="K759" s="6">
        <v>5443</v>
      </c>
    </row>
    <row r="760" spans="1:11" x14ac:dyDescent="0.25">
      <c r="A760" s="1">
        <v>0.52638888888888902</v>
      </c>
      <c r="B760" s="2">
        <v>6.12</v>
      </c>
      <c r="C760" s="2">
        <v>3.7199999999999998</v>
      </c>
      <c r="D760" s="2">
        <v>5.2200000000000006</v>
      </c>
      <c r="E760" s="2">
        <v>5.1800000000000006</v>
      </c>
      <c r="F760" s="2">
        <v>3.35</v>
      </c>
      <c r="G760" s="6">
        <v>16475</v>
      </c>
      <c r="H760" s="6">
        <v>19329</v>
      </c>
      <c r="I760" s="6">
        <v>19191</v>
      </c>
      <c r="J760" s="6">
        <v>18117</v>
      </c>
      <c r="K760" s="6">
        <v>12950</v>
      </c>
    </row>
    <row r="761" spans="1:11" x14ac:dyDescent="0.25">
      <c r="A761" s="1">
        <v>0.52708333333333302</v>
      </c>
      <c r="B761" s="2">
        <v>6.29</v>
      </c>
      <c r="C761" s="2">
        <v>3.57</v>
      </c>
      <c r="D761" s="2">
        <v>5.08</v>
      </c>
      <c r="E761" s="2">
        <v>5.2600000000000007</v>
      </c>
      <c r="F761" s="2">
        <v>3.04</v>
      </c>
      <c r="G761" s="6">
        <v>10287</v>
      </c>
      <c r="H761" s="6">
        <v>13141</v>
      </c>
      <c r="I761" s="6">
        <v>13003</v>
      </c>
      <c r="J761" s="6">
        <v>10258</v>
      </c>
      <c r="K761" s="6">
        <v>14319</v>
      </c>
    </row>
    <row r="762" spans="1:11" x14ac:dyDescent="0.25">
      <c r="A762" s="1">
        <v>0.52777777777777801</v>
      </c>
      <c r="B762" s="2">
        <v>6.33</v>
      </c>
      <c r="C762" s="2">
        <v>3.7699999999999996</v>
      </c>
      <c r="D762" s="2">
        <v>4.9800000000000004</v>
      </c>
      <c r="E762" s="2">
        <v>5.1400000000000006</v>
      </c>
      <c r="F762" s="2">
        <v>2.92</v>
      </c>
      <c r="G762" s="6">
        <v>12658</v>
      </c>
      <c r="H762" s="6">
        <v>15512</v>
      </c>
      <c r="I762" s="6">
        <v>15374</v>
      </c>
      <c r="J762" s="6">
        <v>1255</v>
      </c>
      <c r="K762" s="6">
        <v>8863</v>
      </c>
    </row>
    <row r="763" spans="1:11" x14ac:dyDescent="0.25">
      <c r="A763" s="1">
        <v>0.52847222222222201</v>
      </c>
      <c r="B763" s="2">
        <v>6.24</v>
      </c>
      <c r="C763" s="2">
        <v>3.65</v>
      </c>
      <c r="D763" s="2">
        <v>5.1100000000000003</v>
      </c>
      <c r="E763" s="2">
        <v>5.1000000000000005</v>
      </c>
      <c r="F763" s="2">
        <v>2.98</v>
      </c>
      <c r="G763" s="6">
        <v>16752</v>
      </c>
      <c r="H763" s="6">
        <v>19606</v>
      </c>
      <c r="I763" s="6">
        <v>19468</v>
      </c>
      <c r="J763" s="6">
        <v>10254</v>
      </c>
      <c r="K763" s="6">
        <v>13337</v>
      </c>
    </row>
    <row r="764" spans="1:11" x14ac:dyDescent="0.25">
      <c r="A764" s="1">
        <v>0.52916666666666701</v>
      </c>
      <c r="B764" s="2">
        <v>6.28</v>
      </c>
      <c r="C764" s="2">
        <v>3.76</v>
      </c>
      <c r="D764" s="2">
        <v>5.21</v>
      </c>
      <c r="E764" s="2">
        <v>5.1000000000000005</v>
      </c>
      <c r="F764" s="2">
        <v>3.06</v>
      </c>
      <c r="G764" s="6">
        <v>24535</v>
      </c>
      <c r="H764" s="6">
        <v>27389</v>
      </c>
      <c r="I764" s="6">
        <v>27251</v>
      </c>
      <c r="J764" s="6">
        <v>12054</v>
      </c>
      <c r="K764" s="6">
        <v>8404</v>
      </c>
    </row>
    <row r="765" spans="1:11" x14ac:dyDescent="0.25">
      <c r="A765" s="1">
        <v>0.52986111111111101</v>
      </c>
      <c r="B765" s="2">
        <v>6.17</v>
      </c>
      <c r="C765" s="2">
        <v>3.71</v>
      </c>
      <c r="D765" s="2">
        <v>5.12</v>
      </c>
      <c r="E765" s="2">
        <v>5.1000000000000005</v>
      </c>
      <c r="F765" s="2">
        <v>3.0500000000000003</v>
      </c>
      <c r="G765" s="6">
        <v>19854</v>
      </c>
      <c r="H765" s="6">
        <v>22708</v>
      </c>
      <c r="I765" s="6">
        <v>22570</v>
      </c>
      <c r="J765" s="6">
        <v>10345</v>
      </c>
      <c r="K765" s="6">
        <v>19302</v>
      </c>
    </row>
    <row r="766" spans="1:11" x14ac:dyDescent="0.25">
      <c r="A766" s="1">
        <v>0.530555555555556</v>
      </c>
      <c r="B766" s="2">
        <v>6.1400000000000006</v>
      </c>
      <c r="C766" s="2">
        <v>3.75</v>
      </c>
      <c r="D766" s="2">
        <v>4.9000000000000004</v>
      </c>
      <c r="E766" s="2">
        <v>4.88</v>
      </c>
      <c r="F766" s="2">
        <v>2.94</v>
      </c>
      <c r="G766" s="6">
        <v>16782</v>
      </c>
      <c r="H766" s="6">
        <v>19636</v>
      </c>
      <c r="I766" s="6">
        <v>19498</v>
      </c>
      <c r="J766" s="6">
        <v>18424</v>
      </c>
      <c r="K766" s="6">
        <v>8626</v>
      </c>
    </row>
    <row r="767" spans="1:11" x14ac:dyDescent="0.25">
      <c r="A767" s="1">
        <v>0.53125</v>
      </c>
      <c r="B767" s="2">
        <v>6.33</v>
      </c>
      <c r="C767" s="2">
        <v>3.6999999999999997</v>
      </c>
      <c r="D767" s="2">
        <v>4.91</v>
      </c>
      <c r="E767" s="2">
        <v>5.41</v>
      </c>
      <c r="F767" s="2">
        <v>2.87</v>
      </c>
      <c r="G767" s="6">
        <v>12973</v>
      </c>
      <c r="H767" s="6">
        <v>15827</v>
      </c>
      <c r="I767" s="6">
        <v>15689</v>
      </c>
      <c r="J767" s="6">
        <v>14615</v>
      </c>
      <c r="K767" s="6">
        <v>18667</v>
      </c>
    </row>
    <row r="768" spans="1:11" x14ac:dyDescent="0.25">
      <c r="A768" s="1">
        <v>0.531944444444444</v>
      </c>
      <c r="B768" s="2">
        <v>6.11</v>
      </c>
      <c r="C768" s="2">
        <v>3.6599999999999997</v>
      </c>
      <c r="D768" s="2">
        <v>5.15</v>
      </c>
      <c r="E768" s="2">
        <v>5.13</v>
      </c>
      <c r="F768" s="2">
        <v>3.0700000000000003</v>
      </c>
      <c r="G768" s="6">
        <v>5698</v>
      </c>
      <c r="H768" s="6">
        <v>8552</v>
      </c>
      <c r="I768" s="6">
        <v>8414</v>
      </c>
      <c r="J768" s="6">
        <v>7340</v>
      </c>
      <c r="K768" s="6">
        <v>12312</v>
      </c>
    </row>
    <row r="769" spans="1:12" x14ac:dyDescent="0.25">
      <c r="A769" s="1">
        <v>0.53263888888888899</v>
      </c>
      <c r="B769" s="2">
        <v>6.11</v>
      </c>
      <c r="C769" s="2">
        <v>3.63</v>
      </c>
      <c r="D769" s="2">
        <v>4.9000000000000004</v>
      </c>
      <c r="E769" s="2">
        <v>5.19</v>
      </c>
      <c r="F769" s="2">
        <v>3.0100000000000002</v>
      </c>
      <c r="G769" s="6">
        <v>7005</v>
      </c>
      <c r="H769" s="6">
        <v>9859</v>
      </c>
      <c r="I769" s="6">
        <v>9721</v>
      </c>
      <c r="J769" s="6">
        <v>8647</v>
      </c>
      <c r="K769" s="6">
        <v>11641</v>
      </c>
    </row>
    <row r="770" spans="1:12" x14ac:dyDescent="0.25">
      <c r="A770" s="1">
        <v>0.53333333333333299</v>
      </c>
      <c r="B770" s="2">
        <v>6.23</v>
      </c>
      <c r="C770" s="2">
        <v>3.75</v>
      </c>
      <c r="D770" s="2">
        <v>4.8600000000000003</v>
      </c>
      <c r="E770" s="2">
        <v>4.95</v>
      </c>
      <c r="F770" s="2">
        <v>3.3000000000000003</v>
      </c>
      <c r="G770" s="6">
        <v>13547</v>
      </c>
      <c r="H770" s="6">
        <v>16401</v>
      </c>
      <c r="I770" s="6">
        <v>16263</v>
      </c>
      <c r="J770" s="6">
        <v>15189</v>
      </c>
      <c r="K770" s="6">
        <v>8174</v>
      </c>
    </row>
    <row r="771" spans="1:12" x14ac:dyDescent="0.25">
      <c r="A771" s="1">
        <v>0.53402777777777799</v>
      </c>
      <c r="B771" s="2">
        <v>6.16</v>
      </c>
      <c r="C771" s="2">
        <v>3.55</v>
      </c>
      <c r="D771" s="2">
        <v>5.12</v>
      </c>
      <c r="E771" s="2">
        <v>5.15</v>
      </c>
      <c r="F771" s="2">
        <v>2.88</v>
      </c>
      <c r="G771" s="6">
        <v>16725</v>
      </c>
      <c r="H771" s="6">
        <v>19579</v>
      </c>
      <c r="I771" s="6">
        <v>19441</v>
      </c>
      <c r="J771" s="6">
        <v>18367</v>
      </c>
      <c r="K771" s="6">
        <v>19076</v>
      </c>
    </row>
    <row r="772" spans="1:12" x14ac:dyDescent="0.25">
      <c r="A772" s="1">
        <v>0.53472222222222199</v>
      </c>
      <c r="B772" s="2">
        <v>6.13</v>
      </c>
      <c r="C772" s="2">
        <v>3.7199999999999998</v>
      </c>
      <c r="D772" s="2">
        <v>5.1000000000000005</v>
      </c>
      <c r="E772" s="2">
        <v>5.5</v>
      </c>
      <c r="F772" s="2">
        <v>3.13</v>
      </c>
      <c r="G772" s="6">
        <v>19786</v>
      </c>
      <c r="H772" s="6">
        <v>22640</v>
      </c>
      <c r="I772" s="6">
        <v>22502</v>
      </c>
      <c r="J772" s="6">
        <v>21428</v>
      </c>
      <c r="K772" s="6">
        <v>17682</v>
      </c>
    </row>
    <row r="773" spans="1:12" x14ac:dyDescent="0.25">
      <c r="A773" s="1">
        <v>0.53541666666666698</v>
      </c>
      <c r="B773" s="2">
        <v>6.29</v>
      </c>
      <c r="C773" s="2">
        <v>3.51</v>
      </c>
      <c r="D773" s="2">
        <v>5.0100000000000007</v>
      </c>
      <c r="E773" s="2">
        <v>5.48</v>
      </c>
      <c r="F773" s="2">
        <v>3.27</v>
      </c>
      <c r="G773" s="6">
        <v>25642</v>
      </c>
      <c r="H773" s="6">
        <v>28496</v>
      </c>
      <c r="I773" s="6">
        <v>18345</v>
      </c>
      <c r="J773" s="6">
        <v>27284</v>
      </c>
      <c r="K773" s="6">
        <v>9495</v>
      </c>
    </row>
    <row r="774" spans="1:12" x14ac:dyDescent="0.25">
      <c r="A774" s="1">
        <v>0.53611111111111098</v>
      </c>
      <c r="B774" s="2">
        <v>6.1000000000000005</v>
      </c>
      <c r="C774" s="2">
        <v>3.75</v>
      </c>
      <c r="D774" s="2">
        <v>5.08</v>
      </c>
      <c r="E774" s="2">
        <v>5.12</v>
      </c>
      <c r="F774" s="2">
        <v>2.9</v>
      </c>
      <c r="G774" s="6">
        <v>20745</v>
      </c>
      <c r="H774" s="6">
        <v>23599</v>
      </c>
      <c r="I774" s="6">
        <v>8974</v>
      </c>
      <c r="J774" s="6">
        <v>22387</v>
      </c>
      <c r="K774" s="6">
        <v>6471</v>
      </c>
    </row>
    <row r="775" spans="1:12" x14ac:dyDescent="0.25">
      <c r="A775" s="1">
        <v>0.53680555555555598</v>
      </c>
      <c r="B775" s="2">
        <v>6.16</v>
      </c>
      <c r="C775" s="2">
        <v>3.6599999999999997</v>
      </c>
      <c r="D775" s="2">
        <v>4.9400000000000004</v>
      </c>
      <c r="E775" s="2">
        <v>5.25</v>
      </c>
      <c r="F775" s="2">
        <v>2.98</v>
      </c>
      <c r="G775" s="6">
        <v>16478</v>
      </c>
      <c r="H775" s="6">
        <v>19332</v>
      </c>
      <c r="I775" s="6">
        <v>6857</v>
      </c>
      <c r="J775" s="6">
        <v>4565</v>
      </c>
      <c r="K775" s="6">
        <v>7356</v>
      </c>
    </row>
    <row r="776" spans="1:12" x14ac:dyDescent="0.25">
      <c r="A776" s="1">
        <v>0.53749999999999998</v>
      </c>
      <c r="B776" s="2">
        <v>6.28</v>
      </c>
      <c r="C776" s="2">
        <v>3.7399999999999998</v>
      </c>
      <c r="D776" s="2">
        <v>5.1300000000000008</v>
      </c>
      <c r="E776" s="2">
        <v>4.9400000000000004</v>
      </c>
      <c r="F776" s="2">
        <v>3.0300000000000002</v>
      </c>
      <c r="G776" s="6">
        <v>19672</v>
      </c>
      <c r="H776" s="6">
        <v>22526</v>
      </c>
      <c r="I776" s="6">
        <v>9547</v>
      </c>
      <c r="J776" s="6">
        <v>10245</v>
      </c>
      <c r="K776" s="6">
        <v>17070</v>
      </c>
    </row>
    <row r="777" spans="1:12" x14ac:dyDescent="0.25">
      <c r="A777" s="1">
        <v>0.53819444444444398</v>
      </c>
      <c r="B777" s="2">
        <v>6.24</v>
      </c>
      <c r="C777" s="2">
        <v>3.61</v>
      </c>
      <c r="D777" s="2">
        <v>4.9400000000000004</v>
      </c>
      <c r="E777" s="2">
        <v>5.29</v>
      </c>
      <c r="F777" s="2">
        <v>3.0300000000000002</v>
      </c>
      <c r="G777" s="6">
        <v>15679</v>
      </c>
      <c r="H777" s="6">
        <v>18533</v>
      </c>
      <c r="I777" s="6">
        <v>10396</v>
      </c>
      <c r="J777" s="6">
        <v>12411</v>
      </c>
      <c r="K777" s="6">
        <v>17384</v>
      </c>
    </row>
    <row r="778" spans="1:12" x14ac:dyDescent="0.25">
      <c r="A778" s="1">
        <v>0.53888888888888897</v>
      </c>
      <c r="B778" s="2">
        <v>6.2</v>
      </c>
      <c r="C778" s="2">
        <v>3.63</v>
      </c>
      <c r="D778" s="2">
        <v>4.96</v>
      </c>
      <c r="E778" s="2">
        <v>4.99</v>
      </c>
      <c r="F778" s="2">
        <v>3.2</v>
      </c>
      <c r="G778" s="6">
        <v>13347</v>
      </c>
      <c r="H778" s="6">
        <v>16201</v>
      </c>
      <c r="I778" s="6">
        <v>9606</v>
      </c>
      <c r="J778" s="6">
        <v>14989</v>
      </c>
      <c r="K778" s="6">
        <v>13395</v>
      </c>
    </row>
    <row r="779" spans="1:12" x14ac:dyDescent="0.25">
      <c r="A779" s="1">
        <v>0.53958333333333297</v>
      </c>
      <c r="B779" s="2">
        <v>6.07</v>
      </c>
      <c r="C779" s="2">
        <v>3.61</v>
      </c>
      <c r="D779" s="2">
        <v>5.15</v>
      </c>
      <c r="E779" s="2">
        <v>5.03</v>
      </c>
      <c r="F779" s="2">
        <v>2.99</v>
      </c>
      <c r="G779" s="6">
        <v>26425</v>
      </c>
      <c r="H779" s="6">
        <v>29279</v>
      </c>
      <c r="I779" s="6">
        <v>12141</v>
      </c>
      <c r="J779" s="6">
        <v>13542</v>
      </c>
      <c r="K779" s="6">
        <v>18566</v>
      </c>
    </row>
    <row r="780" spans="1:12" x14ac:dyDescent="0.25">
      <c r="A780" s="1">
        <v>0.54027777777777797</v>
      </c>
      <c r="B780" s="2">
        <v>6.2600000000000007</v>
      </c>
      <c r="C780" s="2">
        <v>3.59</v>
      </c>
      <c r="D780" s="2">
        <v>5.07</v>
      </c>
      <c r="E780" s="2">
        <v>5.4700000000000006</v>
      </c>
      <c r="F780" s="2">
        <v>3.14</v>
      </c>
      <c r="G780" s="6">
        <v>15467</v>
      </c>
      <c r="H780" s="6">
        <v>18321</v>
      </c>
      <c r="I780" s="6">
        <v>10183</v>
      </c>
      <c r="J780" s="6">
        <v>17109</v>
      </c>
      <c r="K780" s="6">
        <v>11250</v>
      </c>
    </row>
    <row r="781" spans="1:12" x14ac:dyDescent="0.25">
      <c r="A781" s="1">
        <v>0.54097222222222197</v>
      </c>
      <c r="B781" s="2">
        <v>6.19</v>
      </c>
      <c r="C781" s="2">
        <v>3.6999999999999997</v>
      </c>
      <c r="D781" s="2">
        <v>5.16</v>
      </c>
      <c r="E781" s="2">
        <v>4.9300000000000006</v>
      </c>
      <c r="F781" s="2">
        <v>2.99</v>
      </c>
      <c r="G781" s="6">
        <v>12636</v>
      </c>
      <c r="H781" s="6">
        <v>15490</v>
      </c>
      <c r="I781" s="6">
        <v>8352</v>
      </c>
      <c r="J781" s="6">
        <v>9245</v>
      </c>
      <c r="K781" s="6">
        <v>15173</v>
      </c>
    </row>
    <row r="782" spans="1:12" x14ac:dyDescent="0.25">
      <c r="A782" s="3">
        <v>0.54166666666666696</v>
      </c>
      <c r="B782" s="4">
        <v>6.19</v>
      </c>
      <c r="C782" s="4">
        <v>3.66</v>
      </c>
      <c r="D782" s="4">
        <v>5.09</v>
      </c>
      <c r="E782" s="4">
        <v>5.26</v>
      </c>
      <c r="F782" s="4">
        <v>3.09</v>
      </c>
      <c r="G782" s="7">
        <v>10280</v>
      </c>
      <c r="H782" s="7">
        <v>12500</v>
      </c>
      <c r="I782" s="6">
        <v>7423</v>
      </c>
      <c r="J782" s="7">
        <v>8085</v>
      </c>
      <c r="K782" s="7">
        <v>10770</v>
      </c>
    </row>
    <row r="783" spans="1:12" x14ac:dyDescent="0.25">
      <c r="A783" s="1">
        <v>0.54236111111111096</v>
      </c>
      <c r="B783" s="2">
        <v>6.1000000000000005</v>
      </c>
      <c r="C783" s="2">
        <v>3.73</v>
      </c>
      <c r="D783" s="2">
        <v>5.16</v>
      </c>
      <c r="E783" s="2">
        <v>5.33</v>
      </c>
      <c r="F783" s="2">
        <v>3.3200000000000003</v>
      </c>
      <c r="G783" s="6">
        <v>12355</v>
      </c>
      <c r="H783" s="6">
        <f>G783+1554</f>
        <v>13909</v>
      </c>
      <c r="I783" s="6">
        <v>7261</v>
      </c>
      <c r="J783" s="6">
        <f>I783-624</f>
        <v>6637</v>
      </c>
      <c r="K783" s="6">
        <v>5334</v>
      </c>
      <c r="L783" s="2"/>
    </row>
    <row r="784" spans="1:12" x14ac:dyDescent="0.25">
      <c r="A784" s="1">
        <v>0.54305555555555596</v>
      </c>
      <c r="B784" s="2">
        <v>6.29</v>
      </c>
      <c r="C784" s="2">
        <v>3.59</v>
      </c>
      <c r="D784" s="2">
        <v>4.9000000000000004</v>
      </c>
      <c r="E784" s="2">
        <v>5.24</v>
      </c>
      <c r="F784" s="2">
        <v>3.2600000000000002</v>
      </c>
      <c r="G784" s="6">
        <v>15548</v>
      </c>
      <c r="H784" s="6">
        <f t="shared" ref="H784:H841" si="19">G784+1554</f>
        <v>17102</v>
      </c>
      <c r="I784" s="6">
        <v>10454</v>
      </c>
      <c r="J784" s="6">
        <f t="shared" ref="J784:J828" si="20">I784-624</f>
        <v>9830</v>
      </c>
      <c r="K784" s="6">
        <v>7937</v>
      </c>
      <c r="L784" s="2"/>
    </row>
    <row r="785" spans="1:12" x14ac:dyDescent="0.25">
      <c r="A785" s="1">
        <v>0.54374999999999996</v>
      </c>
      <c r="B785" s="2">
        <v>6.2</v>
      </c>
      <c r="C785" s="2">
        <v>3.65</v>
      </c>
      <c r="D785" s="2">
        <v>4.8900000000000006</v>
      </c>
      <c r="E785" s="2">
        <v>4.9300000000000006</v>
      </c>
      <c r="F785" s="2">
        <v>3.2</v>
      </c>
      <c r="G785" s="6">
        <v>13545</v>
      </c>
      <c r="H785" s="6">
        <f t="shared" si="19"/>
        <v>15099</v>
      </c>
      <c r="I785" s="6">
        <v>8451</v>
      </c>
      <c r="J785" s="6">
        <f t="shared" si="20"/>
        <v>7827</v>
      </c>
      <c r="K785" s="6">
        <v>9458</v>
      </c>
      <c r="L785" s="2"/>
    </row>
    <row r="786" spans="1:12" x14ac:dyDescent="0.25">
      <c r="A786" s="1">
        <v>0.54444444444444495</v>
      </c>
      <c r="B786" s="2">
        <v>6.19</v>
      </c>
      <c r="C786" s="2">
        <v>3.5399999999999996</v>
      </c>
      <c r="D786" s="2">
        <v>5.17</v>
      </c>
      <c r="E786" s="2">
        <v>5.03</v>
      </c>
      <c r="F786" s="2">
        <v>2.99</v>
      </c>
      <c r="G786" s="6">
        <v>15324</v>
      </c>
      <c r="H786" s="6">
        <f t="shared" si="19"/>
        <v>16878</v>
      </c>
      <c r="I786" s="6">
        <v>10230</v>
      </c>
      <c r="J786" s="6">
        <f t="shared" si="20"/>
        <v>9606</v>
      </c>
      <c r="K786" s="6">
        <v>10872</v>
      </c>
      <c r="L786" s="2"/>
    </row>
    <row r="787" spans="1:12" x14ac:dyDescent="0.25">
      <c r="A787" s="1">
        <v>0.54513888888888895</v>
      </c>
      <c r="B787" s="2">
        <v>6.09</v>
      </c>
      <c r="C787" s="2">
        <v>3.5599999999999996</v>
      </c>
      <c r="D787" s="2">
        <v>5.24</v>
      </c>
      <c r="E787" s="2">
        <v>5.5200000000000005</v>
      </c>
      <c r="F787" s="2">
        <v>3.3000000000000003</v>
      </c>
      <c r="G787" s="6">
        <v>15545</v>
      </c>
      <c r="H787" s="6">
        <f t="shared" si="19"/>
        <v>17099</v>
      </c>
      <c r="I787" s="6">
        <v>10451</v>
      </c>
      <c r="J787" s="6">
        <f t="shared" si="20"/>
        <v>9827</v>
      </c>
      <c r="K787" s="6">
        <v>9858</v>
      </c>
      <c r="L787" s="2"/>
    </row>
    <row r="788" spans="1:12" x14ac:dyDescent="0.25">
      <c r="A788" s="1">
        <v>0.54583333333333295</v>
      </c>
      <c r="B788" s="2">
        <v>6.1000000000000005</v>
      </c>
      <c r="C788" s="2">
        <v>3.5999999999999996</v>
      </c>
      <c r="D788" s="2">
        <v>5.2200000000000006</v>
      </c>
      <c r="E788" s="2">
        <v>5.2600000000000007</v>
      </c>
      <c r="F788" s="2">
        <v>3.08</v>
      </c>
      <c r="G788" s="6">
        <v>19898</v>
      </c>
      <c r="H788" s="6">
        <f t="shared" si="19"/>
        <v>21452</v>
      </c>
      <c r="I788" s="6">
        <v>14804</v>
      </c>
      <c r="J788" s="6">
        <f t="shared" si="20"/>
        <v>14180</v>
      </c>
      <c r="K788" s="6">
        <v>9740</v>
      </c>
      <c r="L788" s="2"/>
    </row>
    <row r="789" spans="1:12" x14ac:dyDescent="0.25">
      <c r="A789" s="1">
        <v>0.54652777777777795</v>
      </c>
      <c r="B789" s="2">
        <v>6.1400000000000006</v>
      </c>
      <c r="C789" s="2">
        <v>3.5599999999999996</v>
      </c>
      <c r="D789" s="2">
        <v>4.8600000000000003</v>
      </c>
      <c r="E789" s="2">
        <v>5.41</v>
      </c>
      <c r="F789" s="2">
        <v>3</v>
      </c>
      <c r="G789" s="6">
        <v>26425</v>
      </c>
      <c r="H789" s="6">
        <f t="shared" si="19"/>
        <v>27979</v>
      </c>
      <c r="I789" s="6">
        <v>21331</v>
      </c>
      <c r="J789" s="6">
        <f t="shared" si="20"/>
        <v>20707</v>
      </c>
      <c r="K789" s="6">
        <v>17466</v>
      </c>
      <c r="L789" s="2"/>
    </row>
    <row r="790" spans="1:12" x14ac:dyDescent="0.25">
      <c r="A790" s="1">
        <v>0.54722222222222205</v>
      </c>
      <c r="B790" s="2">
        <v>6.16</v>
      </c>
      <c r="C790" s="2">
        <v>3.5199999999999996</v>
      </c>
      <c r="D790" s="2">
        <v>5.03</v>
      </c>
      <c r="E790" s="2">
        <v>5.0100000000000007</v>
      </c>
      <c r="F790" s="2">
        <v>3.33</v>
      </c>
      <c r="G790" s="6">
        <v>22345</v>
      </c>
      <c r="H790" s="6">
        <f t="shared" si="19"/>
        <v>23899</v>
      </c>
      <c r="I790" s="6">
        <v>17251</v>
      </c>
      <c r="J790" s="6">
        <f t="shared" si="20"/>
        <v>16627</v>
      </c>
      <c r="K790" s="6">
        <v>16793</v>
      </c>
      <c r="L790" s="2"/>
    </row>
    <row r="791" spans="1:12" x14ac:dyDescent="0.25">
      <c r="A791" s="1">
        <v>0.54791666666666705</v>
      </c>
      <c r="B791" s="2">
        <v>6.29</v>
      </c>
      <c r="C791" s="2">
        <v>3.7199999999999998</v>
      </c>
      <c r="D791" s="2">
        <v>5.17</v>
      </c>
      <c r="E791" s="2">
        <v>5.15</v>
      </c>
      <c r="F791" s="2">
        <v>3.2600000000000002</v>
      </c>
      <c r="G791" s="6">
        <v>12545</v>
      </c>
      <c r="H791" s="6">
        <f t="shared" si="19"/>
        <v>14099</v>
      </c>
      <c r="I791" s="6">
        <v>7451</v>
      </c>
      <c r="J791" s="6">
        <f t="shared" si="20"/>
        <v>6827</v>
      </c>
      <c r="K791" s="6">
        <v>10315</v>
      </c>
      <c r="L791" s="2"/>
    </row>
    <row r="792" spans="1:12" x14ac:dyDescent="0.25">
      <c r="A792" s="1">
        <v>0.54861111111111105</v>
      </c>
      <c r="B792" s="2">
        <v>6.08</v>
      </c>
      <c r="C792" s="2">
        <v>3.7399999999999998</v>
      </c>
      <c r="D792" s="2">
        <v>4.9300000000000006</v>
      </c>
      <c r="E792" s="2">
        <v>4.96</v>
      </c>
      <c r="F792" s="2">
        <v>3.06</v>
      </c>
      <c r="G792" s="6">
        <v>28632</v>
      </c>
      <c r="H792" s="6">
        <f t="shared" si="19"/>
        <v>30186</v>
      </c>
      <c r="I792" s="6">
        <v>23538</v>
      </c>
      <c r="J792" s="6">
        <f t="shared" si="20"/>
        <v>22914</v>
      </c>
      <c r="K792" s="6">
        <v>5961</v>
      </c>
      <c r="L792" s="2"/>
    </row>
    <row r="793" spans="1:12" x14ac:dyDescent="0.25">
      <c r="A793" s="1">
        <v>0.54930555555555605</v>
      </c>
      <c r="B793" s="2">
        <v>6.12</v>
      </c>
      <c r="C793" s="2">
        <v>3.5599999999999996</v>
      </c>
      <c r="D793" s="2">
        <v>4.8900000000000006</v>
      </c>
      <c r="E793" s="2">
        <v>5.0200000000000005</v>
      </c>
      <c r="F793" s="2">
        <v>3.13</v>
      </c>
      <c r="G793" s="6">
        <v>32462</v>
      </c>
      <c r="H793" s="6">
        <f t="shared" si="19"/>
        <v>34016</v>
      </c>
      <c r="I793" s="6">
        <v>27368</v>
      </c>
      <c r="J793" s="6">
        <f t="shared" si="20"/>
        <v>26744</v>
      </c>
      <c r="K793" s="6">
        <v>5515</v>
      </c>
      <c r="L793" s="2"/>
    </row>
    <row r="794" spans="1:12" x14ac:dyDescent="0.25">
      <c r="A794" s="1">
        <v>0.55000000000000004</v>
      </c>
      <c r="B794" s="2">
        <v>6.21</v>
      </c>
      <c r="C794" s="2">
        <v>3.69</v>
      </c>
      <c r="D794" s="2">
        <v>5.07</v>
      </c>
      <c r="E794" s="2">
        <v>5.23</v>
      </c>
      <c r="F794" s="2">
        <v>2.89</v>
      </c>
      <c r="G794" s="6">
        <v>25647</v>
      </c>
      <c r="H794" s="6">
        <f t="shared" si="19"/>
        <v>27201</v>
      </c>
      <c r="I794" s="6">
        <v>20553</v>
      </c>
      <c r="J794" s="6">
        <f t="shared" si="20"/>
        <v>19929</v>
      </c>
      <c r="K794" s="6">
        <v>9608</v>
      </c>
      <c r="L794" s="2"/>
    </row>
    <row r="795" spans="1:12" x14ac:dyDescent="0.25">
      <c r="A795" s="1">
        <v>0.55069444444444404</v>
      </c>
      <c r="B795" s="2">
        <v>6.28</v>
      </c>
      <c r="C795" s="2">
        <v>3.6599999999999997</v>
      </c>
      <c r="D795" s="2">
        <v>5.1800000000000006</v>
      </c>
      <c r="E795" s="2">
        <v>5.4</v>
      </c>
      <c r="F795" s="2">
        <v>3.2600000000000002</v>
      </c>
      <c r="G795" s="6">
        <v>20340</v>
      </c>
      <c r="H795" s="6">
        <f t="shared" si="19"/>
        <v>21894</v>
      </c>
      <c r="I795" s="6">
        <v>15246</v>
      </c>
      <c r="J795" s="6">
        <f t="shared" si="20"/>
        <v>14622</v>
      </c>
      <c r="K795" s="6">
        <v>5383</v>
      </c>
      <c r="L795" s="2"/>
    </row>
    <row r="796" spans="1:12" x14ac:dyDescent="0.25">
      <c r="A796" s="1">
        <v>0.55138888888888904</v>
      </c>
      <c r="B796" s="2">
        <v>6.3100000000000005</v>
      </c>
      <c r="C796" s="2">
        <v>3.5199999999999996</v>
      </c>
      <c r="D796" s="2">
        <v>4.99</v>
      </c>
      <c r="E796" s="2">
        <v>5.28</v>
      </c>
      <c r="F796" s="2">
        <v>2.87</v>
      </c>
      <c r="G796" s="6">
        <v>15645</v>
      </c>
      <c r="H796" s="6">
        <f t="shared" si="19"/>
        <v>17199</v>
      </c>
      <c r="I796" s="6">
        <v>10551</v>
      </c>
      <c r="J796" s="6">
        <f t="shared" si="20"/>
        <v>9927</v>
      </c>
      <c r="K796" s="6">
        <v>12083</v>
      </c>
      <c r="L796" s="2"/>
    </row>
    <row r="797" spans="1:12" x14ac:dyDescent="0.25">
      <c r="A797" s="1">
        <v>0.55208333333333304</v>
      </c>
      <c r="B797" s="2">
        <v>6.3100000000000005</v>
      </c>
      <c r="C797" s="2">
        <v>3.51</v>
      </c>
      <c r="D797" s="2">
        <v>4.95</v>
      </c>
      <c r="E797" s="2">
        <v>5.2700000000000005</v>
      </c>
      <c r="F797" s="2">
        <v>3.25</v>
      </c>
      <c r="G797" s="6">
        <v>19454</v>
      </c>
      <c r="H797" s="6">
        <f t="shared" si="19"/>
        <v>21008</v>
      </c>
      <c r="I797" s="6">
        <v>14360</v>
      </c>
      <c r="J797" s="6">
        <f t="shared" si="20"/>
        <v>13736</v>
      </c>
      <c r="K797" s="6">
        <v>7580</v>
      </c>
      <c r="L797" s="2"/>
    </row>
    <row r="798" spans="1:12" x14ac:dyDescent="0.25">
      <c r="A798" s="1">
        <v>0.55277777777777803</v>
      </c>
      <c r="B798" s="2">
        <v>6.07</v>
      </c>
      <c r="C798" s="2">
        <v>3.55</v>
      </c>
      <c r="D798" s="2">
        <v>5.1800000000000006</v>
      </c>
      <c r="E798" s="2">
        <v>5.34</v>
      </c>
      <c r="F798" s="2">
        <v>2.86</v>
      </c>
      <c r="G798" s="6">
        <v>20957</v>
      </c>
      <c r="H798" s="6">
        <f t="shared" si="19"/>
        <v>22511</v>
      </c>
      <c r="I798" s="6">
        <v>15863</v>
      </c>
      <c r="J798" s="6">
        <f t="shared" si="20"/>
        <v>15239</v>
      </c>
      <c r="K798" s="6">
        <v>11131</v>
      </c>
      <c r="L798" s="2"/>
    </row>
    <row r="799" spans="1:12" x14ac:dyDescent="0.25">
      <c r="A799" s="1">
        <v>0.55347222222222203</v>
      </c>
      <c r="B799" s="2">
        <v>6.3000000000000007</v>
      </c>
      <c r="C799" s="2">
        <v>3.5999999999999996</v>
      </c>
      <c r="D799" s="2">
        <v>4.9300000000000006</v>
      </c>
      <c r="E799" s="2">
        <v>5.5100000000000007</v>
      </c>
      <c r="F799" s="2">
        <v>2.95</v>
      </c>
      <c r="G799" s="6">
        <v>25678</v>
      </c>
      <c r="H799" s="6">
        <f t="shared" si="19"/>
        <v>27232</v>
      </c>
      <c r="I799" s="6">
        <v>16254</v>
      </c>
      <c r="J799" s="6">
        <f t="shared" si="20"/>
        <v>15630</v>
      </c>
      <c r="K799" s="6">
        <v>9369</v>
      </c>
      <c r="L799" s="2"/>
    </row>
    <row r="800" spans="1:12" x14ac:dyDescent="0.25">
      <c r="A800" s="1">
        <v>0.55416666666666703</v>
      </c>
      <c r="B800" s="2">
        <v>6.1800000000000006</v>
      </c>
      <c r="C800" s="2">
        <v>3.78</v>
      </c>
      <c r="D800" s="2">
        <v>5.2600000000000007</v>
      </c>
      <c r="E800" s="2">
        <v>5.21</v>
      </c>
      <c r="F800" s="2">
        <v>3</v>
      </c>
      <c r="G800" s="6">
        <v>33254</v>
      </c>
      <c r="H800" s="6">
        <f t="shared" si="19"/>
        <v>34808</v>
      </c>
      <c r="I800" s="6">
        <v>18452</v>
      </c>
      <c r="J800" s="6">
        <f t="shared" si="20"/>
        <v>17828</v>
      </c>
      <c r="K800" s="6">
        <v>6166</v>
      </c>
      <c r="L800" s="2"/>
    </row>
    <row r="801" spans="1:12" x14ac:dyDescent="0.25">
      <c r="A801" s="1">
        <v>0.55486111111111103</v>
      </c>
      <c r="B801" s="2">
        <v>6.1400000000000006</v>
      </c>
      <c r="C801" s="2">
        <v>3.67</v>
      </c>
      <c r="D801" s="2">
        <v>4.8900000000000006</v>
      </c>
      <c r="E801" s="2">
        <v>4.91</v>
      </c>
      <c r="F801" s="2">
        <v>3.33</v>
      </c>
      <c r="G801" s="6">
        <v>28245</v>
      </c>
      <c r="H801" s="6">
        <f t="shared" si="19"/>
        <v>29799</v>
      </c>
      <c r="I801" s="6">
        <v>16852</v>
      </c>
      <c r="J801" s="6">
        <f t="shared" si="20"/>
        <v>16228</v>
      </c>
      <c r="K801" s="6">
        <v>9072</v>
      </c>
      <c r="L801" s="2"/>
    </row>
    <row r="802" spans="1:12" x14ac:dyDescent="0.25">
      <c r="A802" s="1">
        <v>0.55555555555555602</v>
      </c>
      <c r="B802" s="2">
        <v>6.11</v>
      </c>
      <c r="C802" s="2">
        <v>3.6799999999999997</v>
      </c>
      <c r="D802" s="2">
        <v>5.2200000000000006</v>
      </c>
      <c r="E802" s="2">
        <v>5.36</v>
      </c>
      <c r="F802" s="2">
        <v>3.02</v>
      </c>
      <c r="G802" s="6">
        <v>23454</v>
      </c>
      <c r="H802" s="6">
        <f t="shared" si="19"/>
        <v>25008</v>
      </c>
      <c r="I802" s="6">
        <v>14245</v>
      </c>
      <c r="J802" s="6">
        <v>11587</v>
      </c>
      <c r="K802" s="6">
        <v>5075</v>
      </c>
      <c r="L802" s="2"/>
    </row>
    <row r="803" spans="1:12" x14ac:dyDescent="0.25">
      <c r="A803" s="1">
        <v>0.55625000000000002</v>
      </c>
      <c r="B803" s="2">
        <v>6.2600000000000007</v>
      </c>
      <c r="C803" s="2">
        <v>3.6599999999999997</v>
      </c>
      <c r="D803" s="2">
        <v>4.92</v>
      </c>
      <c r="E803" s="2">
        <v>5.17</v>
      </c>
      <c r="F803" s="2">
        <v>3.02</v>
      </c>
      <c r="G803" s="6">
        <v>18952</v>
      </c>
      <c r="H803" s="6">
        <f t="shared" si="19"/>
        <v>20506</v>
      </c>
      <c r="I803" s="6">
        <v>11254</v>
      </c>
      <c r="J803" s="6">
        <v>8957</v>
      </c>
      <c r="K803" s="6">
        <v>11759</v>
      </c>
      <c r="L803" s="2"/>
    </row>
    <row r="804" spans="1:12" x14ac:dyDescent="0.25">
      <c r="A804" s="1">
        <v>0.55694444444444402</v>
      </c>
      <c r="B804" s="2">
        <v>6.1400000000000006</v>
      </c>
      <c r="C804" s="2">
        <v>3.6999999999999997</v>
      </c>
      <c r="D804" s="2">
        <v>5.04</v>
      </c>
      <c r="E804" s="2">
        <v>5.13</v>
      </c>
      <c r="F804" s="2">
        <v>2.83</v>
      </c>
      <c r="G804" s="6">
        <v>12265</v>
      </c>
      <c r="H804" s="6">
        <f t="shared" si="19"/>
        <v>13819</v>
      </c>
      <c r="I804" s="6">
        <v>7558</v>
      </c>
      <c r="J804" s="6">
        <f t="shared" si="20"/>
        <v>6934</v>
      </c>
      <c r="K804" s="6">
        <v>10893</v>
      </c>
      <c r="L804" s="2"/>
    </row>
    <row r="805" spans="1:12" x14ac:dyDescent="0.25">
      <c r="A805" s="1">
        <v>0.55763888888888902</v>
      </c>
      <c r="B805" s="2">
        <v>6.3000000000000007</v>
      </c>
      <c r="C805" s="2">
        <v>3.7399999999999998</v>
      </c>
      <c r="D805" s="2">
        <v>5.15</v>
      </c>
      <c r="E805" s="2">
        <v>5.07</v>
      </c>
      <c r="F805" s="2">
        <v>3.3000000000000003</v>
      </c>
      <c r="G805" s="6">
        <v>22354</v>
      </c>
      <c r="H805" s="6">
        <f t="shared" si="19"/>
        <v>23908</v>
      </c>
      <c r="I805" s="6">
        <v>12545</v>
      </c>
      <c r="J805" s="6">
        <v>8579</v>
      </c>
      <c r="K805" s="6">
        <v>5820</v>
      </c>
      <c r="L805" s="2"/>
    </row>
    <row r="806" spans="1:12" x14ac:dyDescent="0.25">
      <c r="A806" s="1">
        <v>0.55833333333333302</v>
      </c>
      <c r="B806" s="2">
        <v>6.23</v>
      </c>
      <c r="C806" s="2">
        <v>3.5599999999999996</v>
      </c>
      <c r="D806" s="2">
        <v>4.92</v>
      </c>
      <c r="E806" s="2">
        <v>5.41</v>
      </c>
      <c r="F806" s="2">
        <v>3.15</v>
      </c>
      <c r="G806" s="6">
        <v>15645</v>
      </c>
      <c r="H806" s="6">
        <f t="shared" si="19"/>
        <v>17199</v>
      </c>
      <c r="I806" s="6">
        <v>9524</v>
      </c>
      <c r="J806" s="6">
        <v>7598</v>
      </c>
      <c r="K806" s="6">
        <v>6287</v>
      </c>
      <c r="L806" s="2"/>
    </row>
    <row r="807" spans="1:12" x14ac:dyDescent="0.25">
      <c r="A807" s="1">
        <v>0.55902777777777801</v>
      </c>
      <c r="B807" s="2">
        <v>6.13</v>
      </c>
      <c r="C807" s="2">
        <v>3.63</v>
      </c>
      <c r="D807" s="2">
        <v>4.88</v>
      </c>
      <c r="E807" s="2">
        <v>5.1100000000000003</v>
      </c>
      <c r="F807" s="2">
        <v>3.14</v>
      </c>
      <c r="G807" s="6">
        <v>23547</v>
      </c>
      <c r="H807" s="6">
        <f t="shared" si="19"/>
        <v>25101</v>
      </c>
      <c r="I807" s="6">
        <v>14245</v>
      </c>
      <c r="J807" s="6">
        <v>12548</v>
      </c>
      <c r="K807" s="6">
        <v>5777</v>
      </c>
      <c r="L807" s="2"/>
    </row>
    <row r="808" spans="1:12" x14ac:dyDescent="0.25">
      <c r="A808" s="1">
        <v>0.55972222222222201</v>
      </c>
      <c r="B808" s="2">
        <v>6.1400000000000006</v>
      </c>
      <c r="C808" s="2">
        <v>3.6799999999999997</v>
      </c>
      <c r="D808" s="2">
        <v>5.1800000000000006</v>
      </c>
      <c r="E808" s="2">
        <v>5.24</v>
      </c>
      <c r="F808" s="2">
        <v>3.2600000000000002</v>
      </c>
      <c r="G808" s="6">
        <v>25458</v>
      </c>
      <c r="H808" s="6">
        <f t="shared" si="19"/>
        <v>27012</v>
      </c>
      <c r="I808" s="6">
        <v>16542</v>
      </c>
      <c r="J808" s="6">
        <v>12689</v>
      </c>
      <c r="K808" s="6">
        <v>7895</v>
      </c>
      <c r="L808" s="2"/>
    </row>
    <row r="809" spans="1:12" x14ac:dyDescent="0.25">
      <c r="A809" s="1">
        <v>0.56041666666666701</v>
      </c>
      <c r="B809" s="2">
        <v>6.1400000000000006</v>
      </c>
      <c r="C809" s="2">
        <v>3.63</v>
      </c>
      <c r="D809" s="2">
        <v>5.1300000000000008</v>
      </c>
      <c r="E809" s="2">
        <v>5.1100000000000003</v>
      </c>
      <c r="F809" s="2">
        <v>2.99</v>
      </c>
      <c r="G809" s="6">
        <v>15889</v>
      </c>
      <c r="H809" s="6">
        <f t="shared" si="19"/>
        <v>17443</v>
      </c>
      <c r="I809" s="6">
        <v>9548</v>
      </c>
      <c r="J809" s="6">
        <v>7958</v>
      </c>
      <c r="K809" s="6">
        <v>12367</v>
      </c>
      <c r="L809" s="2"/>
    </row>
    <row r="810" spans="1:12" x14ac:dyDescent="0.25">
      <c r="A810" s="1">
        <v>0.56111111111111101</v>
      </c>
      <c r="B810" s="2">
        <v>6.15</v>
      </c>
      <c r="C810" s="2">
        <v>3.63</v>
      </c>
      <c r="D810" s="2">
        <v>5.07</v>
      </c>
      <c r="E810" s="2">
        <v>5.0500000000000007</v>
      </c>
      <c r="F810" s="2">
        <v>2.92</v>
      </c>
      <c r="G810" s="6">
        <v>23654</v>
      </c>
      <c r="H810" s="6">
        <f t="shared" si="19"/>
        <v>25208</v>
      </c>
      <c r="I810" s="6">
        <v>15482</v>
      </c>
      <c r="J810" s="6">
        <v>12697</v>
      </c>
      <c r="K810" s="6">
        <v>10770</v>
      </c>
      <c r="L810" s="2"/>
    </row>
    <row r="811" spans="1:12" x14ac:dyDescent="0.25">
      <c r="A811" s="1">
        <v>0.561805555555556</v>
      </c>
      <c r="B811" s="2">
        <v>6.17</v>
      </c>
      <c r="C811" s="2">
        <v>3.69</v>
      </c>
      <c r="D811" s="2">
        <v>5.03</v>
      </c>
      <c r="E811" s="2">
        <v>4.87</v>
      </c>
      <c r="F811" s="2">
        <v>3.2</v>
      </c>
      <c r="G811" s="6">
        <v>19688</v>
      </c>
      <c r="H811" s="6">
        <f t="shared" si="19"/>
        <v>21242</v>
      </c>
      <c r="I811" s="6">
        <v>11245</v>
      </c>
      <c r="J811" s="6">
        <f t="shared" si="20"/>
        <v>10621</v>
      </c>
      <c r="K811" s="6">
        <v>11347</v>
      </c>
      <c r="L811" s="2"/>
    </row>
    <row r="812" spans="1:12" x14ac:dyDescent="0.25">
      <c r="A812" s="1">
        <v>0.5625</v>
      </c>
      <c r="B812" s="2">
        <v>6.1400000000000006</v>
      </c>
      <c r="C812" s="2">
        <v>3.57</v>
      </c>
      <c r="D812" s="2">
        <v>5.07</v>
      </c>
      <c r="E812" s="2">
        <v>5.0100000000000007</v>
      </c>
      <c r="F812" s="2">
        <v>2.91</v>
      </c>
      <c r="G812" s="6">
        <v>15432</v>
      </c>
      <c r="H812" s="6">
        <f t="shared" si="19"/>
        <v>16986</v>
      </c>
      <c r="I812" s="6">
        <v>10438</v>
      </c>
      <c r="J812" s="6">
        <v>8578</v>
      </c>
      <c r="K812" s="6">
        <v>10603</v>
      </c>
      <c r="L812" s="2"/>
    </row>
    <row r="813" spans="1:12" x14ac:dyDescent="0.25">
      <c r="A813" s="1">
        <v>0.563194444444444</v>
      </c>
      <c r="B813" s="2">
        <v>6.17</v>
      </c>
      <c r="C813" s="2">
        <v>3.51</v>
      </c>
      <c r="D813" s="2">
        <v>4.95</v>
      </c>
      <c r="E813" s="2">
        <v>5.2600000000000007</v>
      </c>
      <c r="F813" s="2">
        <v>3.0700000000000003</v>
      </c>
      <c r="G813" s="6">
        <v>19582</v>
      </c>
      <c r="H813" s="6">
        <f t="shared" si="19"/>
        <v>21136</v>
      </c>
      <c r="I813" s="6">
        <v>14588</v>
      </c>
      <c r="J813" s="6">
        <f t="shared" si="20"/>
        <v>13964</v>
      </c>
      <c r="K813" s="6">
        <v>7537</v>
      </c>
      <c r="L813" s="2"/>
    </row>
    <row r="814" spans="1:12" x14ac:dyDescent="0.25">
      <c r="A814" s="1">
        <v>0.56388888888888899</v>
      </c>
      <c r="B814" s="2">
        <v>6.32</v>
      </c>
      <c r="C814" s="2">
        <v>3.6199999999999997</v>
      </c>
      <c r="D814" s="2">
        <v>5.16</v>
      </c>
      <c r="E814" s="2">
        <v>4.9400000000000004</v>
      </c>
      <c r="F814" s="2">
        <v>3.1100000000000003</v>
      </c>
      <c r="G814" s="6">
        <v>21587</v>
      </c>
      <c r="H814" s="6">
        <f t="shared" si="19"/>
        <v>23141</v>
      </c>
      <c r="I814" s="6">
        <v>16593</v>
      </c>
      <c r="J814" s="6">
        <f t="shared" si="20"/>
        <v>15969</v>
      </c>
      <c r="K814" s="6">
        <v>9780</v>
      </c>
      <c r="L814" s="2"/>
    </row>
    <row r="815" spans="1:12" x14ac:dyDescent="0.25">
      <c r="A815" s="1">
        <v>0.56458333333333299</v>
      </c>
      <c r="B815" s="2">
        <v>6.07</v>
      </c>
      <c r="C815" s="2">
        <v>3.73</v>
      </c>
      <c r="D815" s="2">
        <v>4.99</v>
      </c>
      <c r="E815" s="2">
        <v>5.09</v>
      </c>
      <c r="F815" s="2">
        <v>3.1</v>
      </c>
      <c r="G815" s="6">
        <v>22654</v>
      </c>
      <c r="H815" s="6">
        <f t="shared" si="19"/>
        <v>24208</v>
      </c>
      <c r="I815" s="6">
        <v>17660</v>
      </c>
      <c r="J815" s="6">
        <v>13589</v>
      </c>
      <c r="K815" s="6">
        <v>10399</v>
      </c>
      <c r="L815" s="2"/>
    </row>
    <row r="816" spans="1:12" x14ac:dyDescent="0.25">
      <c r="A816" s="1">
        <v>0.56527777777777799</v>
      </c>
      <c r="B816" s="2">
        <v>6.07</v>
      </c>
      <c r="C816" s="2">
        <v>3.51</v>
      </c>
      <c r="D816" s="2">
        <v>5.03</v>
      </c>
      <c r="E816" s="2">
        <v>4.8600000000000003</v>
      </c>
      <c r="F816" s="2">
        <v>3.08</v>
      </c>
      <c r="G816" s="6">
        <v>26775</v>
      </c>
      <c r="H816" s="6">
        <f t="shared" si="19"/>
        <v>28329</v>
      </c>
      <c r="I816" s="6">
        <v>21781</v>
      </c>
      <c r="J816" s="6">
        <f t="shared" si="20"/>
        <v>21157</v>
      </c>
      <c r="K816" s="6">
        <v>12144</v>
      </c>
      <c r="L816" s="2"/>
    </row>
    <row r="817" spans="1:12" x14ac:dyDescent="0.25">
      <c r="A817" s="1">
        <v>0.56597222222222199</v>
      </c>
      <c r="B817" s="2">
        <v>6.12</v>
      </c>
      <c r="C817" s="2">
        <v>3.63</v>
      </c>
      <c r="D817" s="2">
        <v>5.24</v>
      </c>
      <c r="E817" s="2">
        <v>5.0200000000000005</v>
      </c>
      <c r="F817" s="2">
        <v>3.1</v>
      </c>
      <c r="G817" s="6">
        <v>20504</v>
      </c>
      <c r="H817" s="6">
        <f t="shared" si="19"/>
        <v>22058</v>
      </c>
      <c r="I817" s="6">
        <v>15510</v>
      </c>
      <c r="J817" s="6">
        <v>11282</v>
      </c>
      <c r="K817" s="6">
        <v>8686</v>
      </c>
      <c r="L817" s="2"/>
    </row>
    <row r="818" spans="1:12" x14ac:dyDescent="0.25">
      <c r="A818" s="1">
        <v>0.56666666666666698</v>
      </c>
      <c r="B818" s="2">
        <v>6.15</v>
      </c>
      <c r="C818" s="2">
        <v>3.61</v>
      </c>
      <c r="D818" s="2">
        <v>5.1800000000000006</v>
      </c>
      <c r="E818" s="2">
        <v>4.9800000000000004</v>
      </c>
      <c r="F818" s="2">
        <v>3.0700000000000003</v>
      </c>
      <c r="G818" s="6">
        <v>19578</v>
      </c>
      <c r="H818" s="6">
        <f t="shared" si="19"/>
        <v>21132</v>
      </c>
      <c r="I818" s="6">
        <v>13545</v>
      </c>
      <c r="J818" s="6">
        <v>10258</v>
      </c>
      <c r="K818" s="6">
        <v>5802</v>
      </c>
      <c r="L818" s="2"/>
    </row>
    <row r="819" spans="1:12" x14ac:dyDescent="0.25">
      <c r="A819" s="1">
        <v>0.56736111111111098</v>
      </c>
      <c r="B819" s="2">
        <v>6.1800000000000006</v>
      </c>
      <c r="C819" s="2">
        <v>3.6399999999999997</v>
      </c>
      <c r="D819" s="2">
        <v>4.9000000000000004</v>
      </c>
      <c r="E819" s="2">
        <v>5</v>
      </c>
      <c r="F819" s="2">
        <v>3.14</v>
      </c>
      <c r="G819" s="6">
        <v>22672</v>
      </c>
      <c r="H819" s="6">
        <f t="shared" si="19"/>
        <v>24226</v>
      </c>
      <c r="I819" s="6">
        <v>16542</v>
      </c>
      <c r="J819" s="6">
        <v>12042</v>
      </c>
      <c r="K819" s="6">
        <v>10866</v>
      </c>
      <c r="L819" s="2"/>
    </row>
    <row r="820" spans="1:12" x14ac:dyDescent="0.25">
      <c r="A820" s="1">
        <v>0.56805555555555598</v>
      </c>
      <c r="B820" s="2">
        <v>6.1800000000000006</v>
      </c>
      <c r="C820" s="2">
        <v>3.5999999999999996</v>
      </c>
      <c r="D820" s="2">
        <v>5.0900000000000007</v>
      </c>
      <c r="E820" s="2">
        <v>5.2</v>
      </c>
      <c r="F820" s="2">
        <v>3.2600000000000002</v>
      </c>
      <c r="G820" s="6">
        <v>13245</v>
      </c>
      <c r="H820" s="6">
        <f t="shared" si="19"/>
        <v>14799</v>
      </c>
      <c r="I820" s="6">
        <v>8545</v>
      </c>
      <c r="J820" s="6">
        <v>6287</v>
      </c>
      <c r="K820" s="6">
        <v>9702</v>
      </c>
      <c r="L820" s="2"/>
    </row>
    <row r="821" spans="1:12" x14ac:dyDescent="0.25">
      <c r="A821" s="1">
        <v>0.56874999999999998</v>
      </c>
      <c r="B821" s="2">
        <v>6.2</v>
      </c>
      <c r="C821" s="2">
        <v>3.59</v>
      </c>
      <c r="D821" s="2">
        <v>4.9700000000000006</v>
      </c>
      <c r="E821" s="2">
        <v>5.4</v>
      </c>
      <c r="F821" s="2">
        <v>3.34</v>
      </c>
      <c r="G821" s="6">
        <v>16723</v>
      </c>
      <c r="H821" s="6">
        <f t="shared" si="19"/>
        <v>18277</v>
      </c>
      <c r="I821" s="6">
        <v>10224</v>
      </c>
      <c r="J821" s="6">
        <f t="shared" si="20"/>
        <v>9600</v>
      </c>
      <c r="K821" s="6">
        <v>6076</v>
      </c>
      <c r="L821" s="2"/>
    </row>
    <row r="822" spans="1:12" x14ac:dyDescent="0.25">
      <c r="A822" s="1">
        <v>0.56944444444444398</v>
      </c>
      <c r="B822" s="2">
        <v>6.17</v>
      </c>
      <c r="C822" s="2">
        <v>3.5799999999999996</v>
      </c>
      <c r="D822" s="2">
        <v>5.1100000000000003</v>
      </c>
      <c r="E822" s="2">
        <v>4.92</v>
      </c>
      <c r="F822" s="2">
        <v>3.2800000000000002</v>
      </c>
      <c r="G822" s="6">
        <v>16735</v>
      </c>
      <c r="H822" s="6">
        <f t="shared" si="19"/>
        <v>18289</v>
      </c>
      <c r="I822" s="6">
        <v>12354</v>
      </c>
      <c r="J822" s="6">
        <v>8527</v>
      </c>
      <c r="K822" s="6">
        <v>8002</v>
      </c>
      <c r="L822" s="2"/>
    </row>
    <row r="823" spans="1:12" x14ac:dyDescent="0.25">
      <c r="A823" s="1">
        <v>0.57013888888888897</v>
      </c>
      <c r="B823" s="2">
        <v>6.24</v>
      </c>
      <c r="C823" s="2">
        <v>3.6599999999999997</v>
      </c>
      <c r="D823" s="2">
        <v>4.9400000000000004</v>
      </c>
      <c r="E823" s="2">
        <v>5.0600000000000005</v>
      </c>
      <c r="F823" s="2">
        <v>3.0500000000000003</v>
      </c>
      <c r="G823" s="6">
        <v>15247</v>
      </c>
      <c r="H823" s="6">
        <f t="shared" si="19"/>
        <v>16801</v>
      </c>
      <c r="I823" s="6">
        <v>9542</v>
      </c>
      <c r="J823" s="6">
        <v>7578</v>
      </c>
      <c r="K823" s="6">
        <v>8099</v>
      </c>
      <c r="L823" s="2"/>
    </row>
    <row r="824" spans="1:12" x14ac:dyDescent="0.25">
      <c r="A824" s="1">
        <v>0.57083333333333297</v>
      </c>
      <c r="B824" s="2">
        <v>6.29</v>
      </c>
      <c r="C824" s="2">
        <v>3.57</v>
      </c>
      <c r="D824" s="2">
        <v>5.15</v>
      </c>
      <c r="E824" s="2">
        <v>4.88</v>
      </c>
      <c r="F824" s="2">
        <v>3.12</v>
      </c>
      <c r="G824" s="6">
        <v>16895</v>
      </c>
      <c r="H824" s="6">
        <f t="shared" si="19"/>
        <v>18449</v>
      </c>
      <c r="I824" s="6">
        <v>11548</v>
      </c>
      <c r="J824" s="6">
        <v>8248</v>
      </c>
      <c r="K824" s="6">
        <v>8367</v>
      </c>
      <c r="L824" s="2"/>
    </row>
    <row r="825" spans="1:12" x14ac:dyDescent="0.25">
      <c r="A825" s="1">
        <v>0.57152777777777797</v>
      </c>
      <c r="B825" s="2">
        <v>6.1400000000000006</v>
      </c>
      <c r="C825" s="2">
        <v>3.75</v>
      </c>
      <c r="D825" s="2">
        <v>5.2</v>
      </c>
      <c r="E825" s="2">
        <v>5.5200000000000005</v>
      </c>
      <c r="F825" s="2">
        <v>3</v>
      </c>
      <c r="G825" s="6">
        <v>10354</v>
      </c>
      <c r="H825" s="6">
        <f t="shared" si="19"/>
        <v>11908</v>
      </c>
      <c r="I825" s="6">
        <v>7521</v>
      </c>
      <c r="J825" s="6">
        <f t="shared" si="20"/>
        <v>6897</v>
      </c>
      <c r="K825" s="6">
        <v>9016</v>
      </c>
      <c r="L825" s="2"/>
    </row>
    <row r="826" spans="1:12" x14ac:dyDescent="0.25">
      <c r="A826" s="1">
        <v>0.57222222222222197</v>
      </c>
      <c r="B826" s="2">
        <v>6.12</v>
      </c>
      <c r="C826" s="2">
        <v>3.55</v>
      </c>
      <c r="D826" s="2">
        <v>4.91</v>
      </c>
      <c r="E826" s="2">
        <v>5.0600000000000005</v>
      </c>
      <c r="F826" s="2">
        <v>3.08</v>
      </c>
      <c r="G826" s="6">
        <v>16672</v>
      </c>
      <c r="H826" s="6">
        <f t="shared" si="19"/>
        <v>18226</v>
      </c>
      <c r="I826" s="6">
        <v>11054</v>
      </c>
      <c r="J826" s="6">
        <v>8545</v>
      </c>
      <c r="K826" s="6">
        <v>9165</v>
      </c>
      <c r="L826" s="2"/>
    </row>
    <row r="827" spans="1:12" x14ac:dyDescent="0.25">
      <c r="A827" s="1">
        <v>0.57291666666666696</v>
      </c>
      <c r="B827" s="2">
        <v>6.1400000000000006</v>
      </c>
      <c r="C827" s="2">
        <v>3.5999999999999996</v>
      </c>
      <c r="D827" s="2">
        <v>4.9800000000000004</v>
      </c>
      <c r="E827" s="2">
        <v>5.48</v>
      </c>
      <c r="F827" s="2">
        <v>3.22</v>
      </c>
      <c r="G827" s="6">
        <v>24585</v>
      </c>
      <c r="H827" s="6">
        <f t="shared" si="19"/>
        <v>26139</v>
      </c>
      <c r="I827" s="6">
        <v>19851</v>
      </c>
      <c r="J827" s="6">
        <v>15472</v>
      </c>
      <c r="K827" s="6">
        <v>7830</v>
      </c>
      <c r="L827" s="2"/>
    </row>
    <row r="828" spans="1:12" x14ac:dyDescent="0.25">
      <c r="A828" s="1">
        <v>0.57361111111111096</v>
      </c>
      <c r="B828" s="2">
        <v>6.08</v>
      </c>
      <c r="C828" s="2">
        <v>3.6999999999999997</v>
      </c>
      <c r="D828" s="2">
        <v>5.21</v>
      </c>
      <c r="E828" s="2">
        <v>4.9400000000000004</v>
      </c>
      <c r="F828" s="2">
        <v>3</v>
      </c>
      <c r="G828" s="6">
        <v>19743</v>
      </c>
      <c r="H828" s="6">
        <f t="shared" si="19"/>
        <v>21297</v>
      </c>
      <c r="I828" s="6">
        <v>16458</v>
      </c>
      <c r="J828" s="6">
        <f t="shared" si="20"/>
        <v>15834</v>
      </c>
      <c r="K828" s="6">
        <v>11924</v>
      </c>
      <c r="L828" s="2"/>
    </row>
    <row r="829" spans="1:12" x14ac:dyDescent="0.25">
      <c r="A829" s="1">
        <v>0.57430555555555596</v>
      </c>
      <c r="B829" s="2">
        <v>6.24</v>
      </c>
      <c r="C829" s="2">
        <v>3.5399999999999996</v>
      </c>
      <c r="D829" s="2">
        <v>5.0500000000000007</v>
      </c>
      <c r="E829" s="2">
        <v>5.23</v>
      </c>
      <c r="F829" s="2">
        <v>2.87</v>
      </c>
      <c r="G829" s="6">
        <v>18256</v>
      </c>
      <c r="H829" s="6">
        <f t="shared" si="19"/>
        <v>19810</v>
      </c>
      <c r="I829" s="6">
        <v>11242</v>
      </c>
      <c r="J829" s="6">
        <v>7585</v>
      </c>
      <c r="K829" s="6">
        <v>8887</v>
      </c>
      <c r="L829" s="2"/>
    </row>
    <row r="830" spans="1:12" x14ac:dyDescent="0.25">
      <c r="A830" s="1">
        <v>0.57499999999999996</v>
      </c>
      <c r="B830" s="2">
        <v>6.1400000000000006</v>
      </c>
      <c r="C830" s="2">
        <v>3.7699999999999996</v>
      </c>
      <c r="D830" s="2">
        <v>4.9800000000000004</v>
      </c>
      <c r="E830" s="2">
        <v>5.0100000000000007</v>
      </c>
      <c r="F830" s="2">
        <v>2.92</v>
      </c>
      <c r="G830" s="6">
        <v>22342</v>
      </c>
      <c r="H830" s="6">
        <f t="shared" si="19"/>
        <v>23896</v>
      </c>
      <c r="I830" s="6">
        <v>16425</v>
      </c>
      <c r="J830" s="6">
        <v>10245</v>
      </c>
      <c r="K830" s="6">
        <v>12179</v>
      </c>
      <c r="L830" s="2"/>
    </row>
    <row r="831" spans="1:12" x14ac:dyDescent="0.25">
      <c r="A831" s="1">
        <v>0.57569444444444495</v>
      </c>
      <c r="B831" s="2">
        <v>6.21</v>
      </c>
      <c r="C831" s="2">
        <v>3.6999999999999997</v>
      </c>
      <c r="D831" s="2">
        <v>5.15</v>
      </c>
      <c r="E831" s="2">
        <v>4.92</v>
      </c>
      <c r="F831" s="2">
        <v>2.84</v>
      </c>
      <c r="G831" s="6">
        <v>33254</v>
      </c>
      <c r="H831" s="6">
        <f t="shared" si="19"/>
        <v>34808</v>
      </c>
      <c r="I831" s="6">
        <v>21252</v>
      </c>
      <c r="J831" s="6">
        <v>10623</v>
      </c>
      <c r="K831" s="6">
        <v>9239</v>
      </c>
      <c r="L831" s="2"/>
    </row>
    <row r="832" spans="1:12" x14ac:dyDescent="0.25">
      <c r="A832" s="1">
        <v>0.57638888888888895</v>
      </c>
      <c r="B832" s="2">
        <v>6.33</v>
      </c>
      <c r="C832" s="2">
        <v>3.71</v>
      </c>
      <c r="D832" s="2">
        <v>4.87</v>
      </c>
      <c r="E832" s="2">
        <v>5.24</v>
      </c>
      <c r="F832" s="2">
        <v>3.08</v>
      </c>
      <c r="G832" s="6">
        <v>22287</v>
      </c>
      <c r="H832" s="6">
        <f t="shared" si="19"/>
        <v>23841</v>
      </c>
      <c r="I832" s="6">
        <v>15456</v>
      </c>
      <c r="J832" s="6">
        <v>11245</v>
      </c>
      <c r="K832" s="6">
        <v>9050</v>
      </c>
      <c r="L832" s="2"/>
    </row>
    <row r="833" spans="1:12" x14ac:dyDescent="0.25">
      <c r="A833" s="1">
        <v>0.57708333333333295</v>
      </c>
      <c r="B833" s="2">
        <v>6.11</v>
      </c>
      <c r="C833" s="2">
        <v>3.51</v>
      </c>
      <c r="D833" s="2">
        <v>5.21</v>
      </c>
      <c r="E833" s="2">
        <v>4.96</v>
      </c>
      <c r="F833" s="2">
        <v>3.29</v>
      </c>
      <c r="G833" s="6">
        <v>13468</v>
      </c>
      <c r="H833" s="6">
        <f t="shared" si="19"/>
        <v>15022</v>
      </c>
      <c r="I833" s="6">
        <v>9648</v>
      </c>
      <c r="J833" s="6">
        <v>6288</v>
      </c>
      <c r="K833" s="6">
        <v>6101</v>
      </c>
      <c r="L833" s="2"/>
    </row>
    <row r="834" spans="1:12" x14ac:dyDescent="0.25">
      <c r="A834" s="1">
        <v>0.57777777777777795</v>
      </c>
      <c r="B834" s="2">
        <v>6.13</v>
      </c>
      <c r="C834" s="2">
        <v>3.6399999999999997</v>
      </c>
      <c r="D834" s="2">
        <v>5.1400000000000006</v>
      </c>
      <c r="E834" s="2">
        <v>5.5200000000000005</v>
      </c>
      <c r="F834" s="2">
        <v>2.98</v>
      </c>
      <c r="G834" s="6">
        <v>23856</v>
      </c>
      <c r="H834" s="6">
        <f t="shared" si="19"/>
        <v>25410</v>
      </c>
      <c r="I834" s="6">
        <v>16524</v>
      </c>
      <c r="J834" s="6">
        <v>12575</v>
      </c>
      <c r="K834" s="6">
        <v>9334</v>
      </c>
      <c r="L834" s="2"/>
    </row>
    <row r="835" spans="1:12" x14ac:dyDescent="0.25">
      <c r="A835" s="1">
        <v>0.57847222222222205</v>
      </c>
      <c r="B835" s="2">
        <v>6.19</v>
      </c>
      <c r="C835" s="2">
        <v>3.6799999999999997</v>
      </c>
      <c r="D835" s="2">
        <v>4.9000000000000004</v>
      </c>
      <c r="E835" s="2">
        <v>5.19</v>
      </c>
      <c r="F835" s="2">
        <v>3.04</v>
      </c>
      <c r="G835" s="6">
        <v>35987</v>
      </c>
      <c r="H835" s="6">
        <f t="shared" si="19"/>
        <v>37541</v>
      </c>
      <c r="I835" s="6">
        <v>19548</v>
      </c>
      <c r="J835" s="6">
        <v>15882</v>
      </c>
      <c r="K835" s="6">
        <v>13456</v>
      </c>
      <c r="L835" s="2"/>
    </row>
    <row r="836" spans="1:12" x14ac:dyDescent="0.25">
      <c r="A836" s="1">
        <v>0.57916666666666705</v>
      </c>
      <c r="B836" s="2">
        <v>6.33</v>
      </c>
      <c r="C836" s="2">
        <v>3.6399999999999997</v>
      </c>
      <c r="D836" s="2">
        <v>5.03</v>
      </c>
      <c r="E836" s="2">
        <v>4.9700000000000006</v>
      </c>
      <c r="F836" s="2">
        <v>3.0500000000000003</v>
      </c>
      <c r="G836" s="6">
        <v>36675</v>
      </c>
      <c r="H836" s="6">
        <f t="shared" si="19"/>
        <v>38229</v>
      </c>
      <c r="I836" s="6">
        <v>20354</v>
      </c>
      <c r="J836" s="6">
        <v>16850</v>
      </c>
      <c r="K836" s="6">
        <v>14596</v>
      </c>
      <c r="L836" s="2"/>
    </row>
    <row r="837" spans="1:12" x14ac:dyDescent="0.25">
      <c r="A837" s="1">
        <v>0.57986111111111105</v>
      </c>
      <c r="B837" s="2">
        <v>6.33</v>
      </c>
      <c r="C837" s="2">
        <v>3.5599999999999996</v>
      </c>
      <c r="D837" s="2">
        <v>4.96</v>
      </c>
      <c r="E837" s="2">
        <v>5.0600000000000005</v>
      </c>
      <c r="F837" s="2">
        <v>2.85</v>
      </c>
      <c r="G837" s="6">
        <v>29548</v>
      </c>
      <c r="H837" s="6">
        <f t="shared" si="19"/>
        <v>31102</v>
      </c>
      <c r="I837" s="6">
        <v>10254</v>
      </c>
      <c r="J837" s="6">
        <v>7585</v>
      </c>
      <c r="K837" s="6">
        <v>11411</v>
      </c>
      <c r="L837" s="2"/>
    </row>
    <row r="838" spans="1:12" x14ac:dyDescent="0.25">
      <c r="A838" s="1">
        <v>0.58055555555555605</v>
      </c>
      <c r="B838" s="2">
        <v>6.21</v>
      </c>
      <c r="C838" s="2">
        <v>3.7199999999999998</v>
      </c>
      <c r="D838" s="2">
        <v>4.92</v>
      </c>
      <c r="E838" s="2">
        <v>5.4</v>
      </c>
      <c r="F838" s="2">
        <v>2.94</v>
      </c>
      <c r="G838" s="6">
        <v>35978</v>
      </c>
      <c r="H838" s="6">
        <f t="shared" si="19"/>
        <v>37532</v>
      </c>
      <c r="I838" s="6">
        <v>14675</v>
      </c>
      <c r="J838" s="6">
        <v>10258</v>
      </c>
      <c r="K838" s="6">
        <v>9869</v>
      </c>
      <c r="L838" s="2"/>
    </row>
    <row r="839" spans="1:12" x14ac:dyDescent="0.25">
      <c r="A839" s="1">
        <v>0.58125000000000004</v>
      </c>
      <c r="B839" s="2">
        <v>6.21</v>
      </c>
      <c r="C839" s="2">
        <v>3.6999999999999997</v>
      </c>
      <c r="D839" s="2">
        <v>4.96</v>
      </c>
      <c r="E839" s="2">
        <v>5.21</v>
      </c>
      <c r="F839" s="2">
        <v>3.22</v>
      </c>
      <c r="G839" s="6">
        <v>26482</v>
      </c>
      <c r="H839" s="6">
        <f t="shared" si="19"/>
        <v>28036</v>
      </c>
      <c r="I839" s="6">
        <v>12455</v>
      </c>
      <c r="J839" s="6">
        <v>8547</v>
      </c>
      <c r="K839" s="6">
        <v>8568</v>
      </c>
      <c r="L839" s="2"/>
    </row>
    <row r="840" spans="1:12" x14ac:dyDescent="0.25">
      <c r="A840" s="1">
        <v>0.58194444444444404</v>
      </c>
      <c r="B840" s="2">
        <v>6.15</v>
      </c>
      <c r="C840" s="2">
        <v>3.6999999999999997</v>
      </c>
      <c r="D840" s="2">
        <v>5.1400000000000006</v>
      </c>
      <c r="E840" s="2">
        <v>5.41</v>
      </c>
      <c r="F840" s="2">
        <v>3.06</v>
      </c>
      <c r="G840" s="6">
        <v>16799</v>
      </c>
      <c r="H840" s="6">
        <f t="shared" si="19"/>
        <v>18353</v>
      </c>
      <c r="I840" s="6">
        <v>8545</v>
      </c>
      <c r="J840" s="6">
        <v>6478</v>
      </c>
      <c r="K840" s="6">
        <v>6124</v>
      </c>
      <c r="L840" s="2"/>
    </row>
    <row r="841" spans="1:12" x14ac:dyDescent="0.25">
      <c r="A841" s="1">
        <v>0.58263888888888904</v>
      </c>
      <c r="B841" s="2">
        <v>6.25</v>
      </c>
      <c r="C841" s="2">
        <v>3.6799999999999997</v>
      </c>
      <c r="D841" s="2">
        <v>5.04</v>
      </c>
      <c r="E841" s="2">
        <v>5.32</v>
      </c>
      <c r="F841" s="2">
        <v>2.93</v>
      </c>
      <c r="G841" s="6">
        <v>27988</v>
      </c>
      <c r="H841" s="6">
        <f t="shared" si="19"/>
        <v>29542</v>
      </c>
      <c r="I841" s="6">
        <v>11542</v>
      </c>
      <c r="J841" s="6">
        <v>7847</v>
      </c>
      <c r="K841" s="6">
        <v>5105</v>
      </c>
      <c r="L841" s="2"/>
    </row>
    <row r="842" spans="1:12" x14ac:dyDescent="0.25">
      <c r="A842" s="3">
        <v>0.58333333333333304</v>
      </c>
      <c r="B842" s="4">
        <v>6.19</v>
      </c>
      <c r="C842" s="4">
        <v>3.67</v>
      </c>
      <c r="D842" s="4">
        <v>5.09</v>
      </c>
      <c r="E842" s="4">
        <v>5.26</v>
      </c>
      <c r="F842" s="4">
        <v>3.09</v>
      </c>
      <c r="G842" s="7">
        <v>35700</v>
      </c>
      <c r="H842" s="7">
        <v>38020</v>
      </c>
      <c r="I842" s="6">
        <v>12790</v>
      </c>
      <c r="J842" s="7">
        <v>8061</v>
      </c>
      <c r="K842" s="7">
        <v>7832</v>
      </c>
    </row>
    <row r="843" spans="1:12" x14ac:dyDescent="0.25">
      <c r="A843" s="1">
        <v>0.58402777777777803</v>
      </c>
      <c r="B843" s="2">
        <v>6.24</v>
      </c>
      <c r="C843" s="2">
        <v>3.5199999999999996</v>
      </c>
      <c r="D843" s="2">
        <v>5.0600000000000005</v>
      </c>
      <c r="E843" s="2">
        <v>5.3100000000000005</v>
      </c>
      <c r="F843" s="2">
        <v>3.04</v>
      </c>
      <c r="G843" s="6">
        <v>35470</v>
      </c>
      <c r="H843" s="6">
        <f>G843+126</f>
        <v>35596</v>
      </c>
      <c r="I843" s="6">
        <f>I903+2685</f>
        <v>11741</v>
      </c>
      <c r="J843" s="6">
        <v>7898</v>
      </c>
      <c r="K843" s="6">
        <v>7612</v>
      </c>
    </row>
    <row r="844" spans="1:12" x14ac:dyDescent="0.25">
      <c r="A844" s="1">
        <v>0.58472222222222203</v>
      </c>
      <c r="B844" s="2">
        <v>6.32</v>
      </c>
      <c r="C844" s="2">
        <v>3.6999999999999997</v>
      </c>
      <c r="D844" s="2">
        <v>4.99</v>
      </c>
      <c r="E844" s="2">
        <v>5.17</v>
      </c>
      <c r="F844" s="2">
        <v>2.98</v>
      </c>
      <c r="G844" s="6">
        <v>28617</v>
      </c>
      <c r="H844" s="6">
        <f t="shared" ref="H844:H901" si="21">G844+126</f>
        <v>28743</v>
      </c>
      <c r="I844" s="6">
        <v>10525</v>
      </c>
      <c r="J844" s="6">
        <v>6844</v>
      </c>
      <c r="K844" s="6">
        <v>6478</v>
      </c>
    </row>
    <row r="845" spans="1:12" x14ac:dyDescent="0.25">
      <c r="A845" s="1">
        <v>0.58541666666666703</v>
      </c>
      <c r="B845" s="2">
        <v>6.2</v>
      </c>
      <c r="C845" s="2">
        <v>3.6599999999999997</v>
      </c>
      <c r="D845" s="2">
        <v>5.2200000000000006</v>
      </c>
      <c r="E845" s="2">
        <v>5.17</v>
      </c>
      <c r="F845" s="2">
        <v>3.17</v>
      </c>
      <c r="G845" s="6">
        <v>23531</v>
      </c>
      <c r="H845" s="6">
        <v>26555</v>
      </c>
      <c r="I845" s="6">
        <v>8795</v>
      </c>
      <c r="J845" s="6">
        <v>7874</v>
      </c>
      <c r="K845" s="6">
        <v>7642</v>
      </c>
    </row>
    <row r="846" spans="1:12" x14ac:dyDescent="0.25">
      <c r="A846" s="1">
        <v>0.58611111111111103</v>
      </c>
      <c r="B846" s="2">
        <v>6.29</v>
      </c>
      <c r="C846" s="2">
        <v>3.71</v>
      </c>
      <c r="D846" s="2">
        <v>4.87</v>
      </c>
      <c r="E846" s="2">
        <v>5.16</v>
      </c>
      <c r="F846" s="2">
        <v>2.95</v>
      </c>
      <c r="G846" s="6">
        <v>32951</v>
      </c>
      <c r="H846" s="6">
        <f t="shared" si="21"/>
        <v>33077</v>
      </c>
      <c r="I846" s="6">
        <v>13545</v>
      </c>
      <c r="J846" s="6">
        <v>8546</v>
      </c>
      <c r="K846" s="6">
        <v>7522</v>
      </c>
    </row>
    <row r="847" spans="1:12" x14ac:dyDescent="0.25">
      <c r="A847" s="1">
        <v>0.58680555555555602</v>
      </c>
      <c r="B847" s="2">
        <v>6.21</v>
      </c>
      <c r="C847" s="2">
        <v>3.6199999999999997</v>
      </c>
      <c r="D847" s="2">
        <v>5.0200000000000005</v>
      </c>
      <c r="E847" s="2">
        <v>4.83</v>
      </c>
      <c r="F847" s="2">
        <v>3.06</v>
      </c>
      <c r="G847" s="6">
        <v>37894</v>
      </c>
      <c r="H847" s="6">
        <f t="shared" si="21"/>
        <v>38020</v>
      </c>
      <c r="I847" s="6">
        <v>16482</v>
      </c>
      <c r="J847" s="6">
        <v>9541</v>
      </c>
      <c r="K847" s="6">
        <v>7856</v>
      </c>
    </row>
    <row r="848" spans="1:12" x14ac:dyDescent="0.25">
      <c r="A848" s="1">
        <v>0.58750000000000002</v>
      </c>
      <c r="B848" s="2">
        <v>6.12</v>
      </c>
      <c r="C848" s="2">
        <v>3.5799999999999996</v>
      </c>
      <c r="D848" s="2">
        <v>4.99</v>
      </c>
      <c r="E848" s="2">
        <v>5.1800000000000006</v>
      </c>
      <c r="F848" s="2">
        <v>2.92</v>
      </c>
      <c r="G848" s="6">
        <v>32671</v>
      </c>
      <c r="H848" s="6">
        <v>35481</v>
      </c>
      <c r="I848" s="6">
        <v>14365</v>
      </c>
      <c r="J848" s="6">
        <v>8542</v>
      </c>
      <c r="K848" s="6">
        <v>8624</v>
      </c>
    </row>
    <row r="849" spans="1:11" x14ac:dyDescent="0.25">
      <c r="A849" s="1">
        <v>0.58819444444444402</v>
      </c>
      <c r="B849" s="2">
        <v>6.09</v>
      </c>
      <c r="C849" s="2">
        <v>3.53</v>
      </c>
      <c r="D849" s="2">
        <v>4.91</v>
      </c>
      <c r="E849" s="2">
        <v>5.3500000000000005</v>
      </c>
      <c r="F849" s="2">
        <v>2.95</v>
      </c>
      <c r="G849" s="6">
        <v>28360</v>
      </c>
      <c r="H849" s="6">
        <f t="shared" si="21"/>
        <v>28486</v>
      </c>
      <c r="I849" s="6">
        <v>10552</v>
      </c>
      <c r="J849" s="6">
        <v>7576</v>
      </c>
      <c r="K849" s="6">
        <v>7354</v>
      </c>
    </row>
    <row r="850" spans="1:11" x14ac:dyDescent="0.25">
      <c r="A850" s="1">
        <v>0.58888888888888902</v>
      </c>
      <c r="B850" s="2">
        <v>6.16</v>
      </c>
      <c r="C850" s="2">
        <v>3.71</v>
      </c>
      <c r="D850" s="2">
        <v>5.19</v>
      </c>
      <c r="E850" s="2">
        <v>4.96</v>
      </c>
      <c r="F850" s="2">
        <v>3.33</v>
      </c>
      <c r="G850" s="6">
        <v>22472</v>
      </c>
      <c r="H850" s="6">
        <v>23452</v>
      </c>
      <c r="I850" s="6">
        <v>9854</v>
      </c>
      <c r="J850" s="6">
        <v>7525</v>
      </c>
      <c r="K850" s="6">
        <v>7518</v>
      </c>
    </row>
    <row r="851" spans="1:11" x14ac:dyDescent="0.25">
      <c r="A851" s="1">
        <v>0.58958333333333302</v>
      </c>
      <c r="B851" s="2">
        <v>6.24</v>
      </c>
      <c r="C851" s="2">
        <v>3.78</v>
      </c>
      <c r="D851" s="2">
        <v>5.1400000000000006</v>
      </c>
      <c r="E851" s="2">
        <v>5.34</v>
      </c>
      <c r="F851" s="2">
        <v>2.91</v>
      </c>
      <c r="G851" s="6">
        <v>25696</v>
      </c>
      <c r="H851" s="6">
        <f t="shared" si="21"/>
        <v>25822</v>
      </c>
      <c r="I851" s="6">
        <v>11542</v>
      </c>
      <c r="J851" s="6">
        <v>8542</v>
      </c>
      <c r="K851" s="6">
        <v>8040</v>
      </c>
    </row>
    <row r="852" spans="1:11" x14ac:dyDescent="0.25">
      <c r="A852" s="1">
        <v>0.59027777777777801</v>
      </c>
      <c r="B852" s="2">
        <v>6.16</v>
      </c>
      <c r="C852" s="2">
        <v>3.5999999999999996</v>
      </c>
      <c r="D852" s="2">
        <v>5.1100000000000003</v>
      </c>
      <c r="E852" s="2">
        <v>4.88</v>
      </c>
      <c r="F852" s="2">
        <v>3.12</v>
      </c>
      <c r="G852" s="6">
        <v>22467</v>
      </c>
      <c r="H852" s="6">
        <f t="shared" si="21"/>
        <v>22593</v>
      </c>
      <c r="I852" s="6">
        <v>8984</v>
      </c>
      <c r="J852" s="6">
        <v>6488</v>
      </c>
      <c r="K852" s="6">
        <v>6284</v>
      </c>
    </row>
    <row r="853" spans="1:11" x14ac:dyDescent="0.25">
      <c r="A853" s="1">
        <v>0.59097222222222201</v>
      </c>
      <c r="B853" s="2">
        <v>6.2600000000000007</v>
      </c>
      <c r="C853" s="2">
        <v>3.75</v>
      </c>
      <c r="D853" s="2">
        <v>5.24</v>
      </c>
      <c r="E853" s="2">
        <v>4.8900000000000006</v>
      </c>
      <c r="F853" s="2">
        <v>3.2</v>
      </c>
      <c r="G853" s="6">
        <v>22648</v>
      </c>
      <c r="H853" s="6">
        <v>22344</v>
      </c>
      <c r="I853" s="6">
        <v>8452</v>
      </c>
      <c r="J853" s="6">
        <v>6455</v>
      </c>
      <c r="K853" s="6">
        <v>6527</v>
      </c>
    </row>
    <row r="854" spans="1:11" x14ac:dyDescent="0.25">
      <c r="A854" s="1">
        <v>0.59166666666666701</v>
      </c>
      <c r="B854" s="2">
        <v>6.2200000000000006</v>
      </c>
      <c r="C854" s="2">
        <v>3.6999999999999997</v>
      </c>
      <c r="D854" s="2">
        <v>5.16</v>
      </c>
      <c r="E854" s="2">
        <v>5.48</v>
      </c>
      <c r="F854" s="2">
        <v>3.31</v>
      </c>
      <c r="G854" s="6">
        <v>25987</v>
      </c>
      <c r="H854" s="6">
        <f t="shared" si="21"/>
        <v>26113</v>
      </c>
      <c r="I854" s="6">
        <v>11064</v>
      </c>
      <c r="J854" s="6">
        <v>8045</v>
      </c>
      <c r="K854" s="6">
        <v>8282</v>
      </c>
    </row>
    <row r="855" spans="1:11" x14ac:dyDescent="0.25">
      <c r="A855" s="1">
        <v>0.59236111111111101</v>
      </c>
      <c r="B855" s="2">
        <v>6.24</v>
      </c>
      <c r="C855" s="2">
        <v>3.61</v>
      </c>
      <c r="D855" s="2">
        <v>4.9400000000000004</v>
      </c>
      <c r="E855" s="2">
        <v>5.03</v>
      </c>
      <c r="F855" s="2">
        <v>2.98</v>
      </c>
      <c r="G855" s="6">
        <v>21904</v>
      </c>
      <c r="H855" s="6">
        <f t="shared" si="21"/>
        <v>22030</v>
      </c>
      <c r="I855" s="6">
        <v>7545</v>
      </c>
      <c r="J855" s="6">
        <v>6452</v>
      </c>
      <c r="K855" s="6">
        <v>6042</v>
      </c>
    </row>
    <row r="856" spans="1:11" x14ac:dyDescent="0.25">
      <c r="A856" s="1">
        <v>0.593055555555556</v>
      </c>
      <c r="B856" s="2">
        <v>6.19</v>
      </c>
      <c r="C856" s="2">
        <v>3.65</v>
      </c>
      <c r="D856" s="2">
        <v>5.12</v>
      </c>
      <c r="E856" s="2">
        <v>5.0600000000000005</v>
      </c>
      <c r="F856" s="2">
        <v>3.0100000000000002</v>
      </c>
      <c r="G856" s="6">
        <v>19562</v>
      </c>
      <c r="H856" s="6">
        <v>20234</v>
      </c>
      <c r="I856" s="6">
        <v>6487</v>
      </c>
      <c r="J856" s="6">
        <v>4355</v>
      </c>
      <c r="K856" s="6">
        <v>4058</v>
      </c>
    </row>
    <row r="857" spans="1:11" x14ac:dyDescent="0.25">
      <c r="A857" s="1">
        <v>0.59375</v>
      </c>
      <c r="B857" s="2">
        <v>6.11</v>
      </c>
      <c r="C857" s="2">
        <v>3.61</v>
      </c>
      <c r="D857" s="2">
        <v>5.03</v>
      </c>
      <c r="E857" s="2">
        <v>5.3000000000000007</v>
      </c>
      <c r="F857" s="2">
        <v>2.88</v>
      </c>
      <c r="G857" s="6">
        <v>20907</v>
      </c>
      <c r="H857" s="6">
        <f t="shared" si="21"/>
        <v>21033</v>
      </c>
      <c r="I857" s="6">
        <v>7642</v>
      </c>
      <c r="J857" s="6">
        <v>5384</v>
      </c>
      <c r="K857" s="6">
        <v>7255</v>
      </c>
    </row>
    <row r="858" spans="1:11" x14ac:dyDescent="0.25">
      <c r="A858" s="1">
        <v>0.594444444444444</v>
      </c>
      <c r="B858" s="2">
        <v>6.1400000000000006</v>
      </c>
      <c r="C858" s="2">
        <v>3.5799999999999996</v>
      </c>
      <c r="D858" s="2">
        <v>5.17</v>
      </c>
      <c r="E858" s="2">
        <v>5.16</v>
      </c>
      <c r="F858" s="2">
        <v>3.17</v>
      </c>
      <c r="G858" s="6">
        <v>18657</v>
      </c>
      <c r="H858" s="6">
        <f t="shared" si="21"/>
        <v>18783</v>
      </c>
      <c r="I858" s="6">
        <v>5648</v>
      </c>
      <c r="J858" s="6">
        <v>4566</v>
      </c>
      <c r="K858" s="6">
        <v>5245</v>
      </c>
    </row>
    <row r="859" spans="1:11" x14ac:dyDescent="0.25">
      <c r="A859" s="1">
        <v>0.59513888888888899</v>
      </c>
      <c r="B859" s="2">
        <v>6.3000000000000007</v>
      </c>
      <c r="C859" s="2">
        <v>3.6599999999999997</v>
      </c>
      <c r="D859" s="2">
        <v>5.25</v>
      </c>
      <c r="E859" s="2">
        <v>4.92</v>
      </c>
      <c r="F859" s="2">
        <v>3.13</v>
      </c>
      <c r="G859" s="6">
        <v>20240</v>
      </c>
      <c r="H859" s="6">
        <v>23742</v>
      </c>
      <c r="I859" s="6">
        <v>13542</v>
      </c>
      <c r="J859" s="6">
        <v>7528</v>
      </c>
      <c r="K859" s="6">
        <v>7895</v>
      </c>
    </row>
    <row r="860" spans="1:11" x14ac:dyDescent="0.25">
      <c r="A860" s="1">
        <v>0.59583333333333299</v>
      </c>
      <c r="B860" s="2">
        <v>6.07</v>
      </c>
      <c r="C860" s="2">
        <v>3.69</v>
      </c>
      <c r="D860" s="2">
        <v>4.91</v>
      </c>
      <c r="E860" s="2">
        <v>5.2700000000000005</v>
      </c>
      <c r="F860" s="2">
        <v>3.0100000000000002</v>
      </c>
      <c r="G860" s="6">
        <v>16258</v>
      </c>
      <c r="H860" s="6">
        <f t="shared" si="21"/>
        <v>16384</v>
      </c>
      <c r="I860" s="6">
        <v>8542</v>
      </c>
      <c r="J860" s="6">
        <v>6452</v>
      </c>
      <c r="K860" s="6">
        <v>6255</v>
      </c>
    </row>
    <row r="861" spans="1:11" x14ac:dyDescent="0.25">
      <c r="A861" s="1">
        <v>0.59652777777777799</v>
      </c>
      <c r="B861" s="2">
        <v>6.07</v>
      </c>
      <c r="C861" s="2">
        <v>3.5999999999999996</v>
      </c>
      <c r="D861" s="2">
        <v>4.88</v>
      </c>
      <c r="E861" s="2">
        <v>5.29</v>
      </c>
      <c r="F861" s="2">
        <v>3.31</v>
      </c>
      <c r="G861" s="6">
        <v>14382</v>
      </c>
      <c r="H861" s="6">
        <v>15642</v>
      </c>
      <c r="I861" s="6">
        <v>8474</v>
      </c>
      <c r="J861" s="6">
        <v>5642</v>
      </c>
      <c r="K861" s="6">
        <v>6982</v>
      </c>
    </row>
    <row r="862" spans="1:11" x14ac:dyDescent="0.25">
      <c r="A862" s="1">
        <v>0.59722222222222199</v>
      </c>
      <c r="B862" s="2">
        <v>6.13</v>
      </c>
      <c r="C862" s="2">
        <v>3.6199999999999997</v>
      </c>
      <c r="D862" s="2">
        <v>5.16</v>
      </c>
      <c r="E862" s="2">
        <v>5</v>
      </c>
      <c r="F862" s="2">
        <v>2.96</v>
      </c>
      <c r="G862" s="6">
        <v>12348</v>
      </c>
      <c r="H862" s="6">
        <f t="shared" si="21"/>
        <v>12474</v>
      </c>
      <c r="I862" s="6">
        <v>6572</v>
      </c>
      <c r="J862" s="6">
        <v>4556</v>
      </c>
      <c r="K862" s="6">
        <v>4352</v>
      </c>
    </row>
    <row r="863" spans="1:11" x14ac:dyDescent="0.25">
      <c r="A863" s="1">
        <v>0.59791666666666698</v>
      </c>
      <c r="B863" s="2">
        <v>6.23</v>
      </c>
      <c r="C863" s="2">
        <v>3.5999999999999996</v>
      </c>
      <c r="D863" s="2">
        <v>5.0900000000000007</v>
      </c>
      <c r="E863" s="2">
        <v>5.4</v>
      </c>
      <c r="F863" s="2">
        <v>3.34</v>
      </c>
      <c r="G863" s="6">
        <v>16857</v>
      </c>
      <c r="H863" s="6">
        <f t="shared" si="21"/>
        <v>16983</v>
      </c>
      <c r="I863" s="6">
        <v>8674</v>
      </c>
      <c r="J863" s="6">
        <v>5845</v>
      </c>
      <c r="K863" s="6">
        <v>4927</v>
      </c>
    </row>
    <row r="864" spans="1:11" x14ac:dyDescent="0.25">
      <c r="A864" s="1">
        <v>0.59861111111111098</v>
      </c>
      <c r="B864" s="2">
        <v>6.19</v>
      </c>
      <c r="C864" s="2">
        <v>3.69</v>
      </c>
      <c r="D864" s="2">
        <v>5.2600000000000007</v>
      </c>
      <c r="E864" s="2">
        <v>5.3900000000000006</v>
      </c>
      <c r="F864" s="2">
        <v>3.2</v>
      </c>
      <c r="G864" s="6">
        <v>19562</v>
      </c>
      <c r="H864" s="6">
        <v>20347</v>
      </c>
      <c r="I864" s="6">
        <v>9578</v>
      </c>
      <c r="J864" s="6">
        <v>7554</v>
      </c>
      <c r="K864" s="6">
        <v>7200</v>
      </c>
    </row>
    <row r="865" spans="1:11" x14ac:dyDescent="0.25">
      <c r="A865" s="1">
        <v>0.59930555555555598</v>
      </c>
      <c r="B865" s="2">
        <v>6.1000000000000005</v>
      </c>
      <c r="C865" s="2">
        <v>3.65</v>
      </c>
      <c r="D865" s="2">
        <v>5.16</v>
      </c>
      <c r="E865" s="2">
        <v>5.3900000000000006</v>
      </c>
      <c r="F865" s="2">
        <v>2.99</v>
      </c>
      <c r="G865" s="6">
        <v>20907</v>
      </c>
      <c r="H865" s="6">
        <f t="shared" si="21"/>
        <v>21033</v>
      </c>
      <c r="I865" s="6">
        <v>10255</v>
      </c>
      <c r="J865" s="6">
        <v>8125</v>
      </c>
      <c r="K865" s="6">
        <v>8652</v>
      </c>
    </row>
    <row r="866" spans="1:11" x14ac:dyDescent="0.25">
      <c r="A866" s="1">
        <v>0.6</v>
      </c>
      <c r="B866" s="2">
        <v>6.32</v>
      </c>
      <c r="C866" s="2">
        <v>3.73</v>
      </c>
      <c r="D866" s="2">
        <v>5.0200000000000005</v>
      </c>
      <c r="E866" s="2">
        <v>4.9000000000000004</v>
      </c>
      <c r="F866" s="2">
        <v>3.18</v>
      </c>
      <c r="G866" s="6">
        <v>18657</v>
      </c>
      <c r="H866" s="6">
        <v>20234</v>
      </c>
      <c r="I866" s="6">
        <v>13546</v>
      </c>
      <c r="J866" s="6">
        <v>9524</v>
      </c>
      <c r="K866" s="6">
        <v>9147</v>
      </c>
    </row>
    <row r="867" spans="1:11" x14ac:dyDescent="0.25">
      <c r="A867" s="1">
        <v>0.60069444444444398</v>
      </c>
      <c r="B867" s="2">
        <v>6.29</v>
      </c>
      <c r="C867" s="2">
        <v>3.71</v>
      </c>
      <c r="D867" s="2">
        <v>5.21</v>
      </c>
      <c r="E867" s="2">
        <v>5.23</v>
      </c>
      <c r="F867" s="2">
        <v>2.84</v>
      </c>
      <c r="G867" s="6">
        <v>18952</v>
      </c>
      <c r="H867" s="6">
        <f t="shared" si="21"/>
        <v>19078</v>
      </c>
      <c r="I867" s="6">
        <v>11648</v>
      </c>
      <c r="J867" s="6">
        <v>8577</v>
      </c>
      <c r="K867" s="6">
        <v>8171</v>
      </c>
    </row>
    <row r="868" spans="1:11" x14ac:dyDescent="0.25">
      <c r="A868" s="1">
        <v>0.60138888888888897</v>
      </c>
      <c r="B868" s="2">
        <v>6.09</v>
      </c>
      <c r="C868" s="2">
        <v>3.5599999999999996</v>
      </c>
      <c r="D868" s="2">
        <v>5.0900000000000007</v>
      </c>
      <c r="E868" s="2">
        <v>5.29</v>
      </c>
      <c r="F868" s="2">
        <v>3.3200000000000003</v>
      </c>
      <c r="G868" s="6">
        <v>20345</v>
      </c>
      <c r="H868" s="6">
        <f t="shared" si="21"/>
        <v>20471</v>
      </c>
      <c r="I868" s="6">
        <v>12648</v>
      </c>
      <c r="J868" s="6">
        <v>8975</v>
      </c>
      <c r="K868" s="6">
        <v>8410</v>
      </c>
    </row>
    <row r="869" spans="1:11" x14ac:dyDescent="0.25">
      <c r="A869" s="1">
        <v>0.60208333333333297</v>
      </c>
      <c r="B869" s="2">
        <v>6.23</v>
      </c>
      <c r="C869" s="2">
        <v>3.78</v>
      </c>
      <c r="D869" s="2">
        <v>5.2</v>
      </c>
      <c r="E869" s="2">
        <v>4.82</v>
      </c>
      <c r="F869" s="2">
        <v>3.25</v>
      </c>
      <c r="G869" s="6">
        <v>14282</v>
      </c>
      <c r="H869" s="6">
        <v>15728</v>
      </c>
      <c r="I869" s="6">
        <v>8546</v>
      </c>
      <c r="J869" s="6">
        <v>7785</v>
      </c>
      <c r="K869" s="6">
        <v>7168</v>
      </c>
    </row>
    <row r="870" spans="1:11" x14ac:dyDescent="0.25">
      <c r="A870" s="1">
        <v>0.60277777777777797</v>
      </c>
      <c r="B870" s="2">
        <v>6.25</v>
      </c>
      <c r="C870" s="2">
        <v>3.57</v>
      </c>
      <c r="D870" s="2">
        <v>5.19</v>
      </c>
      <c r="E870" s="2">
        <v>5.1400000000000006</v>
      </c>
      <c r="F870" s="2">
        <v>2.87</v>
      </c>
      <c r="G870" s="6">
        <v>13678</v>
      </c>
      <c r="H870" s="6">
        <f t="shared" si="21"/>
        <v>13804</v>
      </c>
      <c r="I870" s="6">
        <v>6898</v>
      </c>
      <c r="J870" s="6">
        <v>6565</v>
      </c>
      <c r="K870" s="6">
        <v>5482</v>
      </c>
    </row>
    <row r="871" spans="1:11" x14ac:dyDescent="0.25">
      <c r="A871" s="1">
        <v>0.60347222222222197</v>
      </c>
      <c r="B871" s="2">
        <v>6.13</v>
      </c>
      <c r="C871" s="2">
        <v>3.7699999999999996</v>
      </c>
      <c r="D871" s="2">
        <v>5.12</v>
      </c>
      <c r="E871" s="2">
        <v>4.91</v>
      </c>
      <c r="F871" s="2">
        <v>3.08</v>
      </c>
      <c r="G871" s="6">
        <v>16854</v>
      </c>
      <c r="H871" s="6">
        <v>19632</v>
      </c>
      <c r="I871" s="6">
        <v>8524</v>
      </c>
      <c r="J871" s="6">
        <v>7544</v>
      </c>
      <c r="K871" s="6">
        <v>7852</v>
      </c>
    </row>
    <row r="872" spans="1:11" x14ac:dyDescent="0.25">
      <c r="A872" s="1">
        <v>0.60416666666666696</v>
      </c>
      <c r="B872" s="2">
        <v>6.12</v>
      </c>
      <c r="C872" s="2">
        <v>3.55</v>
      </c>
      <c r="D872" s="2">
        <v>4.96</v>
      </c>
      <c r="E872" s="2">
        <v>5.3000000000000007</v>
      </c>
      <c r="F872" s="2">
        <v>3.23</v>
      </c>
      <c r="G872" s="6">
        <v>14278</v>
      </c>
      <c r="H872" s="6">
        <f t="shared" si="21"/>
        <v>14404</v>
      </c>
      <c r="I872" s="6">
        <v>6458</v>
      </c>
      <c r="J872" s="6">
        <v>6454</v>
      </c>
      <c r="K872" s="6">
        <v>6852</v>
      </c>
    </row>
    <row r="873" spans="1:11" x14ac:dyDescent="0.25">
      <c r="A873" s="1">
        <v>0.60486111111111096</v>
      </c>
      <c r="B873" s="2">
        <v>6.24</v>
      </c>
      <c r="C873" s="2">
        <v>3.6399999999999997</v>
      </c>
      <c r="D873" s="2">
        <v>5.1800000000000006</v>
      </c>
      <c r="E873" s="2">
        <v>4.96</v>
      </c>
      <c r="F873" s="2">
        <v>3.27</v>
      </c>
      <c r="G873" s="6">
        <v>20467</v>
      </c>
      <c r="H873" s="6">
        <f t="shared" si="21"/>
        <v>20593</v>
      </c>
      <c r="I873" s="6">
        <v>10246</v>
      </c>
      <c r="J873" s="6">
        <v>8125</v>
      </c>
      <c r="K873" s="6">
        <v>8572</v>
      </c>
    </row>
    <row r="874" spans="1:11" x14ac:dyDescent="0.25">
      <c r="A874" s="1">
        <v>0.60555555555555596</v>
      </c>
      <c r="B874" s="2">
        <v>6.29</v>
      </c>
      <c r="C874" s="2">
        <v>3.6999999999999997</v>
      </c>
      <c r="D874" s="2">
        <v>4.88</v>
      </c>
      <c r="E874" s="2">
        <v>5.13</v>
      </c>
      <c r="F874" s="2">
        <v>3.15</v>
      </c>
      <c r="G874" s="6">
        <v>25364</v>
      </c>
      <c r="H874" s="6">
        <v>24507</v>
      </c>
      <c r="I874" s="6">
        <v>14566</v>
      </c>
      <c r="J874" s="6">
        <v>10245</v>
      </c>
      <c r="K874" s="6">
        <v>12045</v>
      </c>
    </row>
    <row r="875" spans="1:11" x14ac:dyDescent="0.25">
      <c r="A875" s="1">
        <v>0.60624999999999996</v>
      </c>
      <c r="B875" s="2">
        <v>6.16</v>
      </c>
      <c r="C875" s="2">
        <v>3.51</v>
      </c>
      <c r="D875" s="2">
        <v>5.19</v>
      </c>
      <c r="E875" s="2">
        <v>5.29</v>
      </c>
      <c r="F875" s="2">
        <v>2.95</v>
      </c>
      <c r="G875" s="6">
        <v>22467</v>
      </c>
      <c r="H875" s="6">
        <f t="shared" si="21"/>
        <v>22593</v>
      </c>
      <c r="I875" s="6">
        <v>9548</v>
      </c>
      <c r="J875" s="6">
        <v>5245</v>
      </c>
      <c r="K875" s="6">
        <v>5428</v>
      </c>
    </row>
    <row r="876" spans="1:11" x14ac:dyDescent="0.25">
      <c r="A876" s="1">
        <v>0.60694444444444495</v>
      </c>
      <c r="B876" s="2">
        <v>6.19</v>
      </c>
      <c r="C876" s="2">
        <v>3.51</v>
      </c>
      <c r="D876" s="2">
        <v>4.95</v>
      </c>
      <c r="E876" s="2">
        <v>5.45</v>
      </c>
      <c r="F876" s="2">
        <v>3.17</v>
      </c>
      <c r="G876" s="6">
        <v>19572</v>
      </c>
      <c r="H876" s="6">
        <v>20748</v>
      </c>
      <c r="I876" s="6">
        <v>8465</v>
      </c>
      <c r="J876" s="6">
        <v>8455</v>
      </c>
      <c r="K876" s="6">
        <v>8475</v>
      </c>
    </row>
    <row r="877" spans="1:11" x14ac:dyDescent="0.25">
      <c r="A877" s="1">
        <v>0.60763888888888895</v>
      </c>
      <c r="B877" s="2">
        <v>6.12</v>
      </c>
      <c r="C877" s="2">
        <v>3.51</v>
      </c>
      <c r="D877" s="2">
        <v>5.15</v>
      </c>
      <c r="E877" s="2">
        <v>5.2</v>
      </c>
      <c r="F877" s="2">
        <v>3.31</v>
      </c>
      <c r="G877" s="6">
        <v>16782</v>
      </c>
      <c r="H877" s="6">
        <f t="shared" si="21"/>
        <v>16908</v>
      </c>
      <c r="I877" s="6">
        <v>6489</v>
      </c>
      <c r="J877" s="6">
        <v>7757</v>
      </c>
      <c r="K877" s="6">
        <v>7952</v>
      </c>
    </row>
    <row r="878" spans="1:11" x14ac:dyDescent="0.25">
      <c r="A878" s="1">
        <v>0.60833333333333295</v>
      </c>
      <c r="B878" s="2">
        <v>6.13</v>
      </c>
      <c r="C878" s="2">
        <v>3.5599999999999996</v>
      </c>
      <c r="D878" s="2">
        <v>4.88</v>
      </c>
      <c r="E878" s="2">
        <v>5.3500000000000005</v>
      </c>
      <c r="F878" s="2">
        <v>3.0100000000000002</v>
      </c>
      <c r="G878" s="6">
        <v>19875</v>
      </c>
      <c r="H878" s="6">
        <v>29475</v>
      </c>
      <c r="I878" s="6">
        <v>15462</v>
      </c>
      <c r="J878" s="6">
        <v>10245</v>
      </c>
      <c r="K878" s="6">
        <v>12524</v>
      </c>
    </row>
    <row r="879" spans="1:11" x14ac:dyDescent="0.25">
      <c r="A879" s="1">
        <v>0.60902777777777795</v>
      </c>
      <c r="B879" s="2">
        <v>6.07</v>
      </c>
      <c r="C879" s="2">
        <v>3.6599999999999997</v>
      </c>
      <c r="D879" s="2">
        <v>5.1300000000000008</v>
      </c>
      <c r="E879" s="2">
        <v>4.84</v>
      </c>
      <c r="F879" s="2">
        <v>3.0500000000000003</v>
      </c>
      <c r="G879" s="6">
        <v>18050</v>
      </c>
      <c r="H879" s="6">
        <f t="shared" si="21"/>
        <v>18176</v>
      </c>
      <c r="I879" s="6">
        <v>7245</v>
      </c>
      <c r="J879" s="6">
        <v>6458</v>
      </c>
      <c r="K879" s="6">
        <v>6587</v>
      </c>
    </row>
    <row r="880" spans="1:11" x14ac:dyDescent="0.25">
      <c r="A880" s="1">
        <v>0.60972222222222205</v>
      </c>
      <c r="B880" s="2">
        <v>6.24</v>
      </c>
      <c r="C880" s="2">
        <v>3.63</v>
      </c>
      <c r="D880" s="2">
        <v>5.0100000000000007</v>
      </c>
      <c r="E880" s="2">
        <v>4.9300000000000006</v>
      </c>
      <c r="F880" s="2">
        <v>2.98</v>
      </c>
      <c r="G880" s="6">
        <v>15348</v>
      </c>
      <c r="H880" s="6">
        <f t="shared" si="21"/>
        <v>15474</v>
      </c>
      <c r="I880" s="6">
        <v>6485</v>
      </c>
      <c r="J880" s="6">
        <v>5852</v>
      </c>
      <c r="K880" s="6">
        <v>6428</v>
      </c>
    </row>
    <row r="881" spans="1:11" x14ac:dyDescent="0.25">
      <c r="A881" s="1">
        <v>0.61041666666666705</v>
      </c>
      <c r="B881" s="2">
        <v>6.1000000000000005</v>
      </c>
      <c r="C881" s="2">
        <v>3.71</v>
      </c>
      <c r="D881" s="2">
        <v>5.03</v>
      </c>
      <c r="E881" s="2">
        <v>5.3500000000000005</v>
      </c>
      <c r="F881" s="2">
        <v>3.27</v>
      </c>
      <c r="G881" s="6">
        <v>12034</v>
      </c>
      <c r="H881" s="6">
        <v>12457</v>
      </c>
      <c r="I881" s="6">
        <v>5642</v>
      </c>
      <c r="J881" s="6">
        <v>6657</v>
      </c>
      <c r="K881" s="6">
        <v>6985</v>
      </c>
    </row>
    <row r="882" spans="1:11" x14ac:dyDescent="0.25">
      <c r="A882" s="1">
        <v>0.61111111111111105</v>
      </c>
      <c r="B882" s="2">
        <v>6.12</v>
      </c>
      <c r="C882" s="2">
        <v>3.5799999999999996</v>
      </c>
      <c r="D882" s="2">
        <v>5.16</v>
      </c>
      <c r="E882" s="2">
        <v>4.99</v>
      </c>
      <c r="F882" s="2">
        <v>3.06</v>
      </c>
      <c r="G882" s="6">
        <v>10064</v>
      </c>
      <c r="H882" s="6">
        <f t="shared" si="21"/>
        <v>10190</v>
      </c>
      <c r="I882" s="6">
        <v>4256</v>
      </c>
      <c r="J882" s="6">
        <v>4565</v>
      </c>
      <c r="K882" s="6">
        <v>5248</v>
      </c>
    </row>
    <row r="883" spans="1:11" x14ac:dyDescent="0.25">
      <c r="A883" s="1">
        <v>0.61180555555555605</v>
      </c>
      <c r="B883" s="2">
        <v>6.11</v>
      </c>
      <c r="C883" s="2">
        <v>3.73</v>
      </c>
      <c r="D883" s="2">
        <v>5.0600000000000005</v>
      </c>
      <c r="E883" s="2">
        <v>5.1100000000000003</v>
      </c>
      <c r="F883" s="2">
        <v>3.24</v>
      </c>
      <c r="G883" s="6">
        <v>12235</v>
      </c>
      <c r="H883" s="6">
        <v>13454</v>
      </c>
      <c r="I883" s="6">
        <v>7564</v>
      </c>
      <c r="J883" s="6">
        <v>4587</v>
      </c>
      <c r="K883" s="6">
        <v>5246</v>
      </c>
    </row>
    <row r="884" spans="1:11" x14ac:dyDescent="0.25">
      <c r="A884" s="1">
        <v>0.61250000000000004</v>
      </c>
      <c r="B884" s="2">
        <v>6.1800000000000006</v>
      </c>
      <c r="C884" s="2">
        <v>3.6199999999999997</v>
      </c>
      <c r="D884" s="2">
        <v>5.1300000000000008</v>
      </c>
      <c r="E884" s="2">
        <v>5.2600000000000007</v>
      </c>
      <c r="F884" s="2">
        <v>3.0300000000000002</v>
      </c>
      <c r="G884" s="6">
        <v>16782</v>
      </c>
      <c r="H884" s="6">
        <f t="shared" si="21"/>
        <v>16908</v>
      </c>
      <c r="I884" s="6">
        <v>8524</v>
      </c>
      <c r="J884" s="6">
        <v>5642</v>
      </c>
      <c r="K884" s="6">
        <v>6242</v>
      </c>
    </row>
    <row r="885" spans="1:11" x14ac:dyDescent="0.25">
      <c r="A885" s="1">
        <v>0.61319444444444404</v>
      </c>
      <c r="B885" s="2">
        <v>6.2</v>
      </c>
      <c r="C885" s="2">
        <v>3.5399999999999996</v>
      </c>
      <c r="D885" s="2">
        <v>5.0900000000000007</v>
      </c>
      <c r="E885" s="2">
        <v>5.37</v>
      </c>
      <c r="F885" s="2">
        <v>2.93</v>
      </c>
      <c r="G885" s="6">
        <v>19547</v>
      </c>
      <c r="H885" s="6">
        <v>20482</v>
      </c>
      <c r="I885" s="6">
        <v>10524</v>
      </c>
      <c r="J885" s="6">
        <v>7520</v>
      </c>
      <c r="K885" s="6">
        <v>8427</v>
      </c>
    </row>
    <row r="886" spans="1:11" x14ac:dyDescent="0.25">
      <c r="A886" s="1">
        <v>0.61388888888888904</v>
      </c>
      <c r="B886" s="2">
        <v>6.1400000000000006</v>
      </c>
      <c r="C886" s="2">
        <v>3.6599999999999997</v>
      </c>
      <c r="D886" s="2">
        <v>5.03</v>
      </c>
      <c r="E886" s="2">
        <v>4.9300000000000006</v>
      </c>
      <c r="F886" s="2">
        <v>3.18</v>
      </c>
      <c r="G886" s="6">
        <v>15364</v>
      </c>
      <c r="H886" s="6">
        <f t="shared" si="21"/>
        <v>15490</v>
      </c>
      <c r="I886" s="6">
        <v>8524</v>
      </c>
      <c r="J886" s="6">
        <v>6418</v>
      </c>
      <c r="K886" s="6">
        <v>6742</v>
      </c>
    </row>
    <row r="887" spans="1:11" x14ac:dyDescent="0.25">
      <c r="A887" s="1">
        <v>0.61458333333333304</v>
      </c>
      <c r="B887" s="2">
        <v>6.24</v>
      </c>
      <c r="C887" s="2">
        <v>3.73</v>
      </c>
      <c r="D887" s="2">
        <v>5</v>
      </c>
      <c r="E887" s="2">
        <v>5.5</v>
      </c>
      <c r="F887" s="2">
        <v>3.04</v>
      </c>
      <c r="G887" s="6">
        <v>19640</v>
      </c>
      <c r="H887" s="6">
        <v>18642</v>
      </c>
      <c r="I887" s="6">
        <v>9542</v>
      </c>
      <c r="J887" s="6">
        <v>7552</v>
      </c>
      <c r="K887" s="6">
        <v>7952</v>
      </c>
    </row>
    <row r="888" spans="1:11" x14ac:dyDescent="0.25">
      <c r="A888" s="1">
        <v>0.61527777777777803</v>
      </c>
      <c r="B888" s="2">
        <v>6.2</v>
      </c>
      <c r="C888" s="2">
        <v>3.57</v>
      </c>
      <c r="D888" s="2">
        <v>5.12</v>
      </c>
      <c r="E888" s="2">
        <v>5.07</v>
      </c>
      <c r="F888" s="2">
        <v>3.2600000000000002</v>
      </c>
      <c r="G888" s="6">
        <v>22305</v>
      </c>
      <c r="H888" s="6">
        <f t="shared" si="21"/>
        <v>22431</v>
      </c>
      <c r="I888" s="6">
        <v>12456</v>
      </c>
      <c r="J888" s="6">
        <v>9542</v>
      </c>
      <c r="K888" s="6">
        <v>1054</v>
      </c>
    </row>
    <row r="889" spans="1:11" x14ac:dyDescent="0.25">
      <c r="A889" s="1">
        <v>0.61597222222222203</v>
      </c>
      <c r="B889" s="2">
        <v>6.13</v>
      </c>
      <c r="C889" s="2">
        <v>3.6199999999999997</v>
      </c>
      <c r="D889" s="2">
        <v>4.92</v>
      </c>
      <c r="E889" s="2">
        <v>5.3000000000000007</v>
      </c>
      <c r="F889" s="2">
        <v>2.92</v>
      </c>
      <c r="G889" s="6">
        <v>16069</v>
      </c>
      <c r="H889" s="6">
        <v>15672</v>
      </c>
      <c r="I889" s="6">
        <v>8542</v>
      </c>
      <c r="J889" s="6">
        <v>7525</v>
      </c>
      <c r="K889" s="6">
        <v>8271</v>
      </c>
    </row>
    <row r="890" spans="1:11" x14ac:dyDescent="0.25">
      <c r="A890" s="1">
        <v>0.61666666666666703</v>
      </c>
      <c r="B890" s="2">
        <v>6.2200000000000006</v>
      </c>
      <c r="C890" s="2">
        <v>3.6399999999999997</v>
      </c>
      <c r="D890" s="2">
        <v>5.04</v>
      </c>
      <c r="E890" s="2">
        <v>5.07</v>
      </c>
      <c r="F890" s="2">
        <v>2.85</v>
      </c>
      <c r="G890" s="6">
        <v>10641</v>
      </c>
      <c r="H890" s="6">
        <f t="shared" si="21"/>
        <v>10767</v>
      </c>
      <c r="I890" s="6">
        <v>6582</v>
      </c>
      <c r="J890" s="6">
        <v>4656</v>
      </c>
      <c r="K890" s="6">
        <v>5241</v>
      </c>
    </row>
    <row r="891" spans="1:11" x14ac:dyDescent="0.25">
      <c r="A891" s="1">
        <v>0.61736111111111103</v>
      </c>
      <c r="B891" s="2">
        <v>6.19</v>
      </c>
      <c r="C891" s="2">
        <v>3.7699999999999996</v>
      </c>
      <c r="D891" s="2">
        <v>4.9700000000000006</v>
      </c>
      <c r="E891" s="2">
        <v>5.4300000000000006</v>
      </c>
      <c r="F891" s="2">
        <v>3.1100000000000003</v>
      </c>
      <c r="G891" s="6">
        <v>12064</v>
      </c>
      <c r="H891" s="6">
        <f t="shared" si="21"/>
        <v>12190</v>
      </c>
      <c r="I891" s="6">
        <v>7541</v>
      </c>
      <c r="J891" s="6">
        <v>5215</v>
      </c>
      <c r="K891" s="6">
        <v>5482</v>
      </c>
    </row>
    <row r="892" spans="1:11" x14ac:dyDescent="0.25">
      <c r="A892" s="1">
        <v>0.61805555555555602</v>
      </c>
      <c r="B892" s="2">
        <v>6.07</v>
      </c>
      <c r="C892" s="2">
        <v>3.57</v>
      </c>
      <c r="D892" s="2">
        <v>4.92</v>
      </c>
      <c r="E892" s="2">
        <v>5.08</v>
      </c>
      <c r="F892" s="2">
        <v>3.33</v>
      </c>
      <c r="G892" s="6">
        <v>18247</v>
      </c>
      <c r="H892" s="6">
        <v>19433</v>
      </c>
      <c r="I892" s="6">
        <v>10245</v>
      </c>
      <c r="J892" s="6">
        <v>8245</v>
      </c>
      <c r="K892" s="6">
        <v>9242</v>
      </c>
    </row>
    <row r="893" spans="1:11" x14ac:dyDescent="0.25">
      <c r="A893" s="1">
        <v>0.61875000000000002</v>
      </c>
      <c r="B893" s="2">
        <v>6.28</v>
      </c>
      <c r="C893" s="2">
        <v>3.55</v>
      </c>
      <c r="D893" s="2">
        <v>4.92</v>
      </c>
      <c r="E893" s="2">
        <v>5.37</v>
      </c>
      <c r="F893" s="2">
        <v>3.12</v>
      </c>
      <c r="G893" s="6">
        <v>13642</v>
      </c>
      <c r="H893" s="6">
        <f t="shared" si="21"/>
        <v>13768</v>
      </c>
      <c r="I893" s="6">
        <v>7525</v>
      </c>
      <c r="J893" s="6">
        <v>6452</v>
      </c>
      <c r="K893" s="6">
        <v>6852</v>
      </c>
    </row>
    <row r="894" spans="1:11" x14ac:dyDescent="0.25">
      <c r="A894" s="1">
        <v>0.61944444444444402</v>
      </c>
      <c r="B894" s="2">
        <v>6.1800000000000006</v>
      </c>
      <c r="C894" s="2">
        <v>3.63</v>
      </c>
      <c r="D894" s="2">
        <v>4.9000000000000004</v>
      </c>
      <c r="E894" s="2">
        <v>5.5100000000000007</v>
      </c>
      <c r="F894" s="2">
        <v>3.27</v>
      </c>
      <c r="G894" s="6">
        <v>9326</v>
      </c>
      <c r="H894" s="6">
        <f t="shared" si="21"/>
        <v>9452</v>
      </c>
      <c r="I894" s="6">
        <v>6145</v>
      </c>
      <c r="J894" s="6">
        <v>4562</v>
      </c>
      <c r="K894" s="6">
        <v>5204</v>
      </c>
    </row>
    <row r="895" spans="1:11" x14ac:dyDescent="0.25">
      <c r="A895" s="1">
        <v>0.62013888888888902</v>
      </c>
      <c r="B895" s="2">
        <v>6.15</v>
      </c>
      <c r="C895" s="2">
        <v>3.76</v>
      </c>
      <c r="D895" s="2">
        <v>5.03</v>
      </c>
      <c r="E895" s="2">
        <v>5.24</v>
      </c>
      <c r="F895" s="2">
        <v>3.2</v>
      </c>
      <c r="G895" s="6">
        <v>11634</v>
      </c>
      <c r="H895" s="6">
        <v>12345</v>
      </c>
      <c r="I895" s="6">
        <v>8134</v>
      </c>
      <c r="J895" s="6">
        <v>6985</v>
      </c>
      <c r="K895" s="6">
        <v>7415</v>
      </c>
    </row>
    <row r="896" spans="1:11" x14ac:dyDescent="0.25">
      <c r="A896" s="1">
        <v>0.62083333333333302</v>
      </c>
      <c r="B896" s="2">
        <v>6.16</v>
      </c>
      <c r="C896" s="2">
        <v>3.5599999999999996</v>
      </c>
      <c r="D896" s="2">
        <v>5.0100000000000007</v>
      </c>
      <c r="E896" s="2">
        <v>5.36</v>
      </c>
      <c r="F896" s="2">
        <v>2.92</v>
      </c>
      <c r="G896" s="6">
        <v>15272</v>
      </c>
      <c r="H896" s="6">
        <f t="shared" si="21"/>
        <v>15398</v>
      </c>
      <c r="I896" s="6">
        <v>8648</v>
      </c>
      <c r="J896" s="6">
        <v>7512</v>
      </c>
      <c r="K896" s="6">
        <v>8524</v>
      </c>
    </row>
    <row r="897" spans="1:11" x14ac:dyDescent="0.25">
      <c r="A897" s="1">
        <v>0.62152777777777801</v>
      </c>
      <c r="B897" s="2">
        <v>6.19</v>
      </c>
      <c r="C897" s="2">
        <v>3.53</v>
      </c>
      <c r="D897" s="2">
        <v>5.1000000000000005</v>
      </c>
      <c r="E897" s="2">
        <v>4.84</v>
      </c>
      <c r="F897" s="2">
        <v>3.33</v>
      </c>
      <c r="G897" s="6">
        <v>12364</v>
      </c>
      <c r="H897" s="6">
        <v>13546</v>
      </c>
      <c r="I897" s="6">
        <v>8462</v>
      </c>
      <c r="J897" s="6">
        <v>7525</v>
      </c>
      <c r="K897" s="6">
        <v>7548</v>
      </c>
    </row>
    <row r="898" spans="1:11" x14ac:dyDescent="0.25">
      <c r="A898" s="1">
        <v>0.62222222222222201</v>
      </c>
      <c r="B898" s="2">
        <v>6.08</v>
      </c>
      <c r="C898" s="2">
        <v>3.5399999999999996</v>
      </c>
      <c r="D898" s="2">
        <v>5.1800000000000006</v>
      </c>
      <c r="E898" s="2">
        <v>4.92</v>
      </c>
      <c r="F898" s="2">
        <v>3.19</v>
      </c>
      <c r="G898" s="6">
        <v>9560</v>
      </c>
      <c r="H898" s="6">
        <f t="shared" si="21"/>
        <v>9686</v>
      </c>
      <c r="I898" s="6">
        <v>5824</v>
      </c>
      <c r="J898" s="6">
        <v>2454</v>
      </c>
      <c r="K898" s="6">
        <v>4562</v>
      </c>
    </row>
    <row r="899" spans="1:11" x14ac:dyDescent="0.25">
      <c r="A899" s="1">
        <v>0.62291666666666701</v>
      </c>
      <c r="B899" s="2">
        <v>6.13</v>
      </c>
      <c r="C899" s="2">
        <v>3.59</v>
      </c>
      <c r="D899" s="2">
        <v>5.21</v>
      </c>
      <c r="E899" s="2">
        <v>5.15</v>
      </c>
      <c r="F899" s="2">
        <v>2.92</v>
      </c>
      <c r="G899" s="6">
        <v>8969</v>
      </c>
      <c r="H899" s="6">
        <f t="shared" si="21"/>
        <v>9095</v>
      </c>
      <c r="I899" s="6">
        <v>5425</v>
      </c>
      <c r="J899" s="6">
        <v>3546</v>
      </c>
      <c r="K899" s="6">
        <v>3944</v>
      </c>
    </row>
    <row r="900" spans="1:11" x14ac:dyDescent="0.25">
      <c r="A900" s="1">
        <v>0.62361111111111101</v>
      </c>
      <c r="B900" s="2">
        <v>6.25</v>
      </c>
      <c r="C900" s="2">
        <v>3.6599999999999997</v>
      </c>
      <c r="D900" s="2">
        <v>4.9000000000000004</v>
      </c>
      <c r="E900" s="2">
        <v>4.9700000000000006</v>
      </c>
      <c r="F900" s="2">
        <v>3.23</v>
      </c>
      <c r="G900" s="6">
        <v>12305</v>
      </c>
      <c r="H900" s="6">
        <v>12470</v>
      </c>
      <c r="I900" s="6">
        <v>8542</v>
      </c>
      <c r="J900" s="6">
        <v>7226</v>
      </c>
      <c r="K900" s="6">
        <v>8456</v>
      </c>
    </row>
    <row r="901" spans="1:11" x14ac:dyDescent="0.25">
      <c r="A901" s="1">
        <v>0.624305555555556</v>
      </c>
      <c r="B901" s="2">
        <v>6.17</v>
      </c>
      <c r="C901" s="2">
        <v>3.63</v>
      </c>
      <c r="D901" s="2">
        <v>5.1000000000000005</v>
      </c>
      <c r="E901" s="2">
        <v>5.32</v>
      </c>
      <c r="F901" s="2">
        <v>3.02</v>
      </c>
      <c r="G901" s="6">
        <v>9483</v>
      </c>
      <c r="H901" s="6">
        <f t="shared" si="21"/>
        <v>9609</v>
      </c>
      <c r="I901" s="6">
        <v>5468</v>
      </c>
      <c r="J901" s="6">
        <v>3542</v>
      </c>
      <c r="K901" s="6">
        <v>5562</v>
      </c>
    </row>
    <row r="902" spans="1:11" x14ac:dyDescent="0.25">
      <c r="A902" s="3">
        <v>0.625</v>
      </c>
      <c r="B902" s="4">
        <v>6.19</v>
      </c>
      <c r="C902" s="4">
        <v>3.67</v>
      </c>
      <c r="D902" s="4">
        <v>5.09</v>
      </c>
      <c r="E902" s="4">
        <v>5.27</v>
      </c>
      <c r="F902" s="4">
        <v>3.09</v>
      </c>
      <c r="G902" s="7">
        <v>10830</v>
      </c>
      <c r="H902" s="7">
        <v>11130</v>
      </c>
      <c r="I902" s="6">
        <v>6652</v>
      </c>
      <c r="J902" s="7">
        <v>5582</v>
      </c>
      <c r="K902" s="7">
        <v>6507</v>
      </c>
    </row>
    <row r="903" spans="1:11" x14ac:dyDescent="0.25">
      <c r="A903" s="1">
        <v>0.625694444444444</v>
      </c>
      <c r="B903" s="2">
        <v>6.1800000000000006</v>
      </c>
      <c r="C903" s="2">
        <v>3.5199999999999996</v>
      </c>
      <c r="D903" s="2">
        <v>5.2600000000000007</v>
      </c>
      <c r="E903" s="2">
        <v>5.1400000000000006</v>
      </c>
      <c r="F903" s="2">
        <v>2.9</v>
      </c>
      <c r="G903" s="6">
        <v>9958</v>
      </c>
      <c r="H903" s="6">
        <v>13455</v>
      </c>
      <c r="I903" s="6">
        <f>H903-4399</f>
        <v>9056</v>
      </c>
      <c r="J903" s="6">
        <v>7952</v>
      </c>
      <c r="K903" s="6">
        <v>9595</v>
      </c>
    </row>
    <row r="904" spans="1:11" x14ac:dyDescent="0.25">
      <c r="A904" s="1">
        <v>0.62638888888888899</v>
      </c>
      <c r="B904" s="2">
        <v>6.2600000000000007</v>
      </c>
      <c r="C904" s="2">
        <v>3.6999999999999997</v>
      </c>
      <c r="D904" s="2">
        <v>4.99</v>
      </c>
      <c r="E904" s="2">
        <v>5.53</v>
      </c>
      <c r="F904" s="2">
        <v>3.19</v>
      </c>
      <c r="G904" s="6">
        <v>11254</v>
      </c>
      <c r="H904" s="6">
        <f t="shared" ref="H904:H960" si="22">G904+986</f>
        <v>12240</v>
      </c>
      <c r="I904" s="6">
        <f t="shared" ref="I904:I915" si="23">H904-4399</f>
        <v>7841</v>
      </c>
      <c r="J904" s="6">
        <v>6844</v>
      </c>
      <c r="K904" s="6">
        <v>7525</v>
      </c>
    </row>
    <row r="905" spans="1:11" x14ac:dyDescent="0.25">
      <c r="A905" s="1">
        <v>0.62708333333333299</v>
      </c>
      <c r="B905" s="2">
        <v>6.2200000000000006</v>
      </c>
      <c r="C905" s="2">
        <v>3.59</v>
      </c>
      <c r="D905" s="2">
        <v>5.15</v>
      </c>
      <c r="E905" s="2">
        <v>5.2200000000000006</v>
      </c>
      <c r="F905" s="2">
        <v>3.13</v>
      </c>
      <c r="G905" s="6">
        <v>12364</v>
      </c>
      <c r="H905" s="6">
        <v>13454</v>
      </c>
      <c r="I905" s="6">
        <f t="shared" si="23"/>
        <v>9055</v>
      </c>
      <c r="J905" s="6">
        <v>9874</v>
      </c>
      <c r="K905" s="6">
        <v>12102</v>
      </c>
    </row>
    <row r="906" spans="1:11" x14ac:dyDescent="0.25">
      <c r="A906" s="1">
        <v>0.62777777777777799</v>
      </c>
      <c r="B906" s="2">
        <v>6.25</v>
      </c>
      <c r="C906" s="2">
        <v>3.6999999999999997</v>
      </c>
      <c r="D906" s="2">
        <v>5.08</v>
      </c>
      <c r="E906" s="2">
        <v>4.96</v>
      </c>
      <c r="F906" s="2">
        <v>3.23</v>
      </c>
      <c r="G906" s="6">
        <v>9857</v>
      </c>
      <c r="H906" s="6">
        <f t="shared" si="22"/>
        <v>10843</v>
      </c>
      <c r="I906" s="6">
        <f t="shared" si="23"/>
        <v>6444</v>
      </c>
      <c r="J906" s="6">
        <v>7205</v>
      </c>
      <c r="K906" s="6">
        <v>8205</v>
      </c>
    </row>
    <row r="907" spans="1:11" x14ac:dyDescent="0.25">
      <c r="A907" s="1">
        <v>0.62847222222222199</v>
      </c>
      <c r="B907" s="2">
        <v>6.15</v>
      </c>
      <c r="C907" s="2">
        <v>3.5399999999999996</v>
      </c>
      <c r="D907" s="2">
        <v>5.07</v>
      </c>
      <c r="E907" s="2">
        <v>5.09</v>
      </c>
      <c r="F907" s="2">
        <v>3.0300000000000002</v>
      </c>
      <c r="G907" s="6">
        <v>6487</v>
      </c>
      <c r="H907" s="6">
        <f t="shared" si="22"/>
        <v>7473</v>
      </c>
      <c r="I907" s="6">
        <f t="shared" si="23"/>
        <v>3074</v>
      </c>
      <c r="J907" s="6">
        <v>4025</v>
      </c>
      <c r="K907" s="6">
        <v>4245</v>
      </c>
    </row>
    <row r="908" spans="1:11" x14ac:dyDescent="0.25">
      <c r="A908" s="1">
        <v>0.62916666666666698</v>
      </c>
      <c r="B908" s="2">
        <v>6.2</v>
      </c>
      <c r="C908" s="2">
        <v>3.61</v>
      </c>
      <c r="D908" s="2">
        <v>5.1800000000000006</v>
      </c>
      <c r="E908" s="2">
        <v>5.5</v>
      </c>
      <c r="F908" s="2">
        <v>3.2600000000000002</v>
      </c>
      <c r="G908" s="6">
        <v>5647</v>
      </c>
      <c r="H908" s="6">
        <v>6987</v>
      </c>
      <c r="I908" s="6">
        <v>5555</v>
      </c>
      <c r="J908" s="6">
        <v>6462</v>
      </c>
      <c r="K908" s="6">
        <v>7512</v>
      </c>
    </row>
    <row r="909" spans="1:11" x14ac:dyDescent="0.25">
      <c r="A909" s="1">
        <v>0.62986111111111098</v>
      </c>
      <c r="B909" s="2">
        <v>6.09</v>
      </c>
      <c r="C909" s="2">
        <v>3.7399999999999998</v>
      </c>
      <c r="D909" s="2">
        <v>5</v>
      </c>
      <c r="E909" s="2">
        <v>5.23</v>
      </c>
      <c r="F909" s="2">
        <v>3.23</v>
      </c>
      <c r="G909" s="6">
        <v>12647</v>
      </c>
      <c r="H909" s="6">
        <v>14687</v>
      </c>
      <c r="I909" s="6">
        <f t="shared" si="23"/>
        <v>10288</v>
      </c>
      <c r="J909" s="6">
        <v>8642</v>
      </c>
      <c r="K909" s="6">
        <v>9542</v>
      </c>
    </row>
    <row r="910" spans="1:11" x14ac:dyDescent="0.25">
      <c r="A910" s="1">
        <v>0.63055555555555598</v>
      </c>
      <c r="B910" s="2">
        <v>6.2600000000000007</v>
      </c>
      <c r="C910" s="2">
        <v>3.7699999999999996</v>
      </c>
      <c r="D910" s="2">
        <v>5.2</v>
      </c>
      <c r="E910" s="2">
        <v>5.3000000000000007</v>
      </c>
      <c r="F910" s="2">
        <v>3.22</v>
      </c>
      <c r="G910" s="6">
        <v>9564</v>
      </c>
      <c r="H910" s="6">
        <f t="shared" si="22"/>
        <v>10550</v>
      </c>
      <c r="I910" s="6">
        <f t="shared" si="23"/>
        <v>6151</v>
      </c>
      <c r="J910" s="6">
        <v>7525</v>
      </c>
      <c r="K910" s="6">
        <v>8245</v>
      </c>
    </row>
    <row r="911" spans="1:11" x14ac:dyDescent="0.25">
      <c r="A911" s="1">
        <v>0.63124999999999998</v>
      </c>
      <c r="B911" s="2">
        <v>6.2200000000000006</v>
      </c>
      <c r="C911" s="2">
        <v>3.5399999999999996</v>
      </c>
      <c r="D911" s="2">
        <v>5.0200000000000005</v>
      </c>
      <c r="E911" s="2">
        <v>5.32</v>
      </c>
      <c r="F911" s="2">
        <v>2.85</v>
      </c>
      <c r="G911" s="6">
        <v>7542</v>
      </c>
      <c r="H911" s="6">
        <f t="shared" si="22"/>
        <v>8528</v>
      </c>
      <c r="I911" s="6">
        <f t="shared" si="23"/>
        <v>4129</v>
      </c>
      <c r="J911" s="6">
        <v>5456</v>
      </c>
      <c r="K911" s="6">
        <v>5687</v>
      </c>
    </row>
    <row r="912" spans="1:11" x14ac:dyDescent="0.25">
      <c r="A912" s="1">
        <v>0.63194444444444398</v>
      </c>
      <c r="B912" s="2">
        <v>6.07</v>
      </c>
      <c r="C912" s="2">
        <v>3.6599999999999997</v>
      </c>
      <c r="D912" s="2">
        <v>4.95</v>
      </c>
      <c r="E912" s="2">
        <v>4.8500000000000005</v>
      </c>
      <c r="F912" s="2">
        <v>2.96</v>
      </c>
      <c r="G912" s="6">
        <v>8547</v>
      </c>
      <c r="H912" s="6">
        <v>9648</v>
      </c>
      <c r="I912" s="6">
        <f t="shared" si="23"/>
        <v>5249</v>
      </c>
      <c r="J912" s="6">
        <v>6488</v>
      </c>
      <c r="K912" s="6">
        <v>6645</v>
      </c>
    </row>
    <row r="913" spans="1:11" x14ac:dyDescent="0.25">
      <c r="A913" s="1">
        <v>0.63263888888888897</v>
      </c>
      <c r="B913" s="2">
        <v>6.12</v>
      </c>
      <c r="C913" s="2">
        <v>3.5799999999999996</v>
      </c>
      <c r="D913" s="2">
        <v>4.9300000000000006</v>
      </c>
      <c r="E913" s="2">
        <v>5.0600000000000005</v>
      </c>
      <c r="F913" s="2">
        <v>3.1</v>
      </c>
      <c r="G913" s="6">
        <v>10047</v>
      </c>
      <c r="H913" s="6">
        <f t="shared" si="22"/>
        <v>11033</v>
      </c>
      <c r="I913" s="6">
        <f t="shared" si="23"/>
        <v>6634</v>
      </c>
      <c r="J913" s="6">
        <v>6455</v>
      </c>
      <c r="K913" s="6">
        <v>7542</v>
      </c>
    </row>
    <row r="914" spans="1:11" x14ac:dyDescent="0.25">
      <c r="A914" s="1">
        <v>0.63333333333333297</v>
      </c>
      <c r="B914" s="2">
        <v>6.23</v>
      </c>
      <c r="C914" s="2">
        <v>3.76</v>
      </c>
      <c r="D914" s="2">
        <v>4.9000000000000004</v>
      </c>
      <c r="E914" s="2">
        <v>5.13</v>
      </c>
      <c r="F914" s="2">
        <v>3.1</v>
      </c>
      <c r="G914" s="6">
        <v>1124</v>
      </c>
      <c r="H914" s="6">
        <f t="shared" si="22"/>
        <v>2110</v>
      </c>
      <c r="I914" s="6">
        <v>2289</v>
      </c>
      <c r="J914" s="6">
        <v>2355</v>
      </c>
      <c r="K914" s="6">
        <v>3232</v>
      </c>
    </row>
    <row r="915" spans="1:11" x14ac:dyDescent="0.25">
      <c r="A915" s="1">
        <v>0.63402777777777797</v>
      </c>
      <c r="B915" s="2">
        <v>6.15</v>
      </c>
      <c r="C915" s="2">
        <v>3.6999999999999997</v>
      </c>
      <c r="D915" s="2">
        <v>5.0600000000000005</v>
      </c>
      <c r="E915" s="2">
        <v>5.13</v>
      </c>
      <c r="F915" s="2">
        <v>3.21</v>
      </c>
      <c r="G915" s="6">
        <v>8547</v>
      </c>
      <c r="H915" s="6">
        <v>10245</v>
      </c>
      <c r="I915" s="6">
        <f t="shared" si="23"/>
        <v>5846</v>
      </c>
      <c r="J915" s="6">
        <v>6452</v>
      </c>
      <c r="K915" s="6">
        <v>7542</v>
      </c>
    </row>
    <row r="916" spans="1:11" x14ac:dyDescent="0.25">
      <c r="A916" s="1">
        <v>0.63472222222222197</v>
      </c>
      <c r="B916" s="2">
        <v>6.2600000000000007</v>
      </c>
      <c r="C916" s="2">
        <v>3.75</v>
      </c>
      <c r="D916" s="2">
        <v>5.04</v>
      </c>
      <c r="E916" s="2">
        <v>4.83</v>
      </c>
      <c r="F916" s="2">
        <v>3.0500000000000003</v>
      </c>
      <c r="G916" s="6">
        <v>5427</v>
      </c>
      <c r="H916" s="6">
        <f t="shared" si="22"/>
        <v>6413</v>
      </c>
      <c r="I916" s="6">
        <v>5446</v>
      </c>
      <c r="J916" s="6">
        <v>4355</v>
      </c>
      <c r="K916" s="6">
        <v>4585</v>
      </c>
    </row>
    <row r="917" spans="1:11" x14ac:dyDescent="0.25">
      <c r="A917" s="1">
        <v>0.63541666666666696</v>
      </c>
      <c r="B917" s="2">
        <v>6.15</v>
      </c>
      <c r="C917" s="2">
        <v>3.5999999999999996</v>
      </c>
      <c r="D917" s="2">
        <v>4.92</v>
      </c>
      <c r="E917" s="2">
        <v>4.95</v>
      </c>
      <c r="F917" s="2">
        <v>3.15</v>
      </c>
      <c r="G917" s="6">
        <v>9547</v>
      </c>
      <c r="H917" s="6">
        <f t="shared" si="22"/>
        <v>10533</v>
      </c>
      <c r="I917" s="6">
        <v>6887</v>
      </c>
      <c r="J917" s="6">
        <v>5384</v>
      </c>
      <c r="K917" s="6">
        <v>5822</v>
      </c>
    </row>
    <row r="918" spans="1:11" x14ac:dyDescent="0.25">
      <c r="A918" s="1">
        <v>0.63611111111111096</v>
      </c>
      <c r="B918" s="2">
        <v>6.28</v>
      </c>
      <c r="C918" s="2">
        <v>3.71</v>
      </c>
      <c r="D918" s="2">
        <v>5.12</v>
      </c>
      <c r="E918" s="2">
        <v>5.44</v>
      </c>
      <c r="F918" s="2">
        <v>3.18</v>
      </c>
      <c r="G918" s="6">
        <v>8547</v>
      </c>
      <c r="H918" s="6">
        <v>10245</v>
      </c>
      <c r="I918" s="6">
        <v>9796</v>
      </c>
      <c r="J918" s="6">
        <v>8348</v>
      </c>
      <c r="K918" s="6">
        <v>8542</v>
      </c>
    </row>
    <row r="919" spans="1:11" x14ac:dyDescent="0.25">
      <c r="A919" s="1">
        <v>0.63680555555555596</v>
      </c>
      <c r="B919" s="2">
        <v>6.21</v>
      </c>
      <c r="C919" s="2">
        <v>3.5799999999999996</v>
      </c>
      <c r="D919" s="2">
        <v>5.17</v>
      </c>
      <c r="E919" s="2">
        <v>5.21</v>
      </c>
      <c r="F919" s="2">
        <v>2.96</v>
      </c>
      <c r="G919" s="6">
        <v>7758</v>
      </c>
      <c r="H919" s="6">
        <v>8526</v>
      </c>
      <c r="I919" s="6">
        <v>8754</v>
      </c>
      <c r="J919" s="6">
        <v>7528</v>
      </c>
      <c r="K919" s="6">
        <v>7852</v>
      </c>
    </row>
    <row r="920" spans="1:11" x14ac:dyDescent="0.25">
      <c r="A920" s="1">
        <v>0.63749999999999996</v>
      </c>
      <c r="B920" s="2">
        <v>6.33</v>
      </c>
      <c r="C920" s="2">
        <v>3.78</v>
      </c>
      <c r="D920" s="2">
        <v>4.99</v>
      </c>
      <c r="E920" s="2">
        <v>5.37</v>
      </c>
      <c r="F920" s="2">
        <v>2.92</v>
      </c>
      <c r="G920" s="6">
        <v>9547</v>
      </c>
      <c r="H920" s="6">
        <f t="shared" si="22"/>
        <v>10533</v>
      </c>
      <c r="I920" s="6">
        <v>6482</v>
      </c>
      <c r="J920" s="6">
        <v>5325</v>
      </c>
      <c r="K920" s="6">
        <v>5685</v>
      </c>
    </row>
    <row r="921" spans="1:11" x14ac:dyDescent="0.25">
      <c r="A921" s="1">
        <v>0.63819444444444495</v>
      </c>
      <c r="B921" s="2">
        <v>6.13</v>
      </c>
      <c r="C921" s="2">
        <v>3.7199999999999998</v>
      </c>
      <c r="D921" s="2">
        <v>5.21</v>
      </c>
      <c r="E921" s="2">
        <v>4.82</v>
      </c>
      <c r="F921" s="2">
        <v>3.12</v>
      </c>
      <c r="G921" s="6">
        <v>8547</v>
      </c>
      <c r="H921" s="6">
        <v>9572</v>
      </c>
      <c r="I921" s="6">
        <v>4682</v>
      </c>
      <c r="J921" s="6">
        <v>5642</v>
      </c>
      <c r="K921" s="6">
        <v>5985</v>
      </c>
    </row>
    <row r="922" spans="1:11" x14ac:dyDescent="0.25">
      <c r="A922" s="1">
        <v>0.63888888888888895</v>
      </c>
      <c r="B922" s="2">
        <v>6.13</v>
      </c>
      <c r="C922" s="2">
        <v>3.6599999999999997</v>
      </c>
      <c r="D922" s="2">
        <v>5.1400000000000006</v>
      </c>
      <c r="E922" s="2">
        <v>5.21</v>
      </c>
      <c r="F922" s="2">
        <v>3.08</v>
      </c>
      <c r="G922" s="6">
        <v>5487</v>
      </c>
      <c r="H922" s="6">
        <v>5588</v>
      </c>
      <c r="I922" s="6">
        <v>5887</v>
      </c>
      <c r="J922" s="6">
        <v>4556</v>
      </c>
      <c r="K922" s="6">
        <v>5478</v>
      </c>
    </row>
    <row r="923" spans="1:11" x14ac:dyDescent="0.25">
      <c r="A923" s="1">
        <v>0.63958333333333295</v>
      </c>
      <c r="B923" s="2">
        <v>6.2600000000000007</v>
      </c>
      <c r="C923" s="2">
        <v>3.7199999999999998</v>
      </c>
      <c r="D923" s="2">
        <v>4.9700000000000006</v>
      </c>
      <c r="E923" s="2">
        <v>5.03</v>
      </c>
      <c r="F923" s="2">
        <v>3.0100000000000002</v>
      </c>
      <c r="G923" s="6">
        <v>9954</v>
      </c>
      <c r="H923" s="6">
        <v>6587</v>
      </c>
      <c r="I923" s="6">
        <v>7356</v>
      </c>
      <c r="J923" s="6">
        <v>5845</v>
      </c>
      <c r="K923" s="6">
        <v>5482</v>
      </c>
    </row>
    <row r="924" spans="1:11" x14ac:dyDescent="0.25">
      <c r="A924" s="1">
        <v>0.64027777777777795</v>
      </c>
      <c r="B924" s="2">
        <v>6.12</v>
      </c>
      <c r="C924" s="2">
        <v>3.76</v>
      </c>
      <c r="D924" s="2">
        <v>4.8900000000000006</v>
      </c>
      <c r="E924" s="2">
        <v>5.04</v>
      </c>
      <c r="F924" s="2">
        <v>3.19</v>
      </c>
      <c r="G924" s="6">
        <v>5475</v>
      </c>
      <c r="H924" s="6">
        <f t="shared" si="22"/>
        <v>6461</v>
      </c>
      <c r="I924" s="6">
        <v>5335</v>
      </c>
      <c r="J924" s="6">
        <v>6465</v>
      </c>
      <c r="K924" s="6">
        <v>6245</v>
      </c>
    </row>
    <row r="925" spans="1:11" x14ac:dyDescent="0.25">
      <c r="A925" s="1">
        <v>0.64097222222222205</v>
      </c>
      <c r="B925" s="2">
        <v>6.19</v>
      </c>
      <c r="C925" s="2">
        <v>3.7399999999999998</v>
      </c>
      <c r="D925" s="2">
        <v>4.8600000000000003</v>
      </c>
      <c r="E925" s="2">
        <v>4.99</v>
      </c>
      <c r="F925" s="2">
        <v>3.31</v>
      </c>
      <c r="G925" s="6">
        <v>6654</v>
      </c>
      <c r="H925" s="6">
        <f t="shared" si="22"/>
        <v>7640</v>
      </c>
      <c r="I925" s="6">
        <v>6541</v>
      </c>
      <c r="J925" s="6">
        <v>5246</v>
      </c>
      <c r="K925" s="6">
        <v>5345</v>
      </c>
    </row>
    <row r="926" spans="1:11" x14ac:dyDescent="0.25">
      <c r="A926" s="1">
        <v>0.64166666666666705</v>
      </c>
      <c r="B926" s="2">
        <v>6.13</v>
      </c>
      <c r="C926" s="2">
        <v>3.75</v>
      </c>
      <c r="D926" s="2">
        <v>4.95</v>
      </c>
      <c r="E926" s="2">
        <v>5.17</v>
      </c>
      <c r="F926" s="2">
        <v>3.31</v>
      </c>
      <c r="G926" s="6">
        <v>6547</v>
      </c>
      <c r="H926" s="6">
        <f t="shared" si="22"/>
        <v>7533</v>
      </c>
      <c r="I926" s="6">
        <v>6564</v>
      </c>
      <c r="J926" s="6">
        <v>5642</v>
      </c>
      <c r="K926" s="6">
        <v>5548</v>
      </c>
    </row>
    <row r="927" spans="1:11" x14ac:dyDescent="0.25">
      <c r="A927" s="1">
        <v>0.64236111111111105</v>
      </c>
      <c r="B927" s="2">
        <v>6.11</v>
      </c>
      <c r="C927" s="2">
        <v>3.69</v>
      </c>
      <c r="D927" s="2">
        <v>5.2200000000000006</v>
      </c>
      <c r="E927" s="2">
        <v>5.3900000000000006</v>
      </c>
      <c r="F927" s="2">
        <v>3.13</v>
      </c>
      <c r="G927" s="6">
        <v>4567</v>
      </c>
      <c r="H927" s="6">
        <v>6547</v>
      </c>
      <c r="I927" s="6">
        <v>4364</v>
      </c>
      <c r="J927" s="6">
        <v>5456</v>
      </c>
      <c r="K927" s="6">
        <v>5248</v>
      </c>
    </row>
    <row r="928" spans="1:11" x14ac:dyDescent="0.25">
      <c r="A928" s="1">
        <v>0.64305555555555605</v>
      </c>
      <c r="B928" s="2">
        <v>6.24</v>
      </c>
      <c r="C928" s="2">
        <v>3.53</v>
      </c>
      <c r="D928" s="2">
        <v>5.1300000000000008</v>
      </c>
      <c r="E928" s="2">
        <v>4.9000000000000004</v>
      </c>
      <c r="F928" s="2">
        <v>3.1100000000000003</v>
      </c>
      <c r="G928" s="6">
        <v>4436</v>
      </c>
      <c r="H928" s="6">
        <f t="shared" si="22"/>
        <v>5422</v>
      </c>
      <c r="I928" s="6">
        <v>3354</v>
      </c>
      <c r="J928" s="6">
        <v>4252</v>
      </c>
      <c r="K928" s="6">
        <v>4368</v>
      </c>
    </row>
    <row r="929" spans="1:11" x14ac:dyDescent="0.25">
      <c r="A929" s="1">
        <v>0.64375000000000004</v>
      </c>
      <c r="B929" s="2">
        <v>6.09</v>
      </c>
      <c r="C929" s="2">
        <v>3.51</v>
      </c>
      <c r="D929" s="2">
        <v>4.87</v>
      </c>
      <c r="E929" s="2">
        <v>4.88</v>
      </c>
      <c r="F929" s="2">
        <v>3.3600000000000003</v>
      </c>
      <c r="G929" s="6">
        <v>5524</v>
      </c>
      <c r="H929" s="6">
        <f t="shared" si="22"/>
        <v>6510</v>
      </c>
      <c r="I929" s="6">
        <v>5462</v>
      </c>
      <c r="J929" s="6">
        <v>6542</v>
      </c>
      <c r="K929" s="6">
        <v>6582</v>
      </c>
    </row>
    <row r="930" spans="1:11" x14ac:dyDescent="0.25">
      <c r="A930" s="1">
        <v>0.64444444444444404</v>
      </c>
      <c r="B930" s="2">
        <v>6.28</v>
      </c>
      <c r="C930" s="2">
        <v>3.6599999999999997</v>
      </c>
      <c r="D930" s="2">
        <v>4.8900000000000006</v>
      </c>
      <c r="E930" s="2">
        <v>5.1100000000000003</v>
      </c>
      <c r="F930" s="2">
        <v>3.35</v>
      </c>
      <c r="G930" s="6">
        <v>5497</v>
      </c>
      <c r="H930" s="6">
        <v>6278</v>
      </c>
      <c r="I930" s="6">
        <v>5524</v>
      </c>
      <c r="J930" s="6">
        <v>6565</v>
      </c>
      <c r="K930" s="6">
        <v>7582</v>
      </c>
    </row>
    <row r="931" spans="1:11" x14ac:dyDescent="0.25">
      <c r="A931" s="1">
        <v>0.64513888888888904</v>
      </c>
      <c r="B931" s="2">
        <v>6.15</v>
      </c>
      <c r="C931" s="2">
        <v>3.5999999999999996</v>
      </c>
      <c r="D931" s="2">
        <v>4.87</v>
      </c>
      <c r="E931" s="2">
        <v>5.45</v>
      </c>
      <c r="F931" s="2">
        <v>3.13</v>
      </c>
      <c r="G931" s="6">
        <v>3548</v>
      </c>
      <c r="H931" s="6">
        <f t="shared" si="22"/>
        <v>4534</v>
      </c>
      <c r="I931" s="6">
        <v>3554</v>
      </c>
      <c r="J931" s="6">
        <v>2585</v>
      </c>
      <c r="K931" s="6">
        <v>3542</v>
      </c>
    </row>
    <row r="932" spans="1:11" x14ac:dyDescent="0.25">
      <c r="A932" s="1">
        <v>0.64583333333333304</v>
      </c>
      <c r="B932" s="2">
        <v>6.07</v>
      </c>
      <c r="C932" s="2">
        <v>3.5399999999999996</v>
      </c>
      <c r="D932" s="2">
        <v>5.08</v>
      </c>
      <c r="E932" s="2">
        <v>5.23</v>
      </c>
      <c r="F932" s="2">
        <v>2.91</v>
      </c>
      <c r="G932" s="6">
        <v>6472</v>
      </c>
      <c r="H932" s="6">
        <f t="shared" si="22"/>
        <v>7458</v>
      </c>
      <c r="I932" s="6">
        <v>5564</v>
      </c>
      <c r="J932" s="6">
        <v>6454</v>
      </c>
      <c r="K932" s="6">
        <v>6658</v>
      </c>
    </row>
    <row r="933" spans="1:11" x14ac:dyDescent="0.25">
      <c r="A933" s="1">
        <v>0.64652777777777803</v>
      </c>
      <c r="B933" s="2">
        <v>6.25</v>
      </c>
      <c r="C933" s="2">
        <v>3.76</v>
      </c>
      <c r="D933" s="2">
        <v>5.23</v>
      </c>
      <c r="E933" s="2">
        <v>5.48</v>
      </c>
      <c r="F933" s="2">
        <v>3.14</v>
      </c>
      <c r="G933" s="6">
        <v>8647</v>
      </c>
      <c r="H933" s="6">
        <v>10547</v>
      </c>
      <c r="I933" s="6">
        <v>7864</v>
      </c>
      <c r="J933" s="6">
        <v>8125</v>
      </c>
      <c r="K933" s="6">
        <v>7852</v>
      </c>
    </row>
    <row r="934" spans="1:11" x14ac:dyDescent="0.25">
      <c r="A934" s="1">
        <v>0.64722222222222203</v>
      </c>
      <c r="B934" s="2">
        <v>6.32</v>
      </c>
      <c r="C934" s="2">
        <v>3.51</v>
      </c>
      <c r="D934" s="2">
        <v>4.9400000000000004</v>
      </c>
      <c r="E934" s="2">
        <v>5.1800000000000006</v>
      </c>
      <c r="F934" s="2">
        <v>2.91</v>
      </c>
      <c r="G934" s="6">
        <v>5547</v>
      </c>
      <c r="H934" s="6">
        <f t="shared" si="22"/>
        <v>6533</v>
      </c>
      <c r="I934" s="6">
        <v>4562</v>
      </c>
      <c r="J934" s="6">
        <v>4556</v>
      </c>
      <c r="K934" s="6">
        <v>4685</v>
      </c>
    </row>
    <row r="935" spans="1:11" x14ac:dyDescent="0.25">
      <c r="A935" s="1">
        <v>0.64791666666666703</v>
      </c>
      <c r="B935" s="2">
        <v>6.16</v>
      </c>
      <c r="C935" s="2">
        <v>3.69</v>
      </c>
      <c r="D935" s="2">
        <v>5.0900000000000007</v>
      </c>
      <c r="E935" s="2">
        <v>4.88</v>
      </c>
      <c r="F935" s="2">
        <v>3.08</v>
      </c>
      <c r="G935" s="6">
        <v>4454</v>
      </c>
      <c r="H935" s="6">
        <v>5978</v>
      </c>
      <c r="I935" s="6">
        <v>4645</v>
      </c>
      <c r="J935" s="6">
        <v>5245</v>
      </c>
      <c r="K935" s="6">
        <v>5744</v>
      </c>
    </row>
    <row r="936" spans="1:11" x14ac:dyDescent="0.25">
      <c r="A936" s="1">
        <v>0.64861111111111103</v>
      </c>
      <c r="B936" s="2">
        <v>6.28</v>
      </c>
      <c r="C936" s="2">
        <v>3.57</v>
      </c>
      <c r="D936" s="2">
        <v>5.07</v>
      </c>
      <c r="E936" s="2">
        <v>5.3800000000000008</v>
      </c>
      <c r="F936" s="2">
        <v>3.06</v>
      </c>
      <c r="G936" s="6">
        <v>6549</v>
      </c>
      <c r="H936" s="6">
        <f t="shared" si="22"/>
        <v>7535</v>
      </c>
      <c r="I936" s="6">
        <v>5687</v>
      </c>
      <c r="J936" s="6">
        <v>8455</v>
      </c>
      <c r="K936" s="6">
        <v>9552</v>
      </c>
    </row>
    <row r="937" spans="1:11" x14ac:dyDescent="0.25">
      <c r="A937" s="1">
        <v>0.64930555555555602</v>
      </c>
      <c r="B937" s="2">
        <v>6.29</v>
      </c>
      <c r="C937" s="2">
        <v>3.6599999999999997</v>
      </c>
      <c r="D937" s="2">
        <v>5.0500000000000007</v>
      </c>
      <c r="E937" s="2">
        <v>4.84</v>
      </c>
      <c r="F937" s="2">
        <v>2.85</v>
      </c>
      <c r="G937" s="6">
        <v>8597</v>
      </c>
      <c r="H937" s="6">
        <v>10258</v>
      </c>
      <c r="I937" s="6">
        <v>7564</v>
      </c>
      <c r="J937" s="6">
        <v>7757</v>
      </c>
      <c r="K937" s="6">
        <v>7852</v>
      </c>
    </row>
    <row r="938" spans="1:11" x14ac:dyDescent="0.25">
      <c r="A938" s="1">
        <v>0.65</v>
      </c>
      <c r="B938" s="2">
        <v>6.1800000000000006</v>
      </c>
      <c r="C938" s="2">
        <v>3.65</v>
      </c>
      <c r="D938" s="2">
        <v>4.9800000000000004</v>
      </c>
      <c r="E938" s="2">
        <v>4.9700000000000006</v>
      </c>
      <c r="F938" s="2">
        <v>2.92</v>
      </c>
      <c r="G938" s="6">
        <v>5147</v>
      </c>
      <c r="H938" s="6">
        <f t="shared" si="22"/>
        <v>6133</v>
      </c>
      <c r="I938" s="6">
        <v>5546</v>
      </c>
      <c r="J938" s="6">
        <v>4988</v>
      </c>
      <c r="K938" s="6">
        <v>5240</v>
      </c>
    </row>
    <row r="939" spans="1:11" x14ac:dyDescent="0.25">
      <c r="A939" s="1">
        <v>0.65069444444444402</v>
      </c>
      <c r="B939" s="2">
        <v>6.13</v>
      </c>
      <c r="C939" s="2">
        <v>3.75</v>
      </c>
      <c r="D939" s="2">
        <v>4.9400000000000004</v>
      </c>
      <c r="E939" s="2">
        <v>4.8900000000000006</v>
      </c>
      <c r="F939" s="2">
        <v>3.16</v>
      </c>
      <c r="G939" s="6">
        <v>6478</v>
      </c>
      <c r="H939" s="6">
        <v>7684</v>
      </c>
      <c r="I939" s="6">
        <v>6582</v>
      </c>
      <c r="J939" s="6">
        <v>6458</v>
      </c>
      <c r="K939" s="6">
        <v>6482</v>
      </c>
    </row>
    <row r="940" spans="1:11" x14ac:dyDescent="0.25">
      <c r="A940" s="1">
        <v>0.65138888888888902</v>
      </c>
      <c r="B940" s="2">
        <v>6.1400000000000006</v>
      </c>
      <c r="C940" s="2">
        <v>3.67</v>
      </c>
      <c r="D940" s="2">
        <v>4.88</v>
      </c>
      <c r="E940" s="2">
        <v>5.21</v>
      </c>
      <c r="F940" s="2">
        <v>3.17</v>
      </c>
      <c r="G940" s="6">
        <v>5547</v>
      </c>
      <c r="H940" s="6">
        <f t="shared" si="22"/>
        <v>6533</v>
      </c>
      <c r="I940" s="6">
        <v>6845</v>
      </c>
      <c r="J940" s="6">
        <v>5852</v>
      </c>
      <c r="K940" s="6">
        <v>5985</v>
      </c>
    </row>
    <row r="941" spans="1:11" x14ac:dyDescent="0.25">
      <c r="A941" s="1">
        <v>0.65208333333333302</v>
      </c>
      <c r="B941" s="2">
        <v>6.12</v>
      </c>
      <c r="C941" s="2">
        <v>3.73</v>
      </c>
      <c r="D941" s="2">
        <v>5.12</v>
      </c>
      <c r="E941" s="2">
        <v>5.21</v>
      </c>
      <c r="F941" s="2">
        <v>3.15</v>
      </c>
      <c r="G941" s="6">
        <v>6478</v>
      </c>
      <c r="H941" s="6">
        <v>7598</v>
      </c>
      <c r="I941" s="6">
        <v>6354</v>
      </c>
      <c r="J941" s="6">
        <v>6657</v>
      </c>
      <c r="K941" s="6">
        <v>6482</v>
      </c>
    </row>
    <row r="942" spans="1:11" x14ac:dyDescent="0.25">
      <c r="A942" s="1">
        <v>0.65277777777777801</v>
      </c>
      <c r="B942" s="2">
        <v>6.29</v>
      </c>
      <c r="C942" s="2">
        <v>3.7699999999999996</v>
      </c>
      <c r="D942" s="2">
        <v>5.12</v>
      </c>
      <c r="E942" s="2">
        <v>5.1400000000000006</v>
      </c>
      <c r="F942" s="2">
        <v>2.85</v>
      </c>
      <c r="G942" s="6">
        <v>3369</v>
      </c>
      <c r="H942" s="6">
        <v>5462</v>
      </c>
      <c r="I942" s="6">
        <v>3652</v>
      </c>
      <c r="J942" s="6">
        <v>3568</v>
      </c>
      <c r="K942" s="6">
        <v>4528</v>
      </c>
    </row>
    <row r="943" spans="1:11" x14ac:dyDescent="0.25">
      <c r="A943" s="1">
        <v>0.65347222222222201</v>
      </c>
      <c r="B943" s="2">
        <v>6.23</v>
      </c>
      <c r="C943" s="2">
        <v>3.6399999999999997</v>
      </c>
      <c r="D943" s="2">
        <v>5.25</v>
      </c>
      <c r="E943" s="2">
        <v>5</v>
      </c>
      <c r="F943" s="2">
        <v>3.12</v>
      </c>
      <c r="G943" s="6">
        <v>4125</v>
      </c>
      <c r="H943" s="6">
        <f t="shared" si="22"/>
        <v>5111</v>
      </c>
      <c r="I943" s="6">
        <v>3655</v>
      </c>
      <c r="J943" s="6">
        <v>4587</v>
      </c>
      <c r="K943" s="6">
        <v>5242</v>
      </c>
    </row>
    <row r="944" spans="1:11" x14ac:dyDescent="0.25">
      <c r="A944" s="1">
        <v>0.65416666666666701</v>
      </c>
      <c r="B944" s="2">
        <v>6.19</v>
      </c>
      <c r="C944" s="2">
        <v>3.5999999999999996</v>
      </c>
      <c r="D944" s="2">
        <v>5.15</v>
      </c>
      <c r="E944" s="2">
        <v>5.3000000000000007</v>
      </c>
      <c r="F944" s="2">
        <v>3.13</v>
      </c>
      <c r="G944" s="6">
        <v>8474</v>
      </c>
      <c r="H944" s="6">
        <v>10235</v>
      </c>
      <c r="I944" s="6">
        <v>7565</v>
      </c>
      <c r="J944" s="6">
        <v>8206</v>
      </c>
      <c r="K944" s="6">
        <v>8644</v>
      </c>
    </row>
    <row r="945" spans="1:11" x14ac:dyDescent="0.25">
      <c r="A945" s="1">
        <v>0.65486111111111101</v>
      </c>
      <c r="B945" s="2">
        <v>6.29</v>
      </c>
      <c r="C945" s="2">
        <v>3.78</v>
      </c>
      <c r="D945" s="2">
        <v>4.91</v>
      </c>
      <c r="E945" s="2">
        <v>5.29</v>
      </c>
      <c r="F945" s="2">
        <v>2.85</v>
      </c>
      <c r="G945" s="6">
        <v>4872</v>
      </c>
      <c r="H945" s="6">
        <v>6985</v>
      </c>
      <c r="I945" s="6">
        <v>6345</v>
      </c>
      <c r="J945" s="6">
        <v>5067</v>
      </c>
      <c r="K945" s="6">
        <v>5524</v>
      </c>
    </row>
    <row r="946" spans="1:11" x14ac:dyDescent="0.25">
      <c r="A946" s="1">
        <v>0.655555555555556</v>
      </c>
      <c r="B946" s="2">
        <v>6.24</v>
      </c>
      <c r="C946" s="2">
        <v>3.65</v>
      </c>
      <c r="D946" s="2">
        <v>4.91</v>
      </c>
      <c r="E946" s="2">
        <v>5.5100000000000007</v>
      </c>
      <c r="F946" s="2">
        <v>3</v>
      </c>
      <c r="G946" s="6">
        <v>1987</v>
      </c>
      <c r="H946" s="6">
        <v>2648</v>
      </c>
      <c r="I946" s="6">
        <v>2054</v>
      </c>
      <c r="J946" s="6">
        <v>2205</v>
      </c>
      <c r="K946" s="6">
        <v>2356</v>
      </c>
    </row>
    <row r="947" spans="1:11" x14ac:dyDescent="0.25">
      <c r="A947" s="1">
        <v>0.65625</v>
      </c>
      <c r="B947" s="2">
        <v>6.19</v>
      </c>
      <c r="C947" s="2">
        <v>3.7399999999999998</v>
      </c>
      <c r="D947" s="2">
        <v>5.24</v>
      </c>
      <c r="E947" s="2">
        <v>5.1100000000000003</v>
      </c>
      <c r="F947" s="2">
        <v>2.89</v>
      </c>
      <c r="G947" s="6">
        <v>1857</v>
      </c>
      <c r="H947" s="6">
        <f t="shared" si="22"/>
        <v>2843</v>
      </c>
      <c r="I947" s="6">
        <v>1954</v>
      </c>
      <c r="J947" s="6">
        <v>2035</v>
      </c>
      <c r="K947" s="6">
        <v>2354</v>
      </c>
    </row>
    <row r="948" spans="1:11" x14ac:dyDescent="0.25">
      <c r="A948" s="1">
        <v>0.656944444444444</v>
      </c>
      <c r="B948" s="2">
        <v>6.24</v>
      </c>
      <c r="C948" s="2">
        <v>3.61</v>
      </c>
      <c r="D948" s="2">
        <v>5.1800000000000006</v>
      </c>
      <c r="E948" s="2">
        <v>5.12</v>
      </c>
      <c r="F948" s="2">
        <v>3.29</v>
      </c>
      <c r="G948" s="6">
        <v>1954</v>
      </c>
      <c r="H948" s="6">
        <v>2867</v>
      </c>
      <c r="I948" s="6">
        <v>1852</v>
      </c>
      <c r="J948" s="6">
        <v>2034</v>
      </c>
      <c r="K948" s="6">
        <v>2678</v>
      </c>
    </row>
    <row r="949" spans="1:11" x14ac:dyDescent="0.25">
      <c r="A949" s="1">
        <v>0.65763888888888899</v>
      </c>
      <c r="B949" s="2">
        <v>6.24</v>
      </c>
      <c r="C949" s="2">
        <v>3.76</v>
      </c>
      <c r="D949" s="2">
        <v>4.99</v>
      </c>
      <c r="E949" s="2">
        <v>4.8600000000000003</v>
      </c>
      <c r="F949" s="2">
        <v>3.06</v>
      </c>
      <c r="G949" s="6">
        <v>2564</v>
      </c>
      <c r="H949" s="6">
        <v>3254</v>
      </c>
      <c r="I949" s="6">
        <v>2642</v>
      </c>
      <c r="J949" s="6">
        <v>2985</v>
      </c>
      <c r="K949" s="6">
        <v>3054</v>
      </c>
    </row>
    <row r="950" spans="1:11" x14ac:dyDescent="0.25">
      <c r="A950" s="1">
        <v>0.65833333333333299</v>
      </c>
      <c r="B950" s="2">
        <v>6.24</v>
      </c>
      <c r="C950" s="2">
        <v>3.5199999999999996</v>
      </c>
      <c r="D950" s="2">
        <v>5.12</v>
      </c>
      <c r="E950" s="2">
        <v>5.5100000000000007</v>
      </c>
      <c r="F950" s="2">
        <v>3.17</v>
      </c>
      <c r="G950" s="6">
        <v>2764</v>
      </c>
      <c r="H950" s="6">
        <v>3698</v>
      </c>
      <c r="I950" s="6">
        <v>2781</v>
      </c>
      <c r="J950" s="6">
        <v>2648</v>
      </c>
      <c r="K950" s="6">
        <v>2954</v>
      </c>
    </row>
    <row r="951" spans="1:11" x14ac:dyDescent="0.25">
      <c r="A951" s="1">
        <v>0.65902777777777799</v>
      </c>
      <c r="B951" s="2">
        <v>6.2</v>
      </c>
      <c r="C951" s="2">
        <v>3.6599999999999997</v>
      </c>
      <c r="D951" s="2">
        <v>4.9700000000000006</v>
      </c>
      <c r="E951" s="2">
        <v>5.5100000000000007</v>
      </c>
      <c r="F951" s="2">
        <v>3.37</v>
      </c>
      <c r="G951" s="6">
        <v>3354</v>
      </c>
      <c r="H951" s="6">
        <v>4524</v>
      </c>
      <c r="I951" s="6">
        <v>3054</v>
      </c>
      <c r="J951" s="6">
        <v>3156</v>
      </c>
      <c r="K951" s="6">
        <v>3254</v>
      </c>
    </row>
    <row r="952" spans="1:11" x14ac:dyDescent="0.25">
      <c r="A952" s="1">
        <v>0.65972222222222199</v>
      </c>
      <c r="B952" s="2">
        <v>6.21</v>
      </c>
      <c r="C952" s="2">
        <v>3.69</v>
      </c>
      <c r="D952" s="2">
        <v>4.9700000000000006</v>
      </c>
      <c r="E952" s="2">
        <v>5.08</v>
      </c>
      <c r="F952" s="2">
        <v>3.22</v>
      </c>
      <c r="G952" s="6">
        <v>3571</v>
      </c>
      <c r="H952" s="6">
        <f t="shared" si="22"/>
        <v>4557</v>
      </c>
      <c r="I952" s="6">
        <v>3058</v>
      </c>
      <c r="J952" s="6">
        <v>2984</v>
      </c>
      <c r="K952" s="6">
        <v>3054</v>
      </c>
    </row>
    <row r="953" spans="1:11" x14ac:dyDescent="0.25">
      <c r="A953" s="1">
        <v>0.66041666666666698</v>
      </c>
      <c r="B953" s="2">
        <v>6.1000000000000005</v>
      </c>
      <c r="C953" s="2">
        <v>3.53</v>
      </c>
      <c r="D953" s="2">
        <v>5.04</v>
      </c>
      <c r="E953" s="2">
        <v>5.3100000000000005</v>
      </c>
      <c r="F953" s="2">
        <v>2.94</v>
      </c>
      <c r="G953" s="6">
        <v>3495</v>
      </c>
      <c r="H953" s="6">
        <v>4687</v>
      </c>
      <c r="I953" s="6">
        <v>3458</v>
      </c>
      <c r="J953" s="6">
        <v>3245</v>
      </c>
      <c r="K953" s="6">
        <v>3584</v>
      </c>
    </row>
    <row r="954" spans="1:11" x14ac:dyDescent="0.25">
      <c r="A954" s="1">
        <v>0.66111111111111098</v>
      </c>
      <c r="B954" s="2">
        <v>6.29</v>
      </c>
      <c r="C954" s="2">
        <v>3.5999999999999996</v>
      </c>
      <c r="D954" s="2">
        <v>5.1100000000000003</v>
      </c>
      <c r="E954" s="2">
        <v>4.84</v>
      </c>
      <c r="F954" s="2">
        <v>3.06</v>
      </c>
      <c r="G954" s="6">
        <v>3245</v>
      </c>
      <c r="H954" s="6">
        <v>3264</v>
      </c>
      <c r="I954" s="6">
        <v>3052</v>
      </c>
      <c r="J954" s="6">
        <v>3054</v>
      </c>
      <c r="K954" s="6">
        <v>3685</v>
      </c>
    </row>
    <row r="955" spans="1:11" x14ac:dyDescent="0.25">
      <c r="A955" s="1">
        <v>0.66180555555555598</v>
      </c>
      <c r="B955" s="2">
        <v>6.13</v>
      </c>
      <c r="C955" s="2">
        <v>3.59</v>
      </c>
      <c r="D955" s="2">
        <v>5.08</v>
      </c>
      <c r="E955" s="2">
        <v>4.99</v>
      </c>
      <c r="F955" s="2">
        <v>3.1100000000000003</v>
      </c>
      <c r="G955" s="6">
        <v>2854</v>
      </c>
      <c r="H955" s="6">
        <v>3355</v>
      </c>
      <c r="I955" s="6">
        <v>2775</v>
      </c>
      <c r="J955" s="6">
        <v>2754</v>
      </c>
      <c r="K955" s="6">
        <v>2785</v>
      </c>
    </row>
    <row r="956" spans="1:11" x14ac:dyDescent="0.25">
      <c r="A956" s="1">
        <v>0.66249999999999998</v>
      </c>
      <c r="B956" s="2">
        <v>6.2600000000000007</v>
      </c>
      <c r="C956" s="2">
        <v>3.76</v>
      </c>
      <c r="D956" s="2">
        <v>4.9300000000000006</v>
      </c>
      <c r="E956" s="2">
        <v>5.04</v>
      </c>
      <c r="F956" s="2">
        <v>3.2600000000000002</v>
      </c>
      <c r="G956" s="6">
        <v>2647</v>
      </c>
      <c r="H956" s="6">
        <v>3957</v>
      </c>
      <c r="I956" s="6">
        <v>2652</v>
      </c>
      <c r="J956" s="6">
        <v>2647</v>
      </c>
      <c r="K956" s="6">
        <v>2985</v>
      </c>
    </row>
    <row r="957" spans="1:11" x14ac:dyDescent="0.25">
      <c r="A957" s="1">
        <v>0.66319444444444398</v>
      </c>
      <c r="B957" s="2">
        <v>6.21</v>
      </c>
      <c r="C957" s="2">
        <v>3.57</v>
      </c>
      <c r="D957" s="2">
        <v>5.23</v>
      </c>
      <c r="E957" s="2">
        <v>5.24</v>
      </c>
      <c r="F957" s="2">
        <v>3.12</v>
      </c>
      <c r="G957" s="6">
        <v>1487</v>
      </c>
      <c r="H957" s="6">
        <f t="shared" si="22"/>
        <v>2473</v>
      </c>
      <c r="I957" s="6">
        <v>1528</v>
      </c>
      <c r="J957" s="6">
        <v>2754</v>
      </c>
      <c r="K957" s="6">
        <v>2985</v>
      </c>
    </row>
    <row r="958" spans="1:11" x14ac:dyDescent="0.25">
      <c r="A958" s="1">
        <v>0.66388888888888897</v>
      </c>
      <c r="B958" s="2">
        <v>6.1000000000000005</v>
      </c>
      <c r="C958" s="2">
        <v>3.71</v>
      </c>
      <c r="D958" s="2">
        <v>5.21</v>
      </c>
      <c r="E958" s="2">
        <v>4.99</v>
      </c>
      <c r="F958" s="2">
        <v>3.3600000000000003</v>
      </c>
      <c r="G958" s="6">
        <v>1364</v>
      </c>
      <c r="H958" s="6">
        <v>2647</v>
      </c>
      <c r="I958" s="6">
        <v>1364</v>
      </c>
      <c r="J958" s="6">
        <v>2454</v>
      </c>
      <c r="K958" s="6">
        <v>3014</v>
      </c>
    </row>
    <row r="959" spans="1:11" x14ac:dyDescent="0.25">
      <c r="A959" s="1">
        <v>0.66458333333333297</v>
      </c>
      <c r="B959" s="2">
        <v>6.1000000000000005</v>
      </c>
      <c r="C959" s="2">
        <v>3.51</v>
      </c>
      <c r="D959" s="2">
        <v>4.9000000000000004</v>
      </c>
      <c r="E959" s="2">
        <v>4.88</v>
      </c>
      <c r="F959" s="2">
        <v>2.99</v>
      </c>
      <c r="G959" s="6">
        <v>3456</v>
      </c>
      <c r="H959" s="6">
        <v>3442</v>
      </c>
      <c r="I959" s="6">
        <v>3542</v>
      </c>
      <c r="J959" s="6">
        <v>3546</v>
      </c>
      <c r="K959" s="6">
        <v>3782</v>
      </c>
    </row>
    <row r="960" spans="1:11" x14ac:dyDescent="0.25">
      <c r="A960" s="1">
        <v>0.66527777777777797</v>
      </c>
      <c r="B960" s="2">
        <v>6.08</v>
      </c>
      <c r="C960" s="2">
        <v>3.53</v>
      </c>
      <c r="D960" s="2">
        <v>5.21</v>
      </c>
      <c r="E960" s="2">
        <v>5.29</v>
      </c>
      <c r="F960" s="2">
        <v>2.98</v>
      </c>
      <c r="G960" s="6">
        <v>2567</v>
      </c>
      <c r="H960" s="6">
        <f t="shared" si="22"/>
        <v>3553</v>
      </c>
      <c r="I960" s="6">
        <v>2648</v>
      </c>
      <c r="J960" s="6">
        <v>2454</v>
      </c>
      <c r="K960" s="6">
        <v>2642</v>
      </c>
    </row>
    <row r="961" spans="1:11" x14ac:dyDescent="0.25">
      <c r="A961" s="1">
        <v>0.66597222222222197</v>
      </c>
      <c r="B961" s="2">
        <v>6.32</v>
      </c>
      <c r="C961" s="2">
        <v>3.71</v>
      </c>
      <c r="D961" s="2">
        <v>4.8600000000000003</v>
      </c>
      <c r="E961" s="2">
        <v>4.9800000000000004</v>
      </c>
      <c r="F961" s="2">
        <v>3.3200000000000003</v>
      </c>
      <c r="G961" s="6">
        <v>2298</v>
      </c>
      <c r="H961" s="6">
        <v>2648</v>
      </c>
      <c r="I961" s="6">
        <v>2485</v>
      </c>
      <c r="J961" s="6">
        <v>2548</v>
      </c>
      <c r="K961" s="6">
        <v>2985</v>
      </c>
    </row>
    <row r="962" spans="1:11" x14ac:dyDescent="0.25">
      <c r="A962" s="3">
        <v>0.66666666666666696</v>
      </c>
      <c r="B962" s="4">
        <v>6.19</v>
      </c>
      <c r="C962" s="4">
        <v>3.67</v>
      </c>
      <c r="D962" s="4">
        <v>5.09</v>
      </c>
      <c r="E962" s="4">
        <v>5.28</v>
      </c>
      <c r="F962" s="2">
        <v>3.11</v>
      </c>
      <c r="G962" s="7">
        <v>2529</v>
      </c>
      <c r="H962" s="7">
        <v>2659</v>
      </c>
      <c r="I962" s="6">
        <v>2231</v>
      </c>
      <c r="J962" s="7">
        <v>2473</v>
      </c>
      <c r="K962" s="7">
        <v>2571</v>
      </c>
    </row>
    <row r="963" spans="1:11" x14ac:dyDescent="0.25">
      <c r="A963" s="1">
        <v>0.66736111111111096</v>
      </c>
      <c r="B963" s="2">
        <v>6.2</v>
      </c>
      <c r="C963" s="2">
        <v>3.57</v>
      </c>
      <c r="D963" s="2">
        <v>4.9800000000000004</v>
      </c>
      <c r="E963" s="2">
        <v>5.25</v>
      </c>
      <c r="F963" s="2">
        <v>2.9</v>
      </c>
      <c r="G963" s="6">
        <v>2630</v>
      </c>
      <c r="H963" s="6">
        <f>G963+86</f>
        <v>2716</v>
      </c>
      <c r="I963" s="6">
        <f>H963-400</f>
        <v>2316</v>
      </c>
      <c r="J963" s="6">
        <f>I963+133</f>
        <v>2449</v>
      </c>
      <c r="K963" s="6">
        <f>J963+73</f>
        <v>2522</v>
      </c>
    </row>
    <row r="964" spans="1:11" x14ac:dyDescent="0.25">
      <c r="A964" s="1">
        <v>0.66805555555555596</v>
      </c>
      <c r="B964" s="2">
        <v>6.1000000000000005</v>
      </c>
      <c r="C964" s="2">
        <v>3.7399999999999998</v>
      </c>
      <c r="D964" s="2">
        <v>5.1300000000000008</v>
      </c>
      <c r="E964" s="2">
        <v>5.0600000000000005</v>
      </c>
      <c r="F964" s="2">
        <v>3.1399999999999997</v>
      </c>
      <c r="G964" s="6">
        <v>3297</v>
      </c>
      <c r="H964" s="6">
        <f t="shared" ref="H964:H1021" si="24">G964+86</f>
        <v>3383</v>
      </c>
      <c r="I964" s="6">
        <v>3678</v>
      </c>
      <c r="J964" s="6">
        <f t="shared" ref="J964:J1020" si="25">I964+133</f>
        <v>3811</v>
      </c>
      <c r="K964" s="6">
        <f t="shared" ref="K964:K1019" si="26">J964+73</f>
        <v>3884</v>
      </c>
    </row>
    <row r="965" spans="1:11" x14ac:dyDescent="0.25">
      <c r="A965" s="1">
        <v>0.66874999999999996</v>
      </c>
      <c r="B965" s="2">
        <v>6.25</v>
      </c>
      <c r="C965" s="2">
        <v>3.75</v>
      </c>
      <c r="D965" s="2">
        <v>4.9800000000000004</v>
      </c>
      <c r="E965" s="2">
        <v>4.92</v>
      </c>
      <c r="F965" s="2">
        <v>3.37</v>
      </c>
      <c r="G965" s="6">
        <v>2664</v>
      </c>
      <c r="H965" s="6">
        <v>2648</v>
      </c>
      <c r="I965" s="6">
        <v>3056</v>
      </c>
      <c r="J965" s="6">
        <v>3325</v>
      </c>
      <c r="K965" s="6">
        <v>3564</v>
      </c>
    </row>
    <row r="966" spans="1:11" x14ac:dyDescent="0.25">
      <c r="A966" s="1">
        <v>0.66944444444444495</v>
      </c>
      <c r="B966" s="2">
        <v>6.2</v>
      </c>
      <c r="C966" s="2">
        <v>3.7699999999999996</v>
      </c>
      <c r="D966" s="2">
        <v>5.15</v>
      </c>
      <c r="E966" s="2">
        <v>5.08</v>
      </c>
      <c r="F966" s="2">
        <v>3.1799999999999997</v>
      </c>
      <c r="G966" s="6">
        <v>3526</v>
      </c>
      <c r="H966" s="6">
        <f t="shared" si="24"/>
        <v>3612</v>
      </c>
      <c r="I966" s="6">
        <f t="shared" ref="I966:I1018" si="27">H966-400</f>
        <v>3212</v>
      </c>
      <c r="J966" s="6">
        <f t="shared" si="25"/>
        <v>3345</v>
      </c>
      <c r="K966" s="6">
        <f t="shared" si="26"/>
        <v>3418</v>
      </c>
    </row>
    <row r="967" spans="1:11" x14ac:dyDescent="0.25">
      <c r="A967" s="1">
        <v>0.67013888888888895</v>
      </c>
      <c r="B967" s="2">
        <v>6.2600000000000007</v>
      </c>
      <c r="C967" s="2">
        <v>3.57</v>
      </c>
      <c r="D967" s="2">
        <v>4.9300000000000006</v>
      </c>
      <c r="E967" s="2">
        <v>5.3100000000000005</v>
      </c>
      <c r="F967" s="2">
        <v>3.08</v>
      </c>
      <c r="G967" s="6">
        <v>2473</v>
      </c>
      <c r="H967" s="6">
        <f t="shared" si="24"/>
        <v>2559</v>
      </c>
      <c r="I967" s="6">
        <f t="shared" si="27"/>
        <v>2159</v>
      </c>
      <c r="J967" s="6">
        <f t="shared" si="25"/>
        <v>2292</v>
      </c>
      <c r="K967" s="6">
        <f t="shared" si="26"/>
        <v>2365</v>
      </c>
    </row>
    <row r="968" spans="1:11" x14ac:dyDescent="0.25">
      <c r="A968" s="1">
        <v>0.67083333333333295</v>
      </c>
      <c r="B968" s="2">
        <v>6.19</v>
      </c>
      <c r="C968" s="2">
        <v>3.51</v>
      </c>
      <c r="D968" s="2">
        <v>5.1300000000000008</v>
      </c>
      <c r="E968" s="2">
        <v>5.5100000000000007</v>
      </c>
      <c r="F968" s="2">
        <v>3.07</v>
      </c>
      <c r="G968" s="6">
        <v>268</v>
      </c>
      <c r="H968" s="6">
        <f t="shared" si="24"/>
        <v>354</v>
      </c>
      <c r="I968" s="6">
        <v>344</v>
      </c>
      <c r="J968" s="6">
        <v>245</v>
      </c>
      <c r="K968" s="6">
        <v>452</v>
      </c>
    </row>
    <row r="969" spans="1:11" x14ac:dyDescent="0.25">
      <c r="A969" s="1">
        <v>0.67152777777777795</v>
      </c>
      <c r="B969" s="2">
        <v>6.24</v>
      </c>
      <c r="C969" s="2">
        <v>3.5599999999999996</v>
      </c>
      <c r="D969" s="2">
        <v>5.16</v>
      </c>
      <c r="E969" s="2">
        <v>5.4300000000000006</v>
      </c>
      <c r="F969" s="2">
        <v>2.92</v>
      </c>
      <c r="G969" s="6">
        <v>1798</v>
      </c>
      <c r="H969" s="6">
        <f t="shared" si="24"/>
        <v>1884</v>
      </c>
      <c r="I969" s="6">
        <f t="shared" si="27"/>
        <v>1484</v>
      </c>
      <c r="J969" s="6">
        <f t="shared" si="25"/>
        <v>1617</v>
      </c>
      <c r="K969" s="6">
        <f t="shared" si="26"/>
        <v>1690</v>
      </c>
    </row>
    <row r="970" spans="1:11" x14ac:dyDescent="0.25">
      <c r="A970" s="1">
        <v>0.67222222222222205</v>
      </c>
      <c r="B970" s="2">
        <v>6.32</v>
      </c>
      <c r="C970" s="2">
        <v>3.6399999999999997</v>
      </c>
      <c r="D970" s="2">
        <v>4.9400000000000004</v>
      </c>
      <c r="E970" s="2">
        <v>5.2700000000000005</v>
      </c>
      <c r="F970" s="2">
        <v>2.88</v>
      </c>
      <c r="G970" s="6">
        <v>2851</v>
      </c>
      <c r="H970" s="6">
        <f t="shared" si="24"/>
        <v>2937</v>
      </c>
      <c r="I970" s="6">
        <f t="shared" si="27"/>
        <v>2537</v>
      </c>
      <c r="J970" s="6">
        <f t="shared" si="25"/>
        <v>2670</v>
      </c>
      <c r="K970" s="6">
        <v>2643</v>
      </c>
    </row>
    <row r="971" spans="1:11" x14ac:dyDescent="0.25">
      <c r="A971" s="1">
        <v>0.67291666666666705</v>
      </c>
      <c r="B971" s="2">
        <v>6.23</v>
      </c>
      <c r="C971" s="2">
        <v>3.53</v>
      </c>
      <c r="D971" s="2">
        <v>5.03</v>
      </c>
      <c r="E971" s="2">
        <v>5.5</v>
      </c>
      <c r="F971" s="2">
        <v>3.12</v>
      </c>
      <c r="G971" s="6">
        <v>2661</v>
      </c>
      <c r="H971" s="6">
        <f t="shared" si="24"/>
        <v>2747</v>
      </c>
      <c r="I971" s="6">
        <f t="shared" si="27"/>
        <v>2347</v>
      </c>
      <c r="J971" s="6">
        <v>2545</v>
      </c>
      <c r="K971" s="6">
        <f t="shared" si="26"/>
        <v>2618</v>
      </c>
    </row>
    <row r="972" spans="1:11" x14ac:dyDescent="0.25">
      <c r="A972" s="1">
        <v>0.67361111111111105</v>
      </c>
      <c r="B972" s="2">
        <v>6.2200000000000006</v>
      </c>
      <c r="C972" s="2">
        <v>3.5199999999999996</v>
      </c>
      <c r="D972" s="2">
        <v>5.2600000000000007</v>
      </c>
      <c r="E972" s="2">
        <v>4.96</v>
      </c>
      <c r="F972" s="2">
        <v>3</v>
      </c>
      <c r="G972" s="6">
        <v>1882</v>
      </c>
      <c r="H972" s="6">
        <f t="shared" si="24"/>
        <v>1968</v>
      </c>
      <c r="I972" s="6">
        <f t="shared" si="27"/>
        <v>1568</v>
      </c>
      <c r="J972" s="6">
        <f t="shared" si="25"/>
        <v>1701</v>
      </c>
      <c r="K972" s="6">
        <f t="shared" si="26"/>
        <v>1774</v>
      </c>
    </row>
    <row r="973" spans="1:11" x14ac:dyDescent="0.25">
      <c r="A973" s="1">
        <v>0.67430555555555605</v>
      </c>
      <c r="B973" s="2">
        <v>6.19</v>
      </c>
      <c r="C973" s="2">
        <v>3.61</v>
      </c>
      <c r="D973" s="2">
        <v>5.2600000000000007</v>
      </c>
      <c r="E973" s="2">
        <v>5</v>
      </c>
      <c r="F973" s="2">
        <v>3.0999999999999996</v>
      </c>
      <c r="G973" s="6">
        <v>2957</v>
      </c>
      <c r="H973" s="6">
        <f t="shared" si="24"/>
        <v>3043</v>
      </c>
      <c r="I973" s="6">
        <v>2579</v>
      </c>
      <c r="J973" s="6">
        <f t="shared" si="25"/>
        <v>2712</v>
      </c>
      <c r="K973" s="6">
        <v>2677</v>
      </c>
    </row>
    <row r="974" spans="1:11" x14ac:dyDescent="0.25">
      <c r="A974" s="1">
        <v>0.67500000000000004</v>
      </c>
      <c r="B974" s="2">
        <v>6.12</v>
      </c>
      <c r="C974" s="2">
        <v>3.6599999999999997</v>
      </c>
      <c r="D974" s="2">
        <v>4.99</v>
      </c>
      <c r="E974" s="2">
        <v>5.1000000000000005</v>
      </c>
      <c r="F974" s="2">
        <v>3.07</v>
      </c>
      <c r="G974" s="6">
        <v>1572</v>
      </c>
      <c r="H974" s="6">
        <f t="shared" si="24"/>
        <v>1658</v>
      </c>
      <c r="I974" s="6">
        <f t="shared" si="27"/>
        <v>1258</v>
      </c>
      <c r="J974" s="6">
        <f t="shared" si="25"/>
        <v>1391</v>
      </c>
      <c r="K974" s="6">
        <f t="shared" si="26"/>
        <v>1464</v>
      </c>
    </row>
    <row r="975" spans="1:11" x14ac:dyDescent="0.25">
      <c r="A975" s="1">
        <v>0.67569444444444404</v>
      </c>
      <c r="B975" s="2">
        <v>6.3000000000000007</v>
      </c>
      <c r="C975" s="2">
        <v>3.6799999999999997</v>
      </c>
      <c r="D975" s="2">
        <v>5.24</v>
      </c>
      <c r="E975" s="2">
        <v>5.53</v>
      </c>
      <c r="F975" s="2">
        <v>3.12</v>
      </c>
      <c r="G975" s="6">
        <v>2654</v>
      </c>
      <c r="H975" s="6">
        <v>2468</v>
      </c>
      <c r="I975" s="6">
        <f t="shared" si="27"/>
        <v>2068</v>
      </c>
      <c r="J975" s="6">
        <v>2645</v>
      </c>
      <c r="K975" s="6">
        <f t="shared" si="26"/>
        <v>2718</v>
      </c>
    </row>
    <row r="976" spans="1:11" x14ac:dyDescent="0.25">
      <c r="A976" s="1">
        <v>0.67638888888888904</v>
      </c>
      <c r="B976" s="2">
        <v>6.3100000000000005</v>
      </c>
      <c r="C976" s="2">
        <v>3.7199999999999998</v>
      </c>
      <c r="D976" s="2">
        <v>4.95</v>
      </c>
      <c r="E976" s="2">
        <v>5.08</v>
      </c>
      <c r="F976" s="2">
        <v>2.9499999999999997</v>
      </c>
      <c r="G976" s="6">
        <v>2867</v>
      </c>
      <c r="H976" s="6">
        <f t="shared" si="24"/>
        <v>2953</v>
      </c>
      <c r="I976" s="6">
        <f t="shared" si="27"/>
        <v>2553</v>
      </c>
      <c r="J976" s="6">
        <f t="shared" si="25"/>
        <v>2686</v>
      </c>
      <c r="K976" s="6">
        <v>2649</v>
      </c>
    </row>
    <row r="977" spans="1:11" x14ac:dyDescent="0.25">
      <c r="A977" s="1">
        <v>0.67708333333333304</v>
      </c>
      <c r="B977" s="2">
        <v>6.1800000000000006</v>
      </c>
      <c r="C977" s="2">
        <v>3.69</v>
      </c>
      <c r="D977" s="2">
        <v>4.9000000000000004</v>
      </c>
      <c r="E977" s="2">
        <v>4.91</v>
      </c>
      <c r="F977" s="2">
        <v>2.9699999999999998</v>
      </c>
      <c r="G977" s="6">
        <v>3257</v>
      </c>
      <c r="H977" s="6">
        <f t="shared" si="24"/>
        <v>3343</v>
      </c>
      <c r="I977" s="6">
        <f t="shared" si="27"/>
        <v>2943</v>
      </c>
      <c r="J977" s="6">
        <v>3251</v>
      </c>
      <c r="K977" s="6">
        <f t="shared" si="26"/>
        <v>3324</v>
      </c>
    </row>
    <row r="978" spans="1:11" x14ac:dyDescent="0.25">
      <c r="A978" s="1">
        <v>0.67777777777777803</v>
      </c>
      <c r="B978" s="2">
        <v>6.2600000000000007</v>
      </c>
      <c r="C978" s="2">
        <v>3.7199999999999998</v>
      </c>
      <c r="D978" s="2">
        <v>5.0900000000000007</v>
      </c>
      <c r="E978" s="2">
        <v>5.4700000000000006</v>
      </c>
      <c r="F978" s="2">
        <v>2.8699999999999997</v>
      </c>
      <c r="G978" s="6">
        <v>2775</v>
      </c>
      <c r="H978" s="6">
        <f t="shared" si="24"/>
        <v>2861</v>
      </c>
      <c r="I978" s="6">
        <v>2564</v>
      </c>
      <c r="J978" s="6">
        <f t="shared" si="25"/>
        <v>2697</v>
      </c>
      <c r="K978" s="6">
        <f t="shared" si="26"/>
        <v>2770</v>
      </c>
    </row>
    <row r="979" spans="1:11" x14ac:dyDescent="0.25">
      <c r="A979" s="1">
        <v>0.67847222222222203</v>
      </c>
      <c r="B979" s="2">
        <v>6.12</v>
      </c>
      <c r="C979" s="2">
        <v>3.53</v>
      </c>
      <c r="D979" s="2">
        <v>5.12</v>
      </c>
      <c r="E979" s="2">
        <v>5.0500000000000007</v>
      </c>
      <c r="F979" s="2">
        <v>3.01</v>
      </c>
      <c r="G979" s="6">
        <v>1777</v>
      </c>
      <c r="H979" s="6">
        <f t="shared" si="24"/>
        <v>1863</v>
      </c>
      <c r="I979" s="6">
        <v>1554</v>
      </c>
      <c r="J979" s="6">
        <f t="shared" si="25"/>
        <v>1687</v>
      </c>
      <c r="K979" s="6">
        <v>1973</v>
      </c>
    </row>
    <row r="980" spans="1:11" x14ac:dyDescent="0.25">
      <c r="A980" s="1">
        <v>0.67916666666666703</v>
      </c>
      <c r="B980" s="2">
        <v>6.1000000000000005</v>
      </c>
      <c r="C980" s="2">
        <v>3.5999999999999996</v>
      </c>
      <c r="D980" s="2">
        <v>5.24</v>
      </c>
      <c r="E980" s="2">
        <v>5.5</v>
      </c>
      <c r="F980" s="2">
        <v>2.92</v>
      </c>
      <c r="G980" s="6">
        <v>2034</v>
      </c>
      <c r="H980" s="6">
        <v>1957</v>
      </c>
      <c r="I980" s="6">
        <f t="shared" si="27"/>
        <v>1557</v>
      </c>
      <c r="J980" s="6">
        <v>1756</v>
      </c>
      <c r="K980" s="6">
        <f t="shared" si="26"/>
        <v>1829</v>
      </c>
    </row>
    <row r="981" spans="1:11" x14ac:dyDescent="0.25">
      <c r="A981" s="1">
        <v>0.67986111111111103</v>
      </c>
      <c r="B981" s="2">
        <v>6.33</v>
      </c>
      <c r="C981" s="2">
        <v>3.59</v>
      </c>
      <c r="D981" s="2">
        <v>5.1400000000000006</v>
      </c>
      <c r="E981" s="2">
        <v>5.4300000000000006</v>
      </c>
      <c r="F981" s="2">
        <v>3.1999999999999997</v>
      </c>
      <c r="G981" s="6">
        <v>1854</v>
      </c>
      <c r="H981" s="6">
        <f t="shared" si="24"/>
        <v>1940</v>
      </c>
      <c r="I981" s="6">
        <f t="shared" si="27"/>
        <v>1540</v>
      </c>
      <c r="J981" s="6">
        <f t="shared" si="25"/>
        <v>1673</v>
      </c>
      <c r="K981" s="6">
        <f t="shared" si="26"/>
        <v>1746</v>
      </c>
    </row>
    <row r="982" spans="1:11" x14ac:dyDescent="0.25">
      <c r="A982" s="1">
        <v>0.68055555555555602</v>
      </c>
      <c r="B982" s="2">
        <v>6.2</v>
      </c>
      <c r="C982" s="2">
        <v>3.76</v>
      </c>
      <c r="D982" s="2">
        <v>4.8600000000000003</v>
      </c>
      <c r="E982" s="2">
        <v>5.23</v>
      </c>
      <c r="F982" s="2">
        <v>2.9299999999999997</v>
      </c>
      <c r="G982" s="6">
        <v>2687</v>
      </c>
      <c r="H982" s="6">
        <f t="shared" si="24"/>
        <v>2773</v>
      </c>
      <c r="I982" s="6">
        <v>2647</v>
      </c>
      <c r="J982" s="6">
        <f t="shared" si="25"/>
        <v>2780</v>
      </c>
      <c r="K982" s="6">
        <v>2684</v>
      </c>
    </row>
    <row r="983" spans="1:11" x14ac:dyDescent="0.25">
      <c r="A983" s="1">
        <v>0.68125000000000002</v>
      </c>
      <c r="B983" s="2">
        <v>6.3000000000000007</v>
      </c>
      <c r="C983" s="2">
        <v>3.6399999999999997</v>
      </c>
      <c r="D983" s="2">
        <v>4.8600000000000003</v>
      </c>
      <c r="E983" s="2">
        <v>4.88</v>
      </c>
      <c r="F983" s="2">
        <v>3.34</v>
      </c>
      <c r="G983" s="6">
        <v>3324</v>
      </c>
      <c r="H983" s="6">
        <v>3243</v>
      </c>
      <c r="I983" s="6">
        <v>2888</v>
      </c>
      <c r="J983" s="6">
        <f t="shared" si="25"/>
        <v>3021</v>
      </c>
      <c r="K983" s="6">
        <f t="shared" si="26"/>
        <v>3094</v>
      </c>
    </row>
    <row r="984" spans="1:11" x14ac:dyDescent="0.25">
      <c r="A984" s="1">
        <v>0.68194444444444402</v>
      </c>
      <c r="B984" s="2">
        <v>6.21</v>
      </c>
      <c r="C984" s="2">
        <v>3.75</v>
      </c>
      <c r="D984" s="2">
        <v>4.87</v>
      </c>
      <c r="E984" s="2">
        <v>5.2700000000000005</v>
      </c>
      <c r="F984" s="2">
        <v>3.17</v>
      </c>
      <c r="G984" s="6">
        <v>2658</v>
      </c>
      <c r="H984" s="6">
        <f t="shared" si="24"/>
        <v>2744</v>
      </c>
      <c r="I984" s="6">
        <f t="shared" si="27"/>
        <v>2344</v>
      </c>
      <c r="J984" s="6">
        <v>2678</v>
      </c>
      <c r="K984" s="6">
        <v>2677</v>
      </c>
    </row>
    <row r="985" spans="1:11" x14ac:dyDescent="0.25">
      <c r="A985" s="1">
        <v>0.68263888888888902</v>
      </c>
      <c r="B985" s="2">
        <v>6.32</v>
      </c>
      <c r="C985" s="2">
        <v>3.7399999999999998</v>
      </c>
      <c r="D985" s="2">
        <v>5.23</v>
      </c>
      <c r="E985" s="2">
        <v>4.96</v>
      </c>
      <c r="F985" s="2">
        <v>3.2199999999999998</v>
      </c>
      <c r="G985" s="6">
        <v>2589</v>
      </c>
      <c r="H985" s="6">
        <f t="shared" si="24"/>
        <v>2675</v>
      </c>
      <c r="I985" s="6">
        <f t="shared" si="27"/>
        <v>2275</v>
      </c>
      <c r="J985" s="6">
        <f t="shared" si="25"/>
        <v>2408</v>
      </c>
      <c r="K985" s="6">
        <f t="shared" si="26"/>
        <v>2481</v>
      </c>
    </row>
    <row r="986" spans="1:11" x14ac:dyDescent="0.25">
      <c r="A986" s="1">
        <v>0.68333333333333302</v>
      </c>
      <c r="B986" s="2">
        <v>6.16</v>
      </c>
      <c r="C986" s="2">
        <v>3.53</v>
      </c>
      <c r="D986" s="2">
        <v>5.23</v>
      </c>
      <c r="E986" s="2">
        <v>5.2700000000000005</v>
      </c>
      <c r="F986" s="2">
        <v>2.8899999999999997</v>
      </c>
      <c r="G986" s="6">
        <v>2985</v>
      </c>
      <c r="H986" s="6">
        <f t="shared" si="24"/>
        <v>3071</v>
      </c>
      <c r="I986" s="6">
        <v>2578</v>
      </c>
      <c r="J986" s="6">
        <f t="shared" si="25"/>
        <v>2711</v>
      </c>
      <c r="K986" s="6">
        <v>2658</v>
      </c>
    </row>
    <row r="987" spans="1:11" x14ac:dyDescent="0.25">
      <c r="A987" s="1">
        <v>0.68402777777777801</v>
      </c>
      <c r="B987" s="2">
        <v>6.15</v>
      </c>
      <c r="C987" s="2">
        <v>3.7399999999999998</v>
      </c>
      <c r="D987" s="2">
        <v>5.15</v>
      </c>
      <c r="E987" s="2">
        <v>5.46</v>
      </c>
      <c r="F987" s="2">
        <v>3.02</v>
      </c>
      <c r="G987" s="6">
        <v>1832</v>
      </c>
      <c r="H987" s="6">
        <v>2034</v>
      </c>
      <c r="I987" s="6">
        <f t="shared" si="27"/>
        <v>1634</v>
      </c>
      <c r="J987" s="6">
        <f t="shared" si="25"/>
        <v>1767</v>
      </c>
      <c r="K987" s="6">
        <f t="shared" si="26"/>
        <v>1840</v>
      </c>
    </row>
    <row r="988" spans="1:11" x14ac:dyDescent="0.25">
      <c r="A988" s="1">
        <v>0.68472222222222201</v>
      </c>
      <c r="B988" s="2">
        <v>6.17</v>
      </c>
      <c r="C988" s="2">
        <v>3.57</v>
      </c>
      <c r="D988" s="2">
        <v>5.2200000000000006</v>
      </c>
      <c r="E988" s="2">
        <v>5.2600000000000007</v>
      </c>
      <c r="F988" s="2">
        <v>2.94</v>
      </c>
      <c r="G988" s="6">
        <v>3254</v>
      </c>
      <c r="H988" s="6">
        <f t="shared" si="24"/>
        <v>3340</v>
      </c>
      <c r="I988" s="6">
        <f t="shared" si="27"/>
        <v>2940</v>
      </c>
      <c r="J988" s="6">
        <v>3254</v>
      </c>
      <c r="K988" s="6">
        <v>3456</v>
      </c>
    </row>
    <row r="989" spans="1:11" x14ac:dyDescent="0.25">
      <c r="A989" s="1">
        <v>0.68541666666666701</v>
      </c>
      <c r="B989" s="2">
        <v>6.33</v>
      </c>
      <c r="C989" s="2">
        <v>3.6399999999999997</v>
      </c>
      <c r="D989" s="2">
        <v>5.21</v>
      </c>
      <c r="E989" s="2">
        <v>5.07</v>
      </c>
      <c r="F989" s="2">
        <v>3.29</v>
      </c>
      <c r="G989" s="6">
        <v>2278</v>
      </c>
      <c r="H989" s="6">
        <f t="shared" si="24"/>
        <v>2364</v>
      </c>
      <c r="I989" s="6">
        <f t="shared" si="27"/>
        <v>1964</v>
      </c>
      <c r="J989" s="6">
        <f t="shared" si="25"/>
        <v>2097</v>
      </c>
      <c r="K989" s="6">
        <f t="shared" si="26"/>
        <v>2170</v>
      </c>
    </row>
    <row r="990" spans="1:11" x14ac:dyDescent="0.25">
      <c r="A990" s="1">
        <v>0.68611111111111101</v>
      </c>
      <c r="B990" s="2">
        <v>6.25</v>
      </c>
      <c r="C990" s="2">
        <v>3.5399999999999996</v>
      </c>
      <c r="D990" s="2">
        <v>5.2200000000000006</v>
      </c>
      <c r="E990" s="2">
        <v>4.88</v>
      </c>
      <c r="F990" s="2">
        <v>3.06</v>
      </c>
      <c r="G990" s="6">
        <v>2657</v>
      </c>
      <c r="H990" s="6">
        <f t="shared" si="24"/>
        <v>2743</v>
      </c>
      <c r="I990" s="6">
        <f t="shared" si="27"/>
        <v>2343</v>
      </c>
      <c r="J990" s="6">
        <f t="shared" si="25"/>
        <v>2476</v>
      </c>
      <c r="K990" s="6">
        <f t="shared" si="26"/>
        <v>2549</v>
      </c>
    </row>
    <row r="991" spans="1:11" x14ac:dyDescent="0.25">
      <c r="A991" s="1">
        <v>0.686805555555556</v>
      </c>
      <c r="B991" s="2">
        <v>6.19</v>
      </c>
      <c r="C991" s="2">
        <v>3.51</v>
      </c>
      <c r="D991" s="2">
        <v>5.08</v>
      </c>
      <c r="E991" s="2">
        <v>5.5200000000000005</v>
      </c>
      <c r="F991" s="2">
        <v>3.0999999999999996</v>
      </c>
      <c r="G991" s="6">
        <v>2854</v>
      </c>
      <c r="H991" s="6">
        <v>3102</v>
      </c>
      <c r="I991" s="6">
        <f t="shared" si="27"/>
        <v>2702</v>
      </c>
      <c r="J991" s="6">
        <v>2985</v>
      </c>
      <c r="K991" s="6">
        <v>3248</v>
      </c>
    </row>
    <row r="992" spans="1:11" x14ac:dyDescent="0.25">
      <c r="A992" s="1">
        <v>0.6875</v>
      </c>
      <c r="B992" s="2">
        <v>6.3000000000000007</v>
      </c>
      <c r="C992" s="2">
        <v>3.5399999999999996</v>
      </c>
      <c r="D992" s="2">
        <v>4.9800000000000004</v>
      </c>
      <c r="E992" s="2">
        <v>4.9800000000000004</v>
      </c>
      <c r="F992" s="2">
        <v>3.15</v>
      </c>
      <c r="G992" s="6">
        <v>2594</v>
      </c>
      <c r="H992" s="6">
        <f t="shared" si="24"/>
        <v>2680</v>
      </c>
      <c r="I992" s="6">
        <v>2248</v>
      </c>
      <c r="J992" s="6">
        <f t="shared" si="25"/>
        <v>2381</v>
      </c>
      <c r="K992" s="6">
        <f t="shared" si="26"/>
        <v>2454</v>
      </c>
    </row>
    <row r="993" spans="1:11" x14ac:dyDescent="0.25">
      <c r="A993" s="1">
        <v>0.688194444444444</v>
      </c>
      <c r="B993" s="2">
        <v>6.12</v>
      </c>
      <c r="C993" s="2">
        <v>3.78</v>
      </c>
      <c r="D993" s="2">
        <v>4.9000000000000004</v>
      </c>
      <c r="E993" s="2">
        <v>4.9400000000000004</v>
      </c>
      <c r="F993" s="2">
        <v>2.9699999999999998</v>
      </c>
      <c r="G993" s="6">
        <v>2674</v>
      </c>
      <c r="H993" s="6">
        <f t="shared" si="24"/>
        <v>2760</v>
      </c>
      <c r="I993" s="6">
        <f t="shared" si="27"/>
        <v>2360</v>
      </c>
      <c r="J993" s="6">
        <f t="shared" si="25"/>
        <v>2493</v>
      </c>
      <c r="K993" s="6">
        <v>2678</v>
      </c>
    </row>
    <row r="994" spans="1:11" x14ac:dyDescent="0.25">
      <c r="A994" s="1">
        <v>0.68888888888888899</v>
      </c>
      <c r="B994" s="2">
        <v>6.15</v>
      </c>
      <c r="C994" s="2">
        <v>3.5999999999999996</v>
      </c>
      <c r="D994" s="2">
        <v>4.88</v>
      </c>
      <c r="E994" s="2">
        <v>5.5100000000000007</v>
      </c>
      <c r="F994" s="2">
        <v>3.21</v>
      </c>
      <c r="G994" s="6">
        <v>2297</v>
      </c>
      <c r="H994" s="6">
        <v>2498</v>
      </c>
      <c r="I994" s="6">
        <v>2682</v>
      </c>
      <c r="J994" s="6">
        <f t="shared" si="25"/>
        <v>2815</v>
      </c>
      <c r="K994" s="6">
        <f t="shared" si="26"/>
        <v>2888</v>
      </c>
    </row>
    <row r="995" spans="1:11" x14ac:dyDescent="0.25">
      <c r="A995" s="1">
        <v>0.68958333333333299</v>
      </c>
      <c r="B995" s="2">
        <v>6.3000000000000007</v>
      </c>
      <c r="C995" s="2">
        <v>3.5999999999999996</v>
      </c>
      <c r="D995" s="2">
        <v>5.16</v>
      </c>
      <c r="E995" s="2">
        <v>5.2600000000000007</v>
      </c>
      <c r="F995" s="2">
        <v>3.15</v>
      </c>
      <c r="G995" s="6">
        <v>3354</v>
      </c>
      <c r="H995" s="6">
        <f t="shared" si="24"/>
        <v>3440</v>
      </c>
      <c r="I995" s="6">
        <f t="shared" si="27"/>
        <v>3040</v>
      </c>
      <c r="J995" s="6">
        <v>3354</v>
      </c>
      <c r="K995" s="6">
        <f t="shared" si="26"/>
        <v>3427</v>
      </c>
    </row>
    <row r="996" spans="1:11" x14ac:dyDescent="0.25">
      <c r="A996" s="1">
        <v>0.69027777777777799</v>
      </c>
      <c r="B996" s="2">
        <v>6.3100000000000005</v>
      </c>
      <c r="C996" s="2">
        <v>3.61</v>
      </c>
      <c r="D996" s="2">
        <v>4.8600000000000003</v>
      </c>
      <c r="E996" s="2">
        <v>5.33</v>
      </c>
      <c r="F996" s="2">
        <v>3.29</v>
      </c>
      <c r="G996" s="6">
        <v>3247</v>
      </c>
      <c r="H996" s="6">
        <f t="shared" si="24"/>
        <v>3333</v>
      </c>
      <c r="I996" s="6">
        <f t="shared" si="27"/>
        <v>2933</v>
      </c>
      <c r="J996" s="6">
        <f t="shared" si="25"/>
        <v>3066</v>
      </c>
      <c r="K996" s="6">
        <v>3546</v>
      </c>
    </row>
    <row r="997" spans="1:11" x14ac:dyDescent="0.25">
      <c r="A997" s="1">
        <v>0.69097222222222199</v>
      </c>
      <c r="B997" s="2">
        <v>6.1400000000000006</v>
      </c>
      <c r="C997" s="2">
        <v>3.69</v>
      </c>
      <c r="D997" s="2">
        <v>5.0600000000000005</v>
      </c>
      <c r="E997" s="2">
        <v>5.3000000000000007</v>
      </c>
      <c r="F997" s="2">
        <v>2.92</v>
      </c>
      <c r="G997" s="6">
        <v>2654</v>
      </c>
      <c r="H997" s="6">
        <f t="shared" si="24"/>
        <v>2740</v>
      </c>
      <c r="I997" s="6">
        <f t="shared" si="27"/>
        <v>2340</v>
      </c>
      <c r="J997" s="6">
        <f t="shared" si="25"/>
        <v>2473</v>
      </c>
      <c r="K997" s="6">
        <f t="shared" si="26"/>
        <v>2546</v>
      </c>
    </row>
    <row r="998" spans="1:11" x14ac:dyDescent="0.25">
      <c r="A998" s="1">
        <v>0.69166666666666698</v>
      </c>
      <c r="B998" s="2">
        <v>6.23</v>
      </c>
      <c r="C998" s="2">
        <v>3.63</v>
      </c>
      <c r="D998" s="2">
        <v>5.1000000000000005</v>
      </c>
      <c r="E998" s="2">
        <v>5.34</v>
      </c>
      <c r="F998" s="2">
        <v>2.9499999999999997</v>
      </c>
      <c r="G998" s="6">
        <v>1864</v>
      </c>
      <c r="H998" s="6">
        <f t="shared" si="24"/>
        <v>1950</v>
      </c>
      <c r="I998" s="6">
        <f t="shared" si="27"/>
        <v>1550</v>
      </c>
      <c r="J998" s="6">
        <f t="shared" si="25"/>
        <v>1683</v>
      </c>
      <c r="K998" s="6">
        <f t="shared" si="26"/>
        <v>1756</v>
      </c>
    </row>
    <row r="999" spans="1:11" x14ac:dyDescent="0.25">
      <c r="A999" s="1">
        <v>0.69236111111111098</v>
      </c>
      <c r="B999" s="2">
        <v>6.21</v>
      </c>
      <c r="C999" s="2">
        <v>3.5199999999999996</v>
      </c>
      <c r="D999" s="2">
        <v>4.9700000000000006</v>
      </c>
      <c r="E999" s="2">
        <v>5.3500000000000005</v>
      </c>
      <c r="F999" s="2">
        <v>3.13</v>
      </c>
      <c r="G999" s="6">
        <v>1554</v>
      </c>
      <c r="H999" s="6">
        <f t="shared" si="24"/>
        <v>1640</v>
      </c>
      <c r="I999" s="6">
        <v>1687</v>
      </c>
      <c r="J999" s="6">
        <f t="shared" si="25"/>
        <v>1820</v>
      </c>
      <c r="K999" s="6">
        <v>1946</v>
      </c>
    </row>
    <row r="1000" spans="1:11" x14ac:dyDescent="0.25">
      <c r="A1000" s="1">
        <v>0.69305555555555598</v>
      </c>
      <c r="B1000" s="2">
        <v>6.23</v>
      </c>
      <c r="C1000" s="2">
        <v>3.6599999999999997</v>
      </c>
      <c r="D1000" s="2">
        <v>4.9700000000000006</v>
      </c>
      <c r="E1000" s="2">
        <v>5.08</v>
      </c>
      <c r="F1000" s="2">
        <v>3.23</v>
      </c>
      <c r="G1000" s="6">
        <v>2236</v>
      </c>
      <c r="H1000" s="6">
        <f t="shared" si="24"/>
        <v>2322</v>
      </c>
      <c r="I1000" s="6">
        <f t="shared" si="27"/>
        <v>1922</v>
      </c>
      <c r="J1000" s="6">
        <v>2160</v>
      </c>
      <c r="K1000" s="6">
        <f t="shared" si="26"/>
        <v>2233</v>
      </c>
    </row>
    <row r="1001" spans="1:11" x14ac:dyDescent="0.25">
      <c r="A1001" s="1">
        <v>0.69374999999999998</v>
      </c>
      <c r="B1001" s="2">
        <v>6.2200000000000006</v>
      </c>
      <c r="C1001" s="2">
        <v>3.6599999999999997</v>
      </c>
      <c r="D1001" s="2">
        <v>4.9800000000000004</v>
      </c>
      <c r="E1001" s="2">
        <v>5.4300000000000006</v>
      </c>
      <c r="F1001" s="2">
        <v>3.1399999999999997</v>
      </c>
      <c r="G1001" s="6">
        <v>2641</v>
      </c>
      <c r="H1001" s="6">
        <f t="shared" si="24"/>
        <v>2727</v>
      </c>
      <c r="I1001" s="6">
        <f t="shared" si="27"/>
        <v>2327</v>
      </c>
      <c r="J1001" s="6">
        <f t="shared" si="25"/>
        <v>2460</v>
      </c>
      <c r="K1001" s="6">
        <v>2348</v>
      </c>
    </row>
    <row r="1002" spans="1:11" x14ac:dyDescent="0.25">
      <c r="A1002" s="1">
        <v>0.69444444444444398</v>
      </c>
      <c r="B1002" s="2">
        <v>6.32</v>
      </c>
      <c r="C1002" s="2">
        <v>3.7199999999999998</v>
      </c>
      <c r="D1002" s="2">
        <v>5.0600000000000005</v>
      </c>
      <c r="E1002" s="2">
        <v>5.5200000000000005</v>
      </c>
      <c r="F1002" s="2">
        <v>2.8899999999999997</v>
      </c>
      <c r="G1002" s="6">
        <v>1534</v>
      </c>
      <c r="H1002" s="6">
        <f t="shared" si="24"/>
        <v>1620</v>
      </c>
      <c r="I1002" s="6">
        <v>1635</v>
      </c>
      <c r="J1002" s="6">
        <f t="shared" si="25"/>
        <v>1768</v>
      </c>
      <c r="K1002" s="6">
        <f t="shared" si="26"/>
        <v>1841</v>
      </c>
    </row>
    <row r="1003" spans="1:11" x14ac:dyDescent="0.25">
      <c r="A1003" s="1">
        <v>0.69513888888888897</v>
      </c>
      <c r="B1003" s="2">
        <v>6.1800000000000006</v>
      </c>
      <c r="C1003" s="2">
        <v>3.6199999999999997</v>
      </c>
      <c r="D1003" s="2">
        <v>5.1400000000000006</v>
      </c>
      <c r="E1003" s="2">
        <v>5.42</v>
      </c>
      <c r="F1003" s="2">
        <v>3.26</v>
      </c>
      <c r="G1003" s="6">
        <v>2547</v>
      </c>
      <c r="H1003" s="6">
        <f t="shared" si="24"/>
        <v>2633</v>
      </c>
      <c r="I1003" s="6">
        <f t="shared" si="27"/>
        <v>2233</v>
      </c>
      <c r="J1003" s="6">
        <v>2167</v>
      </c>
      <c r="K1003" s="6">
        <f t="shared" si="26"/>
        <v>2240</v>
      </c>
    </row>
    <row r="1004" spans="1:11" x14ac:dyDescent="0.25">
      <c r="A1004" s="1">
        <v>0.69583333333333297</v>
      </c>
      <c r="B1004" s="2">
        <v>6.25</v>
      </c>
      <c r="C1004" s="2">
        <v>3.73</v>
      </c>
      <c r="D1004" s="2">
        <v>5.1800000000000006</v>
      </c>
      <c r="E1004" s="2">
        <v>5.4</v>
      </c>
      <c r="F1004" s="2">
        <v>3.09</v>
      </c>
      <c r="G1004" s="6">
        <v>1895</v>
      </c>
      <c r="H1004" s="6">
        <f t="shared" si="24"/>
        <v>1981</v>
      </c>
      <c r="I1004" s="6">
        <f t="shared" si="27"/>
        <v>1581</v>
      </c>
      <c r="J1004" s="6">
        <f t="shared" si="25"/>
        <v>1714</v>
      </c>
      <c r="K1004" s="6">
        <v>1954</v>
      </c>
    </row>
    <row r="1005" spans="1:11" x14ac:dyDescent="0.25">
      <c r="A1005" s="1">
        <v>0.69652777777777797</v>
      </c>
      <c r="B1005" s="2">
        <v>6.19</v>
      </c>
      <c r="C1005" s="2">
        <v>3.5199999999999996</v>
      </c>
      <c r="D1005" s="2">
        <v>5.08</v>
      </c>
      <c r="E1005" s="2">
        <v>5.3000000000000007</v>
      </c>
      <c r="F1005" s="2">
        <v>2.8699999999999997</v>
      </c>
      <c r="G1005" s="6">
        <v>1536</v>
      </c>
      <c r="H1005" s="6">
        <v>1675</v>
      </c>
      <c r="I1005" s="6">
        <f t="shared" si="27"/>
        <v>1275</v>
      </c>
      <c r="J1005" s="6">
        <v>1368</v>
      </c>
      <c r="K1005" s="6">
        <f t="shared" si="26"/>
        <v>1441</v>
      </c>
    </row>
    <row r="1006" spans="1:11" x14ac:dyDescent="0.25">
      <c r="A1006" s="1">
        <v>0.69722222222222197</v>
      </c>
      <c r="B1006" s="2">
        <v>6.12</v>
      </c>
      <c r="C1006" s="2">
        <v>3.6999999999999997</v>
      </c>
      <c r="D1006" s="2">
        <v>5.1100000000000003</v>
      </c>
      <c r="E1006" s="2">
        <v>5.13</v>
      </c>
      <c r="F1006" s="2">
        <v>3.1799999999999997</v>
      </c>
      <c r="G1006" s="6">
        <v>1953</v>
      </c>
      <c r="H1006" s="6">
        <f t="shared" si="24"/>
        <v>2039</v>
      </c>
      <c r="I1006" s="6">
        <f t="shared" si="27"/>
        <v>1639</v>
      </c>
      <c r="J1006" s="6">
        <f t="shared" si="25"/>
        <v>1772</v>
      </c>
      <c r="K1006" s="6">
        <v>1888</v>
      </c>
    </row>
    <row r="1007" spans="1:11" x14ac:dyDescent="0.25">
      <c r="A1007" s="1">
        <v>0.69791666666666696</v>
      </c>
      <c r="B1007" s="2">
        <v>6.28</v>
      </c>
      <c r="C1007" s="2">
        <v>3.65</v>
      </c>
      <c r="D1007" s="2">
        <v>4.87</v>
      </c>
      <c r="E1007" s="2">
        <v>4.8600000000000003</v>
      </c>
      <c r="F1007" s="2">
        <v>3.01</v>
      </c>
      <c r="G1007" s="6">
        <v>1954</v>
      </c>
      <c r="H1007" s="6">
        <f t="shared" si="24"/>
        <v>2040</v>
      </c>
      <c r="I1007" s="6">
        <v>1586</v>
      </c>
      <c r="J1007" s="6">
        <f t="shared" si="25"/>
        <v>1719</v>
      </c>
      <c r="K1007" s="6">
        <f t="shared" si="26"/>
        <v>1792</v>
      </c>
    </row>
    <row r="1008" spans="1:11" x14ac:dyDescent="0.25">
      <c r="A1008" s="1">
        <v>0.69861111111111096</v>
      </c>
      <c r="B1008" s="2">
        <v>6.11</v>
      </c>
      <c r="C1008" s="2">
        <v>3.76</v>
      </c>
      <c r="D1008" s="2">
        <v>5.19</v>
      </c>
      <c r="E1008" s="2">
        <v>5.23</v>
      </c>
      <c r="F1008" s="2">
        <v>3.23</v>
      </c>
      <c r="G1008" s="6">
        <v>2549</v>
      </c>
      <c r="H1008" s="6">
        <v>2678</v>
      </c>
      <c r="I1008" s="6">
        <f t="shared" si="27"/>
        <v>2278</v>
      </c>
      <c r="J1008" s="6">
        <v>2351</v>
      </c>
      <c r="K1008" s="6">
        <f t="shared" si="26"/>
        <v>2424</v>
      </c>
    </row>
    <row r="1009" spans="1:11" x14ac:dyDescent="0.25">
      <c r="A1009" s="1">
        <v>0.69930555555555596</v>
      </c>
      <c r="B1009" s="2">
        <v>6.15</v>
      </c>
      <c r="C1009" s="2">
        <v>3.6799999999999997</v>
      </c>
      <c r="D1009" s="2">
        <v>5.0600000000000005</v>
      </c>
      <c r="E1009" s="2">
        <v>5.0200000000000005</v>
      </c>
      <c r="F1009" s="2">
        <v>3.38</v>
      </c>
      <c r="G1009" s="6">
        <v>2257</v>
      </c>
      <c r="H1009" s="6">
        <f t="shared" si="24"/>
        <v>2343</v>
      </c>
      <c r="I1009" s="6">
        <f t="shared" si="27"/>
        <v>1943</v>
      </c>
      <c r="J1009" s="6">
        <f t="shared" si="25"/>
        <v>2076</v>
      </c>
      <c r="K1009" s="6">
        <v>2245</v>
      </c>
    </row>
    <row r="1010" spans="1:11" x14ac:dyDescent="0.25">
      <c r="A1010" s="1">
        <v>0.7</v>
      </c>
      <c r="B1010" s="2">
        <v>6.3000000000000007</v>
      </c>
      <c r="C1010" s="2">
        <v>3.63</v>
      </c>
      <c r="D1010" s="2">
        <v>5.23</v>
      </c>
      <c r="E1010" s="2">
        <v>4.9000000000000004</v>
      </c>
      <c r="F1010" s="2">
        <v>3.29</v>
      </c>
      <c r="G1010" s="6">
        <v>1748</v>
      </c>
      <c r="H1010" s="6">
        <f t="shared" si="24"/>
        <v>1834</v>
      </c>
      <c r="I1010" s="6">
        <v>1654</v>
      </c>
      <c r="J1010" s="6">
        <f t="shared" si="25"/>
        <v>1787</v>
      </c>
      <c r="K1010" s="6">
        <f t="shared" si="26"/>
        <v>1860</v>
      </c>
    </row>
    <row r="1011" spans="1:11" x14ac:dyDescent="0.25">
      <c r="A1011" s="1">
        <v>0.70069444444444495</v>
      </c>
      <c r="B1011" s="2">
        <v>6.1800000000000006</v>
      </c>
      <c r="C1011" s="2">
        <v>3.5399999999999996</v>
      </c>
      <c r="D1011" s="2">
        <v>4.8600000000000003</v>
      </c>
      <c r="E1011" s="2">
        <v>5.3100000000000005</v>
      </c>
      <c r="F1011" s="2">
        <v>3.31</v>
      </c>
      <c r="G1011" s="6">
        <v>1594</v>
      </c>
      <c r="H1011" s="6">
        <f t="shared" si="24"/>
        <v>1680</v>
      </c>
      <c r="I1011" s="6">
        <f t="shared" si="27"/>
        <v>1280</v>
      </c>
      <c r="J1011" s="6">
        <v>1168</v>
      </c>
      <c r="K1011" s="6">
        <f t="shared" si="26"/>
        <v>1241</v>
      </c>
    </row>
    <row r="1012" spans="1:11" x14ac:dyDescent="0.25">
      <c r="A1012" s="1">
        <v>0.70138888888888895</v>
      </c>
      <c r="B1012" s="2">
        <v>6.23</v>
      </c>
      <c r="C1012" s="2">
        <v>3.69</v>
      </c>
      <c r="D1012" s="2">
        <v>5.1000000000000005</v>
      </c>
      <c r="E1012" s="2">
        <v>5.5100000000000007</v>
      </c>
      <c r="F1012" s="2">
        <v>3.27</v>
      </c>
      <c r="G1012" s="6">
        <v>1378</v>
      </c>
      <c r="H1012" s="6">
        <f t="shared" si="24"/>
        <v>1464</v>
      </c>
      <c r="I1012" s="6">
        <f t="shared" si="27"/>
        <v>1064</v>
      </c>
      <c r="J1012" s="6">
        <f t="shared" si="25"/>
        <v>1197</v>
      </c>
      <c r="K1012" s="6">
        <v>1365</v>
      </c>
    </row>
    <row r="1013" spans="1:11" x14ac:dyDescent="0.25">
      <c r="A1013" s="1">
        <v>0.70208333333333295</v>
      </c>
      <c r="B1013" s="2">
        <v>6.12</v>
      </c>
      <c r="C1013" s="2">
        <v>3.73</v>
      </c>
      <c r="D1013" s="2">
        <v>5.08</v>
      </c>
      <c r="E1013" s="2">
        <v>5.2700000000000005</v>
      </c>
      <c r="F1013" s="2">
        <v>3.31</v>
      </c>
      <c r="G1013" s="6">
        <v>2254</v>
      </c>
      <c r="H1013" s="6">
        <f t="shared" si="24"/>
        <v>2340</v>
      </c>
      <c r="I1013" s="6">
        <f t="shared" si="27"/>
        <v>1940</v>
      </c>
      <c r="J1013" s="6">
        <v>2450</v>
      </c>
      <c r="K1013" s="6">
        <f t="shared" si="26"/>
        <v>2523</v>
      </c>
    </row>
    <row r="1014" spans="1:11" x14ac:dyDescent="0.25">
      <c r="A1014" s="1">
        <v>0.70277777777777795</v>
      </c>
      <c r="B1014" s="2">
        <v>6.33</v>
      </c>
      <c r="C1014" s="2">
        <v>3.76</v>
      </c>
      <c r="D1014" s="2">
        <v>5.2600000000000007</v>
      </c>
      <c r="E1014" s="2">
        <v>5.3900000000000006</v>
      </c>
      <c r="F1014" s="2">
        <v>2.9899999999999998</v>
      </c>
      <c r="G1014" s="6">
        <v>2954</v>
      </c>
      <c r="H1014" s="6">
        <v>3354</v>
      </c>
      <c r="I1014" s="6">
        <v>3050</v>
      </c>
      <c r="J1014" s="6">
        <f t="shared" si="25"/>
        <v>3183</v>
      </c>
      <c r="K1014" s="6">
        <v>3364</v>
      </c>
    </row>
    <row r="1015" spans="1:11" x14ac:dyDescent="0.25">
      <c r="A1015" s="1">
        <v>0.70347222222222205</v>
      </c>
      <c r="B1015" s="2">
        <v>6.12</v>
      </c>
      <c r="C1015" s="2">
        <v>3.75</v>
      </c>
      <c r="D1015" s="2">
        <v>5.0200000000000005</v>
      </c>
      <c r="E1015" s="2">
        <v>5.3000000000000007</v>
      </c>
      <c r="F1015" s="2">
        <v>3.13</v>
      </c>
      <c r="G1015" s="6">
        <v>2478</v>
      </c>
      <c r="H1015" s="6">
        <f t="shared" si="24"/>
        <v>2564</v>
      </c>
      <c r="I1015" s="6">
        <f t="shared" si="27"/>
        <v>2164</v>
      </c>
      <c r="J1015" s="6">
        <f t="shared" si="25"/>
        <v>2297</v>
      </c>
      <c r="K1015" s="6">
        <f t="shared" si="26"/>
        <v>2370</v>
      </c>
    </row>
    <row r="1016" spans="1:11" x14ac:dyDescent="0.25">
      <c r="A1016" s="1">
        <v>0.70416666666666705</v>
      </c>
      <c r="B1016" s="2">
        <v>6.11</v>
      </c>
      <c r="C1016" s="2">
        <v>3.59</v>
      </c>
      <c r="D1016" s="2">
        <v>5.2200000000000006</v>
      </c>
      <c r="E1016" s="2">
        <v>4.88</v>
      </c>
      <c r="F1016" s="2">
        <v>3.37</v>
      </c>
      <c r="G1016" s="6">
        <v>2674</v>
      </c>
      <c r="H1016" s="6">
        <v>2568</v>
      </c>
      <c r="I1016" s="6">
        <f t="shared" si="27"/>
        <v>2168</v>
      </c>
      <c r="J1016" s="6">
        <v>2245</v>
      </c>
      <c r="K1016" s="6">
        <f t="shared" si="26"/>
        <v>2318</v>
      </c>
    </row>
    <row r="1017" spans="1:11" x14ac:dyDescent="0.25">
      <c r="A1017" s="1">
        <v>0.70486111111111105</v>
      </c>
      <c r="B1017" s="2">
        <v>6.11</v>
      </c>
      <c r="C1017" s="2">
        <v>3.65</v>
      </c>
      <c r="D1017" s="2">
        <v>4.99</v>
      </c>
      <c r="E1017" s="2">
        <v>4.9300000000000006</v>
      </c>
      <c r="F1017" s="2">
        <v>3.36</v>
      </c>
      <c r="G1017" s="6">
        <v>1846</v>
      </c>
      <c r="H1017" s="6">
        <f t="shared" si="24"/>
        <v>1932</v>
      </c>
      <c r="I1017" s="6">
        <v>1752</v>
      </c>
      <c r="J1017" s="6">
        <f t="shared" si="25"/>
        <v>1885</v>
      </c>
      <c r="K1017" s="6">
        <v>2541</v>
      </c>
    </row>
    <row r="1018" spans="1:11" x14ac:dyDescent="0.25">
      <c r="A1018" s="1">
        <v>0.70555555555555605</v>
      </c>
      <c r="B1018" s="2">
        <v>6.23</v>
      </c>
      <c r="C1018" s="2">
        <v>3.7699999999999996</v>
      </c>
      <c r="D1018" s="2">
        <v>5.17</v>
      </c>
      <c r="E1018" s="2">
        <v>5.34</v>
      </c>
      <c r="F1018" s="2">
        <v>2.9499999999999997</v>
      </c>
      <c r="G1018" s="6">
        <v>1534</v>
      </c>
      <c r="H1018" s="6">
        <f t="shared" si="24"/>
        <v>1620</v>
      </c>
      <c r="I1018" s="6">
        <f t="shared" si="27"/>
        <v>1220</v>
      </c>
      <c r="J1018" s="6">
        <f t="shared" si="25"/>
        <v>1353</v>
      </c>
      <c r="K1018" s="6">
        <f t="shared" si="26"/>
        <v>1426</v>
      </c>
    </row>
    <row r="1019" spans="1:11" x14ac:dyDescent="0.25">
      <c r="A1019" s="1">
        <v>0.70625000000000004</v>
      </c>
      <c r="B1019" s="2">
        <v>6.33</v>
      </c>
      <c r="C1019" s="2">
        <v>3.65</v>
      </c>
      <c r="D1019" s="2">
        <v>5.23</v>
      </c>
      <c r="E1019" s="2">
        <v>5.28</v>
      </c>
      <c r="F1019" s="2">
        <v>3.08</v>
      </c>
      <c r="G1019" s="6">
        <v>2135</v>
      </c>
      <c r="H1019" s="6">
        <v>2343</v>
      </c>
      <c r="I1019" s="6">
        <v>2641</v>
      </c>
      <c r="J1019" s="6">
        <v>2647</v>
      </c>
      <c r="K1019" s="6">
        <f t="shared" si="26"/>
        <v>2720</v>
      </c>
    </row>
    <row r="1020" spans="1:11" x14ac:dyDescent="0.25">
      <c r="A1020" s="1">
        <v>0.70694444444444404</v>
      </c>
      <c r="B1020" s="2">
        <v>6.1000000000000005</v>
      </c>
      <c r="C1020" s="2">
        <v>3.67</v>
      </c>
      <c r="D1020" s="2">
        <v>4.88</v>
      </c>
      <c r="E1020" s="2">
        <v>4.99</v>
      </c>
      <c r="F1020" s="2">
        <v>3.08</v>
      </c>
      <c r="G1020" s="6">
        <v>2217</v>
      </c>
      <c r="H1020" s="6">
        <f t="shared" si="24"/>
        <v>2303</v>
      </c>
      <c r="I1020" s="6">
        <v>2030</v>
      </c>
      <c r="J1020" s="6">
        <f t="shared" si="25"/>
        <v>2163</v>
      </c>
      <c r="K1020" s="6">
        <v>2365</v>
      </c>
    </row>
    <row r="1021" spans="1:11" x14ac:dyDescent="0.25">
      <c r="A1021" s="1">
        <v>0.70763888888888904</v>
      </c>
      <c r="B1021" s="2">
        <v>6.2600000000000007</v>
      </c>
      <c r="C1021" s="2">
        <v>3.6599999999999997</v>
      </c>
      <c r="D1021" s="2">
        <v>4.8600000000000003</v>
      </c>
      <c r="E1021" s="2">
        <v>5.41</v>
      </c>
      <c r="F1021" s="2">
        <v>2.96</v>
      </c>
      <c r="G1021" s="6">
        <v>2567</v>
      </c>
      <c r="H1021" s="6">
        <f t="shared" si="24"/>
        <v>2653</v>
      </c>
      <c r="I1021" s="6">
        <v>2364</v>
      </c>
      <c r="J1021" s="6">
        <v>2564</v>
      </c>
      <c r="K1021" s="6">
        <v>2695</v>
      </c>
    </row>
    <row r="1022" spans="1:11" x14ac:dyDescent="0.25">
      <c r="A1022" s="3">
        <v>0.70833333333333304</v>
      </c>
      <c r="B1022" s="4">
        <v>6.19</v>
      </c>
      <c r="C1022" s="4">
        <v>3.68</v>
      </c>
      <c r="D1022" s="4">
        <v>5.09</v>
      </c>
      <c r="E1022" s="4">
        <v>5.28</v>
      </c>
      <c r="F1022" s="4">
        <v>3.12</v>
      </c>
      <c r="G1022" s="7">
        <v>2701</v>
      </c>
      <c r="H1022" s="7">
        <v>2803</v>
      </c>
      <c r="I1022" s="7">
        <v>2415</v>
      </c>
      <c r="J1022" s="7">
        <v>2382</v>
      </c>
      <c r="K1022" s="7">
        <v>2449</v>
      </c>
    </row>
    <row r="1023" spans="1:11" x14ac:dyDescent="0.25">
      <c r="A1023" s="1">
        <v>0.70902777777777803</v>
      </c>
      <c r="B1023" s="2">
        <v>6.3100000000000005</v>
      </c>
      <c r="C1023" s="2">
        <v>3.78</v>
      </c>
      <c r="D1023" s="2">
        <v>5.0100000000000007</v>
      </c>
      <c r="E1023" s="2">
        <v>5.3500000000000005</v>
      </c>
      <c r="F1023" s="2">
        <v>3.39</v>
      </c>
      <c r="G1023" s="6">
        <v>2544</v>
      </c>
      <c r="H1023" s="6">
        <f>G1023+86</f>
        <v>2630</v>
      </c>
      <c r="I1023" s="6">
        <v>2079</v>
      </c>
      <c r="J1023" s="6">
        <v>2215</v>
      </c>
      <c r="K1023" s="6">
        <v>1905</v>
      </c>
    </row>
    <row r="1024" spans="1:11" x14ac:dyDescent="0.25">
      <c r="A1024" s="1">
        <v>0.70972222222222203</v>
      </c>
      <c r="B1024" s="2">
        <v>6.19</v>
      </c>
      <c r="C1024" s="2">
        <v>3.75</v>
      </c>
      <c r="D1024" s="2">
        <v>5.1100000000000003</v>
      </c>
      <c r="E1024" s="2">
        <v>5.5200000000000005</v>
      </c>
      <c r="F1024" s="2">
        <v>2.95</v>
      </c>
      <c r="G1024" s="6">
        <v>3211</v>
      </c>
      <c r="H1024" s="6">
        <f t="shared" ref="H1024:H1081" si="28">G1024+86</f>
        <v>3297</v>
      </c>
      <c r="I1024" s="6">
        <v>2749</v>
      </c>
      <c r="J1024" s="6">
        <v>2584</v>
      </c>
      <c r="K1024" s="6">
        <v>2477</v>
      </c>
    </row>
    <row r="1025" spans="1:11" x14ac:dyDescent="0.25">
      <c r="A1025" s="1">
        <v>0.71041666666666703</v>
      </c>
      <c r="B1025" s="2">
        <v>6.07</v>
      </c>
      <c r="C1025" s="2">
        <v>3.55</v>
      </c>
      <c r="D1025" s="2">
        <v>5.0900000000000007</v>
      </c>
      <c r="E1025" s="2">
        <v>5.0200000000000005</v>
      </c>
      <c r="F1025" s="2">
        <v>3.37</v>
      </c>
      <c r="G1025" s="6">
        <v>2567</v>
      </c>
      <c r="H1025" s="6">
        <v>2664</v>
      </c>
      <c r="I1025" s="6">
        <v>2854</v>
      </c>
      <c r="J1025" s="6">
        <v>2214</v>
      </c>
      <c r="K1025" s="6">
        <v>2895</v>
      </c>
    </row>
    <row r="1026" spans="1:11" x14ac:dyDescent="0.25">
      <c r="A1026" s="1">
        <v>0.71111111111111103</v>
      </c>
      <c r="B1026" s="2">
        <v>6.07</v>
      </c>
      <c r="C1026" s="2">
        <v>3.7699999999999996</v>
      </c>
      <c r="D1026" s="2">
        <v>5.04</v>
      </c>
      <c r="E1026" s="2">
        <v>5.3900000000000006</v>
      </c>
      <c r="F1026" s="2">
        <v>3.18</v>
      </c>
      <c r="G1026" s="6">
        <v>2498</v>
      </c>
      <c r="H1026" s="6">
        <f t="shared" si="28"/>
        <v>2584</v>
      </c>
      <c r="I1026" s="6">
        <v>2034</v>
      </c>
      <c r="J1026" s="6">
        <v>1854</v>
      </c>
      <c r="K1026" s="6">
        <v>1875</v>
      </c>
    </row>
    <row r="1027" spans="1:11" x14ac:dyDescent="0.25">
      <c r="A1027" s="1">
        <v>0.71180555555555602</v>
      </c>
      <c r="B1027" s="2">
        <v>6.16</v>
      </c>
      <c r="C1027" s="2">
        <v>3.6399999999999997</v>
      </c>
      <c r="D1027" s="2">
        <v>5.08</v>
      </c>
      <c r="E1027" s="2">
        <v>5.29</v>
      </c>
      <c r="F1027" s="2">
        <v>3.24</v>
      </c>
      <c r="G1027" s="6">
        <v>2387</v>
      </c>
      <c r="H1027" s="6">
        <f t="shared" si="28"/>
        <v>2473</v>
      </c>
      <c r="I1027" s="6">
        <f t="shared" ref="I1027:I1081" si="29">H1027-452</f>
        <v>2021</v>
      </c>
      <c r="J1027" s="6">
        <f t="shared" ref="J1027:J1081" si="30">I1027-77</f>
        <v>1944</v>
      </c>
      <c r="K1027" s="6">
        <f t="shared" ref="K1027:K1080" si="31">J1027-33</f>
        <v>1911</v>
      </c>
    </row>
    <row r="1028" spans="1:11" x14ac:dyDescent="0.25">
      <c r="A1028" s="1">
        <v>0.71250000000000002</v>
      </c>
      <c r="B1028" s="2">
        <v>6.33</v>
      </c>
      <c r="C1028" s="2">
        <v>3.57</v>
      </c>
      <c r="D1028" s="2">
        <v>4.96</v>
      </c>
      <c r="E1028" s="2">
        <v>5.4</v>
      </c>
      <c r="F1028" s="2">
        <v>3.24</v>
      </c>
      <c r="G1028" s="6">
        <v>2784</v>
      </c>
      <c r="H1028" s="6">
        <f t="shared" si="28"/>
        <v>2870</v>
      </c>
      <c r="I1028" s="6">
        <v>1954</v>
      </c>
      <c r="J1028" s="6">
        <v>2145</v>
      </c>
      <c r="K1028" s="6">
        <v>2204</v>
      </c>
    </row>
    <row r="1029" spans="1:11" x14ac:dyDescent="0.25">
      <c r="A1029" s="1">
        <v>0.71319444444444402</v>
      </c>
      <c r="B1029" s="2">
        <v>6.07</v>
      </c>
      <c r="C1029" s="2">
        <v>3.53</v>
      </c>
      <c r="D1029" s="2">
        <v>5.1400000000000006</v>
      </c>
      <c r="E1029" s="2">
        <v>5.08</v>
      </c>
      <c r="F1029" s="2">
        <v>3.12</v>
      </c>
      <c r="G1029" s="6">
        <v>3217</v>
      </c>
      <c r="H1029" s="6">
        <f t="shared" si="28"/>
        <v>3303</v>
      </c>
      <c r="I1029" s="6">
        <f t="shared" si="29"/>
        <v>2851</v>
      </c>
      <c r="J1029" s="6">
        <f t="shared" si="30"/>
        <v>2774</v>
      </c>
      <c r="K1029" s="6">
        <f t="shared" si="31"/>
        <v>2741</v>
      </c>
    </row>
    <row r="1030" spans="1:11" x14ac:dyDescent="0.25">
      <c r="A1030" s="1">
        <v>0.71388888888888902</v>
      </c>
      <c r="B1030" s="2">
        <v>6.12</v>
      </c>
      <c r="C1030" s="2">
        <v>3.67</v>
      </c>
      <c r="D1030" s="2">
        <v>5</v>
      </c>
      <c r="E1030" s="2">
        <v>4.8600000000000003</v>
      </c>
      <c r="F1030" s="2">
        <v>3.25</v>
      </c>
      <c r="G1030" s="6">
        <v>1555</v>
      </c>
      <c r="H1030" s="6">
        <f t="shared" si="28"/>
        <v>1641</v>
      </c>
      <c r="I1030" s="6">
        <f t="shared" si="29"/>
        <v>1189</v>
      </c>
      <c r="J1030" s="6">
        <f t="shared" si="30"/>
        <v>1112</v>
      </c>
      <c r="K1030" s="6">
        <f t="shared" si="31"/>
        <v>1079</v>
      </c>
    </row>
    <row r="1031" spans="1:11" x14ac:dyDescent="0.25">
      <c r="A1031" s="1">
        <v>0.71458333333333302</v>
      </c>
      <c r="B1031" s="2">
        <v>6.16</v>
      </c>
      <c r="C1031" s="2">
        <v>3.6399999999999997</v>
      </c>
      <c r="D1031" s="2">
        <v>5</v>
      </c>
      <c r="E1031" s="2">
        <v>5.21</v>
      </c>
      <c r="F1031" s="2">
        <v>3.1100000000000003</v>
      </c>
      <c r="G1031" s="6">
        <v>2048</v>
      </c>
      <c r="H1031" s="6">
        <f t="shared" si="28"/>
        <v>2134</v>
      </c>
      <c r="I1031" s="6">
        <f t="shared" si="29"/>
        <v>1682</v>
      </c>
      <c r="J1031" s="6">
        <f t="shared" si="30"/>
        <v>1605</v>
      </c>
      <c r="K1031" s="6">
        <f t="shared" si="31"/>
        <v>1572</v>
      </c>
    </row>
    <row r="1032" spans="1:11" x14ac:dyDescent="0.25">
      <c r="A1032" s="1">
        <v>0.71527777777777801</v>
      </c>
      <c r="B1032" s="2">
        <v>6.24</v>
      </c>
      <c r="C1032" s="2">
        <v>3.6199999999999997</v>
      </c>
      <c r="D1032" s="2">
        <v>5.1100000000000003</v>
      </c>
      <c r="E1032" s="2">
        <v>5.03</v>
      </c>
      <c r="F1032" s="2">
        <v>2.98</v>
      </c>
      <c r="G1032" s="6">
        <v>2164</v>
      </c>
      <c r="H1032" s="6">
        <f t="shared" si="28"/>
        <v>2250</v>
      </c>
      <c r="I1032" s="6">
        <f t="shared" si="29"/>
        <v>1798</v>
      </c>
      <c r="J1032" s="6">
        <f t="shared" si="30"/>
        <v>1721</v>
      </c>
      <c r="K1032" s="6">
        <f t="shared" si="31"/>
        <v>1688</v>
      </c>
    </row>
    <row r="1033" spans="1:11" x14ac:dyDescent="0.25">
      <c r="A1033" s="1">
        <v>0.71597222222222201</v>
      </c>
      <c r="B1033" s="2">
        <v>6.19</v>
      </c>
      <c r="C1033" s="2">
        <v>3.76</v>
      </c>
      <c r="D1033" s="2">
        <v>5.0200000000000005</v>
      </c>
      <c r="E1033" s="2">
        <v>5.24</v>
      </c>
      <c r="F1033" s="2">
        <v>3.3200000000000003</v>
      </c>
      <c r="G1033" s="6">
        <v>3217</v>
      </c>
      <c r="H1033" s="6">
        <f t="shared" si="28"/>
        <v>3303</v>
      </c>
      <c r="I1033" s="6">
        <f t="shared" si="29"/>
        <v>2851</v>
      </c>
      <c r="J1033" s="6">
        <f t="shared" si="30"/>
        <v>2774</v>
      </c>
      <c r="K1033" s="6">
        <f t="shared" si="31"/>
        <v>2741</v>
      </c>
    </row>
    <row r="1034" spans="1:11" x14ac:dyDescent="0.25">
      <c r="A1034" s="1">
        <v>0.71666666666666701</v>
      </c>
      <c r="B1034" s="2">
        <v>6.07</v>
      </c>
      <c r="C1034" s="2">
        <v>3.53</v>
      </c>
      <c r="D1034" s="2">
        <v>4.92</v>
      </c>
      <c r="E1034" s="2">
        <v>5.24</v>
      </c>
      <c r="F1034" s="2">
        <v>2.96</v>
      </c>
      <c r="G1034" s="6">
        <v>3027</v>
      </c>
      <c r="H1034" s="6">
        <f t="shared" si="28"/>
        <v>3113</v>
      </c>
      <c r="I1034" s="6">
        <f t="shared" si="29"/>
        <v>2661</v>
      </c>
      <c r="J1034" s="6">
        <f t="shared" si="30"/>
        <v>2584</v>
      </c>
      <c r="K1034" s="6">
        <f t="shared" si="31"/>
        <v>2551</v>
      </c>
    </row>
    <row r="1035" spans="1:11" x14ac:dyDescent="0.25">
      <c r="A1035" s="1">
        <v>0.71736111111111101</v>
      </c>
      <c r="B1035" s="2">
        <v>6.24</v>
      </c>
      <c r="C1035" s="2">
        <v>3.6199999999999997</v>
      </c>
      <c r="D1035" s="2">
        <v>5.04</v>
      </c>
      <c r="E1035" s="2">
        <v>5.3100000000000005</v>
      </c>
      <c r="F1035" s="2">
        <v>3.21</v>
      </c>
      <c r="G1035" s="6">
        <v>2248</v>
      </c>
      <c r="H1035" s="6">
        <f t="shared" si="28"/>
        <v>2334</v>
      </c>
      <c r="I1035" s="6">
        <f t="shared" si="29"/>
        <v>1882</v>
      </c>
      <c r="J1035" s="6">
        <f t="shared" si="30"/>
        <v>1805</v>
      </c>
      <c r="K1035" s="6">
        <f t="shared" si="31"/>
        <v>1772</v>
      </c>
    </row>
    <row r="1036" spans="1:11" x14ac:dyDescent="0.25">
      <c r="A1036" s="1">
        <v>0.718055555555556</v>
      </c>
      <c r="B1036" s="2">
        <v>6.25</v>
      </c>
      <c r="C1036" s="2">
        <v>3.7199999999999998</v>
      </c>
      <c r="D1036" s="2">
        <v>5.25</v>
      </c>
      <c r="E1036" s="2">
        <v>4.84</v>
      </c>
      <c r="F1036" s="2">
        <v>3.04</v>
      </c>
      <c r="G1036" s="6">
        <v>1348</v>
      </c>
      <c r="H1036" s="6">
        <f t="shared" si="28"/>
        <v>1434</v>
      </c>
      <c r="I1036" s="6">
        <f t="shared" si="29"/>
        <v>982</v>
      </c>
      <c r="J1036" s="6">
        <f t="shared" si="30"/>
        <v>905</v>
      </c>
      <c r="K1036" s="6">
        <f t="shared" si="31"/>
        <v>872</v>
      </c>
    </row>
    <row r="1037" spans="1:11" x14ac:dyDescent="0.25">
      <c r="A1037" s="1">
        <v>0.71875</v>
      </c>
      <c r="B1037" s="2">
        <v>6.2600000000000007</v>
      </c>
      <c r="C1037" s="2">
        <v>3.7399999999999998</v>
      </c>
      <c r="D1037" s="2">
        <v>5.1300000000000008</v>
      </c>
      <c r="E1037" s="2">
        <v>5</v>
      </c>
      <c r="F1037" s="2">
        <v>3.21</v>
      </c>
      <c r="G1037" s="6">
        <v>954</v>
      </c>
      <c r="H1037" s="6">
        <f t="shared" si="28"/>
        <v>1040</v>
      </c>
      <c r="I1037" s="6">
        <f t="shared" si="29"/>
        <v>588</v>
      </c>
      <c r="J1037" s="6">
        <f t="shared" si="30"/>
        <v>511</v>
      </c>
      <c r="K1037" s="6">
        <f t="shared" si="31"/>
        <v>478</v>
      </c>
    </row>
    <row r="1038" spans="1:11" x14ac:dyDescent="0.25">
      <c r="A1038" s="1">
        <v>0.719444444444444</v>
      </c>
      <c r="B1038" s="2">
        <v>6.17</v>
      </c>
      <c r="C1038" s="2">
        <v>3.67</v>
      </c>
      <c r="D1038" s="2">
        <v>5.0200000000000005</v>
      </c>
      <c r="E1038" s="2">
        <v>4.99</v>
      </c>
      <c r="F1038" s="2">
        <v>3.16</v>
      </c>
      <c r="G1038" s="6">
        <v>1567</v>
      </c>
      <c r="H1038" s="6">
        <f t="shared" si="28"/>
        <v>1653</v>
      </c>
      <c r="I1038" s="6">
        <f t="shared" si="29"/>
        <v>1201</v>
      </c>
      <c r="J1038" s="6">
        <f t="shared" si="30"/>
        <v>1124</v>
      </c>
      <c r="K1038" s="6">
        <f t="shared" si="31"/>
        <v>1091</v>
      </c>
    </row>
    <row r="1039" spans="1:11" x14ac:dyDescent="0.25">
      <c r="A1039" s="1">
        <v>0.72013888888888899</v>
      </c>
      <c r="B1039" s="2">
        <v>6.15</v>
      </c>
      <c r="C1039" s="2">
        <v>3.57</v>
      </c>
      <c r="D1039" s="2">
        <v>5.1100000000000003</v>
      </c>
      <c r="E1039" s="2">
        <v>4.83</v>
      </c>
      <c r="F1039" s="2">
        <v>3.1</v>
      </c>
      <c r="G1039" s="6">
        <v>2289</v>
      </c>
      <c r="H1039" s="6">
        <f t="shared" si="28"/>
        <v>2375</v>
      </c>
      <c r="I1039" s="6">
        <f t="shared" si="29"/>
        <v>1923</v>
      </c>
      <c r="J1039" s="6">
        <f t="shared" si="30"/>
        <v>1846</v>
      </c>
      <c r="K1039" s="6">
        <f t="shared" si="31"/>
        <v>1813</v>
      </c>
    </row>
    <row r="1040" spans="1:11" x14ac:dyDescent="0.25">
      <c r="A1040" s="1">
        <v>0.72083333333333299</v>
      </c>
      <c r="B1040" s="2">
        <v>6.21</v>
      </c>
      <c r="C1040" s="2">
        <v>3.6399999999999997</v>
      </c>
      <c r="D1040" s="2">
        <v>5.24</v>
      </c>
      <c r="E1040" s="2">
        <v>5.1100000000000003</v>
      </c>
      <c r="F1040" s="2">
        <v>3.0700000000000003</v>
      </c>
      <c r="G1040" s="6">
        <v>2874</v>
      </c>
      <c r="H1040" s="6">
        <f t="shared" si="28"/>
        <v>2960</v>
      </c>
      <c r="I1040" s="6">
        <f t="shared" si="29"/>
        <v>2508</v>
      </c>
      <c r="J1040" s="6">
        <f t="shared" si="30"/>
        <v>2431</v>
      </c>
      <c r="K1040" s="6">
        <f t="shared" si="31"/>
        <v>2398</v>
      </c>
    </row>
    <row r="1041" spans="1:11" x14ac:dyDescent="0.25">
      <c r="A1041" s="1">
        <v>0.72152777777777799</v>
      </c>
      <c r="B1041" s="2">
        <v>6.29</v>
      </c>
      <c r="C1041" s="2">
        <v>3.61</v>
      </c>
      <c r="D1041" s="2">
        <v>5.1000000000000005</v>
      </c>
      <c r="E1041" s="2">
        <v>4.9800000000000004</v>
      </c>
      <c r="F1041" s="2">
        <v>3.1100000000000003</v>
      </c>
      <c r="G1041" s="6">
        <v>2489</v>
      </c>
      <c r="H1041" s="6">
        <f t="shared" si="28"/>
        <v>2575</v>
      </c>
      <c r="I1041" s="6">
        <f t="shared" si="29"/>
        <v>2123</v>
      </c>
      <c r="J1041" s="6">
        <f t="shared" si="30"/>
        <v>2046</v>
      </c>
      <c r="K1041" s="6">
        <f t="shared" si="31"/>
        <v>2013</v>
      </c>
    </row>
    <row r="1042" spans="1:11" x14ac:dyDescent="0.25">
      <c r="A1042" s="1">
        <v>0.72222222222222199</v>
      </c>
      <c r="B1042" s="2">
        <v>6.15</v>
      </c>
      <c r="C1042" s="2">
        <v>3.6399999999999997</v>
      </c>
      <c r="D1042" s="2">
        <v>5.08</v>
      </c>
      <c r="E1042" s="2">
        <v>4.99</v>
      </c>
      <c r="F1042" s="2">
        <v>3.08</v>
      </c>
      <c r="G1042" s="6">
        <v>3221</v>
      </c>
      <c r="H1042" s="6">
        <f t="shared" si="28"/>
        <v>3307</v>
      </c>
      <c r="I1042" s="6">
        <f t="shared" si="29"/>
        <v>2855</v>
      </c>
      <c r="J1042" s="6">
        <f t="shared" si="30"/>
        <v>2778</v>
      </c>
      <c r="K1042" s="6">
        <f t="shared" si="31"/>
        <v>2745</v>
      </c>
    </row>
    <row r="1043" spans="1:11" x14ac:dyDescent="0.25">
      <c r="A1043" s="1">
        <v>0.72291666666666698</v>
      </c>
      <c r="B1043" s="2">
        <v>6.12</v>
      </c>
      <c r="C1043" s="2">
        <v>3.63</v>
      </c>
      <c r="D1043" s="2">
        <v>5.19</v>
      </c>
      <c r="E1043" s="2">
        <v>5.15</v>
      </c>
      <c r="F1043" s="2">
        <v>3.0500000000000003</v>
      </c>
      <c r="G1043" s="6">
        <v>2278</v>
      </c>
      <c r="H1043" s="6">
        <f t="shared" si="28"/>
        <v>2364</v>
      </c>
      <c r="I1043" s="6">
        <f t="shared" si="29"/>
        <v>1912</v>
      </c>
      <c r="J1043" s="6">
        <f t="shared" si="30"/>
        <v>1835</v>
      </c>
      <c r="K1043" s="6">
        <f t="shared" si="31"/>
        <v>1802</v>
      </c>
    </row>
    <row r="1044" spans="1:11" x14ac:dyDescent="0.25">
      <c r="A1044" s="1">
        <v>0.72361111111111098</v>
      </c>
      <c r="B1044" s="2">
        <v>6.13</v>
      </c>
      <c r="C1044" s="2">
        <v>3.6399999999999997</v>
      </c>
      <c r="D1044" s="2">
        <v>5.16</v>
      </c>
      <c r="E1044" s="2">
        <v>4.84</v>
      </c>
      <c r="F1044" s="2">
        <v>3.2</v>
      </c>
      <c r="G1044" s="6">
        <v>1547</v>
      </c>
      <c r="H1044" s="6">
        <f t="shared" si="28"/>
        <v>1633</v>
      </c>
      <c r="I1044" s="6">
        <f t="shared" si="29"/>
        <v>1181</v>
      </c>
      <c r="J1044" s="6">
        <f t="shared" si="30"/>
        <v>1104</v>
      </c>
      <c r="K1044" s="6">
        <f t="shared" si="31"/>
        <v>1071</v>
      </c>
    </row>
    <row r="1045" spans="1:11" x14ac:dyDescent="0.25">
      <c r="A1045" s="1">
        <v>0.72430555555555598</v>
      </c>
      <c r="B1045" s="2">
        <v>6.08</v>
      </c>
      <c r="C1045" s="2">
        <v>3.6599999999999997</v>
      </c>
      <c r="D1045" s="2">
        <v>4.9400000000000004</v>
      </c>
      <c r="E1045" s="2">
        <v>5.37</v>
      </c>
      <c r="F1045" s="2">
        <v>2.93</v>
      </c>
      <c r="G1045" s="6">
        <v>957</v>
      </c>
      <c r="H1045" s="6">
        <f t="shared" si="28"/>
        <v>1043</v>
      </c>
      <c r="I1045" s="6">
        <f t="shared" si="29"/>
        <v>591</v>
      </c>
      <c r="J1045" s="6">
        <f t="shared" si="30"/>
        <v>514</v>
      </c>
      <c r="K1045" s="6">
        <f t="shared" si="31"/>
        <v>481</v>
      </c>
    </row>
    <row r="1046" spans="1:11" x14ac:dyDescent="0.25">
      <c r="A1046" s="1">
        <v>0.72499999999999998</v>
      </c>
      <c r="B1046" s="2">
        <v>6.3100000000000005</v>
      </c>
      <c r="C1046" s="2">
        <v>3.5999999999999996</v>
      </c>
      <c r="D1046" s="2">
        <v>5.24</v>
      </c>
      <c r="E1046" s="2">
        <v>5.3000000000000007</v>
      </c>
      <c r="F1046" s="2">
        <v>3.12</v>
      </c>
      <c r="G1046" s="6">
        <v>897</v>
      </c>
      <c r="H1046" s="6">
        <f t="shared" si="28"/>
        <v>983</v>
      </c>
      <c r="I1046" s="6">
        <f t="shared" si="29"/>
        <v>531</v>
      </c>
      <c r="J1046" s="6">
        <f t="shared" si="30"/>
        <v>454</v>
      </c>
      <c r="K1046" s="6">
        <f t="shared" si="31"/>
        <v>421</v>
      </c>
    </row>
    <row r="1047" spans="1:11" x14ac:dyDescent="0.25">
      <c r="A1047" s="1">
        <v>0.72569444444444398</v>
      </c>
      <c r="B1047" s="2">
        <v>6.2600000000000007</v>
      </c>
      <c r="C1047" s="2">
        <v>3.7399999999999998</v>
      </c>
      <c r="D1047" s="2">
        <v>4.96</v>
      </c>
      <c r="E1047" s="2">
        <v>5.03</v>
      </c>
      <c r="F1047" s="2">
        <v>2.91</v>
      </c>
      <c r="G1047" s="6">
        <v>2248</v>
      </c>
      <c r="H1047" s="6">
        <f t="shared" si="28"/>
        <v>2334</v>
      </c>
      <c r="I1047" s="6">
        <f t="shared" si="29"/>
        <v>1882</v>
      </c>
      <c r="J1047" s="6">
        <f t="shared" si="30"/>
        <v>1805</v>
      </c>
      <c r="K1047" s="6">
        <f t="shared" si="31"/>
        <v>1772</v>
      </c>
    </row>
    <row r="1048" spans="1:11" x14ac:dyDescent="0.25">
      <c r="A1048" s="1">
        <v>0.72638888888888897</v>
      </c>
      <c r="B1048" s="2">
        <v>6.07</v>
      </c>
      <c r="C1048" s="2">
        <v>3.73</v>
      </c>
      <c r="D1048" s="2">
        <v>5.21</v>
      </c>
      <c r="E1048" s="2">
        <v>5.07</v>
      </c>
      <c r="F1048" s="2">
        <v>3.25</v>
      </c>
      <c r="G1048" s="6">
        <v>3421</v>
      </c>
      <c r="H1048" s="6">
        <f t="shared" si="28"/>
        <v>3507</v>
      </c>
      <c r="I1048" s="6">
        <f t="shared" si="29"/>
        <v>3055</v>
      </c>
      <c r="J1048" s="6">
        <f t="shared" si="30"/>
        <v>2978</v>
      </c>
      <c r="K1048" s="6">
        <f t="shared" si="31"/>
        <v>2945</v>
      </c>
    </row>
    <row r="1049" spans="1:11" x14ac:dyDescent="0.25">
      <c r="A1049" s="1">
        <v>0.72708333333333297</v>
      </c>
      <c r="B1049" s="2">
        <v>6.32</v>
      </c>
      <c r="C1049" s="2">
        <v>3.69</v>
      </c>
      <c r="D1049" s="2">
        <v>5.2</v>
      </c>
      <c r="E1049" s="2">
        <v>5.21</v>
      </c>
      <c r="F1049" s="2">
        <v>2.97</v>
      </c>
      <c r="G1049" s="6">
        <v>2847</v>
      </c>
      <c r="H1049" s="6">
        <f t="shared" si="28"/>
        <v>2933</v>
      </c>
      <c r="I1049" s="6">
        <f t="shared" si="29"/>
        <v>2481</v>
      </c>
      <c r="J1049" s="6">
        <f t="shared" si="30"/>
        <v>2404</v>
      </c>
      <c r="K1049" s="6">
        <f t="shared" si="31"/>
        <v>2371</v>
      </c>
    </row>
    <row r="1050" spans="1:11" x14ac:dyDescent="0.25">
      <c r="A1050" s="1">
        <v>0.72777777777777797</v>
      </c>
      <c r="B1050" s="2">
        <v>6.28</v>
      </c>
      <c r="C1050" s="2">
        <v>3.57</v>
      </c>
      <c r="D1050" s="2">
        <v>4.8900000000000006</v>
      </c>
      <c r="E1050" s="2">
        <v>5.0100000000000007</v>
      </c>
      <c r="F1050" s="2">
        <v>3.13</v>
      </c>
      <c r="G1050" s="6">
        <v>3042</v>
      </c>
      <c r="H1050" s="6">
        <f t="shared" si="28"/>
        <v>3128</v>
      </c>
      <c r="I1050" s="6">
        <f t="shared" si="29"/>
        <v>2676</v>
      </c>
      <c r="J1050" s="6">
        <f t="shared" si="30"/>
        <v>2599</v>
      </c>
      <c r="K1050" s="6">
        <f t="shared" si="31"/>
        <v>2566</v>
      </c>
    </row>
    <row r="1051" spans="1:11" x14ac:dyDescent="0.25">
      <c r="A1051" s="1">
        <v>0.72847222222222197</v>
      </c>
      <c r="B1051" s="2">
        <v>6.3000000000000007</v>
      </c>
      <c r="C1051" s="2">
        <v>3.6999999999999997</v>
      </c>
      <c r="D1051" s="2">
        <v>5.15</v>
      </c>
      <c r="E1051" s="2">
        <v>5.46</v>
      </c>
      <c r="F1051" s="2">
        <v>3.2</v>
      </c>
      <c r="G1051" s="6">
        <v>1554</v>
      </c>
      <c r="H1051" s="6">
        <f t="shared" si="28"/>
        <v>1640</v>
      </c>
      <c r="I1051" s="6">
        <f t="shared" si="29"/>
        <v>1188</v>
      </c>
      <c r="J1051" s="6">
        <f t="shared" si="30"/>
        <v>1111</v>
      </c>
      <c r="K1051" s="6">
        <f t="shared" si="31"/>
        <v>1078</v>
      </c>
    </row>
    <row r="1052" spans="1:11" x14ac:dyDescent="0.25">
      <c r="A1052" s="1">
        <v>0.72916666666666696</v>
      </c>
      <c r="B1052" s="2">
        <v>6.1800000000000006</v>
      </c>
      <c r="C1052" s="2">
        <v>3.6799999999999997</v>
      </c>
      <c r="D1052" s="2">
        <v>5.2200000000000006</v>
      </c>
      <c r="E1052" s="2">
        <v>5.24</v>
      </c>
      <c r="F1052" s="2">
        <v>3.1500000000000004</v>
      </c>
      <c r="G1052" s="6">
        <v>1354</v>
      </c>
      <c r="H1052" s="6">
        <f t="shared" si="28"/>
        <v>1440</v>
      </c>
      <c r="I1052" s="6">
        <f t="shared" si="29"/>
        <v>988</v>
      </c>
      <c r="J1052" s="6">
        <f t="shared" si="30"/>
        <v>911</v>
      </c>
      <c r="K1052" s="6">
        <f t="shared" si="31"/>
        <v>878</v>
      </c>
    </row>
    <row r="1053" spans="1:11" x14ac:dyDescent="0.25">
      <c r="A1053" s="1">
        <v>0.72986111111111096</v>
      </c>
      <c r="B1053" s="2">
        <v>6.13</v>
      </c>
      <c r="C1053" s="2">
        <v>3.76</v>
      </c>
      <c r="D1053" s="2">
        <v>5.15</v>
      </c>
      <c r="E1053" s="2">
        <v>4.8500000000000005</v>
      </c>
      <c r="F1053" s="2">
        <v>3.18</v>
      </c>
      <c r="G1053" s="6">
        <v>2249</v>
      </c>
      <c r="H1053" s="6">
        <f t="shared" si="28"/>
        <v>2335</v>
      </c>
      <c r="I1053" s="6">
        <f t="shared" si="29"/>
        <v>1883</v>
      </c>
      <c r="J1053" s="6">
        <f t="shared" si="30"/>
        <v>1806</v>
      </c>
      <c r="K1053" s="6">
        <f t="shared" si="31"/>
        <v>1773</v>
      </c>
    </row>
    <row r="1054" spans="1:11" x14ac:dyDescent="0.25">
      <c r="A1054" s="1">
        <v>0.73055555555555596</v>
      </c>
      <c r="B1054" s="2">
        <v>6.2200000000000006</v>
      </c>
      <c r="C1054" s="2">
        <v>3.57</v>
      </c>
      <c r="D1054" s="2">
        <v>4.88</v>
      </c>
      <c r="E1054" s="2">
        <v>5.13</v>
      </c>
      <c r="F1054" s="2">
        <v>3.37</v>
      </c>
      <c r="G1054" s="6">
        <v>2234</v>
      </c>
      <c r="H1054" s="6">
        <f t="shared" si="28"/>
        <v>2320</v>
      </c>
      <c r="I1054" s="6">
        <f t="shared" si="29"/>
        <v>1868</v>
      </c>
      <c r="J1054" s="6">
        <f t="shared" si="30"/>
        <v>1791</v>
      </c>
      <c r="K1054" s="6">
        <f t="shared" si="31"/>
        <v>1758</v>
      </c>
    </row>
    <row r="1055" spans="1:11" x14ac:dyDescent="0.25">
      <c r="A1055" s="1">
        <v>0.73124999999999996</v>
      </c>
      <c r="B1055" s="2">
        <v>6.2200000000000006</v>
      </c>
      <c r="C1055" s="2">
        <v>3.63</v>
      </c>
      <c r="D1055" s="2">
        <v>5.0200000000000005</v>
      </c>
      <c r="E1055" s="2">
        <v>5.29</v>
      </c>
      <c r="F1055" s="2">
        <v>3.16</v>
      </c>
      <c r="G1055" s="6">
        <v>1597</v>
      </c>
      <c r="H1055" s="6">
        <f t="shared" si="28"/>
        <v>1683</v>
      </c>
      <c r="I1055" s="6">
        <f t="shared" si="29"/>
        <v>1231</v>
      </c>
      <c r="J1055" s="6">
        <f t="shared" si="30"/>
        <v>1154</v>
      </c>
      <c r="K1055" s="6">
        <f t="shared" si="31"/>
        <v>1121</v>
      </c>
    </row>
    <row r="1056" spans="1:11" x14ac:dyDescent="0.25">
      <c r="A1056" s="1">
        <v>0.73194444444444495</v>
      </c>
      <c r="B1056" s="2">
        <v>6.16</v>
      </c>
      <c r="C1056" s="2">
        <v>3.5799999999999996</v>
      </c>
      <c r="D1056" s="2">
        <v>5.04</v>
      </c>
      <c r="E1056" s="2">
        <v>5.3900000000000006</v>
      </c>
      <c r="F1056" s="2">
        <v>2.96</v>
      </c>
      <c r="G1056" s="6">
        <v>1224</v>
      </c>
      <c r="H1056" s="6">
        <f t="shared" si="28"/>
        <v>1310</v>
      </c>
      <c r="I1056" s="6">
        <f t="shared" si="29"/>
        <v>858</v>
      </c>
      <c r="J1056" s="6">
        <f t="shared" si="30"/>
        <v>781</v>
      </c>
      <c r="K1056" s="6">
        <f t="shared" si="31"/>
        <v>748</v>
      </c>
    </row>
    <row r="1057" spans="1:11" x14ac:dyDescent="0.25">
      <c r="A1057" s="1">
        <v>0.73263888888888895</v>
      </c>
      <c r="B1057" s="2">
        <v>6.21</v>
      </c>
      <c r="C1057" s="2">
        <v>3.69</v>
      </c>
      <c r="D1057" s="2">
        <v>5.07</v>
      </c>
      <c r="E1057" s="2">
        <v>4.9000000000000004</v>
      </c>
      <c r="F1057" s="2">
        <v>3.2</v>
      </c>
      <c r="G1057" s="6">
        <v>957</v>
      </c>
      <c r="H1057" s="6">
        <f t="shared" si="28"/>
        <v>1043</v>
      </c>
      <c r="I1057" s="6">
        <f t="shared" si="29"/>
        <v>591</v>
      </c>
      <c r="J1057" s="6">
        <f t="shared" si="30"/>
        <v>514</v>
      </c>
      <c r="K1057" s="6">
        <f t="shared" si="31"/>
        <v>481</v>
      </c>
    </row>
    <row r="1058" spans="1:11" x14ac:dyDescent="0.25">
      <c r="A1058" s="1">
        <v>0.73333333333333295</v>
      </c>
      <c r="B1058" s="2">
        <v>6.28</v>
      </c>
      <c r="C1058" s="2">
        <v>3.5599999999999996</v>
      </c>
      <c r="D1058" s="2">
        <v>4.9300000000000006</v>
      </c>
      <c r="E1058" s="2">
        <v>5.1400000000000006</v>
      </c>
      <c r="F1058" s="2">
        <v>3</v>
      </c>
      <c r="G1058" s="6">
        <v>1647</v>
      </c>
      <c r="H1058" s="6">
        <f t="shared" si="28"/>
        <v>1733</v>
      </c>
      <c r="I1058" s="6">
        <f t="shared" si="29"/>
        <v>1281</v>
      </c>
      <c r="J1058" s="6">
        <f t="shared" si="30"/>
        <v>1204</v>
      </c>
      <c r="K1058" s="6">
        <f t="shared" si="31"/>
        <v>1171</v>
      </c>
    </row>
    <row r="1059" spans="1:11" x14ac:dyDescent="0.25">
      <c r="A1059" s="1">
        <v>0.73402777777777795</v>
      </c>
      <c r="B1059" s="2">
        <v>6.09</v>
      </c>
      <c r="C1059" s="2">
        <v>3.5399999999999996</v>
      </c>
      <c r="D1059" s="2">
        <v>5.08</v>
      </c>
      <c r="E1059" s="2">
        <v>5.0100000000000007</v>
      </c>
      <c r="F1059" s="2">
        <v>3.2</v>
      </c>
      <c r="G1059" s="6">
        <v>1823</v>
      </c>
      <c r="H1059" s="6">
        <f t="shared" si="28"/>
        <v>1909</v>
      </c>
      <c r="I1059" s="6">
        <f t="shared" si="29"/>
        <v>1457</v>
      </c>
      <c r="J1059" s="6">
        <f t="shared" si="30"/>
        <v>1380</v>
      </c>
      <c r="K1059" s="6">
        <f t="shared" si="31"/>
        <v>1347</v>
      </c>
    </row>
    <row r="1060" spans="1:11" x14ac:dyDescent="0.25">
      <c r="A1060" s="1">
        <v>0.73472222222222205</v>
      </c>
      <c r="B1060" s="2">
        <v>6.24</v>
      </c>
      <c r="C1060" s="2">
        <v>3.7399999999999998</v>
      </c>
      <c r="D1060" s="2">
        <v>5.17</v>
      </c>
      <c r="E1060" s="2">
        <v>5.0500000000000007</v>
      </c>
      <c r="F1060" s="2">
        <v>2.98</v>
      </c>
      <c r="G1060" s="6">
        <v>1847</v>
      </c>
      <c r="H1060" s="6">
        <f t="shared" si="28"/>
        <v>1933</v>
      </c>
      <c r="I1060" s="6">
        <f t="shared" si="29"/>
        <v>1481</v>
      </c>
      <c r="J1060" s="6">
        <f t="shared" si="30"/>
        <v>1404</v>
      </c>
      <c r="K1060" s="6">
        <f t="shared" si="31"/>
        <v>1371</v>
      </c>
    </row>
    <row r="1061" spans="1:11" x14ac:dyDescent="0.25">
      <c r="A1061" s="1">
        <v>0.73541666666666705</v>
      </c>
      <c r="B1061" s="2">
        <v>6.23</v>
      </c>
      <c r="C1061" s="2">
        <v>3.69</v>
      </c>
      <c r="D1061" s="2">
        <v>5.12</v>
      </c>
      <c r="E1061" s="2">
        <v>5.37</v>
      </c>
      <c r="F1061" s="2">
        <v>2.94</v>
      </c>
      <c r="G1061" s="6">
        <v>1954</v>
      </c>
      <c r="H1061" s="6">
        <f t="shared" si="28"/>
        <v>2040</v>
      </c>
      <c r="I1061" s="6">
        <f t="shared" si="29"/>
        <v>1588</v>
      </c>
      <c r="J1061" s="6">
        <f t="shared" si="30"/>
        <v>1511</v>
      </c>
      <c r="K1061" s="6">
        <f t="shared" si="31"/>
        <v>1478</v>
      </c>
    </row>
    <row r="1062" spans="1:11" x14ac:dyDescent="0.25">
      <c r="A1062" s="1">
        <v>0.73611111111111105</v>
      </c>
      <c r="B1062" s="2">
        <v>6.32</v>
      </c>
      <c r="C1062" s="2">
        <v>3.71</v>
      </c>
      <c r="D1062" s="2">
        <v>4.8600000000000003</v>
      </c>
      <c r="E1062" s="2">
        <v>4.8500000000000005</v>
      </c>
      <c r="F1062" s="2">
        <v>2.98</v>
      </c>
      <c r="G1062" s="6">
        <v>2248</v>
      </c>
      <c r="H1062" s="6">
        <f t="shared" si="28"/>
        <v>2334</v>
      </c>
      <c r="I1062" s="6">
        <f t="shared" si="29"/>
        <v>1882</v>
      </c>
      <c r="J1062" s="6">
        <f t="shared" si="30"/>
        <v>1805</v>
      </c>
      <c r="K1062" s="6">
        <f t="shared" si="31"/>
        <v>1772</v>
      </c>
    </row>
    <row r="1063" spans="1:11" x14ac:dyDescent="0.25">
      <c r="A1063" s="1">
        <v>0.73680555555555605</v>
      </c>
      <c r="B1063" s="2">
        <v>6.2700000000000005</v>
      </c>
      <c r="C1063" s="2">
        <v>3.63</v>
      </c>
      <c r="D1063" s="2">
        <v>5.1800000000000006</v>
      </c>
      <c r="E1063" s="2">
        <v>4.8600000000000003</v>
      </c>
      <c r="F1063" s="2">
        <v>3.17</v>
      </c>
      <c r="G1063" s="6">
        <v>3128</v>
      </c>
      <c r="H1063" s="6">
        <f t="shared" si="28"/>
        <v>3214</v>
      </c>
      <c r="I1063" s="6">
        <f t="shared" si="29"/>
        <v>2762</v>
      </c>
      <c r="J1063" s="6">
        <f t="shared" si="30"/>
        <v>2685</v>
      </c>
      <c r="K1063" s="6">
        <f t="shared" si="31"/>
        <v>2652</v>
      </c>
    </row>
    <row r="1064" spans="1:11" x14ac:dyDescent="0.25">
      <c r="A1064" s="1">
        <v>0.73750000000000004</v>
      </c>
      <c r="B1064" s="2">
        <v>6.25</v>
      </c>
      <c r="C1064" s="2">
        <v>3.61</v>
      </c>
      <c r="D1064" s="2">
        <v>4.8600000000000003</v>
      </c>
      <c r="E1064" s="2">
        <v>5.12</v>
      </c>
      <c r="F1064" s="2">
        <v>2.97</v>
      </c>
      <c r="G1064" s="6">
        <v>1640</v>
      </c>
      <c r="H1064" s="6">
        <v>1548</v>
      </c>
      <c r="I1064" s="6">
        <f t="shared" si="29"/>
        <v>1096</v>
      </c>
      <c r="J1064" s="6">
        <v>1254</v>
      </c>
      <c r="K1064" s="6">
        <v>1228</v>
      </c>
    </row>
    <row r="1065" spans="1:11" x14ac:dyDescent="0.25">
      <c r="A1065" s="1">
        <v>0.73819444444444404</v>
      </c>
      <c r="B1065" s="2">
        <v>6.23</v>
      </c>
      <c r="C1065" s="2">
        <v>3.67</v>
      </c>
      <c r="D1065" s="2">
        <v>4.95</v>
      </c>
      <c r="E1065" s="2">
        <v>5.03</v>
      </c>
      <c r="F1065" s="2">
        <v>3.38</v>
      </c>
      <c r="G1065" s="6">
        <v>1036</v>
      </c>
      <c r="H1065" s="6">
        <f t="shared" si="28"/>
        <v>1122</v>
      </c>
      <c r="I1065" s="6">
        <v>771</v>
      </c>
      <c r="J1065" s="6">
        <v>693</v>
      </c>
      <c r="K1065" s="6">
        <v>664</v>
      </c>
    </row>
    <row r="1066" spans="1:11" x14ac:dyDescent="0.25">
      <c r="A1066" s="1">
        <v>0.73888888888888904</v>
      </c>
      <c r="B1066" s="2">
        <v>6.2600000000000007</v>
      </c>
      <c r="C1066" s="2">
        <v>3.6399999999999997</v>
      </c>
      <c r="D1066" s="2">
        <v>5.0900000000000007</v>
      </c>
      <c r="E1066" s="2">
        <v>4.9400000000000004</v>
      </c>
      <c r="F1066" s="2">
        <v>3.16</v>
      </c>
      <c r="G1066" s="6">
        <v>1223</v>
      </c>
      <c r="H1066" s="6">
        <f t="shared" si="28"/>
        <v>1309</v>
      </c>
      <c r="I1066" s="6">
        <f t="shared" si="29"/>
        <v>857</v>
      </c>
      <c r="J1066" s="6">
        <f t="shared" si="30"/>
        <v>780</v>
      </c>
      <c r="K1066" s="6">
        <f t="shared" si="31"/>
        <v>747</v>
      </c>
    </row>
    <row r="1067" spans="1:11" x14ac:dyDescent="0.25">
      <c r="A1067" s="1">
        <v>0.73958333333333304</v>
      </c>
      <c r="B1067" s="2">
        <v>6.1000000000000005</v>
      </c>
      <c r="C1067" s="2">
        <v>3.5199999999999996</v>
      </c>
      <c r="D1067" s="2">
        <v>5.04</v>
      </c>
      <c r="E1067" s="2">
        <v>5.3800000000000008</v>
      </c>
      <c r="F1067" s="2">
        <v>2.98</v>
      </c>
      <c r="G1067" s="6">
        <v>1647</v>
      </c>
      <c r="H1067" s="6">
        <v>1654</v>
      </c>
      <c r="I1067" s="6">
        <f t="shared" si="29"/>
        <v>1202</v>
      </c>
      <c r="J1067" s="6">
        <v>1127</v>
      </c>
      <c r="K1067" s="6">
        <v>1127</v>
      </c>
    </row>
    <row r="1068" spans="1:11" x14ac:dyDescent="0.25">
      <c r="A1068" s="1">
        <v>0.74027777777777803</v>
      </c>
      <c r="B1068" s="2">
        <v>6.1800000000000006</v>
      </c>
      <c r="C1068" s="2">
        <v>3.63</v>
      </c>
      <c r="D1068" s="2">
        <v>4.9700000000000006</v>
      </c>
      <c r="E1068" s="2">
        <v>4.9400000000000004</v>
      </c>
      <c r="F1068" s="2">
        <v>3.12</v>
      </c>
      <c r="G1068" s="6">
        <v>1097</v>
      </c>
      <c r="H1068" s="6">
        <f t="shared" si="28"/>
        <v>1183</v>
      </c>
      <c r="I1068" s="6">
        <f t="shared" si="29"/>
        <v>731</v>
      </c>
      <c r="J1068" s="6">
        <f t="shared" si="30"/>
        <v>654</v>
      </c>
      <c r="K1068" s="6">
        <f t="shared" si="31"/>
        <v>621</v>
      </c>
    </row>
    <row r="1069" spans="1:11" x14ac:dyDescent="0.25">
      <c r="A1069" s="1">
        <v>0.74097222222222203</v>
      </c>
      <c r="B1069" s="2">
        <v>6.07</v>
      </c>
      <c r="C1069" s="2">
        <v>3.78</v>
      </c>
      <c r="D1069" s="2">
        <v>5.21</v>
      </c>
      <c r="E1069" s="2">
        <v>5.24</v>
      </c>
      <c r="F1069" s="2">
        <v>3.24</v>
      </c>
      <c r="G1069" s="6">
        <v>2264</v>
      </c>
      <c r="H1069" s="6">
        <f t="shared" si="28"/>
        <v>2350</v>
      </c>
      <c r="I1069" s="6">
        <v>1857</v>
      </c>
      <c r="J1069" s="6">
        <f t="shared" si="30"/>
        <v>1780</v>
      </c>
      <c r="K1069" s="6">
        <v>1678</v>
      </c>
    </row>
    <row r="1070" spans="1:11" x14ac:dyDescent="0.25">
      <c r="A1070" s="1">
        <v>0.74166666666666703</v>
      </c>
      <c r="B1070" s="2">
        <v>6.29</v>
      </c>
      <c r="C1070" s="2">
        <v>3.6799999999999997</v>
      </c>
      <c r="D1070" s="2">
        <v>5.15</v>
      </c>
      <c r="E1070" s="2">
        <v>5.53</v>
      </c>
      <c r="F1070" s="2">
        <v>3.3400000000000003</v>
      </c>
      <c r="G1070" s="6">
        <v>2647</v>
      </c>
      <c r="H1070" s="6">
        <v>2283</v>
      </c>
      <c r="I1070" s="6">
        <v>2164</v>
      </c>
      <c r="J1070" s="6">
        <v>2017</v>
      </c>
      <c r="K1070" s="6">
        <f t="shared" si="31"/>
        <v>1984</v>
      </c>
    </row>
    <row r="1071" spans="1:11" x14ac:dyDescent="0.25">
      <c r="A1071" s="1">
        <v>0.74236111111111103</v>
      </c>
      <c r="B1071" s="2">
        <v>6.11</v>
      </c>
      <c r="C1071" s="2">
        <v>3.7399999999999998</v>
      </c>
      <c r="D1071" s="2">
        <v>4.95</v>
      </c>
      <c r="E1071" s="2">
        <v>5.2</v>
      </c>
      <c r="F1071" s="2">
        <v>3.29</v>
      </c>
      <c r="G1071" s="6">
        <v>1587</v>
      </c>
      <c r="H1071" s="6">
        <f t="shared" si="28"/>
        <v>1673</v>
      </c>
      <c r="I1071" s="6">
        <f t="shared" si="29"/>
        <v>1221</v>
      </c>
      <c r="J1071" s="6">
        <f t="shared" si="30"/>
        <v>1144</v>
      </c>
      <c r="K1071" s="6">
        <f t="shared" si="31"/>
        <v>1111</v>
      </c>
    </row>
    <row r="1072" spans="1:11" x14ac:dyDescent="0.25">
      <c r="A1072" s="1">
        <v>0.74305555555555602</v>
      </c>
      <c r="B1072" s="2">
        <v>6.2200000000000006</v>
      </c>
      <c r="C1072" s="2">
        <v>3.6799999999999997</v>
      </c>
      <c r="D1072" s="2">
        <v>5.1000000000000005</v>
      </c>
      <c r="E1072" s="2">
        <v>5.21</v>
      </c>
      <c r="F1072" s="2">
        <v>2.94</v>
      </c>
      <c r="G1072" s="6">
        <v>1354</v>
      </c>
      <c r="H1072" s="6">
        <f t="shared" si="28"/>
        <v>1440</v>
      </c>
      <c r="I1072" s="6">
        <v>857</v>
      </c>
      <c r="J1072" s="6">
        <f t="shared" si="30"/>
        <v>780</v>
      </c>
      <c r="K1072" s="6">
        <v>854</v>
      </c>
    </row>
    <row r="1073" spans="1:11" x14ac:dyDescent="0.25">
      <c r="A1073" s="1">
        <v>0.74375000000000002</v>
      </c>
      <c r="B1073" s="2">
        <v>6.09</v>
      </c>
      <c r="C1073" s="2">
        <v>3.5799999999999996</v>
      </c>
      <c r="D1073" s="2">
        <v>4.9400000000000004</v>
      </c>
      <c r="E1073" s="2">
        <v>5.32</v>
      </c>
      <c r="F1073" s="2">
        <v>3.18</v>
      </c>
      <c r="G1073" s="6">
        <v>2258</v>
      </c>
      <c r="H1073" s="6">
        <f t="shared" si="28"/>
        <v>2344</v>
      </c>
      <c r="I1073" s="6">
        <f t="shared" si="29"/>
        <v>1892</v>
      </c>
      <c r="J1073" s="6">
        <f t="shared" si="30"/>
        <v>1815</v>
      </c>
      <c r="K1073" s="6">
        <f t="shared" si="31"/>
        <v>1782</v>
      </c>
    </row>
    <row r="1074" spans="1:11" x14ac:dyDescent="0.25">
      <c r="A1074" s="1">
        <v>0.74444444444444402</v>
      </c>
      <c r="B1074" s="2">
        <v>6.21</v>
      </c>
      <c r="C1074" s="2">
        <v>3.71</v>
      </c>
      <c r="D1074" s="2">
        <v>5.23</v>
      </c>
      <c r="E1074" s="2">
        <v>4.9000000000000004</v>
      </c>
      <c r="F1074" s="2">
        <v>3.31</v>
      </c>
      <c r="G1074" s="6">
        <v>1867</v>
      </c>
      <c r="H1074" s="6">
        <v>1452</v>
      </c>
      <c r="I1074" s="6">
        <f t="shared" si="29"/>
        <v>1000</v>
      </c>
      <c r="J1074" s="6">
        <f t="shared" si="30"/>
        <v>923</v>
      </c>
      <c r="K1074" s="6">
        <f t="shared" si="31"/>
        <v>890</v>
      </c>
    </row>
    <row r="1075" spans="1:11" x14ac:dyDescent="0.25">
      <c r="A1075" s="1">
        <v>0.74513888888888902</v>
      </c>
      <c r="B1075" s="2">
        <v>6.2700000000000005</v>
      </c>
      <c r="C1075" s="2">
        <v>3.71</v>
      </c>
      <c r="D1075" s="2">
        <v>4.8600000000000003</v>
      </c>
      <c r="E1075" s="2">
        <v>5.53</v>
      </c>
      <c r="F1075" s="2">
        <v>3.16</v>
      </c>
      <c r="G1075" s="6">
        <v>1547</v>
      </c>
      <c r="H1075" s="6">
        <f t="shared" si="28"/>
        <v>1633</v>
      </c>
      <c r="I1075" s="6">
        <f t="shared" si="29"/>
        <v>1181</v>
      </c>
      <c r="J1075" s="6">
        <f t="shared" si="30"/>
        <v>1104</v>
      </c>
      <c r="K1075" s="6">
        <v>957</v>
      </c>
    </row>
    <row r="1076" spans="1:11" x14ac:dyDescent="0.25">
      <c r="A1076" s="1">
        <v>0.74583333333333302</v>
      </c>
      <c r="B1076" s="2">
        <v>6.33</v>
      </c>
      <c r="C1076" s="2">
        <v>3.59</v>
      </c>
      <c r="D1076" s="2">
        <v>4.9700000000000006</v>
      </c>
      <c r="E1076" s="2">
        <v>5.4700000000000006</v>
      </c>
      <c r="F1076" s="2">
        <v>3.0700000000000003</v>
      </c>
      <c r="G1076" s="6">
        <v>1064</v>
      </c>
      <c r="H1076" s="6">
        <f t="shared" si="28"/>
        <v>1150</v>
      </c>
      <c r="I1076" s="6">
        <f t="shared" si="29"/>
        <v>698</v>
      </c>
      <c r="J1076" s="6">
        <f t="shared" si="30"/>
        <v>621</v>
      </c>
      <c r="K1076" s="6">
        <f t="shared" si="31"/>
        <v>588</v>
      </c>
    </row>
    <row r="1077" spans="1:11" x14ac:dyDescent="0.25">
      <c r="A1077" s="1">
        <v>0.74652777777777801</v>
      </c>
      <c r="B1077" s="2">
        <v>6.19</v>
      </c>
      <c r="C1077" s="2">
        <v>3.53</v>
      </c>
      <c r="D1077" s="2">
        <v>4.92</v>
      </c>
      <c r="E1077" s="2">
        <v>5.32</v>
      </c>
      <c r="F1077" s="2">
        <v>3.23</v>
      </c>
      <c r="G1077" s="6">
        <v>954</v>
      </c>
      <c r="H1077" s="6">
        <f t="shared" si="28"/>
        <v>1040</v>
      </c>
      <c r="I1077" s="6">
        <f t="shared" si="29"/>
        <v>588</v>
      </c>
      <c r="J1077" s="6">
        <f t="shared" si="30"/>
        <v>511</v>
      </c>
      <c r="K1077" s="6">
        <f t="shared" si="31"/>
        <v>478</v>
      </c>
    </row>
    <row r="1078" spans="1:11" x14ac:dyDescent="0.25">
      <c r="A1078" s="1">
        <v>0.74722222222222201</v>
      </c>
      <c r="B1078" s="2">
        <v>6.3000000000000007</v>
      </c>
      <c r="C1078" s="2">
        <v>3.6999999999999997</v>
      </c>
      <c r="D1078" s="2">
        <v>4.9300000000000006</v>
      </c>
      <c r="E1078" s="2">
        <v>4.95</v>
      </c>
      <c r="F1078" s="2">
        <v>3.08</v>
      </c>
      <c r="G1078" s="6">
        <v>1354</v>
      </c>
      <c r="H1078" s="6">
        <f t="shared" si="28"/>
        <v>1440</v>
      </c>
      <c r="I1078" s="6">
        <f t="shared" si="29"/>
        <v>988</v>
      </c>
      <c r="J1078" s="6">
        <v>847</v>
      </c>
      <c r="K1078" s="6">
        <v>457</v>
      </c>
    </row>
    <row r="1079" spans="1:11" x14ac:dyDescent="0.25">
      <c r="A1079" s="1">
        <v>0.74791666666666701</v>
      </c>
      <c r="B1079" s="2">
        <v>6.21</v>
      </c>
      <c r="C1079" s="2">
        <v>3.6999999999999997</v>
      </c>
      <c r="D1079" s="2">
        <v>4.9000000000000004</v>
      </c>
      <c r="E1079" s="2">
        <v>5.41</v>
      </c>
      <c r="F1079" s="2">
        <v>3.13</v>
      </c>
      <c r="G1079" s="6">
        <v>854</v>
      </c>
      <c r="H1079" s="6">
        <f t="shared" si="28"/>
        <v>940</v>
      </c>
      <c r="I1079" s="6">
        <f t="shared" si="29"/>
        <v>488</v>
      </c>
      <c r="J1079" s="6">
        <f t="shared" si="30"/>
        <v>411</v>
      </c>
      <c r="K1079" s="6">
        <f t="shared" si="31"/>
        <v>378</v>
      </c>
    </row>
    <row r="1080" spans="1:11" x14ac:dyDescent="0.25">
      <c r="A1080" s="1">
        <v>0.74861111111111101</v>
      </c>
      <c r="B1080" s="2">
        <v>6.1800000000000006</v>
      </c>
      <c r="C1080" s="2">
        <v>3.53</v>
      </c>
      <c r="D1080" s="2">
        <v>5.08</v>
      </c>
      <c r="E1080" s="2">
        <v>5.21</v>
      </c>
      <c r="F1080" s="2">
        <v>3.33</v>
      </c>
      <c r="G1080" s="6">
        <v>1034</v>
      </c>
      <c r="H1080" s="6">
        <f t="shared" si="28"/>
        <v>1120</v>
      </c>
      <c r="I1080" s="6">
        <f t="shared" si="29"/>
        <v>668</v>
      </c>
      <c r="J1080" s="6">
        <f t="shared" si="30"/>
        <v>591</v>
      </c>
      <c r="K1080" s="6">
        <f t="shared" si="31"/>
        <v>558</v>
      </c>
    </row>
    <row r="1081" spans="1:11" x14ac:dyDescent="0.25">
      <c r="A1081" s="1">
        <v>0.749305555555556</v>
      </c>
      <c r="B1081" s="2">
        <v>6.09</v>
      </c>
      <c r="C1081" s="2">
        <v>3.76</v>
      </c>
      <c r="D1081" s="2">
        <v>5.2600000000000007</v>
      </c>
      <c r="E1081" s="2">
        <v>5.33</v>
      </c>
      <c r="F1081" s="2">
        <v>3.1</v>
      </c>
      <c r="G1081" s="6">
        <v>854</v>
      </c>
      <c r="H1081" s="6">
        <f t="shared" si="28"/>
        <v>940</v>
      </c>
      <c r="I1081" s="6">
        <f t="shared" si="29"/>
        <v>488</v>
      </c>
      <c r="J1081" s="6">
        <f t="shared" si="30"/>
        <v>411</v>
      </c>
      <c r="K1081" s="6">
        <v>256</v>
      </c>
    </row>
    <row r="1082" spans="1:11" x14ac:dyDescent="0.25">
      <c r="A1082" s="3">
        <v>0.75</v>
      </c>
      <c r="B1082" s="4">
        <v>6.19</v>
      </c>
      <c r="C1082" s="4">
        <v>3.68</v>
      </c>
      <c r="D1082" s="4">
        <v>5.09</v>
      </c>
      <c r="E1082" s="4">
        <v>5.29</v>
      </c>
      <c r="F1082" s="4">
        <v>3.13</v>
      </c>
      <c r="G1082" s="7">
        <v>745</v>
      </c>
      <c r="H1082" s="7">
        <v>878</v>
      </c>
      <c r="I1082" s="7">
        <v>431</v>
      </c>
      <c r="J1082" s="7">
        <v>252</v>
      </c>
      <c r="K1082" s="7">
        <v>221</v>
      </c>
    </row>
    <row r="1083" spans="1:11" x14ac:dyDescent="0.25">
      <c r="A1083" s="1">
        <v>0.750694444444444</v>
      </c>
      <c r="B1083" s="2">
        <v>6.17</v>
      </c>
      <c r="C1083" s="2">
        <v>3.53</v>
      </c>
      <c r="D1083" s="2">
        <v>5</v>
      </c>
      <c r="E1083" s="2">
        <v>4.8500000000000005</v>
      </c>
      <c r="F1083" s="2">
        <v>3.1100000000000003</v>
      </c>
      <c r="G1083" s="6">
        <v>685</v>
      </c>
      <c r="H1083" s="6">
        <f>G1083+73</f>
        <v>758</v>
      </c>
      <c r="I1083" s="6">
        <v>554</v>
      </c>
      <c r="J1083" s="6">
        <v>489</v>
      </c>
      <c r="K1083" s="6">
        <v>452</v>
      </c>
    </row>
    <row r="1084" spans="1:11" x14ac:dyDescent="0.25">
      <c r="A1084" s="1">
        <v>0.75138888888888899</v>
      </c>
      <c r="B1084" s="2">
        <v>6.28</v>
      </c>
      <c r="C1084" s="2">
        <v>3.6</v>
      </c>
      <c r="D1084" s="2">
        <v>5.0299999999999994</v>
      </c>
      <c r="E1084" s="2">
        <v>5.5200000000000005</v>
      </c>
      <c r="F1084" s="2">
        <v>3.17</v>
      </c>
      <c r="G1084" s="6">
        <v>489</v>
      </c>
      <c r="H1084" s="6">
        <f t="shared" ref="H1084:H1107" si="32">G1084+73</f>
        <v>562</v>
      </c>
      <c r="I1084" s="6">
        <v>394</v>
      </c>
      <c r="J1084" s="6">
        <f>I1084-113</f>
        <v>281</v>
      </c>
      <c r="K1084" s="6">
        <v>245</v>
      </c>
    </row>
    <row r="1085" spans="1:11" x14ac:dyDescent="0.25">
      <c r="A1085" s="1">
        <v>0.75208333333333299</v>
      </c>
      <c r="B1085" s="2">
        <v>6.09</v>
      </c>
      <c r="C1085" s="2">
        <v>3.68</v>
      </c>
      <c r="D1085" s="2">
        <v>5.1599999999999993</v>
      </c>
      <c r="E1085" s="2">
        <v>4.9000000000000004</v>
      </c>
      <c r="F1085" s="2">
        <v>2.98</v>
      </c>
      <c r="G1085" s="6">
        <v>678</v>
      </c>
      <c r="H1085" s="6">
        <f t="shared" si="32"/>
        <v>751</v>
      </c>
      <c r="I1085" s="6">
        <f t="shared" ref="I1085:I1110" si="33">G1085-229</f>
        <v>449</v>
      </c>
      <c r="J1085" s="6">
        <f t="shared" ref="J1085:J1107" si="34">I1085-113</f>
        <v>336</v>
      </c>
      <c r="K1085" s="6">
        <f t="shared" ref="K1085:K1107" si="35">J1085-32</f>
        <v>304</v>
      </c>
    </row>
    <row r="1086" spans="1:11" x14ac:dyDescent="0.25">
      <c r="A1086" s="1">
        <v>0.75277777777777799</v>
      </c>
      <c r="B1086" s="2">
        <v>6.11</v>
      </c>
      <c r="C1086" s="2">
        <v>3.65</v>
      </c>
      <c r="D1086" s="2">
        <v>4.9499999999999993</v>
      </c>
      <c r="E1086" s="2">
        <v>4.92</v>
      </c>
      <c r="F1086" s="2">
        <v>2.91</v>
      </c>
      <c r="G1086" s="6">
        <v>459</v>
      </c>
      <c r="H1086" s="6">
        <f t="shared" si="32"/>
        <v>532</v>
      </c>
      <c r="I1086" s="6">
        <f t="shared" si="33"/>
        <v>230</v>
      </c>
      <c r="J1086" s="6">
        <v>213</v>
      </c>
      <c r="K1086" s="6">
        <f t="shared" si="35"/>
        <v>181</v>
      </c>
    </row>
    <row r="1087" spans="1:11" x14ac:dyDescent="0.25">
      <c r="A1087" s="1">
        <v>0.75347222222222199</v>
      </c>
      <c r="B1087" s="2">
        <v>6.21</v>
      </c>
      <c r="C1087" s="2">
        <v>3.7</v>
      </c>
      <c r="D1087" s="2">
        <v>5.14</v>
      </c>
      <c r="E1087" s="2">
        <v>4.91</v>
      </c>
      <c r="F1087" s="2">
        <v>2.91</v>
      </c>
      <c r="G1087" s="6">
        <v>998</v>
      </c>
      <c r="H1087" s="6">
        <f t="shared" si="32"/>
        <v>1071</v>
      </c>
      <c r="I1087" s="6">
        <v>857</v>
      </c>
      <c r="J1087" s="6">
        <f t="shared" si="34"/>
        <v>744</v>
      </c>
      <c r="K1087" s="6">
        <v>704</v>
      </c>
    </row>
    <row r="1088" spans="1:11" x14ac:dyDescent="0.25">
      <c r="A1088" s="1">
        <v>0.75416666666666698</v>
      </c>
      <c r="B1088" s="2">
        <v>6.23</v>
      </c>
      <c r="C1088" s="2">
        <v>3.58</v>
      </c>
      <c r="D1088" s="2">
        <v>5.25</v>
      </c>
      <c r="E1088" s="2">
        <v>5.2700000000000005</v>
      </c>
      <c r="F1088" s="2">
        <v>3.06</v>
      </c>
      <c r="G1088" s="6">
        <v>552</v>
      </c>
      <c r="H1088" s="6">
        <f t="shared" si="32"/>
        <v>625</v>
      </c>
      <c r="I1088" s="6">
        <v>335</v>
      </c>
      <c r="J1088" s="6">
        <v>286</v>
      </c>
      <c r="K1088" s="6">
        <v>259</v>
      </c>
    </row>
    <row r="1089" spans="1:11" x14ac:dyDescent="0.25">
      <c r="A1089" s="1">
        <v>0.75486111111111098</v>
      </c>
      <c r="B1089" s="2">
        <v>6.32</v>
      </c>
      <c r="C1089" s="2">
        <v>3.58</v>
      </c>
      <c r="D1089" s="2">
        <v>4.8599999999999994</v>
      </c>
      <c r="E1089" s="2">
        <v>5.33</v>
      </c>
      <c r="F1089" s="2">
        <v>2.89</v>
      </c>
      <c r="G1089" s="6">
        <v>548</v>
      </c>
      <c r="H1089" s="6">
        <f t="shared" si="32"/>
        <v>621</v>
      </c>
      <c r="I1089" s="6">
        <f t="shared" si="33"/>
        <v>319</v>
      </c>
      <c r="J1089" s="6">
        <v>375</v>
      </c>
      <c r="K1089" s="6">
        <f t="shared" si="35"/>
        <v>343</v>
      </c>
    </row>
    <row r="1090" spans="1:11" x14ac:dyDescent="0.25">
      <c r="A1090" s="1">
        <v>0.75555555555555598</v>
      </c>
      <c r="B1090" s="2">
        <v>6.29</v>
      </c>
      <c r="C1090" s="2">
        <v>3.71</v>
      </c>
      <c r="D1090" s="2">
        <v>4.88</v>
      </c>
      <c r="E1090" s="2">
        <v>5.48</v>
      </c>
      <c r="F1090" s="2">
        <v>2.96</v>
      </c>
      <c r="G1090" s="6">
        <v>784</v>
      </c>
      <c r="H1090" s="6">
        <f t="shared" si="32"/>
        <v>857</v>
      </c>
      <c r="I1090" s="6">
        <f t="shared" si="33"/>
        <v>555</v>
      </c>
      <c r="J1090" s="6">
        <f t="shared" si="34"/>
        <v>442</v>
      </c>
      <c r="K1090" s="6">
        <f t="shared" si="35"/>
        <v>410</v>
      </c>
    </row>
    <row r="1091" spans="1:11" x14ac:dyDescent="0.25">
      <c r="A1091" s="1">
        <v>0.75624999999999998</v>
      </c>
      <c r="B1091" s="2">
        <v>6.11</v>
      </c>
      <c r="C1091" s="2">
        <v>3.52</v>
      </c>
      <c r="D1091" s="2">
        <v>4.9399999999999995</v>
      </c>
      <c r="E1091" s="2">
        <v>5.0100000000000007</v>
      </c>
      <c r="F1091" s="2">
        <v>2.99</v>
      </c>
      <c r="G1091" s="6">
        <v>554</v>
      </c>
      <c r="H1091" s="6">
        <f t="shared" si="32"/>
        <v>627</v>
      </c>
      <c r="I1091" s="6">
        <v>333</v>
      </c>
      <c r="J1091" s="6">
        <v>327</v>
      </c>
      <c r="K1091" s="6">
        <f t="shared" si="35"/>
        <v>295</v>
      </c>
    </row>
    <row r="1092" spans="1:11" x14ac:dyDescent="0.25">
      <c r="A1092" s="1">
        <v>0.75694444444444398</v>
      </c>
      <c r="B1092" s="2">
        <v>6.08</v>
      </c>
      <c r="C1092" s="2">
        <v>3.66</v>
      </c>
      <c r="D1092" s="2">
        <v>5.0299999999999994</v>
      </c>
      <c r="E1092" s="2">
        <v>4.82</v>
      </c>
      <c r="F1092" s="2">
        <v>3.31</v>
      </c>
      <c r="G1092" s="6">
        <v>328</v>
      </c>
      <c r="H1092" s="6">
        <f t="shared" si="32"/>
        <v>401</v>
      </c>
      <c r="I1092" s="6">
        <v>358</v>
      </c>
      <c r="J1092" s="6">
        <v>358</v>
      </c>
      <c r="K1092" s="6">
        <v>333</v>
      </c>
    </row>
    <row r="1093" spans="1:11" x14ac:dyDescent="0.25">
      <c r="A1093" s="1">
        <v>0.75763888888888897</v>
      </c>
      <c r="B1093" s="2">
        <v>6.07</v>
      </c>
      <c r="C1093" s="2">
        <v>3.74</v>
      </c>
      <c r="D1093" s="2">
        <v>5.1199999999999992</v>
      </c>
      <c r="E1093" s="2">
        <v>5.13</v>
      </c>
      <c r="F1093" s="2">
        <v>2.92</v>
      </c>
      <c r="G1093" s="6">
        <v>442</v>
      </c>
      <c r="H1093" s="6">
        <f t="shared" si="32"/>
        <v>515</v>
      </c>
      <c r="I1093" s="6">
        <v>394</v>
      </c>
      <c r="J1093" s="6">
        <f t="shared" si="34"/>
        <v>281</v>
      </c>
      <c r="K1093" s="6">
        <v>259</v>
      </c>
    </row>
    <row r="1094" spans="1:11" x14ac:dyDescent="0.25">
      <c r="A1094" s="1">
        <v>0.75833333333333297</v>
      </c>
      <c r="B1094" s="2">
        <v>6.3100000000000005</v>
      </c>
      <c r="C1094" s="2">
        <v>3.63</v>
      </c>
      <c r="D1094" s="2">
        <v>4.9899999999999993</v>
      </c>
      <c r="E1094" s="2">
        <v>5.1100000000000003</v>
      </c>
      <c r="F1094" s="2">
        <v>3.25</v>
      </c>
      <c r="G1094" s="6">
        <v>789</v>
      </c>
      <c r="H1094" s="6">
        <f t="shared" si="32"/>
        <v>862</v>
      </c>
      <c r="I1094" s="6">
        <v>669</v>
      </c>
      <c r="J1094" s="6">
        <v>564</v>
      </c>
      <c r="K1094" s="6">
        <f t="shared" si="35"/>
        <v>532</v>
      </c>
    </row>
    <row r="1095" spans="1:11" x14ac:dyDescent="0.25">
      <c r="A1095" s="1">
        <v>0.75902777777777797</v>
      </c>
      <c r="B1095" s="2">
        <v>6.2200000000000006</v>
      </c>
      <c r="C1095" s="2">
        <v>3.69</v>
      </c>
      <c r="D1095" s="2">
        <v>4.9899999999999993</v>
      </c>
      <c r="E1095" s="2">
        <v>4.9400000000000004</v>
      </c>
      <c r="F1095" s="2">
        <v>3.17</v>
      </c>
      <c r="G1095" s="6">
        <v>664</v>
      </c>
      <c r="H1095" s="6">
        <f t="shared" si="32"/>
        <v>737</v>
      </c>
      <c r="I1095" s="6">
        <v>552</v>
      </c>
      <c r="J1095" s="6">
        <v>459</v>
      </c>
      <c r="K1095" s="6">
        <v>422</v>
      </c>
    </row>
    <row r="1096" spans="1:11" x14ac:dyDescent="0.25">
      <c r="A1096" s="1">
        <v>0.75972222222222197</v>
      </c>
      <c r="B1096" s="2">
        <v>6.2</v>
      </c>
      <c r="C1096" s="2">
        <v>3.7</v>
      </c>
      <c r="D1096" s="2">
        <v>5.0599999999999996</v>
      </c>
      <c r="E1096" s="2">
        <v>5.21</v>
      </c>
      <c r="F1096" s="2">
        <v>2.87</v>
      </c>
      <c r="G1096" s="6">
        <v>238</v>
      </c>
      <c r="H1096" s="6">
        <f t="shared" si="32"/>
        <v>311</v>
      </c>
      <c r="I1096" s="6">
        <v>224</v>
      </c>
      <c r="J1096" s="6">
        <v>200</v>
      </c>
      <c r="K1096" s="6">
        <v>184</v>
      </c>
    </row>
    <row r="1097" spans="1:11" x14ac:dyDescent="0.25">
      <c r="A1097" s="1">
        <v>0.76041666666666696</v>
      </c>
      <c r="B1097" s="2">
        <v>6.07</v>
      </c>
      <c r="C1097" s="2">
        <v>3.64</v>
      </c>
      <c r="D1097" s="2">
        <v>4.9399999999999995</v>
      </c>
      <c r="E1097" s="2">
        <v>5.0500000000000007</v>
      </c>
      <c r="F1097" s="2">
        <v>2.97</v>
      </c>
      <c r="G1097" s="6">
        <v>597</v>
      </c>
      <c r="H1097" s="6">
        <f t="shared" si="32"/>
        <v>670</v>
      </c>
      <c r="I1097" s="6">
        <f t="shared" si="33"/>
        <v>368</v>
      </c>
      <c r="J1097" s="6">
        <f t="shared" si="34"/>
        <v>255</v>
      </c>
      <c r="K1097" s="6">
        <f t="shared" si="35"/>
        <v>223</v>
      </c>
    </row>
    <row r="1098" spans="1:11" x14ac:dyDescent="0.25">
      <c r="A1098" s="1">
        <v>0.76111111111111096</v>
      </c>
      <c r="B1098" s="2">
        <v>6.33</v>
      </c>
      <c r="C1098" s="2">
        <v>3.67</v>
      </c>
      <c r="D1098" s="2">
        <v>5.04</v>
      </c>
      <c r="E1098" s="2">
        <v>5.1800000000000006</v>
      </c>
      <c r="F1098" s="2">
        <v>3.35</v>
      </c>
      <c r="G1098" s="6">
        <v>448</v>
      </c>
      <c r="H1098" s="6">
        <f t="shared" si="32"/>
        <v>521</v>
      </c>
      <c r="I1098" s="6">
        <f t="shared" si="33"/>
        <v>219</v>
      </c>
      <c r="J1098" s="6">
        <f t="shared" si="34"/>
        <v>106</v>
      </c>
      <c r="K1098" s="6">
        <f t="shared" si="35"/>
        <v>74</v>
      </c>
    </row>
    <row r="1099" spans="1:11" x14ac:dyDescent="0.25">
      <c r="A1099" s="1">
        <v>0.76180555555555596</v>
      </c>
      <c r="B1099" s="2">
        <v>6.15</v>
      </c>
      <c r="C1099" s="2">
        <v>3.65</v>
      </c>
      <c r="D1099" s="2">
        <v>5.22</v>
      </c>
      <c r="E1099" s="2">
        <v>5.45</v>
      </c>
      <c r="F1099" s="2">
        <v>3.35</v>
      </c>
      <c r="G1099" s="6">
        <v>894</v>
      </c>
      <c r="H1099" s="6">
        <v>885</v>
      </c>
      <c r="I1099" s="6">
        <v>754</v>
      </c>
      <c r="J1099" s="6">
        <f t="shared" si="34"/>
        <v>641</v>
      </c>
      <c r="K1099" s="6">
        <v>579</v>
      </c>
    </row>
    <row r="1100" spans="1:11" x14ac:dyDescent="0.25">
      <c r="A1100" s="1">
        <v>0.76249999999999996</v>
      </c>
      <c r="B1100" s="2">
        <v>6.2</v>
      </c>
      <c r="C1100" s="2">
        <v>3.68</v>
      </c>
      <c r="D1100" s="2">
        <v>5.1099999999999994</v>
      </c>
      <c r="E1100" s="2">
        <v>5.3100000000000005</v>
      </c>
      <c r="F1100" s="2">
        <v>3.18</v>
      </c>
      <c r="G1100" s="6">
        <v>578</v>
      </c>
      <c r="H1100" s="6">
        <v>546</v>
      </c>
      <c r="I1100" s="6">
        <v>495</v>
      </c>
      <c r="J1100" s="6">
        <f t="shared" si="34"/>
        <v>382</v>
      </c>
      <c r="K1100" s="6">
        <f t="shared" si="35"/>
        <v>350</v>
      </c>
    </row>
    <row r="1101" spans="1:11" x14ac:dyDescent="0.25">
      <c r="A1101" s="1">
        <v>0.76319444444444495</v>
      </c>
      <c r="B1101" s="2">
        <v>6.2200000000000006</v>
      </c>
      <c r="C1101" s="2">
        <v>3.69</v>
      </c>
      <c r="D1101" s="2">
        <v>4.8599999999999994</v>
      </c>
      <c r="E1101" s="2">
        <v>5.07</v>
      </c>
      <c r="F1101" s="2">
        <v>3.39</v>
      </c>
      <c r="G1101" s="6">
        <v>437</v>
      </c>
      <c r="H1101" s="6">
        <f t="shared" si="32"/>
        <v>510</v>
      </c>
      <c r="I1101" s="6">
        <v>395</v>
      </c>
      <c r="J1101" s="6">
        <v>357</v>
      </c>
      <c r="K1101" s="6">
        <f t="shared" si="35"/>
        <v>325</v>
      </c>
    </row>
    <row r="1102" spans="1:11" x14ac:dyDescent="0.25">
      <c r="A1102" s="1">
        <v>0.76388888888888895</v>
      </c>
      <c r="B1102" s="2">
        <v>6.08</v>
      </c>
      <c r="C1102" s="2">
        <v>3.67</v>
      </c>
      <c r="D1102" s="2">
        <v>5.1999999999999993</v>
      </c>
      <c r="E1102" s="2">
        <v>5.07</v>
      </c>
      <c r="F1102" s="2">
        <v>3</v>
      </c>
      <c r="G1102" s="6">
        <v>357</v>
      </c>
      <c r="H1102" s="6">
        <f t="shared" si="32"/>
        <v>430</v>
      </c>
      <c r="I1102" s="6">
        <v>287</v>
      </c>
      <c r="J1102" s="6">
        <v>215</v>
      </c>
      <c r="K1102" s="6">
        <f t="shared" si="35"/>
        <v>183</v>
      </c>
    </row>
    <row r="1103" spans="1:11" x14ac:dyDescent="0.25">
      <c r="A1103" s="1">
        <v>0.76458333333333295</v>
      </c>
      <c r="B1103" s="2">
        <v>6.09</v>
      </c>
      <c r="C1103" s="2">
        <v>3.55</v>
      </c>
      <c r="D1103" s="2">
        <v>5.09</v>
      </c>
      <c r="E1103" s="2">
        <v>5.3800000000000008</v>
      </c>
      <c r="F1103" s="2">
        <v>2.88</v>
      </c>
      <c r="G1103" s="6">
        <v>459</v>
      </c>
      <c r="H1103" s="6">
        <f t="shared" si="32"/>
        <v>532</v>
      </c>
      <c r="I1103" s="6">
        <v>324</v>
      </c>
      <c r="J1103" s="6">
        <v>284</v>
      </c>
      <c r="K1103" s="6">
        <v>274</v>
      </c>
    </row>
    <row r="1104" spans="1:11" x14ac:dyDescent="0.25">
      <c r="A1104" s="1">
        <v>0.76527777777777795</v>
      </c>
      <c r="B1104" s="2">
        <v>6.17</v>
      </c>
      <c r="C1104" s="2">
        <v>3.55</v>
      </c>
      <c r="D1104" s="2">
        <v>4.9499999999999993</v>
      </c>
      <c r="E1104" s="2">
        <v>5.4300000000000006</v>
      </c>
      <c r="F1104" s="2">
        <v>3.02</v>
      </c>
      <c r="G1104" s="6">
        <v>753</v>
      </c>
      <c r="H1104" s="6">
        <f t="shared" si="32"/>
        <v>826</v>
      </c>
      <c r="I1104" s="6">
        <v>577</v>
      </c>
      <c r="J1104" s="6">
        <f t="shared" si="34"/>
        <v>464</v>
      </c>
      <c r="K1104" s="6">
        <v>449</v>
      </c>
    </row>
    <row r="1105" spans="1:11" x14ac:dyDescent="0.25">
      <c r="A1105" s="1">
        <v>0.76597222222222205</v>
      </c>
      <c r="B1105" s="2">
        <v>6.2</v>
      </c>
      <c r="C1105" s="2">
        <v>3.54</v>
      </c>
      <c r="D1105" s="2">
        <v>4.9499999999999993</v>
      </c>
      <c r="E1105" s="2">
        <v>5.21</v>
      </c>
      <c r="F1105" s="2">
        <v>2.91</v>
      </c>
      <c r="G1105" s="6">
        <v>497</v>
      </c>
      <c r="H1105" s="6">
        <v>556</v>
      </c>
      <c r="I1105" s="6">
        <v>267</v>
      </c>
      <c r="J1105" s="6">
        <v>167</v>
      </c>
      <c r="K1105" s="6">
        <v>127</v>
      </c>
    </row>
    <row r="1106" spans="1:11" x14ac:dyDescent="0.25">
      <c r="A1106" s="1">
        <v>0.76666666666666705</v>
      </c>
      <c r="B1106" s="2">
        <v>6.19</v>
      </c>
      <c r="C1106" s="2">
        <v>3.61</v>
      </c>
      <c r="D1106" s="2">
        <v>4.97</v>
      </c>
      <c r="E1106" s="2">
        <v>5.48</v>
      </c>
      <c r="F1106" s="2">
        <v>3.14</v>
      </c>
      <c r="G1106" s="6">
        <v>524</v>
      </c>
      <c r="H1106" s="6">
        <v>574</v>
      </c>
      <c r="I1106" s="6">
        <f t="shared" si="33"/>
        <v>295</v>
      </c>
      <c r="J1106" s="6">
        <v>225</v>
      </c>
      <c r="K1106" s="6">
        <v>196</v>
      </c>
    </row>
    <row r="1107" spans="1:11" x14ac:dyDescent="0.25">
      <c r="A1107" s="1">
        <v>0.76736111111111105</v>
      </c>
      <c r="B1107" s="2">
        <v>6.19</v>
      </c>
      <c r="C1107" s="2">
        <v>3.66</v>
      </c>
      <c r="D1107" s="2">
        <v>4.88</v>
      </c>
      <c r="E1107" s="2">
        <v>5.4300000000000006</v>
      </c>
      <c r="F1107" s="2">
        <v>3.2800000000000002</v>
      </c>
      <c r="G1107" s="6">
        <v>728</v>
      </c>
      <c r="H1107" s="6">
        <f t="shared" si="32"/>
        <v>801</v>
      </c>
      <c r="I1107" s="6">
        <f t="shared" si="33"/>
        <v>499</v>
      </c>
      <c r="J1107" s="6">
        <f t="shared" si="34"/>
        <v>386</v>
      </c>
      <c r="K1107" s="6">
        <f t="shared" si="35"/>
        <v>354</v>
      </c>
    </row>
    <row r="1108" spans="1:11" x14ac:dyDescent="0.25">
      <c r="A1108" s="1">
        <v>0.76805555555555605</v>
      </c>
      <c r="B1108" s="2">
        <v>6.2600000000000007</v>
      </c>
      <c r="C1108" s="2">
        <v>3.72</v>
      </c>
      <c r="D1108" s="2">
        <v>5</v>
      </c>
      <c r="E1108" s="2">
        <v>5.28</v>
      </c>
      <c r="F1108" s="2">
        <v>3.13</v>
      </c>
      <c r="G1108" s="6">
        <v>429</v>
      </c>
      <c r="H1108" s="6">
        <v>450</v>
      </c>
      <c r="I1108" s="6">
        <f t="shared" si="33"/>
        <v>200</v>
      </c>
      <c r="J1108" s="6">
        <v>128</v>
      </c>
      <c r="K1108" s="6">
        <v>99</v>
      </c>
    </row>
    <row r="1109" spans="1:11" x14ac:dyDescent="0.25">
      <c r="A1109" s="1">
        <v>0.76875000000000004</v>
      </c>
      <c r="B1109" s="2">
        <v>6.19</v>
      </c>
      <c r="C1109" s="2">
        <v>3.67</v>
      </c>
      <c r="D1109" s="2">
        <v>5</v>
      </c>
      <c r="E1109" s="2">
        <v>5.12</v>
      </c>
      <c r="F1109" s="2">
        <v>2.99</v>
      </c>
      <c r="G1109" s="6">
        <v>338</v>
      </c>
      <c r="H1109" s="6">
        <v>435</v>
      </c>
      <c r="I1109" s="6">
        <v>128</v>
      </c>
      <c r="J1109" s="6">
        <v>115</v>
      </c>
      <c r="K1109" s="6">
        <v>85</v>
      </c>
    </row>
    <row r="1110" spans="1:11" x14ac:dyDescent="0.25">
      <c r="A1110" s="1">
        <v>0.76944444444444404</v>
      </c>
      <c r="B1110" s="2">
        <v>6.1000000000000005</v>
      </c>
      <c r="C1110" s="2">
        <v>3.7</v>
      </c>
      <c r="D1110" s="2">
        <v>5.1499999999999995</v>
      </c>
      <c r="E1110" s="2">
        <v>5.36</v>
      </c>
      <c r="F1110" s="2">
        <v>2.88</v>
      </c>
      <c r="G1110" s="6">
        <v>547</v>
      </c>
      <c r="H1110" s="6">
        <v>668</v>
      </c>
      <c r="I1110" s="6">
        <f t="shared" si="33"/>
        <v>318</v>
      </c>
      <c r="J1110" s="6">
        <v>195</v>
      </c>
      <c r="K1110" s="6">
        <v>155</v>
      </c>
    </row>
    <row r="1111" spans="1:11" x14ac:dyDescent="0.25">
      <c r="A1111" s="1">
        <v>0.77013888888888904</v>
      </c>
      <c r="B1111" s="2">
        <v>6.13</v>
      </c>
      <c r="C1111" s="2">
        <v>3.58</v>
      </c>
      <c r="D1111" s="2">
        <v>5.1899999999999995</v>
      </c>
      <c r="E1111" s="2">
        <v>4.96</v>
      </c>
      <c r="F1111" s="2">
        <v>3.2</v>
      </c>
      <c r="G1111" s="6">
        <v>329</v>
      </c>
      <c r="H1111" s="6">
        <v>421</v>
      </c>
      <c r="I1111" s="6">
        <v>286</v>
      </c>
      <c r="J1111" s="6">
        <v>172</v>
      </c>
      <c r="K1111" s="6">
        <v>122</v>
      </c>
    </row>
    <row r="1112" spans="1:11" x14ac:dyDescent="0.25">
      <c r="A1112" s="1">
        <v>0.77083333333333304</v>
      </c>
      <c r="B1112" s="2">
        <v>6.17</v>
      </c>
      <c r="C1112" s="2">
        <v>3.7</v>
      </c>
      <c r="D1112" s="2">
        <v>5</v>
      </c>
      <c r="E1112" s="2">
        <v>5.04</v>
      </c>
      <c r="F1112" s="2">
        <v>2.87</v>
      </c>
      <c r="G1112" s="6">
        <v>213</v>
      </c>
      <c r="H1112" s="6">
        <v>319</v>
      </c>
      <c r="I1112" s="6">
        <v>134</v>
      </c>
      <c r="J1112" s="6">
        <v>87</v>
      </c>
      <c r="K1112" s="6">
        <v>76</v>
      </c>
    </row>
    <row r="1113" spans="1:11" x14ac:dyDescent="0.25">
      <c r="A1113" s="1">
        <v>0.77152777777777803</v>
      </c>
      <c r="B1113" s="2">
        <v>6.24</v>
      </c>
      <c r="C1113" s="2">
        <v>3.54</v>
      </c>
      <c r="D1113" s="2">
        <v>5.21</v>
      </c>
      <c r="E1113" s="2">
        <v>5.23</v>
      </c>
      <c r="F1113" s="2">
        <v>3.3200000000000003</v>
      </c>
      <c r="G1113" s="6">
        <v>150</v>
      </c>
      <c r="H1113" s="6">
        <v>176</v>
      </c>
      <c r="I1113" s="6">
        <v>122</v>
      </c>
      <c r="J1113" s="6">
        <v>105</v>
      </c>
      <c r="K1113" s="6">
        <v>94</v>
      </c>
    </row>
    <row r="1114" spans="1:11" x14ac:dyDescent="0.25">
      <c r="A1114" s="1">
        <v>0.77222222222222203</v>
      </c>
      <c r="B1114" s="2">
        <v>6.08</v>
      </c>
      <c r="C1114" s="2">
        <v>3.73</v>
      </c>
      <c r="D1114" s="2">
        <v>5.21</v>
      </c>
      <c r="E1114" s="2">
        <v>4.91</v>
      </c>
      <c r="F1114" s="2">
        <v>2.89</v>
      </c>
      <c r="G1114" s="6">
        <v>184</v>
      </c>
      <c r="H1114" s="6">
        <v>200</v>
      </c>
      <c r="I1114" s="6">
        <v>145</v>
      </c>
      <c r="J1114" s="6">
        <v>147</v>
      </c>
      <c r="K1114" s="6">
        <v>132</v>
      </c>
    </row>
    <row r="1115" spans="1:11" x14ac:dyDescent="0.25">
      <c r="A1115" s="1">
        <v>0.77291666666666703</v>
      </c>
      <c r="B1115" s="2">
        <v>6.29</v>
      </c>
      <c r="C1115" s="2">
        <v>3.63</v>
      </c>
      <c r="D1115" s="2">
        <v>5.0699999999999994</v>
      </c>
      <c r="E1115" s="2">
        <v>5.4</v>
      </c>
      <c r="F1115" s="2">
        <v>2.95</v>
      </c>
      <c r="G1115" s="6">
        <v>120</v>
      </c>
      <c r="H1115" s="6">
        <v>149</v>
      </c>
      <c r="I1115" s="6">
        <v>97</v>
      </c>
      <c r="J1115" s="6">
        <v>75</v>
      </c>
      <c r="K1115" s="6">
        <v>77</v>
      </c>
    </row>
    <row r="1116" spans="1:11" x14ac:dyDescent="0.25">
      <c r="A1116" s="1">
        <v>0.77361111111111103</v>
      </c>
      <c r="B1116" s="2">
        <v>6.1800000000000006</v>
      </c>
      <c r="C1116" s="2">
        <v>3.73</v>
      </c>
      <c r="D1116" s="2">
        <v>5.2399999999999993</v>
      </c>
      <c r="E1116" s="2">
        <v>5.1100000000000003</v>
      </c>
      <c r="F1116" s="2">
        <v>2.91</v>
      </c>
      <c r="G1116" s="6">
        <v>159</v>
      </c>
      <c r="H1116" s="6">
        <v>210</v>
      </c>
      <c r="I1116" s="6">
        <v>188</v>
      </c>
      <c r="J1116" s="6">
        <v>56</v>
      </c>
      <c r="K1116" s="6">
        <v>77</v>
      </c>
    </row>
    <row r="1117" spans="1:11" x14ac:dyDescent="0.25">
      <c r="A1117" s="1">
        <v>0.77430555555555602</v>
      </c>
      <c r="B1117" s="2">
        <v>6.09</v>
      </c>
      <c r="C1117" s="2">
        <v>3.54</v>
      </c>
      <c r="D1117" s="2">
        <v>4.96</v>
      </c>
      <c r="E1117" s="2">
        <v>5.24</v>
      </c>
      <c r="F1117" s="2">
        <v>3.33</v>
      </c>
      <c r="G1117" s="6">
        <v>94</v>
      </c>
      <c r="H1117" s="6">
        <v>140</v>
      </c>
      <c r="I1117" s="6">
        <v>125</v>
      </c>
      <c r="J1117" s="6">
        <v>44</v>
      </c>
      <c r="K1117" s="6">
        <v>27</v>
      </c>
    </row>
    <row r="1118" spans="1:11" x14ac:dyDescent="0.25">
      <c r="A1118" s="1">
        <v>0.77500000000000002</v>
      </c>
      <c r="B1118" s="2">
        <v>6.13</v>
      </c>
      <c r="C1118" s="2">
        <v>3.56</v>
      </c>
      <c r="D1118" s="2">
        <v>5.1099999999999994</v>
      </c>
      <c r="E1118" s="2">
        <v>5.07</v>
      </c>
      <c r="F1118" s="2">
        <v>3.0900000000000003</v>
      </c>
      <c r="G1118" s="6">
        <v>80</v>
      </c>
      <c r="H1118" s="6">
        <v>95</v>
      </c>
      <c r="I1118" s="6">
        <v>74</v>
      </c>
      <c r="J1118" s="6">
        <v>48</v>
      </c>
      <c r="K1118" s="6">
        <v>42</v>
      </c>
    </row>
    <row r="1119" spans="1:11" x14ac:dyDescent="0.25">
      <c r="A1119" s="1">
        <v>0.77569444444444402</v>
      </c>
      <c r="B1119" s="2">
        <v>6.08</v>
      </c>
      <c r="C1119" s="2">
        <v>3.66</v>
      </c>
      <c r="D1119" s="2">
        <v>5.1499999999999995</v>
      </c>
      <c r="E1119" s="2">
        <v>5.2600000000000007</v>
      </c>
      <c r="F1119" s="2">
        <v>3.39</v>
      </c>
      <c r="G1119" s="6">
        <v>114</v>
      </c>
      <c r="H1119" s="6">
        <v>120</v>
      </c>
      <c r="I1119" s="6">
        <v>108</v>
      </c>
      <c r="J1119" s="6">
        <v>40</v>
      </c>
      <c r="K1119" s="6">
        <v>40</v>
      </c>
    </row>
    <row r="1120" spans="1:11" x14ac:dyDescent="0.25">
      <c r="A1120" s="1">
        <v>0.77638888888888902</v>
      </c>
      <c r="B1120" s="2">
        <v>6.3000000000000007</v>
      </c>
      <c r="C1120" s="2">
        <v>3.58</v>
      </c>
      <c r="D1120" s="2">
        <v>5</v>
      </c>
      <c r="E1120" s="2">
        <v>5.41</v>
      </c>
      <c r="F1120" s="2">
        <v>3.35</v>
      </c>
      <c r="G1120" s="6">
        <v>59</v>
      </c>
      <c r="H1120" s="6">
        <v>69</v>
      </c>
      <c r="I1120" s="6">
        <v>44</v>
      </c>
      <c r="J1120" s="6">
        <v>27</v>
      </c>
      <c r="K1120" s="6">
        <v>30</v>
      </c>
    </row>
    <row r="1121" spans="1:12" x14ac:dyDescent="0.25">
      <c r="A1121" s="1">
        <v>0.77708333333333302</v>
      </c>
      <c r="B1121" s="2">
        <v>6.2700000000000005</v>
      </c>
      <c r="C1121" s="2">
        <v>3.62</v>
      </c>
      <c r="D1121" s="2">
        <v>4.9399999999999995</v>
      </c>
      <c r="E1121" s="2">
        <v>4.9400000000000004</v>
      </c>
      <c r="F1121" s="2">
        <v>3.2</v>
      </c>
      <c r="G1121" s="6">
        <v>45</v>
      </c>
      <c r="H1121" s="6">
        <v>55</v>
      </c>
      <c r="I1121" s="6">
        <v>35</v>
      </c>
      <c r="J1121" s="6">
        <v>25</v>
      </c>
      <c r="K1121" s="6">
        <v>28</v>
      </c>
    </row>
    <row r="1122" spans="1:12" x14ac:dyDescent="0.25">
      <c r="A1122" s="1">
        <v>0.77777777777777801</v>
      </c>
      <c r="B1122" s="2">
        <v>6.19</v>
      </c>
      <c r="C1122" s="2">
        <v>3.64</v>
      </c>
      <c r="D1122" s="2">
        <v>4.9499999999999993</v>
      </c>
      <c r="E1122" s="2">
        <v>5.07</v>
      </c>
      <c r="F1122" s="2">
        <v>3.22</v>
      </c>
      <c r="G1122" s="6">
        <v>34</v>
      </c>
      <c r="H1122" s="6">
        <v>28</v>
      </c>
      <c r="I1122" s="6">
        <v>31</v>
      </c>
      <c r="J1122" s="6">
        <v>30</v>
      </c>
      <c r="K1122" s="6">
        <v>30</v>
      </c>
      <c r="L1122" s="2"/>
    </row>
    <row r="1123" spans="1:12" x14ac:dyDescent="0.25">
      <c r="A1123" s="1">
        <v>0.77847222222222201</v>
      </c>
      <c r="B1123" s="2">
        <v>6.3100000000000005</v>
      </c>
      <c r="C1123" s="2">
        <v>3.55</v>
      </c>
      <c r="D1123" s="2">
        <v>5.0699999999999994</v>
      </c>
      <c r="E1123" s="2">
        <v>5.28</v>
      </c>
      <c r="F1123" s="2">
        <v>3.38</v>
      </c>
      <c r="G1123" s="6">
        <v>27</v>
      </c>
      <c r="H1123" s="6">
        <v>24</v>
      </c>
      <c r="I1123" s="6">
        <v>27</v>
      </c>
      <c r="J1123" s="6">
        <v>30</v>
      </c>
      <c r="K1123" s="6">
        <v>0</v>
      </c>
    </row>
    <row r="1124" spans="1:12" x14ac:dyDescent="0.25">
      <c r="A1124" s="1">
        <v>0.77916666666666701</v>
      </c>
      <c r="B1124" s="2">
        <v>6.3000000000000007</v>
      </c>
      <c r="C1124" s="2">
        <v>3.58</v>
      </c>
      <c r="D1124" s="2">
        <v>4.88</v>
      </c>
      <c r="E1124" s="2">
        <v>5.48</v>
      </c>
      <c r="F1124" s="2">
        <v>2.9</v>
      </c>
      <c r="G1124" s="6">
        <v>23</v>
      </c>
      <c r="H1124" s="6">
        <v>20</v>
      </c>
      <c r="I1124" s="6">
        <v>24</v>
      </c>
      <c r="J1124" s="6">
        <v>27</v>
      </c>
      <c r="K1124" s="6">
        <v>0</v>
      </c>
    </row>
    <row r="1125" spans="1:12" x14ac:dyDescent="0.25">
      <c r="A1125" s="1">
        <v>0.77986111111111101</v>
      </c>
      <c r="B1125" s="2">
        <v>6.1400000000000006</v>
      </c>
      <c r="C1125" s="2">
        <v>3.74</v>
      </c>
      <c r="D1125" s="2">
        <v>4.8599999999999994</v>
      </c>
      <c r="E1125" s="2">
        <v>5.2200000000000006</v>
      </c>
      <c r="F1125" s="2">
        <v>2.98</v>
      </c>
      <c r="G1125" s="6">
        <v>15</v>
      </c>
      <c r="H1125" s="6">
        <v>24</v>
      </c>
      <c r="I1125" s="6">
        <v>16</v>
      </c>
      <c r="J1125" s="6">
        <v>15</v>
      </c>
      <c r="K1125" s="6">
        <v>15</v>
      </c>
    </row>
    <row r="1126" spans="1:12" x14ac:dyDescent="0.25">
      <c r="A1126" s="1">
        <v>0.780555555555556</v>
      </c>
      <c r="B1126" s="2">
        <v>6.2700000000000005</v>
      </c>
      <c r="C1126" s="2">
        <v>3.58</v>
      </c>
      <c r="D1126" s="2">
        <v>4.93</v>
      </c>
      <c r="E1126" s="2">
        <v>5.15</v>
      </c>
      <c r="F1126" s="2">
        <v>2.91</v>
      </c>
      <c r="G1126" s="6">
        <v>27</v>
      </c>
      <c r="H1126" s="6">
        <v>30</v>
      </c>
      <c r="I1126" s="6">
        <v>33</v>
      </c>
      <c r="J1126" s="6">
        <v>30</v>
      </c>
      <c r="K1126" s="6">
        <v>33</v>
      </c>
    </row>
    <row r="1127" spans="1:12" x14ac:dyDescent="0.25">
      <c r="A1127" s="1">
        <v>0.78125</v>
      </c>
      <c r="B1127" s="2">
        <v>6.33</v>
      </c>
      <c r="C1127" s="2">
        <v>3.67</v>
      </c>
      <c r="D1127" s="2">
        <v>5.1599999999999993</v>
      </c>
      <c r="E1127" s="2">
        <v>5.3100000000000005</v>
      </c>
      <c r="F1127" s="2">
        <v>3.12</v>
      </c>
      <c r="G1127" s="6">
        <v>25</v>
      </c>
      <c r="H1127" s="6">
        <v>20</v>
      </c>
      <c r="I1127" s="6">
        <v>24</v>
      </c>
      <c r="J1127" s="6">
        <v>20</v>
      </c>
      <c r="K1127" s="6">
        <v>24</v>
      </c>
    </row>
    <row r="1128" spans="1:12" x14ac:dyDescent="0.25">
      <c r="A1128" s="1">
        <v>0.781944444444444</v>
      </c>
      <c r="B1128" s="2">
        <v>6.1000000000000005</v>
      </c>
      <c r="C1128" s="2">
        <v>3.72</v>
      </c>
      <c r="D1128" s="2">
        <v>5.01</v>
      </c>
      <c r="E1128" s="2">
        <v>5.5200000000000005</v>
      </c>
      <c r="F1128" s="2">
        <v>3.06</v>
      </c>
      <c r="G1128" s="6">
        <v>18</v>
      </c>
      <c r="H1128" s="6">
        <v>17</v>
      </c>
      <c r="I1128" s="6">
        <v>10</v>
      </c>
      <c r="J1128" s="6">
        <v>15</v>
      </c>
      <c r="K1128" s="6">
        <v>18</v>
      </c>
    </row>
    <row r="1129" spans="1:12" x14ac:dyDescent="0.25">
      <c r="A1129" s="1">
        <v>0.78263888888888899</v>
      </c>
      <c r="B1129" s="2">
        <v>6.23</v>
      </c>
      <c r="C1129" s="2">
        <v>3.68</v>
      </c>
      <c r="D1129" s="2">
        <v>4.9899999999999993</v>
      </c>
      <c r="E1129" s="2">
        <v>4.9400000000000004</v>
      </c>
      <c r="F1129" s="2">
        <v>3.37</v>
      </c>
      <c r="G1129" s="6">
        <v>10</v>
      </c>
      <c r="H1129" s="6">
        <v>10</v>
      </c>
      <c r="I1129" s="6">
        <v>15</v>
      </c>
      <c r="J1129" s="6">
        <v>8</v>
      </c>
      <c r="K1129" s="6">
        <v>9</v>
      </c>
    </row>
    <row r="1130" spans="1:12" x14ac:dyDescent="0.25">
      <c r="A1130" s="1">
        <v>0.78333333333333299</v>
      </c>
      <c r="B1130" s="2">
        <v>6.29</v>
      </c>
      <c r="C1130" s="2">
        <v>3.55</v>
      </c>
      <c r="D1130" s="2">
        <v>5.21</v>
      </c>
      <c r="E1130" s="2">
        <v>5.2200000000000006</v>
      </c>
      <c r="F1130" s="2">
        <v>2.99</v>
      </c>
      <c r="G1130" s="6">
        <v>14</v>
      </c>
      <c r="H1130" s="6">
        <v>10</v>
      </c>
      <c r="I1130" s="6">
        <v>13</v>
      </c>
      <c r="J1130" s="6">
        <v>4</v>
      </c>
      <c r="K1130" s="6">
        <v>7</v>
      </c>
    </row>
    <row r="1131" spans="1:12" x14ac:dyDescent="0.25">
      <c r="A1131" s="1">
        <v>0.78402777777777799</v>
      </c>
      <c r="B1131" s="2">
        <v>6.2600000000000007</v>
      </c>
      <c r="C1131" s="2">
        <v>3.72</v>
      </c>
      <c r="D1131" s="2">
        <v>4.97</v>
      </c>
      <c r="E1131" s="2">
        <v>5.4700000000000006</v>
      </c>
      <c r="F1131" s="2">
        <v>2.97</v>
      </c>
      <c r="G1131" s="6">
        <v>8</v>
      </c>
      <c r="H1131" s="6">
        <v>5</v>
      </c>
      <c r="I1131" s="6">
        <v>10</v>
      </c>
      <c r="J1131" s="6">
        <v>7</v>
      </c>
      <c r="K1131" s="6">
        <v>5</v>
      </c>
    </row>
    <row r="1132" spans="1:12" x14ac:dyDescent="0.25">
      <c r="A1132" s="1">
        <v>0.78472222222222199</v>
      </c>
      <c r="B1132" s="2">
        <v>6.1800000000000006</v>
      </c>
      <c r="C1132" s="2">
        <v>3.53</v>
      </c>
      <c r="D1132" s="2">
        <v>5.05</v>
      </c>
      <c r="E1132" s="2">
        <v>5.5100000000000007</v>
      </c>
      <c r="F1132" s="2">
        <v>3.38</v>
      </c>
      <c r="G1132" s="6">
        <v>4</v>
      </c>
      <c r="H1132" s="6">
        <v>3</v>
      </c>
      <c r="I1132" s="6">
        <v>5</v>
      </c>
      <c r="J1132" s="6">
        <v>4</v>
      </c>
      <c r="K1132" s="6">
        <v>4</v>
      </c>
    </row>
    <row r="1133" spans="1:12" x14ac:dyDescent="0.25">
      <c r="A1133" s="1">
        <v>0.78541666666666698</v>
      </c>
      <c r="B1133" s="2">
        <v>6.17</v>
      </c>
      <c r="C1133" s="2">
        <v>3.64</v>
      </c>
      <c r="D1133" s="2">
        <v>4.88</v>
      </c>
      <c r="E1133" s="2">
        <v>5.13</v>
      </c>
      <c r="F1133" s="2">
        <v>2.96</v>
      </c>
      <c r="G1133" s="6">
        <v>3</v>
      </c>
      <c r="H1133" s="6">
        <v>3</v>
      </c>
      <c r="I1133" s="6">
        <v>4</v>
      </c>
      <c r="J1133" s="6">
        <v>4</v>
      </c>
      <c r="K1133" s="6">
        <v>4</v>
      </c>
    </row>
    <row r="1134" spans="1:12" x14ac:dyDescent="0.25">
      <c r="A1134" s="1">
        <v>0.78611111111111098</v>
      </c>
      <c r="B1134" s="2">
        <v>6.2700000000000005</v>
      </c>
      <c r="C1134" s="2">
        <v>3.73</v>
      </c>
      <c r="D1134" s="2">
        <v>5.1599999999999993</v>
      </c>
      <c r="E1134" s="2">
        <v>5.08</v>
      </c>
      <c r="F1134" s="2">
        <v>3.21</v>
      </c>
      <c r="G1134" s="6">
        <v>1</v>
      </c>
      <c r="H1134" s="6">
        <v>0</v>
      </c>
      <c r="I1134" s="6">
        <v>2</v>
      </c>
      <c r="J1134" s="6">
        <v>2</v>
      </c>
      <c r="K1134" s="6">
        <v>1</v>
      </c>
    </row>
    <row r="1135" spans="1:12" x14ac:dyDescent="0.25">
      <c r="A1135" s="1">
        <v>0.78680555555555598</v>
      </c>
      <c r="B1135" s="2">
        <v>6.15</v>
      </c>
      <c r="C1135" s="2">
        <v>3.59</v>
      </c>
      <c r="D1135" s="2">
        <v>5.1099999999999994</v>
      </c>
      <c r="E1135" s="2">
        <v>4.82</v>
      </c>
      <c r="F1135" s="2">
        <v>3.3200000000000003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</row>
    <row r="1136" spans="1:12" x14ac:dyDescent="0.25">
      <c r="A1136" s="1">
        <v>0.78749999999999998</v>
      </c>
      <c r="B1136" s="2">
        <v>6.24</v>
      </c>
      <c r="C1136" s="2">
        <v>3.73</v>
      </c>
      <c r="D1136" s="2">
        <v>5.17</v>
      </c>
      <c r="E1136" s="2">
        <v>5.13</v>
      </c>
      <c r="F1136" s="2">
        <v>3.23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</row>
    <row r="1137" spans="1:11" x14ac:dyDescent="0.25">
      <c r="A1137" s="1">
        <v>0.78819444444444398</v>
      </c>
      <c r="B1137" s="2">
        <v>6.33</v>
      </c>
      <c r="C1137" s="2">
        <v>3.63</v>
      </c>
      <c r="D1137" s="2">
        <v>5.1199999999999992</v>
      </c>
      <c r="E1137" s="2">
        <v>5.53</v>
      </c>
      <c r="F1137" s="2">
        <v>3.0300000000000002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</row>
    <row r="1138" spans="1:11" x14ac:dyDescent="0.25">
      <c r="A1138" s="1">
        <v>0.78888888888888897</v>
      </c>
      <c r="B1138" s="2">
        <v>6.13</v>
      </c>
      <c r="C1138" s="2">
        <v>3.59</v>
      </c>
      <c r="D1138" s="2">
        <v>5.2299999999999995</v>
      </c>
      <c r="E1138" s="2">
        <v>4.82</v>
      </c>
      <c r="F1138" s="2">
        <v>3.2600000000000002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</row>
    <row r="1139" spans="1:11" x14ac:dyDescent="0.25">
      <c r="A1139" s="1">
        <v>0.78958333333333297</v>
      </c>
      <c r="B1139" s="2">
        <v>6.19</v>
      </c>
      <c r="C1139" s="2">
        <v>3.6</v>
      </c>
      <c r="D1139" s="2">
        <v>5.1199999999999992</v>
      </c>
      <c r="E1139" s="2">
        <v>5.08</v>
      </c>
      <c r="F1139" s="2">
        <v>3.1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</row>
    <row r="1140" spans="1:11" x14ac:dyDescent="0.25">
      <c r="A1140" s="1">
        <v>0.79027777777777797</v>
      </c>
      <c r="B1140" s="2">
        <v>6.32</v>
      </c>
      <c r="C1140" s="2">
        <v>3.55</v>
      </c>
      <c r="D1140" s="2">
        <v>4.9799999999999995</v>
      </c>
      <c r="E1140" s="2">
        <v>5.36</v>
      </c>
      <c r="F1140" s="2">
        <v>3.16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</row>
    <row r="1141" spans="1:11" x14ac:dyDescent="0.25">
      <c r="A1141" s="1">
        <v>0.79097222222222197</v>
      </c>
      <c r="B1141" s="2">
        <v>6.13</v>
      </c>
      <c r="C1141" s="2">
        <v>3.71</v>
      </c>
      <c r="D1141" s="2">
        <v>5.0299999999999994</v>
      </c>
      <c r="E1141" s="2">
        <v>4.87</v>
      </c>
      <c r="F1141" s="2">
        <v>3.39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</row>
    <row r="1142" spans="1:11" x14ac:dyDescent="0.25">
      <c r="A1142" s="3">
        <v>0.79166666666666696</v>
      </c>
      <c r="B1142" s="4">
        <v>6.19</v>
      </c>
      <c r="C1142" s="4">
        <v>3.68</v>
      </c>
      <c r="D1142" s="4">
        <v>5.09</v>
      </c>
      <c r="E1142" s="4">
        <v>5.29</v>
      </c>
      <c r="F1142" s="4">
        <v>3.13</v>
      </c>
      <c r="G1142" s="7">
        <v>0</v>
      </c>
      <c r="H1142" s="7">
        <v>0</v>
      </c>
      <c r="I1142" s="6">
        <v>0</v>
      </c>
      <c r="J1142" s="6">
        <v>0</v>
      </c>
      <c r="K1142" s="6">
        <v>0</v>
      </c>
    </row>
    <row r="1143" spans="1:11" x14ac:dyDescent="0.25">
      <c r="A1143" s="1">
        <v>0.79236111111111096</v>
      </c>
      <c r="B1143" s="2">
        <v>6.25</v>
      </c>
      <c r="C1143" s="2">
        <v>3.71</v>
      </c>
      <c r="D1143" s="2">
        <v>5.2399999999999993</v>
      </c>
      <c r="E1143" s="2">
        <v>5.4</v>
      </c>
      <c r="F1143" s="2">
        <v>3.1100000000000003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</row>
    <row r="1144" spans="1:11" x14ac:dyDescent="0.25">
      <c r="A1144" s="1">
        <v>0.79305555555555596</v>
      </c>
      <c r="B1144" s="2">
        <v>6.19</v>
      </c>
      <c r="C1144" s="2">
        <v>3.53</v>
      </c>
      <c r="D1144" s="2">
        <v>5.0999999999999996</v>
      </c>
      <c r="E1144" s="2">
        <v>5.12</v>
      </c>
      <c r="F1144" s="2">
        <v>2.91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</row>
    <row r="1145" spans="1:11" x14ac:dyDescent="0.25">
      <c r="A1145" s="1">
        <v>0.79374999999999996</v>
      </c>
      <c r="B1145" s="2">
        <v>6.08</v>
      </c>
      <c r="C1145" s="2">
        <v>3.66</v>
      </c>
      <c r="D1145" s="2">
        <v>5.2399999999999993</v>
      </c>
      <c r="E1145" s="2">
        <v>5.09</v>
      </c>
      <c r="F1145" s="2">
        <v>3.1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</row>
    <row r="1146" spans="1:11" x14ac:dyDescent="0.25">
      <c r="A1146" s="1">
        <v>0.79444444444444495</v>
      </c>
      <c r="B1146" s="2">
        <v>6.17</v>
      </c>
      <c r="C1146" s="2">
        <v>3.73</v>
      </c>
      <c r="D1146" s="2">
        <v>5.2799999999999994</v>
      </c>
      <c r="E1146" s="2">
        <v>4.9000000000000004</v>
      </c>
      <c r="F1146" s="2">
        <v>2.91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</row>
    <row r="1147" spans="1:11" x14ac:dyDescent="0.25">
      <c r="A1147" s="1">
        <v>0.79513888888888895</v>
      </c>
      <c r="B1147" s="2">
        <v>6.28</v>
      </c>
      <c r="C1147" s="2">
        <v>3.75</v>
      </c>
      <c r="D1147" s="2">
        <v>4.8499999999999996</v>
      </c>
      <c r="E1147" s="2">
        <v>5.0100000000000007</v>
      </c>
      <c r="F1147" s="2">
        <v>3.25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</row>
    <row r="1148" spans="1:11" x14ac:dyDescent="0.25">
      <c r="A1148" s="1">
        <v>0.79583333333333295</v>
      </c>
      <c r="B1148" s="2">
        <v>6.1800000000000006</v>
      </c>
      <c r="C1148" s="2">
        <v>3.64</v>
      </c>
      <c r="D1148" s="2">
        <v>5.1199999999999992</v>
      </c>
      <c r="E1148" s="2">
        <v>4.88</v>
      </c>
      <c r="F1148" s="2">
        <v>2.92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</row>
    <row r="1149" spans="1:11" x14ac:dyDescent="0.25">
      <c r="A1149" s="1">
        <v>0.79652777777777795</v>
      </c>
      <c r="B1149" s="2">
        <v>6.21</v>
      </c>
      <c r="C1149" s="2">
        <v>3.53</v>
      </c>
      <c r="D1149" s="2">
        <v>5.0999999999999996</v>
      </c>
      <c r="E1149" s="2">
        <v>5.19</v>
      </c>
      <c r="F1149" s="2">
        <v>2.97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</row>
    <row r="1150" spans="1:11" x14ac:dyDescent="0.25">
      <c r="A1150" s="1">
        <v>0.79722222222222205</v>
      </c>
      <c r="B1150" s="2">
        <v>6.3100000000000005</v>
      </c>
      <c r="C1150" s="2">
        <v>3.56</v>
      </c>
      <c r="D1150" s="2">
        <v>5.1999999999999993</v>
      </c>
      <c r="E1150" s="2">
        <v>5.2</v>
      </c>
      <c r="F1150" s="2">
        <v>3.2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</row>
    <row r="1151" spans="1:11" x14ac:dyDescent="0.25">
      <c r="A1151" s="1">
        <v>0.79791666666666705</v>
      </c>
      <c r="B1151" s="2">
        <v>6.2200000000000006</v>
      </c>
      <c r="C1151" s="2">
        <v>3.7</v>
      </c>
      <c r="D1151" s="2">
        <v>4.9499999999999993</v>
      </c>
      <c r="E1151" s="2">
        <v>5.3000000000000007</v>
      </c>
      <c r="F1151" s="2">
        <v>3.35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</row>
    <row r="1152" spans="1:11" x14ac:dyDescent="0.25">
      <c r="A1152" s="1">
        <v>0.79861111111111105</v>
      </c>
      <c r="B1152" s="2">
        <v>6.17</v>
      </c>
      <c r="C1152" s="2">
        <v>3.77</v>
      </c>
      <c r="D1152" s="2">
        <v>4.9399999999999995</v>
      </c>
      <c r="E1152" s="2">
        <v>4.92</v>
      </c>
      <c r="F1152" s="2">
        <v>3.0300000000000002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</row>
    <row r="1153" spans="1:11" x14ac:dyDescent="0.25">
      <c r="A1153" s="1">
        <v>0.79930555555555605</v>
      </c>
      <c r="B1153" s="2">
        <v>6.3100000000000005</v>
      </c>
      <c r="C1153" s="2">
        <v>3.55</v>
      </c>
      <c r="D1153" s="2">
        <v>4.93</v>
      </c>
      <c r="E1153" s="2">
        <v>5.4</v>
      </c>
      <c r="F1153" s="2">
        <v>3.19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</row>
    <row r="1154" spans="1:11" x14ac:dyDescent="0.25">
      <c r="A1154" s="1">
        <v>0.8</v>
      </c>
      <c r="B1154" s="2">
        <v>6.12</v>
      </c>
      <c r="C1154" s="2">
        <v>3.68</v>
      </c>
      <c r="D1154" s="2">
        <v>5.1599999999999993</v>
      </c>
      <c r="E1154" s="2">
        <v>5.21</v>
      </c>
      <c r="F1154" s="2">
        <v>3.23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</row>
    <row r="1155" spans="1:11" x14ac:dyDescent="0.25">
      <c r="A1155" s="1">
        <v>0.80069444444444404</v>
      </c>
      <c r="B1155" s="2">
        <v>6.24</v>
      </c>
      <c r="C1155" s="2">
        <v>3.61</v>
      </c>
      <c r="D1155" s="2">
        <v>5.0299999999999994</v>
      </c>
      <c r="E1155" s="2">
        <v>5.04</v>
      </c>
      <c r="F1155" s="2">
        <v>2.94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</row>
    <row r="1156" spans="1:11" x14ac:dyDescent="0.25">
      <c r="A1156" s="1">
        <v>0.80138888888888904</v>
      </c>
      <c r="B1156" s="2">
        <v>6.23</v>
      </c>
      <c r="C1156" s="2">
        <v>3.73</v>
      </c>
      <c r="D1156" s="2">
        <v>4.96</v>
      </c>
      <c r="E1156" s="2">
        <v>5.19</v>
      </c>
      <c r="F1156" s="2">
        <v>3.18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</row>
    <row r="1157" spans="1:11" x14ac:dyDescent="0.25">
      <c r="A1157" s="1">
        <v>0.80208333333333304</v>
      </c>
      <c r="B1157" s="2">
        <v>6.11</v>
      </c>
      <c r="C1157" s="2">
        <v>3.61</v>
      </c>
      <c r="D1157" s="2">
        <v>5.09</v>
      </c>
      <c r="E1157" s="2">
        <v>4.8500000000000005</v>
      </c>
      <c r="F1157" s="2">
        <v>3.3600000000000003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</row>
    <row r="1158" spans="1:11" x14ac:dyDescent="0.25">
      <c r="A1158" s="1">
        <v>0.80277777777777803</v>
      </c>
      <c r="B1158" s="2">
        <v>6.32</v>
      </c>
      <c r="C1158" s="2">
        <v>3.74</v>
      </c>
      <c r="D1158" s="2">
        <v>5.01</v>
      </c>
      <c r="E1158" s="2">
        <v>4.84</v>
      </c>
      <c r="F1158" s="2">
        <v>3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</row>
    <row r="1159" spans="1:11" x14ac:dyDescent="0.25">
      <c r="A1159" s="1">
        <v>0.80347222222222203</v>
      </c>
      <c r="B1159" s="2">
        <v>6.1400000000000006</v>
      </c>
      <c r="C1159" s="2">
        <v>3.59</v>
      </c>
      <c r="D1159" s="2">
        <v>4.96</v>
      </c>
      <c r="E1159" s="2">
        <v>5.2200000000000006</v>
      </c>
      <c r="F1159" s="2">
        <v>3.39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</row>
    <row r="1160" spans="1:11" x14ac:dyDescent="0.25">
      <c r="A1160" s="1">
        <v>0.80416666666666703</v>
      </c>
      <c r="B1160" s="2">
        <v>6.17</v>
      </c>
      <c r="C1160" s="2">
        <v>3.65</v>
      </c>
      <c r="D1160" s="2">
        <v>4.93</v>
      </c>
      <c r="E1160" s="2">
        <v>5.49</v>
      </c>
      <c r="F1160" s="2">
        <v>3.21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</row>
    <row r="1161" spans="1:11" x14ac:dyDescent="0.25">
      <c r="A1161" s="1">
        <v>0.80486111111111103</v>
      </c>
      <c r="B1161" s="2">
        <v>6.15</v>
      </c>
      <c r="C1161" s="2">
        <v>3.74</v>
      </c>
      <c r="D1161" s="2">
        <v>5.1099999999999994</v>
      </c>
      <c r="E1161" s="2">
        <v>5.24</v>
      </c>
      <c r="F1161" s="2">
        <v>3.0500000000000003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</row>
    <row r="1162" spans="1:11" x14ac:dyDescent="0.25">
      <c r="A1162" s="1">
        <v>0.80555555555555602</v>
      </c>
      <c r="B1162" s="2">
        <v>6.2200000000000006</v>
      </c>
      <c r="C1162" s="2">
        <v>3.7</v>
      </c>
      <c r="D1162" s="2">
        <v>4.8999999999999995</v>
      </c>
      <c r="E1162" s="2">
        <v>4.95</v>
      </c>
      <c r="F1162" s="2">
        <v>3.25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</row>
    <row r="1163" spans="1:11" x14ac:dyDescent="0.25">
      <c r="A1163" s="1">
        <v>0.80625000000000002</v>
      </c>
      <c r="B1163" s="2">
        <v>6.21</v>
      </c>
      <c r="C1163" s="2">
        <v>3.74</v>
      </c>
      <c r="D1163" s="2">
        <v>5.21</v>
      </c>
      <c r="E1163" s="2">
        <v>5.4700000000000006</v>
      </c>
      <c r="F1163" s="2">
        <v>3.33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</row>
    <row r="1164" spans="1:11" x14ac:dyDescent="0.25">
      <c r="A1164" s="1">
        <v>0.80694444444444402</v>
      </c>
      <c r="B1164" s="2">
        <v>6.19</v>
      </c>
      <c r="C1164" s="2">
        <v>3.77</v>
      </c>
      <c r="D1164" s="2">
        <v>5.08</v>
      </c>
      <c r="E1164" s="2">
        <v>5.32</v>
      </c>
      <c r="F1164" s="2">
        <v>3.0900000000000003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</row>
    <row r="1165" spans="1:11" x14ac:dyDescent="0.25">
      <c r="A1165" s="1">
        <v>0.80763888888888902</v>
      </c>
      <c r="B1165" s="2">
        <v>6.2700000000000005</v>
      </c>
      <c r="C1165" s="2">
        <v>3.66</v>
      </c>
      <c r="D1165" s="2">
        <v>5.29</v>
      </c>
      <c r="E1165" s="2">
        <v>4.9000000000000004</v>
      </c>
      <c r="F1165" s="2">
        <v>3.35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</row>
    <row r="1166" spans="1:11" x14ac:dyDescent="0.25">
      <c r="A1166" s="1">
        <v>0.80833333333333302</v>
      </c>
      <c r="B1166" s="2">
        <v>6.1800000000000006</v>
      </c>
      <c r="C1166" s="2">
        <v>3.74</v>
      </c>
      <c r="D1166" s="2">
        <v>5.22</v>
      </c>
      <c r="E1166" s="2">
        <v>5.09</v>
      </c>
      <c r="F1166" s="2">
        <v>3.17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</row>
    <row r="1167" spans="1:11" x14ac:dyDescent="0.25">
      <c r="A1167" s="1">
        <v>0.80902777777777801</v>
      </c>
      <c r="B1167" s="2">
        <v>6.2600000000000007</v>
      </c>
      <c r="C1167" s="2">
        <v>3.77</v>
      </c>
      <c r="D1167" s="2">
        <v>4.88</v>
      </c>
      <c r="E1167" s="2">
        <v>5.0500000000000007</v>
      </c>
      <c r="F1167" s="2">
        <v>3.3200000000000003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</row>
    <row r="1168" spans="1:11" x14ac:dyDescent="0.25">
      <c r="A1168" s="1">
        <v>0.80972222222222201</v>
      </c>
      <c r="B1168" s="2">
        <v>6.08</v>
      </c>
      <c r="C1168" s="2">
        <v>3.77</v>
      </c>
      <c r="D1168" s="2">
        <v>5.1099999999999994</v>
      </c>
      <c r="E1168" s="2">
        <v>5.34</v>
      </c>
      <c r="F1168" s="2">
        <v>2.94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</row>
    <row r="1169" spans="1:11" x14ac:dyDescent="0.25">
      <c r="A1169" s="1">
        <v>0.81041666666666701</v>
      </c>
      <c r="B1169" s="2">
        <v>6.28</v>
      </c>
      <c r="C1169" s="2">
        <v>3.64</v>
      </c>
      <c r="D1169" s="2">
        <v>4.92</v>
      </c>
      <c r="E1169" s="2">
        <v>5.16</v>
      </c>
      <c r="F1169" s="2">
        <v>2.89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</row>
    <row r="1170" spans="1:11" x14ac:dyDescent="0.25">
      <c r="A1170" s="1">
        <v>0.81111111111111101</v>
      </c>
      <c r="B1170" s="2">
        <v>6.11</v>
      </c>
      <c r="C1170" s="2">
        <v>3.63</v>
      </c>
      <c r="D1170" s="2">
        <v>5.0199999999999996</v>
      </c>
      <c r="E1170" s="2">
        <v>5.0200000000000005</v>
      </c>
      <c r="F1170" s="2">
        <v>3.12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</row>
    <row r="1171" spans="1:11" x14ac:dyDescent="0.25">
      <c r="A1171" s="1">
        <v>0.811805555555556</v>
      </c>
      <c r="B1171" s="2">
        <v>6.33</v>
      </c>
      <c r="C1171" s="2">
        <v>3.64</v>
      </c>
      <c r="D1171" s="2">
        <v>4.9899999999999993</v>
      </c>
      <c r="E1171" s="2">
        <v>5.42</v>
      </c>
      <c r="F1171" s="2">
        <v>3.12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</row>
    <row r="1172" spans="1:11" x14ac:dyDescent="0.25">
      <c r="A1172" s="1">
        <v>0.8125</v>
      </c>
      <c r="B1172" s="2">
        <v>6.2700000000000005</v>
      </c>
      <c r="C1172" s="2">
        <v>3.54</v>
      </c>
      <c r="D1172" s="2">
        <v>5.0299999999999994</v>
      </c>
      <c r="E1172" s="2">
        <v>5.34</v>
      </c>
      <c r="F1172" s="2">
        <v>3.1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</row>
    <row r="1173" spans="1:11" x14ac:dyDescent="0.25">
      <c r="A1173" s="1">
        <v>0.813194444444444</v>
      </c>
      <c r="B1173" s="2">
        <v>6.16</v>
      </c>
      <c r="C1173" s="2">
        <v>3.67</v>
      </c>
      <c r="D1173" s="2">
        <v>5</v>
      </c>
      <c r="E1173" s="2">
        <v>4.82</v>
      </c>
      <c r="F1173" s="2">
        <v>3.37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</row>
    <row r="1174" spans="1:11" x14ac:dyDescent="0.25">
      <c r="A1174" s="1">
        <v>0.81388888888888899</v>
      </c>
      <c r="B1174" s="2">
        <v>6.25</v>
      </c>
      <c r="C1174" s="2">
        <v>3.73</v>
      </c>
      <c r="D1174" s="2">
        <v>4.9399999999999995</v>
      </c>
      <c r="E1174" s="2">
        <v>5.0200000000000005</v>
      </c>
      <c r="F1174" s="2">
        <v>3.16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</row>
    <row r="1175" spans="1:11" x14ac:dyDescent="0.25">
      <c r="A1175" s="1">
        <v>0.81458333333333299</v>
      </c>
      <c r="B1175" s="2">
        <v>6.12</v>
      </c>
      <c r="C1175" s="2">
        <v>3.56</v>
      </c>
      <c r="D1175" s="2">
        <v>4.8599999999999994</v>
      </c>
      <c r="E1175" s="2">
        <v>5.07</v>
      </c>
      <c r="F1175" s="2">
        <v>2.89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</row>
    <row r="1176" spans="1:11" x14ac:dyDescent="0.25">
      <c r="A1176" s="1">
        <v>0.81527777777777799</v>
      </c>
      <c r="B1176" s="2">
        <v>6.07</v>
      </c>
      <c r="C1176" s="2">
        <v>3.67</v>
      </c>
      <c r="D1176" s="2">
        <v>5.2799999999999994</v>
      </c>
      <c r="E1176" s="2">
        <v>5.44</v>
      </c>
      <c r="F1176" s="2">
        <v>3.23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</row>
    <row r="1177" spans="1:11" x14ac:dyDescent="0.25">
      <c r="A1177" s="1">
        <v>0.81597222222222199</v>
      </c>
      <c r="B1177" s="2">
        <v>6.33</v>
      </c>
      <c r="C1177" s="2">
        <v>3.71</v>
      </c>
      <c r="D1177" s="2">
        <v>5.27</v>
      </c>
      <c r="E1177" s="2">
        <v>5.44</v>
      </c>
      <c r="F1177" s="2">
        <v>3.19</v>
      </c>
      <c r="G1177" s="6">
        <v>0</v>
      </c>
      <c r="H1177" s="6">
        <v>0</v>
      </c>
      <c r="I1177" s="6">
        <v>0</v>
      </c>
      <c r="J1177" s="6">
        <v>0</v>
      </c>
      <c r="K1177" s="6">
        <v>0</v>
      </c>
    </row>
    <row r="1178" spans="1:11" x14ac:dyDescent="0.25">
      <c r="A1178" s="1">
        <v>0.81666666666666698</v>
      </c>
      <c r="B1178" s="2">
        <v>6.28</v>
      </c>
      <c r="C1178" s="2">
        <v>3.75</v>
      </c>
      <c r="D1178" s="2">
        <v>4.8899999999999997</v>
      </c>
      <c r="E1178" s="2">
        <v>4.91</v>
      </c>
      <c r="F1178" s="2">
        <v>3.2800000000000002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</row>
    <row r="1179" spans="1:11" x14ac:dyDescent="0.25">
      <c r="A1179" s="1">
        <v>0.81736111111111098</v>
      </c>
      <c r="B1179" s="2">
        <v>6.11</v>
      </c>
      <c r="C1179" s="2">
        <v>3.67</v>
      </c>
      <c r="D1179" s="2">
        <v>5.14</v>
      </c>
      <c r="E1179" s="2">
        <v>5.32</v>
      </c>
      <c r="F1179" s="2">
        <v>2.91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</row>
    <row r="1180" spans="1:11" x14ac:dyDescent="0.25">
      <c r="A1180" s="1">
        <v>0.81805555555555598</v>
      </c>
      <c r="B1180" s="2">
        <v>6.23</v>
      </c>
      <c r="C1180" s="2">
        <v>3.68</v>
      </c>
      <c r="D1180" s="2">
        <v>5.0999999999999996</v>
      </c>
      <c r="E1180" s="2">
        <v>5.09</v>
      </c>
      <c r="F1180" s="2">
        <v>3.21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</row>
    <row r="1181" spans="1:11" x14ac:dyDescent="0.25">
      <c r="A1181" s="1">
        <v>0.81874999999999998</v>
      </c>
      <c r="B1181" s="2">
        <v>6.11</v>
      </c>
      <c r="C1181" s="2">
        <v>3.73</v>
      </c>
      <c r="D1181" s="2">
        <v>4.93</v>
      </c>
      <c r="E1181" s="2">
        <v>5.44</v>
      </c>
      <c r="F1181" s="2">
        <v>3.23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</row>
    <row r="1182" spans="1:11" x14ac:dyDescent="0.25">
      <c r="A1182" s="1">
        <v>0.81944444444444497</v>
      </c>
      <c r="B1182" s="2">
        <v>6.23</v>
      </c>
      <c r="C1182" s="2">
        <v>3.6</v>
      </c>
      <c r="D1182" s="2">
        <v>4.9899999999999993</v>
      </c>
      <c r="E1182" s="2">
        <v>5.3900000000000006</v>
      </c>
      <c r="F1182" s="2">
        <v>3.33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</row>
    <row r="1183" spans="1:11" x14ac:dyDescent="0.25">
      <c r="A1183" s="1">
        <v>0.82013888888888897</v>
      </c>
      <c r="B1183" s="2">
        <v>6.3000000000000007</v>
      </c>
      <c r="C1183" s="2">
        <v>3.72</v>
      </c>
      <c r="D1183" s="2">
        <v>4.92</v>
      </c>
      <c r="E1183" s="2">
        <v>4.84</v>
      </c>
      <c r="F1183" s="2">
        <v>2.87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</row>
    <row r="1184" spans="1:11" x14ac:dyDescent="0.25">
      <c r="A1184" s="1">
        <v>0.82083333333333297</v>
      </c>
      <c r="B1184" s="2">
        <v>6.19</v>
      </c>
      <c r="C1184" s="2">
        <v>3.77</v>
      </c>
      <c r="D1184" s="2">
        <v>5.1499999999999995</v>
      </c>
      <c r="E1184" s="2">
        <v>5.3100000000000005</v>
      </c>
      <c r="F1184" s="2">
        <v>3.0900000000000003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</row>
    <row r="1185" spans="1:11" x14ac:dyDescent="0.25">
      <c r="A1185" s="1">
        <v>0.82152777777777797</v>
      </c>
      <c r="B1185" s="2">
        <v>6.3000000000000007</v>
      </c>
      <c r="C1185" s="2">
        <v>3.56</v>
      </c>
      <c r="D1185" s="2">
        <v>4.9099999999999993</v>
      </c>
      <c r="E1185" s="2">
        <v>5.03</v>
      </c>
      <c r="F1185" s="2">
        <v>3.39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</row>
    <row r="1186" spans="1:11" x14ac:dyDescent="0.25">
      <c r="A1186" s="1">
        <v>0.82222222222222197</v>
      </c>
      <c r="B1186" s="2">
        <v>6.3000000000000007</v>
      </c>
      <c r="C1186" s="2">
        <v>3.57</v>
      </c>
      <c r="D1186" s="2">
        <v>5.27</v>
      </c>
      <c r="E1186" s="2">
        <v>5.2700000000000005</v>
      </c>
      <c r="F1186" s="2">
        <v>3.0300000000000002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</row>
    <row r="1187" spans="1:11" x14ac:dyDescent="0.25">
      <c r="A1187" s="1">
        <v>0.82291666666666696</v>
      </c>
      <c r="B1187" s="2">
        <v>6.1400000000000006</v>
      </c>
      <c r="C1187" s="2">
        <v>3.61</v>
      </c>
      <c r="D1187" s="2">
        <v>4.9799999999999995</v>
      </c>
      <c r="E1187" s="2">
        <v>5.0500000000000007</v>
      </c>
      <c r="F1187" s="2">
        <v>2.9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</row>
    <row r="1188" spans="1:11" x14ac:dyDescent="0.25">
      <c r="A1188" s="1">
        <v>0.82361111111111096</v>
      </c>
      <c r="B1188" s="2">
        <v>6.3000000000000007</v>
      </c>
      <c r="C1188" s="2">
        <v>3.68</v>
      </c>
      <c r="D1188" s="2">
        <v>5.18</v>
      </c>
      <c r="E1188" s="2">
        <v>5.2700000000000005</v>
      </c>
      <c r="F1188" s="2">
        <v>3.16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</row>
    <row r="1189" spans="1:11" x14ac:dyDescent="0.25">
      <c r="A1189" s="1">
        <v>0.82430555555555596</v>
      </c>
      <c r="B1189" s="2">
        <v>6.11</v>
      </c>
      <c r="C1189" s="2">
        <v>3.63</v>
      </c>
      <c r="D1189" s="2">
        <v>5.1499999999999995</v>
      </c>
      <c r="E1189" s="2">
        <v>4.99</v>
      </c>
      <c r="F1189" s="2">
        <v>3.38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</row>
    <row r="1190" spans="1:11" x14ac:dyDescent="0.25">
      <c r="A1190" s="1">
        <v>0.82499999999999996</v>
      </c>
      <c r="B1190" s="2">
        <v>6.28</v>
      </c>
      <c r="C1190" s="2">
        <v>3.55</v>
      </c>
      <c r="D1190" s="2">
        <v>4.97</v>
      </c>
      <c r="E1190" s="2">
        <v>5.37</v>
      </c>
      <c r="F1190" s="2">
        <v>3.1100000000000003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</row>
    <row r="1191" spans="1:11" x14ac:dyDescent="0.25">
      <c r="A1191" s="1">
        <v>0.82569444444444495</v>
      </c>
      <c r="B1191" s="2">
        <v>6.1000000000000005</v>
      </c>
      <c r="C1191" s="2">
        <v>3.73</v>
      </c>
      <c r="D1191" s="2">
        <v>5.1499999999999995</v>
      </c>
      <c r="E1191" s="2">
        <v>5.0100000000000007</v>
      </c>
      <c r="F1191" s="2">
        <v>3.16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</row>
    <row r="1192" spans="1:11" x14ac:dyDescent="0.25">
      <c r="A1192" s="1">
        <v>0.82638888888888895</v>
      </c>
      <c r="B1192" s="2">
        <v>6.2200000000000006</v>
      </c>
      <c r="C1192" s="2">
        <v>3.73</v>
      </c>
      <c r="D1192" s="2">
        <v>5.08</v>
      </c>
      <c r="E1192" s="2">
        <v>5.5100000000000007</v>
      </c>
      <c r="F1192" s="2">
        <v>3.0900000000000003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</row>
    <row r="1193" spans="1:11" x14ac:dyDescent="0.25">
      <c r="A1193" s="1">
        <v>0.82708333333333295</v>
      </c>
      <c r="B1193" s="2">
        <v>6.1800000000000006</v>
      </c>
      <c r="C1193" s="2">
        <v>3.6</v>
      </c>
      <c r="D1193" s="2">
        <v>5.27</v>
      </c>
      <c r="E1193" s="2">
        <v>5.5</v>
      </c>
      <c r="F1193" s="2">
        <v>3.18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</row>
    <row r="1194" spans="1:11" x14ac:dyDescent="0.25">
      <c r="A1194" s="1">
        <v>0.82777777777777795</v>
      </c>
      <c r="B1194" s="2">
        <v>6.32</v>
      </c>
      <c r="C1194" s="2">
        <v>3.54</v>
      </c>
      <c r="D1194" s="2">
        <v>5.3</v>
      </c>
      <c r="E1194" s="2">
        <v>5.3500000000000005</v>
      </c>
      <c r="F1194" s="2">
        <v>3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</row>
    <row r="1195" spans="1:11" x14ac:dyDescent="0.25">
      <c r="A1195" s="1">
        <v>0.82847222222222205</v>
      </c>
      <c r="B1195" s="2">
        <v>6.1000000000000005</v>
      </c>
      <c r="C1195" s="2">
        <v>3.56</v>
      </c>
      <c r="D1195" s="2">
        <v>4.9899999999999993</v>
      </c>
      <c r="E1195" s="2">
        <v>5.0500000000000007</v>
      </c>
      <c r="F1195" s="2">
        <v>3.04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</row>
    <row r="1196" spans="1:11" x14ac:dyDescent="0.25">
      <c r="A1196" s="1">
        <v>0.82916666666666705</v>
      </c>
      <c r="B1196" s="2">
        <v>6.24</v>
      </c>
      <c r="C1196" s="2">
        <v>3.62</v>
      </c>
      <c r="D1196" s="2">
        <v>5.0299999999999994</v>
      </c>
      <c r="E1196" s="2">
        <v>4.9400000000000004</v>
      </c>
      <c r="F1196" s="2">
        <v>3.3000000000000003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</row>
    <row r="1197" spans="1:11" x14ac:dyDescent="0.25">
      <c r="A1197" s="1">
        <v>0.82986111111111105</v>
      </c>
      <c r="B1197" s="2">
        <v>6.19</v>
      </c>
      <c r="C1197" s="2">
        <v>3.53</v>
      </c>
      <c r="D1197" s="2">
        <v>5.29</v>
      </c>
      <c r="E1197" s="2">
        <v>5.23</v>
      </c>
      <c r="F1197" s="2">
        <v>3.0900000000000003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</row>
    <row r="1198" spans="1:11" x14ac:dyDescent="0.25">
      <c r="A1198" s="1">
        <v>0.83055555555555605</v>
      </c>
      <c r="B1198" s="2">
        <v>6.17</v>
      </c>
      <c r="C1198" s="2">
        <v>3.52</v>
      </c>
      <c r="D1198" s="2">
        <v>5.27</v>
      </c>
      <c r="E1198" s="2">
        <v>5.1000000000000005</v>
      </c>
      <c r="F1198" s="2">
        <v>3.33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</row>
    <row r="1199" spans="1:11" x14ac:dyDescent="0.25">
      <c r="A1199" s="1">
        <v>0.83125000000000004</v>
      </c>
      <c r="B1199" s="2">
        <v>6.13</v>
      </c>
      <c r="C1199" s="2">
        <v>3.7</v>
      </c>
      <c r="D1199" s="2">
        <v>5.0699999999999994</v>
      </c>
      <c r="E1199" s="2">
        <v>4.82</v>
      </c>
      <c r="F1199" s="2">
        <v>3.0900000000000003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</row>
    <row r="1200" spans="1:11" x14ac:dyDescent="0.25">
      <c r="A1200" s="1">
        <v>0.83194444444444404</v>
      </c>
      <c r="B1200" s="2">
        <v>6.07</v>
      </c>
      <c r="C1200" s="2">
        <v>3.57</v>
      </c>
      <c r="D1200" s="2">
        <v>4.9399999999999995</v>
      </c>
      <c r="E1200" s="2">
        <v>5.12</v>
      </c>
      <c r="F1200" s="2">
        <v>3.39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</row>
    <row r="1201" spans="1:11" x14ac:dyDescent="0.25">
      <c r="A1201" s="1">
        <v>0.83263888888888904</v>
      </c>
      <c r="B1201" s="2">
        <v>6.1000000000000005</v>
      </c>
      <c r="C1201" s="2">
        <v>3.64</v>
      </c>
      <c r="D1201" s="2">
        <v>5.17</v>
      </c>
      <c r="E1201" s="2">
        <v>4.91</v>
      </c>
      <c r="F1201" s="2">
        <v>3.3400000000000003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</row>
    <row r="1202" spans="1:11" x14ac:dyDescent="0.25">
      <c r="A1202" s="3">
        <v>0.83333333333333304</v>
      </c>
      <c r="B1202" s="4">
        <v>6.19</v>
      </c>
      <c r="C1202" s="4">
        <v>3.69</v>
      </c>
      <c r="D1202" s="4">
        <v>5.09</v>
      </c>
      <c r="E1202" s="4">
        <v>5.29</v>
      </c>
      <c r="F1202" s="4">
        <v>3.14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</row>
    <row r="1203" spans="1:11" x14ac:dyDescent="0.25">
      <c r="A1203" s="1">
        <v>0.83402777777777803</v>
      </c>
      <c r="B1203" s="2">
        <v>6.23</v>
      </c>
      <c r="C1203" s="2">
        <v>3.5799999999999996</v>
      </c>
      <c r="D1203" s="2">
        <v>5.26</v>
      </c>
      <c r="E1203" s="2">
        <v>4.99</v>
      </c>
      <c r="F1203" s="2">
        <v>3.39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</row>
    <row r="1204" spans="1:11" x14ac:dyDescent="0.25">
      <c r="A1204" s="1">
        <v>0.83472222222222203</v>
      </c>
      <c r="B1204" s="2">
        <v>6.25</v>
      </c>
      <c r="C1204" s="2">
        <v>3.6999999999999997</v>
      </c>
      <c r="D1204" s="2">
        <v>4.8899999999999997</v>
      </c>
      <c r="E1204" s="2">
        <v>4.9300000000000006</v>
      </c>
      <c r="F1204" s="2">
        <v>3.25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</row>
    <row r="1205" spans="1:11" x14ac:dyDescent="0.25">
      <c r="A1205" s="1">
        <v>0.83541666666666703</v>
      </c>
      <c r="B1205" s="2">
        <v>6.19</v>
      </c>
      <c r="C1205" s="2">
        <v>3.53</v>
      </c>
      <c r="D1205" s="2">
        <v>5.18</v>
      </c>
      <c r="E1205" s="2">
        <v>4.96</v>
      </c>
      <c r="F1205" s="2">
        <v>3.12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</row>
    <row r="1206" spans="1:11" x14ac:dyDescent="0.25">
      <c r="A1206" s="1">
        <v>0.83611111111111103</v>
      </c>
      <c r="B1206" s="2">
        <v>6.1000000000000005</v>
      </c>
      <c r="C1206" s="2">
        <v>3.6599999999999997</v>
      </c>
      <c r="D1206" s="2">
        <v>5.1099999999999994</v>
      </c>
      <c r="E1206" s="2">
        <v>5.04</v>
      </c>
      <c r="F1206" s="2">
        <v>3.12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</row>
    <row r="1207" spans="1:11" x14ac:dyDescent="0.25">
      <c r="A1207" s="1">
        <v>0.83680555555555602</v>
      </c>
      <c r="B1207" s="2">
        <v>6.16</v>
      </c>
      <c r="C1207" s="2">
        <v>3.5799999999999996</v>
      </c>
      <c r="D1207" s="2">
        <v>5.13</v>
      </c>
      <c r="E1207" s="2">
        <v>5.0100000000000007</v>
      </c>
      <c r="F1207" s="2">
        <v>2.93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</row>
    <row r="1208" spans="1:11" x14ac:dyDescent="0.25">
      <c r="A1208" s="1">
        <v>0.83750000000000002</v>
      </c>
      <c r="B1208" s="2">
        <v>6.17</v>
      </c>
      <c r="C1208" s="2">
        <v>3.7699999999999996</v>
      </c>
      <c r="D1208" s="2">
        <v>5.1099999999999994</v>
      </c>
      <c r="E1208" s="2">
        <v>5.36</v>
      </c>
      <c r="F1208" s="2">
        <v>3.39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</row>
    <row r="1209" spans="1:11" x14ac:dyDescent="0.25">
      <c r="A1209" s="1">
        <v>0.83819444444444402</v>
      </c>
      <c r="B1209" s="2">
        <v>6.24</v>
      </c>
      <c r="C1209" s="2">
        <v>3.6799999999999997</v>
      </c>
      <c r="D1209" s="2">
        <v>5.09</v>
      </c>
      <c r="E1209" s="2">
        <v>5.2700000000000005</v>
      </c>
      <c r="F1209" s="2">
        <v>3.3600000000000003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</row>
    <row r="1210" spans="1:11" x14ac:dyDescent="0.25">
      <c r="A1210" s="1">
        <v>0.83888888888888902</v>
      </c>
      <c r="B1210" s="2">
        <v>6.24</v>
      </c>
      <c r="C1210" s="2">
        <v>3.5599999999999996</v>
      </c>
      <c r="D1210" s="2">
        <v>5.1599999999999993</v>
      </c>
      <c r="E1210" s="2">
        <v>5.3100000000000005</v>
      </c>
      <c r="F1210" s="2">
        <v>3.2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</row>
    <row r="1211" spans="1:11" x14ac:dyDescent="0.25">
      <c r="A1211" s="1">
        <v>0.83958333333333302</v>
      </c>
      <c r="B1211" s="2">
        <v>6.2200000000000006</v>
      </c>
      <c r="C1211" s="2">
        <v>3.75</v>
      </c>
      <c r="D1211" s="2">
        <v>5.1999999999999993</v>
      </c>
      <c r="E1211" s="2">
        <v>5.07</v>
      </c>
      <c r="F1211" s="2">
        <v>3.0500000000000003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</row>
    <row r="1212" spans="1:11" x14ac:dyDescent="0.25">
      <c r="A1212" s="1">
        <v>0.84027777777777801</v>
      </c>
      <c r="B1212" s="2">
        <v>6.15</v>
      </c>
      <c r="C1212" s="2">
        <v>3.6799999999999997</v>
      </c>
      <c r="D1212" s="2">
        <v>5.22</v>
      </c>
      <c r="E1212" s="2">
        <v>4.8600000000000003</v>
      </c>
      <c r="F1212" s="2">
        <v>3.08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</row>
    <row r="1213" spans="1:11" x14ac:dyDescent="0.25">
      <c r="A1213" s="1">
        <v>0.84097222222222201</v>
      </c>
      <c r="B1213" s="2">
        <v>6.15</v>
      </c>
      <c r="C1213" s="2">
        <v>3.57</v>
      </c>
      <c r="D1213" s="2">
        <v>5.3</v>
      </c>
      <c r="E1213" s="2">
        <v>5.04</v>
      </c>
      <c r="F1213" s="2">
        <v>3.16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</row>
    <row r="1214" spans="1:11" x14ac:dyDescent="0.25">
      <c r="A1214" s="1">
        <v>0.84166666666666701</v>
      </c>
      <c r="B1214" s="2">
        <v>6.25</v>
      </c>
      <c r="C1214" s="2">
        <v>3.6999999999999997</v>
      </c>
      <c r="D1214" s="2">
        <v>5.2799999999999994</v>
      </c>
      <c r="E1214" s="2">
        <v>4.8900000000000006</v>
      </c>
      <c r="F1214" s="2">
        <v>3.0700000000000003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</row>
    <row r="1215" spans="1:11" x14ac:dyDescent="0.25">
      <c r="A1215" s="1">
        <v>0.84236111111111101</v>
      </c>
      <c r="B1215" s="2">
        <v>6.23</v>
      </c>
      <c r="C1215" s="2">
        <v>3.6399999999999997</v>
      </c>
      <c r="D1215" s="2">
        <v>5.05</v>
      </c>
      <c r="E1215" s="2">
        <v>4.8600000000000003</v>
      </c>
      <c r="F1215" s="2">
        <v>3.1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</row>
    <row r="1216" spans="1:11" x14ac:dyDescent="0.25">
      <c r="A1216" s="1">
        <v>0.843055555555556</v>
      </c>
      <c r="B1216" s="2">
        <v>6.15</v>
      </c>
      <c r="C1216" s="2">
        <v>3.71</v>
      </c>
      <c r="D1216" s="2">
        <v>5.1999999999999993</v>
      </c>
      <c r="E1216" s="2">
        <v>5.1100000000000003</v>
      </c>
      <c r="F1216" s="2">
        <v>3.0100000000000002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</row>
    <row r="1217" spans="1:11" x14ac:dyDescent="0.25">
      <c r="A1217" s="1">
        <v>0.84375</v>
      </c>
      <c r="B1217" s="2">
        <v>6.16</v>
      </c>
      <c r="C1217" s="2">
        <v>3.6799999999999997</v>
      </c>
      <c r="D1217" s="2">
        <v>5.0299999999999994</v>
      </c>
      <c r="E1217" s="2">
        <v>4.8600000000000003</v>
      </c>
      <c r="F1217" s="2">
        <v>3.2800000000000002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</row>
    <row r="1218" spans="1:11" x14ac:dyDescent="0.25">
      <c r="A1218" s="1">
        <v>0.844444444444444</v>
      </c>
      <c r="B1218" s="2">
        <v>6.32</v>
      </c>
      <c r="C1218" s="2">
        <v>3.6599999999999997</v>
      </c>
      <c r="D1218" s="2">
        <v>4.92</v>
      </c>
      <c r="E1218" s="2">
        <v>5.25</v>
      </c>
      <c r="F1218" s="2">
        <v>3.12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</row>
    <row r="1219" spans="1:11" x14ac:dyDescent="0.25">
      <c r="A1219" s="1">
        <v>0.84513888888888899</v>
      </c>
      <c r="B1219" s="2">
        <v>6.08</v>
      </c>
      <c r="C1219" s="2">
        <v>3.7699999999999996</v>
      </c>
      <c r="D1219" s="2">
        <v>5.13</v>
      </c>
      <c r="E1219" s="2">
        <v>5.15</v>
      </c>
      <c r="F1219" s="2">
        <v>2.87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</row>
    <row r="1220" spans="1:11" x14ac:dyDescent="0.25">
      <c r="A1220" s="1">
        <v>0.84583333333333299</v>
      </c>
      <c r="B1220" s="2">
        <v>6.17</v>
      </c>
      <c r="C1220" s="2">
        <v>3.65</v>
      </c>
      <c r="D1220" s="2">
        <v>5.25</v>
      </c>
      <c r="E1220" s="2">
        <v>5.2700000000000005</v>
      </c>
      <c r="F1220" s="2">
        <v>3.04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</row>
    <row r="1221" spans="1:11" x14ac:dyDescent="0.25">
      <c r="A1221" s="1">
        <v>0.84652777777777799</v>
      </c>
      <c r="B1221" s="2">
        <v>6.12</v>
      </c>
      <c r="C1221" s="2">
        <v>3.76</v>
      </c>
      <c r="D1221" s="2">
        <v>5.0599999999999996</v>
      </c>
      <c r="E1221" s="2">
        <v>5.0100000000000007</v>
      </c>
      <c r="F1221" s="2">
        <v>3.21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</row>
    <row r="1222" spans="1:11" x14ac:dyDescent="0.25">
      <c r="A1222" s="1">
        <v>0.84722222222222199</v>
      </c>
      <c r="B1222" s="2">
        <v>6.15</v>
      </c>
      <c r="C1222" s="2">
        <v>3.79</v>
      </c>
      <c r="D1222" s="2">
        <v>4.8899999999999997</v>
      </c>
      <c r="E1222" s="2">
        <v>5.28</v>
      </c>
      <c r="F1222" s="2">
        <v>3.37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</row>
    <row r="1223" spans="1:11" x14ac:dyDescent="0.25">
      <c r="A1223" s="1">
        <v>0.84791666666666698</v>
      </c>
      <c r="B1223" s="2">
        <v>6.23</v>
      </c>
      <c r="C1223" s="2">
        <v>3.71</v>
      </c>
      <c r="D1223" s="2">
        <v>5.1999999999999993</v>
      </c>
      <c r="E1223" s="2">
        <v>5.23</v>
      </c>
      <c r="F1223" s="2">
        <v>3.24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</row>
    <row r="1224" spans="1:11" x14ac:dyDescent="0.25">
      <c r="A1224" s="1">
        <v>0.84861111111111098</v>
      </c>
      <c r="B1224" s="2">
        <v>6.13</v>
      </c>
      <c r="C1224" s="2">
        <v>3.71</v>
      </c>
      <c r="D1224" s="2">
        <v>4.8499999999999996</v>
      </c>
      <c r="E1224" s="2">
        <v>5.42</v>
      </c>
      <c r="F1224" s="2">
        <v>2.9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</row>
    <row r="1225" spans="1:11" x14ac:dyDescent="0.25">
      <c r="A1225" s="1">
        <v>0.84930555555555598</v>
      </c>
      <c r="B1225" s="2">
        <v>6.2</v>
      </c>
      <c r="C1225" s="2">
        <v>3.67</v>
      </c>
      <c r="D1225" s="2">
        <v>5.13</v>
      </c>
      <c r="E1225" s="2">
        <v>5.08</v>
      </c>
      <c r="F1225" s="2">
        <v>2.91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</row>
    <row r="1226" spans="1:11" x14ac:dyDescent="0.25">
      <c r="A1226" s="1">
        <v>0.85</v>
      </c>
      <c r="B1226" s="2">
        <v>6.09</v>
      </c>
      <c r="C1226" s="2">
        <v>3.5599999999999996</v>
      </c>
      <c r="D1226" s="2">
        <v>4.9499999999999993</v>
      </c>
      <c r="E1226" s="2">
        <v>5.1800000000000006</v>
      </c>
      <c r="F1226" s="2">
        <v>3.38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</row>
    <row r="1227" spans="1:11" x14ac:dyDescent="0.25">
      <c r="A1227" s="1">
        <v>0.85069444444444497</v>
      </c>
      <c r="B1227" s="2">
        <v>6.12</v>
      </c>
      <c r="C1227" s="2">
        <v>3.76</v>
      </c>
      <c r="D1227" s="2">
        <v>5.2299999999999995</v>
      </c>
      <c r="E1227" s="2">
        <v>5.45</v>
      </c>
      <c r="F1227" s="2">
        <v>3.35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</row>
    <row r="1228" spans="1:11" x14ac:dyDescent="0.25">
      <c r="A1228" s="1">
        <v>0.85138888888888897</v>
      </c>
      <c r="B1228" s="2">
        <v>6.29</v>
      </c>
      <c r="C1228" s="2">
        <v>3.5999999999999996</v>
      </c>
      <c r="D1228" s="2">
        <v>5.13</v>
      </c>
      <c r="E1228" s="2">
        <v>5.21</v>
      </c>
      <c r="F1228" s="2">
        <v>2.89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</row>
    <row r="1229" spans="1:11" x14ac:dyDescent="0.25">
      <c r="A1229" s="1">
        <v>0.85208333333333297</v>
      </c>
      <c r="B1229" s="2">
        <v>6.28</v>
      </c>
      <c r="C1229" s="2">
        <v>3.73</v>
      </c>
      <c r="D1229" s="2">
        <v>5.1099999999999994</v>
      </c>
      <c r="E1229" s="2">
        <v>5.24</v>
      </c>
      <c r="F1229" s="2">
        <v>3.23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</row>
    <row r="1230" spans="1:11" x14ac:dyDescent="0.25">
      <c r="A1230" s="1">
        <v>0.85277777777777797</v>
      </c>
      <c r="B1230" s="2">
        <v>6.12</v>
      </c>
      <c r="C1230" s="2">
        <v>3.55</v>
      </c>
      <c r="D1230" s="2">
        <v>4.9499999999999993</v>
      </c>
      <c r="E1230" s="2">
        <v>5.5100000000000007</v>
      </c>
      <c r="F1230" s="2">
        <v>3.33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</row>
    <row r="1231" spans="1:11" x14ac:dyDescent="0.25">
      <c r="A1231" s="1">
        <v>0.85347222222222197</v>
      </c>
      <c r="B1231" s="2">
        <v>6.1400000000000006</v>
      </c>
      <c r="C1231" s="2">
        <v>3.67</v>
      </c>
      <c r="D1231" s="2">
        <v>5.0599999999999996</v>
      </c>
      <c r="E1231" s="2">
        <v>5.0500000000000007</v>
      </c>
      <c r="F1231" s="2">
        <v>3.04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</row>
    <row r="1232" spans="1:11" x14ac:dyDescent="0.25">
      <c r="A1232" s="1">
        <v>0.85416666666666696</v>
      </c>
      <c r="B1232" s="2">
        <v>6.24</v>
      </c>
      <c r="C1232" s="2">
        <v>3.79</v>
      </c>
      <c r="D1232" s="2">
        <v>4.8999999999999995</v>
      </c>
      <c r="E1232" s="2">
        <v>4.82</v>
      </c>
      <c r="F1232" s="2">
        <v>3.22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</row>
    <row r="1233" spans="1:11" x14ac:dyDescent="0.25">
      <c r="A1233" s="1">
        <v>0.85486111111111096</v>
      </c>
      <c r="B1233" s="2">
        <v>6.15</v>
      </c>
      <c r="C1233" s="2">
        <v>3.75</v>
      </c>
      <c r="D1233" s="2">
        <v>4.93</v>
      </c>
      <c r="E1233" s="2">
        <v>4.8600000000000003</v>
      </c>
      <c r="F1233" s="2">
        <v>3.13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</row>
    <row r="1234" spans="1:11" x14ac:dyDescent="0.25">
      <c r="A1234" s="1">
        <v>0.85555555555555596</v>
      </c>
      <c r="B1234" s="2">
        <v>6.09</v>
      </c>
      <c r="C1234" s="2">
        <v>3.6199999999999997</v>
      </c>
      <c r="D1234" s="2">
        <v>5</v>
      </c>
      <c r="E1234" s="2">
        <v>5.0200000000000005</v>
      </c>
      <c r="F1234" s="2">
        <v>3.18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</row>
    <row r="1235" spans="1:11" x14ac:dyDescent="0.25">
      <c r="A1235" s="1">
        <v>0.85624999999999996</v>
      </c>
      <c r="B1235" s="2">
        <v>6.19</v>
      </c>
      <c r="C1235" s="2">
        <v>3.63</v>
      </c>
      <c r="D1235" s="2">
        <v>5.04</v>
      </c>
      <c r="E1235" s="2">
        <v>5.12</v>
      </c>
      <c r="F1235" s="2">
        <v>2.89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</row>
    <row r="1236" spans="1:11" x14ac:dyDescent="0.25">
      <c r="A1236" s="1">
        <v>0.85694444444444495</v>
      </c>
      <c r="B1236" s="2">
        <v>6.2600000000000007</v>
      </c>
      <c r="C1236" s="2">
        <v>3.71</v>
      </c>
      <c r="D1236" s="2">
        <v>5.0699999999999994</v>
      </c>
      <c r="E1236" s="2">
        <v>5.3500000000000005</v>
      </c>
      <c r="F1236" s="2">
        <v>2.96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</row>
    <row r="1237" spans="1:11" x14ac:dyDescent="0.25">
      <c r="A1237" s="1">
        <v>0.85763888888888895</v>
      </c>
      <c r="B1237" s="2">
        <v>6.16</v>
      </c>
      <c r="C1237" s="2">
        <v>3.55</v>
      </c>
      <c r="D1237" s="2">
        <v>5.09</v>
      </c>
      <c r="E1237" s="2">
        <v>5.5200000000000005</v>
      </c>
      <c r="F1237" s="2">
        <v>2.97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</row>
    <row r="1238" spans="1:11" x14ac:dyDescent="0.25">
      <c r="A1238" s="1">
        <v>0.85833333333333295</v>
      </c>
      <c r="B1238" s="2">
        <v>6.15</v>
      </c>
      <c r="C1238" s="2">
        <v>3.69</v>
      </c>
      <c r="D1238" s="2">
        <v>4.96</v>
      </c>
      <c r="E1238" s="2">
        <v>5.12</v>
      </c>
      <c r="F1238" s="2">
        <v>2.92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</row>
    <row r="1239" spans="1:11" x14ac:dyDescent="0.25">
      <c r="A1239" s="1">
        <v>0.85902777777777795</v>
      </c>
      <c r="B1239" s="2">
        <v>6.13</v>
      </c>
      <c r="C1239" s="2">
        <v>3.73</v>
      </c>
      <c r="D1239" s="2">
        <v>5</v>
      </c>
      <c r="E1239" s="2">
        <v>5.28</v>
      </c>
      <c r="F1239" s="2">
        <v>3.33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</row>
    <row r="1240" spans="1:11" x14ac:dyDescent="0.25">
      <c r="A1240" s="1">
        <v>0.85972222222222205</v>
      </c>
      <c r="B1240" s="2">
        <v>6.1800000000000006</v>
      </c>
      <c r="C1240" s="2">
        <v>3.6799999999999997</v>
      </c>
      <c r="D1240" s="2">
        <v>4.96</v>
      </c>
      <c r="E1240" s="2">
        <v>5.13</v>
      </c>
      <c r="F1240" s="2">
        <v>3.2600000000000002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</row>
    <row r="1241" spans="1:11" x14ac:dyDescent="0.25">
      <c r="A1241" s="1">
        <v>0.86041666666666705</v>
      </c>
      <c r="B1241" s="2">
        <v>6.2200000000000006</v>
      </c>
      <c r="C1241" s="2">
        <v>3.75</v>
      </c>
      <c r="D1241" s="2">
        <v>4.9099999999999993</v>
      </c>
      <c r="E1241" s="2">
        <v>4.9300000000000006</v>
      </c>
      <c r="F1241" s="2">
        <v>3.13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</row>
    <row r="1242" spans="1:11" x14ac:dyDescent="0.25">
      <c r="A1242" s="1">
        <v>0.86111111111111105</v>
      </c>
      <c r="B1242" s="2">
        <v>6.07</v>
      </c>
      <c r="C1242" s="2">
        <v>3.69</v>
      </c>
      <c r="D1242" s="2">
        <v>5.29</v>
      </c>
      <c r="E1242" s="2">
        <v>5.15</v>
      </c>
      <c r="F1242" s="2">
        <v>3.0700000000000003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</row>
    <row r="1243" spans="1:11" x14ac:dyDescent="0.25">
      <c r="A1243" s="1">
        <v>0.86180555555555605</v>
      </c>
      <c r="B1243" s="2">
        <v>6.1000000000000005</v>
      </c>
      <c r="C1243" s="2">
        <v>3.69</v>
      </c>
      <c r="D1243" s="2">
        <v>5.1099999999999994</v>
      </c>
      <c r="E1243" s="2">
        <v>4.8500000000000005</v>
      </c>
      <c r="F1243" s="2">
        <v>3.29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</row>
    <row r="1244" spans="1:11" x14ac:dyDescent="0.25">
      <c r="A1244" s="1">
        <v>0.86250000000000004</v>
      </c>
      <c r="B1244" s="2">
        <v>6.3100000000000005</v>
      </c>
      <c r="C1244" s="2">
        <v>3.73</v>
      </c>
      <c r="D1244" s="2">
        <v>5.0699999999999994</v>
      </c>
      <c r="E1244" s="2">
        <v>5.48</v>
      </c>
      <c r="F1244" s="2">
        <v>2.89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</row>
    <row r="1245" spans="1:11" x14ac:dyDescent="0.25">
      <c r="A1245" s="1">
        <v>0.86319444444444404</v>
      </c>
      <c r="B1245" s="2">
        <v>6.3000000000000007</v>
      </c>
      <c r="C1245" s="2">
        <v>3.65</v>
      </c>
      <c r="D1245" s="2">
        <v>5.1999999999999993</v>
      </c>
      <c r="E1245" s="2">
        <v>5.4</v>
      </c>
      <c r="F1245" s="2">
        <v>3.27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</row>
    <row r="1246" spans="1:11" x14ac:dyDescent="0.25">
      <c r="A1246" s="1">
        <v>0.86388888888888904</v>
      </c>
      <c r="B1246" s="2">
        <v>6.32</v>
      </c>
      <c r="C1246" s="2">
        <v>3.65</v>
      </c>
      <c r="D1246" s="2">
        <v>4.97</v>
      </c>
      <c r="E1246" s="2">
        <v>5.04</v>
      </c>
      <c r="F1246" s="2">
        <v>3.0700000000000003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</row>
    <row r="1247" spans="1:11" x14ac:dyDescent="0.25">
      <c r="A1247" s="1">
        <v>0.86458333333333304</v>
      </c>
      <c r="B1247" s="2">
        <v>6.33</v>
      </c>
      <c r="C1247" s="2">
        <v>3.79</v>
      </c>
      <c r="D1247" s="2">
        <v>5.09</v>
      </c>
      <c r="E1247" s="2">
        <v>4.96</v>
      </c>
      <c r="F1247" s="2">
        <v>3.24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</row>
    <row r="1248" spans="1:11" x14ac:dyDescent="0.25">
      <c r="A1248" s="1">
        <v>0.86527777777777803</v>
      </c>
      <c r="B1248" s="2">
        <v>6.1800000000000006</v>
      </c>
      <c r="C1248" s="2">
        <v>3.5399999999999996</v>
      </c>
      <c r="D1248" s="2">
        <v>5.0199999999999996</v>
      </c>
      <c r="E1248" s="2">
        <v>5.2600000000000007</v>
      </c>
      <c r="F1248" s="2">
        <v>3.3200000000000003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</row>
    <row r="1249" spans="1:11" x14ac:dyDescent="0.25">
      <c r="A1249" s="1">
        <v>0.86597222222222203</v>
      </c>
      <c r="B1249" s="2">
        <v>6.12</v>
      </c>
      <c r="C1249" s="2">
        <v>3.5999999999999996</v>
      </c>
      <c r="D1249" s="2">
        <v>4.8499999999999996</v>
      </c>
      <c r="E1249" s="2">
        <v>5.24</v>
      </c>
      <c r="F1249" s="2">
        <v>3.3400000000000003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</row>
    <row r="1250" spans="1:11" x14ac:dyDescent="0.25">
      <c r="A1250" s="1">
        <v>0.86666666666666703</v>
      </c>
      <c r="B1250" s="2">
        <v>6.2200000000000006</v>
      </c>
      <c r="C1250" s="2">
        <v>3.79</v>
      </c>
      <c r="D1250" s="2">
        <v>4.8499999999999996</v>
      </c>
      <c r="E1250" s="2">
        <v>5.3100000000000005</v>
      </c>
      <c r="F1250" s="2">
        <v>3.08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</row>
    <row r="1251" spans="1:11" x14ac:dyDescent="0.25">
      <c r="A1251" s="1">
        <v>0.86736111111111103</v>
      </c>
      <c r="B1251" s="2">
        <v>6.24</v>
      </c>
      <c r="C1251" s="2">
        <v>3.7199999999999998</v>
      </c>
      <c r="D1251" s="2">
        <v>4.8699999999999992</v>
      </c>
      <c r="E1251" s="2">
        <v>5.0100000000000007</v>
      </c>
      <c r="F1251" s="2">
        <v>3.13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</row>
    <row r="1252" spans="1:11" x14ac:dyDescent="0.25">
      <c r="A1252" s="1">
        <v>0.86805555555555602</v>
      </c>
      <c r="B1252" s="2">
        <v>6.17</v>
      </c>
      <c r="C1252" s="2">
        <v>3.5799999999999996</v>
      </c>
      <c r="D1252" s="2">
        <v>5.18</v>
      </c>
      <c r="E1252" s="2">
        <v>4.84</v>
      </c>
      <c r="F1252" s="2">
        <v>2.92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</row>
    <row r="1253" spans="1:11" x14ac:dyDescent="0.25">
      <c r="A1253" s="1">
        <v>0.86875000000000002</v>
      </c>
      <c r="B1253" s="2">
        <v>6.29</v>
      </c>
      <c r="C1253" s="2">
        <v>3.5399999999999996</v>
      </c>
      <c r="D1253" s="2">
        <v>5.09</v>
      </c>
      <c r="E1253" s="2">
        <v>5.3500000000000005</v>
      </c>
      <c r="F1253" s="2">
        <v>3.1500000000000004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</row>
    <row r="1254" spans="1:11" x14ac:dyDescent="0.25">
      <c r="A1254" s="1">
        <v>0.86944444444444402</v>
      </c>
      <c r="B1254" s="2">
        <v>6.15</v>
      </c>
      <c r="C1254" s="2">
        <v>3.65</v>
      </c>
      <c r="D1254" s="2">
        <v>4.8899999999999997</v>
      </c>
      <c r="E1254" s="2">
        <v>5.03</v>
      </c>
      <c r="F1254" s="2">
        <v>3.23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</row>
    <row r="1255" spans="1:11" x14ac:dyDescent="0.25">
      <c r="A1255" s="1">
        <v>0.87013888888888902</v>
      </c>
      <c r="B1255" s="2">
        <v>6.23</v>
      </c>
      <c r="C1255" s="2">
        <v>3.59</v>
      </c>
      <c r="D1255" s="2">
        <v>4.8999999999999995</v>
      </c>
      <c r="E1255" s="2">
        <v>5.15</v>
      </c>
      <c r="F1255" s="2">
        <v>3.0300000000000002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</row>
    <row r="1256" spans="1:11" x14ac:dyDescent="0.25">
      <c r="A1256" s="1">
        <v>0.87083333333333302</v>
      </c>
      <c r="B1256" s="2">
        <v>6.33</v>
      </c>
      <c r="C1256" s="2">
        <v>3.53</v>
      </c>
      <c r="D1256" s="2">
        <v>5.2399999999999993</v>
      </c>
      <c r="E1256" s="2">
        <v>5.25</v>
      </c>
      <c r="F1256" s="2">
        <v>3.38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</row>
    <row r="1257" spans="1:11" x14ac:dyDescent="0.25">
      <c r="A1257" s="1">
        <v>0.87152777777777801</v>
      </c>
      <c r="B1257" s="2">
        <v>6.28</v>
      </c>
      <c r="C1257" s="2">
        <v>3.53</v>
      </c>
      <c r="D1257" s="2">
        <v>5</v>
      </c>
      <c r="E1257" s="2">
        <v>5.36</v>
      </c>
      <c r="F1257" s="2">
        <v>3.06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</row>
    <row r="1258" spans="1:11" x14ac:dyDescent="0.25">
      <c r="A1258" s="1">
        <v>0.87222222222222201</v>
      </c>
      <c r="B1258" s="2">
        <v>6.19</v>
      </c>
      <c r="C1258" s="2">
        <v>3.71</v>
      </c>
      <c r="D1258" s="2">
        <v>4.9899999999999993</v>
      </c>
      <c r="E1258" s="2">
        <v>5.0200000000000005</v>
      </c>
      <c r="F1258" s="2">
        <v>2.98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</row>
    <row r="1259" spans="1:11" x14ac:dyDescent="0.25">
      <c r="A1259" s="1">
        <v>0.87291666666666701</v>
      </c>
      <c r="B1259" s="2">
        <v>6.1400000000000006</v>
      </c>
      <c r="C1259" s="2">
        <v>3.6999999999999997</v>
      </c>
      <c r="D1259" s="2">
        <v>5.2299999999999995</v>
      </c>
      <c r="E1259" s="2">
        <v>5.29</v>
      </c>
      <c r="F1259" s="2">
        <v>3.39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</row>
    <row r="1260" spans="1:11" x14ac:dyDescent="0.25">
      <c r="A1260" s="1">
        <v>0.87361111111111101</v>
      </c>
      <c r="B1260" s="2">
        <v>6.3100000000000005</v>
      </c>
      <c r="C1260" s="2">
        <v>3.5399999999999996</v>
      </c>
      <c r="D1260" s="2">
        <v>5.2299999999999995</v>
      </c>
      <c r="E1260" s="2">
        <v>5.4</v>
      </c>
      <c r="F1260" s="2">
        <v>3.0900000000000003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</row>
    <row r="1261" spans="1:11" x14ac:dyDescent="0.25">
      <c r="A1261" s="1">
        <v>0.874305555555556</v>
      </c>
      <c r="B1261" s="2">
        <v>6.23</v>
      </c>
      <c r="C1261" s="2">
        <v>3.59</v>
      </c>
      <c r="D1261" s="2">
        <v>5</v>
      </c>
      <c r="E1261" s="2">
        <v>4.8500000000000005</v>
      </c>
      <c r="F1261" s="2">
        <v>3.29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</row>
    <row r="1262" spans="1:11" x14ac:dyDescent="0.25">
      <c r="A1262" s="3">
        <v>0.875</v>
      </c>
      <c r="B1262" s="4">
        <v>6.19</v>
      </c>
      <c r="C1262" s="4">
        <v>3.7</v>
      </c>
      <c r="D1262" s="4">
        <v>5.09</v>
      </c>
      <c r="E1262" s="4">
        <v>5.31</v>
      </c>
      <c r="F1262" s="4">
        <v>3.15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</row>
    <row r="1263" spans="1:11" x14ac:dyDescent="0.25">
      <c r="A1263" s="1">
        <v>0.875694444444444</v>
      </c>
      <c r="B1263" s="2">
        <v>6.29</v>
      </c>
      <c r="C1263" s="2">
        <v>3.6199999999999997</v>
      </c>
      <c r="D1263" s="2">
        <v>5.0699999999999994</v>
      </c>
      <c r="E1263" s="2">
        <v>5.28</v>
      </c>
      <c r="F1263" s="2">
        <v>2.98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</row>
    <row r="1264" spans="1:11" x14ac:dyDescent="0.25">
      <c r="A1264" s="1">
        <v>0.87638888888888899</v>
      </c>
      <c r="B1264" s="2">
        <v>6.17</v>
      </c>
      <c r="C1264" s="2">
        <v>3.5799999999999996</v>
      </c>
      <c r="D1264" s="2">
        <v>5.25</v>
      </c>
      <c r="E1264" s="2">
        <v>4.9700000000000006</v>
      </c>
      <c r="F1264" s="2">
        <v>3.1100000000000003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</row>
    <row r="1265" spans="1:11" x14ac:dyDescent="0.25">
      <c r="A1265" s="1">
        <v>0.87708333333333299</v>
      </c>
      <c r="B1265" s="2">
        <v>6.17</v>
      </c>
      <c r="C1265" s="2">
        <v>3.6599999999999997</v>
      </c>
      <c r="D1265" s="2">
        <v>5.1499999999999995</v>
      </c>
      <c r="E1265" s="2">
        <v>5.17</v>
      </c>
      <c r="F1265" s="2">
        <v>3.3200000000000003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</row>
    <row r="1266" spans="1:11" x14ac:dyDescent="0.25">
      <c r="A1266" s="1">
        <v>0.87777777777777799</v>
      </c>
      <c r="B1266" s="2">
        <v>6.15</v>
      </c>
      <c r="C1266" s="2">
        <v>3.6799999999999997</v>
      </c>
      <c r="D1266" s="2">
        <v>4.92</v>
      </c>
      <c r="E1266" s="2">
        <v>4.9000000000000004</v>
      </c>
      <c r="F1266" s="2">
        <v>2.95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</row>
    <row r="1267" spans="1:11" x14ac:dyDescent="0.25">
      <c r="A1267" s="1">
        <v>0.87847222222222199</v>
      </c>
      <c r="B1267" s="2">
        <v>6.12</v>
      </c>
      <c r="C1267" s="2">
        <v>3.5799999999999996</v>
      </c>
      <c r="D1267" s="2">
        <v>5.1999999999999993</v>
      </c>
      <c r="E1267" s="2">
        <v>5.19</v>
      </c>
      <c r="F1267" s="2">
        <v>3.37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</row>
    <row r="1268" spans="1:11" x14ac:dyDescent="0.25">
      <c r="A1268" s="1">
        <v>0.87916666666666698</v>
      </c>
      <c r="B1268" s="2">
        <v>6.15</v>
      </c>
      <c r="C1268" s="2">
        <v>3.69</v>
      </c>
      <c r="D1268" s="2">
        <v>5.1599999999999993</v>
      </c>
      <c r="E1268" s="2">
        <v>5.13</v>
      </c>
      <c r="F1268" s="2">
        <v>3.3200000000000003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</row>
    <row r="1269" spans="1:11" x14ac:dyDescent="0.25">
      <c r="A1269" s="1">
        <v>0.87986111111111098</v>
      </c>
      <c r="B1269" s="2">
        <v>6.2600000000000007</v>
      </c>
      <c r="C1269" s="2">
        <v>3.7399999999999998</v>
      </c>
      <c r="D1269" s="2">
        <v>5.27</v>
      </c>
      <c r="E1269" s="2">
        <v>5.19</v>
      </c>
      <c r="F1269" s="2">
        <v>3.39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</row>
    <row r="1270" spans="1:11" x14ac:dyDescent="0.25">
      <c r="A1270" s="1">
        <v>0.88055555555555598</v>
      </c>
      <c r="B1270" s="2">
        <v>6.23</v>
      </c>
      <c r="C1270" s="2">
        <v>3.6999999999999997</v>
      </c>
      <c r="D1270" s="2">
        <v>5.17</v>
      </c>
      <c r="E1270" s="2">
        <v>4.9800000000000004</v>
      </c>
      <c r="F1270" s="2">
        <v>2.87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</row>
    <row r="1271" spans="1:11" x14ac:dyDescent="0.25">
      <c r="A1271" s="1">
        <v>0.88124999999999998</v>
      </c>
      <c r="B1271" s="2">
        <v>6.3000000000000007</v>
      </c>
      <c r="C1271" s="2">
        <v>3.67</v>
      </c>
      <c r="D1271" s="2">
        <v>5.0699999999999994</v>
      </c>
      <c r="E1271" s="2">
        <v>4.82</v>
      </c>
      <c r="F1271" s="2">
        <v>3.38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</row>
    <row r="1272" spans="1:11" x14ac:dyDescent="0.25">
      <c r="A1272" s="1">
        <v>0.88194444444444497</v>
      </c>
      <c r="B1272" s="2">
        <v>6.33</v>
      </c>
      <c r="C1272" s="2">
        <v>3.67</v>
      </c>
      <c r="D1272" s="2">
        <v>5.17</v>
      </c>
      <c r="E1272" s="2">
        <v>5.48</v>
      </c>
      <c r="F1272" s="2">
        <v>3.13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</row>
    <row r="1273" spans="1:11" x14ac:dyDescent="0.25">
      <c r="A1273" s="1">
        <v>0.88263888888888897</v>
      </c>
      <c r="B1273" s="2">
        <v>6.32</v>
      </c>
      <c r="C1273" s="2">
        <v>3.69</v>
      </c>
      <c r="D1273" s="2">
        <v>5.09</v>
      </c>
      <c r="E1273" s="2">
        <v>5.2200000000000006</v>
      </c>
      <c r="F1273" s="2">
        <v>3.04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</row>
    <row r="1274" spans="1:11" x14ac:dyDescent="0.25">
      <c r="A1274" s="1">
        <v>0.88333333333333297</v>
      </c>
      <c r="B1274" s="2">
        <v>6.19</v>
      </c>
      <c r="C1274" s="2">
        <v>3.6799999999999997</v>
      </c>
      <c r="D1274" s="2">
        <v>4.8699999999999992</v>
      </c>
      <c r="E1274" s="2">
        <v>5.41</v>
      </c>
      <c r="F1274" s="2">
        <v>3.1500000000000004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</row>
    <row r="1275" spans="1:11" x14ac:dyDescent="0.25">
      <c r="A1275" s="1">
        <v>0.88402777777777797</v>
      </c>
      <c r="B1275" s="2">
        <v>6.1000000000000005</v>
      </c>
      <c r="C1275" s="2">
        <v>3.7199999999999998</v>
      </c>
      <c r="D1275" s="2">
        <v>4.97</v>
      </c>
      <c r="E1275" s="2">
        <v>4.9400000000000004</v>
      </c>
      <c r="F1275" s="2">
        <v>3.37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</row>
    <row r="1276" spans="1:11" x14ac:dyDescent="0.25">
      <c r="A1276" s="1">
        <v>0.88472222222222197</v>
      </c>
      <c r="B1276" s="2">
        <v>6.08</v>
      </c>
      <c r="C1276" s="2">
        <v>3.55</v>
      </c>
      <c r="D1276" s="2">
        <v>4.92</v>
      </c>
      <c r="E1276" s="2">
        <v>5.32</v>
      </c>
      <c r="F1276" s="2">
        <v>2.89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</row>
    <row r="1277" spans="1:11" x14ac:dyDescent="0.25">
      <c r="A1277" s="1">
        <v>0.88541666666666696</v>
      </c>
      <c r="B1277" s="2">
        <v>6.19</v>
      </c>
      <c r="C1277" s="2">
        <v>3.73</v>
      </c>
      <c r="D1277" s="2">
        <v>5.29</v>
      </c>
      <c r="E1277" s="2">
        <v>5.24</v>
      </c>
      <c r="F1277" s="2">
        <v>3.0500000000000003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</row>
    <row r="1278" spans="1:11" x14ac:dyDescent="0.25">
      <c r="A1278" s="1">
        <v>0.88611111111111096</v>
      </c>
      <c r="B1278" s="2">
        <v>6.23</v>
      </c>
      <c r="C1278" s="2">
        <v>3.75</v>
      </c>
      <c r="D1278" s="2">
        <v>5.0699999999999994</v>
      </c>
      <c r="E1278" s="2">
        <v>5.49</v>
      </c>
      <c r="F1278" s="2">
        <v>3.21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</row>
    <row r="1279" spans="1:11" x14ac:dyDescent="0.25">
      <c r="A1279" s="1">
        <v>0.88680555555555596</v>
      </c>
      <c r="B1279" s="2">
        <v>6.23</v>
      </c>
      <c r="C1279" s="2">
        <v>3.5599999999999996</v>
      </c>
      <c r="D1279" s="2">
        <v>5.1999999999999993</v>
      </c>
      <c r="E1279" s="2">
        <v>5.24</v>
      </c>
      <c r="F1279" s="2">
        <v>3.0100000000000002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</row>
    <row r="1280" spans="1:11" x14ac:dyDescent="0.25">
      <c r="A1280" s="1">
        <v>0.88749999999999996</v>
      </c>
      <c r="B1280" s="2">
        <v>6.09</v>
      </c>
      <c r="C1280" s="2">
        <v>3.69</v>
      </c>
      <c r="D1280" s="2">
        <v>5.0299999999999994</v>
      </c>
      <c r="E1280" s="2">
        <v>5.13</v>
      </c>
      <c r="F1280" s="2">
        <v>3.0300000000000002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</row>
    <row r="1281" spans="1:11" x14ac:dyDescent="0.25">
      <c r="A1281" s="1">
        <v>0.88819444444444495</v>
      </c>
      <c r="B1281" s="2">
        <v>6.11</v>
      </c>
      <c r="C1281" s="2">
        <v>3.63</v>
      </c>
      <c r="D1281" s="2">
        <v>4.96</v>
      </c>
      <c r="E1281" s="2">
        <v>5.29</v>
      </c>
      <c r="F1281" s="2">
        <v>3.02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</row>
    <row r="1282" spans="1:11" x14ac:dyDescent="0.25">
      <c r="A1282" s="1">
        <v>0.88888888888888895</v>
      </c>
      <c r="B1282" s="2">
        <v>6.25</v>
      </c>
      <c r="C1282" s="2">
        <v>3.71</v>
      </c>
      <c r="D1282" s="2">
        <v>5.27</v>
      </c>
      <c r="E1282" s="2">
        <v>4.88</v>
      </c>
      <c r="F1282" s="2">
        <v>3.38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</row>
    <row r="1283" spans="1:11" x14ac:dyDescent="0.25">
      <c r="A1283" s="1">
        <v>0.88958333333333295</v>
      </c>
      <c r="B1283" s="2">
        <v>6.12</v>
      </c>
      <c r="C1283" s="2">
        <v>3.65</v>
      </c>
      <c r="D1283" s="2">
        <v>5.25</v>
      </c>
      <c r="E1283" s="2">
        <v>4.9700000000000006</v>
      </c>
      <c r="F1283" s="2">
        <v>2.98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</row>
    <row r="1284" spans="1:11" x14ac:dyDescent="0.25">
      <c r="A1284" s="1">
        <v>0.89027777777777795</v>
      </c>
      <c r="B1284" s="2">
        <v>6.09</v>
      </c>
      <c r="C1284" s="2">
        <v>3.5799999999999996</v>
      </c>
      <c r="D1284" s="2">
        <v>4.8899999999999997</v>
      </c>
      <c r="E1284" s="2">
        <v>5.21</v>
      </c>
      <c r="F1284" s="2">
        <v>2.93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</row>
    <row r="1285" spans="1:11" x14ac:dyDescent="0.25">
      <c r="A1285" s="1">
        <v>0.89097222222222205</v>
      </c>
      <c r="B1285" s="2">
        <v>6.07</v>
      </c>
      <c r="C1285" s="2">
        <v>3.57</v>
      </c>
      <c r="D1285" s="2">
        <v>5.0199999999999996</v>
      </c>
      <c r="E1285" s="2">
        <v>5.2700000000000005</v>
      </c>
      <c r="F1285" s="2">
        <v>2.93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</row>
    <row r="1286" spans="1:11" x14ac:dyDescent="0.25">
      <c r="A1286" s="1">
        <v>0.89166666666666705</v>
      </c>
      <c r="B1286" s="2">
        <v>6.24</v>
      </c>
      <c r="C1286" s="2">
        <v>3.5399999999999996</v>
      </c>
      <c r="D1286" s="2">
        <v>4.8999999999999995</v>
      </c>
      <c r="E1286" s="2">
        <v>5.25</v>
      </c>
      <c r="F1286" s="2">
        <v>3.3200000000000003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</row>
    <row r="1287" spans="1:11" x14ac:dyDescent="0.25">
      <c r="A1287" s="1">
        <v>0.89236111111111105</v>
      </c>
      <c r="B1287" s="2">
        <v>6.3000000000000007</v>
      </c>
      <c r="C1287" s="2">
        <v>3.67</v>
      </c>
      <c r="D1287" s="2">
        <v>5.25</v>
      </c>
      <c r="E1287" s="2">
        <v>5.28</v>
      </c>
      <c r="F1287" s="2">
        <v>3.21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</row>
    <row r="1288" spans="1:11" x14ac:dyDescent="0.25">
      <c r="A1288" s="1">
        <v>0.89305555555555605</v>
      </c>
      <c r="B1288" s="2">
        <v>6.2600000000000007</v>
      </c>
      <c r="C1288" s="2">
        <v>3.7199999999999998</v>
      </c>
      <c r="D1288" s="2">
        <v>5.1499999999999995</v>
      </c>
      <c r="E1288" s="2">
        <v>5.23</v>
      </c>
      <c r="F1288" s="2">
        <v>3.25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</row>
    <row r="1289" spans="1:11" x14ac:dyDescent="0.25">
      <c r="A1289" s="1">
        <v>0.89375000000000004</v>
      </c>
      <c r="B1289" s="2">
        <v>6.2</v>
      </c>
      <c r="C1289" s="2">
        <v>3.6599999999999997</v>
      </c>
      <c r="D1289" s="2">
        <v>4.96</v>
      </c>
      <c r="E1289" s="2">
        <v>5.45</v>
      </c>
      <c r="F1289" s="2">
        <v>3.2600000000000002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</row>
    <row r="1290" spans="1:11" x14ac:dyDescent="0.25">
      <c r="A1290" s="1">
        <v>0.89444444444444404</v>
      </c>
      <c r="B1290" s="2">
        <v>6.15</v>
      </c>
      <c r="C1290" s="2">
        <v>3.6599999999999997</v>
      </c>
      <c r="D1290" s="2">
        <v>4.92</v>
      </c>
      <c r="E1290" s="2">
        <v>4.91</v>
      </c>
      <c r="F1290" s="2">
        <v>3.35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</row>
    <row r="1291" spans="1:11" x14ac:dyDescent="0.25">
      <c r="A1291" s="1">
        <v>0.89513888888888904</v>
      </c>
      <c r="B1291" s="2">
        <v>6.33</v>
      </c>
      <c r="C1291" s="2">
        <v>3.5799999999999996</v>
      </c>
      <c r="D1291" s="2">
        <v>5.3</v>
      </c>
      <c r="E1291" s="2">
        <v>5.2</v>
      </c>
      <c r="F1291" s="2">
        <v>3.31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</row>
    <row r="1292" spans="1:11" x14ac:dyDescent="0.25">
      <c r="A1292" s="1">
        <v>0.89583333333333304</v>
      </c>
      <c r="B1292" s="2">
        <v>6.17</v>
      </c>
      <c r="C1292" s="2">
        <v>3.79</v>
      </c>
      <c r="D1292" s="2">
        <v>5.21</v>
      </c>
      <c r="E1292" s="2">
        <v>5.44</v>
      </c>
      <c r="F1292" s="2">
        <v>2.97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</row>
    <row r="1293" spans="1:11" x14ac:dyDescent="0.25">
      <c r="A1293" s="1">
        <v>0.89652777777777803</v>
      </c>
      <c r="B1293" s="2">
        <v>6.2700000000000005</v>
      </c>
      <c r="C1293" s="2">
        <v>3.57</v>
      </c>
      <c r="D1293" s="2">
        <v>5.17</v>
      </c>
      <c r="E1293" s="2">
        <v>5.1400000000000006</v>
      </c>
      <c r="F1293" s="2">
        <v>3.1100000000000003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</row>
    <row r="1294" spans="1:11" x14ac:dyDescent="0.25">
      <c r="A1294" s="1">
        <v>0.89722222222222203</v>
      </c>
      <c r="B1294" s="2">
        <v>6.1000000000000005</v>
      </c>
      <c r="C1294" s="2">
        <v>3.6599999999999997</v>
      </c>
      <c r="D1294" s="2">
        <v>5.01</v>
      </c>
      <c r="E1294" s="2">
        <v>5.07</v>
      </c>
      <c r="F1294" s="2">
        <v>3.2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</row>
    <row r="1295" spans="1:11" x14ac:dyDescent="0.25">
      <c r="A1295" s="1">
        <v>0.89791666666666703</v>
      </c>
      <c r="B1295" s="2">
        <v>6.3100000000000005</v>
      </c>
      <c r="C1295" s="2">
        <v>3.6799999999999997</v>
      </c>
      <c r="D1295" s="2">
        <v>5.29</v>
      </c>
      <c r="E1295" s="2">
        <v>5.03</v>
      </c>
      <c r="F1295" s="2">
        <v>3.1100000000000003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</row>
    <row r="1296" spans="1:11" x14ac:dyDescent="0.25">
      <c r="A1296" s="1">
        <v>0.89861111111111103</v>
      </c>
      <c r="B1296" s="2">
        <v>6.23</v>
      </c>
      <c r="C1296" s="2">
        <v>3.53</v>
      </c>
      <c r="D1296" s="2">
        <v>5.08</v>
      </c>
      <c r="E1296" s="2">
        <v>5.13</v>
      </c>
      <c r="F1296" s="2">
        <v>3.02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</row>
    <row r="1297" spans="1:11" x14ac:dyDescent="0.25">
      <c r="A1297" s="1">
        <v>0.89930555555555602</v>
      </c>
      <c r="B1297" s="2">
        <v>6.17</v>
      </c>
      <c r="C1297" s="2">
        <v>3.55</v>
      </c>
      <c r="D1297" s="2">
        <v>5.26</v>
      </c>
      <c r="E1297" s="2">
        <v>5.0600000000000005</v>
      </c>
      <c r="F1297" s="2">
        <v>3.19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</row>
    <row r="1298" spans="1:11" x14ac:dyDescent="0.25">
      <c r="A1298" s="1">
        <v>0.9</v>
      </c>
      <c r="B1298" s="2">
        <v>6.1800000000000006</v>
      </c>
      <c r="C1298" s="2">
        <v>3.53</v>
      </c>
      <c r="D1298" s="2">
        <v>4.88</v>
      </c>
      <c r="E1298" s="2">
        <v>4.8900000000000006</v>
      </c>
      <c r="F1298" s="2">
        <v>2.97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</row>
    <row r="1299" spans="1:11" x14ac:dyDescent="0.25">
      <c r="A1299" s="1">
        <v>0.90069444444444402</v>
      </c>
      <c r="B1299" s="2">
        <v>6.24</v>
      </c>
      <c r="C1299" s="2">
        <v>3.63</v>
      </c>
      <c r="D1299" s="2">
        <v>4.9099999999999993</v>
      </c>
      <c r="E1299" s="2">
        <v>4.8900000000000006</v>
      </c>
      <c r="F1299" s="2">
        <v>3.39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</row>
    <row r="1300" spans="1:11" x14ac:dyDescent="0.25">
      <c r="A1300" s="1">
        <v>0.90138888888888902</v>
      </c>
      <c r="B1300" s="2">
        <v>6.3100000000000005</v>
      </c>
      <c r="C1300" s="2">
        <v>3.7199999999999998</v>
      </c>
      <c r="D1300" s="2">
        <v>4.9099999999999993</v>
      </c>
      <c r="E1300" s="2">
        <v>4.91</v>
      </c>
      <c r="F1300" s="2">
        <v>3.06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</row>
    <row r="1301" spans="1:11" x14ac:dyDescent="0.25">
      <c r="A1301" s="1">
        <v>0.90208333333333302</v>
      </c>
      <c r="B1301" s="2">
        <v>6.16</v>
      </c>
      <c r="C1301" s="2">
        <v>3.67</v>
      </c>
      <c r="D1301" s="2">
        <v>5.22</v>
      </c>
      <c r="E1301" s="2">
        <v>4.88</v>
      </c>
      <c r="F1301" s="2">
        <v>3.2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</row>
    <row r="1302" spans="1:11" x14ac:dyDescent="0.25">
      <c r="A1302" s="1">
        <v>0.90277777777777801</v>
      </c>
      <c r="B1302" s="2">
        <v>6.2</v>
      </c>
      <c r="C1302" s="2">
        <v>3.5599999999999996</v>
      </c>
      <c r="D1302" s="2">
        <v>4.93</v>
      </c>
      <c r="E1302" s="2">
        <v>5.19</v>
      </c>
      <c r="F1302" s="2">
        <v>3.22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</row>
    <row r="1303" spans="1:11" x14ac:dyDescent="0.25">
      <c r="A1303" s="1">
        <v>0.90347222222222201</v>
      </c>
      <c r="B1303" s="2">
        <v>6.32</v>
      </c>
      <c r="C1303" s="2">
        <v>3.7699999999999996</v>
      </c>
      <c r="D1303" s="2">
        <v>5.0999999999999996</v>
      </c>
      <c r="E1303" s="2">
        <v>4.8500000000000005</v>
      </c>
      <c r="F1303" s="2">
        <v>3.0100000000000002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</row>
    <row r="1304" spans="1:11" x14ac:dyDescent="0.25">
      <c r="A1304" s="1">
        <v>0.90416666666666701</v>
      </c>
      <c r="B1304" s="2">
        <v>6.21</v>
      </c>
      <c r="C1304" s="2">
        <v>3.76</v>
      </c>
      <c r="D1304" s="2">
        <v>5.22</v>
      </c>
      <c r="E1304" s="2">
        <v>4.82</v>
      </c>
      <c r="F1304" s="2">
        <v>3.25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</row>
    <row r="1305" spans="1:11" x14ac:dyDescent="0.25">
      <c r="A1305" s="1">
        <v>0.90486111111111101</v>
      </c>
      <c r="B1305" s="2">
        <v>6.3100000000000005</v>
      </c>
      <c r="C1305" s="2">
        <v>3.61</v>
      </c>
      <c r="D1305" s="2">
        <v>4.8999999999999995</v>
      </c>
      <c r="E1305" s="2">
        <v>5.29</v>
      </c>
      <c r="F1305" s="2">
        <v>2.95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</row>
    <row r="1306" spans="1:11" x14ac:dyDescent="0.25">
      <c r="A1306" s="1">
        <v>0.905555555555556</v>
      </c>
      <c r="B1306" s="2">
        <v>6.1800000000000006</v>
      </c>
      <c r="C1306" s="2">
        <v>3.5799999999999996</v>
      </c>
      <c r="D1306" s="2">
        <v>5.05</v>
      </c>
      <c r="E1306" s="2">
        <v>5.2700000000000005</v>
      </c>
      <c r="F1306" s="2">
        <v>3.0700000000000003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</row>
    <row r="1307" spans="1:11" x14ac:dyDescent="0.25">
      <c r="A1307" s="1">
        <v>0.90625</v>
      </c>
      <c r="B1307" s="2">
        <v>6.21</v>
      </c>
      <c r="C1307" s="2">
        <v>3.69</v>
      </c>
      <c r="D1307" s="2">
        <v>5.08</v>
      </c>
      <c r="E1307" s="2">
        <v>5.25</v>
      </c>
      <c r="F1307" s="2">
        <v>3.04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</row>
    <row r="1308" spans="1:11" x14ac:dyDescent="0.25">
      <c r="A1308" s="1">
        <v>0.906944444444444</v>
      </c>
      <c r="B1308" s="2">
        <v>6.32</v>
      </c>
      <c r="C1308" s="2">
        <v>3.57</v>
      </c>
      <c r="D1308" s="2">
        <v>4.8899999999999997</v>
      </c>
      <c r="E1308" s="2">
        <v>5.48</v>
      </c>
      <c r="F1308" s="2">
        <v>2.93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</row>
    <row r="1309" spans="1:11" x14ac:dyDescent="0.25">
      <c r="A1309" s="1">
        <v>0.90763888888888899</v>
      </c>
      <c r="B1309" s="2">
        <v>6.15</v>
      </c>
      <c r="C1309" s="2">
        <v>3.6399999999999997</v>
      </c>
      <c r="D1309" s="2">
        <v>4.97</v>
      </c>
      <c r="E1309" s="2">
        <v>5.1000000000000005</v>
      </c>
      <c r="F1309" s="2">
        <v>3.17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</row>
    <row r="1310" spans="1:11" x14ac:dyDescent="0.25">
      <c r="A1310" s="1">
        <v>0.90833333333333299</v>
      </c>
      <c r="B1310" s="2">
        <v>6.25</v>
      </c>
      <c r="C1310" s="2">
        <v>3.55</v>
      </c>
      <c r="D1310" s="2">
        <v>5</v>
      </c>
      <c r="E1310" s="2">
        <v>4.8900000000000006</v>
      </c>
      <c r="F1310" s="2">
        <v>3.2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</row>
    <row r="1311" spans="1:11" x14ac:dyDescent="0.25">
      <c r="A1311" s="1">
        <v>0.90902777777777799</v>
      </c>
      <c r="B1311" s="2">
        <v>6.25</v>
      </c>
      <c r="C1311" s="2">
        <v>3.69</v>
      </c>
      <c r="D1311" s="2">
        <v>4.8999999999999995</v>
      </c>
      <c r="E1311" s="2">
        <v>5.04</v>
      </c>
      <c r="F1311" s="2">
        <v>3.1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</row>
    <row r="1312" spans="1:11" x14ac:dyDescent="0.25">
      <c r="A1312" s="1">
        <v>0.90972222222222199</v>
      </c>
      <c r="B1312" s="2">
        <v>6.33</v>
      </c>
      <c r="C1312" s="2">
        <v>3.6999999999999997</v>
      </c>
      <c r="D1312" s="2">
        <v>5.21</v>
      </c>
      <c r="E1312" s="2">
        <v>5.21</v>
      </c>
      <c r="F1312" s="2">
        <v>3.12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</row>
    <row r="1313" spans="1:11" x14ac:dyDescent="0.25">
      <c r="A1313" s="1">
        <v>0.91041666666666698</v>
      </c>
      <c r="B1313" s="2">
        <v>6.11</v>
      </c>
      <c r="C1313" s="2">
        <v>3.7699999999999996</v>
      </c>
      <c r="D1313" s="2">
        <v>5.22</v>
      </c>
      <c r="E1313" s="2">
        <v>5.16</v>
      </c>
      <c r="F1313" s="2">
        <v>3.18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</row>
    <row r="1314" spans="1:11" x14ac:dyDescent="0.25">
      <c r="A1314" s="1">
        <v>0.91111111111111098</v>
      </c>
      <c r="B1314" s="2">
        <v>6.1800000000000006</v>
      </c>
      <c r="C1314" s="2">
        <v>3.67</v>
      </c>
      <c r="D1314" s="2">
        <v>4.8499999999999996</v>
      </c>
      <c r="E1314" s="2">
        <v>5.0200000000000005</v>
      </c>
      <c r="F1314" s="2">
        <v>3.1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</row>
    <row r="1315" spans="1:11" x14ac:dyDescent="0.25">
      <c r="A1315" s="1">
        <v>0.91180555555555598</v>
      </c>
      <c r="B1315" s="2">
        <v>6.28</v>
      </c>
      <c r="C1315" s="2">
        <v>3.53</v>
      </c>
      <c r="D1315" s="2">
        <v>5.0299999999999994</v>
      </c>
      <c r="E1315" s="2">
        <v>5.3900000000000006</v>
      </c>
      <c r="F1315" s="2">
        <v>3.14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</row>
    <row r="1316" spans="1:11" x14ac:dyDescent="0.25">
      <c r="A1316" s="1">
        <v>0.91249999999999998</v>
      </c>
      <c r="B1316" s="2">
        <v>6.28</v>
      </c>
      <c r="C1316" s="2">
        <v>3.59</v>
      </c>
      <c r="D1316" s="2">
        <v>4.9399999999999995</v>
      </c>
      <c r="E1316" s="2">
        <v>5.09</v>
      </c>
      <c r="F1316" s="2">
        <v>3.38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</row>
    <row r="1317" spans="1:11" x14ac:dyDescent="0.25">
      <c r="A1317" s="1">
        <v>0.91319444444444497</v>
      </c>
      <c r="B1317" s="2">
        <v>6.2</v>
      </c>
      <c r="C1317" s="2">
        <v>3.73</v>
      </c>
      <c r="D1317" s="2">
        <v>5.29</v>
      </c>
      <c r="E1317" s="2">
        <v>5.12</v>
      </c>
      <c r="F1317" s="2">
        <v>3.06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</row>
    <row r="1318" spans="1:11" x14ac:dyDescent="0.25">
      <c r="A1318" s="1">
        <v>0.91388888888888897</v>
      </c>
      <c r="B1318" s="2">
        <v>6.24</v>
      </c>
      <c r="C1318" s="2">
        <v>3.57</v>
      </c>
      <c r="D1318" s="2">
        <v>5.14</v>
      </c>
      <c r="E1318" s="2">
        <v>5.09</v>
      </c>
      <c r="F1318" s="2">
        <v>3.31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</row>
    <row r="1319" spans="1:11" x14ac:dyDescent="0.25">
      <c r="A1319" s="1">
        <v>0.91458333333333297</v>
      </c>
      <c r="B1319" s="2">
        <v>6.2600000000000007</v>
      </c>
      <c r="C1319" s="2">
        <v>3.71</v>
      </c>
      <c r="D1319" s="2">
        <v>5.05</v>
      </c>
      <c r="E1319" s="2">
        <v>5.46</v>
      </c>
      <c r="F1319" s="2">
        <v>3.18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</row>
    <row r="1320" spans="1:11" x14ac:dyDescent="0.25">
      <c r="A1320" s="1">
        <v>0.91527777777777797</v>
      </c>
      <c r="B1320" s="2">
        <v>6.2200000000000006</v>
      </c>
      <c r="C1320" s="2">
        <v>3.75</v>
      </c>
      <c r="D1320" s="2">
        <v>5.05</v>
      </c>
      <c r="E1320" s="2">
        <v>4.95</v>
      </c>
      <c r="F1320" s="2">
        <v>2.97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</row>
    <row r="1321" spans="1:11" x14ac:dyDescent="0.25">
      <c r="A1321" s="1">
        <v>0.91597222222222197</v>
      </c>
      <c r="B1321" s="2">
        <v>6.29</v>
      </c>
      <c r="C1321" s="2">
        <v>3.6599999999999997</v>
      </c>
      <c r="D1321" s="2">
        <v>5.05</v>
      </c>
      <c r="E1321" s="2">
        <v>5.5100000000000007</v>
      </c>
      <c r="F1321" s="2">
        <v>3.13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</row>
    <row r="1322" spans="1:11" x14ac:dyDescent="0.25">
      <c r="A1322" s="3">
        <v>0.91666666666666696</v>
      </c>
      <c r="B1322" s="4">
        <v>6.19</v>
      </c>
      <c r="C1322" s="4">
        <v>3.7</v>
      </c>
      <c r="D1322" s="4">
        <v>5.09</v>
      </c>
      <c r="E1322" s="4">
        <v>5.31</v>
      </c>
      <c r="F1322" s="4">
        <v>3.15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</row>
    <row r="1323" spans="1:11" x14ac:dyDescent="0.25">
      <c r="A1323" s="1">
        <v>0.91736111111111096</v>
      </c>
      <c r="B1323" s="2">
        <v>6.3000000000000007</v>
      </c>
      <c r="C1323" s="2">
        <v>3.5399999999999996</v>
      </c>
      <c r="D1323" s="2">
        <v>4.8599999999999994</v>
      </c>
      <c r="E1323" s="2">
        <v>4.8500000000000005</v>
      </c>
      <c r="F1323" s="2">
        <v>2.95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</row>
    <row r="1324" spans="1:11" x14ac:dyDescent="0.25">
      <c r="A1324" s="1">
        <v>0.91805555555555596</v>
      </c>
      <c r="B1324" s="2">
        <v>6.11</v>
      </c>
      <c r="C1324" s="2">
        <v>3.76</v>
      </c>
      <c r="D1324" s="2">
        <v>5.09</v>
      </c>
      <c r="E1324" s="2">
        <v>5.21</v>
      </c>
      <c r="F1324" s="2">
        <v>2.89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</row>
    <row r="1325" spans="1:11" x14ac:dyDescent="0.25">
      <c r="A1325" s="1">
        <v>0.91874999999999996</v>
      </c>
      <c r="B1325" s="2">
        <v>6.23</v>
      </c>
      <c r="C1325" s="2">
        <v>3.7699999999999996</v>
      </c>
      <c r="D1325" s="2">
        <v>5.1499999999999995</v>
      </c>
      <c r="E1325" s="2">
        <v>5.1000000000000005</v>
      </c>
      <c r="F1325" s="2">
        <v>3.3200000000000003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</row>
    <row r="1326" spans="1:11" x14ac:dyDescent="0.25">
      <c r="A1326" s="1">
        <v>0.91944444444444495</v>
      </c>
      <c r="B1326" s="2">
        <v>6.28</v>
      </c>
      <c r="C1326" s="2">
        <v>3.69</v>
      </c>
      <c r="D1326" s="2">
        <v>4.97</v>
      </c>
      <c r="E1326" s="2">
        <v>4.8500000000000005</v>
      </c>
      <c r="F1326" s="2">
        <v>3.2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</row>
    <row r="1327" spans="1:11" x14ac:dyDescent="0.25">
      <c r="A1327" s="1">
        <v>0.92013888888888895</v>
      </c>
      <c r="B1327" s="2">
        <v>6.17</v>
      </c>
      <c r="C1327" s="2">
        <v>3.63</v>
      </c>
      <c r="D1327" s="2">
        <v>5.0999999999999996</v>
      </c>
      <c r="E1327" s="2">
        <v>5.5200000000000005</v>
      </c>
      <c r="F1327" s="2">
        <v>3.16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</row>
    <row r="1328" spans="1:11" x14ac:dyDescent="0.25">
      <c r="A1328" s="1">
        <v>0.92083333333333295</v>
      </c>
      <c r="B1328" s="2">
        <v>6.09</v>
      </c>
      <c r="C1328" s="2">
        <v>3.57</v>
      </c>
      <c r="D1328" s="2">
        <v>5.1999999999999993</v>
      </c>
      <c r="E1328" s="2">
        <v>4.9000000000000004</v>
      </c>
      <c r="F1328" s="2">
        <v>3.0100000000000002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</row>
    <row r="1329" spans="1:11" x14ac:dyDescent="0.25">
      <c r="A1329" s="1">
        <v>0.92152777777777795</v>
      </c>
      <c r="B1329" s="2">
        <v>6.29</v>
      </c>
      <c r="C1329" s="2">
        <v>3.6399999999999997</v>
      </c>
      <c r="D1329" s="2">
        <v>5.14</v>
      </c>
      <c r="E1329" s="2">
        <v>5.4300000000000006</v>
      </c>
      <c r="F1329" s="2">
        <v>2.95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</row>
    <row r="1330" spans="1:11" x14ac:dyDescent="0.25">
      <c r="A1330" s="1">
        <v>0.92222222222222205</v>
      </c>
      <c r="B1330" s="2">
        <v>6.25</v>
      </c>
      <c r="C1330" s="2">
        <v>3.59</v>
      </c>
      <c r="D1330" s="2">
        <v>5</v>
      </c>
      <c r="E1330" s="2">
        <v>5.13</v>
      </c>
      <c r="F1330" s="2">
        <v>2.89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</row>
    <row r="1331" spans="1:11" x14ac:dyDescent="0.25">
      <c r="A1331" s="1">
        <v>0.92291666666666705</v>
      </c>
      <c r="B1331" s="2">
        <v>6.2</v>
      </c>
      <c r="C1331" s="2">
        <v>3.61</v>
      </c>
      <c r="D1331" s="2">
        <v>5.14</v>
      </c>
      <c r="E1331" s="2">
        <v>5.36</v>
      </c>
      <c r="F1331" s="2">
        <v>3.19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</row>
    <row r="1332" spans="1:11" x14ac:dyDescent="0.25">
      <c r="A1332" s="1">
        <v>0.92361111111111105</v>
      </c>
      <c r="B1332" s="2">
        <v>6.28</v>
      </c>
      <c r="C1332" s="2">
        <v>3.5599999999999996</v>
      </c>
      <c r="D1332" s="2">
        <v>4.8499999999999996</v>
      </c>
      <c r="E1332" s="2">
        <v>4.99</v>
      </c>
      <c r="F1332" s="2">
        <v>3.1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</row>
    <row r="1333" spans="1:11" x14ac:dyDescent="0.25">
      <c r="A1333" s="1">
        <v>0.92430555555555605</v>
      </c>
      <c r="B1333" s="2">
        <v>6.29</v>
      </c>
      <c r="C1333" s="2">
        <v>3.65</v>
      </c>
      <c r="D1333" s="2">
        <v>5.18</v>
      </c>
      <c r="E1333" s="2">
        <v>5.1000000000000005</v>
      </c>
      <c r="F1333" s="2">
        <v>3.33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</row>
    <row r="1334" spans="1:11" x14ac:dyDescent="0.25">
      <c r="A1334" s="1">
        <v>0.92500000000000004</v>
      </c>
      <c r="B1334" s="2">
        <v>6.12</v>
      </c>
      <c r="C1334" s="2">
        <v>3.6199999999999997</v>
      </c>
      <c r="D1334" s="2">
        <v>4.8499999999999996</v>
      </c>
      <c r="E1334" s="2">
        <v>5.0500000000000007</v>
      </c>
      <c r="F1334" s="2">
        <v>3.16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</row>
    <row r="1335" spans="1:11" x14ac:dyDescent="0.25">
      <c r="A1335" s="1">
        <v>0.92569444444444404</v>
      </c>
      <c r="B1335" s="2">
        <v>6.16</v>
      </c>
      <c r="C1335" s="2">
        <v>3.6599999999999997</v>
      </c>
      <c r="D1335" s="2">
        <v>4.8699999999999992</v>
      </c>
      <c r="E1335" s="2">
        <v>5.41</v>
      </c>
      <c r="F1335" s="2">
        <v>3.08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</row>
    <row r="1336" spans="1:11" x14ac:dyDescent="0.25">
      <c r="A1336" s="1">
        <v>0.92638888888888904</v>
      </c>
      <c r="B1336" s="2">
        <v>6.11</v>
      </c>
      <c r="C1336" s="2">
        <v>3.63</v>
      </c>
      <c r="D1336" s="2">
        <v>5.17</v>
      </c>
      <c r="E1336" s="2">
        <v>4.92</v>
      </c>
      <c r="F1336" s="2">
        <v>3.1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</row>
    <row r="1337" spans="1:11" x14ac:dyDescent="0.25">
      <c r="A1337" s="1">
        <v>0.92708333333333304</v>
      </c>
      <c r="B1337" s="2">
        <v>6.17</v>
      </c>
      <c r="C1337" s="2">
        <v>3.6999999999999997</v>
      </c>
      <c r="D1337" s="2">
        <v>5.3</v>
      </c>
      <c r="E1337" s="2">
        <v>5.29</v>
      </c>
      <c r="F1337" s="2">
        <v>2.92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</row>
    <row r="1338" spans="1:11" x14ac:dyDescent="0.25">
      <c r="A1338" s="1">
        <v>0.92777777777777803</v>
      </c>
      <c r="B1338" s="2">
        <v>6.09</v>
      </c>
      <c r="C1338" s="2">
        <v>3.5799999999999996</v>
      </c>
      <c r="D1338" s="2">
        <v>5.05</v>
      </c>
      <c r="E1338" s="2">
        <v>5.41</v>
      </c>
      <c r="F1338" s="2">
        <v>3.1100000000000003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</row>
    <row r="1339" spans="1:11" x14ac:dyDescent="0.25">
      <c r="A1339" s="1">
        <v>0.92847222222222203</v>
      </c>
      <c r="B1339" s="2">
        <v>6.19</v>
      </c>
      <c r="C1339" s="2">
        <v>3.78</v>
      </c>
      <c r="D1339" s="2">
        <v>5.0199999999999996</v>
      </c>
      <c r="E1339" s="2">
        <v>5.2600000000000007</v>
      </c>
      <c r="F1339" s="2">
        <v>3.04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</row>
    <row r="1340" spans="1:11" x14ac:dyDescent="0.25">
      <c r="A1340" s="1">
        <v>0.92916666666666703</v>
      </c>
      <c r="B1340" s="2">
        <v>6.3000000000000007</v>
      </c>
      <c r="C1340" s="2">
        <v>3.65</v>
      </c>
      <c r="D1340" s="2">
        <v>5.3</v>
      </c>
      <c r="E1340" s="2">
        <v>4.8600000000000003</v>
      </c>
      <c r="F1340" s="2">
        <v>2.87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</row>
    <row r="1341" spans="1:11" x14ac:dyDescent="0.25">
      <c r="A1341" s="1">
        <v>0.92986111111111103</v>
      </c>
      <c r="B1341" s="2">
        <v>6.12</v>
      </c>
      <c r="C1341" s="2">
        <v>3.71</v>
      </c>
      <c r="D1341" s="2">
        <v>5.13</v>
      </c>
      <c r="E1341" s="2">
        <v>5.0100000000000007</v>
      </c>
      <c r="F1341" s="2">
        <v>3.1100000000000003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</row>
    <row r="1342" spans="1:11" x14ac:dyDescent="0.25">
      <c r="A1342" s="1">
        <v>0.93055555555555602</v>
      </c>
      <c r="B1342" s="2">
        <v>6.3000000000000007</v>
      </c>
      <c r="C1342" s="2">
        <v>3.75</v>
      </c>
      <c r="D1342" s="2">
        <v>4.9799999999999995</v>
      </c>
      <c r="E1342" s="2">
        <v>4.9300000000000006</v>
      </c>
      <c r="F1342" s="2">
        <v>3.0500000000000003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</row>
    <row r="1343" spans="1:11" x14ac:dyDescent="0.25">
      <c r="A1343" s="1">
        <v>0.93125000000000002</v>
      </c>
      <c r="B1343" s="2">
        <v>6.24</v>
      </c>
      <c r="C1343" s="2">
        <v>3.59</v>
      </c>
      <c r="D1343" s="2">
        <v>5.21</v>
      </c>
      <c r="E1343" s="2">
        <v>5.07</v>
      </c>
      <c r="F1343" s="2">
        <v>3.35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</row>
    <row r="1344" spans="1:11" x14ac:dyDescent="0.25">
      <c r="A1344" s="1">
        <v>0.93194444444444402</v>
      </c>
      <c r="B1344" s="2">
        <v>6.3100000000000005</v>
      </c>
      <c r="C1344" s="2">
        <v>3.5399999999999996</v>
      </c>
      <c r="D1344" s="2">
        <v>4.8899999999999997</v>
      </c>
      <c r="E1344" s="2">
        <v>5.49</v>
      </c>
      <c r="F1344" s="2">
        <v>3.27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</row>
    <row r="1345" spans="1:11" x14ac:dyDescent="0.25">
      <c r="A1345" s="1">
        <v>0.93263888888888902</v>
      </c>
      <c r="B1345" s="2">
        <v>6.24</v>
      </c>
      <c r="C1345" s="2">
        <v>3.69</v>
      </c>
      <c r="D1345" s="2">
        <v>5.08</v>
      </c>
      <c r="E1345" s="2">
        <v>5.33</v>
      </c>
      <c r="F1345" s="2">
        <v>3.38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</row>
    <row r="1346" spans="1:11" x14ac:dyDescent="0.25">
      <c r="A1346" s="1">
        <v>0.93333333333333302</v>
      </c>
      <c r="B1346" s="2">
        <v>6.16</v>
      </c>
      <c r="C1346" s="2">
        <v>3.79</v>
      </c>
      <c r="D1346" s="2">
        <v>4.97</v>
      </c>
      <c r="E1346" s="2">
        <v>5.48</v>
      </c>
      <c r="F1346" s="2">
        <v>3.3200000000000003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</row>
    <row r="1347" spans="1:11" x14ac:dyDescent="0.25">
      <c r="A1347" s="1">
        <v>0.93402777777777801</v>
      </c>
      <c r="B1347" s="2">
        <v>6.12</v>
      </c>
      <c r="C1347" s="2">
        <v>3.5599999999999996</v>
      </c>
      <c r="D1347" s="2">
        <v>4.9399999999999995</v>
      </c>
      <c r="E1347" s="2">
        <v>4.82</v>
      </c>
      <c r="F1347" s="2">
        <v>3.16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</row>
    <row r="1348" spans="1:11" x14ac:dyDescent="0.25">
      <c r="A1348" s="1">
        <v>0.93472222222222201</v>
      </c>
      <c r="B1348" s="2">
        <v>6.24</v>
      </c>
      <c r="C1348" s="2">
        <v>3.6799999999999997</v>
      </c>
      <c r="D1348" s="2">
        <v>4.9099999999999993</v>
      </c>
      <c r="E1348" s="2">
        <v>5.07</v>
      </c>
      <c r="F1348" s="2">
        <v>3.14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</row>
    <row r="1349" spans="1:11" x14ac:dyDescent="0.25">
      <c r="A1349" s="1">
        <v>0.93541666666666701</v>
      </c>
      <c r="B1349" s="2">
        <v>6.2</v>
      </c>
      <c r="C1349" s="2">
        <v>3.71</v>
      </c>
      <c r="D1349" s="2">
        <v>5.2299999999999995</v>
      </c>
      <c r="E1349" s="2">
        <v>5.16</v>
      </c>
      <c r="F1349" s="2">
        <v>3.35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</row>
    <row r="1350" spans="1:11" x14ac:dyDescent="0.25">
      <c r="A1350" s="1">
        <v>0.93611111111111101</v>
      </c>
      <c r="B1350" s="2">
        <v>6.3100000000000005</v>
      </c>
      <c r="C1350" s="2">
        <v>3.5399999999999996</v>
      </c>
      <c r="D1350" s="2">
        <v>4.88</v>
      </c>
      <c r="E1350" s="2">
        <v>5.33</v>
      </c>
      <c r="F1350" s="2">
        <v>3.19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</row>
    <row r="1351" spans="1:11" x14ac:dyDescent="0.25">
      <c r="A1351" s="1">
        <v>0.936805555555556</v>
      </c>
      <c r="B1351" s="2">
        <v>6.16</v>
      </c>
      <c r="C1351" s="2">
        <v>3.59</v>
      </c>
      <c r="D1351" s="2">
        <v>5.09</v>
      </c>
      <c r="E1351" s="2">
        <v>5.2600000000000007</v>
      </c>
      <c r="F1351" s="2">
        <v>3.2600000000000002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</row>
    <row r="1352" spans="1:11" x14ac:dyDescent="0.25">
      <c r="A1352" s="1">
        <v>0.9375</v>
      </c>
      <c r="B1352" s="2">
        <v>6.25</v>
      </c>
      <c r="C1352" s="2">
        <v>3.71</v>
      </c>
      <c r="D1352" s="2">
        <v>4.9099999999999993</v>
      </c>
      <c r="E1352" s="2">
        <v>5.41</v>
      </c>
      <c r="F1352" s="2">
        <v>3.35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</row>
    <row r="1353" spans="1:11" x14ac:dyDescent="0.25">
      <c r="A1353" s="1">
        <v>0.938194444444444</v>
      </c>
      <c r="B1353" s="2">
        <v>6.08</v>
      </c>
      <c r="C1353" s="2">
        <v>3.57</v>
      </c>
      <c r="D1353" s="2">
        <v>4.8999999999999995</v>
      </c>
      <c r="E1353" s="2">
        <v>5.1400000000000006</v>
      </c>
      <c r="F1353" s="2">
        <v>2.99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</row>
    <row r="1354" spans="1:11" x14ac:dyDescent="0.25">
      <c r="A1354" s="1">
        <v>0.93888888888888899</v>
      </c>
      <c r="B1354" s="2">
        <v>6.2</v>
      </c>
      <c r="C1354" s="2">
        <v>3.6399999999999997</v>
      </c>
      <c r="D1354" s="2">
        <v>5.1099999999999994</v>
      </c>
      <c r="E1354" s="2">
        <v>5.5</v>
      </c>
      <c r="F1354" s="2">
        <v>3.08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</row>
    <row r="1355" spans="1:11" x14ac:dyDescent="0.25">
      <c r="A1355" s="1">
        <v>0.93958333333333299</v>
      </c>
      <c r="B1355" s="2">
        <v>6.07</v>
      </c>
      <c r="C1355" s="2">
        <v>3.55</v>
      </c>
      <c r="D1355" s="2">
        <v>4.9899999999999993</v>
      </c>
      <c r="E1355" s="2">
        <v>5.36</v>
      </c>
      <c r="F1355" s="2">
        <v>3.0700000000000003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</row>
    <row r="1356" spans="1:11" x14ac:dyDescent="0.25">
      <c r="A1356" s="1">
        <v>0.94027777777777799</v>
      </c>
      <c r="B1356" s="2">
        <v>6.24</v>
      </c>
      <c r="C1356" s="2">
        <v>3.6399999999999997</v>
      </c>
      <c r="D1356" s="2">
        <v>4.9899999999999993</v>
      </c>
      <c r="E1356" s="2">
        <v>4.91</v>
      </c>
      <c r="F1356" s="2">
        <v>2.97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</row>
    <row r="1357" spans="1:11" x14ac:dyDescent="0.25">
      <c r="A1357" s="1">
        <v>0.94097222222222199</v>
      </c>
      <c r="B1357" s="2">
        <v>6.19</v>
      </c>
      <c r="C1357" s="2">
        <v>3.61</v>
      </c>
      <c r="D1357" s="2">
        <v>5</v>
      </c>
      <c r="E1357" s="2">
        <v>5.21</v>
      </c>
      <c r="F1357" s="2">
        <v>3.38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</row>
    <row r="1358" spans="1:11" x14ac:dyDescent="0.25">
      <c r="A1358" s="1">
        <v>0.94166666666666698</v>
      </c>
      <c r="B1358" s="2">
        <v>6.19</v>
      </c>
      <c r="C1358" s="2">
        <v>3.57</v>
      </c>
      <c r="D1358" s="2">
        <v>4.8899999999999997</v>
      </c>
      <c r="E1358" s="2">
        <v>5.4700000000000006</v>
      </c>
      <c r="F1358" s="2">
        <v>3.21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</row>
    <row r="1359" spans="1:11" x14ac:dyDescent="0.25">
      <c r="A1359" s="1">
        <v>0.94236111111111098</v>
      </c>
      <c r="B1359" s="2">
        <v>6.25</v>
      </c>
      <c r="C1359" s="2">
        <v>3.63</v>
      </c>
      <c r="D1359" s="2">
        <v>5.09</v>
      </c>
      <c r="E1359" s="2">
        <v>5.08</v>
      </c>
      <c r="F1359" s="2">
        <v>3.14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</row>
    <row r="1360" spans="1:11" x14ac:dyDescent="0.25">
      <c r="A1360" s="1">
        <v>0.94305555555555598</v>
      </c>
      <c r="B1360" s="2">
        <v>6.16</v>
      </c>
      <c r="C1360" s="2">
        <v>3.5799999999999996</v>
      </c>
      <c r="D1360" s="2">
        <v>5.08</v>
      </c>
      <c r="E1360" s="2">
        <v>4.88</v>
      </c>
      <c r="F1360" s="2">
        <v>3.04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</row>
    <row r="1361" spans="1:11" x14ac:dyDescent="0.25">
      <c r="A1361" s="1">
        <v>0.94374999999999998</v>
      </c>
      <c r="B1361" s="2">
        <v>6.16</v>
      </c>
      <c r="C1361" s="2">
        <v>3.5399999999999996</v>
      </c>
      <c r="D1361" s="2">
        <v>5.0299999999999994</v>
      </c>
      <c r="E1361" s="2">
        <v>5.2600000000000007</v>
      </c>
      <c r="F1361" s="2">
        <v>2.89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</row>
    <row r="1362" spans="1:11" x14ac:dyDescent="0.25">
      <c r="A1362" s="1">
        <v>0.94444444444444497</v>
      </c>
      <c r="B1362" s="2">
        <v>6.3000000000000007</v>
      </c>
      <c r="C1362" s="2">
        <v>3.73</v>
      </c>
      <c r="D1362" s="2">
        <v>4.93</v>
      </c>
      <c r="E1362" s="2">
        <v>4.91</v>
      </c>
      <c r="F1362" s="2">
        <v>2.93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</row>
    <row r="1363" spans="1:11" x14ac:dyDescent="0.25">
      <c r="A1363" s="1">
        <v>0.94513888888888897</v>
      </c>
      <c r="B1363" s="2">
        <v>6.24</v>
      </c>
      <c r="C1363" s="2">
        <v>3.6599999999999997</v>
      </c>
      <c r="D1363" s="2">
        <v>5.1599999999999993</v>
      </c>
      <c r="E1363" s="2">
        <v>5.3100000000000005</v>
      </c>
      <c r="F1363" s="2">
        <v>2.97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</row>
    <row r="1364" spans="1:11" x14ac:dyDescent="0.25">
      <c r="A1364" s="1">
        <v>0.94583333333333297</v>
      </c>
      <c r="B1364" s="2">
        <v>6.1400000000000006</v>
      </c>
      <c r="C1364" s="2">
        <v>3.67</v>
      </c>
      <c r="D1364" s="2">
        <v>4.88</v>
      </c>
      <c r="E1364" s="2">
        <v>5.17</v>
      </c>
      <c r="F1364" s="2">
        <v>3.04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</row>
    <row r="1365" spans="1:11" x14ac:dyDescent="0.25">
      <c r="A1365" s="1">
        <v>0.94652777777777797</v>
      </c>
      <c r="B1365" s="2">
        <v>6.2</v>
      </c>
      <c r="C1365" s="2">
        <v>3.63</v>
      </c>
      <c r="D1365" s="2">
        <v>5.26</v>
      </c>
      <c r="E1365" s="2">
        <v>5.23</v>
      </c>
      <c r="F1365" s="2">
        <v>3.04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</row>
    <row r="1366" spans="1:11" x14ac:dyDescent="0.25">
      <c r="A1366" s="1">
        <v>0.94722222222222197</v>
      </c>
      <c r="B1366" s="2">
        <v>6.07</v>
      </c>
      <c r="C1366" s="2">
        <v>3.57</v>
      </c>
      <c r="D1366" s="2">
        <v>5.0299999999999994</v>
      </c>
      <c r="E1366" s="2">
        <v>5.48</v>
      </c>
      <c r="F1366" s="2">
        <v>3.3200000000000003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</row>
    <row r="1367" spans="1:11" x14ac:dyDescent="0.25">
      <c r="A1367" s="1">
        <v>0.94791666666666696</v>
      </c>
      <c r="B1367" s="2">
        <v>6.19</v>
      </c>
      <c r="C1367" s="2">
        <v>3.5999999999999996</v>
      </c>
      <c r="D1367" s="2">
        <v>4.8999999999999995</v>
      </c>
      <c r="E1367" s="2">
        <v>5.2200000000000006</v>
      </c>
      <c r="F1367" s="2">
        <v>3.16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</row>
    <row r="1368" spans="1:11" x14ac:dyDescent="0.25">
      <c r="A1368" s="1">
        <v>0.94861111111111096</v>
      </c>
      <c r="B1368" s="2">
        <v>6.33</v>
      </c>
      <c r="C1368" s="2">
        <v>3.65</v>
      </c>
      <c r="D1368" s="2">
        <v>5.21</v>
      </c>
      <c r="E1368" s="2">
        <v>5.0600000000000005</v>
      </c>
      <c r="F1368" s="2">
        <v>3.27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</row>
    <row r="1369" spans="1:11" x14ac:dyDescent="0.25">
      <c r="A1369" s="1">
        <v>0.94930555555555596</v>
      </c>
      <c r="B1369" s="2">
        <v>6.09</v>
      </c>
      <c r="C1369" s="2">
        <v>3.63</v>
      </c>
      <c r="D1369" s="2">
        <v>4.8499999999999996</v>
      </c>
      <c r="E1369" s="2">
        <v>5.3900000000000006</v>
      </c>
      <c r="F1369" s="2">
        <v>3.2800000000000002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</row>
    <row r="1370" spans="1:11" x14ac:dyDescent="0.25">
      <c r="A1370" s="1">
        <v>0.95</v>
      </c>
      <c r="B1370" s="2">
        <v>6.16</v>
      </c>
      <c r="C1370" s="2">
        <v>3.5999999999999996</v>
      </c>
      <c r="D1370" s="2">
        <v>5.08</v>
      </c>
      <c r="E1370" s="2">
        <v>4.9800000000000004</v>
      </c>
      <c r="F1370" s="2">
        <v>3.0900000000000003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</row>
    <row r="1371" spans="1:11" x14ac:dyDescent="0.25">
      <c r="A1371" s="1">
        <v>0.95069444444444495</v>
      </c>
      <c r="B1371" s="2">
        <v>6.25</v>
      </c>
      <c r="C1371" s="2">
        <v>3.78</v>
      </c>
      <c r="D1371" s="2">
        <v>5.1099999999999994</v>
      </c>
      <c r="E1371" s="2">
        <v>4.82</v>
      </c>
      <c r="F1371" s="2">
        <v>3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</row>
    <row r="1372" spans="1:11" x14ac:dyDescent="0.25">
      <c r="A1372" s="1">
        <v>0.95138888888888895</v>
      </c>
      <c r="B1372" s="2">
        <v>6.1400000000000006</v>
      </c>
      <c r="C1372" s="2">
        <v>3.6999999999999997</v>
      </c>
      <c r="D1372" s="2">
        <v>4.93</v>
      </c>
      <c r="E1372" s="2">
        <v>4.99</v>
      </c>
      <c r="F1372" s="2">
        <v>3.23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</row>
    <row r="1373" spans="1:11" x14ac:dyDescent="0.25">
      <c r="A1373" s="1">
        <v>0.95208333333333295</v>
      </c>
      <c r="B1373" s="2">
        <v>6.3100000000000005</v>
      </c>
      <c r="C1373" s="2">
        <v>3.61</v>
      </c>
      <c r="D1373" s="2">
        <v>5.1899999999999995</v>
      </c>
      <c r="E1373" s="2">
        <v>5.36</v>
      </c>
      <c r="F1373" s="2">
        <v>2.93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</row>
    <row r="1374" spans="1:11" x14ac:dyDescent="0.25">
      <c r="A1374" s="1">
        <v>0.95277777777777795</v>
      </c>
      <c r="B1374" s="2">
        <v>6.11</v>
      </c>
      <c r="C1374" s="2">
        <v>3.61</v>
      </c>
      <c r="D1374" s="2">
        <v>5.25</v>
      </c>
      <c r="E1374" s="2">
        <v>5.3100000000000005</v>
      </c>
      <c r="F1374" s="2">
        <v>3.0300000000000002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</row>
    <row r="1375" spans="1:11" x14ac:dyDescent="0.25">
      <c r="A1375" s="1">
        <v>0.95347222222222205</v>
      </c>
      <c r="B1375" s="2">
        <v>6.25</v>
      </c>
      <c r="C1375" s="2">
        <v>3.69</v>
      </c>
      <c r="D1375" s="2">
        <v>4.8899999999999997</v>
      </c>
      <c r="E1375" s="2">
        <v>5.4300000000000006</v>
      </c>
      <c r="F1375" s="2">
        <v>2.95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</row>
    <row r="1376" spans="1:11" x14ac:dyDescent="0.25">
      <c r="A1376" s="1">
        <v>0.95416666666666705</v>
      </c>
      <c r="B1376" s="2">
        <v>6.1000000000000005</v>
      </c>
      <c r="C1376" s="2">
        <v>3.6799999999999997</v>
      </c>
      <c r="D1376" s="2">
        <v>4.8499999999999996</v>
      </c>
      <c r="E1376" s="2">
        <v>4.91</v>
      </c>
      <c r="F1376" s="2">
        <v>3.21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</row>
    <row r="1377" spans="1:11" x14ac:dyDescent="0.25">
      <c r="A1377" s="1">
        <v>0.95486111111111105</v>
      </c>
      <c r="B1377" s="2">
        <v>6.33</v>
      </c>
      <c r="C1377" s="2">
        <v>3.53</v>
      </c>
      <c r="D1377" s="2">
        <v>4.9899999999999993</v>
      </c>
      <c r="E1377" s="2">
        <v>5.4700000000000006</v>
      </c>
      <c r="F1377" s="2">
        <v>3.13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</row>
    <row r="1378" spans="1:11" x14ac:dyDescent="0.25">
      <c r="A1378" s="1">
        <v>0.95555555555555605</v>
      </c>
      <c r="B1378" s="2">
        <v>6.11</v>
      </c>
      <c r="C1378" s="2">
        <v>3.7399999999999998</v>
      </c>
      <c r="D1378" s="2">
        <v>4.88</v>
      </c>
      <c r="E1378" s="2">
        <v>5.53</v>
      </c>
      <c r="F1378" s="2">
        <v>3.21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</row>
    <row r="1379" spans="1:11" x14ac:dyDescent="0.25">
      <c r="A1379" s="1">
        <v>0.95625000000000004</v>
      </c>
      <c r="B1379" s="2">
        <v>6.08</v>
      </c>
      <c r="C1379" s="2">
        <v>3.6599999999999997</v>
      </c>
      <c r="D1379" s="2">
        <v>5.3</v>
      </c>
      <c r="E1379" s="2">
        <v>5.48</v>
      </c>
      <c r="F1379" s="2">
        <v>2.93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</row>
    <row r="1380" spans="1:11" x14ac:dyDescent="0.25">
      <c r="A1380" s="1">
        <v>0.95694444444444404</v>
      </c>
      <c r="B1380" s="2">
        <v>6.12</v>
      </c>
      <c r="C1380" s="2">
        <v>3.53</v>
      </c>
      <c r="D1380" s="2">
        <v>4.8899999999999997</v>
      </c>
      <c r="E1380" s="2">
        <v>5.0100000000000007</v>
      </c>
      <c r="F1380" s="2">
        <v>2.9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</row>
    <row r="1381" spans="1:11" x14ac:dyDescent="0.25">
      <c r="A1381" s="1">
        <v>0.95763888888888904</v>
      </c>
      <c r="B1381" s="2">
        <v>6.2</v>
      </c>
      <c r="C1381" s="2">
        <v>3.6799999999999997</v>
      </c>
      <c r="D1381" s="2">
        <v>5.2799999999999994</v>
      </c>
      <c r="E1381" s="2">
        <v>5.42</v>
      </c>
      <c r="F1381" s="2">
        <v>3.12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</row>
    <row r="1382" spans="1:11" x14ac:dyDescent="0.25">
      <c r="A1382" s="3">
        <v>0.95833333333333304</v>
      </c>
      <c r="B1382" s="4">
        <v>6.19</v>
      </c>
      <c r="C1382" s="4">
        <v>3.71</v>
      </c>
      <c r="D1382" s="4">
        <v>5.09</v>
      </c>
      <c r="E1382" s="4">
        <v>5.31</v>
      </c>
      <c r="F1382" s="4">
        <v>3.15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</row>
    <row r="1383" spans="1:11" x14ac:dyDescent="0.25">
      <c r="A1383" s="1">
        <v>0.95902777777777803</v>
      </c>
      <c r="B1383" s="2">
        <v>6.1400000000000006</v>
      </c>
      <c r="C1383" s="2">
        <v>3.6799999999999997</v>
      </c>
      <c r="D1383" s="2">
        <v>5.14</v>
      </c>
      <c r="E1383" s="2">
        <v>5.16</v>
      </c>
      <c r="F1383" s="2">
        <v>3.12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</row>
    <row r="1384" spans="1:11" x14ac:dyDescent="0.25">
      <c r="A1384" s="1">
        <v>0.95972222222222203</v>
      </c>
      <c r="B1384" s="2">
        <v>6.17</v>
      </c>
      <c r="C1384" s="2">
        <v>3.76</v>
      </c>
      <c r="D1384" s="2">
        <v>5.1599999999999993</v>
      </c>
      <c r="E1384" s="2">
        <v>5.29</v>
      </c>
      <c r="F1384" s="2">
        <v>3.23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</row>
    <row r="1385" spans="1:11" x14ac:dyDescent="0.25">
      <c r="A1385" s="1">
        <v>0.96041666666666703</v>
      </c>
      <c r="B1385" s="2">
        <v>6.24</v>
      </c>
      <c r="C1385" s="2">
        <v>3.5599999999999996</v>
      </c>
      <c r="D1385" s="2">
        <v>4.9499999999999993</v>
      </c>
      <c r="E1385" s="2">
        <v>4.92</v>
      </c>
      <c r="F1385" s="2">
        <v>3.16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</row>
    <row r="1386" spans="1:11" x14ac:dyDescent="0.25">
      <c r="A1386" s="1">
        <v>0.96111111111111103</v>
      </c>
      <c r="B1386" s="2">
        <v>6.24</v>
      </c>
      <c r="C1386" s="2">
        <v>3.73</v>
      </c>
      <c r="D1386" s="2">
        <v>5.22</v>
      </c>
      <c r="E1386" s="2">
        <v>5.28</v>
      </c>
      <c r="F1386" s="2">
        <v>3.35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</row>
    <row r="1387" spans="1:11" x14ac:dyDescent="0.25">
      <c r="A1387" s="1">
        <v>0.96180555555555602</v>
      </c>
      <c r="B1387" s="2">
        <v>6.07</v>
      </c>
      <c r="C1387" s="2">
        <v>3.7699999999999996</v>
      </c>
      <c r="D1387" s="2">
        <v>5.2299999999999995</v>
      </c>
      <c r="E1387" s="2">
        <v>5.28</v>
      </c>
      <c r="F1387" s="2">
        <v>3.2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</row>
    <row r="1388" spans="1:11" x14ac:dyDescent="0.25">
      <c r="A1388" s="1">
        <v>0.96250000000000002</v>
      </c>
      <c r="B1388" s="2">
        <v>6.33</v>
      </c>
      <c r="C1388" s="2">
        <v>3.75</v>
      </c>
      <c r="D1388" s="2">
        <v>4.8899999999999997</v>
      </c>
      <c r="E1388" s="2">
        <v>5.46</v>
      </c>
      <c r="F1388" s="2">
        <v>2.88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</row>
    <row r="1389" spans="1:11" x14ac:dyDescent="0.25">
      <c r="A1389" s="1">
        <v>0.96319444444444402</v>
      </c>
      <c r="B1389" s="2">
        <v>6.17</v>
      </c>
      <c r="C1389" s="2">
        <v>3.65</v>
      </c>
      <c r="D1389" s="2">
        <v>5.0299999999999994</v>
      </c>
      <c r="E1389" s="2">
        <v>5.46</v>
      </c>
      <c r="F1389" s="2">
        <v>3.08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</row>
    <row r="1390" spans="1:11" x14ac:dyDescent="0.25">
      <c r="A1390" s="1">
        <v>0.96388888888888902</v>
      </c>
      <c r="B1390" s="2">
        <v>6.11</v>
      </c>
      <c r="C1390" s="2">
        <v>3.6399999999999997</v>
      </c>
      <c r="D1390" s="2">
        <v>5.05</v>
      </c>
      <c r="E1390" s="2">
        <v>5.0999999999999996</v>
      </c>
      <c r="F1390" s="2">
        <v>3.38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</row>
    <row r="1391" spans="1:11" x14ac:dyDescent="0.25">
      <c r="A1391" s="1">
        <v>0.96458333333333302</v>
      </c>
      <c r="B1391" s="2">
        <v>6.3000000000000007</v>
      </c>
      <c r="C1391" s="2">
        <v>3.5999999999999996</v>
      </c>
      <c r="D1391" s="2">
        <v>5.26</v>
      </c>
      <c r="E1391" s="2">
        <v>5.4399999999999995</v>
      </c>
      <c r="F1391" s="2">
        <v>3.2800000000000002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</row>
    <row r="1392" spans="1:11" x14ac:dyDescent="0.25">
      <c r="A1392" s="1">
        <v>0.96527777777777801</v>
      </c>
      <c r="B1392" s="2">
        <v>6.2600000000000007</v>
      </c>
      <c r="C1392" s="2">
        <v>3.75</v>
      </c>
      <c r="D1392" s="2">
        <v>5.05</v>
      </c>
      <c r="E1392" s="2">
        <v>4.99</v>
      </c>
      <c r="F1392" s="2">
        <v>3.24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</row>
    <row r="1393" spans="1:11" x14ac:dyDescent="0.25">
      <c r="A1393" s="1">
        <v>0.96597222222222201</v>
      </c>
      <c r="B1393" s="2">
        <v>6.2200000000000006</v>
      </c>
      <c r="C1393" s="2">
        <v>3.6799999999999997</v>
      </c>
      <c r="D1393" s="2">
        <v>5.3</v>
      </c>
      <c r="E1393" s="2">
        <v>5.09</v>
      </c>
      <c r="F1393" s="2">
        <v>2.91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</row>
    <row r="1394" spans="1:11" x14ac:dyDescent="0.25">
      <c r="A1394" s="1">
        <v>0.96666666666666701</v>
      </c>
      <c r="B1394" s="2">
        <v>6.2</v>
      </c>
      <c r="C1394" s="2">
        <v>3.53</v>
      </c>
      <c r="D1394" s="2">
        <v>4.8499999999999996</v>
      </c>
      <c r="E1394" s="2">
        <v>5.4</v>
      </c>
      <c r="F1394" s="2">
        <v>3.37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</row>
    <row r="1395" spans="1:11" x14ac:dyDescent="0.25">
      <c r="A1395" s="1">
        <v>0.96736111111111101</v>
      </c>
      <c r="B1395" s="2">
        <v>6.16</v>
      </c>
      <c r="C1395" s="2">
        <v>3.7699999999999996</v>
      </c>
      <c r="D1395" s="2">
        <v>5.0199999999999996</v>
      </c>
      <c r="E1395" s="2">
        <v>5.2299999999999995</v>
      </c>
      <c r="F1395" s="2">
        <v>3.38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</row>
    <row r="1396" spans="1:11" x14ac:dyDescent="0.25">
      <c r="A1396" s="1">
        <v>0.968055555555556</v>
      </c>
      <c r="B1396" s="2">
        <v>6.33</v>
      </c>
      <c r="C1396" s="2">
        <v>3.7399999999999998</v>
      </c>
      <c r="D1396" s="2">
        <v>5.1599999999999993</v>
      </c>
      <c r="E1396" s="2">
        <v>5.01</v>
      </c>
      <c r="F1396" s="2">
        <v>3.38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</row>
    <row r="1397" spans="1:11" x14ac:dyDescent="0.25">
      <c r="A1397" s="1">
        <v>0.96875</v>
      </c>
      <c r="B1397" s="2">
        <v>6.33</v>
      </c>
      <c r="C1397" s="2">
        <v>3.5999999999999996</v>
      </c>
      <c r="D1397" s="2">
        <v>5.04</v>
      </c>
      <c r="E1397" s="2">
        <v>5.1899999999999995</v>
      </c>
      <c r="F1397" s="2">
        <v>3.35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</row>
    <row r="1398" spans="1:11" x14ac:dyDescent="0.25">
      <c r="A1398" s="1">
        <v>0.969444444444444</v>
      </c>
      <c r="B1398" s="2">
        <v>6.33</v>
      </c>
      <c r="C1398" s="2">
        <v>3.6399999999999997</v>
      </c>
      <c r="D1398" s="2">
        <v>5</v>
      </c>
      <c r="E1398" s="2">
        <v>5.4</v>
      </c>
      <c r="F1398" s="2">
        <v>3.25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</row>
    <row r="1399" spans="1:11" x14ac:dyDescent="0.25">
      <c r="A1399" s="1">
        <v>0.97013888888888899</v>
      </c>
      <c r="B1399" s="2">
        <v>6.32</v>
      </c>
      <c r="C1399" s="2">
        <v>3.61</v>
      </c>
      <c r="D1399" s="2">
        <v>5.1499999999999995</v>
      </c>
      <c r="E1399" s="2">
        <v>5.1100000000000003</v>
      </c>
      <c r="F1399" s="2">
        <v>2.94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</row>
    <row r="1400" spans="1:11" x14ac:dyDescent="0.25">
      <c r="A1400" s="1">
        <v>0.97083333333333299</v>
      </c>
      <c r="B1400" s="2">
        <v>6.1800000000000006</v>
      </c>
      <c r="C1400" s="2">
        <v>3.57</v>
      </c>
      <c r="D1400" s="2">
        <v>4.9399999999999995</v>
      </c>
      <c r="E1400" s="2">
        <v>5.22</v>
      </c>
      <c r="F1400" s="2">
        <v>3.0500000000000003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</row>
    <row r="1401" spans="1:11" x14ac:dyDescent="0.25">
      <c r="A1401" s="1">
        <v>0.97152777777777799</v>
      </c>
      <c r="B1401" s="2">
        <v>6.15</v>
      </c>
      <c r="C1401" s="2">
        <v>3.7199999999999998</v>
      </c>
      <c r="D1401" s="2">
        <v>5.3</v>
      </c>
      <c r="E1401" s="2">
        <v>5.12</v>
      </c>
      <c r="F1401" s="2">
        <v>3.1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</row>
    <row r="1402" spans="1:11" x14ac:dyDescent="0.25">
      <c r="A1402" s="1">
        <v>0.97222222222222199</v>
      </c>
      <c r="B1402" s="2">
        <v>6.1000000000000005</v>
      </c>
      <c r="C1402" s="2">
        <v>3.6999999999999997</v>
      </c>
      <c r="D1402" s="2">
        <v>5.1599999999999993</v>
      </c>
      <c r="E1402" s="2">
        <v>5.33</v>
      </c>
      <c r="F1402" s="2">
        <v>3.1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</row>
    <row r="1403" spans="1:11" x14ac:dyDescent="0.25">
      <c r="A1403" s="1">
        <v>0.97291666666666698</v>
      </c>
      <c r="B1403" s="2">
        <v>6.15</v>
      </c>
      <c r="C1403" s="2">
        <v>3.6199999999999997</v>
      </c>
      <c r="D1403" s="2">
        <v>5.22</v>
      </c>
      <c r="E1403" s="2">
        <v>5.0999999999999996</v>
      </c>
      <c r="F1403" s="2">
        <v>3.04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</row>
    <row r="1404" spans="1:11" x14ac:dyDescent="0.25">
      <c r="A1404" s="1">
        <v>0.97361111111111098</v>
      </c>
      <c r="B1404" s="2">
        <v>6.07</v>
      </c>
      <c r="C1404" s="2">
        <v>3.55</v>
      </c>
      <c r="D1404" s="2">
        <v>5.0299999999999994</v>
      </c>
      <c r="E1404" s="2">
        <v>5.48</v>
      </c>
      <c r="F1404" s="2">
        <v>3.38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</row>
    <row r="1405" spans="1:11" x14ac:dyDescent="0.25">
      <c r="A1405" s="1">
        <v>0.97430555555555598</v>
      </c>
      <c r="B1405" s="2">
        <v>6.24</v>
      </c>
      <c r="C1405" s="2">
        <v>3.5599999999999996</v>
      </c>
      <c r="D1405" s="2">
        <v>5.1499999999999995</v>
      </c>
      <c r="E1405" s="2">
        <v>5.03</v>
      </c>
      <c r="F1405" s="2">
        <v>3.0100000000000002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</row>
    <row r="1406" spans="1:11" x14ac:dyDescent="0.25">
      <c r="A1406" s="1">
        <v>0.97499999999999998</v>
      </c>
      <c r="B1406" s="2">
        <v>6.11</v>
      </c>
      <c r="C1406" s="2">
        <v>3.55</v>
      </c>
      <c r="D1406" s="2">
        <v>4.8899999999999997</v>
      </c>
      <c r="E1406" s="2">
        <v>5.53</v>
      </c>
      <c r="F1406" s="2">
        <v>2.92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</row>
    <row r="1407" spans="1:11" x14ac:dyDescent="0.25">
      <c r="A1407" s="1">
        <v>0.97569444444444497</v>
      </c>
      <c r="B1407" s="2">
        <v>6.11</v>
      </c>
      <c r="C1407" s="2">
        <v>3.79</v>
      </c>
      <c r="D1407" s="2">
        <v>5.09</v>
      </c>
      <c r="E1407" s="2">
        <v>5.42</v>
      </c>
      <c r="F1407" s="2">
        <v>2.95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</row>
    <row r="1408" spans="1:11" x14ac:dyDescent="0.25">
      <c r="A1408" s="1">
        <v>0.97638888888888897</v>
      </c>
      <c r="B1408" s="2">
        <v>6.3000000000000007</v>
      </c>
      <c r="C1408" s="2">
        <v>3.65</v>
      </c>
      <c r="D1408" s="2">
        <v>5.1899999999999995</v>
      </c>
      <c r="E1408" s="2">
        <v>5.03</v>
      </c>
      <c r="F1408" s="2">
        <v>3.02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</row>
    <row r="1409" spans="1:11" x14ac:dyDescent="0.25">
      <c r="A1409" s="1">
        <v>0.97708333333333297</v>
      </c>
      <c r="B1409" s="2">
        <v>6.16</v>
      </c>
      <c r="C1409" s="2">
        <v>3.6199999999999997</v>
      </c>
      <c r="D1409" s="2">
        <v>5.01</v>
      </c>
      <c r="E1409" s="2">
        <v>5.0599999999999996</v>
      </c>
      <c r="F1409" s="2">
        <v>2.95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</row>
    <row r="1410" spans="1:11" x14ac:dyDescent="0.25">
      <c r="A1410" s="1">
        <v>0.97777777777777797</v>
      </c>
      <c r="B1410" s="2">
        <v>6.2700000000000005</v>
      </c>
      <c r="C1410" s="2">
        <v>3.75</v>
      </c>
      <c r="D1410" s="2">
        <v>5.2799999999999994</v>
      </c>
      <c r="E1410" s="2">
        <v>5.2</v>
      </c>
      <c r="F1410" s="2">
        <v>3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</row>
    <row r="1411" spans="1:11" x14ac:dyDescent="0.25">
      <c r="A1411" s="1">
        <v>0.97847222222222197</v>
      </c>
      <c r="B1411" s="2">
        <v>6.3000000000000007</v>
      </c>
      <c r="C1411" s="2">
        <v>3.55</v>
      </c>
      <c r="D1411" s="2">
        <v>5.04</v>
      </c>
      <c r="E1411" s="2">
        <v>5.43</v>
      </c>
      <c r="F1411" s="2">
        <v>3.1500000000000004</v>
      </c>
      <c r="G1411" s="6">
        <v>0</v>
      </c>
      <c r="H1411" s="6">
        <v>0</v>
      </c>
      <c r="I1411" s="6">
        <v>0</v>
      </c>
      <c r="J1411" s="6">
        <v>0</v>
      </c>
      <c r="K1411" s="6">
        <v>0</v>
      </c>
    </row>
    <row r="1412" spans="1:11" x14ac:dyDescent="0.25">
      <c r="A1412" s="1">
        <v>0.97916666666666696</v>
      </c>
      <c r="B1412" s="2">
        <v>6.2600000000000007</v>
      </c>
      <c r="C1412" s="2">
        <v>3.69</v>
      </c>
      <c r="D1412" s="2">
        <v>5.3</v>
      </c>
      <c r="E1412" s="2">
        <v>4.99</v>
      </c>
      <c r="F1412" s="2">
        <v>3.3400000000000003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</row>
    <row r="1413" spans="1:11" x14ac:dyDescent="0.25">
      <c r="A1413" s="1">
        <v>0.97986111111111096</v>
      </c>
      <c r="B1413" s="2">
        <v>6.3000000000000007</v>
      </c>
      <c r="C1413" s="2">
        <v>3.78</v>
      </c>
      <c r="D1413" s="2">
        <v>4.9499999999999993</v>
      </c>
      <c r="E1413" s="2">
        <v>5.29</v>
      </c>
      <c r="F1413" s="2">
        <v>3.04</v>
      </c>
      <c r="G1413" s="6">
        <v>0</v>
      </c>
      <c r="H1413" s="6">
        <v>0</v>
      </c>
      <c r="I1413" s="6">
        <v>0</v>
      </c>
      <c r="J1413" s="6">
        <v>0</v>
      </c>
      <c r="K1413" s="6">
        <v>0</v>
      </c>
    </row>
    <row r="1414" spans="1:11" x14ac:dyDescent="0.25">
      <c r="A1414" s="1">
        <v>0.98055555555555596</v>
      </c>
      <c r="B1414" s="2">
        <v>6.28</v>
      </c>
      <c r="C1414" s="2">
        <v>3.5999999999999996</v>
      </c>
      <c r="D1414" s="2">
        <v>5.2299999999999995</v>
      </c>
      <c r="E1414" s="2">
        <v>5.54</v>
      </c>
      <c r="F1414" s="2">
        <v>2.89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</row>
    <row r="1415" spans="1:11" x14ac:dyDescent="0.25">
      <c r="A1415" s="1">
        <v>0.98124999999999996</v>
      </c>
      <c r="B1415" s="2">
        <v>6.29</v>
      </c>
      <c r="C1415" s="2">
        <v>3.63</v>
      </c>
      <c r="D1415" s="2">
        <v>5.08</v>
      </c>
      <c r="E1415" s="2">
        <v>5.29</v>
      </c>
      <c r="F1415" s="2">
        <v>3.18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</row>
    <row r="1416" spans="1:11" x14ac:dyDescent="0.25">
      <c r="A1416" s="1">
        <v>0.98194444444444495</v>
      </c>
      <c r="B1416" s="2">
        <v>6.2200000000000006</v>
      </c>
      <c r="C1416" s="2">
        <v>3.78</v>
      </c>
      <c r="D1416" s="2">
        <v>5.09</v>
      </c>
      <c r="E1416" s="2">
        <v>5.46</v>
      </c>
      <c r="F1416" s="2">
        <v>3.2600000000000002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</row>
    <row r="1417" spans="1:11" x14ac:dyDescent="0.25">
      <c r="A1417" s="1">
        <v>0.98263888888888895</v>
      </c>
      <c r="B1417" s="2">
        <v>6.15</v>
      </c>
      <c r="C1417" s="2">
        <v>3.5599999999999996</v>
      </c>
      <c r="D1417" s="2">
        <v>4.9899999999999993</v>
      </c>
      <c r="E1417" s="2">
        <v>5.2299999999999995</v>
      </c>
      <c r="F1417" s="2">
        <v>2.89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</row>
    <row r="1418" spans="1:11" x14ac:dyDescent="0.25">
      <c r="A1418" s="1">
        <v>0.98333333333333295</v>
      </c>
      <c r="B1418" s="2">
        <v>6.3100000000000005</v>
      </c>
      <c r="C1418" s="2">
        <v>3.55</v>
      </c>
      <c r="D1418" s="2">
        <v>5.14</v>
      </c>
      <c r="E1418" s="2">
        <v>5.04</v>
      </c>
      <c r="F1418" s="2">
        <v>3.1100000000000003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</row>
    <row r="1419" spans="1:11" x14ac:dyDescent="0.25">
      <c r="A1419" s="1">
        <v>0.98402777777777795</v>
      </c>
      <c r="B1419" s="2">
        <v>6.2700000000000005</v>
      </c>
      <c r="C1419" s="2">
        <v>3.53</v>
      </c>
      <c r="D1419" s="2">
        <v>4.8899999999999997</v>
      </c>
      <c r="E1419" s="2">
        <v>5.18</v>
      </c>
      <c r="F1419" s="2">
        <v>3.3400000000000003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</row>
    <row r="1420" spans="1:11" x14ac:dyDescent="0.25">
      <c r="A1420" s="1">
        <v>0.98472222222222205</v>
      </c>
      <c r="B1420" s="2">
        <v>6.16</v>
      </c>
      <c r="C1420" s="2">
        <v>3.5599999999999996</v>
      </c>
      <c r="D1420" s="2">
        <v>4.93</v>
      </c>
      <c r="E1420" s="2">
        <v>5.0999999999999996</v>
      </c>
      <c r="F1420" s="2">
        <v>3.1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</row>
    <row r="1421" spans="1:11" x14ac:dyDescent="0.25">
      <c r="A1421" s="1">
        <v>0.98541666666666705</v>
      </c>
      <c r="B1421" s="2">
        <v>6.2200000000000006</v>
      </c>
      <c r="C1421" s="2">
        <v>3.71</v>
      </c>
      <c r="D1421" s="2">
        <v>5.09</v>
      </c>
      <c r="E1421" s="2">
        <v>5.4</v>
      </c>
      <c r="F1421" s="2">
        <v>3.1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</row>
    <row r="1422" spans="1:11" x14ac:dyDescent="0.25">
      <c r="A1422" s="1">
        <v>0.98611111111111105</v>
      </c>
      <c r="B1422" s="2">
        <v>6.2200000000000006</v>
      </c>
      <c r="C1422" s="2">
        <v>3.61</v>
      </c>
      <c r="D1422" s="2">
        <v>5.21</v>
      </c>
      <c r="E1422" s="2">
        <v>5.51</v>
      </c>
      <c r="F1422" s="2">
        <v>3.3400000000000003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</row>
    <row r="1423" spans="1:11" x14ac:dyDescent="0.25">
      <c r="A1423" s="1">
        <v>0.98680555555555605</v>
      </c>
      <c r="B1423" s="2">
        <v>6.16</v>
      </c>
      <c r="C1423" s="2">
        <v>3.76</v>
      </c>
      <c r="D1423" s="2">
        <v>5.1199999999999992</v>
      </c>
      <c r="E1423" s="2">
        <v>5.37</v>
      </c>
      <c r="F1423" s="2">
        <v>3.3200000000000003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</row>
    <row r="1424" spans="1:11" x14ac:dyDescent="0.25">
      <c r="A1424" s="1">
        <v>0.98750000000000004</v>
      </c>
      <c r="B1424" s="2">
        <v>6.07</v>
      </c>
      <c r="C1424" s="2">
        <v>3.57</v>
      </c>
      <c r="D1424" s="2">
        <v>4.8999999999999995</v>
      </c>
      <c r="E1424" s="2">
        <v>5.49</v>
      </c>
      <c r="F1424" s="2">
        <v>2.87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</row>
    <row r="1425" spans="1:11" x14ac:dyDescent="0.25">
      <c r="A1425" s="1">
        <v>0.98819444444444404</v>
      </c>
      <c r="B1425" s="2">
        <v>6.21</v>
      </c>
      <c r="C1425" s="2">
        <v>3.55</v>
      </c>
      <c r="D1425" s="2">
        <v>5.1499999999999995</v>
      </c>
      <c r="E1425" s="2">
        <v>5.2299999999999995</v>
      </c>
      <c r="F1425" s="2">
        <v>3.21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</row>
    <row r="1426" spans="1:11" x14ac:dyDescent="0.25">
      <c r="A1426" s="1">
        <v>0.98888888888888904</v>
      </c>
      <c r="B1426" s="2">
        <v>6.09</v>
      </c>
      <c r="C1426" s="2">
        <v>3.7399999999999998</v>
      </c>
      <c r="D1426" s="2">
        <v>5.26</v>
      </c>
      <c r="E1426" s="2">
        <v>5.0999999999999996</v>
      </c>
      <c r="F1426" s="2">
        <v>3.3200000000000003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</row>
    <row r="1427" spans="1:11" x14ac:dyDescent="0.25">
      <c r="A1427" s="1">
        <v>0.98958333333333304</v>
      </c>
      <c r="B1427" s="2">
        <v>6.1000000000000005</v>
      </c>
      <c r="C1427" s="2">
        <v>3.6799999999999997</v>
      </c>
      <c r="D1427" s="2">
        <v>5.3</v>
      </c>
      <c r="E1427" s="2">
        <v>5.1899999999999995</v>
      </c>
      <c r="F1427" s="2">
        <v>3.14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</row>
    <row r="1428" spans="1:11" x14ac:dyDescent="0.25">
      <c r="A1428" s="1">
        <v>0.99027777777777803</v>
      </c>
      <c r="B1428" s="2">
        <v>6.08</v>
      </c>
      <c r="C1428" s="2">
        <v>3.53</v>
      </c>
      <c r="D1428" s="2">
        <v>4.8599999999999994</v>
      </c>
      <c r="E1428" s="2">
        <v>5.42</v>
      </c>
      <c r="F1428" s="2">
        <v>3.21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</row>
    <row r="1429" spans="1:11" x14ac:dyDescent="0.25">
      <c r="A1429" s="1">
        <v>0.99097222222222203</v>
      </c>
      <c r="B1429" s="2">
        <v>6.24</v>
      </c>
      <c r="C1429" s="2">
        <v>3.5399999999999996</v>
      </c>
      <c r="D1429" s="2">
        <v>5.2399999999999993</v>
      </c>
      <c r="E1429" s="2">
        <v>5.53</v>
      </c>
      <c r="F1429" s="2">
        <v>2.88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</row>
    <row r="1430" spans="1:11" x14ac:dyDescent="0.25">
      <c r="A1430" s="1">
        <v>0.99166666666666703</v>
      </c>
      <c r="B1430" s="2">
        <v>6.16</v>
      </c>
      <c r="C1430" s="2">
        <v>3.7199999999999998</v>
      </c>
      <c r="D1430" s="2">
        <v>5.1199999999999992</v>
      </c>
      <c r="E1430" s="2">
        <v>5.29</v>
      </c>
      <c r="F1430" s="2">
        <v>3.39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</row>
    <row r="1431" spans="1:11" x14ac:dyDescent="0.25">
      <c r="A1431" s="1">
        <v>0.99236111111111103</v>
      </c>
      <c r="B1431" s="2">
        <v>6.24</v>
      </c>
      <c r="C1431" s="2">
        <v>3.6599999999999997</v>
      </c>
      <c r="D1431" s="2">
        <v>4.9399999999999995</v>
      </c>
      <c r="E1431" s="2">
        <v>5.24</v>
      </c>
      <c r="F1431" s="2">
        <v>3.1100000000000003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</row>
    <row r="1432" spans="1:11" x14ac:dyDescent="0.25">
      <c r="A1432" s="1">
        <v>0.99305555555555602</v>
      </c>
      <c r="B1432" s="2">
        <v>6.29</v>
      </c>
      <c r="C1432" s="2">
        <v>3.61</v>
      </c>
      <c r="D1432" s="2">
        <v>5.1599999999999993</v>
      </c>
      <c r="E1432" s="2">
        <v>5.49</v>
      </c>
      <c r="F1432" s="2">
        <v>3.39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</row>
    <row r="1433" spans="1:11" x14ac:dyDescent="0.25">
      <c r="A1433" s="1">
        <v>0.99375000000000002</v>
      </c>
      <c r="B1433" s="2">
        <v>6.2200000000000006</v>
      </c>
      <c r="C1433" s="2">
        <v>3.57</v>
      </c>
      <c r="D1433" s="2">
        <v>4.96</v>
      </c>
      <c r="E1433" s="2">
        <v>5.53</v>
      </c>
      <c r="F1433" s="2">
        <v>3.31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</row>
    <row r="1434" spans="1:11" x14ac:dyDescent="0.25">
      <c r="A1434" s="1">
        <v>0.99444444444444402</v>
      </c>
      <c r="B1434" s="2">
        <v>6.11</v>
      </c>
      <c r="C1434" s="2">
        <v>3.6999999999999997</v>
      </c>
      <c r="D1434" s="2">
        <v>5.1199999999999992</v>
      </c>
      <c r="E1434" s="2">
        <v>5.5</v>
      </c>
      <c r="F1434" s="2">
        <v>3.08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</row>
    <row r="1435" spans="1:11" x14ac:dyDescent="0.25">
      <c r="A1435" s="1">
        <v>0.99513888888888902</v>
      </c>
      <c r="B1435" s="2">
        <v>6.3000000000000007</v>
      </c>
      <c r="C1435" s="2">
        <v>3.57</v>
      </c>
      <c r="D1435" s="2">
        <v>5.2799999999999994</v>
      </c>
      <c r="E1435" s="2">
        <v>5.4</v>
      </c>
      <c r="F1435" s="2">
        <v>3.38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</row>
    <row r="1436" spans="1:11" x14ac:dyDescent="0.25">
      <c r="A1436" s="1">
        <v>0.99583333333333302</v>
      </c>
      <c r="B1436" s="2">
        <v>6.2200000000000006</v>
      </c>
      <c r="C1436" s="2">
        <v>3.6399999999999997</v>
      </c>
      <c r="D1436" s="2">
        <v>5.08</v>
      </c>
      <c r="E1436" s="2">
        <v>5.25</v>
      </c>
      <c r="F1436" s="2">
        <v>3.0700000000000003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</row>
    <row r="1437" spans="1:11" x14ac:dyDescent="0.25">
      <c r="A1437" s="1">
        <v>0.99652777777777801</v>
      </c>
      <c r="B1437" s="2">
        <v>6.1800000000000006</v>
      </c>
      <c r="C1437" s="2">
        <v>3.7699999999999996</v>
      </c>
      <c r="D1437" s="2">
        <v>5.2299999999999995</v>
      </c>
      <c r="E1437" s="2">
        <v>4.9799999999999995</v>
      </c>
      <c r="F1437" s="2">
        <v>3.39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</row>
    <row r="1438" spans="1:11" x14ac:dyDescent="0.25">
      <c r="A1438" s="1">
        <v>0.99722222222222201</v>
      </c>
      <c r="B1438" s="2">
        <v>6.23</v>
      </c>
      <c r="C1438" s="2">
        <v>3.6599999999999997</v>
      </c>
      <c r="D1438" s="2">
        <v>5.3</v>
      </c>
      <c r="E1438" s="2">
        <v>5.38</v>
      </c>
      <c r="F1438" s="2">
        <v>2.92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</row>
    <row r="1439" spans="1:11" x14ac:dyDescent="0.25">
      <c r="A1439" s="1">
        <v>0.99791666666666701</v>
      </c>
      <c r="B1439" s="2">
        <v>6.2700000000000005</v>
      </c>
      <c r="C1439" s="2">
        <v>3.6999999999999997</v>
      </c>
      <c r="D1439" s="2">
        <v>5.17</v>
      </c>
      <c r="E1439" s="2">
        <v>4.92</v>
      </c>
      <c r="F1439" s="2">
        <v>3.18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</row>
    <row r="1440" spans="1:11" x14ac:dyDescent="0.25">
      <c r="A1440" s="1">
        <v>0.99861111111111101</v>
      </c>
      <c r="B1440" s="2">
        <v>6.17</v>
      </c>
      <c r="C1440" s="2">
        <v>3.7199999999999998</v>
      </c>
      <c r="D1440" s="2">
        <v>5.13</v>
      </c>
      <c r="E1440" s="2">
        <v>5</v>
      </c>
      <c r="F1440" s="2">
        <v>3.2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</row>
    <row r="1441" spans="1:11" x14ac:dyDescent="0.25">
      <c r="A1441" s="1">
        <v>0.999305555555556</v>
      </c>
      <c r="B1441" s="2">
        <v>6.25</v>
      </c>
      <c r="C1441" s="2">
        <v>3.7199999999999998</v>
      </c>
      <c r="D1441" s="2">
        <v>5.0999999999999996</v>
      </c>
      <c r="E1441" s="2">
        <v>5.29</v>
      </c>
      <c r="F1441" s="2">
        <v>2.98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</row>
    <row r="1442" spans="1:11" x14ac:dyDescent="0.25">
      <c r="A1442" s="3">
        <v>0</v>
      </c>
      <c r="B1442" s="2">
        <v>6.19</v>
      </c>
      <c r="C1442" s="2">
        <v>3.71</v>
      </c>
      <c r="D1442" s="2">
        <v>5.09</v>
      </c>
      <c r="E1442" s="2">
        <v>5.31</v>
      </c>
      <c r="F1442" s="2">
        <v>3.15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</row>
    <row r="1443" spans="1:11" x14ac:dyDescent="0.25">
      <c r="A1443" s="1">
        <v>6.9444444444444447E-4</v>
      </c>
      <c r="B1443" s="2">
        <v>6.15</v>
      </c>
      <c r="C1443" s="2">
        <v>3.53</v>
      </c>
      <c r="D1443" s="2">
        <v>4.92</v>
      </c>
      <c r="E1443" s="2">
        <v>5.13</v>
      </c>
      <c r="F1443" s="2">
        <v>2.94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</row>
    <row r="1444" spans="1:11" x14ac:dyDescent="0.25">
      <c r="A1444" s="1">
        <v>1.38888888888889E-3</v>
      </c>
      <c r="B1444" s="2">
        <v>6.33</v>
      </c>
      <c r="C1444" s="2">
        <v>3.63</v>
      </c>
      <c r="D1444" s="2">
        <v>5.2399999999999993</v>
      </c>
      <c r="E1444" s="2">
        <v>4.96</v>
      </c>
      <c r="F1444" s="2">
        <v>3.0900000000000003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</row>
    <row r="1445" spans="1:11" x14ac:dyDescent="0.25">
      <c r="A1445" s="1">
        <v>2.0833333333333298E-3</v>
      </c>
      <c r="B1445" s="2">
        <v>6.3</v>
      </c>
      <c r="C1445" s="2">
        <v>3.53</v>
      </c>
      <c r="D1445" s="2">
        <v>4.8699999999999992</v>
      </c>
      <c r="E1445" s="2">
        <v>5.28</v>
      </c>
      <c r="F1445" s="2">
        <v>3.2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</row>
    <row r="1446" spans="1:11" x14ac:dyDescent="0.25">
      <c r="A1446" s="1">
        <v>2.7777777777777801E-3</v>
      </c>
      <c r="B1446" s="2">
        <v>6.17</v>
      </c>
      <c r="C1446" s="2">
        <v>3.6999999999999997</v>
      </c>
      <c r="D1446" s="2">
        <v>4.88</v>
      </c>
      <c r="E1446" s="2">
        <v>5.36</v>
      </c>
      <c r="F1446" s="2">
        <v>2.91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</row>
    <row r="1447" spans="1:11" x14ac:dyDescent="0.25">
      <c r="A1447" s="1">
        <v>3.4722222222222199E-3</v>
      </c>
      <c r="B1447" s="2">
        <v>6.19</v>
      </c>
      <c r="C1447" s="2">
        <v>3.5399999999999996</v>
      </c>
      <c r="D1447" s="2">
        <v>5.2399999999999993</v>
      </c>
      <c r="E1447" s="2">
        <v>5.09</v>
      </c>
      <c r="F1447" s="2">
        <v>3.37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</row>
    <row r="1448" spans="1:11" x14ac:dyDescent="0.25">
      <c r="A1448" s="1">
        <v>4.1666666666666701E-3</v>
      </c>
      <c r="B1448" s="2">
        <v>6.3100000000000005</v>
      </c>
      <c r="C1448" s="2">
        <v>3.63</v>
      </c>
      <c r="D1448" s="2">
        <v>5.2399999999999993</v>
      </c>
      <c r="E1448" s="2">
        <v>5.42</v>
      </c>
      <c r="F1448" s="2">
        <v>3.0300000000000002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</row>
    <row r="1449" spans="1:11" x14ac:dyDescent="0.25">
      <c r="A1449" s="1">
        <v>4.8611111111111103E-3</v>
      </c>
      <c r="B1449" s="2">
        <v>6.1</v>
      </c>
      <c r="C1449" s="2">
        <v>3.57</v>
      </c>
      <c r="D1449" s="2">
        <v>4.8899999999999997</v>
      </c>
      <c r="E1449" s="2">
        <v>5.51</v>
      </c>
      <c r="F1449" s="2">
        <v>3.0100000000000002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</row>
    <row r="1450" spans="1:11" x14ac:dyDescent="0.25">
      <c r="A1450" s="1">
        <v>5.5555555555555601E-3</v>
      </c>
      <c r="B1450" s="2">
        <v>6.25</v>
      </c>
      <c r="C1450" s="2">
        <v>3.5799999999999996</v>
      </c>
      <c r="D1450" s="2">
        <v>4.8599999999999994</v>
      </c>
      <c r="E1450" s="2">
        <v>4.99</v>
      </c>
      <c r="F1450" s="2">
        <v>3.1500000000000004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</row>
    <row r="1451" spans="1:11" x14ac:dyDescent="0.25">
      <c r="A1451" s="1">
        <v>6.2500000000000003E-3</v>
      </c>
      <c r="B1451" s="2">
        <v>6.3100000000000005</v>
      </c>
      <c r="C1451" s="2">
        <v>3.7199999999999998</v>
      </c>
      <c r="D1451" s="2">
        <v>5.26</v>
      </c>
      <c r="E1451" s="2">
        <v>5.41</v>
      </c>
      <c r="F1451" s="2">
        <v>3.22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</row>
    <row r="1452" spans="1:11" x14ac:dyDescent="0.25">
      <c r="A1452" s="1">
        <v>6.9444444444444397E-3</v>
      </c>
      <c r="B1452" s="2">
        <v>6.23</v>
      </c>
      <c r="C1452" s="2">
        <v>3.61</v>
      </c>
      <c r="D1452" s="2">
        <v>5.01</v>
      </c>
      <c r="E1452" s="2">
        <v>5.17</v>
      </c>
      <c r="F1452" s="2">
        <v>2.93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</row>
    <row r="1453" spans="1:11" x14ac:dyDescent="0.25">
      <c r="A1453" s="1">
        <v>7.6388888888888904E-3</v>
      </c>
      <c r="B1453" s="2">
        <v>6.33</v>
      </c>
      <c r="C1453" s="2">
        <v>3.7199999999999998</v>
      </c>
      <c r="D1453" s="2">
        <v>5.26</v>
      </c>
      <c r="E1453" s="2">
        <v>4.96</v>
      </c>
      <c r="F1453" s="2">
        <v>2.96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</row>
    <row r="1454" spans="1:11" x14ac:dyDescent="0.25">
      <c r="A1454" s="1">
        <v>8.3333333333333297E-3</v>
      </c>
      <c r="B1454" s="2">
        <v>6.18</v>
      </c>
      <c r="C1454" s="2">
        <v>3.75</v>
      </c>
      <c r="D1454" s="2">
        <v>5.26</v>
      </c>
      <c r="E1454" s="2">
        <v>5.05</v>
      </c>
      <c r="F1454" s="2">
        <v>2.87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</row>
    <row r="1455" spans="1:11" x14ac:dyDescent="0.25">
      <c r="A1455" s="1">
        <v>9.0277777777777804E-3</v>
      </c>
      <c r="B1455" s="2">
        <v>6.22</v>
      </c>
      <c r="C1455" s="2">
        <v>3.5999999999999996</v>
      </c>
      <c r="D1455" s="2">
        <v>5.2399999999999993</v>
      </c>
      <c r="E1455" s="2">
        <v>5.12</v>
      </c>
      <c r="F1455" s="2">
        <v>3.37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</row>
    <row r="1456" spans="1:11" x14ac:dyDescent="0.25">
      <c r="A1456" s="1">
        <v>9.7222222222222206E-3</v>
      </c>
      <c r="B1456" s="2">
        <v>6.16</v>
      </c>
      <c r="C1456" s="2">
        <v>3.6799999999999997</v>
      </c>
      <c r="D1456" s="2">
        <v>5.3</v>
      </c>
      <c r="E1456" s="2">
        <v>5.2299999999999995</v>
      </c>
      <c r="F1456" s="2">
        <v>3.1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</row>
    <row r="1457" spans="1:11" x14ac:dyDescent="0.25">
      <c r="A1457" s="1">
        <v>1.0416666666666701E-2</v>
      </c>
      <c r="B1457" s="2">
        <v>6.1</v>
      </c>
      <c r="C1457" s="2">
        <v>3.57</v>
      </c>
      <c r="D1457" s="2">
        <v>5.1999999999999993</v>
      </c>
      <c r="E1457" s="2">
        <v>5.45</v>
      </c>
      <c r="F1457" s="2">
        <v>3.3600000000000003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</row>
    <row r="1458" spans="1:11" x14ac:dyDescent="0.25">
      <c r="A1458" s="1">
        <v>1.1111111111111099E-2</v>
      </c>
      <c r="B1458" s="2">
        <v>6.17</v>
      </c>
      <c r="C1458" s="2">
        <v>3.6799999999999997</v>
      </c>
      <c r="D1458" s="2">
        <v>5.0299999999999994</v>
      </c>
      <c r="E1458" s="2">
        <v>5.45</v>
      </c>
      <c r="F1458" s="2">
        <v>3.2800000000000002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</row>
    <row r="1459" spans="1:11" x14ac:dyDescent="0.25">
      <c r="A1459" s="1">
        <v>1.18055555555556E-2</v>
      </c>
      <c r="B1459" s="2">
        <v>6.1</v>
      </c>
      <c r="C1459" s="2">
        <v>3.75</v>
      </c>
      <c r="D1459" s="2">
        <v>4.93</v>
      </c>
      <c r="E1459" s="2">
        <v>5.34</v>
      </c>
      <c r="F1459" s="2">
        <v>3.25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</row>
    <row r="1460" spans="1:11" x14ac:dyDescent="0.25">
      <c r="A1460" s="1">
        <v>1.2500000000000001E-2</v>
      </c>
      <c r="B1460" s="2">
        <v>6.25</v>
      </c>
      <c r="C1460" s="2">
        <v>3.53</v>
      </c>
      <c r="D1460" s="2">
        <v>5.18</v>
      </c>
      <c r="E1460" s="2">
        <v>5.4399999999999995</v>
      </c>
      <c r="F1460" s="2">
        <v>2.9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</row>
    <row r="1461" spans="1:11" x14ac:dyDescent="0.25">
      <c r="A1461" s="1">
        <v>1.3194444444444399E-2</v>
      </c>
      <c r="B1461" s="2">
        <v>6.17</v>
      </c>
      <c r="C1461" s="2">
        <v>3.5599999999999996</v>
      </c>
      <c r="D1461" s="2">
        <v>5.13</v>
      </c>
      <c r="E1461" s="2">
        <v>5.49</v>
      </c>
      <c r="F1461" s="2">
        <v>3.13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</row>
    <row r="1462" spans="1:11" x14ac:dyDescent="0.25">
      <c r="A1462" s="1">
        <v>1.38888888888889E-2</v>
      </c>
      <c r="B1462" s="2">
        <v>6.33</v>
      </c>
      <c r="C1462" s="2">
        <v>3.61</v>
      </c>
      <c r="D1462" s="2">
        <v>5.1499999999999995</v>
      </c>
      <c r="E1462" s="2">
        <v>5.38</v>
      </c>
      <c r="F1462" s="2">
        <v>2.9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</row>
    <row r="1463" spans="1:11" x14ac:dyDescent="0.25">
      <c r="A1463" s="1">
        <v>1.4583333333333301E-2</v>
      </c>
      <c r="B1463" s="2">
        <v>6.16</v>
      </c>
      <c r="C1463" s="2">
        <v>3.79</v>
      </c>
      <c r="D1463" s="2">
        <v>4.8699999999999992</v>
      </c>
      <c r="E1463" s="2">
        <v>4.96</v>
      </c>
      <c r="F1463" s="2">
        <v>2.97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</row>
    <row r="1464" spans="1:11" x14ac:dyDescent="0.25">
      <c r="A1464" s="1">
        <v>1.52777777777778E-2</v>
      </c>
      <c r="B1464" s="2">
        <v>6.1</v>
      </c>
      <c r="C1464" s="2">
        <v>3.71</v>
      </c>
      <c r="D1464" s="2">
        <v>4.9899999999999993</v>
      </c>
      <c r="E1464" s="2">
        <v>5.42</v>
      </c>
      <c r="F1464" s="2">
        <v>3.3600000000000003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</row>
    <row r="1465" spans="1:11" x14ac:dyDescent="0.25">
      <c r="A1465" s="1">
        <v>1.59722222222222E-2</v>
      </c>
      <c r="B1465" s="2">
        <v>6.3100000000000005</v>
      </c>
      <c r="C1465" s="2">
        <v>3.79</v>
      </c>
      <c r="D1465" s="2">
        <v>5.0699999999999994</v>
      </c>
      <c r="E1465" s="2">
        <v>5.45</v>
      </c>
      <c r="F1465" s="2">
        <v>3.0300000000000002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</row>
    <row r="1466" spans="1:11" x14ac:dyDescent="0.25">
      <c r="A1466" s="1">
        <v>1.6666666666666701E-2</v>
      </c>
      <c r="B1466" s="2">
        <v>6.12</v>
      </c>
      <c r="C1466" s="2">
        <v>3.65</v>
      </c>
      <c r="D1466" s="2">
        <v>5.0699999999999994</v>
      </c>
      <c r="E1466" s="2">
        <v>5.3</v>
      </c>
      <c r="F1466" s="2">
        <v>3.16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</row>
    <row r="1467" spans="1:11" x14ac:dyDescent="0.25">
      <c r="A1467" s="1">
        <v>1.7361111111111101E-2</v>
      </c>
      <c r="B1467" s="2">
        <v>6.18</v>
      </c>
      <c r="C1467" s="2">
        <v>3.7399999999999998</v>
      </c>
      <c r="D1467" s="2">
        <v>5.1599999999999993</v>
      </c>
      <c r="E1467" s="2">
        <v>5.26</v>
      </c>
      <c r="F1467" s="2">
        <v>2.92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</row>
    <row r="1468" spans="1:11" x14ac:dyDescent="0.25">
      <c r="A1468" s="1">
        <v>1.8055555555555599E-2</v>
      </c>
      <c r="B1468" s="2">
        <v>6.09</v>
      </c>
      <c r="C1468" s="2">
        <v>3.6599999999999997</v>
      </c>
      <c r="D1468" s="2">
        <v>5.05</v>
      </c>
      <c r="E1468" s="2">
        <v>5.1100000000000003</v>
      </c>
      <c r="F1468" s="2">
        <v>3.06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</row>
    <row r="1469" spans="1:11" x14ac:dyDescent="0.25">
      <c r="A1469" s="1">
        <v>1.8749999999999999E-2</v>
      </c>
      <c r="B1469" s="2">
        <v>6.32</v>
      </c>
      <c r="C1469" s="2">
        <v>3.7699999999999996</v>
      </c>
      <c r="D1469" s="2">
        <v>4.9799999999999995</v>
      </c>
      <c r="E1469" s="2">
        <v>5.41</v>
      </c>
      <c r="F1469" s="2">
        <v>3.27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</row>
    <row r="1470" spans="1:11" x14ac:dyDescent="0.25">
      <c r="A1470" s="1">
        <v>1.94444444444444E-2</v>
      </c>
      <c r="B1470" s="2">
        <v>6.26</v>
      </c>
      <c r="C1470" s="2">
        <v>3.78</v>
      </c>
      <c r="D1470" s="2">
        <v>5.22</v>
      </c>
      <c r="E1470" s="2">
        <v>5.39</v>
      </c>
      <c r="F1470" s="2">
        <v>2.99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</row>
    <row r="1471" spans="1:11" x14ac:dyDescent="0.25">
      <c r="A1471" s="1">
        <v>2.0138888888888901E-2</v>
      </c>
      <c r="B1471" s="2">
        <v>6.16</v>
      </c>
      <c r="C1471" s="2">
        <v>3.78</v>
      </c>
      <c r="D1471" s="2">
        <v>5.18</v>
      </c>
      <c r="E1471" s="2">
        <v>5.32</v>
      </c>
      <c r="F1471" s="2">
        <v>3.0100000000000002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</row>
    <row r="1472" spans="1:11" x14ac:dyDescent="0.25">
      <c r="A1472" s="1">
        <v>2.0833333333333301E-2</v>
      </c>
      <c r="B1472" s="2">
        <v>6.13</v>
      </c>
      <c r="C1472" s="2">
        <v>3.6799999999999997</v>
      </c>
      <c r="D1472" s="2">
        <v>5.0599999999999996</v>
      </c>
      <c r="E1472" s="2">
        <v>5.4399999999999995</v>
      </c>
      <c r="F1472" s="2">
        <v>3.13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</row>
    <row r="1473" spans="1:11" x14ac:dyDescent="0.25">
      <c r="A1473" s="1">
        <v>2.1527777777777798E-2</v>
      </c>
      <c r="B1473" s="2">
        <v>6.33</v>
      </c>
      <c r="C1473" s="2">
        <v>3.59</v>
      </c>
      <c r="D1473" s="2">
        <v>4.8499999999999996</v>
      </c>
      <c r="E1473" s="2">
        <v>4.96</v>
      </c>
      <c r="F1473" s="2">
        <v>3.24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</row>
    <row r="1474" spans="1:11" x14ac:dyDescent="0.25">
      <c r="A1474" s="1">
        <v>2.2222222222222199E-2</v>
      </c>
      <c r="B1474" s="2">
        <v>6.14</v>
      </c>
      <c r="C1474" s="2">
        <v>3.61</v>
      </c>
      <c r="D1474" s="2">
        <v>5.1099999999999994</v>
      </c>
      <c r="E1474" s="2">
        <v>5.3</v>
      </c>
      <c r="F1474" s="2">
        <v>3.14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</row>
    <row r="1475" spans="1:11" x14ac:dyDescent="0.25">
      <c r="A1475" s="1">
        <v>2.29166666666667E-2</v>
      </c>
      <c r="B1475" s="2">
        <v>6.3</v>
      </c>
      <c r="C1475" s="2">
        <v>3.53</v>
      </c>
      <c r="D1475" s="2">
        <v>5.3</v>
      </c>
      <c r="E1475" s="2">
        <v>5.0599999999999996</v>
      </c>
      <c r="F1475" s="2">
        <v>3.0300000000000002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</row>
    <row r="1476" spans="1:11" x14ac:dyDescent="0.25">
      <c r="A1476" s="1">
        <v>2.36111111111111E-2</v>
      </c>
      <c r="B1476" s="2">
        <v>6.08</v>
      </c>
      <c r="C1476" s="2">
        <v>3.5999999999999996</v>
      </c>
      <c r="D1476" s="2">
        <v>4.9899999999999993</v>
      </c>
      <c r="E1476" s="2">
        <v>5.4</v>
      </c>
      <c r="F1476" s="2">
        <v>2.88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</row>
    <row r="1477" spans="1:11" x14ac:dyDescent="0.25">
      <c r="A1477" s="1">
        <v>2.4305555555555601E-2</v>
      </c>
      <c r="B1477" s="2">
        <v>6.15</v>
      </c>
      <c r="C1477" s="2">
        <v>3.78</v>
      </c>
      <c r="D1477" s="2">
        <v>5.27</v>
      </c>
      <c r="E1477" s="2">
        <v>5.12</v>
      </c>
      <c r="F1477" s="2">
        <v>3.12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</row>
    <row r="1478" spans="1:11" x14ac:dyDescent="0.25">
      <c r="A1478" s="1">
        <v>2.5000000000000001E-2</v>
      </c>
      <c r="B1478" s="2">
        <v>6.16</v>
      </c>
      <c r="C1478" s="2">
        <v>3.5999999999999996</v>
      </c>
      <c r="D1478" s="2">
        <v>5.1599999999999993</v>
      </c>
      <c r="E1478" s="2">
        <v>5.4399999999999995</v>
      </c>
      <c r="F1478" s="2">
        <v>3.13</v>
      </c>
      <c r="G1478" s="6">
        <v>0</v>
      </c>
      <c r="H1478" s="6">
        <v>0</v>
      </c>
      <c r="I1478" s="6">
        <v>0</v>
      </c>
      <c r="J1478" s="6">
        <v>0</v>
      </c>
      <c r="K1478" s="6">
        <v>0</v>
      </c>
    </row>
    <row r="1479" spans="1:11" x14ac:dyDescent="0.25">
      <c r="A1479" s="1">
        <v>2.5694444444444402E-2</v>
      </c>
      <c r="B1479" s="2">
        <v>6.26</v>
      </c>
      <c r="C1479" s="2">
        <v>3.57</v>
      </c>
      <c r="D1479" s="2">
        <v>5</v>
      </c>
      <c r="E1479" s="2">
        <v>5.38</v>
      </c>
      <c r="F1479" s="2">
        <v>3.24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</row>
    <row r="1480" spans="1:11" x14ac:dyDescent="0.25">
      <c r="A1480" s="1">
        <v>2.6388888888888899E-2</v>
      </c>
      <c r="B1480" s="2">
        <v>6.18</v>
      </c>
      <c r="C1480" s="2">
        <v>3.53</v>
      </c>
      <c r="D1480" s="2">
        <v>5.1199999999999992</v>
      </c>
      <c r="E1480" s="2">
        <v>5.54</v>
      </c>
      <c r="F1480" s="2">
        <v>2.89</v>
      </c>
      <c r="G1480" s="6">
        <v>0</v>
      </c>
      <c r="H1480" s="6">
        <v>0</v>
      </c>
      <c r="I1480" s="6">
        <v>0</v>
      </c>
      <c r="J1480" s="6">
        <v>0</v>
      </c>
      <c r="K1480" s="6">
        <v>0</v>
      </c>
    </row>
    <row r="1481" spans="1:11" x14ac:dyDescent="0.25">
      <c r="A1481" s="1">
        <v>2.70833333333333E-2</v>
      </c>
      <c r="B1481" s="2">
        <v>6.24</v>
      </c>
      <c r="C1481" s="2">
        <v>3.6199999999999997</v>
      </c>
      <c r="D1481" s="2">
        <v>4.9799999999999995</v>
      </c>
      <c r="E1481" s="2">
        <v>5.4</v>
      </c>
      <c r="F1481" s="2">
        <v>3.38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</row>
    <row r="1482" spans="1:11" x14ac:dyDescent="0.25">
      <c r="A1482" s="1">
        <v>2.7777777777777801E-2</v>
      </c>
      <c r="B1482" s="2">
        <v>6.09</v>
      </c>
      <c r="C1482" s="2">
        <v>3.6199999999999997</v>
      </c>
      <c r="D1482" s="2">
        <v>4.9399999999999995</v>
      </c>
      <c r="E1482" s="2">
        <v>5.1899999999999995</v>
      </c>
      <c r="F1482" s="2">
        <v>3.18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</row>
    <row r="1483" spans="1:11" x14ac:dyDescent="0.25">
      <c r="A1483" s="1">
        <v>2.8472222222222201E-2</v>
      </c>
      <c r="B1483" s="2">
        <v>6.24</v>
      </c>
      <c r="C1483" s="2">
        <v>3.55</v>
      </c>
      <c r="D1483" s="2">
        <v>4.8499999999999996</v>
      </c>
      <c r="E1483" s="2">
        <v>5.18</v>
      </c>
      <c r="F1483" s="2">
        <v>2.89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</row>
    <row r="1484" spans="1:11" x14ac:dyDescent="0.25">
      <c r="A1484" s="1">
        <v>2.9166666666666698E-2</v>
      </c>
      <c r="B1484" s="2">
        <v>6.29</v>
      </c>
      <c r="C1484" s="2">
        <v>3.75</v>
      </c>
      <c r="D1484" s="2">
        <v>5.3</v>
      </c>
      <c r="E1484" s="2">
        <v>5.35</v>
      </c>
      <c r="F1484" s="2">
        <v>3.0900000000000003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</row>
    <row r="1485" spans="1:11" x14ac:dyDescent="0.25">
      <c r="A1485" s="1">
        <v>2.9861111111111099E-2</v>
      </c>
      <c r="B1485" s="2">
        <v>6.11</v>
      </c>
      <c r="C1485" s="2">
        <v>3.59</v>
      </c>
      <c r="D1485" s="2">
        <v>4.8899999999999997</v>
      </c>
      <c r="E1485" s="2">
        <v>5.31</v>
      </c>
      <c r="F1485" s="2">
        <v>2.87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</row>
    <row r="1486" spans="1:11" x14ac:dyDescent="0.25">
      <c r="A1486" s="1">
        <v>3.05555555555556E-2</v>
      </c>
      <c r="B1486" s="2">
        <v>6.14</v>
      </c>
      <c r="C1486" s="2">
        <v>3.7699999999999996</v>
      </c>
      <c r="D1486" s="2">
        <v>4.8699999999999992</v>
      </c>
      <c r="E1486" s="2">
        <v>5.07</v>
      </c>
      <c r="F1486" s="2">
        <v>3.0500000000000003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</row>
    <row r="1487" spans="1:11" x14ac:dyDescent="0.25">
      <c r="A1487" s="1">
        <v>3.125E-2</v>
      </c>
      <c r="B1487" s="2">
        <v>6.1</v>
      </c>
      <c r="C1487" s="2">
        <v>3.5599999999999996</v>
      </c>
      <c r="D1487" s="2">
        <v>5.29</v>
      </c>
      <c r="E1487" s="2">
        <v>4.99</v>
      </c>
      <c r="F1487" s="2">
        <v>3.14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</row>
    <row r="1488" spans="1:11" x14ac:dyDescent="0.25">
      <c r="A1488" s="1">
        <v>3.19444444444444E-2</v>
      </c>
      <c r="B1488" s="2">
        <v>6.23</v>
      </c>
      <c r="C1488" s="2">
        <v>3.76</v>
      </c>
      <c r="D1488" s="2">
        <v>5.27</v>
      </c>
      <c r="E1488" s="2">
        <v>5.2</v>
      </c>
      <c r="F1488" s="2">
        <v>2.91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</row>
    <row r="1489" spans="1:11" x14ac:dyDescent="0.25">
      <c r="A1489" s="1">
        <v>3.2638888888888898E-2</v>
      </c>
      <c r="B1489" s="2">
        <v>6.24</v>
      </c>
      <c r="C1489" s="2">
        <v>3.79</v>
      </c>
      <c r="D1489" s="2">
        <v>4.92</v>
      </c>
      <c r="E1489" s="2">
        <v>5.52</v>
      </c>
      <c r="F1489" s="2">
        <v>2.88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</row>
    <row r="1490" spans="1:11" x14ac:dyDescent="0.25">
      <c r="A1490" s="1">
        <v>3.3333333333333298E-2</v>
      </c>
      <c r="B1490" s="2">
        <v>6.3100000000000005</v>
      </c>
      <c r="C1490" s="2">
        <v>3.5999999999999996</v>
      </c>
      <c r="D1490" s="2">
        <v>5.1099999999999994</v>
      </c>
      <c r="E1490" s="2">
        <v>5.3</v>
      </c>
      <c r="F1490" s="2">
        <v>3.12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</row>
    <row r="1491" spans="1:11" x14ac:dyDescent="0.25">
      <c r="A1491" s="1">
        <v>3.4027777777777803E-2</v>
      </c>
      <c r="B1491" s="2">
        <v>6.13</v>
      </c>
      <c r="C1491" s="2">
        <v>3.6799999999999997</v>
      </c>
      <c r="D1491" s="2">
        <v>5.13</v>
      </c>
      <c r="E1491" s="2">
        <v>4.9799999999999995</v>
      </c>
      <c r="F1491" s="2">
        <v>3.24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</row>
    <row r="1492" spans="1:11" x14ac:dyDescent="0.25">
      <c r="A1492" s="1">
        <v>3.4722222222222203E-2</v>
      </c>
      <c r="B1492" s="2">
        <v>6.14</v>
      </c>
      <c r="C1492" s="2">
        <v>3.59</v>
      </c>
      <c r="D1492" s="2">
        <v>5.05</v>
      </c>
      <c r="E1492" s="2">
        <v>5.27</v>
      </c>
      <c r="F1492" s="2">
        <v>3.31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</row>
    <row r="1493" spans="1:11" x14ac:dyDescent="0.25">
      <c r="A1493" s="1">
        <v>3.54166666666667E-2</v>
      </c>
      <c r="B1493" s="2">
        <v>6.3</v>
      </c>
      <c r="C1493" s="2">
        <v>3.57</v>
      </c>
      <c r="D1493" s="2">
        <v>5.0299999999999994</v>
      </c>
      <c r="E1493" s="2">
        <v>5.36</v>
      </c>
      <c r="F1493" s="2">
        <v>3.37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</row>
    <row r="1494" spans="1:11" x14ac:dyDescent="0.25">
      <c r="A1494" s="1">
        <v>3.6111111111111101E-2</v>
      </c>
      <c r="B1494" s="2">
        <v>6.28</v>
      </c>
      <c r="C1494" s="2">
        <v>3.5799999999999996</v>
      </c>
      <c r="D1494" s="2">
        <v>5.17</v>
      </c>
      <c r="E1494" s="2">
        <v>5.14</v>
      </c>
      <c r="F1494" s="2">
        <v>3.02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</row>
    <row r="1495" spans="1:11" x14ac:dyDescent="0.25">
      <c r="A1495" s="1">
        <v>3.6805555555555598E-2</v>
      </c>
      <c r="B1495" s="2">
        <v>6.26</v>
      </c>
      <c r="C1495" s="2">
        <v>3.6399999999999997</v>
      </c>
      <c r="D1495" s="2">
        <v>5.2299999999999995</v>
      </c>
      <c r="E1495" s="2">
        <v>5.03</v>
      </c>
      <c r="F1495" s="2">
        <v>3.2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</row>
    <row r="1496" spans="1:11" x14ac:dyDescent="0.25">
      <c r="A1496" s="1">
        <v>3.7499999999999999E-2</v>
      </c>
      <c r="B1496" s="2">
        <v>6.18</v>
      </c>
      <c r="C1496" s="2">
        <v>3.78</v>
      </c>
      <c r="D1496" s="2">
        <v>4.9899999999999993</v>
      </c>
      <c r="E1496" s="2">
        <v>5.32</v>
      </c>
      <c r="F1496" s="2">
        <v>3.0100000000000002</v>
      </c>
      <c r="G1496" s="6">
        <v>0</v>
      </c>
      <c r="H1496" s="6">
        <v>0</v>
      </c>
      <c r="I1496" s="6">
        <v>0</v>
      </c>
      <c r="J1496" s="6">
        <v>0</v>
      </c>
      <c r="K1496" s="6">
        <v>0</v>
      </c>
    </row>
    <row r="1497" spans="1:11" x14ac:dyDescent="0.25">
      <c r="A1497" s="1">
        <v>3.8194444444444399E-2</v>
      </c>
      <c r="B1497" s="2">
        <v>6.22</v>
      </c>
      <c r="C1497" s="2">
        <v>3.63</v>
      </c>
      <c r="D1497" s="2">
        <v>5.1099999999999994</v>
      </c>
      <c r="E1497" s="2">
        <v>5.46</v>
      </c>
      <c r="F1497" s="2">
        <v>3.0700000000000003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</row>
    <row r="1498" spans="1:11" x14ac:dyDescent="0.25">
      <c r="A1498" s="1">
        <v>3.8888888888888903E-2</v>
      </c>
      <c r="B1498" s="2">
        <v>6.18</v>
      </c>
      <c r="C1498" s="2">
        <v>3.6999999999999997</v>
      </c>
      <c r="D1498" s="2">
        <v>4.9099999999999993</v>
      </c>
      <c r="E1498" s="2">
        <v>5.54</v>
      </c>
      <c r="F1498" s="2">
        <v>2.95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</row>
    <row r="1499" spans="1:11" x14ac:dyDescent="0.25">
      <c r="A1499" s="1">
        <v>3.9583333333333297E-2</v>
      </c>
      <c r="B1499" s="2">
        <v>6.15</v>
      </c>
      <c r="C1499" s="2">
        <v>3.5799999999999996</v>
      </c>
      <c r="D1499" s="2">
        <v>4.8699999999999992</v>
      </c>
      <c r="E1499" s="2">
        <v>4.99</v>
      </c>
      <c r="F1499" s="2">
        <v>3.3600000000000003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</row>
    <row r="1500" spans="1:11" x14ac:dyDescent="0.25">
      <c r="A1500" s="1">
        <v>4.0277777777777801E-2</v>
      </c>
      <c r="B1500" s="2">
        <v>6.3</v>
      </c>
      <c r="C1500" s="2">
        <v>3.6599999999999997</v>
      </c>
      <c r="D1500" s="2">
        <v>5.0599999999999996</v>
      </c>
      <c r="E1500" s="2">
        <v>5.17</v>
      </c>
      <c r="F1500" s="2">
        <v>3.37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</row>
    <row r="1501" spans="1:11" x14ac:dyDescent="0.25">
      <c r="A1501" s="1">
        <v>4.0972222222222202E-2</v>
      </c>
      <c r="B1501" s="2">
        <v>6.33</v>
      </c>
      <c r="C1501" s="2">
        <v>3.55</v>
      </c>
      <c r="D1501" s="2">
        <v>5.27</v>
      </c>
      <c r="E1501" s="2">
        <v>4.97</v>
      </c>
      <c r="F1501" s="2">
        <v>3.3200000000000003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</row>
    <row r="1502" spans="1:11" x14ac:dyDescent="0.25">
      <c r="A1502" s="3">
        <v>4.1666666666666699E-2</v>
      </c>
      <c r="B1502" s="2">
        <v>6.19</v>
      </c>
      <c r="C1502" s="2">
        <v>3.71</v>
      </c>
      <c r="D1502" s="2">
        <v>5.09</v>
      </c>
      <c r="E1502" s="2">
        <v>5.31</v>
      </c>
      <c r="F1502" s="2">
        <v>3.15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</row>
    <row r="1503" spans="1:11" x14ac:dyDescent="0.25">
      <c r="A1503" s="1">
        <v>4.2361111111111099E-2</v>
      </c>
      <c r="B1503" s="2">
        <v>6.13</v>
      </c>
      <c r="C1503" s="2">
        <v>3.61</v>
      </c>
      <c r="D1503" s="2">
        <v>5.29</v>
      </c>
      <c r="E1503" s="2">
        <v>4.9399999999999995</v>
      </c>
      <c r="F1503" s="2">
        <v>3.27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</row>
    <row r="1504" spans="1:11" x14ac:dyDescent="0.25">
      <c r="A1504" s="1">
        <v>4.3055555555555597E-2</v>
      </c>
      <c r="B1504" s="2">
        <v>6.16</v>
      </c>
      <c r="C1504" s="2">
        <v>3.61</v>
      </c>
      <c r="D1504" s="2">
        <v>5.0299999999999994</v>
      </c>
      <c r="E1504" s="2">
        <v>5.1899999999999995</v>
      </c>
      <c r="F1504" s="2">
        <v>3.27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</row>
    <row r="1505" spans="1:11" x14ac:dyDescent="0.25">
      <c r="A1505" s="1">
        <v>4.3749999999999997E-2</v>
      </c>
      <c r="B1505" s="2">
        <v>6.24</v>
      </c>
      <c r="C1505" s="2">
        <v>3.5799999999999996</v>
      </c>
      <c r="D1505" s="2">
        <v>4.8999999999999995</v>
      </c>
      <c r="E1505" s="2">
        <v>5.18</v>
      </c>
      <c r="F1505" s="2">
        <v>3.2600000000000002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</row>
    <row r="1506" spans="1:11" x14ac:dyDescent="0.25">
      <c r="A1506" s="1">
        <v>4.4444444444444398E-2</v>
      </c>
      <c r="B1506" s="2">
        <v>6.11</v>
      </c>
      <c r="C1506" s="2">
        <v>3.55</v>
      </c>
      <c r="D1506" s="2">
        <v>5.14</v>
      </c>
      <c r="E1506" s="2">
        <v>5.09</v>
      </c>
      <c r="F1506" s="2">
        <v>3.27</v>
      </c>
      <c r="G1506" s="6">
        <v>0</v>
      </c>
      <c r="H1506" s="6">
        <v>0</v>
      </c>
      <c r="I1506" s="6">
        <v>0</v>
      </c>
      <c r="J1506" s="6">
        <v>0</v>
      </c>
      <c r="K1506" s="6">
        <v>0</v>
      </c>
    </row>
    <row r="1507" spans="1:11" x14ac:dyDescent="0.25">
      <c r="A1507" s="1">
        <v>4.5138888888888902E-2</v>
      </c>
      <c r="B1507" s="2">
        <v>6.23</v>
      </c>
      <c r="C1507" s="2">
        <v>3.65</v>
      </c>
      <c r="D1507" s="2">
        <v>4.8699999999999992</v>
      </c>
      <c r="E1507" s="2">
        <v>5.52</v>
      </c>
      <c r="F1507" s="2">
        <v>3.38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</row>
    <row r="1508" spans="1:11" x14ac:dyDescent="0.25">
      <c r="A1508" s="1">
        <v>4.5833333333333302E-2</v>
      </c>
      <c r="B1508" s="2">
        <v>6.28</v>
      </c>
      <c r="C1508" s="2">
        <v>3.5799999999999996</v>
      </c>
      <c r="D1508" s="2">
        <v>5.2799999999999994</v>
      </c>
      <c r="E1508" s="2">
        <v>4.99</v>
      </c>
      <c r="F1508" s="2">
        <v>2.89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</row>
    <row r="1509" spans="1:11" x14ac:dyDescent="0.25">
      <c r="A1509" s="1">
        <v>4.65277777777778E-2</v>
      </c>
      <c r="B1509" s="2">
        <v>6.23</v>
      </c>
      <c r="C1509" s="2">
        <v>3.67</v>
      </c>
      <c r="D1509" s="2">
        <v>5.05</v>
      </c>
      <c r="E1509" s="2">
        <v>5.0999999999999996</v>
      </c>
      <c r="F1509" s="2">
        <v>3.12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</row>
    <row r="1510" spans="1:11" x14ac:dyDescent="0.25">
      <c r="A1510" s="1">
        <v>4.72222222222222E-2</v>
      </c>
      <c r="B1510" s="2">
        <v>6.15</v>
      </c>
      <c r="C1510" s="2">
        <v>3.63</v>
      </c>
      <c r="D1510" s="2">
        <v>4.93</v>
      </c>
      <c r="E1510" s="2">
        <v>5.09</v>
      </c>
      <c r="F1510" s="2">
        <v>2.95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</row>
    <row r="1511" spans="1:11" x14ac:dyDescent="0.25">
      <c r="A1511" s="1">
        <v>4.7916666666666698E-2</v>
      </c>
      <c r="B1511" s="2">
        <v>6.14</v>
      </c>
      <c r="C1511" s="2">
        <v>3.55</v>
      </c>
      <c r="D1511" s="2">
        <v>4.92</v>
      </c>
      <c r="E1511" s="2">
        <v>5.18</v>
      </c>
      <c r="F1511" s="2">
        <v>2.99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</row>
    <row r="1512" spans="1:11" x14ac:dyDescent="0.25">
      <c r="A1512" s="1">
        <v>4.8611111111111098E-2</v>
      </c>
      <c r="B1512" s="2">
        <v>6.29</v>
      </c>
      <c r="C1512" s="2">
        <v>3.57</v>
      </c>
      <c r="D1512" s="2">
        <v>5.18</v>
      </c>
      <c r="E1512" s="2">
        <v>5.37</v>
      </c>
      <c r="F1512" s="2">
        <v>2.92</v>
      </c>
      <c r="G1512" s="6">
        <v>0</v>
      </c>
      <c r="H1512" s="6">
        <v>0</v>
      </c>
      <c r="I1512" s="6">
        <v>0</v>
      </c>
      <c r="J1512" s="6">
        <v>0</v>
      </c>
      <c r="K1512" s="6">
        <v>0</v>
      </c>
    </row>
    <row r="1513" spans="1:11" x14ac:dyDescent="0.25">
      <c r="A1513" s="1">
        <v>4.9305555555555602E-2</v>
      </c>
      <c r="B1513" s="2">
        <v>6.25</v>
      </c>
      <c r="C1513" s="2">
        <v>3.6599999999999997</v>
      </c>
      <c r="D1513" s="2">
        <v>5.25</v>
      </c>
      <c r="E1513" s="2">
        <v>5.45</v>
      </c>
      <c r="F1513" s="2">
        <v>3.35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</row>
    <row r="1514" spans="1:11" x14ac:dyDescent="0.25">
      <c r="A1514" s="1">
        <v>0.05</v>
      </c>
      <c r="B1514" s="2">
        <v>6.25</v>
      </c>
      <c r="C1514" s="2">
        <v>3.5599999999999996</v>
      </c>
      <c r="D1514" s="2">
        <v>5.1499999999999995</v>
      </c>
      <c r="E1514" s="2">
        <v>5.4</v>
      </c>
      <c r="F1514" s="2">
        <v>2.98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</row>
    <row r="1515" spans="1:11" x14ac:dyDescent="0.25">
      <c r="A1515" s="1">
        <v>5.0694444444444403E-2</v>
      </c>
      <c r="B1515" s="2">
        <v>6.21</v>
      </c>
      <c r="C1515" s="2">
        <v>3.5399999999999996</v>
      </c>
      <c r="D1515" s="2">
        <v>5.1199999999999992</v>
      </c>
      <c r="E1515" s="2">
        <v>5.41</v>
      </c>
      <c r="F1515" s="2">
        <v>3.0300000000000002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</row>
    <row r="1516" spans="1:11" x14ac:dyDescent="0.25">
      <c r="A1516" s="1">
        <v>5.1388888888888901E-2</v>
      </c>
      <c r="B1516" s="2">
        <v>6.08</v>
      </c>
      <c r="C1516" s="2">
        <v>3.73</v>
      </c>
      <c r="D1516" s="2">
        <v>5.3</v>
      </c>
      <c r="E1516" s="2">
        <v>5.17</v>
      </c>
      <c r="F1516" s="2">
        <v>3.17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</row>
    <row r="1517" spans="1:11" x14ac:dyDescent="0.25">
      <c r="A1517" s="1">
        <v>5.2083333333333301E-2</v>
      </c>
      <c r="B1517" s="2">
        <v>6.19</v>
      </c>
      <c r="C1517" s="2">
        <v>3.6799999999999997</v>
      </c>
      <c r="D1517" s="2">
        <v>5.14</v>
      </c>
      <c r="E1517" s="2">
        <v>5.37</v>
      </c>
      <c r="F1517" s="2">
        <v>3.27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</row>
    <row r="1518" spans="1:11" x14ac:dyDescent="0.25">
      <c r="A1518" s="1">
        <v>5.2777777777777798E-2</v>
      </c>
      <c r="B1518" s="2">
        <v>6.23</v>
      </c>
      <c r="C1518" s="2">
        <v>3.7399999999999998</v>
      </c>
      <c r="D1518" s="2">
        <v>5.3</v>
      </c>
      <c r="E1518" s="2">
        <v>5.33</v>
      </c>
      <c r="F1518" s="2">
        <v>2.92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</row>
    <row r="1519" spans="1:11" x14ac:dyDescent="0.25">
      <c r="A1519" s="1">
        <v>5.3472222222222199E-2</v>
      </c>
      <c r="B1519" s="2">
        <v>6.18</v>
      </c>
      <c r="C1519" s="2">
        <v>3.7199999999999998</v>
      </c>
      <c r="D1519" s="2">
        <v>4.8599999999999994</v>
      </c>
      <c r="E1519" s="2">
        <v>5.48</v>
      </c>
      <c r="F1519" s="2">
        <v>3.2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</row>
    <row r="1520" spans="1:11" x14ac:dyDescent="0.25">
      <c r="A1520" s="1">
        <v>5.4166666666666703E-2</v>
      </c>
      <c r="B1520" s="2">
        <v>6.29</v>
      </c>
      <c r="C1520" s="2">
        <v>3.5799999999999996</v>
      </c>
      <c r="D1520" s="2">
        <v>5.1999999999999993</v>
      </c>
      <c r="E1520" s="2">
        <v>5.53</v>
      </c>
      <c r="F1520" s="2">
        <v>3.31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</row>
    <row r="1521" spans="1:11" x14ac:dyDescent="0.25">
      <c r="A1521" s="1">
        <v>5.4861111111111097E-2</v>
      </c>
      <c r="B1521" s="2">
        <v>6.29</v>
      </c>
      <c r="C1521" s="2">
        <v>3.79</v>
      </c>
      <c r="D1521" s="2">
        <v>5.0199999999999996</v>
      </c>
      <c r="E1521" s="2">
        <v>5.26</v>
      </c>
      <c r="F1521" s="2">
        <v>3.12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</row>
    <row r="1522" spans="1:11" x14ac:dyDescent="0.25">
      <c r="A1522" s="1">
        <v>5.5555555555555601E-2</v>
      </c>
      <c r="B1522" s="2">
        <v>6.16</v>
      </c>
      <c r="C1522" s="2">
        <v>3.6599999999999997</v>
      </c>
      <c r="D1522" s="2">
        <v>5.1999999999999993</v>
      </c>
      <c r="E1522" s="2">
        <v>5.42</v>
      </c>
      <c r="F1522" s="2">
        <v>3.2600000000000002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</row>
    <row r="1523" spans="1:11" x14ac:dyDescent="0.25">
      <c r="A1523" s="1">
        <v>5.6250000000000001E-2</v>
      </c>
      <c r="B1523" s="2">
        <v>6.25</v>
      </c>
      <c r="C1523" s="2">
        <v>3.55</v>
      </c>
      <c r="D1523" s="2">
        <v>5.25</v>
      </c>
      <c r="E1523" s="2">
        <v>5.38</v>
      </c>
      <c r="F1523" s="2">
        <v>3.16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</row>
    <row r="1524" spans="1:11" x14ac:dyDescent="0.25">
      <c r="A1524" s="1">
        <v>5.6944444444444402E-2</v>
      </c>
      <c r="B1524" s="2">
        <v>6.22</v>
      </c>
      <c r="C1524" s="2">
        <v>3.79</v>
      </c>
      <c r="D1524" s="2">
        <v>5.22</v>
      </c>
      <c r="E1524" s="2">
        <v>5.4</v>
      </c>
      <c r="F1524" s="2">
        <v>3.2600000000000002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</row>
    <row r="1525" spans="1:11" x14ac:dyDescent="0.25">
      <c r="A1525" s="1">
        <v>5.7638888888888899E-2</v>
      </c>
      <c r="B1525" s="2">
        <v>6.11</v>
      </c>
      <c r="C1525" s="2">
        <v>3.6599999999999997</v>
      </c>
      <c r="D1525" s="2">
        <v>5.1599999999999993</v>
      </c>
      <c r="E1525" s="2">
        <v>5.13</v>
      </c>
      <c r="F1525" s="2">
        <v>3.39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</row>
    <row r="1526" spans="1:11" x14ac:dyDescent="0.25">
      <c r="A1526" s="1">
        <v>5.83333333333333E-2</v>
      </c>
      <c r="B1526" s="2">
        <v>6.33</v>
      </c>
      <c r="C1526" s="2">
        <v>3.7399999999999998</v>
      </c>
      <c r="D1526" s="2">
        <v>5.2299999999999995</v>
      </c>
      <c r="E1526" s="2">
        <v>4.9399999999999995</v>
      </c>
      <c r="F1526" s="2">
        <v>3.23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</row>
    <row r="1527" spans="1:11" x14ac:dyDescent="0.25">
      <c r="A1527" s="1">
        <v>5.9027777777777797E-2</v>
      </c>
      <c r="B1527" s="2">
        <v>6.09</v>
      </c>
      <c r="C1527" s="2">
        <v>3.5599999999999996</v>
      </c>
      <c r="D1527" s="2">
        <v>4.8599999999999994</v>
      </c>
      <c r="E1527" s="2">
        <v>5.17</v>
      </c>
      <c r="F1527" s="2">
        <v>3.14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</row>
    <row r="1528" spans="1:11" x14ac:dyDescent="0.25">
      <c r="A1528" s="1">
        <v>5.9722222222222197E-2</v>
      </c>
      <c r="B1528" s="2">
        <v>6.23</v>
      </c>
      <c r="C1528" s="2">
        <v>3.61</v>
      </c>
      <c r="D1528" s="2">
        <v>5.14</v>
      </c>
      <c r="E1528" s="2">
        <v>5.46</v>
      </c>
      <c r="F1528" s="2">
        <v>3.25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</row>
    <row r="1529" spans="1:11" x14ac:dyDescent="0.25">
      <c r="A1529" s="1">
        <v>6.0416666666666702E-2</v>
      </c>
      <c r="B1529" s="2">
        <v>6.23</v>
      </c>
      <c r="C1529" s="2">
        <v>3.65</v>
      </c>
      <c r="D1529" s="2">
        <v>5.22</v>
      </c>
      <c r="E1529" s="2">
        <v>4.93</v>
      </c>
      <c r="F1529" s="2">
        <v>3.21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</row>
    <row r="1530" spans="1:11" x14ac:dyDescent="0.25">
      <c r="A1530" s="1">
        <v>6.1111111111111102E-2</v>
      </c>
      <c r="B1530" s="2">
        <v>6.09</v>
      </c>
      <c r="C1530" s="2">
        <v>3.5999999999999996</v>
      </c>
      <c r="D1530" s="2">
        <v>5.27</v>
      </c>
      <c r="E1530" s="2">
        <v>5.18</v>
      </c>
      <c r="F1530" s="2">
        <v>2.97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</row>
    <row r="1531" spans="1:11" x14ac:dyDescent="0.25">
      <c r="A1531" s="1">
        <v>6.18055555555556E-2</v>
      </c>
      <c r="B1531" s="2">
        <v>6.28</v>
      </c>
      <c r="C1531" s="2">
        <v>3.6999999999999997</v>
      </c>
      <c r="D1531" s="2">
        <v>5.1199999999999992</v>
      </c>
      <c r="E1531" s="2">
        <v>5.0999999999999996</v>
      </c>
      <c r="F1531" s="2">
        <v>3.2600000000000002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</row>
    <row r="1532" spans="1:11" x14ac:dyDescent="0.25">
      <c r="A1532" s="1">
        <v>6.25E-2</v>
      </c>
      <c r="B1532" s="2">
        <v>6.3</v>
      </c>
      <c r="C1532" s="2">
        <v>3.5399999999999996</v>
      </c>
      <c r="D1532" s="2">
        <v>5.2299999999999995</v>
      </c>
      <c r="E1532" s="2">
        <v>5.15</v>
      </c>
      <c r="F1532" s="2">
        <v>3.38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</row>
    <row r="1533" spans="1:11" x14ac:dyDescent="0.25">
      <c r="A1533" s="1">
        <v>6.31944444444444E-2</v>
      </c>
      <c r="B1533" s="2">
        <v>6.29</v>
      </c>
      <c r="C1533" s="2">
        <v>3.61</v>
      </c>
      <c r="D1533" s="2">
        <v>5.21</v>
      </c>
      <c r="E1533" s="2">
        <v>5.07</v>
      </c>
      <c r="F1533" s="2">
        <v>3.0900000000000003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</row>
    <row r="1534" spans="1:11" x14ac:dyDescent="0.25">
      <c r="A1534" s="1">
        <v>6.3888888888888898E-2</v>
      </c>
      <c r="B1534" s="2">
        <v>6.25</v>
      </c>
      <c r="C1534" s="2">
        <v>3.6799999999999997</v>
      </c>
      <c r="D1534" s="2">
        <v>5.1099999999999994</v>
      </c>
      <c r="E1534" s="2">
        <v>5.39</v>
      </c>
      <c r="F1534" s="2">
        <v>3.25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</row>
    <row r="1535" spans="1:11" x14ac:dyDescent="0.25">
      <c r="A1535" s="1">
        <v>6.4583333333333298E-2</v>
      </c>
      <c r="B1535" s="2">
        <v>6.17</v>
      </c>
      <c r="C1535" s="2">
        <v>3.59</v>
      </c>
      <c r="D1535" s="2">
        <v>4.93</v>
      </c>
      <c r="E1535" s="2">
        <v>5.26</v>
      </c>
      <c r="F1535" s="2">
        <v>2.87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</row>
    <row r="1536" spans="1:11" x14ac:dyDescent="0.25">
      <c r="A1536" s="1">
        <v>6.5277777777777796E-2</v>
      </c>
      <c r="B1536" s="2">
        <v>6.18</v>
      </c>
      <c r="C1536" s="2">
        <v>3.78</v>
      </c>
      <c r="D1536" s="2">
        <v>5.1599999999999993</v>
      </c>
      <c r="E1536" s="2">
        <v>5.01</v>
      </c>
      <c r="F1536" s="2">
        <v>3.39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</row>
    <row r="1537" spans="1:11" x14ac:dyDescent="0.25">
      <c r="A1537" s="1">
        <v>6.5972222222222196E-2</v>
      </c>
      <c r="B1537" s="2">
        <v>6.3</v>
      </c>
      <c r="C1537" s="2">
        <v>3.79</v>
      </c>
      <c r="D1537" s="2">
        <v>5.1099999999999994</v>
      </c>
      <c r="E1537" s="2">
        <v>5.24</v>
      </c>
      <c r="F1537" s="2">
        <v>3.0300000000000002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</row>
    <row r="1538" spans="1:11" x14ac:dyDescent="0.25">
      <c r="A1538" s="1">
        <v>6.6666666666666693E-2</v>
      </c>
      <c r="B1538" s="2">
        <v>6.29</v>
      </c>
      <c r="C1538" s="2">
        <v>3.7399999999999998</v>
      </c>
      <c r="D1538" s="2">
        <v>5.04</v>
      </c>
      <c r="E1538" s="2">
        <v>5.13</v>
      </c>
      <c r="F1538" s="2">
        <v>3.12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</row>
    <row r="1539" spans="1:11" x14ac:dyDescent="0.25">
      <c r="A1539" s="1">
        <v>6.7361111111111094E-2</v>
      </c>
      <c r="B1539" s="2">
        <v>6.2</v>
      </c>
      <c r="C1539" s="2">
        <v>3.61</v>
      </c>
      <c r="D1539" s="2">
        <v>4.9499999999999993</v>
      </c>
      <c r="E1539" s="2">
        <v>5.41</v>
      </c>
      <c r="F1539" s="2">
        <v>3.23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</row>
    <row r="1540" spans="1:11" x14ac:dyDescent="0.25">
      <c r="A1540" s="1">
        <v>6.8055555555555605E-2</v>
      </c>
      <c r="B1540" s="2">
        <v>6.21</v>
      </c>
      <c r="C1540" s="2">
        <v>3.7699999999999996</v>
      </c>
      <c r="D1540" s="2">
        <v>5.29</v>
      </c>
      <c r="E1540" s="2">
        <v>5.34</v>
      </c>
      <c r="F1540" s="2">
        <v>3.0500000000000003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</row>
    <row r="1541" spans="1:11" x14ac:dyDescent="0.25">
      <c r="A1541" s="1">
        <v>6.8750000000000006E-2</v>
      </c>
      <c r="B1541" s="2">
        <v>6.13</v>
      </c>
      <c r="C1541" s="2">
        <v>3.73</v>
      </c>
      <c r="D1541" s="2">
        <v>5.1499999999999995</v>
      </c>
      <c r="E1541" s="2">
        <v>5.2299999999999995</v>
      </c>
      <c r="F1541" s="2">
        <v>2.94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</row>
    <row r="1542" spans="1:11" x14ac:dyDescent="0.25">
      <c r="A1542" s="1">
        <v>6.9444444444444406E-2</v>
      </c>
      <c r="B1542" s="2">
        <v>6.08</v>
      </c>
      <c r="C1542" s="2">
        <v>3.73</v>
      </c>
      <c r="D1542" s="2">
        <v>5.13</v>
      </c>
      <c r="E1542" s="2">
        <v>4.93</v>
      </c>
      <c r="F1542" s="2">
        <v>3.0500000000000003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</row>
    <row r="1543" spans="1:11" x14ac:dyDescent="0.25">
      <c r="A1543" s="1">
        <v>7.0138888888888903E-2</v>
      </c>
      <c r="B1543" s="2">
        <v>6.21</v>
      </c>
      <c r="C1543" s="2">
        <v>3.73</v>
      </c>
      <c r="D1543" s="2">
        <v>5.14</v>
      </c>
      <c r="E1543" s="2">
        <v>4.9399999999999995</v>
      </c>
      <c r="F1543" s="2">
        <v>2.97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</row>
    <row r="1544" spans="1:11" x14ac:dyDescent="0.25">
      <c r="A1544" s="1">
        <v>7.0833333333333304E-2</v>
      </c>
      <c r="B1544" s="2">
        <v>6.29</v>
      </c>
      <c r="C1544" s="2">
        <v>3.7199999999999998</v>
      </c>
      <c r="D1544" s="2">
        <v>4.8699999999999992</v>
      </c>
      <c r="E1544" s="2">
        <v>5.01</v>
      </c>
      <c r="F1544" s="2">
        <v>3.27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</row>
    <row r="1545" spans="1:11" x14ac:dyDescent="0.25">
      <c r="A1545" s="1">
        <v>7.1527777777777801E-2</v>
      </c>
      <c r="B1545" s="2">
        <v>6.14</v>
      </c>
      <c r="C1545" s="2">
        <v>3.63</v>
      </c>
      <c r="D1545" s="2">
        <v>5.1899999999999995</v>
      </c>
      <c r="E1545" s="2">
        <v>5.28</v>
      </c>
      <c r="F1545" s="2">
        <v>3.1100000000000003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</row>
    <row r="1546" spans="1:11" x14ac:dyDescent="0.25">
      <c r="A1546" s="1">
        <v>7.2222222222222202E-2</v>
      </c>
      <c r="B1546" s="2">
        <v>6.09</v>
      </c>
      <c r="C1546" s="2">
        <v>3.55</v>
      </c>
      <c r="D1546" s="2">
        <v>5.0699999999999994</v>
      </c>
      <c r="E1546" s="2">
        <v>5.21</v>
      </c>
      <c r="F1546" s="2">
        <v>2.9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</row>
    <row r="1547" spans="1:11" x14ac:dyDescent="0.25">
      <c r="A1547" s="1">
        <v>7.2916666666666699E-2</v>
      </c>
      <c r="B1547" s="2">
        <v>6.29</v>
      </c>
      <c r="C1547" s="2">
        <v>3.65</v>
      </c>
      <c r="D1547" s="2">
        <v>5.1499999999999995</v>
      </c>
      <c r="E1547" s="2">
        <v>5.52</v>
      </c>
      <c r="F1547" s="2">
        <v>3.0900000000000003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</row>
    <row r="1548" spans="1:11" x14ac:dyDescent="0.25">
      <c r="A1548" s="1">
        <v>7.3611111111111099E-2</v>
      </c>
      <c r="B1548" s="2">
        <v>6.28</v>
      </c>
      <c r="C1548" s="2">
        <v>3.75</v>
      </c>
      <c r="D1548" s="2">
        <v>4.93</v>
      </c>
      <c r="E1548" s="2">
        <v>5.52</v>
      </c>
      <c r="F1548" s="2">
        <v>3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</row>
    <row r="1549" spans="1:11" x14ac:dyDescent="0.25">
      <c r="A1549" s="1">
        <v>7.4305555555555597E-2</v>
      </c>
      <c r="B1549" s="2">
        <v>6.08</v>
      </c>
      <c r="C1549" s="2">
        <v>3.6399999999999997</v>
      </c>
      <c r="D1549" s="2">
        <v>5.26</v>
      </c>
      <c r="E1549" s="2">
        <v>5.36</v>
      </c>
      <c r="F1549" s="2">
        <v>3.24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</row>
    <row r="1550" spans="1:11" x14ac:dyDescent="0.25">
      <c r="A1550" s="1">
        <v>7.4999999999999997E-2</v>
      </c>
      <c r="B1550" s="2">
        <v>6.12</v>
      </c>
      <c r="C1550" s="2">
        <v>3.78</v>
      </c>
      <c r="D1550" s="2">
        <v>5.1099999999999994</v>
      </c>
      <c r="E1550" s="2">
        <v>5.29</v>
      </c>
      <c r="F1550" s="2">
        <v>3.14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</row>
    <row r="1551" spans="1:11" x14ac:dyDescent="0.25">
      <c r="A1551" s="1">
        <v>7.5694444444444495E-2</v>
      </c>
      <c r="B1551" s="2">
        <v>6.23</v>
      </c>
      <c r="C1551" s="2">
        <v>3.6399999999999997</v>
      </c>
      <c r="D1551" s="2">
        <v>4.88</v>
      </c>
      <c r="E1551" s="2">
        <v>5.07</v>
      </c>
      <c r="F1551" s="2">
        <v>3.24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</row>
    <row r="1552" spans="1:11" x14ac:dyDescent="0.25">
      <c r="A1552" s="1">
        <v>7.6388888888888895E-2</v>
      </c>
      <c r="B1552" s="2">
        <v>6.17</v>
      </c>
      <c r="C1552" s="2">
        <v>3.7199999999999998</v>
      </c>
      <c r="D1552" s="2">
        <v>4.9099999999999993</v>
      </c>
      <c r="E1552" s="2">
        <v>5.09</v>
      </c>
      <c r="F1552" s="2">
        <v>3.24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</row>
    <row r="1553" spans="1:11" x14ac:dyDescent="0.25">
      <c r="A1553" s="1">
        <v>7.7083333333333295E-2</v>
      </c>
      <c r="B1553" s="2">
        <v>6.29</v>
      </c>
      <c r="C1553" s="2">
        <v>3.7199999999999998</v>
      </c>
      <c r="D1553" s="2">
        <v>5.14</v>
      </c>
      <c r="E1553" s="2">
        <v>5.22</v>
      </c>
      <c r="F1553" s="2">
        <v>3.25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</row>
    <row r="1554" spans="1:11" x14ac:dyDescent="0.25">
      <c r="A1554" s="1">
        <v>7.7777777777777807E-2</v>
      </c>
      <c r="B1554" s="2">
        <v>6.15</v>
      </c>
      <c r="C1554" s="2">
        <v>3.6399999999999997</v>
      </c>
      <c r="D1554" s="2">
        <v>5.1899999999999995</v>
      </c>
      <c r="E1554" s="2">
        <v>5.2</v>
      </c>
      <c r="F1554" s="2">
        <v>3.13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</row>
    <row r="1555" spans="1:11" x14ac:dyDescent="0.25">
      <c r="A1555" s="1">
        <v>7.8472222222222193E-2</v>
      </c>
      <c r="B1555" s="2">
        <v>6.3</v>
      </c>
      <c r="C1555" s="2">
        <v>3.76</v>
      </c>
      <c r="D1555" s="2">
        <v>5.0999999999999996</v>
      </c>
      <c r="E1555" s="2">
        <v>5.18</v>
      </c>
      <c r="F1555" s="2">
        <v>3.2800000000000002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</row>
    <row r="1556" spans="1:11" x14ac:dyDescent="0.25">
      <c r="A1556" s="1">
        <v>7.9166666666666705E-2</v>
      </c>
      <c r="B1556" s="2">
        <v>6.08</v>
      </c>
      <c r="C1556" s="2">
        <v>3.79</v>
      </c>
      <c r="D1556" s="2">
        <v>5.29</v>
      </c>
      <c r="E1556" s="2">
        <v>5.48</v>
      </c>
      <c r="F1556" s="2">
        <v>3.22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</row>
    <row r="1557" spans="1:11" x14ac:dyDescent="0.25">
      <c r="A1557" s="1">
        <v>7.9861111111111105E-2</v>
      </c>
      <c r="B1557" s="2">
        <v>6.25</v>
      </c>
      <c r="C1557" s="2">
        <v>3.65</v>
      </c>
      <c r="D1557" s="2">
        <v>5.13</v>
      </c>
      <c r="E1557" s="2">
        <v>5.22</v>
      </c>
      <c r="F1557" s="2">
        <v>3.12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</row>
    <row r="1558" spans="1:11" x14ac:dyDescent="0.25">
      <c r="A1558" s="1">
        <v>8.0555555555555602E-2</v>
      </c>
      <c r="B1558" s="2">
        <v>6.23</v>
      </c>
      <c r="C1558" s="2">
        <v>3.55</v>
      </c>
      <c r="D1558" s="2">
        <v>5.17</v>
      </c>
      <c r="E1558" s="2">
        <v>4.99</v>
      </c>
      <c r="F1558" s="2">
        <v>3.13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</row>
    <row r="1559" spans="1:11" x14ac:dyDescent="0.25">
      <c r="A1559" s="1">
        <v>8.1250000000000003E-2</v>
      </c>
      <c r="B1559" s="2">
        <v>6.28</v>
      </c>
      <c r="C1559" s="2">
        <v>3.71</v>
      </c>
      <c r="D1559" s="2">
        <v>4.9799999999999995</v>
      </c>
      <c r="E1559" s="2">
        <v>5.34</v>
      </c>
      <c r="F1559" s="2">
        <v>2.97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</row>
    <row r="1560" spans="1:11" x14ac:dyDescent="0.25">
      <c r="A1560" s="1">
        <v>8.1944444444444403E-2</v>
      </c>
      <c r="B1560" s="2">
        <v>6.3100000000000005</v>
      </c>
      <c r="C1560" s="2">
        <v>3.5799999999999996</v>
      </c>
      <c r="D1560" s="2">
        <v>4.9099999999999993</v>
      </c>
      <c r="E1560" s="2">
        <v>5.22</v>
      </c>
      <c r="F1560" s="2">
        <v>3.0500000000000003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</row>
    <row r="1561" spans="1:11" x14ac:dyDescent="0.25">
      <c r="A1561" s="1">
        <v>8.2638888888888901E-2</v>
      </c>
      <c r="B1561" s="2">
        <v>6.18</v>
      </c>
      <c r="C1561" s="2">
        <v>3.7699999999999996</v>
      </c>
      <c r="D1561" s="2">
        <v>4.97</v>
      </c>
      <c r="E1561" s="2">
        <v>5.42</v>
      </c>
      <c r="F1561" s="2">
        <v>3.3600000000000003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</row>
    <row r="1562" spans="1:11" x14ac:dyDescent="0.25">
      <c r="A1562" s="3">
        <v>8.3333333333333301E-2</v>
      </c>
      <c r="B1562" s="2">
        <v>6.2</v>
      </c>
      <c r="C1562" s="2">
        <v>3.72</v>
      </c>
      <c r="D1562" s="2">
        <v>5.09</v>
      </c>
      <c r="E1562" s="2">
        <v>5.31</v>
      </c>
      <c r="F1562" s="2">
        <v>3.16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</row>
    <row r="1563" spans="1:11" x14ac:dyDescent="0.25">
      <c r="A1563" s="1">
        <v>8.4027777777777798E-2</v>
      </c>
      <c r="B1563" s="2">
        <v>6.26</v>
      </c>
      <c r="C1563" s="2">
        <v>3.55</v>
      </c>
      <c r="D1563" s="2">
        <v>5.1099999999999994</v>
      </c>
      <c r="E1563" s="2">
        <v>5.61</v>
      </c>
      <c r="F1563" s="2">
        <v>2.88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</row>
    <row r="1564" spans="1:11" x14ac:dyDescent="0.25">
      <c r="A1564" s="1">
        <v>8.4722222222222199E-2</v>
      </c>
      <c r="B1564" s="2">
        <v>6.23</v>
      </c>
      <c r="C1564" s="2">
        <v>3.68</v>
      </c>
      <c r="D1564" s="2">
        <v>5.09</v>
      </c>
      <c r="E1564" s="2">
        <v>5.35</v>
      </c>
      <c r="F1564" s="2">
        <v>3.13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</row>
    <row r="1565" spans="1:11" x14ac:dyDescent="0.25">
      <c r="A1565" s="1">
        <v>8.5416666666666696E-2</v>
      </c>
      <c r="B1565" s="2">
        <v>6.3</v>
      </c>
      <c r="C1565" s="2">
        <v>3.71</v>
      </c>
      <c r="D1565" s="2">
        <v>5.25</v>
      </c>
      <c r="E1565" s="2">
        <v>5.32</v>
      </c>
      <c r="F1565" s="2">
        <v>2.96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</row>
    <row r="1566" spans="1:11" x14ac:dyDescent="0.25">
      <c r="A1566" s="1">
        <v>8.6111111111111097E-2</v>
      </c>
      <c r="B1566" s="2">
        <v>6.26</v>
      </c>
      <c r="C1566" s="2">
        <v>3.69</v>
      </c>
      <c r="D1566" s="2">
        <v>4.8599999999999994</v>
      </c>
      <c r="E1566" s="2">
        <v>5.12</v>
      </c>
      <c r="F1566" s="2">
        <v>3.1100000000000003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</row>
    <row r="1567" spans="1:11" x14ac:dyDescent="0.25">
      <c r="A1567" s="1">
        <v>8.6805555555555594E-2</v>
      </c>
      <c r="B1567" s="2">
        <v>6.09</v>
      </c>
      <c r="C1567" s="2">
        <v>3.65</v>
      </c>
      <c r="D1567" s="2">
        <v>4.97</v>
      </c>
      <c r="E1567" s="2">
        <v>5.54</v>
      </c>
      <c r="F1567" s="2">
        <v>3.12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</row>
    <row r="1568" spans="1:11" x14ac:dyDescent="0.25">
      <c r="A1568" s="1">
        <v>8.7499999999999994E-2</v>
      </c>
      <c r="B1568" s="2">
        <v>6.14</v>
      </c>
      <c r="C1568" s="2">
        <v>3.74</v>
      </c>
      <c r="D1568" s="2">
        <v>5.27</v>
      </c>
      <c r="E1568" s="2">
        <v>5.33</v>
      </c>
      <c r="F1568" s="2">
        <v>2.92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</row>
    <row r="1569" spans="1:11" x14ac:dyDescent="0.25">
      <c r="A1569" s="1">
        <v>8.8194444444444506E-2</v>
      </c>
      <c r="B1569" s="2">
        <v>6.14</v>
      </c>
      <c r="C1569" s="2">
        <v>3.7600000000000002</v>
      </c>
      <c r="D1569" s="2">
        <v>5.0599999999999996</v>
      </c>
      <c r="E1569" s="2">
        <v>5.63</v>
      </c>
      <c r="F1569" s="2">
        <v>3.21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</row>
    <row r="1570" spans="1:11" x14ac:dyDescent="0.25">
      <c r="A1570" s="1">
        <v>8.8888888888888906E-2</v>
      </c>
      <c r="B1570" s="2">
        <v>6.3</v>
      </c>
      <c r="C1570" s="2">
        <v>3.68</v>
      </c>
      <c r="D1570" s="2">
        <v>4.9899999999999993</v>
      </c>
      <c r="E1570" s="2">
        <v>5.08</v>
      </c>
      <c r="F1570" s="2">
        <v>3.08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</row>
    <row r="1571" spans="1:11" x14ac:dyDescent="0.25">
      <c r="A1571" s="1">
        <v>8.9583333333333307E-2</v>
      </c>
      <c r="B1571" s="2">
        <v>6.2700000000000005</v>
      </c>
      <c r="C1571" s="2">
        <v>3.61</v>
      </c>
      <c r="D1571" s="2">
        <v>5.0199999999999996</v>
      </c>
      <c r="E1571" s="2">
        <v>5.24</v>
      </c>
      <c r="F1571" s="2">
        <v>3.33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</row>
    <row r="1572" spans="1:11" x14ac:dyDescent="0.25">
      <c r="A1572" s="1">
        <v>9.0277777777777804E-2</v>
      </c>
      <c r="B1572" s="2">
        <v>6.3100000000000005</v>
      </c>
      <c r="C1572" s="2">
        <v>3.63</v>
      </c>
      <c r="D1572" s="2">
        <v>5.2299999999999995</v>
      </c>
      <c r="E1572" s="2">
        <v>5.4399999999999995</v>
      </c>
      <c r="F1572" s="2">
        <v>3.14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</row>
    <row r="1573" spans="1:11" x14ac:dyDescent="0.25">
      <c r="A1573" s="1">
        <v>9.0972222222222204E-2</v>
      </c>
      <c r="B1573" s="2">
        <v>6.12</v>
      </c>
      <c r="C1573" s="2">
        <v>3.58</v>
      </c>
      <c r="D1573" s="2">
        <v>4.97</v>
      </c>
      <c r="E1573" s="2">
        <v>4.95</v>
      </c>
      <c r="F1573" s="2">
        <v>3.3200000000000003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</row>
    <row r="1574" spans="1:11" x14ac:dyDescent="0.25">
      <c r="A1574" s="1">
        <v>9.1666666666666702E-2</v>
      </c>
      <c r="B1574" s="2">
        <v>6.25</v>
      </c>
      <c r="C1574" s="2">
        <v>3.77</v>
      </c>
      <c r="D1574" s="2">
        <v>5.09</v>
      </c>
      <c r="E1574" s="2">
        <v>5.48</v>
      </c>
      <c r="F1574" s="2">
        <v>3.23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</row>
    <row r="1575" spans="1:11" x14ac:dyDescent="0.25">
      <c r="A1575" s="1">
        <v>9.2361111111111102E-2</v>
      </c>
      <c r="B1575" s="2">
        <v>6.08</v>
      </c>
      <c r="C1575" s="2">
        <v>3.67</v>
      </c>
      <c r="D1575" s="2">
        <v>4.9499999999999993</v>
      </c>
      <c r="E1575" s="2">
        <v>5.62</v>
      </c>
      <c r="F1575" s="2">
        <v>3.23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</row>
    <row r="1576" spans="1:11" x14ac:dyDescent="0.25">
      <c r="A1576" s="1">
        <v>9.30555555555556E-2</v>
      </c>
      <c r="B1576" s="2">
        <v>6.16</v>
      </c>
      <c r="C1576" s="2">
        <v>3.7800000000000002</v>
      </c>
      <c r="D1576" s="2">
        <v>4.8699999999999992</v>
      </c>
      <c r="E1576" s="2">
        <v>5.54</v>
      </c>
      <c r="F1576" s="2">
        <v>3.04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</row>
    <row r="1577" spans="1:11" x14ac:dyDescent="0.25">
      <c r="A1577" s="1">
        <v>9.375E-2</v>
      </c>
      <c r="B1577" s="2">
        <v>6.22</v>
      </c>
      <c r="C1577" s="2">
        <v>3.73</v>
      </c>
      <c r="D1577" s="2">
        <v>5.0999999999999996</v>
      </c>
      <c r="E1577" s="2">
        <v>5.39</v>
      </c>
      <c r="F1577" s="2">
        <v>3.3200000000000003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</row>
    <row r="1578" spans="1:11" x14ac:dyDescent="0.25">
      <c r="A1578" s="1">
        <v>9.44444444444444E-2</v>
      </c>
      <c r="B1578" s="2">
        <v>6.08</v>
      </c>
      <c r="C1578" s="2">
        <v>3.63</v>
      </c>
      <c r="D1578" s="2">
        <v>4.8899999999999997</v>
      </c>
      <c r="E1578" s="2">
        <v>5.01</v>
      </c>
      <c r="F1578" s="2">
        <v>3.18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</row>
    <row r="1579" spans="1:11" x14ac:dyDescent="0.25">
      <c r="A1579" s="1">
        <v>9.5138888888888898E-2</v>
      </c>
      <c r="B1579" s="2">
        <v>6.25</v>
      </c>
      <c r="C1579" s="2">
        <v>3.7600000000000002</v>
      </c>
      <c r="D1579" s="2">
        <v>5.13</v>
      </c>
      <c r="E1579" s="2">
        <v>5.38</v>
      </c>
      <c r="F1579" s="2">
        <v>3.0700000000000003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</row>
    <row r="1580" spans="1:11" x14ac:dyDescent="0.25">
      <c r="A1580" s="1">
        <v>9.5833333333333298E-2</v>
      </c>
      <c r="B1580" s="2">
        <v>6.16</v>
      </c>
      <c r="C1580" s="2">
        <v>3.54</v>
      </c>
      <c r="D1580" s="2">
        <v>4.8599999999999994</v>
      </c>
      <c r="E1580" s="2">
        <v>4.93</v>
      </c>
      <c r="F1580" s="2">
        <v>3.0100000000000002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</row>
    <row r="1581" spans="1:11" x14ac:dyDescent="0.25">
      <c r="A1581" s="1">
        <v>9.6527777777777796E-2</v>
      </c>
      <c r="B1581" s="2">
        <v>6.28</v>
      </c>
      <c r="C1581" s="2">
        <v>3.68</v>
      </c>
      <c r="D1581" s="2">
        <v>5.1099999999999994</v>
      </c>
      <c r="E1581" s="2">
        <v>4.95</v>
      </c>
      <c r="F1581" s="2">
        <v>3.0100000000000002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</row>
    <row r="1582" spans="1:11" x14ac:dyDescent="0.25">
      <c r="A1582" s="1">
        <v>9.7222222222222196E-2</v>
      </c>
      <c r="B1582" s="2">
        <v>6.24</v>
      </c>
      <c r="C1582" s="2">
        <v>3.55</v>
      </c>
      <c r="D1582" s="2">
        <v>5.1099999999999994</v>
      </c>
      <c r="E1582" s="2">
        <v>5.4</v>
      </c>
      <c r="F1582" s="2">
        <v>3.38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</row>
    <row r="1583" spans="1:11" x14ac:dyDescent="0.25">
      <c r="A1583" s="1">
        <v>9.7916666666666693E-2</v>
      </c>
      <c r="B1583" s="2">
        <v>6.16</v>
      </c>
      <c r="C1583" s="2">
        <v>3.73</v>
      </c>
      <c r="D1583" s="2">
        <v>5.2299999999999995</v>
      </c>
      <c r="E1583" s="2">
        <v>4.95</v>
      </c>
      <c r="F1583" s="2">
        <v>3.24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</row>
    <row r="1584" spans="1:11" x14ac:dyDescent="0.25">
      <c r="A1584" s="1">
        <v>9.8611111111111094E-2</v>
      </c>
      <c r="B1584" s="2">
        <v>6.2</v>
      </c>
      <c r="C1584" s="2">
        <v>3.72</v>
      </c>
      <c r="D1584" s="2">
        <v>5.13</v>
      </c>
      <c r="E1584" s="2">
        <v>5.56</v>
      </c>
      <c r="F1584" s="2">
        <v>2.91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</row>
    <row r="1585" spans="1:11" x14ac:dyDescent="0.25">
      <c r="A1585" s="1">
        <v>9.9305555555555605E-2</v>
      </c>
      <c r="B1585" s="2">
        <v>6.2</v>
      </c>
      <c r="C1585" s="2">
        <v>3.69</v>
      </c>
      <c r="D1585" s="2">
        <v>4.9399999999999995</v>
      </c>
      <c r="E1585" s="2">
        <v>5.18</v>
      </c>
      <c r="F1585" s="2">
        <v>3.2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</row>
    <row r="1586" spans="1:11" x14ac:dyDescent="0.25">
      <c r="A1586" s="1">
        <v>0.1</v>
      </c>
      <c r="B1586" s="2">
        <v>6.16</v>
      </c>
      <c r="C1586" s="2">
        <v>3.55</v>
      </c>
      <c r="D1586" s="2">
        <v>5.1199999999999992</v>
      </c>
      <c r="E1586" s="2">
        <v>4.9799999999999995</v>
      </c>
      <c r="F1586" s="2">
        <v>3.23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</row>
    <row r="1587" spans="1:11" x14ac:dyDescent="0.25">
      <c r="A1587" s="1">
        <v>0.100694444444444</v>
      </c>
      <c r="B1587" s="2">
        <v>6.28</v>
      </c>
      <c r="C1587" s="2">
        <v>3.74</v>
      </c>
      <c r="D1587" s="2">
        <v>4.88</v>
      </c>
      <c r="E1587" s="2">
        <v>4.92</v>
      </c>
      <c r="F1587" s="2">
        <v>3.0900000000000003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</row>
    <row r="1588" spans="1:11" x14ac:dyDescent="0.25">
      <c r="A1588" s="1">
        <v>0.101388888888889</v>
      </c>
      <c r="B1588" s="2">
        <v>6.18</v>
      </c>
      <c r="C1588" s="2">
        <v>3.7800000000000002</v>
      </c>
      <c r="D1588" s="2">
        <v>4.9399999999999995</v>
      </c>
      <c r="E1588" s="2">
        <v>5.38</v>
      </c>
      <c r="F1588" s="2">
        <v>3.19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</row>
    <row r="1589" spans="1:11" x14ac:dyDescent="0.25">
      <c r="A1589" s="1">
        <v>0.102083333333333</v>
      </c>
      <c r="B1589" s="2">
        <v>6.25</v>
      </c>
      <c r="C1589" s="2">
        <v>3.6</v>
      </c>
      <c r="D1589" s="2">
        <v>5.3</v>
      </c>
      <c r="E1589" s="2">
        <v>5.29</v>
      </c>
      <c r="F1589" s="2">
        <v>3.0100000000000002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</row>
    <row r="1590" spans="1:11" x14ac:dyDescent="0.25">
      <c r="A1590" s="1">
        <v>0.102777777777778</v>
      </c>
      <c r="B1590" s="2">
        <v>6.09</v>
      </c>
      <c r="C1590" s="2">
        <v>3.6</v>
      </c>
      <c r="D1590" s="2">
        <v>4.8599999999999994</v>
      </c>
      <c r="E1590" s="2">
        <v>5.38</v>
      </c>
      <c r="F1590" s="2">
        <v>3.02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</row>
    <row r="1591" spans="1:11" x14ac:dyDescent="0.25">
      <c r="A1591" s="1">
        <v>0.10347222222222199</v>
      </c>
      <c r="B1591" s="2">
        <v>6.33</v>
      </c>
      <c r="C1591" s="2">
        <v>3.79</v>
      </c>
      <c r="D1591" s="2">
        <v>5.2399999999999993</v>
      </c>
      <c r="E1591" s="2">
        <v>5.3</v>
      </c>
      <c r="F1591" s="2">
        <v>2.94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</row>
    <row r="1592" spans="1:11" x14ac:dyDescent="0.25">
      <c r="A1592" s="1">
        <v>0.104166666666667</v>
      </c>
      <c r="B1592" s="2">
        <v>6.32</v>
      </c>
      <c r="C1592" s="2">
        <v>3.55</v>
      </c>
      <c r="D1592" s="2">
        <v>5.2399999999999993</v>
      </c>
      <c r="E1592" s="2">
        <v>5.45</v>
      </c>
      <c r="F1592" s="2">
        <v>2.91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</row>
    <row r="1593" spans="1:11" x14ac:dyDescent="0.25">
      <c r="A1593" s="1">
        <v>0.104861111111111</v>
      </c>
      <c r="B1593" s="2">
        <v>6.32</v>
      </c>
      <c r="C1593" s="2">
        <v>3.77</v>
      </c>
      <c r="D1593" s="2">
        <v>4.92</v>
      </c>
      <c r="E1593" s="2">
        <v>5.2</v>
      </c>
      <c r="F1593" s="2">
        <v>3.04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</row>
    <row r="1594" spans="1:11" x14ac:dyDescent="0.25">
      <c r="A1594" s="1">
        <v>0.105555555555556</v>
      </c>
      <c r="B1594" s="2">
        <v>6.2700000000000005</v>
      </c>
      <c r="C1594" s="2">
        <v>3.66</v>
      </c>
      <c r="D1594" s="2">
        <v>4.97</v>
      </c>
      <c r="E1594" s="2">
        <v>5.46</v>
      </c>
      <c r="F1594" s="2">
        <v>2.89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</row>
    <row r="1595" spans="1:11" x14ac:dyDescent="0.25">
      <c r="A1595" s="1">
        <v>0.10625</v>
      </c>
      <c r="B1595" s="2">
        <v>6.24</v>
      </c>
      <c r="C1595" s="2">
        <v>3.75</v>
      </c>
      <c r="D1595" s="2">
        <v>4.8699999999999992</v>
      </c>
      <c r="E1595" s="2">
        <v>5.03</v>
      </c>
      <c r="F1595" s="2">
        <v>3.1100000000000003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</row>
    <row r="1596" spans="1:11" x14ac:dyDescent="0.25">
      <c r="A1596" s="1">
        <v>0.106944444444444</v>
      </c>
      <c r="B1596" s="2">
        <v>6.12</v>
      </c>
      <c r="C1596" s="2">
        <v>3.62</v>
      </c>
      <c r="D1596" s="2">
        <v>5.27</v>
      </c>
      <c r="E1596" s="2">
        <v>5.07</v>
      </c>
      <c r="F1596" s="2">
        <v>3.24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</row>
    <row r="1597" spans="1:11" x14ac:dyDescent="0.25">
      <c r="A1597" s="1">
        <v>0.10763888888888901</v>
      </c>
      <c r="B1597" s="2">
        <v>6.12</v>
      </c>
      <c r="C1597" s="2">
        <v>3.79</v>
      </c>
      <c r="D1597" s="2">
        <v>5</v>
      </c>
      <c r="E1597" s="2">
        <v>5.07</v>
      </c>
      <c r="F1597" s="2">
        <v>3.3600000000000003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</row>
    <row r="1598" spans="1:11" x14ac:dyDescent="0.25">
      <c r="A1598" s="1">
        <v>0.108333333333333</v>
      </c>
      <c r="B1598" s="2">
        <v>6.24</v>
      </c>
      <c r="C1598" s="2">
        <v>3.72</v>
      </c>
      <c r="D1598" s="2">
        <v>5.27</v>
      </c>
      <c r="E1598" s="2">
        <v>5.55</v>
      </c>
      <c r="F1598" s="2">
        <v>2.88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</row>
    <row r="1599" spans="1:11" x14ac:dyDescent="0.25">
      <c r="A1599" s="1">
        <v>0.109027777777778</v>
      </c>
      <c r="B1599" s="2">
        <v>6.22</v>
      </c>
      <c r="C1599" s="2">
        <v>3.54</v>
      </c>
      <c r="D1599" s="2">
        <v>5.21</v>
      </c>
      <c r="E1599" s="2">
        <v>5.1899999999999995</v>
      </c>
      <c r="F1599" s="2">
        <v>3.08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</row>
    <row r="1600" spans="1:11" x14ac:dyDescent="0.25">
      <c r="A1600" s="1">
        <v>0.109722222222222</v>
      </c>
      <c r="B1600" s="2">
        <v>6.28</v>
      </c>
      <c r="C1600" s="2">
        <v>3.57</v>
      </c>
      <c r="D1600" s="2">
        <v>5.18</v>
      </c>
      <c r="E1600" s="2">
        <v>4.99</v>
      </c>
      <c r="F1600" s="2">
        <v>3.1500000000000004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</row>
    <row r="1601" spans="1:11" x14ac:dyDescent="0.25">
      <c r="A1601" s="1">
        <v>0.110416666666667</v>
      </c>
      <c r="B1601" s="2">
        <v>6.14</v>
      </c>
      <c r="C1601" s="2">
        <v>3.75</v>
      </c>
      <c r="D1601" s="2">
        <v>4.8499999999999996</v>
      </c>
      <c r="E1601" s="2">
        <v>5.0199999999999996</v>
      </c>
      <c r="F1601" s="2">
        <v>3.29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</row>
    <row r="1602" spans="1:11" x14ac:dyDescent="0.25">
      <c r="A1602" s="1">
        <v>0.11111111111111099</v>
      </c>
      <c r="B1602" s="2">
        <v>6.2700000000000005</v>
      </c>
      <c r="C1602" s="2">
        <v>3.75</v>
      </c>
      <c r="D1602" s="2">
        <v>5.1999999999999993</v>
      </c>
      <c r="E1602" s="2">
        <v>5.28</v>
      </c>
      <c r="F1602" s="2">
        <v>3.21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</row>
    <row r="1603" spans="1:11" x14ac:dyDescent="0.25">
      <c r="A1603" s="1">
        <v>0.111805555555556</v>
      </c>
      <c r="B1603" s="2">
        <v>6.14</v>
      </c>
      <c r="C1603" s="2">
        <v>3.7800000000000002</v>
      </c>
      <c r="D1603" s="2">
        <v>5.25</v>
      </c>
      <c r="E1603" s="2">
        <v>5.24</v>
      </c>
      <c r="F1603" s="2">
        <v>2.87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</row>
    <row r="1604" spans="1:11" x14ac:dyDescent="0.25">
      <c r="A1604" s="1">
        <v>0.1125</v>
      </c>
      <c r="B1604" s="2">
        <v>6.29</v>
      </c>
      <c r="C1604" s="2">
        <v>3.7600000000000002</v>
      </c>
      <c r="D1604" s="2">
        <v>5.1599999999999993</v>
      </c>
      <c r="E1604" s="2">
        <v>5.04</v>
      </c>
      <c r="F1604" s="2">
        <v>3.1100000000000003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</row>
    <row r="1605" spans="1:11" x14ac:dyDescent="0.25">
      <c r="A1605" s="1">
        <v>0.113194444444444</v>
      </c>
      <c r="B1605" s="2">
        <v>6.15</v>
      </c>
      <c r="C1605" s="2">
        <v>3.62</v>
      </c>
      <c r="D1605" s="2">
        <v>5.13</v>
      </c>
      <c r="E1605" s="2">
        <v>5.09</v>
      </c>
      <c r="F1605" s="2">
        <v>3.39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</row>
    <row r="1606" spans="1:11" x14ac:dyDescent="0.25">
      <c r="A1606" s="1">
        <v>0.113888888888889</v>
      </c>
      <c r="B1606" s="2">
        <v>6.2700000000000005</v>
      </c>
      <c r="C1606" s="2">
        <v>3.6</v>
      </c>
      <c r="D1606" s="2">
        <v>5.2299999999999995</v>
      </c>
      <c r="E1606" s="2">
        <v>5.33</v>
      </c>
      <c r="F1606" s="2">
        <v>3.0700000000000003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</row>
    <row r="1607" spans="1:11" x14ac:dyDescent="0.25">
      <c r="A1607" s="1">
        <v>0.114583333333333</v>
      </c>
      <c r="B1607" s="2">
        <v>6.18</v>
      </c>
      <c r="C1607" s="2">
        <v>3.55</v>
      </c>
      <c r="D1607" s="2">
        <v>5.0299999999999994</v>
      </c>
      <c r="E1607" s="2">
        <v>5.24</v>
      </c>
      <c r="F1607" s="2">
        <v>3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</row>
    <row r="1608" spans="1:11" x14ac:dyDescent="0.25">
      <c r="A1608" s="1">
        <v>0.11527777777777801</v>
      </c>
      <c r="B1608" s="2">
        <v>6.18</v>
      </c>
      <c r="C1608" s="2">
        <v>3.72</v>
      </c>
      <c r="D1608" s="2">
        <v>5.05</v>
      </c>
      <c r="E1608" s="2">
        <v>5.52</v>
      </c>
      <c r="F1608" s="2">
        <v>3.22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</row>
    <row r="1609" spans="1:11" x14ac:dyDescent="0.25">
      <c r="A1609" s="1">
        <v>0.115972222222222</v>
      </c>
      <c r="B1609" s="2">
        <v>6.28</v>
      </c>
      <c r="C1609" s="2">
        <v>3.66</v>
      </c>
      <c r="D1609" s="2">
        <v>5.17</v>
      </c>
      <c r="E1609" s="2">
        <v>5.31</v>
      </c>
      <c r="F1609" s="2">
        <v>3.3200000000000003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</row>
    <row r="1610" spans="1:11" x14ac:dyDescent="0.25">
      <c r="A1610" s="1">
        <v>0.116666666666667</v>
      </c>
      <c r="B1610" s="2">
        <v>6.28</v>
      </c>
      <c r="C1610" s="2">
        <v>3.56</v>
      </c>
      <c r="D1610" s="2">
        <v>5.17</v>
      </c>
      <c r="E1610" s="2">
        <v>5.63</v>
      </c>
      <c r="F1610" s="2">
        <v>3.21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</row>
    <row r="1611" spans="1:11" x14ac:dyDescent="0.25">
      <c r="A1611" s="1">
        <v>0.117361111111111</v>
      </c>
      <c r="B1611" s="2">
        <v>6.32</v>
      </c>
      <c r="C1611" s="2">
        <v>3.73</v>
      </c>
      <c r="D1611" s="2">
        <v>5.05</v>
      </c>
      <c r="E1611" s="2">
        <v>5.24</v>
      </c>
      <c r="F1611" s="2">
        <v>2.95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</row>
    <row r="1612" spans="1:11" x14ac:dyDescent="0.25">
      <c r="A1612" s="1">
        <v>0.118055555555556</v>
      </c>
      <c r="B1612" s="2">
        <v>6.08</v>
      </c>
      <c r="C1612" s="2">
        <v>3.55</v>
      </c>
      <c r="D1612" s="2">
        <v>5.0599999999999996</v>
      </c>
      <c r="E1612" s="2">
        <v>5.2</v>
      </c>
      <c r="F1612" s="2">
        <v>2.9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</row>
    <row r="1613" spans="1:11" x14ac:dyDescent="0.25">
      <c r="A1613" s="1">
        <v>0.11874999999999999</v>
      </c>
      <c r="B1613" s="2">
        <v>6.16</v>
      </c>
      <c r="C1613" s="2">
        <v>3.6</v>
      </c>
      <c r="D1613" s="2">
        <v>5.04</v>
      </c>
      <c r="E1613" s="2">
        <v>5.29</v>
      </c>
      <c r="F1613" s="2">
        <v>3.0700000000000003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</row>
    <row r="1614" spans="1:11" x14ac:dyDescent="0.25">
      <c r="A1614" s="1">
        <v>0.11944444444444401</v>
      </c>
      <c r="B1614" s="2">
        <v>6.32</v>
      </c>
      <c r="C1614" s="2">
        <v>3.68</v>
      </c>
      <c r="D1614" s="2">
        <v>5.0199999999999996</v>
      </c>
      <c r="E1614" s="2">
        <v>5.25</v>
      </c>
      <c r="F1614" s="2">
        <v>2.88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</row>
    <row r="1615" spans="1:11" x14ac:dyDescent="0.25">
      <c r="A1615" s="1">
        <v>0.120138888888889</v>
      </c>
      <c r="B1615" s="2">
        <v>6.13</v>
      </c>
      <c r="C1615" s="2">
        <v>3.62</v>
      </c>
      <c r="D1615" s="2">
        <v>4.96</v>
      </c>
      <c r="E1615" s="2">
        <v>4.99</v>
      </c>
      <c r="F1615" s="2">
        <v>3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</row>
    <row r="1616" spans="1:11" x14ac:dyDescent="0.25">
      <c r="A1616" s="1">
        <v>0.120833333333333</v>
      </c>
      <c r="B1616" s="2">
        <v>6.32</v>
      </c>
      <c r="C1616" s="2">
        <v>3.71</v>
      </c>
      <c r="D1616" s="2">
        <v>5.2299999999999995</v>
      </c>
      <c r="E1616" s="2">
        <v>5.2299999999999995</v>
      </c>
      <c r="F1616" s="2">
        <v>3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</row>
    <row r="1617" spans="1:11" x14ac:dyDescent="0.25">
      <c r="A1617" s="1">
        <v>0.121527777777778</v>
      </c>
      <c r="B1617" s="2">
        <v>6.18</v>
      </c>
      <c r="C1617" s="2">
        <v>3.72</v>
      </c>
      <c r="D1617" s="2">
        <v>4.92</v>
      </c>
      <c r="E1617" s="2">
        <v>5.37</v>
      </c>
      <c r="F1617" s="2">
        <v>3.24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</row>
    <row r="1618" spans="1:11" x14ac:dyDescent="0.25">
      <c r="A1618" s="1">
        <v>0.122222222222222</v>
      </c>
      <c r="B1618" s="2">
        <v>6.25</v>
      </c>
      <c r="C1618" s="2">
        <v>3.65</v>
      </c>
      <c r="D1618" s="2">
        <v>5.2799999999999994</v>
      </c>
      <c r="E1618" s="2">
        <v>5.36</v>
      </c>
      <c r="F1618" s="2">
        <v>3.2800000000000002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</row>
    <row r="1619" spans="1:11" x14ac:dyDescent="0.25">
      <c r="A1619" s="1">
        <v>0.12291666666666699</v>
      </c>
      <c r="B1619" s="2">
        <v>6.22</v>
      </c>
      <c r="C1619" s="2">
        <v>3.58</v>
      </c>
      <c r="D1619" s="2">
        <v>5.1099999999999994</v>
      </c>
      <c r="E1619" s="2">
        <v>5.1899999999999995</v>
      </c>
      <c r="F1619" s="2">
        <v>2.93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</row>
    <row r="1620" spans="1:11" x14ac:dyDescent="0.25">
      <c r="A1620" s="1">
        <v>0.12361111111111101</v>
      </c>
      <c r="B1620" s="2">
        <v>6.25</v>
      </c>
      <c r="C1620" s="2">
        <v>3.75</v>
      </c>
      <c r="D1620" s="2">
        <v>4.93</v>
      </c>
      <c r="E1620" s="2">
        <v>5.36</v>
      </c>
      <c r="F1620" s="2">
        <v>3.12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</row>
    <row r="1621" spans="1:11" x14ac:dyDescent="0.25">
      <c r="A1621" s="1">
        <v>0.124305555555556</v>
      </c>
      <c r="B1621" s="2">
        <v>6.17</v>
      </c>
      <c r="C1621" s="2">
        <v>3.66</v>
      </c>
      <c r="D1621" s="2">
        <v>5.09</v>
      </c>
      <c r="E1621" s="2">
        <v>5.14</v>
      </c>
      <c r="F1621" s="2">
        <v>3.2800000000000002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</row>
    <row r="1622" spans="1:11" x14ac:dyDescent="0.25">
      <c r="A1622" s="3">
        <v>0.125</v>
      </c>
      <c r="B1622" s="2">
        <v>6.2</v>
      </c>
      <c r="C1622" s="2">
        <v>3.72</v>
      </c>
      <c r="D1622" s="2">
        <v>5.09</v>
      </c>
      <c r="E1622" s="2">
        <v>5.31</v>
      </c>
      <c r="F1622" s="2">
        <v>3.16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</row>
    <row r="1623" spans="1:11" x14ac:dyDescent="0.25">
      <c r="A1623" s="1">
        <v>0.125694444444444</v>
      </c>
      <c r="B1623" s="2">
        <v>6.2</v>
      </c>
      <c r="C1623" s="2">
        <v>3.54</v>
      </c>
      <c r="D1623" s="2">
        <v>5.1099999999999994</v>
      </c>
      <c r="E1623" s="2">
        <v>5.05</v>
      </c>
      <c r="F1623" s="2">
        <v>3.18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</row>
    <row r="1624" spans="1:11" x14ac:dyDescent="0.25">
      <c r="A1624" s="1">
        <v>0.12638888888888899</v>
      </c>
      <c r="B1624" s="2">
        <v>6.17</v>
      </c>
      <c r="C1624" s="2">
        <v>3.73</v>
      </c>
      <c r="D1624" s="2">
        <v>5.05</v>
      </c>
      <c r="E1624" s="2">
        <v>5.17</v>
      </c>
      <c r="F1624" s="2">
        <v>3.0500000000000003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</row>
    <row r="1625" spans="1:11" x14ac:dyDescent="0.25">
      <c r="A1625" s="1">
        <v>0.12708333333333299</v>
      </c>
      <c r="B1625" s="2">
        <v>6.09</v>
      </c>
      <c r="C1625" s="2">
        <v>3.67</v>
      </c>
      <c r="D1625" s="2">
        <v>5.09</v>
      </c>
      <c r="E1625" s="2">
        <v>5.63</v>
      </c>
      <c r="F1625" s="2">
        <v>2.95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</row>
    <row r="1626" spans="1:11" x14ac:dyDescent="0.25">
      <c r="A1626" s="1">
        <v>0.12777777777777799</v>
      </c>
      <c r="B1626" s="2">
        <v>6.2700000000000005</v>
      </c>
      <c r="C1626" s="2">
        <v>3.65</v>
      </c>
      <c r="D1626" s="2">
        <v>5.04</v>
      </c>
      <c r="E1626" s="2">
        <v>5.31</v>
      </c>
      <c r="F1626" s="2">
        <v>2.88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</row>
    <row r="1627" spans="1:11" x14ac:dyDescent="0.25">
      <c r="A1627" s="1">
        <v>0.12847222222222199</v>
      </c>
      <c r="B1627" s="2">
        <v>6.12</v>
      </c>
      <c r="C1627" s="2">
        <v>3.56</v>
      </c>
      <c r="D1627" s="2">
        <v>5.14</v>
      </c>
      <c r="E1627" s="2">
        <v>5.38</v>
      </c>
      <c r="F1627" s="2">
        <v>2.94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</row>
    <row r="1628" spans="1:11" x14ac:dyDescent="0.25">
      <c r="A1628" s="1">
        <v>0.12916666666666701</v>
      </c>
      <c r="B1628" s="2">
        <v>6.17</v>
      </c>
      <c r="C1628" s="2">
        <v>3.61</v>
      </c>
      <c r="D1628" s="2">
        <v>4.8499999999999996</v>
      </c>
      <c r="E1628" s="2">
        <v>5.26</v>
      </c>
      <c r="F1628" s="2">
        <v>3.17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</row>
    <row r="1629" spans="1:11" x14ac:dyDescent="0.25">
      <c r="A1629" s="1">
        <v>0.12986111111111101</v>
      </c>
      <c r="B1629" s="2">
        <v>6.09</v>
      </c>
      <c r="C1629" s="2">
        <v>3.75</v>
      </c>
      <c r="D1629" s="2">
        <v>5.25</v>
      </c>
      <c r="E1629" s="2">
        <v>5.18</v>
      </c>
      <c r="F1629" s="2">
        <v>2.98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</row>
    <row r="1630" spans="1:11" x14ac:dyDescent="0.25">
      <c r="A1630" s="1">
        <v>0.13055555555555601</v>
      </c>
      <c r="B1630" s="2">
        <v>6.11</v>
      </c>
      <c r="C1630" s="2">
        <v>3.55</v>
      </c>
      <c r="D1630" s="2">
        <v>5.1199999999999992</v>
      </c>
      <c r="E1630" s="2">
        <v>5.2299999999999995</v>
      </c>
      <c r="F1630" s="2">
        <v>3.33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</row>
    <row r="1631" spans="1:11" x14ac:dyDescent="0.25">
      <c r="A1631" s="1">
        <v>0.13125000000000001</v>
      </c>
      <c r="B1631" s="2">
        <v>6.13</v>
      </c>
      <c r="C1631" s="2">
        <v>3.56</v>
      </c>
      <c r="D1631" s="2">
        <v>5.2399999999999993</v>
      </c>
      <c r="E1631" s="2">
        <v>5.08</v>
      </c>
      <c r="F1631" s="2">
        <v>3.29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</row>
    <row r="1632" spans="1:11" x14ac:dyDescent="0.25">
      <c r="A1632" s="1">
        <v>0.131944444444444</v>
      </c>
      <c r="B1632" s="2">
        <v>6.09</v>
      </c>
      <c r="C1632" s="2">
        <v>3.54</v>
      </c>
      <c r="D1632" s="2">
        <v>5.0699999999999994</v>
      </c>
      <c r="E1632" s="2">
        <v>5.14</v>
      </c>
      <c r="F1632" s="2">
        <v>3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</row>
    <row r="1633" spans="1:11" x14ac:dyDescent="0.25">
      <c r="A1633" s="1">
        <v>0.132638888888889</v>
      </c>
      <c r="B1633" s="2">
        <v>6.28</v>
      </c>
      <c r="C1633" s="2">
        <v>3.69</v>
      </c>
      <c r="D1633" s="2">
        <v>4.97</v>
      </c>
      <c r="E1633" s="2">
        <v>5.14</v>
      </c>
      <c r="F1633" s="2">
        <v>3.1100000000000003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</row>
    <row r="1634" spans="1:11" x14ac:dyDescent="0.25">
      <c r="A1634" s="1">
        <v>0.133333333333333</v>
      </c>
      <c r="B1634" s="2">
        <v>6.16</v>
      </c>
      <c r="C1634" s="2">
        <v>3.7800000000000002</v>
      </c>
      <c r="D1634" s="2">
        <v>4.8999999999999995</v>
      </c>
      <c r="E1634" s="2">
        <v>5.26</v>
      </c>
      <c r="F1634" s="2">
        <v>3.12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</row>
    <row r="1635" spans="1:11" x14ac:dyDescent="0.25">
      <c r="A1635" s="1">
        <v>0.134027777777778</v>
      </c>
      <c r="B1635" s="2">
        <v>6.23</v>
      </c>
      <c r="C1635" s="2">
        <v>3.79</v>
      </c>
      <c r="D1635" s="2">
        <v>5.01</v>
      </c>
      <c r="E1635" s="2">
        <v>5.39</v>
      </c>
      <c r="F1635" s="2">
        <v>2.93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</row>
    <row r="1636" spans="1:11" x14ac:dyDescent="0.25">
      <c r="A1636" s="1">
        <v>0.13472222222222199</v>
      </c>
      <c r="B1636" s="2">
        <v>6.18</v>
      </c>
      <c r="C1636" s="2">
        <v>3.7800000000000002</v>
      </c>
      <c r="D1636" s="2">
        <v>4.8899999999999997</v>
      </c>
      <c r="E1636" s="2">
        <v>5.31</v>
      </c>
      <c r="F1636" s="2">
        <v>2.88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</row>
    <row r="1637" spans="1:11" x14ac:dyDescent="0.25">
      <c r="A1637" s="1">
        <v>0.13541666666666699</v>
      </c>
      <c r="B1637" s="2">
        <v>6.21</v>
      </c>
      <c r="C1637" s="2">
        <v>3.67</v>
      </c>
      <c r="D1637" s="2">
        <v>5.0199999999999996</v>
      </c>
      <c r="E1637" s="2">
        <v>5.16</v>
      </c>
      <c r="F1637" s="2">
        <v>2.88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</row>
    <row r="1638" spans="1:11" x14ac:dyDescent="0.25">
      <c r="A1638" s="1">
        <v>0.13611111111111099</v>
      </c>
      <c r="B1638" s="2">
        <v>6.14</v>
      </c>
      <c r="C1638" s="2">
        <v>3.64</v>
      </c>
      <c r="D1638" s="2">
        <v>4.92</v>
      </c>
      <c r="E1638" s="2">
        <v>5.26</v>
      </c>
      <c r="F1638" s="2">
        <v>3.0300000000000002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</row>
    <row r="1639" spans="1:11" x14ac:dyDescent="0.25">
      <c r="A1639" s="1">
        <v>0.13680555555555601</v>
      </c>
      <c r="B1639" s="2">
        <v>6.2700000000000005</v>
      </c>
      <c r="C1639" s="2">
        <v>3.7800000000000002</v>
      </c>
      <c r="D1639" s="2">
        <v>5.04</v>
      </c>
      <c r="E1639" s="2">
        <v>5.39</v>
      </c>
      <c r="F1639" s="2">
        <v>3.0500000000000003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</row>
    <row r="1640" spans="1:11" x14ac:dyDescent="0.25">
      <c r="A1640" s="1">
        <v>0.13750000000000001</v>
      </c>
      <c r="B1640" s="2">
        <v>6.13</v>
      </c>
      <c r="C1640" s="2">
        <v>3.59</v>
      </c>
      <c r="D1640" s="2">
        <v>5.0699999999999994</v>
      </c>
      <c r="E1640" s="2">
        <v>5.46</v>
      </c>
      <c r="F1640" s="2">
        <v>3.19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</row>
    <row r="1641" spans="1:11" x14ac:dyDescent="0.25">
      <c r="A1641" s="1">
        <v>0.13819444444444401</v>
      </c>
      <c r="B1641" s="2">
        <v>6.17</v>
      </c>
      <c r="C1641" s="2">
        <v>3.68</v>
      </c>
      <c r="D1641" s="2">
        <v>5.13</v>
      </c>
      <c r="E1641" s="2">
        <v>5.0999999999999996</v>
      </c>
      <c r="F1641" s="2">
        <v>3.33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</row>
    <row r="1642" spans="1:11" x14ac:dyDescent="0.25">
      <c r="A1642" s="1">
        <v>0.13888888888888901</v>
      </c>
      <c r="B1642" s="2">
        <v>6.32</v>
      </c>
      <c r="C1642" s="2">
        <v>3.79</v>
      </c>
      <c r="D1642" s="2">
        <v>5.0699999999999994</v>
      </c>
      <c r="E1642" s="2">
        <v>5.16</v>
      </c>
      <c r="F1642" s="2">
        <v>3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</row>
    <row r="1643" spans="1:11" x14ac:dyDescent="0.25">
      <c r="A1643" s="1">
        <v>0.139583333333333</v>
      </c>
      <c r="B1643" s="2">
        <v>6.09</v>
      </c>
      <c r="C1643" s="2">
        <v>3.66</v>
      </c>
      <c r="D1643" s="2">
        <v>5.13</v>
      </c>
      <c r="E1643" s="2">
        <v>5.35</v>
      </c>
      <c r="F1643" s="2">
        <v>2.99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</row>
    <row r="1644" spans="1:11" x14ac:dyDescent="0.25">
      <c r="A1644" s="1">
        <v>0.140277777777778</v>
      </c>
      <c r="B1644" s="2">
        <v>6.2</v>
      </c>
      <c r="C1644" s="2">
        <v>3.55</v>
      </c>
      <c r="D1644" s="2">
        <v>5.14</v>
      </c>
      <c r="E1644" s="2">
        <v>5.43</v>
      </c>
      <c r="F1644" s="2">
        <v>3.33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</row>
    <row r="1645" spans="1:11" x14ac:dyDescent="0.25">
      <c r="A1645" s="1">
        <v>0.140972222222222</v>
      </c>
      <c r="B1645" s="2">
        <v>6.17</v>
      </c>
      <c r="C1645" s="2">
        <v>3.69</v>
      </c>
      <c r="D1645" s="2">
        <v>5</v>
      </c>
      <c r="E1645" s="2">
        <v>5.16</v>
      </c>
      <c r="F1645" s="2">
        <v>3.08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</row>
    <row r="1646" spans="1:11" x14ac:dyDescent="0.25">
      <c r="A1646" s="1">
        <v>0.141666666666667</v>
      </c>
      <c r="B1646" s="2">
        <v>6.09</v>
      </c>
      <c r="C1646" s="2">
        <v>3.6</v>
      </c>
      <c r="D1646" s="2">
        <v>4.8699999999999992</v>
      </c>
      <c r="E1646" s="2">
        <v>5.25</v>
      </c>
      <c r="F1646" s="2">
        <v>3.39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</row>
    <row r="1647" spans="1:11" x14ac:dyDescent="0.25">
      <c r="A1647" s="1">
        <v>0.14236111111111099</v>
      </c>
      <c r="B1647" s="2">
        <v>6.2700000000000005</v>
      </c>
      <c r="C1647" s="2">
        <v>3.7600000000000002</v>
      </c>
      <c r="D1647" s="2">
        <v>5.27</v>
      </c>
      <c r="E1647" s="2">
        <v>5.0999999999999996</v>
      </c>
      <c r="F1647" s="2">
        <v>3.1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</row>
    <row r="1648" spans="1:11" x14ac:dyDescent="0.25">
      <c r="A1648" s="1">
        <v>0.14305555555555599</v>
      </c>
      <c r="B1648" s="2">
        <v>6.21</v>
      </c>
      <c r="C1648" s="2">
        <v>3.74</v>
      </c>
      <c r="D1648" s="2">
        <v>4.88</v>
      </c>
      <c r="E1648" s="2">
        <v>5.52</v>
      </c>
      <c r="F1648" s="2">
        <v>3.0300000000000002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</row>
    <row r="1649" spans="1:11" x14ac:dyDescent="0.25">
      <c r="A1649" s="1">
        <v>0.14374999999999999</v>
      </c>
      <c r="B1649" s="2">
        <v>6.13</v>
      </c>
      <c r="C1649" s="2">
        <v>3.65</v>
      </c>
      <c r="D1649" s="2">
        <v>4.9799999999999995</v>
      </c>
      <c r="E1649" s="2">
        <v>5.53</v>
      </c>
      <c r="F1649" s="2">
        <v>2.98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</row>
    <row r="1650" spans="1:11" x14ac:dyDescent="0.25">
      <c r="A1650" s="1">
        <v>0.14444444444444399</v>
      </c>
      <c r="B1650" s="2">
        <v>6.33</v>
      </c>
      <c r="C1650" s="2">
        <v>3.56</v>
      </c>
      <c r="D1650" s="2">
        <v>5.1999999999999993</v>
      </c>
      <c r="E1650" s="2">
        <v>5.24</v>
      </c>
      <c r="F1650" s="2">
        <v>3.08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</row>
    <row r="1651" spans="1:11" x14ac:dyDescent="0.25">
      <c r="A1651" s="1">
        <v>0.14513888888888901</v>
      </c>
      <c r="B1651" s="2">
        <v>6.09</v>
      </c>
      <c r="C1651" s="2">
        <v>3.64</v>
      </c>
      <c r="D1651" s="2">
        <v>5</v>
      </c>
      <c r="E1651" s="2">
        <v>5.6</v>
      </c>
      <c r="F1651" s="2">
        <v>3.3000000000000003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</row>
    <row r="1652" spans="1:11" x14ac:dyDescent="0.25">
      <c r="A1652" s="1">
        <v>0.14583333333333301</v>
      </c>
      <c r="B1652" s="2">
        <v>6.25</v>
      </c>
      <c r="C1652" s="2">
        <v>3.7600000000000002</v>
      </c>
      <c r="D1652" s="2">
        <v>4.9899999999999993</v>
      </c>
      <c r="E1652" s="2">
        <v>4.95</v>
      </c>
      <c r="F1652" s="2">
        <v>3.19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</row>
    <row r="1653" spans="1:11" x14ac:dyDescent="0.25">
      <c r="A1653" s="1">
        <v>0.14652777777777801</v>
      </c>
      <c r="B1653" s="2">
        <v>6.24</v>
      </c>
      <c r="C1653" s="2">
        <v>3.79</v>
      </c>
      <c r="D1653" s="2">
        <v>4.9099999999999993</v>
      </c>
      <c r="E1653" s="2">
        <v>5.41</v>
      </c>
      <c r="F1653" s="2">
        <v>3.0300000000000002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</row>
    <row r="1654" spans="1:11" x14ac:dyDescent="0.25">
      <c r="A1654" s="1">
        <v>0.147222222222222</v>
      </c>
      <c r="B1654" s="2">
        <v>6.3100000000000005</v>
      </c>
      <c r="C1654" s="2">
        <v>3.56</v>
      </c>
      <c r="D1654" s="2">
        <v>5.14</v>
      </c>
      <c r="E1654" s="2">
        <v>5.59</v>
      </c>
      <c r="F1654" s="2">
        <v>3.08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</row>
    <row r="1655" spans="1:11" x14ac:dyDescent="0.25">
      <c r="A1655" s="1">
        <v>0.147916666666667</v>
      </c>
      <c r="B1655" s="2">
        <v>6.23</v>
      </c>
      <c r="C1655" s="2">
        <v>3.71</v>
      </c>
      <c r="D1655" s="2">
        <v>5.1599999999999993</v>
      </c>
      <c r="E1655" s="2">
        <v>5.51</v>
      </c>
      <c r="F1655" s="2">
        <v>2.97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</row>
    <row r="1656" spans="1:11" x14ac:dyDescent="0.25">
      <c r="A1656" s="1">
        <v>0.148611111111111</v>
      </c>
      <c r="B1656" s="2">
        <v>6.12</v>
      </c>
      <c r="C1656" s="2">
        <v>3.72</v>
      </c>
      <c r="D1656" s="2">
        <v>5.1499999999999995</v>
      </c>
      <c r="E1656" s="2">
        <v>5.4</v>
      </c>
      <c r="F1656" s="2">
        <v>3.17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</row>
    <row r="1657" spans="1:11" x14ac:dyDescent="0.25">
      <c r="A1657" s="1">
        <v>0.149305555555556</v>
      </c>
      <c r="B1657" s="2">
        <v>6.09</v>
      </c>
      <c r="C1657" s="2">
        <v>3.74</v>
      </c>
      <c r="D1657" s="2">
        <v>5.04</v>
      </c>
      <c r="E1657" s="2">
        <v>5.15</v>
      </c>
      <c r="F1657" s="2">
        <v>3.0300000000000002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</row>
    <row r="1658" spans="1:11" x14ac:dyDescent="0.25">
      <c r="A1658" s="1">
        <v>0.15</v>
      </c>
      <c r="B1658" s="2">
        <v>6.19</v>
      </c>
      <c r="C1658" s="2">
        <v>3.79</v>
      </c>
      <c r="D1658" s="2">
        <v>4.8999999999999995</v>
      </c>
      <c r="E1658" s="2">
        <v>5.46</v>
      </c>
      <c r="F1658" s="2">
        <v>3.3600000000000003</v>
      </c>
      <c r="G1658" s="6">
        <v>0</v>
      </c>
      <c r="H1658" s="6">
        <v>0</v>
      </c>
      <c r="I1658" s="6">
        <v>0</v>
      </c>
      <c r="J1658" s="6">
        <v>0</v>
      </c>
      <c r="K1658" s="6">
        <v>0</v>
      </c>
    </row>
    <row r="1659" spans="1:11" x14ac:dyDescent="0.25">
      <c r="A1659" s="1">
        <v>0.15069444444444399</v>
      </c>
      <c r="B1659" s="2">
        <v>6.1</v>
      </c>
      <c r="C1659" s="2">
        <v>3.61</v>
      </c>
      <c r="D1659" s="2">
        <v>5.05</v>
      </c>
      <c r="E1659" s="2">
        <v>5.24</v>
      </c>
      <c r="F1659" s="2">
        <v>3.04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</row>
    <row r="1660" spans="1:11" x14ac:dyDescent="0.25">
      <c r="A1660" s="1">
        <v>0.15138888888888899</v>
      </c>
      <c r="B1660" s="2">
        <v>6.33</v>
      </c>
      <c r="C1660" s="2">
        <v>3.59</v>
      </c>
      <c r="D1660" s="2">
        <v>5.3</v>
      </c>
      <c r="E1660" s="2">
        <v>5.49</v>
      </c>
      <c r="F1660" s="2">
        <v>3.02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</row>
    <row r="1661" spans="1:11" x14ac:dyDescent="0.25">
      <c r="A1661" s="1">
        <v>0.15208333333333299</v>
      </c>
      <c r="B1661" s="2">
        <v>6.1</v>
      </c>
      <c r="C1661" s="2">
        <v>3.69</v>
      </c>
      <c r="D1661" s="2">
        <v>5.18</v>
      </c>
      <c r="E1661" s="2">
        <v>4.97</v>
      </c>
      <c r="F1661" s="2">
        <v>2.9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</row>
    <row r="1662" spans="1:11" x14ac:dyDescent="0.25">
      <c r="A1662" s="1">
        <v>0.15277777777777801</v>
      </c>
      <c r="B1662" s="2">
        <v>6.09</v>
      </c>
      <c r="C1662" s="2">
        <v>3.75</v>
      </c>
      <c r="D1662" s="2">
        <v>5.1199999999999992</v>
      </c>
      <c r="E1662" s="2">
        <v>5.13</v>
      </c>
      <c r="F1662" s="2">
        <v>2.98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</row>
    <row r="1663" spans="1:11" x14ac:dyDescent="0.25">
      <c r="A1663" s="1">
        <v>0.15347222222222201</v>
      </c>
      <c r="B1663" s="2">
        <v>6.1</v>
      </c>
      <c r="C1663" s="2">
        <v>3.62</v>
      </c>
      <c r="D1663" s="2">
        <v>4.96</v>
      </c>
      <c r="E1663" s="2">
        <v>5.4</v>
      </c>
      <c r="F1663" s="2">
        <v>2.91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</row>
    <row r="1664" spans="1:11" x14ac:dyDescent="0.25">
      <c r="A1664" s="1">
        <v>0.15416666666666701</v>
      </c>
      <c r="B1664" s="2">
        <v>6.18</v>
      </c>
      <c r="C1664" s="2">
        <v>3.77</v>
      </c>
      <c r="D1664" s="2">
        <v>4.8999999999999995</v>
      </c>
      <c r="E1664" s="2">
        <v>5.48</v>
      </c>
      <c r="F1664" s="2">
        <v>3.1100000000000003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</row>
    <row r="1665" spans="1:11" x14ac:dyDescent="0.25">
      <c r="A1665" s="1">
        <v>0.15486111111111101</v>
      </c>
      <c r="B1665" s="2">
        <v>6.28</v>
      </c>
      <c r="C1665" s="2">
        <v>3.65</v>
      </c>
      <c r="D1665" s="2">
        <v>5.2799999999999994</v>
      </c>
      <c r="E1665" s="2">
        <v>5.26</v>
      </c>
      <c r="F1665" s="2">
        <v>3.13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</row>
    <row r="1666" spans="1:11" x14ac:dyDescent="0.25">
      <c r="A1666" s="1">
        <v>0.155555555555556</v>
      </c>
      <c r="B1666" s="2">
        <v>6.18</v>
      </c>
      <c r="C1666" s="2">
        <v>3.7600000000000002</v>
      </c>
      <c r="D1666" s="2">
        <v>4.9799999999999995</v>
      </c>
      <c r="E1666" s="2">
        <v>5.08</v>
      </c>
      <c r="F1666" s="2">
        <v>3.02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</row>
    <row r="1667" spans="1:11" x14ac:dyDescent="0.25">
      <c r="A1667" s="1">
        <v>0.15625</v>
      </c>
      <c r="B1667" s="2">
        <v>6.15</v>
      </c>
      <c r="C1667" s="2">
        <v>3.77</v>
      </c>
      <c r="D1667" s="2">
        <v>4.9499999999999993</v>
      </c>
      <c r="E1667" s="2">
        <v>5.37</v>
      </c>
      <c r="F1667" s="2">
        <v>3.3400000000000003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</row>
    <row r="1668" spans="1:11" x14ac:dyDescent="0.25">
      <c r="A1668" s="1">
        <v>0.156944444444444</v>
      </c>
      <c r="B1668" s="2">
        <v>6.21</v>
      </c>
      <c r="C1668" s="2">
        <v>3.58</v>
      </c>
      <c r="D1668" s="2">
        <v>4.92</v>
      </c>
      <c r="E1668" s="2">
        <v>5.61</v>
      </c>
      <c r="F1668" s="2">
        <v>2.92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</row>
    <row r="1669" spans="1:11" x14ac:dyDescent="0.25">
      <c r="A1669" s="1">
        <v>0.15763888888888899</v>
      </c>
      <c r="B1669" s="2">
        <v>6.25</v>
      </c>
      <c r="C1669" s="2">
        <v>3.72</v>
      </c>
      <c r="D1669" s="2">
        <v>4.8899999999999997</v>
      </c>
      <c r="E1669" s="2">
        <v>4.9799999999999995</v>
      </c>
      <c r="F1669" s="2">
        <v>3.23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</row>
    <row r="1670" spans="1:11" x14ac:dyDescent="0.25">
      <c r="A1670" s="1">
        <v>0.15833333333333299</v>
      </c>
      <c r="B1670" s="2">
        <v>6.12</v>
      </c>
      <c r="C1670" s="2">
        <v>3.57</v>
      </c>
      <c r="D1670" s="2">
        <v>5</v>
      </c>
      <c r="E1670" s="2">
        <v>5.12</v>
      </c>
      <c r="F1670" s="2">
        <v>3.29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</row>
    <row r="1671" spans="1:11" x14ac:dyDescent="0.25">
      <c r="A1671" s="1">
        <v>0.15902777777777799</v>
      </c>
      <c r="B1671" s="2">
        <v>6.28</v>
      </c>
      <c r="C1671" s="2">
        <v>3.56</v>
      </c>
      <c r="D1671" s="2">
        <v>5.25</v>
      </c>
      <c r="E1671" s="2">
        <v>5.01</v>
      </c>
      <c r="F1671" s="2">
        <v>3.12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</row>
    <row r="1672" spans="1:11" x14ac:dyDescent="0.25">
      <c r="A1672" s="1">
        <v>0.15972222222222199</v>
      </c>
      <c r="B1672" s="2">
        <v>6.08</v>
      </c>
      <c r="C1672" s="2">
        <v>3.73</v>
      </c>
      <c r="D1672" s="2">
        <v>4.9499999999999993</v>
      </c>
      <c r="E1672" s="2">
        <v>5.42</v>
      </c>
      <c r="F1672" s="2">
        <v>3.0500000000000003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</row>
    <row r="1673" spans="1:11" x14ac:dyDescent="0.25">
      <c r="A1673" s="1">
        <v>0.16041666666666701</v>
      </c>
      <c r="B1673" s="2">
        <v>6.22</v>
      </c>
      <c r="C1673" s="2">
        <v>3.72</v>
      </c>
      <c r="D1673" s="2">
        <v>4.8899999999999997</v>
      </c>
      <c r="E1673" s="2">
        <v>5.14</v>
      </c>
      <c r="F1673" s="2">
        <v>2.95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</row>
    <row r="1674" spans="1:11" x14ac:dyDescent="0.25">
      <c r="A1674" s="1">
        <v>0.16111111111111101</v>
      </c>
      <c r="B1674" s="2">
        <v>6.26</v>
      </c>
      <c r="C1674" s="2">
        <v>3.54</v>
      </c>
      <c r="D1674" s="2">
        <v>4.8599999999999994</v>
      </c>
      <c r="E1674" s="2">
        <v>5.25</v>
      </c>
      <c r="F1674" s="2">
        <v>3.35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</row>
    <row r="1675" spans="1:11" x14ac:dyDescent="0.25">
      <c r="A1675" s="1">
        <v>0.16180555555555601</v>
      </c>
      <c r="B1675" s="2">
        <v>6.28</v>
      </c>
      <c r="C1675" s="2">
        <v>3.7600000000000002</v>
      </c>
      <c r="D1675" s="2">
        <v>4.8499999999999996</v>
      </c>
      <c r="E1675" s="2">
        <v>5.09</v>
      </c>
      <c r="F1675" s="2">
        <v>3.2800000000000002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</row>
    <row r="1676" spans="1:11" x14ac:dyDescent="0.25">
      <c r="A1676" s="1">
        <v>0.16250000000000001</v>
      </c>
      <c r="B1676" s="2">
        <v>6.15</v>
      </c>
      <c r="C1676" s="2">
        <v>3.68</v>
      </c>
      <c r="D1676" s="2">
        <v>5.04</v>
      </c>
      <c r="E1676" s="2">
        <v>5.41</v>
      </c>
      <c r="F1676" s="2">
        <v>3.25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</row>
    <row r="1677" spans="1:11" x14ac:dyDescent="0.25">
      <c r="A1677" s="1">
        <v>0.163194444444444</v>
      </c>
      <c r="B1677" s="2">
        <v>6.09</v>
      </c>
      <c r="C1677" s="2">
        <v>3.64</v>
      </c>
      <c r="D1677" s="2">
        <v>5.26</v>
      </c>
      <c r="E1677" s="2">
        <v>5.4399999999999995</v>
      </c>
      <c r="F1677" s="2">
        <v>3.13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</row>
    <row r="1678" spans="1:11" x14ac:dyDescent="0.25">
      <c r="A1678" s="1">
        <v>0.163888888888889</v>
      </c>
      <c r="B1678" s="2">
        <v>6.26</v>
      </c>
      <c r="C1678" s="2">
        <v>3.56</v>
      </c>
      <c r="D1678" s="2">
        <v>5.08</v>
      </c>
      <c r="E1678" s="2">
        <v>5.22</v>
      </c>
      <c r="F1678" s="2">
        <v>3.25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</row>
    <row r="1679" spans="1:11" x14ac:dyDescent="0.25">
      <c r="A1679" s="1">
        <v>0.164583333333333</v>
      </c>
      <c r="B1679" s="2">
        <v>6.22</v>
      </c>
      <c r="C1679" s="2">
        <v>3.65</v>
      </c>
      <c r="D1679" s="2">
        <v>4.8699999999999992</v>
      </c>
      <c r="E1679" s="2">
        <v>4.96</v>
      </c>
      <c r="F1679" s="2">
        <v>2.94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</row>
    <row r="1680" spans="1:11" x14ac:dyDescent="0.25">
      <c r="A1680" s="1">
        <v>0.165277777777778</v>
      </c>
      <c r="B1680" s="2">
        <v>6.26</v>
      </c>
      <c r="C1680" s="2">
        <v>3.68</v>
      </c>
      <c r="D1680" s="2">
        <v>4.88</v>
      </c>
      <c r="E1680" s="2">
        <v>5.1899999999999995</v>
      </c>
      <c r="F1680" s="2">
        <v>3.1</v>
      </c>
      <c r="G1680" s="6">
        <v>0</v>
      </c>
      <c r="H1680" s="6">
        <v>0</v>
      </c>
      <c r="I1680" s="6">
        <v>0</v>
      </c>
      <c r="J1680" s="6">
        <v>0</v>
      </c>
      <c r="K1680" s="6">
        <v>0</v>
      </c>
    </row>
    <row r="1681" spans="1:11" x14ac:dyDescent="0.25">
      <c r="A1681" s="1">
        <v>0.16597222222222199</v>
      </c>
      <c r="B1681" s="2">
        <v>6.25</v>
      </c>
      <c r="C1681" s="2">
        <v>3.59</v>
      </c>
      <c r="D1681" s="2">
        <v>5.29</v>
      </c>
      <c r="E1681" s="2">
        <v>5.2299999999999995</v>
      </c>
      <c r="F1681" s="2">
        <v>2.95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</row>
    <row r="1682" spans="1:11" x14ac:dyDescent="0.25">
      <c r="A1682" s="3">
        <v>0.16666666666666699</v>
      </c>
      <c r="B1682" s="2">
        <v>6.2</v>
      </c>
      <c r="C1682" s="2">
        <v>3.72</v>
      </c>
      <c r="D1682" s="2">
        <v>5.09</v>
      </c>
      <c r="E1682" s="2">
        <v>5.31</v>
      </c>
      <c r="F1682" s="2">
        <v>3.16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</row>
    <row r="1683" spans="1:11" x14ac:dyDescent="0.25">
      <c r="A1683" s="1">
        <v>0.16736111111111099</v>
      </c>
      <c r="B1683" s="2">
        <v>6.16</v>
      </c>
      <c r="C1683" s="2">
        <v>3.63</v>
      </c>
      <c r="D1683" s="2">
        <v>5.17</v>
      </c>
      <c r="E1683" s="2">
        <v>5.48</v>
      </c>
      <c r="F1683" s="2">
        <v>2.95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</row>
    <row r="1684" spans="1:11" x14ac:dyDescent="0.25">
      <c r="A1684" s="1">
        <v>0.16805555555555601</v>
      </c>
      <c r="B1684" s="2">
        <v>6.09</v>
      </c>
      <c r="C1684" s="2">
        <v>3.77</v>
      </c>
      <c r="D1684" s="2">
        <v>5.26</v>
      </c>
      <c r="E1684" s="2">
        <v>4.93</v>
      </c>
      <c r="F1684" s="2">
        <v>3.27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</row>
    <row r="1685" spans="1:11" x14ac:dyDescent="0.25">
      <c r="A1685" s="1">
        <v>0.16875000000000001</v>
      </c>
      <c r="B1685" s="2">
        <v>6.15</v>
      </c>
      <c r="C1685" s="2">
        <v>3.84</v>
      </c>
      <c r="D1685" s="2">
        <v>4.88</v>
      </c>
      <c r="E1685" s="2">
        <v>5.38</v>
      </c>
      <c r="F1685" s="2">
        <v>2.97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</row>
    <row r="1686" spans="1:11" x14ac:dyDescent="0.25">
      <c r="A1686" s="1">
        <v>0.16944444444444401</v>
      </c>
      <c r="B1686" s="2">
        <v>6.16</v>
      </c>
      <c r="C1686" s="2">
        <v>3.57</v>
      </c>
      <c r="D1686" s="2">
        <v>5.1899999999999995</v>
      </c>
      <c r="E1686" s="2">
        <v>5.25</v>
      </c>
      <c r="F1686" s="2">
        <v>3.0900000000000003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</row>
    <row r="1687" spans="1:11" x14ac:dyDescent="0.25">
      <c r="A1687" s="1">
        <v>0.17013888888888901</v>
      </c>
      <c r="B1687" s="2">
        <v>6.09</v>
      </c>
      <c r="C1687" s="2">
        <v>3.69</v>
      </c>
      <c r="D1687" s="2">
        <v>5.1599999999999993</v>
      </c>
      <c r="E1687" s="2">
        <v>5.54</v>
      </c>
      <c r="F1687" s="2">
        <v>3.1500000000000004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</row>
    <row r="1688" spans="1:11" x14ac:dyDescent="0.25">
      <c r="A1688" s="1">
        <v>0.170833333333333</v>
      </c>
      <c r="B1688" s="2">
        <v>6.2700000000000005</v>
      </c>
      <c r="C1688" s="2">
        <v>3.71</v>
      </c>
      <c r="D1688" s="2">
        <v>5.3</v>
      </c>
      <c r="E1688" s="2">
        <v>5.1100000000000003</v>
      </c>
      <c r="F1688" s="2">
        <v>3.0700000000000003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</row>
    <row r="1689" spans="1:11" x14ac:dyDescent="0.25">
      <c r="A1689" s="1">
        <v>0.171527777777778</v>
      </c>
      <c r="B1689" s="2">
        <v>6.29</v>
      </c>
      <c r="C1689" s="2">
        <v>3.77</v>
      </c>
      <c r="D1689" s="2">
        <v>5.29</v>
      </c>
      <c r="E1689" s="2">
        <v>5.4</v>
      </c>
      <c r="F1689" s="2">
        <v>2.95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</row>
    <row r="1690" spans="1:11" x14ac:dyDescent="0.25">
      <c r="A1690" s="1">
        <v>0.172222222222222</v>
      </c>
      <c r="B1690" s="2">
        <v>6.08</v>
      </c>
      <c r="C1690" s="2">
        <v>3.6999999999999997</v>
      </c>
      <c r="D1690" s="2">
        <v>5.25</v>
      </c>
      <c r="E1690" s="2">
        <v>5.1100000000000003</v>
      </c>
      <c r="F1690" s="2">
        <v>2.9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</row>
    <row r="1691" spans="1:11" x14ac:dyDescent="0.25">
      <c r="A1691" s="1">
        <v>0.172916666666667</v>
      </c>
      <c r="B1691" s="2">
        <v>6.13</v>
      </c>
      <c r="C1691" s="2">
        <v>3.5999999999999996</v>
      </c>
      <c r="D1691" s="2">
        <v>5</v>
      </c>
      <c r="E1691" s="2">
        <v>5.6</v>
      </c>
      <c r="F1691" s="2">
        <v>2.97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</row>
    <row r="1692" spans="1:11" x14ac:dyDescent="0.25">
      <c r="A1692" s="1">
        <v>0.17361111111111099</v>
      </c>
      <c r="B1692" s="2">
        <v>6.3100000000000005</v>
      </c>
      <c r="C1692" s="2">
        <v>3.6799999999999997</v>
      </c>
      <c r="D1692" s="2">
        <v>4.9399999999999995</v>
      </c>
      <c r="E1692" s="2">
        <v>5.45</v>
      </c>
      <c r="F1692" s="2">
        <v>2.9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</row>
    <row r="1693" spans="1:11" x14ac:dyDescent="0.25">
      <c r="A1693" s="1">
        <v>0.17430555555555599</v>
      </c>
      <c r="B1693" s="2">
        <v>6.22</v>
      </c>
      <c r="C1693" s="2">
        <v>3.67</v>
      </c>
      <c r="D1693" s="2">
        <v>4.8999999999999995</v>
      </c>
      <c r="E1693" s="2">
        <v>5.14</v>
      </c>
      <c r="F1693" s="2">
        <v>3.17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</row>
    <row r="1694" spans="1:11" x14ac:dyDescent="0.25">
      <c r="A1694" s="1">
        <v>0.17499999999999999</v>
      </c>
      <c r="B1694" s="2">
        <v>6.14</v>
      </c>
      <c r="C1694" s="2">
        <v>3.77</v>
      </c>
      <c r="D1694" s="2">
        <v>4.97</v>
      </c>
      <c r="E1694" s="2">
        <v>5.22</v>
      </c>
      <c r="F1694" s="2">
        <v>3.3400000000000003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</row>
    <row r="1695" spans="1:11" x14ac:dyDescent="0.25">
      <c r="A1695" s="1">
        <v>0.17569444444444399</v>
      </c>
      <c r="B1695" s="2">
        <v>6.21</v>
      </c>
      <c r="C1695" s="2">
        <v>3.83</v>
      </c>
      <c r="D1695" s="2">
        <v>5.17</v>
      </c>
      <c r="E1695" s="2">
        <v>5.31</v>
      </c>
      <c r="F1695" s="2">
        <v>3.27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</row>
    <row r="1696" spans="1:11" x14ac:dyDescent="0.25">
      <c r="A1696" s="1">
        <v>0.17638888888888901</v>
      </c>
      <c r="B1696" s="2">
        <v>6.13</v>
      </c>
      <c r="C1696" s="2">
        <v>3.76</v>
      </c>
      <c r="D1696" s="2">
        <v>5.1599999999999993</v>
      </c>
      <c r="E1696" s="2">
        <v>5.61</v>
      </c>
      <c r="F1696" s="2">
        <v>3.06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</row>
    <row r="1697" spans="1:11" x14ac:dyDescent="0.25">
      <c r="A1697" s="1">
        <v>0.17708333333333301</v>
      </c>
      <c r="B1697" s="2">
        <v>6.13</v>
      </c>
      <c r="C1697" s="2">
        <v>3.82</v>
      </c>
      <c r="D1697" s="2">
        <v>4.9099999999999993</v>
      </c>
      <c r="E1697" s="2">
        <v>5.49</v>
      </c>
      <c r="F1697" s="2">
        <v>3.31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</row>
    <row r="1698" spans="1:11" x14ac:dyDescent="0.25">
      <c r="A1698" s="1">
        <v>0.17777777777777801</v>
      </c>
      <c r="B1698" s="2">
        <v>6.12</v>
      </c>
      <c r="C1698" s="2">
        <v>3.71</v>
      </c>
      <c r="D1698" s="2">
        <v>4.88</v>
      </c>
      <c r="E1698" s="2">
        <v>5.46</v>
      </c>
      <c r="F1698" s="2">
        <v>3.23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</row>
    <row r="1699" spans="1:11" x14ac:dyDescent="0.25">
      <c r="A1699" s="1">
        <v>0.178472222222222</v>
      </c>
      <c r="B1699" s="2">
        <v>6.23</v>
      </c>
      <c r="C1699" s="2">
        <v>3.8099999999999996</v>
      </c>
      <c r="D1699" s="2">
        <v>5.29</v>
      </c>
      <c r="E1699" s="2">
        <v>5.3</v>
      </c>
      <c r="F1699" s="2">
        <v>3.3000000000000003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</row>
    <row r="1700" spans="1:11" x14ac:dyDescent="0.25">
      <c r="A1700" s="1">
        <v>0.179166666666667</v>
      </c>
      <c r="B1700" s="2">
        <v>6.26</v>
      </c>
      <c r="C1700" s="2">
        <v>3.65</v>
      </c>
      <c r="D1700" s="2">
        <v>4.9799999999999995</v>
      </c>
      <c r="E1700" s="2">
        <v>5.22</v>
      </c>
      <c r="F1700" s="2">
        <v>2.95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</row>
    <row r="1701" spans="1:11" x14ac:dyDescent="0.25">
      <c r="A1701" s="1">
        <v>0.179861111111111</v>
      </c>
      <c r="B1701" s="2">
        <v>6.3</v>
      </c>
      <c r="C1701" s="2">
        <v>3.61</v>
      </c>
      <c r="D1701" s="2">
        <v>5.08</v>
      </c>
      <c r="E1701" s="2">
        <v>5.28</v>
      </c>
      <c r="F1701" s="2">
        <v>3.31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</row>
    <row r="1702" spans="1:11" x14ac:dyDescent="0.25">
      <c r="A1702" s="1">
        <v>0.180555555555556</v>
      </c>
      <c r="B1702" s="2">
        <v>6.23</v>
      </c>
      <c r="C1702" s="2">
        <v>3.75</v>
      </c>
      <c r="D1702" s="2">
        <v>5.14</v>
      </c>
      <c r="E1702" s="2">
        <v>5.38</v>
      </c>
      <c r="F1702" s="2">
        <v>3.3600000000000003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</row>
    <row r="1703" spans="1:11" x14ac:dyDescent="0.25">
      <c r="A1703" s="1">
        <v>0.18124999999999999</v>
      </c>
      <c r="B1703" s="2">
        <v>6.09</v>
      </c>
      <c r="C1703" s="2">
        <v>3.78</v>
      </c>
      <c r="D1703" s="2">
        <v>5.09</v>
      </c>
      <c r="E1703" s="2">
        <v>5.63</v>
      </c>
      <c r="F1703" s="2">
        <v>3.22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</row>
    <row r="1704" spans="1:11" x14ac:dyDescent="0.25">
      <c r="A1704" s="1">
        <v>0.18194444444444399</v>
      </c>
      <c r="B1704" s="2">
        <v>6.11</v>
      </c>
      <c r="C1704" s="2">
        <v>3.77</v>
      </c>
      <c r="D1704" s="2">
        <v>5.29</v>
      </c>
      <c r="E1704" s="2">
        <v>5.53</v>
      </c>
      <c r="F1704" s="2">
        <v>2.93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</row>
    <row r="1705" spans="1:11" x14ac:dyDescent="0.25">
      <c r="A1705" s="1">
        <v>0.18263888888888899</v>
      </c>
      <c r="B1705" s="2">
        <v>6.13</v>
      </c>
      <c r="C1705" s="2">
        <v>3.7399999999999998</v>
      </c>
      <c r="D1705" s="2">
        <v>5.05</v>
      </c>
      <c r="E1705" s="2">
        <v>5.63</v>
      </c>
      <c r="F1705" s="2">
        <v>3.24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</row>
    <row r="1706" spans="1:11" x14ac:dyDescent="0.25">
      <c r="A1706" s="1">
        <v>0.18333333333333299</v>
      </c>
      <c r="B1706" s="2">
        <v>6.09</v>
      </c>
      <c r="C1706" s="2">
        <v>3.6999999999999997</v>
      </c>
      <c r="D1706" s="2">
        <v>4.8899999999999997</v>
      </c>
      <c r="E1706" s="2">
        <v>4.95</v>
      </c>
      <c r="F1706" s="2">
        <v>3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</row>
    <row r="1707" spans="1:11" x14ac:dyDescent="0.25">
      <c r="A1707" s="1">
        <v>0.18402777777777801</v>
      </c>
      <c r="B1707" s="2">
        <v>6.2</v>
      </c>
      <c r="C1707" s="2">
        <v>3.57</v>
      </c>
      <c r="D1707" s="2">
        <v>5.1499999999999995</v>
      </c>
      <c r="E1707" s="2">
        <v>5.21</v>
      </c>
      <c r="F1707" s="2">
        <v>3.0100000000000002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</row>
    <row r="1708" spans="1:11" x14ac:dyDescent="0.25">
      <c r="A1708" s="1">
        <v>0.18472222222222201</v>
      </c>
      <c r="B1708" s="2">
        <v>6.3100000000000005</v>
      </c>
      <c r="C1708" s="2">
        <v>3.84</v>
      </c>
      <c r="D1708" s="2">
        <v>5.0299999999999994</v>
      </c>
      <c r="E1708" s="2">
        <v>5.56</v>
      </c>
      <c r="F1708" s="2">
        <v>3.33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</row>
    <row r="1709" spans="1:11" x14ac:dyDescent="0.25">
      <c r="A1709" s="1">
        <v>0.18541666666666701</v>
      </c>
      <c r="B1709" s="2">
        <v>6.19</v>
      </c>
      <c r="C1709" s="2">
        <v>3.82</v>
      </c>
      <c r="D1709" s="2">
        <v>4.8499999999999996</v>
      </c>
      <c r="E1709" s="2">
        <v>5.07</v>
      </c>
      <c r="F1709" s="2">
        <v>2.88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</row>
    <row r="1710" spans="1:11" x14ac:dyDescent="0.25">
      <c r="A1710" s="1">
        <v>0.18611111111111101</v>
      </c>
      <c r="B1710" s="2">
        <v>6.14</v>
      </c>
      <c r="C1710" s="2">
        <v>3.7199999999999998</v>
      </c>
      <c r="D1710" s="2">
        <v>4.8699999999999992</v>
      </c>
      <c r="E1710" s="2">
        <v>5.39</v>
      </c>
      <c r="F1710" s="2">
        <v>3.35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</row>
    <row r="1711" spans="1:11" x14ac:dyDescent="0.25">
      <c r="A1711" s="1">
        <v>0.186805555555556</v>
      </c>
      <c r="B1711" s="2">
        <v>6.2700000000000005</v>
      </c>
      <c r="C1711" s="2">
        <v>3.6599999999999997</v>
      </c>
      <c r="D1711" s="2">
        <v>4.8499999999999996</v>
      </c>
      <c r="E1711" s="2">
        <v>4.95</v>
      </c>
      <c r="F1711" s="2">
        <v>3.2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</row>
    <row r="1712" spans="1:11" x14ac:dyDescent="0.25">
      <c r="A1712" s="1">
        <v>0.1875</v>
      </c>
      <c r="B1712" s="2">
        <v>6.2700000000000005</v>
      </c>
      <c r="C1712" s="2">
        <v>3.5799999999999996</v>
      </c>
      <c r="D1712" s="2">
        <v>5.2399999999999993</v>
      </c>
      <c r="E1712" s="2">
        <v>5.52</v>
      </c>
      <c r="F1712" s="2">
        <v>3.39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</row>
    <row r="1713" spans="1:11" x14ac:dyDescent="0.25">
      <c r="A1713" s="1">
        <v>0.188194444444444</v>
      </c>
      <c r="B1713" s="2">
        <v>6.28</v>
      </c>
      <c r="C1713" s="2">
        <v>3.8499999999999996</v>
      </c>
      <c r="D1713" s="2">
        <v>5.04</v>
      </c>
      <c r="E1713" s="2">
        <v>4.95</v>
      </c>
      <c r="F1713" s="2">
        <v>2.99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</row>
    <row r="1714" spans="1:11" x14ac:dyDescent="0.25">
      <c r="A1714" s="1">
        <v>0.18888888888888899</v>
      </c>
      <c r="B1714" s="2">
        <v>6.23</v>
      </c>
      <c r="C1714" s="2">
        <v>3.6999999999999997</v>
      </c>
      <c r="D1714" s="2">
        <v>5.17</v>
      </c>
      <c r="E1714" s="2">
        <v>5.17</v>
      </c>
      <c r="F1714" s="2">
        <v>3.23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</row>
    <row r="1715" spans="1:11" x14ac:dyDescent="0.25">
      <c r="A1715" s="1">
        <v>0.18958333333333299</v>
      </c>
      <c r="B1715" s="2">
        <v>6.24</v>
      </c>
      <c r="C1715" s="2">
        <v>3.82</v>
      </c>
      <c r="D1715" s="2">
        <v>5.1499999999999995</v>
      </c>
      <c r="E1715" s="2">
        <v>5.32</v>
      </c>
      <c r="F1715" s="2">
        <v>2.98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</row>
    <row r="1716" spans="1:11" x14ac:dyDescent="0.25">
      <c r="A1716" s="1">
        <v>0.19027777777777799</v>
      </c>
      <c r="B1716" s="2">
        <v>6.22</v>
      </c>
      <c r="C1716" s="2">
        <v>3.67</v>
      </c>
      <c r="D1716" s="2">
        <v>5.0199999999999996</v>
      </c>
      <c r="E1716" s="2">
        <v>5.47</v>
      </c>
      <c r="F1716" s="2">
        <v>3.21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</row>
    <row r="1717" spans="1:11" x14ac:dyDescent="0.25">
      <c r="A1717" s="1">
        <v>0.19097222222222199</v>
      </c>
      <c r="B1717" s="2">
        <v>6.17</v>
      </c>
      <c r="C1717" s="2">
        <v>3.6799999999999997</v>
      </c>
      <c r="D1717" s="2">
        <v>5.14</v>
      </c>
      <c r="E1717" s="2">
        <v>5</v>
      </c>
      <c r="F1717" s="2">
        <v>3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</row>
    <row r="1718" spans="1:11" x14ac:dyDescent="0.25">
      <c r="A1718" s="1">
        <v>0.19166666666666701</v>
      </c>
      <c r="B1718" s="2">
        <v>6.15</v>
      </c>
      <c r="C1718" s="2">
        <v>3.69</v>
      </c>
      <c r="D1718" s="2">
        <v>5.29</v>
      </c>
      <c r="E1718" s="2">
        <v>5.57</v>
      </c>
      <c r="F1718" s="2">
        <v>3.38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</row>
    <row r="1719" spans="1:11" x14ac:dyDescent="0.25">
      <c r="A1719" s="1">
        <v>0.19236111111111101</v>
      </c>
      <c r="B1719" s="2">
        <v>6.26</v>
      </c>
      <c r="C1719" s="2">
        <v>3.79</v>
      </c>
      <c r="D1719" s="2">
        <v>5</v>
      </c>
      <c r="E1719" s="2">
        <v>5.58</v>
      </c>
      <c r="F1719" s="2">
        <v>3.2800000000000002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</row>
    <row r="1720" spans="1:11" x14ac:dyDescent="0.25">
      <c r="A1720" s="1">
        <v>0.19305555555555601</v>
      </c>
      <c r="B1720" s="2">
        <v>6.13</v>
      </c>
      <c r="C1720" s="2">
        <v>3.76</v>
      </c>
      <c r="D1720" s="2">
        <v>4.9099999999999993</v>
      </c>
      <c r="E1720" s="2">
        <v>5.52</v>
      </c>
      <c r="F1720" s="2">
        <v>2.97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</row>
    <row r="1721" spans="1:11" x14ac:dyDescent="0.25">
      <c r="A1721" s="1">
        <v>0.19375000000000001</v>
      </c>
      <c r="B1721" s="2">
        <v>6.3100000000000005</v>
      </c>
      <c r="C1721" s="2">
        <v>3.76</v>
      </c>
      <c r="D1721" s="2">
        <v>4.93</v>
      </c>
      <c r="E1721" s="2">
        <v>5.42</v>
      </c>
      <c r="F1721" s="2">
        <v>3.04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</row>
    <row r="1722" spans="1:11" x14ac:dyDescent="0.25">
      <c r="A1722" s="1">
        <v>0.194444444444444</v>
      </c>
      <c r="B1722" s="2">
        <v>6.14</v>
      </c>
      <c r="C1722" s="2">
        <v>3.6399999999999997</v>
      </c>
      <c r="D1722" s="2">
        <v>4.8999999999999995</v>
      </c>
      <c r="E1722" s="2">
        <v>5.62</v>
      </c>
      <c r="F1722" s="2">
        <v>3.38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</row>
    <row r="1723" spans="1:11" x14ac:dyDescent="0.25">
      <c r="A1723" s="1">
        <v>0.195138888888889</v>
      </c>
      <c r="B1723" s="2">
        <v>6.12</v>
      </c>
      <c r="C1723" s="2">
        <v>3.76</v>
      </c>
      <c r="D1723" s="2">
        <v>5.2299999999999995</v>
      </c>
      <c r="E1723" s="2">
        <v>5.3</v>
      </c>
      <c r="F1723" s="2">
        <v>3.0300000000000002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</row>
    <row r="1724" spans="1:11" x14ac:dyDescent="0.25">
      <c r="A1724" s="1">
        <v>0.195833333333333</v>
      </c>
      <c r="B1724" s="2">
        <v>6.08</v>
      </c>
      <c r="C1724" s="2">
        <v>3.5999999999999996</v>
      </c>
      <c r="D1724" s="2">
        <v>4.8999999999999995</v>
      </c>
      <c r="E1724" s="2">
        <v>5.57</v>
      </c>
      <c r="F1724" s="2">
        <v>2.93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</row>
    <row r="1725" spans="1:11" x14ac:dyDescent="0.25">
      <c r="A1725" s="1">
        <v>0.196527777777778</v>
      </c>
      <c r="B1725" s="2">
        <v>6.12</v>
      </c>
      <c r="C1725" s="2">
        <v>3.6199999999999997</v>
      </c>
      <c r="D1725" s="2">
        <v>4.9399999999999995</v>
      </c>
      <c r="E1725" s="2">
        <v>4.99</v>
      </c>
      <c r="F1725" s="2">
        <v>2.98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</row>
    <row r="1726" spans="1:11" x14ac:dyDescent="0.25">
      <c r="A1726" s="1">
        <v>0.19722222222222199</v>
      </c>
      <c r="B1726" s="2">
        <v>6.25</v>
      </c>
      <c r="C1726" s="2">
        <v>3.67</v>
      </c>
      <c r="D1726" s="2">
        <v>5.0699999999999994</v>
      </c>
      <c r="E1726" s="2">
        <v>5.08</v>
      </c>
      <c r="F1726" s="2">
        <v>3.12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</row>
    <row r="1727" spans="1:11" x14ac:dyDescent="0.25">
      <c r="A1727" s="1">
        <v>0.19791666666666699</v>
      </c>
      <c r="B1727" s="2">
        <v>6.23</v>
      </c>
      <c r="C1727" s="2">
        <v>3.7399999999999998</v>
      </c>
      <c r="D1727" s="2">
        <v>5.1599999999999993</v>
      </c>
      <c r="E1727" s="2">
        <v>5.37</v>
      </c>
      <c r="F1727" s="2">
        <v>3.0700000000000003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</row>
    <row r="1728" spans="1:11" x14ac:dyDescent="0.25">
      <c r="A1728" s="1">
        <v>0.19861111111111099</v>
      </c>
      <c r="B1728" s="2">
        <v>6.11</v>
      </c>
      <c r="C1728" s="2">
        <v>3.73</v>
      </c>
      <c r="D1728" s="2">
        <v>5.2799999999999994</v>
      </c>
      <c r="E1728" s="2">
        <v>5.13</v>
      </c>
      <c r="F1728" s="2">
        <v>3.0300000000000002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</row>
    <row r="1729" spans="1:11" x14ac:dyDescent="0.25">
      <c r="A1729" s="1">
        <v>0.19930555555555601</v>
      </c>
      <c r="B1729" s="2">
        <v>6.14</v>
      </c>
      <c r="C1729" s="2">
        <v>3.61</v>
      </c>
      <c r="D1729" s="2">
        <v>5.2299999999999995</v>
      </c>
      <c r="E1729" s="2">
        <v>5</v>
      </c>
      <c r="F1729" s="2">
        <v>3.19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</row>
    <row r="1730" spans="1:11" x14ac:dyDescent="0.25">
      <c r="A1730" s="1">
        <v>0.2</v>
      </c>
      <c r="B1730" s="2">
        <v>6.22</v>
      </c>
      <c r="C1730" s="2">
        <v>3.76</v>
      </c>
      <c r="D1730" s="2">
        <v>5.08</v>
      </c>
      <c r="E1730" s="2">
        <v>5.54</v>
      </c>
      <c r="F1730" s="2">
        <v>3.16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</row>
    <row r="1731" spans="1:11" x14ac:dyDescent="0.25">
      <c r="A1731" s="1">
        <v>0.20069444444444401</v>
      </c>
      <c r="B1731" s="2">
        <v>6.3100000000000005</v>
      </c>
      <c r="C1731" s="2">
        <v>3.6399999999999997</v>
      </c>
      <c r="D1731" s="2">
        <v>4.92</v>
      </c>
      <c r="E1731" s="2">
        <v>5.58</v>
      </c>
      <c r="F1731" s="2">
        <v>3.19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</row>
    <row r="1732" spans="1:11" x14ac:dyDescent="0.25">
      <c r="A1732" s="1">
        <v>0.20138888888888901</v>
      </c>
      <c r="B1732" s="2">
        <v>6.16</v>
      </c>
      <c r="C1732" s="2">
        <v>3.6199999999999997</v>
      </c>
      <c r="D1732" s="2">
        <v>4.8899999999999997</v>
      </c>
      <c r="E1732" s="2">
        <v>5.6</v>
      </c>
      <c r="F1732" s="2">
        <v>3.13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</row>
    <row r="1733" spans="1:11" x14ac:dyDescent="0.25">
      <c r="A1733" s="1">
        <v>0.202083333333333</v>
      </c>
      <c r="B1733" s="2">
        <v>6.15</v>
      </c>
      <c r="C1733" s="2">
        <v>3.83</v>
      </c>
      <c r="D1733" s="2">
        <v>5.1899999999999995</v>
      </c>
      <c r="E1733" s="2">
        <v>5.48</v>
      </c>
      <c r="F1733" s="2">
        <v>3.24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</row>
    <row r="1734" spans="1:11" x14ac:dyDescent="0.25">
      <c r="A1734" s="1">
        <v>0.202777777777778</v>
      </c>
      <c r="B1734" s="2">
        <v>6.25</v>
      </c>
      <c r="C1734" s="2">
        <v>3.79</v>
      </c>
      <c r="D1734" s="2">
        <v>5.2799999999999994</v>
      </c>
      <c r="E1734" s="2">
        <v>5.15</v>
      </c>
      <c r="F1734" s="2">
        <v>3.21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</row>
    <row r="1735" spans="1:11" x14ac:dyDescent="0.25">
      <c r="A1735" s="1">
        <v>0.203472222222222</v>
      </c>
      <c r="B1735" s="2">
        <v>6.33</v>
      </c>
      <c r="C1735" s="2">
        <v>3.61</v>
      </c>
      <c r="D1735" s="2">
        <v>5.09</v>
      </c>
      <c r="E1735" s="2">
        <v>5.28</v>
      </c>
      <c r="F1735" s="2">
        <v>3.1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</row>
    <row r="1736" spans="1:11" x14ac:dyDescent="0.25">
      <c r="A1736" s="1">
        <v>0.204166666666667</v>
      </c>
      <c r="B1736" s="2">
        <v>6.1</v>
      </c>
      <c r="C1736" s="2">
        <v>3.6399999999999997</v>
      </c>
      <c r="D1736" s="2">
        <v>4.9499999999999993</v>
      </c>
      <c r="E1736" s="2">
        <v>5.4</v>
      </c>
      <c r="F1736" s="2">
        <v>3.33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</row>
    <row r="1737" spans="1:11" x14ac:dyDescent="0.25">
      <c r="A1737" s="1">
        <v>0.20486111111111099</v>
      </c>
      <c r="B1737" s="2">
        <v>6.22</v>
      </c>
      <c r="C1737" s="2">
        <v>3.69</v>
      </c>
      <c r="D1737" s="2">
        <v>4.8499999999999996</v>
      </c>
      <c r="E1737" s="2">
        <v>5.22</v>
      </c>
      <c r="F1737" s="2">
        <v>2.94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</row>
    <row r="1738" spans="1:11" x14ac:dyDescent="0.25">
      <c r="A1738" s="1">
        <v>0.20555555555555599</v>
      </c>
      <c r="B1738" s="2">
        <v>6.25</v>
      </c>
      <c r="C1738" s="2">
        <v>3.65</v>
      </c>
      <c r="D1738" s="2">
        <v>5.0599999999999996</v>
      </c>
      <c r="E1738" s="2">
        <v>5.0199999999999996</v>
      </c>
      <c r="F1738" s="2">
        <v>3.37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</row>
    <row r="1739" spans="1:11" x14ac:dyDescent="0.25">
      <c r="A1739" s="1">
        <v>0.20624999999999999</v>
      </c>
      <c r="B1739" s="2">
        <v>6.3100000000000005</v>
      </c>
      <c r="C1739" s="2">
        <v>3.73</v>
      </c>
      <c r="D1739" s="2">
        <v>5</v>
      </c>
      <c r="E1739" s="2">
        <v>5.61</v>
      </c>
      <c r="F1739" s="2">
        <v>2.96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</row>
    <row r="1740" spans="1:11" x14ac:dyDescent="0.25">
      <c r="A1740" s="1">
        <v>0.20694444444444399</v>
      </c>
      <c r="B1740" s="2">
        <v>6.2700000000000005</v>
      </c>
      <c r="C1740" s="2">
        <v>3.65</v>
      </c>
      <c r="D1740" s="2">
        <v>5.2399999999999993</v>
      </c>
      <c r="E1740" s="2">
        <v>5.48</v>
      </c>
      <c r="F1740" s="2">
        <v>2.95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</row>
    <row r="1741" spans="1:11" x14ac:dyDescent="0.25">
      <c r="A1741" s="1">
        <v>0.20763888888888901</v>
      </c>
      <c r="B1741" s="2">
        <v>6.2</v>
      </c>
      <c r="C1741" s="2">
        <v>3.57</v>
      </c>
      <c r="D1741" s="2">
        <v>4.8899999999999997</v>
      </c>
      <c r="E1741" s="2">
        <v>5.59</v>
      </c>
      <c r="F1741" s="2">
        <v>2.91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</row>
    <row r="1742" spans="1:11" x14ac:dyDescent="0.25">
      <c r="A1742" s="3">
        <v>0.20833333333333301</v>
      </c>
      <c r="B1742" s="2">
        <v>6.21</v>
      </c>
      <c r="C1742" s="2">
        <v>3.73</v>
      </c>
      <c r="D1742" s="2">
        <v>5.0999999999999996</v>
      </c>
      <c r="E1742" s="2">
        <v>5.31</v>
      </c>
      <c r="F1742" s="2">
        <v>3.16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</row>
    <row r="1743" spans="1:11" x14ac:dyDescent="0.25">
      <c r="A1743" s="1">
        <v>0.20902777777777801</v>
      </c>
      <c r="B1743" s="2">
        <v>6.17</v>
      </c>
      <c r="C1743" s="2">
        <v>3.78</v>
      </c>
      <c r="D1743" s="2">
        <v>5.1199999999999992</v>
      </c>
      <c r="E1743" s="2">
        <v>5.4</v>
      </c>
      <c r="F1743" s="2">
        <v>3.24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</row>
    <row r="1744" spans="1:11" x14ac:dyDescent="0.25">
      <c r="A1744" s="1">
        <v>0.209722222222222</v>
      </c>
      <c r="B1744" s="2">
        <v>6.1099999999999994</v>
      </c>
      <c r="C1744" s="2">
        <v>3.63</v>
      </c>
      <c r="D1744" s="2">
        <v>4.8999999999999995</v>
      </c>
      <c r="E1744" s="2">
        <v>5.0999999999999996</v>
      </c>
      <c r="F1744" s="2">
        <v>3.13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</row>
    <row r="1745" spans="1:11" x14ac:dyDescent="0.25">
      <c r="A1745" s="1">
        <v>0.210416666666667</v>
      </c>
      <c r="B1745" s="2">
        <v>6.1499999999999995</v>
      </c>
      <c r="C1745" s="2">
        <v>3.75</v>
      </c>
      <c r="D1745" s="2">
        <v>5.0999999999999996</v>
      </c>
      <c r="E1745" s="2">
        <v>5.34</v>
      </c>
      <c r="F1745" s="2">
        <v>3.19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</row>
    <row r="1746" spans="1:11" x14ac:dyDescent="0.25">
      <c r="A1746" s="1">
        <v>0.211111111111111</v>
      </c>
      <c r="B1746" s="2">
        <v>6.22</v>
      </c>
      <c r="C1746" s="2">
        <v>3.6199999999999997</v>
      </c>
      <c r="D1746" s="2">
        <v>5.25</v>
      </c>
      <c r="E1746" s="2">
        <v>5.43</v>
      </c>
      <c r="F1746" s="2">
        <v>3.2600000000000002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</row>
    <row r="1747" spans="1:11" x14ac:dyDescent="0.25">
      <c r="A1747" s="1">
        <v>0.211805555555556</v>
      </c>
      <c r="B1747" s="2">
        <v>6.14</v>
      </c>
      <c r="C1747" s="2">
        <v>3.8099999999999996</v>
      </c>
      <c r="D1747" s="2">
        <v>5.2799999999999994</v>
      </c>
      <c r="E1747" s="2">
        <v>5.36</v>
      </c>
      <c r="F1747" s="2">
        <v>2.94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</row>
    <row r="1748" spans="1:11" x14ac:dyDescent="0.25">
      <c r="A1748" s="1">
        <v>0.21249999999999999</v>
      </c>
      <c r="B1748" s="2">
        <v>6.21</v>
      </c>
      <c r="C1748" s="2">
        <v>3.8099999999999996</v>
      </c>
      <c r="D1748" s="2">
        <v>5.21</v>
      </c>
      <c r="E1748" s="2">
        <v>4.9399999999999995</v>
      </c>
      <c r="F1748" s="2">
        <v>3.35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</row>
    <row r="1749" spans="1:11" x14ac:dyDescent="0.25">
      <c r="A1749" s="1">
        <v>0.21319444444444399</v>
      </c>
      <c r="B1749" s="2">
        <v>6.25</v>
      </c>
      <c r="C1749" s="2">
        <v>3.5999999999999996</v>
      </c>
      <c r="D1749" s="2">
        <v>5.1199999999999992</v>
      </c>
      <c r="E1749" s="2">
        <v>5.37</v>
      </c>
      <c r="F1749" s="2">
        <v>3.1100000000000003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</row>
    <row r="1750" spans="1:11" x14ac:dyDescent="0.25">
      <c r="A1750" s="1">
        <v>0.21388888888888899</v>
      </c>
      <c r="B1750" s="2">
        <v>6.25</v>
      </c>
      <c r="C1750" s="2">
        <v>3.82</v>
      </c>
      <c r="D1750" s="2">
        <v>5.1899999999999995</v>
      </c>
      <c r="E1750" s="2">
        <v>5.42</v>
      </c>
      <c r="F1750" s="2">
        <v>2.96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</row>
    <row r="1751" spans="1:11" x14ac:dyDescent="0.25">
      <c r="A1751" s="1">
        <v>0.21458333333333299</v>
      </c>
      <c r="B1751" s="2">
        <v>6.25</v>
      </c>
      <c r="C1751" s="2">
        <v>3.7399999999999998</v>
      </c>
      <c r="D1751" s="2">
        <v>5.13</v>
      </c>
      <c r="E1751" s="2">
        <v>5.32</v>
      </c>
      <c r="F1751" s="2">
        <v>2.9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</row>
    <row r="1752" spans="1:11" x14ac:dyDescent="0.25">
      <c r="A1752" s="1">
        <v>0.21527777777777801</v>
      </c>
      <c r="B1752" s="2">
        <v>6.1899999999999995</v>
      </c>
      <c r="C1752" s="2">
        <v>3.67</v>
      </c>
      <c r="D1752" s="2">
        <v>4.8999999999999995</v>
      </c>
      <c r="E1752" s="2">
        <v>5.45</v>
      </c>
      <c r="F1752" s="2">
        <v>3.29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</row>
    <row r="1753" spans="1:11" x14ac:dyDescent="0.25">
      <c r="A1753" s="1">
        <v>0.21597222222222201</v>
      </c>
      <c r="B1753" s="2">
        <v>6.24</v>
      </c>
      <c r="C1753" s="2">
        <v>3.7199999999999998</v>
      </c>
      <c r="D1753" s="2">
        <v>5.1599999999999993</v>
      </c>
      <c r="E1753" s="2">
        <v>4.95</v>
      </c>
      <c r="F1753" s="2">
        <v>2.93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</row>
    <row r="1754" spans="1:11" x14ac:dyDescent="0.25">
      <c r="A1754" s="1">
        <v>0.21666666666666701</v>
      </c>
      <c r="B1754" s="2">
        <v>6.32</v>
      </c>
      <c r="C1754" s="2">
        <v>3.61</v>
      </c>
      <c r="D1754" s="2">
        <v>5.08</v>
      </c>
      <c r="E1754" s="2">
        <v>4.96</v>
      </c>
      <c r="F1754" s="2">
        <v>3.0900000000000003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</row>
    <row r="1755" spans="1:11" x14ac:dyDescent="0.25">
      <c r="A1755" s="1">
        <v>0.21736111111111101</v>
      </c>
      <c r="B1755" s="2">
        <v>6.3599999999999994</v>
      </c>
      <c r="C1755" s="2">
        <v>3.7399999999999998</v>
      </c>
      <c r="D1755" s="2">
        <v>5.0199999999999996</v>
      </c>
      <c r="E1755" s="2">
        <v>5.62</v>
      </c>
      <c r="F1755" s="2">
        <v>3.38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</row>
    <row r="1756" spans="1:11" x14ac:dyDescent="0.25">
      <c r="A1756" s="1">
        <v>0.218055555555556</v>
      </c>
      <c r="B1756" s="2">
        <v>6.14</v>
      </c>
      <c r="C1756" s="2">
        <v>3.65</v>
      </c>
      <c r="D1756" s="2">
        <v>5.3</v>
      </c>
      <c r="E1756" s="2">
        <v>5.16</v>
      </c>
      <c r="F1756" s="2">
        <v>3.1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</row>
    <row r="1757" spans="1:11" x14ac:dyDescent="0.25">
      <c r="A1757" s="1">
        <v>0.21875</v>
      </c>
      <c r="B1757" s="2">
        <v>6.2299999999999995</v>
      </c>
      <c r="C1757" s="2">
        <v>3.6399999999999997</v>
      </c>
      <c r="D1757" s="2">
        <v>5.29</v>
      </c>
      <c r="E1757" s="2">
        <v>4.95</v>
      </c>
      <c r="F1757" s="2">
        <v>3.08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</row>
    <row r="1758" spans="1:11" x14ac:dyDescent="0.25">
      <c r="A1758" s="1">
        <v>0.219444444444444</v>
      </c>
      <c r="B1758" s="2">
        <v>6.34</v>
      </c>
      <c r="C1758" s="2">
        <v>3.7399999999999998</v>
      </c>
      <c r="D1758" s="2">
        <v>5.04</v>
      </c>
      <c r="E1758" s="2">
        <v>5.58</v>
      </c>
      <c r="F1758" s="2">
        <v>3.02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</row>
    <row r="1759" spans="1:11" x14ac:dyDescent="0.25">
      <c r="A1759" s="1">
        <v>0.22013888888888899</v>
      </c>
      <c r="B1759" s="2">
        <v>6.09</v>
      </c>
      <c r="C1759" s="2">
        <v>3.73</v>
      </c>
      <c r="D1759" s="2">
        <v>5.1999999999999993</v>
      </c>
      <c r="E1759" s="2">
        <v>5.62</v>
      </c>
      <c r="F1759" s="2">
        <v>3.13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</row>
    <row r="1760" spans="1:11" x14ac:dyDescent="0.25">
      <c r="A1760" s="1">
        <v>0.22083333333333299</v>
      </c>
      <c r="B1760" s="2">
        <v>6.18</v>
      </c>
      <c r="C1760" s="2">
        <v>3.79</v>
      </c>
      <c r="D1760" s="2">
        <v>5.1999999999999993</v>
      </c>
      <c r="E1760" s="2">
        <v>5.4399999999999995</v>
      </c>
      <c r="F1760" s="2">
        <v>3.25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</row>
    <row r="1761" spans="1:11" x14ac:dyDescent="0.25">
      <c r="A1761" s="1">
        <v>0.22152777777777799</v>
      </c>
      <c r="B1761" s="2">
        <v>6.21</v>
      </c>
      <c r="C1761" s="2">
        <v>3.59</v>
      </c>
      <c r="D1761" s="2">
        <v>5.3</v>
      </c>
      <c r="E1761" s="2">
        <v>5.63</v>
      </c>
      <c r="F1761" s="2">
        <v>2.94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</row>
    <row r="1762" spans="1:11" x14ac:dyDescent="0.25">
      <c r="A1762" s="1">
        <v>0.22222222222222199</v>
      </c>
      <c r="B1762" s="2">
        <v>6.1</v>
      </c>
      <c r="C1762" s="2">
        <v>3.8</v>
      </c>
      <c r="D1762" s="2">
        <v>4.9499999999999993</v>
      </c>
      <c r="E1762" s="2">
        <v>4.9799999999999995</v>
      </c>
      <c r="F1762" s="2">
        <v>3.18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</row>
    <row r="1763" spans="1:11" x14ac:dyDescent="0.25">
      <c r="A1763" s="1">
        <v>0.22291666666666701</v>
      </c>
      <c r="B1763" s="2">
        <v>6.3599999999999994</v>
      </c>
      <c r="C1763" s="2">
        <v>3.6599999999999997</v>
      </c>
      <c r="D1763" s="2">
        <v>5.21</v>
      </c>
      <c r="E1763" s="2">
        <v>5.52</v>
      </c>
      <c r="F1763" s="2">
        <v>2.99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</row>
    <row r="1764" spans="1:11" x14ac:dyDescent="0.25">
      <c r="A1764" s="1">
        <v>0.22361111111111101</v>
      </c>
      <c r="B1764" s="2">
        <v>6.27</v>
      </c>
      <c r="C1764" s="2">
        <v>3.73</v>
      </c>
      <c r="D1764" s="2">
        <v>5.08</v>
      </c>
      <c r="E1764" s="2">
        <v>5.2</v>
      </c>
      <c r="F1764" s="2">
        <v>3.2600000000000002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</row>
    <row r="1765" spans="1:11" x14ac:dyDescent="0.25">
      <c r="A1765" s="1">
        <v>0.22430555555555601</v>
      </c>
      <c r="B1765" s="2">
        <v>6.1499999999999995</v>
      </c>
      <c r="C1765" s="2">
        <v>3.7399999999999998</v>
      </c>
      <c r="D1765" s="2">
        <v>5.1499999999999995</v>
      </c>
      <c r="E1765" s="2">
        <v>5.22</v>
      </c>
      <c r="F1765" s="2">
        <v>3.19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</row>
    <row r="1766" spans="1:11" x14ac:dyDescent="0.25">
      <c r="A1766" s="1">
        <v>0.22500000000000001</v>
      </c>
      <c r="B1766" s="2">
        <v>6.29</v>
      </c>
      <c r="C1766" s="2">
        <v>3.73</v>
      </c>
      <c r="D1766" s="2">
        <v>5.2799999999999994</v>
      </c>
      <c r="E1766" s="2">
        <v>5.4</v>
      </c>
      <c r="F1766" s="2">
        <v>3.31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</row>
    <row r="1767" spans="1:11" x14ac:dyDescent="0.25">
      <c r="A1767" s="1">
        <v>0.225694444444444</v>
      </c>
      <c r="B1767" s="2">
        <v>6.12</v>
      </c>
      <c r="C1767" s="2">
        <v>3.5799999999999996</v>
      </c>
      <c r="D1767" s="2">
        <v>5.2299999999999995</v>
      </c>
      <c r="E1767" s="2">
        <v>5.4</v>
      </c>
      <c r="F1767" s="2">
        <v>3.2800000000000002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</row>
    <row r="1768" spans="1:11" x14ac:dyDescent="0.25">
      <c r="A1768" s="1">
        <v>0.226388888888889</v>
      </c>
      <c r="B1768" s="2">
        <v>6.31</v>
      </c>
      <c r="C1768" s="2">
        <v>3.73</v>
      </c>
      <c r="D1768" s="2">
        <v>4.8699999999999992</v>
      </c>
      <c r="E1768" s="2">
        <v>5.17</v>
      </c>
      <c r="F1768" s="2">
        <v>3.16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</row>
    <row r="1769" spans="1:11" x14ac:dyDescent="0.25">
      <c r="A1769" s="1">
        <v>0.227083333333333</v>
      </c>
      <c r="B1769" s="2">
        <v>6.1499999999999995</v>
      </c>
      <c r="C1769" s="2">
        <v>3.6599999999999997</v>
      </c>
      <c r="D1769" s="2">
        <v>4.8899999999999997</v>
      </c>
      <c r="E1769" s="2">
        <v>5.2299999999999995</v>
      </c>
      <c r="F1769" s="2">
        <v>2.99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</row>
    <row r="1770" spans="1:11" x14ac:dyDescent="0.25">
      <c r="A1770" s="1">
        <v>0.227777777777778</v>
      </c>
      <c r="B1770" s="2">
        <v>6.33</v>
      </c>
      <c r="C1770" s="2">
        <v>3.6999999999999997</v>
      </c>
      <c r="D1770" s="2">
        <v>5.1499999999999995</v>
      </c>
      <c r="E1770" s="2">
        <v>5.09</v>
      </c>
      <c r="F1770" s="2">
        <v>2.91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</row>
    <row r="1771" spans="1:11" x14ac:dyDescent="0.25">
      <c r="A1771" s="1">
        <v>0.22847222222222199</v>
      </c>
      <c r="B1771" s="2">
        <v>6.27</v>
      </c>
      <c r="C1771" s="2">
        <v>3.7399999999999998</v>
      </c>
      <c r="D1771" s="2">
        <v>5.2299999999999995</v>
      </c>
      <c r="E1771" s="2">
        <v>5.18</v>
      </c>
      <c r="F1771" s="2">
        <v>2.88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</row>
    <row r="1772" spans="1:11" x14ac:dyDescent="0.25">
      <c r="A1772" s="1">
        <v>0.22916666666666699</v>
      </c>
      <c r="B1772" s="2">
        <v>6.33</v>
      </c>
      <c r="C1772" s="2">
        <v>3.6799999999999997</v>
      </c>
      <c r="D1772" s="2">
        <v>5.21</v>
      </c>
      <c r="E1772" s="2">
        <v>5.07</v>
      </c>
      <c r="F1772" s="2">
        <v>2.95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</row>
    <row r="1773" spans="1:11" x14ac:dyDescent="0.25">
      <c r="A1773" s="1">
        <v>0.22986111111111099</v>
      </c>
      <c r="B1773" s="2">
        <v>6.16</v>
      </c>
      <c r="C1773" s="2">
        <v>3.69</v>
      </c>
      <c r="D1773" s="2">
        <v>5.29</v>
      </c>
      <c r="E1773" s="2">
        <v>5.07</v>
      </c>
      <c r="F1773" s="2">
        <v>3.1500000000000004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</row>
    <row r="1774" spans="1:11" x14ac:dyDescent="0.25">
      <c r="A1774" s="1">
        <v>0.23055555555555601</v>
      </c>
      <c r="B1774" s="2">
        <v>6.09</v>
      </c>
      <c r="C1774" s="2">
        <v>3.7199999999999998</v>
      </c>
      <c r="D1774" s="2">
        <v>5.27</v>
      </c>
      <c r="E1774" s="2">
        <v>4.9399999999999995</v>
      </c>
      <c r="F1774" s="2">
        <v>2.88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</row>
    <row r="1775" spans="1:11" x14ac:dyDescent="0.25">
      <c r="A1775" s="1">
        <v>0.23125000000000001</v>
      </c>
      <c r="B1775" s="2">
        <v>6.22</v>
      </c>
      <c r="C1775" s="2">
        <v>3.6799999999999997</v>
      </c>
      <c r="D1775" s="2">
        <v>5.0999999999999996</v>
      </c>
      <c r="E1775" s="2">
        <v>5.51</v>
      </c>
      <c r="F1775" s="2">
        <v>3.3200000000000003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</row>
    <row r="1776" spans="1:11" x14ac:dyDescent="0.25">
      <c r="A1776" s="1">
        <v>0.23194444444444401</v>
      </c>
      <c r="B1776" s="2">
        <v>6.25</v>
      </c>
      <c r="C1776" s="2">
        <v>3.65</v>
      </c>
      <c r="D1776" s="2">
        <v>5.04</v>
      </c>
      <c r="E1776" s="2">
        <v>5.37</v>
      </c>
      <c r="F1776" s="2">
        <v>3.3000000000000003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</row>
    <row r="1777" spans="1:16" x14ac:dyDescent="0.25">
      <c r="A1777" s="1">
        <v>0.23263888888888901</v>
      </c>
      <c r="B1777" s="2">
        <v>6.29</v>
      </c>
      <c r="C1777" s="2">
        <v>3.67</v>
      </c>
      <c r="D1777" s="2">
        <v>4.8699999999999992</v>
      </c>
      <c r="E1777" s="2">
        <v>5.57</v>
      </c>
      <c r="F1777" s="2">
        <v>3.0500000000000003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</row>
    <row r="1778" spans="1:16" x14ac:dyDescent="0.25">
      <c r="A1778" s="1">
        <v>0.233333333333333</v>
      </c>
      <c r="B1778" s="2">
        <v>6.13</v>
      </c>
      <c r="C1778" s="2">
        <v>3.67</v>
      </c>
      <c r="D1778" s="2">
        <v>4.8699999999999992</v>
      </c>
      <c r="E1778" s="2">
        <v>5.24</v>
      </c>
      <c r="F1778" s="2">
        <v>3.1500000000000004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</row>
    <row r="1779" spans="1:16" x14ac:dyDescent="0.25">
      <c r="A1779" s="1">
        <v>0.234027777777778</v>
      </c>
      <c r="B1779" s="2">
        <v>6.29</v>
      </c>
      <c r="C1779" s="2">
        <v>3.6199999999999997</v>
      </c>
      <c r="D1779" s="2">
        <v>4.9899999999999993</v>
      </c>
      <c r="E1779" s="2">
        <v>5.1899999999999995</v>
      </c>
      <c r="F1779" s="2">
        <v>3.33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</row>
    <row r="1780" spans="1:16" x14ac:dyDescent="0.25">
      <c r="A1780" s="1">
        <v>0.234722222222222</v>
      </c>
      <c r="B1780" s="2">
        <v>6.1499999999999995</v>
      </c>
      <c r="C1780" s="2">
        <v>3.61</v>
      </c>
      <c r="D1780" s="2">
        <v>4.8499999999999996</v>
      </c>
      <c r="E1780" s="2">
        <v>5.56</v>
      </c>
      <c r="F1780" s="2">
        <v>3.14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</row>
    <row r="1781" spans="1:16" x14ac:dyDescent="0.25">
      <c r="A1781" s="1">
        <v>0.235416666666667</v>
      </c>
      <c r="B1781" s="2">
        <v>6.3599999999999994</v>
      </c>
      <c r="C1781" s="2">
        <v>3.6399999999999997</v>
      </c>
      <c r="D1781" s="2">
        <v>5.27</v>
      </c>
      <c r="E1781" s="2">
        <v>5.39</v>
      </c>
      <c r="F1781" s="2">
        <v>3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</row>
    <row r="1782" spans="1:16" x14ac:dyDescent="0.25">
      <c r="A1782" s="1">
        <v>0.23611111111111099</v>
      </c>
      <c r="B1782" s="2">
        <v>6.16</v>
      </c>
      <c r="C1782" s="2">
        <v>3.6799999999999997</v>
      </c>
      <c r="D1782" s="2">
        <v>5.25</v>
      </c>
      <c r="E1782" s="2">
        <v>5.52</v>
      </c>
      <c r="F1782" s="2">
        <v>2.92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</row>
    <row r="1783" spans="1:16" x14ac:dyDescent="0.25">
      <c r="A1783" s="1">
        <v>0.23680555555555599</v>
      </c>
      <c r="B1783" s="2">
        <v>6.1099999999999994</v>
      </c>
      <c r="C1783" s="2">
        <v>3.67</v>
      </c>
      <c r="D1783" s="2">
        <v>5.25</v>
      </c>
      <c r="E1783" s="2">
        <v>5.28</v>
      </c>
      <c r="F1783" s="2">
        <v>3.14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</row>
    <row r="1784" spans="1:16" x14ac:dyDescent="0.25">
      <c r="A1784" s="1">
        <v>0.23749999999999999</v>
      </c>
      <c r="B1784" s="2">
        <v>6.1499999999999995</v>
      </c>
      <c r="C1784" s="2">
        <v>3.61</v>
      </c>
      <c r="D1784" s="2">
        <v>5.01</v>
      </c>
      <c r="E1784" s="2">
        <v>5.53</v>
      </c>
      <c r="F1784" s="2">
        <v>3.2600000000000002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</row>
    <row r="1785" spans="1:16" x14ac:dyDescent="0.25">
      <c r="A1785" s="1">
        <v>0.23819444444444399</v>
      </c>
      <c r="B1785" s="2">
        <v>6.35</v>
      </c>
      <c r="C1785" s="2">
        <v>3.8</v>
      </c>
      <c r="D1785" s="2">
        <v>5.2799999999999994</v>
      </c>
      <c r="E1785" s="2">
        <v>5.61</v>
      </c>
      <c r="F1785" s="2">
        <v>3.0300000000000002</v>
      </c>
      <c r="G1785" s="6">
        <v>45</v>
      </c>
      <c r="H1785" s="6">
        <v>64</v>
      </c>
      <c r="I1785" s="6">
        <v>68</v>
      </c>
      <c r="J1785" s="6">
        <v>54</v>
      </c>
      <c r="K1785" s="6">
        <v>89</v>
      </c>
      <c r="L1785" s="2"/>
      <c r="M1785" s="2"/>
      <c r="N1785" s="2"/>
      <c r="O1785" s="2"/>
      <c r="P1785" s="2"/>
    </row>
    <row r="1786" spans="1:16" x14ac:dyDescent="0.25">
      <c r="A1786" s="1">
        <v>0.23888888888888901</v>
      </c>
      <c r="B1786" s="2">
        <v>6.26</v>
      </c>
      <c r="C1786" s="2">
        <v>3.6399999999999997</v>
      </c>
      <c r="D1786" s="2">
        <v>5.1999999999999993</v>
      </c>
      <c r="E1786" s="2">
        <v>5.3</v>
      </c>
      <c r="F1786" s="2">
        <v>3.35</v>
      </c>
      <c r="G1786" s="6">
        <v>56</v>
      </c>
      <c r="H1786" s="6">
        <v>81</v>
      </c>
      <c r="I1786" s="6">
        <v>100</v>
      </c>
      <c r="J1786" s="6">
        <v>85</v>
      </c>
      <c r="K1786" s="6">
        <v>112</v>
      </c>
      <c r="L1786" s="2"/>
      <c r="M1786" s="2"/>
      <c r="N1786" s="2"/>
      <c r="O1786" s="2"/>
      <c r="P1786" s="2"/>
    </row>
    <row r="1787" spans="1:16" x14ac:dyDescent="0.25">
      <c r="A1787" s="1">
        <v>0.23958333333333301</v>
      </c>
      <c r="B1787" s="2">
        <v>6.26</v>
      </c>
      <c r="C1787" s="2">
        <v>3.69</v>
      </c>
      <c r="D1787" s="2">
        <v>5.1099999999999994</v>
      </c>
      <c r="E1787" s="2">
        <v>5.49</v>
      </c>
      <c r="F1787" s="2">
        <v>3.0700000000000003</v>
      </c>
      <c r="G1787" s="6">
        <v>58</v>
      </c>
      <c r="H1787" s="6">
        <v>70</v>
      </c>
      <c r="I1787" s="6">
        <v>124</v>
      </c>
      <c r="J1787" s="6">
        <v>114</v>
      </c>
      <c r="K1787" s="6">
        <v>162</v>
      </c>
      <c r="L1787" s="2"/>
      <c r="M1787" s="2"/>
      <c r="N1787" s="2"/>
      <c r="O1787" s="2"/>
      <c r="P1787" s="2"/>
    </row>
    <row r="1788" spans="1:16" x14ac:dyDescent="0.25">
      <c r="A1788" s="1">
        <v>0.24027777777777801</v>
      </c>
      <c r="B1788" s="2">
        <v>6.35</v>
      </c>
      <c r="C1788" s="2">
        <v>3.63</v>
      </c>
      <c r="D1788" s="2">
        <v>5.1099999999999994</v>
      </c>
      <c r="E1788" s="2">
        <v>4.97</v>
      </c>
      <c r="F1788" s="2">
        <v>3.1500000000000004</v>
      </c>
      <c r="G1788" s="6">
        <v>44</v>
      </c>
      <c r="H1788" s="6">
        <v>55</v>
      </c>
      <c r="I1788" s="6">
        <v>72</v>
      </c>
      <c r="J1788" s="6">
        <v>86</v>
      </c>
      <c r="K1788" s="6">
        <v>150</v>
      </c>
      <c r="L1788" s="2"/>
      <c r="M1788" s="2"/>
      <c r="N1788" s="2"/>
      <c r="O1788" s="2"/>
      <c r="P1788" s="2"/>
    </row>
    <row r="1789" spans="1:16" x14ac:dyDescent="0.25">
      <c r="A1789" s="1">
        <v>0.240972222222222</v>
      </c>
      <c r="B1789" s="2">
        <v>6.09</v>
      </c>
      <c r="C1789" s="2">
        <v>3.67</v>
      </c>
      <c r="D1789" s="2">
        <v>5.1599999999999993</v>
      </c>
      <c r="E1789" s="2">
        <v>5.0999999999999996</v>
      </c>
      <c r="F1789" s="2">
        <v>3.39</v>
      </c>
      <c r="G1789" s="6">
        <v>58</v>
      </c>
      <c r="H1789" s="6">
        <v>64</v>
      </c>
      <c r="I1789" s="6">
        <v>81</v>
      </c>
      <c r="J1789" s="6">
        <v>95</v>
      </c>
      <c r="K1789" s="6">
        <v>155</v>
      </c>
      <c r="L1789" s="2"/>
      <c r="M1789" s="2"/>
      <c r="N1789" s="2"/>
      <c r="O1789" s="2"/>
      <c r="P1789" s="2"/>
    </row>
    <row r="1790" spans="1:16" x14ac:dyDescent="0.25">
      <c r="A1790" s="1">
        <v>0.241666666666667</v>
      </c>
      <c r="B1790" s="2">
        <v>6.09</v>
      </c>
      <c r="C1790" s="2">
        <v>3.79</v>
      </c>
      <c r="D1790" s="2">
        <v>5.1599999999999993</v>
      </c>
      <c r="E1790" s="2">
        <v>4.9799999999999995</v>
      </c>
      <c r="F1790" s="2">
        <v>3.3200000000000003</v>
      </c>
      <c r="G1790" s="6">
        <v>79</v>
      </c>
      <c r="H1790" s="6">
        <v>92</v>
      </c>
      <c r="I1790" s="6">
        <v>134</v>
      </c>
      <c r="J1790" s="6">
        <v>127</v>
      </c>
      <c r="K1790" s="6">
        <v>234</v>
      </c>
      <c r="L1790" s="2"/>
      <c r="M1790" s="2"/>
      <c r="N1790" s="2"/>
      <c r="O1790" s="2"/>
      <c r="P1790" s="2"/>
    </row>
    <row r="1791" spans="1:16" x14ac:dyDescent="0.25">
      <c r="A1791" s="1">
        <v>0.242361111111111</v>
      </c>
      <c r="B1791" s="2">
        <v>6.33</v>
      </c>
      <c r="C1791" s="2">
        <v>3.73</v>
      </c>
      <c r="D1791" s="2">
        <v>5.1499999999999995</v>
      </c>
      <c r="E1791" s="2">
        <v>5.0199999999999996</v>
      </c>
      <c r="F1791" s="2">
        <v>3.29</v>
      </c>
      <c r="G1791" s="6">
        <v>85</v>
      </c>
      <c r="H1791" s="6">
        <v>102</v>
      </c>
      <c r="I1791" s="6">
        <v>120</v>
      </c>
      <c r="J1791" s="6">
        <v>115</v>
      </c>
      <c r="K1791" s="6">
        <v>222</v>
      </c>
      <c r="L1791" s="2"/>
      <c r="M1791" s="2"/>
      <c r="N1791" s="2"/>
      <c r="O1791" s="2"/>
      <c r="P1791" s="2"/>
    </row>
    <row r="1792" spans="1:16" x14ac:dyDescent="0.25">
      <c r="A1792" s="1">
        <v>0.243055555555556</v>
      </c>
      <c r="B1792" s="2">
        <v>6.2</v>
      </c>
      <c r="C1792" s="2">
        <v>3.82</v>
      </c>
      <c r="D1792" s="2">
        <v>5.25</v>
      </c>
      <c r="E1792" s="2">
        <v>5.05</v>
      </c>
      <c r="F1792" s="2">
        <v>3.2600000000000002</v>
      </c>
      <c r="G1792" s="6">
        <v>100</v>
      </c>
      <c r="H1792" s="6">
        <v>150</v>
      </c>
      <c r="I1792" s="6">
        <v>204</v>
      </c>
      <c r="J1792" s="6">
        <v>105</v>
      </c>
      <c r="K1792" s="6">
        <v>200</v>
      </c>
      <c r="L1792" s="2"/>
      <c r="M1792" s="2"/>
      <c r="N1792" s="2"/>
      <c r="O1792" s="2"/>
      <c r="P1792" s="2"/>
    </row>
    <row r="1793" spans="1:16" x14ac:dyDescent="0.25">
      <c r="A1793" s="1">
        <v>0.24374999999999999</v>
      </c>
      <c r="B1793" s="2">
        <v>6.17</v>
      </c>
      <c r="C1793" s="2">
        <v>3.63</v>
      </c>
      <c r="D1793" s="2">
        <v>4.96</v>
      </c>
      <c r="E1793" s="2">
        <v>5.41</v>
      </c>
      <c r="F1793" s="2">
        <v>3.06</v>
      </c>
      <c r="G1793" s="6">
        <v>254</v>
      </c>
      <c r="H1793" s="6">
        <v>301</v>
      </c>
      <c r="I1793" s="6">
        <v>321</v>
      </c>
      <c r="J1793" s="6">
        <v>354</v>
      </c>
      <c r="K1793" s="6">
        <v>345</v>
      </c>
      <c r="L1793" s="2"/>
      <c r="M1793" s="2"/>
      <c r="N1793" s="2"/>
      <c r="O1793" s="2"/>
      <c r="P1793" s="2"/>
    </row>
    <row r="1794" spans="1:16" x14ac:dyDescent="0.25">
      <c r="A1794" s="1">
        <v>0.24444444444444399</v>
      </c>
      <c r="B1794" s="2">
        <v>6.16</v>
      </c>
      <c r="C1794" s="2">
        <v>3.8</v>
      </c>
      <c r="D1794" s="2">
        <v>5.22</v>
      </c>
      <c r="E1794" s="2">
        <v>5.5</v>
      </c>
      <c r="F1794" s="2">
        <v>2.88</v>
      </c>
      <c r="G1794" s="6">
        <v>156</v>
      </c>
      <c r="H1794" s="6">
        <v>265</v>
      </c>
      <c r="I1794" s="6">
        <v>301</v>
      </c>
      <c r="J1794" s="6">
        <v>534</v>
      </c>
      <c r="K1794" s="6">
        <v>267</v>
      </c>
      <c r="L1794" s="2"/>
      <c r="M1794" s="2"/>
      <c r="N1794" s="2"/>
      <c r="O1794" s="2"/>
      <c r="P1794" s="2"/>
    </row>
    <row r="1795" spans="1:16" x14ac:dyDescent="0.25">
      <c r="A1795" s="1">
        <v>0.24513888888888899</v>
      </c>
      <c r="B1795" s="2">
        <v>6.35</v>
      </c>
      <c r="C1795" s="2">
        <v>3.8</v>
      </c>
      <c r="D1795" s="2">
        <v>4.8699999999999992</v>
      </c>
      <c r="E1795" s="2">
        <v>5.07</v>
      </c>
      <c r="F1795" s="2">
        <v>3.21</v>
      </c>
      <c r="G1795" s="6">
        <v>264</v>
      </c>
      <c r="H1795" s="6">
        <v>345</v>
      </c>
      <c r="I1795" s="6">
        <v>365</v>
      </c>
      <c r="J1795" s="6">
        <v>443</v>
      </c>
      <c r="K1795" s="6">
        <v>315</v>
      </c>
      <c r="L1795" s="2"/>
      <c r="M1795" s="2"/>
      <c r="N1795" s="2"/>
      <c r="O1795" s="2"/>
      <c r="P1795" s="2"/>
    </row>
    <row r="1796" spans="1:16" x14ac:dyDescent="0.25">
      <c r="A1796" s="1">
        <v>0.24583333333333299</v>
      </c>
      <c r="B1796" s="2">
        <v>6.29</v>
      </c>
      <c r="C1796" s="2">
        <v>3.73</v>
      </c>
      <c r="D1796" s="2">
        <v>5.17</v>
      </c>
      <c r="E1796" s="2">
        <v>5.3</v>
      </c>
      <c r="F1796" s="2">
        <v>3.12</v>
      </c>
      <c r="G1796" s="6">
        <v>345</v>
      </c>
      <c r="H1796" s="6">
        <v>242</v>
      </c>
      <c r="I1796" s="6">
        <v>349</v>
      </c>
      <c r="J1796" s="6">
        <v>254</v>
      </c>
      <c r="K1796" s="6">
        <v>419</v>
      </c>
      <c r="L1796" s="2"/>
      <c r="M1796" s="2"/>
      <c r="N1796" s="2"/>
      <c r="O1796" s="2"/>
      <c r="P1796" s="2"/>
    </row>
    <row r="1797" spans="1:16" x14ac:dyDescent="0.25">
      <c r="A1797" s="1">
        <v>0.24652777777777801</v>
      </c>
      <c r="B1797" s="2">
        <v>6.33</v>
      </c>
      <c r="C1797" s="2">
        <v>3.65</v>
      </c>
      <c r="D1797" s="2">
        <v>4.93</v>
      </c>
      <c r="E1797" s="2">
        <v>5.0999999999999996</v>
      </c>
      <c r="F1797" s="2">
        <v>3.19</v>
      </c>
      <c r="G1797" s="6">
        <v>456</v>
      </c>
      <c r="H1797" s="6">
        <v>314</v>
      </c>
      <c r="I1797" s="6">
        <v>545</v>
      </c>
      <c r="J1797" s="6">
        <v>314</v>
      </c>
      <c r="K1797" s="6">
        <v>468</v>
      </c>
      <c r="L1797" s="2"/>
      <c r="M1797" s="2"/>
      <c r="N1797" s="2"/>
      <c r="O1797" s="2"/>
      <c r="P1797" s="2"/>
    </row>
    <row r="1798" spans="1:16" x14ac:dyDescent="0.25">
      <c r="A1798" s="1">
        <v>0.24722222222222201</v>
      </c>
      <c r="B1798" s="2">
        <v>6.16</v>
      </c>
      <c r="C1798" s="2">
        <v>3.7199999999999998</v>
      </c>
      <c r="D1798" s="2">
        <v>4.9099999999999993</v>
      </c>
      <c r="E1798" s="2">
        <v>5.29</v>
      </c>
      <c r="F1798" s="2">
        <v>2.99</v>
      </c>
      <c r="G1798" s="6">
        <v>314</v>
      </c>
      <c r="H1798" s="6">
        <v>264</v>
      </c>
      <c r="I1798" s="6">
        <v>354</v>
      </c>
      <c r="J1798" s="6">
        <v>324</v>
      </c>
      <c r="K1798" s="6">
        <v>498</v>
      </c>
      <c r="L1798" s="2"/>
      <c r="M1798" s="2"/>
      <c r="N1798" s="2"/>
      <c r="O1798" s="2"/>
      <c r="P1798" s="2"/>
    </row>
    <row r="1799" spans="1:16" x14ac:dyDescent="0.25">
      <c r="A1799" s="1">
        <v>0.24791666666666701</v>
      </c>
      <c r="B1799" s="2">
        <v>6.1499999999999995</v>
      </c>
      <c r="C1799" s="2">
        <v>3.57</v>
      </c>
      <c r="D1799" s="2">
        <v>4.88</v>
      </c>
      <c r="E1799" s="2">
        <v>4.99</v>
      </c>
      <c r="F1799" s="2">
        <v>3.1100000000000003</v>
      </c>
      <c r="G1799" s="6">
        <v>245</v>
      </c>
      <c r="H1799" s="6">
        <v>184</v>
      </c>
      <c r="I1799" s="6">
        <v>264</v>
      </c>
      <c r="J1799" s="6">
        <v>184</v>
      </c>
      <c r="K1799" s="6">
        <v>264</v>
      </c>
      <c r="L1799" s="2"/>
      <c r="M1799" s="2"/>
      <c r="N1799" s="2"/>
      <c r="O1799" s="2"/>
      <c r="P1799" s="2"/>
    </row>
    <row r="1800" spans="1:16" x14ac:dyDescent="0.25">
      <c r="A1800" s="1">
        <v>0.24861111111111101</v>
      </c>
      <c r="B1800" s="2">
        <v>6.21</v>
      </c>
      <c r="C1800" s="2">
        <v>3.8099999999999996</v>
      </c>
      <c r="D1800" s="2">
        <v>5.3</v>
      </c>
      <c r="E1800" s="2">
        <v>4.9799999999999995</v>
      </c>
      <c r="F1800" s="2">
        <v>3.37</v>
      </c>
      <c r="G1800" s="6">
        <v>315</v>
      </c>
      <c r="H1800" s="6">
        <v>264</v>
      </c>
      <c r="I1800" s="6">
        <v>333</v>
      </c>
      <c r="J1800" s="6">
        <v>364</v>
      </c>
      <c r="K1800" s="6">
        <v>485</v>
      </c>
      <c r="L1800" s="2"/>
      <c r="M1800" s="2"/>
      <c r="N1800" s="2"/>
      <c r="O1800" s="2"/>
      <c r="P1800" s="2"/>
    </row>
    <row r="1801" spans="1:16" x14ac:dyDescent="0.25">
      <c r="A1801" s="1">
        <v>0.249305555555556</v>
      </c>
      <c r="B1801" s="2">
        <v>6.21</v>
      </c>
      <c r="C1801" s="2">
        <v>3.79</v>
      </c>
      <c r="D1801" s="2">
        <v>5.0299999999999994</v>
      </c>
      <c r="E1801" s="2">
        <v>5</v>
      </c>
      <c r="F1801" s="2">
        <v>3.21</v>
      </c>
      <c r="G1801" s="6">
        <v>333</v>
      </c>
      <c r="H1801" s="6">
        <v>314</v>
      </c>
      <c r="I1801" s="6">
        <v>458</v>
      </c>
      <c r="J1801" s="6">
        <v>452</v>
      </c>
      <c r="K1801" s="6">
        <v>549</v>
      </c>
      <c r="L1801" s="2"/>
      <c r="M1801" s="2"/>
      <c r="N1801" s="2"/>
      <c r="O1801" s="2"/>
      <c r="P1801" s="2"/>
    </row>
    <row r="1802" spans="1:16" x14ac:dyDescent="0.25">
      <c r="A1802" s="3">
        <v>0.25</v>
      </c>
      <c r="B1802" s="2">
        <v>6.21</v>
      </c>
      <c r="C1802" s="2">
        <v>3.73</v>
      </c>
      <c r="D1802" s="2">
        <v>5.0999999999999996</v>
      </c>
      <c r="E1802" s="2">
        <v>5.31</v>
      </c>
      <c r="F1802" s="2">
        <v>3.16</v>
      </c>
      <c r="G1802" s="6">
        <v>244</v>
      </c>
      <c r="H1802" s="6">
        <v>263</v>
      </c>
      <c r="I1802" s="6">
        <v>364</v>
      </c>
      <c r="J1802" s="6">
        <v>267</v>
      </c>
      <c r="K1802" s="6">
        <v>413</v>
      </c>
      <c r="L1802" s="2"/>
      <c r="M1802" s="2"/>
      <c r="N1802" s="2"/>
      <c r="O1802" s="2"/>
      <c r="P1802" s="2"/>
    </row>
    <row r="1803" spans="1:16" x14ac:dyDescent="0.25">
      <c r="A1803" s="1">
        <v>0.250694444444444</v>
      </c>
      <c r="B1803" s="2">
        <v>6.18</v>
      </c>
      <c r="C1803" s="2">
        <v>3.62</v>
      </c>
      <c r="D1803" s="2">
        <v>5.0699999999999994</v>
      </c>
      <c r="E1803" s="2">
        <v>5.52</v>
      </c>
      <c r="F1803" s="2">
        <v>3.0900000000000003</v>
      </c>
      <c r="G1803" s="6">
        <v>405</v>
      </c>
      <c r="H1803" s="6">
        <v>645</v>
      </c>
      <c r="I1803" s="6">
        <v>454</v>
      </c>
      <c r="J1803" s="6">
        <v>364</v>
      </c>
      <c r="K1803" s="6">
        <v>625</v>
      </c>
      <c r="L1803" s="2"/>
      <c r="M1803" s="2"/>
      <c r="N1803" s="2"/>
      <c r="O1803" s="2"/>
      <c r="P1803" s="2"/>
    </row>
    <row r="1804" spans="1:16" x14ac:dyDescent="0.25">
      <c r="A1804" s="1">
        <v>0.25138888888888899</v>
      </c>
      <c r="B1804" s="2">
        <v>6.27</v>
      </c>
      <c r="C1804" s="2">
        <v>3.68</v>
      </c>
      <c r="D1804" s="2">
        <v>5.26</v>
      </c>
      <c r="E1804" s="2">
        <v>5.61</v>
      </c>
      <c r="F1804" s="2">
        <v>3.18</v>
      </c>
      <c r="G1804" s="6">
        <v>627</v>
      </c>
      <c r="H1804" s="6">
        <v>553</v>
      </c>
      <c r="I1804" s="6">
        <v>583</v>
      </c>
      <c r="J1804" s="6">
        <v>616</v>
      </c>
      <c r="K1804" s="6">
        <v>433</v>
      </c>
      <c r="L1804" s="2"/>
      <c r="M1804" s="2"/>
      <c r="N1804" s="2"/>
      <c r="O1804" s="2"/>
      <c r="P1804" s="2"/>
    </row>
    <row r="1805" spans="1:16" x14ac:dyDescent="0.25">
      <c r="A1805" s="1">
        <v>0.25208333333333299</v>
      </c>
      <c r="B1805" s="2">
        <v>6.34</v>
      </c>
      <c r="C1805" s="2">
        <v>3.66</v>
      </c>
      <c r="D1805" s="2">
        <v>5.31</v>
      </c>
      <c r="E1805" s="2">
        <v>5.14</v>
      </c>
      <c r="F1805" s="2">
        <v>3.2800000000000002</v>
      </c>
      <c r="G1805" s="6">
        <v>601</v>
      </c>
      <c r="H1805" s="6">
        <v>367</v>
      </c>
      <c r="I1805" s="6">
        <v>314</v>
      </c>
      <c r="J1805" s="6">
        <v>403</v>
      </c>
      <c r="K1805" s="6">
        <v>712</v>
      </c>
    </row>
    <row r="1806" spans="1:16" x14ac:dyDescent="0.25">
      <c r="A1806" s="1">
        <v>0.25277777777777799</v>
      </c>
      <c r="B1806" s="2">
        <v>6.09</v>
      </c>
      <c r="C1806" s="2">
        <v>3.6</v>
      </c>
      <c r="D1806" s="2">
        <v>4.9099999999999993</v>
      </c>
      <c r="E1806" s="2">
        <v>5.15</v>
      </c>
      <c r="F1806" s="2">
        <v>3.27</v>
      </c>
      <c r="G1806" s="6">
        <v>592</v>
      </c>
      <c r="H1806" s="6">
        <v>561</v>
      </c>
      <c r="I1806" s="6">
        <v>466</v>
      </c>
      <c r="J1806" s="6">
        <v>540</v>
      </c>
      <c r="K1806" s="6">
        <v>409</v>
      </c>
    </row>
    <row r="1807" spans="1:16" x14ac:dyDescent="0.25">
      <c r="A1807" s="1">
        <v>0.25347222222222199</v>
      </c>
      <c r="B1807" s="2">
        <v>6.32</v>
      </c>
      <c r="C1807" s="2">
        <v>3.7600000000000002</v>
      </c>
      <c r="D1807" s="2">
        <v>5.0299999999999994</v>
      </c>
      <c r="E1807" s="2">
        <v>5.29</v>
      </c>
      <c r="F1807" s="2">
        <v>2.91</v>
      </c>
      <c r="G1807" s="6">
        <v>467</v>
      </c>
      <c r="H1807" s="6">
        <v>611</v>
      </c>
      <c r="I1807" s="6">
        <v>283</v>
      </c>
      <c r="J1807" s="6">
        <v>345</v>
      </c>
      <c r="K1807" s="6">
        <v>348</v>
      </c>
    </row>
    <row r="1808" spans="1:16" x14ac:dyDescent="0.25">
      <c r="A1808" s="1">
        <v>0.25416666666666698</v>
      </c>
      <c r="B1808" s="2">
        <v>6.32</v>
      </c>
      <c r="C1808" s="2">
        <v>3.81</v>
      </c>
      <c r="D1808" s="2">
        <v>5.1599999999999993</v>
      </c>
      <c r="E1808" s="2">
        <v>5.58</v>
      </c>
      <c r="F1808" s="2">
        <v>3.1</v>
      </c>
      <c r="G1808" s="6">
        <v>589</v>
      </c>
      <c r="H1808" s="6">
        <v>528</v>
      </c>
      <c r="I1808" s="6">
        <v>263</v>
      </c>
      <c r="J1808" s="6">
        <v>367</v>
      </c>
      <c r="K1808" s="6">
        <v>677</v>
      </c>
    </row>
    <row r="1809" spans="1:11" x14ac:dyDescent="0.25">
      <c r="A1809" s="1">
        <v>0.25486111111111098</v>
      </c>
      <c r="B1809" s="2">
        <v>6.27</v>
      </c>
      <c r="C1809" s="2">
        <v>3.71</v>
      </c>
      <c r="D1809" s="2">
        <v>5.34</v>
      </c>
      <c r="E1809" s="2">
        <v>5.45</v>
      </c>
      <c r="F1809" s="2">
        <v>3.3400000000000003</v>
      </c>
      <c r="G1809" s="6">
        <v>369</v>
      </c>
      <c r="H1809" s="6">
        <v>395</v>
      </c>
      <c r="I1809" s="6">
        <v>527</v>
      </c>
      <c r="J1809" s="6">
        <v>491</v>
      </c>
      <c r="K1809" s="6">
        <v>543</v>
      </c>
    </row>
    <row r="1810" spans="1:11" x14ac:dyDescent="0.25">
      <c r="A1810" s="1">
        <v>0.25555555555555598</v>
      </c>
      <c r="B1810" s="2">
        <v>6.18</v>
      </c>
      <c r="C1810" s="2">
        <v>3.65</v>
      </c>
      <c r="D1810" s="2">
        <v>5.22</v>
      </c>
      <c r="E1810" s="2">
        <v>5.18</v>
      </c>
      <c r="F1810" s="2">
        <v>3.18</v>
      </c>
      <c r="G1810" s="6">
        <v>462</v>
      </c>
      <c r="H1810" s="6">
        <v>768</v>
      </c>
      <c r="I1810" s="6">
        <v>302</v>
      </c>
      <c r="J1810" s="6">
        <v>675</v>
      </c>
      <c r="K1810" s="6">
        <v>658</v>
      </c>
    </row>
    <row r="1811" spans="1:11" x14ac:dyDescent="0.25">
      <c r="A1811" s="1">
        <v>0.25624999999999998</v>
      </c>
      <c r="B1811" s="2">
        <v>6.24</v>
      </c>
      <c r="C1811" s="2">
        <v>3.65</v>
      </c>
      <c r="D1811" s="2">
        <v>5.0299999999999994</v>
      </c>
      <c r="E1811" s="2">
        <v>5.41</v>
      </c>
      <c r="F1811" s="2">
        <v>3.04</v>
      </c>
      <c r="G1811" s="6">
        <v>295</v>
      </c>
      <c r="H1811" s="6">
        <v>405</v>
      </c>
      <c r="I1811" s="6">
        <v>549</v>
      </c>
      <c r="J1811" s="6">
        <v>533</v>
      </c>
      <c r="K1811" s="6">
        <v>489</v>
      </c>
    </row>
    <row r="1812" spans="1:11" x14ac:dyDescent="0.25">
      <c r="A1812" s="1">
        <v>0.25694444444444398</v>
      </c>
      <c r="B1812" s="2">
        <v>6.13</v>
      </c>
      <c r="C1812" s="2">
        <v>3.77</v>
      </c>
      <c r="D1812" s="2">
        <v>5.0599999999999996</v>
      </c>
      <c r="E1812" s="2">
        <v>5.52</v>
      </c>
      <c r="F1812" s="2">
        <v>3.31</v>
      </c>
      <c r="G1812" s="6">
        <v>536</v>
      </c>
      <c r="H1812" s="6">
        <v>612</v>
      </c>
      <c r="I1812" s="6">
        <v>236</v>
      </c>
      <c r="J1812" s="6">
        <v>647</v>
      </c>
      <c r="K1812" s="6">
        <v>331</v>
      </c>
    </row>
    <row r="1813" spans="1:11" x14ac:dyDescent="0.25">
      <c r="A1813" s="1">
        <v>0.25763888888888897</v>
      </c>
      <c r="B1813" s="2">
        <v>6.33</v>
      </c>
      <c r="C1813" s="2">
        <v>3.8200000000000003</v>
      </c>
      <c r="D1813" s="2">
        <v>5.05</v>
      </c>
      <c r="E1813" s="2">
        <v>5.59</v>
      </c>
      <c r="F1813" s="2">
        <v>3.14</v>
      </c>
      <c r="G1813" s="6">
        <v>370</v>
      </c>
      <c r="H1813" s="6">
        <v>746</v>
      </c>
      <c r="I1813" s="6">
        <v>235</v>
      </c>
      <c r="J1813" s="6">
        <v>584</v>
      </c>
      <c r="K1813" s="6">
        <v>583</v>
      </c>
    </row>
    <row r="1814" spans="1:11" x14ac:dyDescent="0.25">
      <c r="A1814" s="1">
        <v>0.25833333333333303</v>
      </c>
      <c r="B1814" s="2">
        <v>6.21</v>
      </c>
      <c r="C1814" s="2">
        <v>3.63</v>
      </c>
      <c r="D1814" s="2">
        <v>4.8999999999999995</v>
      </c>
      <c r="E1814" s="2">
        <v>5.07</v>
      </c>
      <c r="F1814" s="2">
        <v>3.19</v>
      </c>
      <c r="G1814" s="6">
        <v>253</v>
      </c>
      <c r="H1814" s="6">
        <v>325</v>
      </c>
      <c r="I1814" s="6">
        <v>542</v>
      </c>
      <c r="J1814" s="6">
        <v>642</v>
      </c>
      <c r="K1814" s="6">
        <v>574</v>
      </c>
    </row>
    <row r="1815" spans="1:11" x14ac:dyDescent="0.25">
      <c r="A1815" s="1">
        <v>0.25902777777777802</v>
      </c>
      <c r="B1815" s="2">
        <v>6.14</v>
      </c>
      <c r="C1815" s="2">
        <v>3.64</v>
      </c>
      <c r="D1815" s="2">
        <v>5.0999999999999996</v>
      </c>
      <c r="E1815" s="2">
        <v>4.97</v>
      </c>
      <c r="F1815" s="2">
        <v>3.3000000000000003</v>
      </c>
      <c r="G1815" s="6">
        <v>458</v>
      </c>
      <c r="H1815" s="6">
        <v>609</v>
      </c>
      <c r="I1815" s="6">
        <v>355</v>
      </c>
      <c r="J1815" s="6">
        <v>412</v>
      </c>
      <c r="K1815" s="6">
        <v>301</v>
      </c>
    </row>
    <row r="1816" spans="1:11" x14ac:dyDescent="0.25">
      <c r="A1816" s="1">
        <v>0.25972222222222202</v>
      </c>
      <c r="B1816" s="2">
        <v>6.22</v>
      </c>
      <c r="C1816" s="2">
        <v>3.58</v>
      </c>
      <c r="D1816" s="2">
        <v>5.13</v>
      </c>
      <c r="E1816" s="2">
        <v>5.01</v>
      </c>
      <c r="F1816" s="2">
        <v>3.3400000000000003</v>
      </c>
      <c r="G1816" s="6">
        <v>358</v>
      </c>
      <c r="H1816" s="6">
        <v>662</v>
      </c>
      <c r="I1816" s="6">
        <v>441</v>
      </c>
      <c r="J1816" s="6">
        <v>509</v>
      </c>
      <c r="K1816" s="6">
        <v>570</v>
      </c>
    </row>
    <row r="1817" spans="1:11" x14ac:dyDescent="0.25">
      <c r="A1817" s="1">
        <v>0.26041666666666702</v>
      </c>
      <c r="B1817" s="2">
        <v>6.09</v>
      </c>
      <c r="C1817" s="2">
        <v>3.79</v>
      </c>
      <c r="D1817" s="2">
        <v>5.14</v>
      </c>
      <c r="E1817" s="2">
        <v>5.58</v>
      </c>
      <c r="F1817" s="2">
        <v>2.89</v>
      </c>
      <c r="G1817" s="6">
        <v>464</v>
      </c>
      <c r="H1817" s="6">
        <v>462</v>
      </c>
      <c r="I1817" s="6">
        <v>474</v>
      </c>
      <c r="J1817" s="6">
        <v>503</v>
      </c>
      <c r="K1817" s="6">
        <v>511</v>
      </c>
    </row>
    <row r="1818" spans="1:11" x14ac:dyDescent="0.25">
      <c r="A1818" s="1">
        <v>0.26111111111111102</v>
      </c>
      <c r="B1818" s="2">
        <v>6.32</v>
      </c>
      <c r="C1818" s="2">
        <v>3.64</v>
      </c>
      <c r="D1818" s="2">
        <v>4.9499999999999993</v>
      </c>
      <c r="E1818" s="2">
        <v>5.55</v>
      </c>
      <c r="F1818" s="2">
        <v>2.96</v>
      </c>
      <c r="G1818" s="6">
        <v>608</v>
      </c>
      <c r="H1818" s="6">
        <v>580</v>
      </c>
      <c r="I1818" s="6">
        <v>314</v>
      </c>
      <c r="J1818" s="6">
        <v>381</v>
      </c>
      <c r="K1818" s="6">
        <v>711</v>
      </c>
    </row>
    <row r="1819" spans="1:11" x14ac:dyDescent="0.25">
      <c r="A1819" s="1">
        <v>0.26180555555555601</v>
      </c>
      <c r="B1819" s="2">
        <v>6.31</v>
      </c>
      <c r="C1819" s="2">
        <v>3.6</v>
      </c>
      <c r="D1819" s="2">
        <v>5.18</v>
      </c>
      <c r="E1819" s="2">
        <v>5.26</v>
      </c>
      <c r="F1819" s="2">
        <v>3.3600000000000003</v>
      </c>
      <c r="G1819" s="6">
        <v>329</v>
      </c>
      <c r="H1819" s="6">
        <v>639</v>
      </c>
      <c r="I1819" s="6">
        <v>399</v>
      </c>
      <c r="J1819" s="6">
        <v>297</v>
      </c>
      <c r="K1819" s="6">
        <v>670</v>
      </c>
    </row>
    <row r="1820" spans="1:11" x14ac:dyDescent="0.25">
      <c r="A1820" s="1">
        <v>0.26250000000000001</v>
      </c>
      <c r="B1820" s="2">
        <v>6.1899999999999995</v>
      </c>
      <c r="C1820" s="2">
        <v>3.72</v>
      </c>
      <c r="D1820" s="2">
        <v>5.35</v>
      </c>
      <c r="E1820" s="2">
        <v>5.62</v>
      </c>
      <c r="F1820" s="2">
        <v>3.14</v>
      </c>
      <c r="G1820" s="6">
        <v>388</v>
      </c>
      <c r="H1820" s="6">
        <v>614</v>
      </c>
      <c r="I1820" s="6">
        <v>473</v>
      </c>
      <c r="J1820" s="6">
        <v>299</v>
      </c>
      <c r="K1820" s="6">
        <v>294</v>
      </c>
    </row>
    <row r="1821" spans="1:11" x14ac:dyDescent="0.25">
      <c r="A1821" s="1">
        <v>0.26319444444444401</v>
      </c>
      <c r="B1821" s="2">
        <v>6.2299999999999995</v>
      </c>
      <c r="C1821" s="2">
        <v>3.65</v>
      </c>
      <c r="D1821" s="2">
        <v>5.27</v>
      </c>
      <c r="E1821" s="2">
        <v>5.3</v>
      </c>
      <c r="F1821" s="2">
        <v>3.17</v>
      </c>
      <c r="G1821" s="6">
        <v>362</v>
      </c>
      <c r="H1821" s="6">
        <v>628</v>
      </c>
      <c r="I1821" s="6">
        <v>355</v>
      </c>
      <c r="J1821" s="6">
        <v>386</v>
      </c>
      <c r="K1821" s="6">
        <v>700</v>
      </c>
    </row>
    <row r="1822" spans="1:11" x14ac:dyDescent="0.25">
      <c r="A1822" s="1">
        <v>0.26388888888888901</v>
      </c>
      <c r="B1822" s="2">
        <v>6.35</v>
      </c>
      <c r="C1822" s="2">
        <v>3.61</v>
      </c>
      <c r="D1822" s="2">
        <v>4.8499999999999996</v>
      </c>
      <c r="E1822" s="2">
        <v>5.58</v>
      </c>
      <c r="F1822" s="2">
        <v>3.18</v>
      </c>
      <c r="G1822" s="6">
        <v>260</v>
      </c>
      <c r="H1822" s="6">
        <v>735</v>
      </c>
      <c r="I1822" s="6">
        <v>464</v>
      </c>
      <c r="J1822" s="6">
        <v>550</v>
      </c>
      <c r="K1822" s="6">
        <v>418</v>
      </c>
    </row>
    <row r="1823" spans="1:11" x14ac:dyDescent="0.25">
      <c r="A1823" s="1">
        <v>0.264583333333333</v>
      </c>
      <c r="B1823" s="2">
        <v>6.32</v>
      </c>
      <c r="C1823" s="2">
        <v>3.77</v>
      </c>
      <c r="D1823" s="2">
        <v>5.22</v>
      </c>
      <c r="E1823" s="2">
        <v>4.95</v>
      </c>
      <c r="F1823" s="2">
        <v>3.35</v>
      </c>
      <c r="G1823" s="6">
        <v>302</v>
      </c>
      <c r="H1823" s="6">
        <v>641</v>
      </c>
      <c r="I1823" s="6">
        <v>295</v>
      </c>
      <c r="J1823" s="6">
        <v>441</v>
      </c>
      <c r="K1823" s="6">
        <v>403</v>
      </c>
    </row>
    <row r="1824" spans="1:11" x14ac:dyDescent="0.25">
      <c r="A1824" s="1">
        <v>0.265277777777778</v>
      </c>
      <c r="B1824" s="2">
        <v>6.27</v>
      </c>
      <c r="C1824" s="2">
        <v>3.66</v>
      </c>
      <c r="D1824" s="2">
        <v>5.13</v>
      </c>
      <c r="E1824" s="2">
        <v>5.24</v>
      </c>
      <c r="F1824" s="2">
        <v>2.87</v>
      </c>
      <c r="G1824" s="6">
        <v>257</v>
      </c>
      <c r="H1824" s="6">
        <v>489</v>
      </c>
      <c r="I1824" s="6">
        <v>584</v>
      </c>
      <c r="J1824" s="6">
        <v>538</v>
      </c>
      <c r="K1824" s="6">
        <v>706</v>
      </c>
    </row>
    <row r="1825" spans="1:11" x14ac:dyDescent="0.25">
      <c r="A1825" s="1">
        <v>0.265972222222222</v>
      </c>
      <c r="B1825" s="2">
        <v>6.1</v>
      </c>
      <c r="C1825" s="2">
        <v>3.66</v>
      </c>
      <c r="D1825" s="2">
        <v>5.33</v>
      </c>
      <c r="E1825" s="2">
        <v>5.49</v>
      </c>
      <c r="F1825" s="2">
        <v>2.9</v>
      </c>
      <c r="G1825" s="6">
        <v>319</v>
      </c>
      <c r="H1825" s="6">
        <v>356</v>
      </c>
      <c r="I1825" s="6">
        <v>348</v>
      </c>
      <c r="J1825" s="6">
        <v>280</v>
      </c>
      <c r="K1825" s="6">
        <v>306</v>
      </c>
    </row>
    <row r="1826" spans="1:11" x14ac:dyDescent="0.25">
      <c r="A1826" s="1">
        <v>0.266666666666667</v>
      </c>
      <c r="B1826" s="2">
        <v>6.27</v>
      </c>
      <c r="C1826" s="2">
        <v>3.59</v>
      </c>
      <c r="D1826" s="2">
        <v>5</v>
      </c>
      <c r="E1826" s="2">
        <v>5.0999999999999996</v>
      </c>
      <c r="F1826" s="2">
        <v>3.13</v>
      </c>
      <c r="G1826" s="6">
        <v>622</v>
      </c>
      <c r="H1826" s="6">
        <v>779</v>
      </c>
      <c r="I1826" s="6">
        <v>344</v>
      </c>
      <c r="J1826" s="6">
        <v>406</v>
      </c>
      <c r="K1826" s="6">
        <v>501</v>
      </c>
    </row>
    <row r="1827" spans="1:11" x14ac:dyDescent="0.25">
      <c r="A1827" s="1">
        <v>0.26736111111111099</v>
      </c>
      <c r="B1827" s="2">
        <v>6.1</v>
      </c>
      <c r="C1827" s="2">
        <v>3.6</v>
      </c>
      <c r="D1827" s="2">
        <v>4.9399999999999995</v>
      </c>
      <c r="E1827" s="2">
        <v>5.5</v>
      </c>
      <c r="F1827" s="2">
        <v>3.0300000000000002</v>
      </c>
      <c r="G1827" s="6">
        <v>569</v>
      </c>
      <c r="H1827" s="6">
        <v>684</v>
      </c>
      <c r="I1827" s="6">
        <v>433</v>
      </c>
      <c r="J1827" s="6">
        <v>264</v>
      </c>
      <c r="K1827" s="6">
        <v>499</v>
      </c>
    </row>
    <row r="1828" spans="1:11" x14ac:dyDescent="0.25">
      <c r="A1828" s="1">
        <v>0.26805555555555599</v>
      </c>
      <c r="B1828" s="2">
        <v>6.16</v>
      </c>
      <c r="C1828" s="2">
        <v>3.8200000000000003</v>
      </c>
      <c r="D1828" s="2">
        <v>5.09</v>
      </c>
      <c r="E1828" s="2">
        <v>4.9399999999999995</v>
      </c>
      <c r="F1828" s="2">
        <v>3.29</v>
      </c>
      <c r="G1828" s="6">
        <v>584</v>
      </c>
      <c r="H1828" s="6">
        <v>550</v>
      </c>
      <c r="I1828" s="6">
        <v>555</v>
      </c>
      <c r="J1828" s="6">
        <v>476</v>
      </c>
      <c r="K1828" s="6">
        <v>365</v>
      </c>
    </row>
    <row r="1829" spans="1:11" x14ac:dyDescent="0.25">
      <c r="A1829" s="1">
        <v>0.26874999999999999</v>
      </c>
      <c r="B1829" s="2">
        <v>6.28</v>
      </c>
      <c r="C1829" s="2">
        <v>3.7800000000000002</v>
      </c>
      <c r="D1829" s="2">
        <v>5.21</v>
      </c>
      <c r="E1829" s="2">
        <v>5.37</v>
      </c>
      <c r="F1829" s="2">
        <v>3.38</v>
      </c>
      <c r="G1829" s="6">
        <v>358</v>
      </c>
      <c r="H1829" s="6">
        <v>324</v>
      </c>
      <c r="I1829" s="6">
        <v>483</v>
      </c>
      <c r="J1829" s="6">
        <v>668</v>
      </c>
      <c r="K1829" s="6">
        <v>723</v>
      </c>
    </row>
    <row r="1830" spans="1:11" x14ac:dyDescent="0.25">
      <c r="A1830" s="1">
        <v>0.26944444444444399</v>
      </c>
      <c r="B1830" s="2">
        <v>6.22</v>
      </c>
      <c r="C1830" s="2">
        <v>3.71</v>
      </c>
      <c r="D1830" s="2">
        <v>5.2299999999999995</v>
      </c>
      <c r="E1830" s="2">
        <v>5.1100000000000003</v>
      </c>
      <c r="F1830" s="2">
        <v>2.95</v>
      </c>
      <c r="G1830" s="6">
        <v>283</v>
      </c>
      <c r="H1830" s="6">
        <v>571</v>
      </c>
      <c r="I1830" s="6">
        <v>253</v>
      </c>
      <c r="J1830" s="6">
        <v>413</v>
      </c>
      <c r="K1830" s="6">
        <v>304</v>
      </c>
    </row>
    <row r="1831" spans="1:11" x14ac:dyDescent="0.25">
      <c r="A1831" s="1">
        <v>0.27013888888888898</v>
      </c>
      <c r="B1831" s="2">
        <v>6.21</v>
      </c>
      <c r="C1831" s="2">
        <v>3.7800000000000002</v>
      </c>
      <c r="D1831" s="2">
        <v>5.25</v>
      </c>
      <c r="E1831" s="2">
        <v>5.24</v>
      </c>
      <c r="F1831" s="2">
        <v>3.16</v>
      </c>
      <c r="G1831" s="6">
        <v>395</v>
      </c>
      <c r="H1831" s="6">
        <v>656</v>
      </c>
      <c r="I1831" s="6">
        <v>593</v>
      </c>
      <c r="J1831" s="6">
        <v>609</v>
      </c>
      <c r="K1831" s="6">
        <v>659</v>
      </c>
    </row>
    <row r="1832" spans="1:11" x14ac:dyDescent="0.25">
      <c r="A1832" s="1">
        <v>0.27083333333333298</v>
      </c>
      <c r="B1832" s="2">
        <v>6.2299999999999995</v>
      </c>
      <c r="C1832" s="2">
        <v>3.65</v>
      </c>
      <c r="D1832" s="2">
        <v>5.31</v>
      </c>
      <c r="E1832" s="2">
        <v>5.12</v>
      </c>
      <c r="F1832" s="2">
        <v>3.21</v>
      </c>
      <c r="G1832" s="6">
        <v>468</v>
      </c>
      <c r="H1832" s="6">
        <v>450</v>
      </c>
      <c r="I1832" s="6">
        <v>512</v>
      </c>
      <c r="J1832" s="6">
        <v>548</v>
      </c>
      <c r="K1832" s="6">
        <v>418</v>
      </c>
    </row>
    <row r="1833" spans="1:11" x14ac:dyDescent="0.25">
      <c r="A1833" s="1">
        <v>0.27152777777777798</v>
      </c>
      <c r="B1833" s="2">
        <v>6.26</v>
      </c>
      <c r="C1833" s="2">
        <v>3.8000000000000003</v>
      </c>
      <c r="D1833" s="2">
        <v>5.2799999999999994</v>
      </c>
      <c r="E1833" s="2">
        <v>5.39</v>
      </c>
      <c r="F1833" s="2">
        <v>3.3400000000000003</v>
      </c>
      <c r="G1833" s="6">
        <v>369</v>
      </c>
      <c r="H1833" s="6">
        <v>748</v>
      </c>
      <c r="I1833" s="6">
        <v>502</v>
      </c>
      <c r="J1833" s="6">
        <v>592</v>
      </c>
      <c r="K1833" s="6">
        <v>396</v>
      </c>
    </row>
    <row r="1834" spans="1:11" x14ac:dyDescent="0.25">
      <c r="A1834" s="1">
        <v>0.27222222222222198</v>
      </c>
      <c r="B1834" s="2">
        <v>6.32</v>
      </c>
      <c r="C1834" s="2">
        <v>3.8200000000000003</v>
      </c>
      <c r="D1834" s="2">
        <v>4.9899999999999993</v>
      </c>
      <c r="E1834" s="2">
        <v>5.0199999999999996</v>
      </c>
      <c r="F1834" s="2">
        <v>3</v>
      </c>
      <c r="G1834" s="6">
        <v>571</v>
      </c>
      <c r="H1834" s="6">
        <v>775</v>
      </c>
      <c r="I1834" s="6">
        <v>254</v>
      </c>
      <c r="J1834" s="6">
        <v>327</v>
      </c>
      <c r="K1834" s="6">
        <v>586</v>
      </c>
    </row>
    <row r="1835" spans="1:11" x14ac:dyDescent="0.25">
      <c r="A1835" s="1">
        <v>0.27291666666666697</v>
      </c>
      <c r="B1835" s="2">
        <v>6.22</v>
      </c>
      <c r="C1835" s="2">
        <v>3.62</v>
      </c>
      <c r="D1835" s="2">
        <v>5.1999999999999993</v>
      </c>
      <c r="E1835" s="2">
        <v>5.12</v>
      </c>
      <c r="F1835" s="2">
        <v>3.3400000000000003</v>
      </c>
      <c r="G1835" s="6">
        <v>619</v>
      </c>
      <c r="H1835" s="6">
        <v>314</v>
      </c>
      <c r="I1835" s="6">
        <v>510</v>
      </c>
      <c r="J1835" s="6">
        <v>657</v>
      </c>
      <c r="K1835" s="6">
        <v>708</v>
      </c>
    </row>
    <row r="1836" spans="1:11" x14ac:dyDescent="0.25">
      <c r="A1836" s="1">
        <v>0.27361111111111103</v>
      </c>
      <c r="B1836" s="2">
        <v>6.22</v>
      </c>
      <c r="C1836" s="2">
        <v>3.72</v>
      </c>
      <c r="D1836" s="2">
        <v>4.8699999999999992</v>
      </c>
      <c r="E1836" s="2">
        <v>5.49</v>
      </c>
      <c r="F1836" s="2">
        <v>3.33</v>
      </c>
      <c r="G1836" s="6">
        <v>549</v>
      </c>
      <c r="H1836" s="6">
        <v>812</v>
      </c>
      <c r="I1836" s="6">
        <v>351</v>
      </c>
      <c r="J1836" s="6">
        <v>303</v>
      </c>
      <c r="K1836" s="6">
        <v>315</v>
      </c>
    </row>
    <row r="1837" spans="1:11" x14ac:dyDescent="0.25">
      <c r="A1837" s="1">
        <v>0.27430555555555602</v>
      </c>
      <c r="B1837" s="2">
        <v>6.31</v>
      </c>
      <c r="C1837" s="2">
        <v>3.7600000000000002</v>
      </c>
      <c r="D1837" s="2">
        <v>4.92</v>
      </c>
      <c r="E1837" s="2">
        <v>5.2</v>
      </c>
      <c r="F1837" s="2">
        <v>3.22</v>
      </c>
      <c r="G1837" s="6">
        <v>318</v>
      </c>
      <c r="H1837" s="6">
        <v>652</v>
      </c>
      <c r="I1837" s="6">
        <v>456</v>
      </c>
      <c r="J1837" s="6">
        <v>487</v>
      </c>
      <c r="K1837" s="6">
        <v>675</v>
      </c>
    </row>
    <row r="1838" spans="1:11" x14ac:dyDescent="0.25">
      <c r="A1838" s="1">
        <v>0.27500000000000002</v>
      </c>
      <c r="B1838" s="2">
        <v>6.2</v>
      </c>
      <c r="C1838" s="2">
        <v>3.77</v>
      </c>
      <c r="D1838" s="2">
        <v>5.13</v>
      </c>
      <c r="E1838" s="2">
        <v>5.18</v>
      </c>
      <c r="F1838" s="2">
        <v>3.31</v>
      </c>
      <c r="G1838" s="6">
        <v>246</v>
      </c>
      <c r="H1838" s="6">
        <v>514</v>
      </c>
      <c r="I1838" s="6">
        <v>582</v>
      </c>
      <c r="J1838" s="6">
        <v>336</v>
      </c>
      <c r="K1838" s="6">
        <v>384</v>
      </c>
    </row>
    <row r="1839" spans="1:11" x14ac:dyDescent="0.25">
      <c r="A1839" s="1">
        <v>0.27569444444444402</v>
      </c>
      <c r="B1839" s="2">
        <v>6.22</v>
      </c>
      <c r="C1839" s="2">
        <v>3.75</v>
      </c>
      <c r="D1839" s="2">
        <v>5.17</v>
      </c>
      <c r="E1839" s="2">
        <v>5.3</v>
      </c>
      <c r="F1839" s="2">
        <v>3.16</v>
      </c>
      <c r="G1839" s="6">
        <v>380</v>
      </c>
      <c r="H1839" s="6">
        <v>609</v>
      </c>
      <c r="I1839" s="6">
        <v>522</v>
      </c>
      <c r="J1839" s="6">
        <v>394</v>
      </c>
      <c r="K1839" s="6">
        <v>393</v>
      </c>
    </row>
    <row r="1840" spans="1:11" x14ac:dyDescent="0.25">
      <c r="A1840" s="1">
        <v>0.27638888888888902</v>
      </c>
      <c r="B1840" s="2">
        <v>6.21</v>
      </c>
      <c r="C1840" s="2">
        <v>3.68</v>
      </c>
      <c r="D1840" s="2">
        <v>4.96</v>
      </c>
      <c r="E1840" s="2">
        <v>5.21</v>
      </c>
      <c r="F1840" s="2">
        <v>3.37</v>
      </c>
      <c r="G1840" s="6">
        <v>298</v>
      </c>
      <c r="H1840" s="6">
        <v>388</v>
      </c>
      <c r="I1840" s="6">
        <v>374</v>
      </c>
      <c r="J1840" s="6">
        <v>639</v>
      </c>
      <c r="K1840" s="6">
        <v>631</v>
      </c>
    </row>
    <row r="1841" spans="1:11" x14ac:dyDescent="0.25">
      <c r="A1841" s="1">
        <v>0.27708333333333302</v>
      </c>
      <c r="B1841" s="2">
        <v>6.1499999999999995</v>
      </c>
      <c r="C1841" s="2">
        <v>3.68</v>
      </c>
      <c r="D1841" s="2">
        <v>5.2799999999999994</v>
      </c>
      <c r="E1841" s="2">
        <v>5.36</v>
      </c>
      <c r="F1841" s="2">
        <v>3.21</v>
      </c>
      <c r="G1841" s="6">
        <v>541</v>
      </c>
      <c r="H1841" s="6">
        <v>681</v>
      </c>
      <c r="I1841" s="6">
        <v>303</v>
      </c>
      <c r="J1841" s="6">
        <v>512</v>
      </c>
      <c r="K1841" s="6">
        <v>411</v>
      </c>
    </row>
    <row r="1842" spans="1:11" x14ac:dyDescent="0.25">
      <c r="A1842" s="1">
        <v>0.27777777777777801</v>
      </c>
      <c r="B1842" s="2">
        <v>6.13</v>
      </c>
      <c r="C1842" s="2">
        <v>3.83</v>
      </c>
      <c r="D1842" s="2">
        <v>5.3</v>
      </c>
      <c r="E1842" s="2">
        <v>5.41</v>
      </c>
      <c r="F1842" s="2">
        <v>3.14</v>
      </c>
      <c r="G1842" s="6">
        <v>479</v>
      </c>
      <c r="H1842" s="6">
        <v>307</v>
      </c>
      <c r="I1842" s="6">
        <v>281</v>
      </c>
      <c r="J1842" s="6">
        <v>619</v>
      </c>
      <c r="K1842" s="6">
        <v>547</v>
      </c>
    </row>
    <row r="1843" spans="1:11" x14ac:dyDescent="0.25">
      <c r="A1843" s="1">
        <v>0.27847222222222201</v>
      </c>
      <c r="B1843" s="2">
        <v>6.18</v>
      </c>
      <c r="C1843" s="2">
        <v>3.64</v>
      </c>
      <c r="D1843" s="2">
        <v>5.08</v>
      </c>
      <c r="E1843" s="2">
        <v>5.56</v>
      </c>
      <c r="F1843" s="2">
        <v>2.87</v>
      </c>
      <c r="G1843" s="6">
        <v>602</v>
      </c>
      <c r="H1843" s="6">
        <v>595</v>
      </c>
      <c r="I1843" s="6">
        <v>471</v>
      </c>
      <c r="J1843" s="6">
        <v>259</v>
      </c>
      <c r="K1843" s="6">
        <v>585</v>
      </c>
    </row>
    <row r="1844" spans="1:11" x14ac:dyDescent="0.25">
      <c r="A1844" s="1">
        <v>0.27916666666666701</v>
      </c>
      <c r="B1844" s="2">
        <v>6.1099999999999994</v>
      </c>
      <c r="C1844" s="2">
        <v>3.65</v>
      </c>
      <c r="D1844" s="2">
        <v>5.08</v>
      </c>
      <c r="E1844" s="2">
        <v>5.41</v>
      </c>
      <c r="F1844" s="2">
        <v>3.08</v>
      </c>
      <c r="G1844" s="6">
        <v>498</v>
      </c>
      <c r="H1844" s="6">
        <v>769</v>
      </c>
      <c r="I1844" s="6">
        <v>524</v>
      </c>
      <c r="J1844" s="6">
        <v>275</v>
      </c>
      <c r="K1844" s="6">
        <v>309</v>
      </c>
    </row>
    <row r="1845" spans="1:11" x14ac:dyDescent="0.25">
      <c r="A1845" s="1">
        <v>0.27986111111111101</v>
      </c>
      <c r="B1845" s="2">
        <v>6.14</v>
      </c>
      <c r="C1845" s="2">
        <v>3.85</v>
      </c>
      <c r="D1845" s="2">
        <v>5.01</v>
      </c>
      <c r="E1845" s="2">
        <v>4.93</v>
      </c>
      <c r="F1845" s="2">
        <v>2.93</v>
      </c>
      <c r="G1845" s="6">
        <v>578</v>
      </c>
      <c r="H1845" s="6">
        <v>374</v>
      </c>
      <c r="I1845" s="6">
        <v>325</v>
      </c>
      <c r="J1845" s="6">
        <v>662</v>
      </c>
      <c r="K1845" s="6">
        <v>721</v>
      </c>
    </row>
    <row r="1846" spans="1:11" x14ac:dyDescent="0.25">
      <c r="A1846" s="1">
        <v>0.280555555555556</v>
      </c>
      <c r="B1846" s="2">
        <v>6.1</v>
      </c>
      <c r="C1846" s="2">
        <v>3.68</v>
      </c>
      <c r="D1846" s="2">
        <v>5.01</v>
      </c>
      <c r="E1846" s="2">
        <v>4.96</v>
      </c>
      <c r="F1846" s="2">
        <v>3.3400000000000003</v>
      </c>
      <c r="G1846" s="6">
        <v>520</v>
      </c>
      <c r="H1846" s="6">
        <v>575</v>
      </c>
      <c r="I1846" s="6">
        <v>376</v>
      </c>
      <c r="J1846" s="6">
        <v>588</v>
      </c>
      <c r="K1846" s="6">
        <v>379</v>
      </c>
    </row>
    <row r="1847" spans="1:11" x14ac:dyDescent="0.25">
      <c r="A1847" s="1">
        <v>0.28125</v>
      </c>
      <c r="B1847" s="2">
        <v>6.21</v>
      </c>
      <c r="C1847" s="2">
        <v>3.58</v>
      </c>
      <c r="D1847" s="2">
        <v>5.31</v>
      </c>
      <c r="E1847" s="2">
        <v>5.08</v>
      </c>
      <c r="F1847" s="2">
        <v>3.27</v>
      </c>
      <c r="G1847" s="6">
        <v>520</v>
      </c>
      <c r="H1847" s="6">
        <v>752</v>
      </c>
      <c r="I1847" s="6">
        <v>539</v>
      </c>
      <c r="J1847" s="6">
        <v>460</v>
      </c>
      <c r="K1847" s="6">
        <v>664</v>
      </c>
    </row>
    <row r="1848" spans="1:11" x14ac:dyDescent="0.25">
      <c r="A1848" s="1">
        <v>0.281944444444444</v>
      </c>
      <c r="B1848" s="2">
        <v>6.17</v>
      </c>
      <c r="C1848" s="2">
        <v>3.71</v>
      </c>
      <c r="D1848" s="2">
        <v>4.8699999999999992</v>
      </c>
      <c r="E1848" s="2">
        <v>5.31</v>
      </c>
      <c r="F1848" s="2">
        <v>3.2800000000000002</v>
      </c>
      <c r="G1848" s="6">
        <v>333</v>
      </c>
      <c r="H1848" s="6">
        <v>408</v>
      </c>
      <c r="I1848" s="6">
        <v>465</v>
      </c>
      <c r="J1848" s="6">
        <v>287</v>
      </c>
      <c r="K1848" s="6">
        <v>582</v>
      </c>
    </row>
    <row r="1849" spans="1:11" x14ac:dyDescent="0.25">
      <c r="A1849" s="1">
        <v>0.28263888888888899</v>
      </c>
      <c r="B1849" s="2">
        <v>6.31</v>
      </c>
      <c r="C1849" s="2">
        <v>3.85</v>
      </c>
      <c r="D1849" s="2">
        <v>5.3</v>
      </c>
      <c r="E1849" s="2">
        <v>4.99</v>
      </c>
      <c r="F1849" s="2">
        <v>2.96</v>
      </c>
      <c r="G1849" s="6">
        <v>450</v>
      </c>
      <c r="H1849" s="6">
        <v>700</v>
      </c>
      <c r="I1849" s="6">
        <v>533</v>
      </c>
      <c r="J1849" s="6">
        <v>561</v>
      </c>
      <c r="K1849" s="6">
        <v>672</v>
      </c>
    </row>
    <row r="1850" spans="1:11" x14ac:dyDescent="0.25">
      <c r="A1850" s="1">
        <v>0.28333333333333299</v>
      </c>
      <c r="B1850" s="2">
        <v>6.26</v>
      </c>
      <c r="C1850" s="2">
        <v>3.8200000000000003</v>
      </c>
      <c r="D1850" s="2">
        <v>5.31</v>
      </c>
      <c r="E1850" s="2">
        <v>4.97</v>
      </c>
      <c r="F1850" s="2">
        <v>3</v>
      </c>
      <c r="G1850" s="6">
        <v>523</v>
      </c>
      <c r="H1850" s="6">
        <v>300</v>
      </c>
      <c r="I1850" s="6">
        <v>485</v>
      </c>
      <c r="J1850" s="6">
        <v>345</v>
      </c>
      <c r="K1850" s="6">
        <v>518</v>
      </c>
    </row>
    <row r="1851" spans="1:11" x14ac:dyDescent="0.25">
      <c r="A1851" s="1">
        <v>0.28402777777777799</v>
      </c>
      <c r="B1851" s="2">
        <v>6.1099999999999994</v>
      </c>
      <c r="C1851" s="2">
        <v>3.75</v>
      </c>
      <c r="D1851" s="2">
        <v>5.18</v>
      </c>
      <c r="E1851" s="2">
        <v>5.37</v>
      </c>
      <c r="F1851" s="2">
        <v>2.97</v>
      </c>
      <c r="G1851" s="6">
        <v>576</v>
      </c>
      <c r="H1851" s="6">
        <v>750</v>
      </c>
      <c r="I1851" s="6">
        <v>326</v>
      </c>
      <c r="J1851" s="6">
        <v>409</v>
      </c>
      <c r="K1851" s="6">
        <v>384</v>
      </c>
    </row>
    <row r="1852" spans="1:11" x14ac:dyDescent="0.25">
      <c r="A1852" s="1">
        <v>0.28472222222222199</v>
      </c>
      <c r="B1852" s="2">
        <v>6.34</v>
      </c>
      <c r="C1852" s="2">
        <v>3.7600000000000002</v>
      </c>
      <c r="D1852" s="2">
        <v>5.1599999999999993</v>
      </c>
      <c r="E1852" s="2">
        <v>5.12</v>
      </c>
      <c r="F1852" s="2">
        <v>2.92</v>
      </c>
      <c r="G1852" s="6">
        <v>457</v>
      </c>
      <c r="H1852" s="6">
        <v>759</v>
      </c>
      <c r="I1852" s="6">
        <v>490</v>
      </c>
      <c r="J1852" s="6">
        <v>371</v>
      </c>
      <c r="K1852" s="6">
        <v>681</v>
      </c>
    </row>
    <row r="1853" spans="1:11" x14ac:dyDescent="0.25">
      <c r="A1853" s="1">
        <v>0.28541666666666698</v>
      </c>
      <c r="B1853" s="2">
        <v>6.32</v>
      </c>
      <c r="C1853" s="2">
        <v>3.79</v>
      </c>
      <c r="D1853" s="2">
        <v>4.8499999999999996</v>
      </c>
      <c r="E1853" s="2">
        <v>5.14</v>
      </c>
      <c r="F1853" s="2">
        <v>3.23</v>
      </c>
      <c r="G1853" s="6">
        <v>247</v>
      </c>
      <c r="H1853" s="6">
        <v>468</v>
      </c>
      <c r="I1853" s="6">
        <v>497</v>
      </c>
      <c r="J1853" s="6">
        <v>629</v>
      </c>
      <c r="K1853" s="6">
        <v>450</v>
      </c>
    </row>
    <row r="1854" spans="1:11" x14ac:dyDescent="0.25">
      <c r="A1854" s="1">
        <v>0.28611111111111098</v>
      </c>
      <c r="B1854" s="2">
        <v>6.14</v>
      </c>
      <c r="C1854" s="2">
        <v>3.85</v>
      </c>
      <c r="D1854" s="2">
        <v>5</v>
      </c>
      <c r="E1854" s="2">
        <v>5.25</v>
      </c>
      <c r="F1854" s="2">
        <v>3.2</v>
      </c>
      <c r="G1854" s="6">
        <v>874</v>
      </c>
      <c r="H1854" s="6">
        <v>382</v>
      </c>
      <c r="I1854" s="6">
        <v>354</v>
      </c>
      <c r="J1854" s="6">
        <v>551</v>
      </c>
      <c r="K1854" s="6">
        <v>478</v>
      </c>
    </row>
    <row r="1855" spans="1:11" x14ac:dyDescent="0.25">
      <c r="A1855" s="1">
        <v>0.28680555555555598</v>
      </c>
      <c r="B1855" s="2">
        <v>6.24</v>
      </c>
      <c r="C1855" s="2">
        <v>3.59</v>
      </c>
      <c r="D1855" s="2">
        <v>5.1099999999999994</v>
      </c>
      <c r="E1855" s="2">
        <v>5.4</v>
      </c>
      <c r="F1855" s="2">
        <v>3.21</v>
      </c>
      <c r="G1855" s="6">
        <v>641</v>
      </c>
      <c r="H1855" s="6">
        <v>775</v>
      </c>
      <c r="I1855" s="6">
        <v>455</v>
      </c>
      <c r="J1855" s="6">
        <v>350</v>
      </c>
      <c r="K1855" s="6">
        <v>845</v>
      </c>
    </row>
    <row r="1856" spans="1:11" x14ac:dyDescent="0.25">
      <c r="A1856" s="1">
        <v>0.28749999999999998</v>
      </c>
      <c r="B1856" s="2">
        <v>6.1</v>
      </c>
      <c r="C1856" s="2">
        <v>3.68</v>
      </c>
      <c r="D1856" s="2">
        <v>4.9899999999999993</v>
      </c>
      <c r="E1856" s="2">
        <v>5.45</v>
      </c>
      <c r="F1856" s="2">
        <v>3.0300000000000002</v>
      </c>
      <c r="G1856" s="6">
        <v>242</v>
      </c>
      <c r="H1856" s="6">
        <v>585</v>
      </c>
      <c r="I1856" s="6">
        <v>573</v>
      </c>
      <c r="J1856" s="6">
        <v>654</v>
      </c>
      <c r="K1856" s="6">
        <v>345</v>
      </c>
    </row>
    <row r="1857" spans="1:11" x14ac:dyDescent="0.25">
      <c r="A1857" s="1">
        <v>0.28819444444444398</v>
      </c>
      <c r="B1857" s="2">
        <v>6.33</v>
      </c>
      <c r="C1857" s="2">
        <v>3.8000000000000003</v>
      </c>
      <c r="D1857" s="2">
        <v>5.1899999999999995</v>
      </c>
      <c r="E1857" s="2">
        <v>5.21</v>
      </c>
      <c r="F1857" s="2">
        <v>3.16</v>
      </c>
      <c r="G1857" s="6">
        <v>648</v>
      </c>
      <c r="H1857" s="6">
        <v>293</v>
      </c>
      <c r="I1857" s="6">
        <v>569</v>
      </c>
      <c r="J1857" s="6">
        <v>402</v>
      </c>
      <c r="K1857" s="6">
        <v>560</v>
      </c>
    </row>
    <row r="1858" spans="1:11" x14ac:dyDescent="0.25">
      <c r="A1858" s="1">
        <v>0.28888888888888897</v>
      </c>
      <c r="B1858" s="2">
        <v>6.34</v>
      </c>
      <c r="C1858" s="2">
        <v>3.72</v>
      </c>
      <c r="D1858" s="2">
        <v>5.1499999999999995</v>
      </c>
      <c r="E1858" s="2">
        <v>5.63</v>
      </c>
      <c r="F1858" s="2">
        <v>3.31</v>
      </c>
      <c r="G1858" s="6">
        <v>458</v>
      </c>
      <c r="H1858" s="6">
        <v>298</v>
      </c>
      <c r="I1858" s="6">
        <v>249</v>
      </c>
      <c r="J1858" s="6">
        <v>309</v>
      </c>
      <c r="K1858" s="6">
        <v>735</v>
      </c>
    </row>
    <row r="1859" spans="1:11" x14ac:dyDescent="0.25">
      <c r="A1859" s="1">
        <v>0.28958333333333303</v>
      </c>
      <c r="B1859" s="2">
        <v>6.14</v>
      </c>
      <c r="C1859" s="2">
        <v>3.75</v>
      </c>
      <c r="D1859" s="2">
        <v>5.33</v>
      </c>
      <c r="E1859" s="2">
        <v>5.58</v>
      </c>
      <c r="F1859" s="2">
        <v>3.3400000000000003</v>
      </c>
      <c r="G1859" s="6">
        <v>657</v>
      </c>
      <c r="H1859" s="6">
        <v>721</v>
      </c>
      <c r="I1859" s="6">
        <v>553</v>
      </c>
      <c r="J1859" s="6">
        <v>586</v>
      </c>
      <c r="K1859" s="6">
        <v>467</v>
      </c>
    </row>
    <row r="1860" spans="1:11" x14ac:dyDescent="0.25">
      <c r="A1860" s="1">
        <v>0.29027777777777802</v>
      </c>
      <c r="B1860" s="2">
        <v>6.14</v>
      </c>
      <c r="C1860" s="2">
        <v>3.65</v>
      </c>
      <c r="D1860" s="2">
        <v>4.8899999999999997</v>
      </c>
      <c r="E1860" s="2">
        <v>5.48</v>
      </c>
      <c r="F1860" s="2">
        <v>2.97</v>
      </c>
      <c r="G1860" s="6">
        <v>645</v>
      </c>
      <c r="H1860" s="6">
        <v>667</v>
      </c>
      <c r="I1860" s="6">
        <v>554</v>
      </c>
      <c r="J1860" s="6">
        <v>260</v>
      </c>
      <c r="K1860" s="6">
        <v>846</v>
      </c>
    </row>
    <row r="1861" spans="1:11" x14ac:dyDescent="0.25">
      <c r="A1861" s="1">
        <v>0.29097222222222202</v>
      </c>
      <c r="B1861" s="2">
        <v>6.25</v>
      </c>
      <c r="C1861" s="2">
        <v>3.73</v>
      </c>
      <c r="D1861" s="2">
        <v>4.8599999999999994</v>
      </c>
      <c r="E1861" s="2">
        <v>5.0199999999999996</v>
      </c>
      <c r="F1861" s="2">
        <v>2.99</v>
      </c>
      <c r="G1861" s="6">
        <v>450</v>
      </c>
      <c r="H1861" s="6">
        <v>427</v>
      </c>
      <c r="I1861" s="6">
        <v>382</v>
      </c>
      <c r="J1861" s="6">
        <v>456</v>
      </c>
      <c r="K1861" s="6">
        <v>546</v>
      </c>
    </row>
    <row r="1862" spans="1:11" x14ac:dyDescent="0.25">
      <c r="A1862" s="3">
        <v>0.29166666666666702</v>
      </c>
      <c r="B1862" s="2">
        <v>6.21</v>
      </c>
      <c r="C1862" s="2">
        <v>3.73</v>
      </c>
      <c r="D1862" s="2">
        <v>5.0999999999999996</v>
      </c>
      <c r="E1862" s="2">
        <v>5.31</v>
      </c>
      <c r="F1862" s="2">
        <v>3.16</v>
      </c>
      <c r="G1862" s="6">
        <v>634</v>
      </c>
      <c r="H1862" s="6">
        <v>688</v>
      </c>
      <c r="I1862" s="6">
        <v>596</v>
      </c>
      <c r="J1862" s="6">
        <v>623</v>
      </c>
      <c r="K1862" s="6">
        <v>661</v>
      </c>
    </row>
    <row r="1863" spans="1:11" x14ac:dyDescent="0.25">
      <c r="A1863" s="1">
        <v>0.29236111111111102</v>
      </c>
      <c r="B1863" s="2">
        <v>6.27</v>
      </c>
      <c r="C1863" s="2">
        <v>3.8000000000000003</v>
      </c>
      <c r="D1863" s="2">
        <v>5.35</v>
      </c>
      <c r="E1863" s="2">
        <v>5.07</v>
      </c>
      <c r="F1863" s="2">
        <v>2.89</v>
      </c>
      <c r="G1863" s="6">
        <v>879</v>
      </c>
      <c r="H1863" s="6">
        <v>999</v>
      </c>
      <c r="I1863" s="6">
        <v>815</v>
      </c>
      <c r="J1863" s="6">
        <v>867</v>
      </c>
      <c r="K1863" s="6">
        <v>788</v>
      </c>
    </row>
    <row r="1864" spans="1:11" x14ac:dyDescent="0.25">
      <c r="A1864" s="1">
        <v>0.29305555555555601</v>
      </c>
      <c r="B1864" s="2">
        <v>6.13</v>
      </c>
      <c r="C1864" s="2">
        <v>3.74</v>
      </c>
      <c r="D1864" s="2">
        <v>5.17</v>
      </c>
      <c r="E1864" s="2">
        <v>5.4399999999999995</v>
      </c>
      <c r="F1864" s="2">
        <v>3.0100000000000002</v>
      </c>
      <c r="G1864" s="6">
        <v>664</v>
      </c>
      <c r="H1864" s="6">
        <v>1242</v>
      </c>
      <c r="I1864" s="6">
        <v>768</v>
      </c>
      <c r="J1864" s="6">
        <v>811</v>
      </c>
      <c r="K1864" s="6">
        <v>1081</v>
      </c>
    </row>
    <row r="1865" spans="1:11" x14ac:dyDescent="0.25">
      <c r="A1865" s="1">
        <v>0.29375000000000001</v>
      </c>
      <c r="B1865" s="2">
        <v>6.32</v>
      </c>
      <c r="C1865" s="2">
        <v>3.58</v>
      </c>
      <c r="D1865" s="2">
        <v>5.0199999999999996</v>
      </c>
      <c r="E1865" s="2">
        <v>5.01</v>
      </c>
      <c r="F1865" s="2">
        <v>3</v>
      </c>
      <c r="G1865" s="6">
        <v>809</v>
      </c>
      <c r="H1865" s="6">
        <v>616</v>
      </c>
      <c r="I1865" s="6">
        <v>848</v>
      </c>
      <c r="J1865" s="6">
        <v>670</v>
      </c>
      <c r="K1865" s="6">
        <v>1181</v>
      </c>
    </row>
    <row r="1866" spans="1:11" x14ac:dyDescent="0.25">
      <c r="A1866" s="1">
        <v>0.29444444444444401</v>
      </c>
      <c r="B1866" s="2">
        <v>6.13</v>
      </c>
      <c r="C1866" s="2">
        <v>3.69</v>
      </c>
      <c r="D1866" s="2">
        <v>5.1999999999999993</v>
      </c>
      <c r="E1866" s="2">
        <v>4.9399999999999995</v>
      </c>
      <c r="F1866" s="2">
        <v>3.31</v>
      </c>
      <c r="G1866" s="6">
        <v>971</v>
      </c>
      <c r="H1866" s="6">
        <v>877</v>
      </c>
      <c r="I1866" s="6">
        <v>607</v>
      </c>
      <c r="J1866" s="6">
        <v>1083</v>
      </c>
      <c r="K1866" s="6">
        <v>1377</v>
      </c>
    </row>
    <row r="1867" spans="1:11" x14ac:dyDescent="0.25">
      <c r="A1867" s="1">
        <v>0.29513888888888901</v>
      </c>
      <c r="B1867" s="2">
        <v>6.3599999999999994</v>
      </c>
      <c r="C1867" s="2">
        <v>3.74</v>
      </c>
      <c r="D1867" s="2">
        <v>4.8599999999999994</v>
      </c>
      <c r="E1867" s="2">
        <v>5.0599999999999996</v>
      </c>
      <c r="F1867" s="2">
        <v>2.97</v>
      </c>
      <c r="G1867" s="6">
        <v>720</v>
      </c>
      <c r="H1867" s="6">
        <v>507</v>
      </c>
      <c r="I1867" s="6">
        <v>695</v>
      </c>
      <c r="J1867" s="6">
        <v>888</v>
      </c>
      <c r="K1867" s="6">
        <v>1292</v>
      </c>
    </row>
    <row r="1868" spans="1:11" x14ac:dyDescent="0.25">
      <c r="A1868" s="1">
        <v>0.295833333333333</v>
      </c>
      <c r="B1868" s="2">
        <v>6.17</v>
      </c>
      <c r="C1868" s="2">
        <v>3.67</v>
      </c>
      <c r="D1868" s="2">
        <v>5.27</v>
      </c>
      <c r="E1868" s="2">
        <v>5.26</v>
      </c>
      <c r="F1868" s="2">
        <v>3.29</v>
      </c>
      <c r="G1868" s="6">
        <v>895</v>
      </c>
      <c r="H1868" s="6">
        <v>1157</v>
      </c>
      <c r="I1868" s="6">
        <v>650</v>
      </c>
      <c r="J1868" s="6">
        <v>705</v>
      </c>
      <c r="K1868" s="6">
        <v>1414</v>
      </c>
    </row>
    <row r="1869" spans="1:11" x14ac:dyDescent="0.25">
      <c r="A1869" s="1">
        <v>0.296527777777778</v>
      </c>
      <c r="B1869" s="2">
        <v>6.1899999999999995</v>
      </c>
      <c r="C1869" s="2">
        <v>3.79</v>
      </c>
      <c r="D1869" s="2">
        <v>4.93</v>
      </c>
      <c r="E1869" s="2">
        <v>4.93</v>
      </c>
      <c r="F1869" s="2">
        <v>2.91</v>
      </c>
      <c r="G1869" s="6">
        <v>1028</v>
      </c>
      <c r="H1869" s="6">
        <v>738</v>
      </c>
      <c r="I1869" s="6">
        <v>990</v>
      </c>
      <c r="J1869" s="6">
        <v>664</v>
      </c>
      <c r="K1869" s="6">
        <v>1399</v>
      </c>
    </row>
    <row r="1870" spans="1:11" x14ac:dyDescent="0.25">
      <c r="A1870" s="1">
        <v>0.297222222222222</v>
      </c>
      <c r="B1870" s="2">
        <v>6.3599999999999994</v>
      </c>
      <c r="C1870" s="2">
        <v>3.73</v>
      </c>
      <c r="D1870" s="2">
        <v>5.0599999999999996</v>
      </c>
      <c r="E1870" s="2">
        <v>5.03</v>
      </c>
      <c r="F1870" s="2">
        <v>3.02</v>
      </c>
      <c r="G1870" s="6">
        <v>1201</v>
      </c>
      <c r="H1870" s="6">
        <v>1115</v>
      </c>
      <c r="I1870" s="6">
        <v>967</v>
      </c>
      <c r="J1870" s="6">
        <v>1016</v>
      </c>
      <c r="K1870" s="6">
        <v>1366</v>
      </c>
    </row>
    <row r="1871" spans="1:11" x14ac:dyDescent="0.25">
      <c r="A1871" s="1">
        <v>0.297916666666667</v>
      </c>
      <c r="B1871" s="2">
        <v>6.24</v>
      </c>
      <c r="C1871" s="2">
        <v>3.63</v>
      </c>
      <c r="D1871" s="2">
        <v>5.1599999999999993</v>
      </c>
      <c r="E1871" s="2">
        <v>5.41</v>
      </c>
      <c r="F1871" s="2">
        <v>2.95</v>
      </c>
      <c r="G1871" s="6">
        <v>992</v>
      </c>
      <c r="H1871" s="6">
        <v>695</v>
      </c>
      <c r="I1871" s="6">
        <v>1000</v>
      </c>
      <c r="J1871" s="6">
        <v>888</v>
      </c>
      <c r="K1871" s="6">
        <v>1234</v>
      </c>
    </row>
    <row r="1872" spans="1:11" x14ac:dyDescent="0.25">
      <c r="A1872" s="1">
        <v>0.29861111111111099</v>
      </c>
      <c r="B1872" s="2">
        <v>6.28</v>
      </c>
      <c r="C1872" s="2">
        <v>3.73</v>
      </c>
      <c r="D1872" s="2">
        <v>4.88</v>
      </c>
      <c r="E1872" s="2">
        <v>5.45</v>
      </c>
      <c r="F1872" s="2">
        <v>2.92</v>
      </c>
      <c r="G1872" s="6">
        <v>815</v>
      </c>
      <c r="H1872" s="6">
        <v>607</v>
      </c>
      <c r="I1872" s="6">
        <v>1122</v>
      </c>
      <c r="J1872" s="6">
        <v>853</v>
      </c>
      <c r="K1872" s="6">
        <v>1249</v>
      </c>
    </row>
    <row r="1873" spans="1:11" x14ac:dyDescent="0.25">
      <c r="A1873" s="1">
        <v>0.29930555555555599</v>
      </c>
      <c r="B1873" s="2">
        <v>6.12</v>
      </c>
      <c r="C1873" s="2">
        <v>3.68</v>
      </c>
      <c r="D1873" s="2">
        <v>5.1999999999999993</v>
      </c>
      <c r="E1873" s="2">
        <v>5.12</v>
      </c>
      <c r="F1873" s="2">
        <v>3.33</v>
      </c>
      <c r="G1873" s="6">
        <v>608</v>
      </c>
      <c r="H1873" s="6">
        <v>890</v>
      </c>
      <c r="I1873" s="6">
        <v>953</v>
      </c>
      <c r="J1873" s="6">
        <v>1130</v>
      </c>
      <c r="K1873" s="6">
        <v>657</v>
      </c>
    </row>
    <row r="1874" spans="1:11" x14ac:dyDescent="0.25">
      <c r="A1874" s="1">
        <v>0.3</v>
      </c>
      <c r="B1874" s="2">
        <v>6.35</v>
      </c>
      <c r="C1874" s="2">
        <v>3.66</v>
      </c>
      <c r="D1874" s="2">
        <v>4.93</v>
      </c>
      <c r="E1874" s="2">
        <v>5.28</v>
      </c>
      <c r="F1874" s="2">
        <v>2.97</v>
      </c>
      <c r="G1874" s="6">
        <v>1162</v>
      </c>
      <c r="H1874" s="6">
        <v>1189</v>
      </c>
      <c r="I1874" s="6">
        <v>677</v>
      </c>
      <c r="J1874" s="6">
        <v>645</v>
      </c>
      <c r="K1874" s="6">
        <v>951</v>
      </c>
    </row>
    <row r="1875" spans="1:11" x14ac:dyDescent="0.25">
      <c r="A1875" s="1">
        <v>0.30069444444444399</v>
      </c>
      <c r="B1875" s="2">
        <v>6.3599999999999994</v>
      </c>
      <c r="C1875" s="2">
        <v>3.71</v>
      </c>
      <c r="D1875" s="2">
        <v>5.0699999999999994</v>
      </c>
      <c r="E1875" s="2">
        <v>5.3</v>
      </c>
      <c r="F1875" s="2">
        <v>3.3600000000000003</v>
      </c>
      <c r="G1875" s="6">
        <v>1036</v>
      </c>
      <c r="H1875" s="6">
        <v>763</v>
      </c>
      <c r="I1875" s="6">
        <v>824</v>
      </c>
      <c r="J1875" s="6">
        <v>876</v>
      </c>
      <c r="K1875" s="6">
        <v>778</v>
      </c>
    </row>
    <row r="1876" spans="1:11" x14ac:dyDescent="0.25">
      <c r="A1876" s="1">
        <v>0.30138888888888898</v>
      </c>
      <c r="B1876" s="2">
        <v>6.2299999999999995</v>
      </c>
      <c r="C1876" s="2">
        <v>3.69</v>
      </c>
      <c r="D1876" s="2">
        <v>5.1199999999999992</v>
      </c>
      <c r="E1876" s="2">
        <v>5.49</v>
      </c>
      <c r="F1876" s="2">
        <v>3.1500000000000004</v>
      </c>
      <c r="G1876" s="6">
        <v>1066</v>
      </c>
      <c r="H1876" s="6">
        <v>576</v>
      </c>
      <c r="I1876" s="6">
        <v>747</v>
      </c>
      <c r="J1876" s="6">
        <v>813</v>
      </c>
      <c r="K1876" s="6">
        <v>1373</v>
      </c>
    </row>
    <row r="1877" spans="1:11" x14ac:dyDescent="0.25">
      <c r="A1877" s="1">
        <v>0.30208333333333298</v>
      </c>
      <c r="B1877" s="2">
        <v>6.22</v>
      </c>
      <c r="C1877" s="2">
        <v>3.79</v>
      </c>
      <c r="D1877" s="2">
        <v>5.13</v>
      </c>
      <c r="E1877" s="2">
        <v>5.37</v>
      </c>
      <c r="F1877" s="2">
        <v>3.1500000000000004</v>
      </c>
      <c r="G1877" s="6">
        <v>943</v>
      </c>
      <c r="H1877" s="6">
        <v>673</v>
      </c>
      <c r="I1877" s="6">
        <v>750</v>
      </c>
      <c r="J1877" s="6">
        <v>1027</v>
      </c>
      <c r="K1877" s="6">
        <v>946</v>
      </c>
    </row>
    <row r="1878" spans="1:11" x14ac:dyDescent="0.25">
      <c r="A1878" s="1">
        <v>0.30277777777777798</v>
      </c>
      <c r="B1878" s="2">
        <v>6.26</v>
      </c>
      <c r="C1878" s="2">
        <v>3.62</v>
      </c>
      <c r="D1878" s="2">
        <v>4.8499999999999996</v>
      </c>
      <c r="E1878" s="2">
        <v>5.05</v>
      </c>
      <c r="F1878" s="2">
        <v>3.1500000000000004</v>
      </c>
      <c r="G1878" s="6">
        <v>1200</v>
      </c>
      <c r="H1878" s="6">
        <v>1303</v>
      </c>
      <c r="I1878" s="6">
        <v>637</v>
      </c>
      <c r="J1878" s="6">
        <v>1174</v>
      </c>
      <c r="K1878" s="6">
        <v>761</v>
      </c>
    </row>
    <row r="1879" spans="1:11" x14ac:dyDescent="0.25">
      <c r="A1879" s="1">
        <v>0.30347222222222198</v>
      </c>
      <c r="B1879" s="2">
        <v>6.3599999999999994</v>
      </c>
      <c r="C1879" s="2">
        <v>3.84</v>
      </c>
      <c r="D1879" s="2">
        <v>5.29</v>
      </c>
      <c r="E1879" s="2">
        <v>5.26</v>
      </c>
      <c r="F1879" s="2">
        <v>2.94</v>
      </c>
      <c r="G1879" s="6">
        <v>725</v>
      </c>
      <c r="H1879" s="6">
        <v>572</v>
      </c>
      <c r="I1879" s="6">
        <v>649</v>
      </c>
      <c r="J1879" s="6">
        <v>1177</v>
      </c>
      <c r="K1879" s="6">
        <v>1161</v>
      </c>
    </row>
    <row r="1880" spans="1:11" x14ac:dyDescent="0.25">
      <c r="A1880" s="1">
        <v>0.30416666666666697</v>
      </c>
      <c r="B1880" s="2">
        <v>6.31</v>
      </c>
      <c r="C1880" s="2">
        <v>3.68</v>
      </c>
      <c r="D1880" s="2">
        <v>5.13</v>
      </c>
      <c r="E1880" s="2">
        <v>5.08</v>
      </c>
      <c r="F1880" s="2">
        <v>3.17</v>
      </c>
      <c r="G1880" s="6">
        <v>697</v>
      </c>
      <c r="H1880" s="6">
        <v>907</v>
      </c>
      <c r="I1880" s="6">
        <v>1107</v>
      </c>
      <c r="J1880" s="6">
        <v>999</v>
      </c>
      <c r="K1880" s="6">
        <v>993</v>
      </c>
    </row>
    <row r="1881" spans="1:11" x14ac:dyDescent="0.25">
      <c r="A1881" s="1">
        <v>0.30486111111111103</v>
      </c>
      <c r="B1881" s="2">
        <v>6.1099999999999994</v>
      </c>
      <c r="C1881" s="2">
        <v>3.69</v>
      </c>
      <c r="D1881" s="2">
        <v>5.29</v>
      </c>
      <c r="E1881" s="2">
        <v>5.52</v>
      </c>
      <c r="F1881" s="2">
        <v>3.2600000000000002</v>
      </c>
      <c r="G1881" s="6">
        <v>623</v>
      </c>
      <c r="H1881" s="6">
        <v>616</v>
      </c>
      <c r="I1881" s="6">
        <v>905</v>
      </c>
      <c r="J1881" s="6">
        <v>949</v>
      </c>
      <c r="K1881" s="6">
        <v>807</v>
      </c>
    </row>
    <row r="1882" spans="1:11" x14ac:dyDescent="0.25">
      <c r="A1882" s="1">
        <v>0.30555555555555602</v>
      </c>
      <c r="B1882" s="2">
        <v>6.24</v>
      </c>
      <c r="C1882" s="2">
        <v>3.62</v>
      </c>
      <c r="D1882" s="2">
        <v>5.0199999999999996</v>
      </c>
      <c r="E1882" s="2">
        <v>5.0999999999999996</v>
      </c>
      <c r="F1882" s="2">
        <v>2.95</v>
      </c>
      <c r="G1882" s="6">
        <v>1105</v>
      </c>
      <c r="H1882" s="6">
        <v>546</v>
      </c>
      <c r="I1882" s="6">
        <v>806</v>
      </c>
      <c r="J1882" s="6">
        <v>711</v>
      </c>
      <c r="K1882" s="6">
        <v>1131</v>
      </c>
    </row>
    <row r="1883" spans="1:11" x14ac:dyDescent="0.25">
      <c r="A1883" s="1">
        <v>0.30625000000000002</v>
      </c>
      <c r="B1883" s="2">
        <v>6.12</v>
      </c>
      <c r="C1883" s="2">
        <v>3.7</v>
      </c>
      <c r="D1883" s="2">
        <v>5.01</v>
      </c>
      <c r="E1883" s="2">
        <v>5.24</v>
      </c>
      <c r="F1883" s="2">
        <v>3.24</v>
      </c>
      <c r="G1883" s="6">
        <v>902</v>
      </c>
      <c r="H1883" s="6">
        <v>814</v>
      </c>
      <c r="I1883" s="6">
        <v>785</v>
      </c>
      <c r="J1883" s="6">
        <v>1201</v>
      </c>
      <c r="K1883" s="6">
        <v>1224</v>
      </c>
    </row>
    <row r="1884" spans="1:11" x14ac:dyDescent="0.25">
      <c r="A1884" s="1">
        <v>0.30694444444444402</v>
      </c>
      <c r="B1884" s="2">
        <v>6.32</v>
      </c>
      <c r="C1884" s="2">
        <v>3.7</v>
      </c>
      <c r="D1884" s="2">
        <v>4.9399999999999995</v>
      </c>
      <c r="E1884" s="2">
        <v>4.92</v>
      </c>
      <c r="F1884" s="2">
        <v>3.23</v>
      </c>
      <c r="G1884" s="6">
        <v>662</v>
      </c>
      <c r="H1884" s="6">
        <v>621</v>
      </c>
      <c r="I1884" s="6">
        <v>719</v>
      </c>
      <c r="J1884" s="6">
        <v>968</v>
      </c>
      <c r="K1884" s="6">
        <v>769</v>
      </c>
    </row>
    <row r="1885" spans="1:11" x14ac:dyDescent="0.25">
      <c r="A1885" s="1">
        <v>0.30763888888888902</v>
      </c>
      <c r="B1885" s="2">
        <v>6.3599999999999994</v>
      </c>
      <c r="C1885" s="2">
        <v>3.75</v>
      </c>
      <c r="D1885" s="2">
        <v>5.0599999999999996</v>
      </c>
      <c r="E1885" s="2">
        <v>5.38</v>
      </c>
      <c r="F1885" s="2">
        <v>2.96</v>
      </c>
      <c r="G1885" s="6">
        <v>789</v>
      </c>
      <c r="H1885" s="6">
        <v>1198</v>
      </c>
      <c r="I1885" s="6">
        <v>968</v>
      </c>
      <c r="J1885" s="6">
        <v>1069</v>
      </c>
      <c r="K1885" s="6">
        <v>971</v>
      </c>
    </row>
    <row r="1886" spans="1:11" x14ac:dyDescent="0.25">
      <c r="A1886" s="1">
        <v>0.30833333333333302</v>
      </c>
      <c r="B1886" s="2">
        <v>6.17</v>
      </c>
      <c r="C1886" s="2">
        <v>3.73</v>
      </c>
      <c r="D1886" s="2">
        <v>5.1599999999999993</v>
      </c>
      <c r="E1886" s="2">
        <v>5.49</v>
      </c>
      <c r="F1886" s="2">
        <v>3.33</v>
      </c>
      <c r="G1886" s="6">
        <v>598</v>
      </c>
      <c r="H1886" s="6">
        <v>672</v>
      </c>
      <c r="I1886" s="6">
        <v>1075</v>
      </c>
      <c r="J1886" s="6">
        <v>1030</v>
      </c>
      <c r="K1886" s="6">
        <v>732</v>
      </c>
    </row>
    <row r="1887" spans="1:11" x14ac:dyDescent="0.25">
      <c r="A1887" s="1">
        <v>0.30902777777777801</v>
      </c>
      <c r="B1887" s="2">
        <v>6.1</v>
      </c>
      <c r="C1887" s="2">
        <v>3.71</v>
      </c>
      <c r="D1887" s="2">
        <v>5.3199999999999994</v>
      </c>
      <c r="E1887" s="2">
        <v>5.09</v>
      </c>
      <c r="F1887" s="2">
        <v>3.3400000000000003</v>
      </c>
      <c r="G1887" s="6">
        <v>1243</v>
      </c>
      <c r="H1887" s="6">
        <v>882</v>
      </c>
      <c r="I1887" s="6">
        <v>548</v>
      </c>
      <c r="J1887" s="6">
        <v>768</v>
      </c>
      <c r="K1887" s="6">
        <v>703</v>
      </c>
    </row>
    <row r="1888" spans="1:11" x14ac:dyDescent="0.25">
      <c r="A1888" s="1">
        <v>0.30972222222222201</v>
      </c>
      <c r="B1888" s="2">
        <v>6.28</v>
      </c>
      <c r="C1888" s="2">
        <v>3.61</v>
      </c>
      <c r="D1888" s="2">
        <v>4.9499999999999993</v>
      </c>
      <c r="E1888" s="2">
        <v>5.38</v>
      </c>
      <c r="F1888" s="2">
        <v>3.1</v>
      </c>
      <c r="G1888" s="6">
        <v>602</v>
      </c>
      <c r="H1888" s="6">
        <v>965</v>
      </c>
      <c r="I1888" s="6">
        <v>1065</v>
      </c>
      <c r="J1888" s="6">
        <v>849</v>
      </c>
      <c r="K1888" s="6">
        <v>1137</v>
      </c>
    </row>
    <row r="1889" spans="1:11" x14ac:dyDescent="0.25">
      <c r="A1889" s="1">
        <v>0.31041666666666701</v>
      </c>
      <c r="B1889" s="2">
        <v>6.28</v>
      </c>
      <c r="C1889" s="2">
        <v>3.7</v>
      </c>
      <c r="D1889" s="2">
        <v>5.34</v>
      </c>
      <c r="E1889" s="2">
        <v>5.6</v>
      </c>
      <c r="F1889" s="2">
        <v>2.92</v>
      </c>
      <c r="G1889" s="6">
        <v>1009</v>
      </c>
      <c r="H1889" s="6">
        <v>1240</v>
      </c>
      <c r="I1889" s="6">
        <v>572</v>
      </c>
      <c r="J1889" s="6">
        <v>1031</v>
      </c>
      <c r="K1889" s="6">
        <v>1204</v>
      </c>
    </row>
    <row r="1890" spans="1:11" x14ac:dyDescent="0.25">
      <c r="A1890" s="1">
        <v>0.31111111111111101</v>
      </c>
      <c r="B1890" s="2">
        <v>6.26</v>
      </c>
      <c r="C1890" s="2">
        <v>3.73</v>
      </c>
      <c r="D1890" s="2">
        <v>5.05</v>
      </c>
      <c r="E1890" s="2">
        <v>5.1899999999999995</v>
      </c>
      <c r="F1890" s="2">
        <v>3.18</v>
      </c>
      <c r="G1890" s="6">
        <v>675</v>
      </c>
      <c r="H1890" s="6">
        <v>882</v>
      </c>
      <c r="I1890" s="6">
        <v>1086</v>
      </c>
      <c r="J1890" s="6">
        <v>676</v>
      </c>
      <c r="K1890" s="6">
        <v>1143</v>
      </c>
    </row>
    <row r="1891" spans="1:11" x14ac:dyDescent="0.25">
      <c r="A1891" s="1">
        <v>0.311805555555556</v>
      </c>
      <c r="B1891" s="2">
        <v>6.35</v>
      </c>
      <c r="C1891" s="2">
        <v>3.65</v>
      </c>
      <c r="D1891" s="2">
        <v>5.17</v>
      </c>
      <c r="E1891" s="2">
        <v>5.07</v>
      </c>
      <c r="F1891" s="2">
        <v>3.0900000000000003</v>
      </c>
      <c r="G1891" s="6">
        <v>1037</v>
      </c>
      <c r="H1891" s="6">
        <v>1130</v>
      </c>
      <c r="I1891" s="6">
        <v>599</v>
      </c>
      <c r="J1891" s="6">
        <v>977</v>
      </c>
      <c r="K1891" s="6">
        <v>1261</v>
      </c>
    </row>
    <row r="1892" spans="1:11" x14ac:dyDescent="0.25">
      <c r="A1892" s="1">
        <v>0.3125</v>
      </c>
      <c r="B1892" s="2">
        <v>6.09</v>
      </c>
      <c r="C1892" s="2">
        <v>3.7</v>
      </c>
      <c r="D1892" s="2">
        <v>4.9499999999999993</v>
      </c>
      <c r="E1892" s="2">
        <v>5.52</v>
      </c>
      <c r="F1892" s="2">
        <v>3.39</v>
      </c>
      <c r="G1892" s="6">
        <v>624</v>
      </c>
      <c r="H1892" s="6">
        <v>1139</v>
      </c>
      <c r="I1892" s="6">
        <v>802</v>
      </c>
      <c r="J1892" s="6">
        <v>1131</v>
      </c>
      <c r="K1892" s="6">
        <v>840</v>
      </c>
    </row>
    <row r="1893" spans="1:11" x14ac:dyDescent="0.25">
      <c r="A1893" s="1">
        <v>0.313194444444444</v>
      </c>
      <c r="B1893" s="2">
        <v>6.1</v>
      </c>
      <c r="C1893" s="2">
        <v>3.71</v>
      </c>
      <c r="D1893" s="2">
        <v>5.25</v>
      </c>
      <c r="E1893" s="2">
        <v>5.15</v>
      </c>
      <c r="F1893" s="2">
        <v>3.0100000000000002</v>
      </c>
      <c r="G1893" s="6">
        <v>837</v>
      </c>
      <c r="H1893" s="6">
        <v>684</v>
      </c>
      <c r="I1893" s="6">
        <v>639</v>
      </c>
      <c r="J1893" s="6">
        <v>1207</v>
      </c>
      <c r="K1893" s="6">
        <v>1439</v>
      </c>
    </row>
    <row r="1894" spans="1:11" x14ac:dyDescent="0.25">
      <c r="A1894" s="1">
        <v>0.31388888888888899</v>
      </c>
      <c r="B1894" s="2">
        <v>6.31</v>
      </c>
      <c r="C1894" s="2">
        <v>3.75</v>
      </c>
      <c r="D1894" s="2">
        <v>5.14</v>
      </c>
      <c r="E1894" s="2">
        <v>5.4</v>
      </c>
      <c r="F1894" s="2">
        <v>3.37</v>
      </c>
      <c r="G1894" s="6">
        <v>995</v>
      </c>
      <c r="H1894" s="6">
        <v>1187</v>
      </c>
      <c r="I1894" s="6">
        <v>807</v>
      </c>
      <c r="J1894" s="6">
        <v>828</v>
      </c>
      <c r="K1894" s="6">
        <v>974</v>
      </c>
    </row>
    <row r="1895" spans="1:11" x14ac:dyDescent="0.25">
      <c r="A1895" s="1">
        <v>0.31458333333333299</v>
      </c>
      <c r="B1895" s="2">
        <v>6.35</v>
      </c>
      <c r="C1895" s="2">
        <v>3.74</v>
      </c>
      <c r="D1895" s="2">
        <v>4.9899999999999993</v>
      </c>
      <c r="E1895" s="2">
        <v>5.24</v>
      </c>
      <c r="F1895" s="2">
        <v>3.39</v>
      </c>
      <c r="G1895" s="6">
        <v>838</v>
      </c>
      <c r="H1895" s="6">
        <v>1161</v>
      </c>
      <c r="I1895" s="6">
        <v>628</v>
      </c>
      <c r="J1895" s="6">
        <v>1030</v>
      </c>
      <c r="K1895" s="6">
        <v>1184</v>
      </c>
    </row>
    <row r="1896" spans="1:11" x14ac:dyDescent="0.25">
      <c r="A1896" s="1">
        <v>0.31527777777777799</v>
      </c>
      <c r="B1896" s="2">
        <v>6.16</v>
      </c>
      <c r="C1896" s="2">
        <v>3.6</v>
      </c>
      <c r="D1896" s="2">
        <v>5.35</v>
      </c>
      <c r="E1896" s="2">
        <v>5.0199999999999996</v>
      </c>
      <c r="F1896" s="2">
        <v>3.17</v>
      </c>
      <c r="G1896" s="6">
        <v>1178</v>
      </c>
      <c r="H1896" s="6">
        <v>921</v>
      </c>
      <c r="I1896" s="6">
        <v>899</v>
      </c>
      <c r="J1896" s="6">
        <v>798</v>
      </c>
      <c r="K1896" s="6">
        <v>1391</v>
      </c>
    </row>
    <row r="1897" spans="1:11" x14ac:dyDescent="0.25">
      <c r="A1897" s="1">
        <v>0.31597222222222199</v>
      </c>
      <c r="B1897" s="2">
        <v>6.25</v>
      </c>
      <c r="C1897" s="2">
        <v>3.63</v>
      </c>
      <c r="D1897" s="2">
        <v>5.1599999999999993</v>
      </c>
      <c r="E1897" s="2">
        <v>5.38</v>
      </c>
      <c r="F1897" s="2">
        <v>3.3600000000000003</v>
      </c>
      <c r="G1897" s="6">
        <v>859</v>
      </c>
      <c r="H1897" s="6">
        <v>1084</v>
      </c>
      <c r="I1897" s="6">
        <v>545</v>
      </c>
      <c r="J1897" s="6">
        <v>1086</v>
      </c>
      <c r="K1897" s="6">
        <v>668</v>
      </c>
    </row>
    <row r="1898" spans="1:11" x14ac:dyDescent="0.25">
      <c r="A1898" s="1">
        <v>0.31666666666666698</v>
      </c>
      <c r="B1898" s="2">
        <v>6.26</v>
      </c>
      <c r="C1898" s="2">
        <v>3.81</v>
      </c>
      <c r="D1898" s="2">
        <v>5.33</v>
      </c>
      <c r="E1898" s="2">
        <v>5.13</v>
      </c>
      <c r="F1898" s="2">
        <v>2.89</v>
      </c>
      <c r="G1898" s="6">
        <v>878</v>
      </c>
      <c r="H1898" s="6">
        <v>956</v>
      </c>
      <c r="I1898" s="6">
        <v>647</v>
      </c>
      <c r="J1898" s="6">
        <v>1107</v>
      </c>
      <c r="K1898" s="6">
        <v>844</v>
      </c>
    </row>
    <row r="1899" spans="1:11" x14ac:dyDescent="0.25">
      <c r="A1899" s="1">
        <v>0.31736111111111098</v>
      </c>
      <c r="B1899" s="2">
        <v>6.1899999999999995</v>
      </c>
      <c r="C1899" s="2">
        <v>3.66</v>
      </c>
      <c r="D1899" s="2">
        <v>4.88</v>
      </c>
      <c r="E1899" s="2">
        <v>4.96</v>
      </c>
      <c r="F1899" s="2">
        <v>3.35</v>
      </c>
      <c r="G1899" s="6">
        <v>835</v>
      </c>
      <c r="H1899" s="6">
        <v>834</v>
      </c>
      <c r="I1899" s="6">
        <v>786</v>
      </c>
      <c r="J1899" s="6">
        <v>1201</v>
      </c>
      <c r="K1899" s="6">
        <v>916</v>
      </c>
    </row>
    <row r="1900" spans="1:11" x14ac:dyDescent="0.25">
      <c r="A1900" s="1">
        <v>0.31805555555555598</v>
      </c>
      <c r="B1900" s="2">
        <v>6.31</v>
      </c>
      <c r="C1900" s="2">
        <v>3.59</v>
      </c>
      <c r="D1900" s="2">
        <v>4.9499999999999993</v>
      </c>
      <c r="E1900" s="2">
        <v>4.92</v>
      </c>
      <c r="F1900" s="2">
        <v>3.1500000000000004</v>
      </c>
      <c r="G1900" s="6">
        <v>1046</v>
      </c>
      <c r="H1900" s="6">
        <v>996</v>
      </c>
      <c r="I1900" s="6">
        <v>941</v>
      </c>
      <c r="J1900" s="6">
        <v>1010</v>
      </c>
      <c r="K1900" s="6">
        <v>1099</v>
      </c>
    </row>
    <row r="1901" spans="1:11" x14ac:dyDescent="0.25">
      <c r="A1901" s="1">
        <v>0.31874999999999998</v>
      </c>
      <c r="B1901" s="2">
        <v>6.33</v>
      </c>
      <c r="C1901" s="2">
        <v>3.63</v>
      </c>
      <c r="D1901" s="2">
        <v>5.1099999999999994</v>
      </c>
      <c r="E1901" s="2">
        <v>4.9799999999999995</v>
      </c>
      <c r="F1901" s="2">
        <v>2.94</v>
      </c>
      <c r="G1901" s="6">
        <v>1151</v>
      </c>
      <c r="H1901" s="6">
        <v>1275</v>
      </c>
      <c r="I1901" s="6">
        <v>824</v>
      </c>
      <c r="J1901" s="6">
        <v>822</v>
      </c>
      <c r="K1901" s="6">
        <v>945</v>
      </c>
    </row>
    <row r="1902" spans="1:11" x14ac:dyDescent="0.25">
      <c r="A1902" s="1">
        <v>0.31944444444444398</v>
      </c>
      <c r="B1902" s="2">
        <v>6.1</v>
      </c>
      <c r="C1902" s="2">
        <v>3.7</v>
      </c>
      <c r="D1902" s="2">
        <v>5.31</v>
      </c>
      <c r="E1902" s="2">
        <v>4.95</v>
      </c>
      <c r="F1902" s="2">
        <v>3.0700000000000003</v>
      </c>
      <c r="G1902" s="6">
        <v>1165</v>
      </c>
      <c r="H1902" s="6">
        <v>1015</v>
      </c>
      <c r="I1902" s="6">
        <v>538</v>
      </c>
      <c r="J1902" s="6">
        <v>934</v>
      </c>
      <c r="K1902" s="6">
        <v>1195</v>
      </c>
    </row>
    <row r="1903" spans="1:11" x14ac:dyDescent="0.25">
      <c r="A1903" s="1">
        <v>0.32013888888888897</v>
      </c>
      <c r="B1903" s="2">
        <v>6.22</v>
      </c>
      <c r="C1903" s="2">
        <v>3.7800000000000002</v>
      </c>
      <c r="D1903" s="2">
        <v>5.01</v>
      </c>
      <c r="E1903" s="2">
        <v>5.49</v>
      </c>
      <c r="F1903" s="2">
        <v>2.93</v>
      </c>
      <c r="G1903" s="6">
        <v>783</v>
      </c>
      <c r="H1903" s="6">
        <v>642</v>
      </c>
      <c r="I1903" s="6">
        <v>870</v>
      </c>
      <c r="J1903" s="6">
        <v>1163</v>
      </c>
      <c r="K1903" s="6">
        <v>1436</v>
      </c>
    </row>
    <row r="1904" spans="1:11" x14ac:dyDescent="0.25">
      <c r="A1904" s="1">
        <v>0.32083333333333303</v>
      </c>
      <c r="B1904" s="2">
        <v>6.29</v>
      </c>
      <c r="C1904" s="2">
        <v>3.65</v>
      </c>
      <c r="D1904" s="2">
        <v>4.9499999999999993</v>
      </c>
      <c r="E1904" s="2">
        <v>4.97</v>
      </c>
      <c r="F1904" s="2">
        <v>3.0700000000000003</v>
      </c>
      <c r="G1904" s="6">
        <v>1015</v>
      </c>
      <c r="H1904" s="6">
        <v>982</v>
      </c>
      <c r="I1904" s="6">
        <v>971</v>
      </c>
      <c r="J1904" s="6">
        <v>1140</v>
      </c>
      <c r="K1904" s="6">
        <v>762</v>
      </c>
    </row>
    <row r="1905" spans="1:11" x14ac:dyDescent="0.25">
      <c r="A1905" s="1">
        <v>0.32152777777777802</v>
      </c>
      <c r="B1905" s="2">
        <v>6.26</v>
      </c>
      <c r="C1905" s="2">
        <v>3.64</v>
      </c>
      <c r="D1905" s="2">
        <v>5.0699999999999994</v>
      </c>
      <c r="E1905" s="2">
        <v>5.15</v>
      </c>
      <c r="F1905" s="2">
        <v>3.1</v>
      </c>
      <c r="G1905" s="6">
        <v>607</v>
      </c>
      <c r="H1905" s="6">
        <v>785</v>
      </c>
      <c r="I1905" s="6">
        <v>636</v>
      </c>
      <c r="J1905" s="6">
        <v>1133</v>
      </c>
      <c r="K1905" s="6">
        <v>950</v>
      </c>
    </row>
    <row r="1906" spans="1:11" x14ac:dyDescent="0.25">
      <c r="A1906" s="1">
        <v>0.32222222222222202</v>
      </c>
      <c r="B1906" s="2">
        <v>6.2299999999999995</v>
      </c>
      <c r="C1906" s="2">
        <v>3.8000000000000003</v>
      </c>
      <c r="D1906" s="2">
        <v>5.13</v>
      </c>
      <c r="E1906" s="2">
        <v>5.08</v>
      </c>
      <c r="F1906" s="2">
        <v>3.0100000000000002</v>
      </c>
      <c r="G1906" s="6">
        <v>748</v>
      </c>
      <c r="H1906" s="6">
        <v>951</v>
      </c>
      <c r="I1906" s="6">
        <v>948</v>
      </c>
      <c r="J1906" s="6">
        <v>1043</v>
      </c>
      <c r="K1906" s="6">
        <v>1125</v>
      </c>
    </row>
    <row r="1907" spans="1:11" x14ac:dyDescent="0.25">
      <c r="A1907" s="1">
        <v>0.32291666666666702</v>
      </c>
      <c r="B1907" s="2">
        <v>6.12</v>
      </c>
      <c r="C1907" s="2">
        <v>3.81</v>
      </c>
      <c r="D1907" s="2">
        <v>5.05</v>
      </c>
      <c r="E1907" s="2">
        <v>5.5</v>
      </c>
      <c r="F1907" s="2">
        <v>3.06</v>
      </c>
      <c r="G1907" s="6">
        <v>779</v>
      </c>
      <c r="H1907" s="6">
        <v>630</v>
      </c>
      <c r="I1907" s="6">
        <v>859</v>
      </c>
      <c r="J1907" s="6">
        <v>855</v>
      </c>
      <c r="K1907" s="6">
        <v>1199</v>
      </c>
    </row>
    <row r="1908" spans="1:11" x14ac:dyDescent="0.25">
      <c r="A1908" s="1">
        <v>0.32361111111111102</v>
      </c>
      <c r="B1908" s="2">
        <v>6.2299999999999995</v>
      </c>
      <c r="C1908" s="2">
        <v>3.7800000000000002</v>
      </c>
      <c r="D1908" s="2">
        <v>4.9899999999999993</v>
      </c>
      <c r="E1908" s="2">
        <v>5.39</v>
      </c>
      <c r="F1908" s="2">
        <v>2.97</v>
      </c>
      <c r="G1908" s="6">
        <v>827</v>
      </c>
      <c r="H1908" s="6">
        <v>1008</v>
      </c>
      <c r="I1908" s="6">
        <v>1091</v>
      </c>
      <c r="J1908" s="6">
        <v>958</v>
      </c>
      <c r="K1908" s="6">
        <v>1378</v>
      </c>
    </row>
    <row r="1909" spans="1:11" x14ac:dyDescent="0.25">
      <c r="A1909" s="1">
        <v>0.32430555555555601</v>
      </c>
      <c r="B1909" s="2">
        <v>6.13</v>
      </c>
      <c r="C1909" s="2">
        <v>3.79</v>
      </c>
      <c r="D1909" s="2">
        <v>5.18</v>
      </c>
      <c r="E1909" s="2">
        <v>5.62</v>
      </c>
      <c r="F1909" s="2">
        <v>3.17</v>
      </c>
      <c r="G1909" s="6">
        <v>558</v>
      </c>
      <c r="H1909" s="6">
        <v>947</v>
      </c>
      <c r="I1909" s="6">
        <v>762</v>
      </c>
      <c r="J1909" s="6">
        <v>949</v>
      </c>
      <c r="K1909" s="6">
        <v>1221</v>
      </c>
    </row>
    <row r="1910" spans="1:11" x14ac:dyDescent="0.25">
      <c r="A1910" s="1">
        <v>0.32500000000000001</v>
      </c>
      <c r="B1910" s="2">
        <v>6.2299999999999995</v>
      </c>
      <c r="C1910" s="2">
        <v>3.73</v>
      </c>
      <c r="D1910" s="2">
        <v>5.29</v>
      </c>
      <c r="E1910" s="2">
        <v>5.12</v>
      </c>
      <c r="F1910" s="2">
        <v>2.99</v>
      </c>
      <c r="G1910" s="6">
        <v>837</v>
      </c>
      <c r="H1910" s="6">
        <v>789</v>
      </c>
      <c r="I1910" s="6">
        <v>1059</v>
      </c>
      <c r="J1910" s="6">
        <v>937</v>
      </c>
      <c r="K1910" s="6">
        <v>706</v>
      </c>
    </row>
    <row r="1911" spans="1:11" x14ac:dyDescent="0.25">
      <c r="A1911" s="1">
        <v>0.32569444444444401</v>
      </c>
      <c r="B1911" s="2">
        <v>6.2</v>
      </c>
      <c r="C1911" s="2">
        <v>3.79</v>
      </c>
      <c r="D1911" s="2">
        <v>5.29</v>
      </c>
      <c r="E1911" s="2">
        <v>5.48</v>
      </c>
      <c r="F1911" s="2">
        <v>3.2</v>
      </c>
      <c r="G1911" s="6">
        <v>854</v>
      </c>
      <c r="H1911" s="6">
        <v>1188</v>
      </c>
      <c r="I1911" s="6">
        <v>998</v>
      </c>
      <c r="J1911" s="6">
        <v>905</v>
      </c>
      <c r="K1911" s="6">
        <v>657</v>
      </c>
    </row>
    <row r="1912" spans="1:11" x14ac:dyDescent="0.25">
      <c r="A1912" s="1">
        <v>0.32638888888888901</v>
      </c>
      <c r="B1912" s="2">
        <v>6.12</v>
      </c>
      <c r="C1912" s="2">
        <v>3.79</v>
      </c>
      <c r="D1912" s="2">
        <v>5.33</v>
      </c>
      <c r="E1912" s="2">
        <v>5.3</v>
      </c>
      <c r="F1912" s="2">
        <v>3.04</v>
      </c>
      <c r="G1912" s="6">
        <v>1129</v>
      </c>
      <c r="H1912" s="6">
        <v>1000</v>
      </c>
      <c r="I1912" s="6">
        <v>605</v>
      </c>
      <c r="J1912" s="6">
        <v>1165</v>
      </c>
      <c r="K1912" s="6">
        <v>1239</v>
      </c>
    </row>
    <row r="1913" spans="1:11" x14ac:dyDescent="0.25">
      <c r="A1913" s="1">
        <v>0.327083333333333</v>
      </c>
      <c r="B1913" s="2">
        <v>6.1899999999999995</v>
      </c>
      <c r="C1913" s="2">
        <v>3.72</v>
      </c>
      <c r="D1913" s="2">
        <v>5.17</v>
      </c>
      <c r="E1913" s="2">
        <v>5.15</v>
      </c>
      <c r="F1913" s="2">
        <v>3.22</v>
      </c>
      <c r="G1913" s="6">
        <v>1002</v>
      </c>
      <c r="H1913" s="6">
        <v>1200</v>
      </c>
      <c r="I1913" s="6">
        <v>780</v>
      </c>
      <c r="J1913" s="6">
        <v>1203</v>
      </c>
      <c r="K1913" s="6">
        <v>1407</v>
      </c>
    </row>
    <row r="1914" spans="1:11" x14ac:dyDescent="0.25">
      <c r="A1914" s="1">
        <v>0.327777777777778</v>
      </c>
      <c r="B1914" s="2">
        <v>6.12</v>
      </c>
      <c r="C1914" s="2">
        <v>3.84</v>
      </c>
      <c r="D1914" s="2">
        <v>4.9799999999999995</v>
      </c>
      <c r="E1914" s="2">
        <v>5.45</v>
      </c>
      <c r="F1914" s="2">
        <v>3.2800000000000002</v>
      </c>
      <c r="G1914" s="6">
        <v>1141</v>
      </c>
      <c r="H1914" s="6">
        <v>1220</v>
      </c>
      <c r="I1914" s="6">
        <v>686</v>
      </c>
      <c r="J1914" s="6">
        <v>697</v>
      </c>
      <c r="K1914" s="6">
        <v>1046</v>
      </c>
    </row>
    <row r="1915" spans="1:11" x14ac:dyDescent="0.25">
      <c r="A1915" s="1">
        <v>0.328472222222222</v>
      </c>
      <c r="B1915" s="2">
        <v>6.18</v>
      </c>
      <c r="C1915" s="2">
        <v>3.7800000000000002</v>
      </c>
      <c r="D1915" s="2">
        <v>4.8599999999999994</v>
      </c>
      <c r="E1915" s="2">
        <v>5.09</v>
      </c>
      <c r="F1915" s="2">
        <v>3.33</v>
      </c>
      <c r="G1915" s="6">
        <v>716</v>
      </c>
      <c r="H1915" s="6">
        <v>714</v>
      </c>
      <c r="I1915" s="6">
        <v>832</v>
      </c>
      <c r="J1915" s="6">
        <v>804</v>
      </c>
      <c r="K1915" s="6">
        <v>1242</v>
      </c>
    </row>
    <row r="1916" spans="1:11" x14ac:dyDescent="0.25">
      <c r="A1916" s="1">
        <v>0.329166666666667</v>
      </c>
      <c r="B1916" s="2">
        <v>6.2</v>
      </c>
      <c r="C1916" s="2">
        <v>3.7</v>
      </c>
      <c r="D1916" s="2">
        <v>5.18</v>
      </c>
      <c r="E1916" s="2">
        <v>5.56</v>
      </c>
      <c r="F1916" s="2">
        <v>2.98</v>
      </c>
      <c r="G1916" s="6">
        <v>770</v>
      </c>
      <c r="H1916" s="6">
        <v>1007</v>
      </c>
      <c r="I1916" s="6">
        <v>916</v>
      </c>
      <c r="J1916" s="6">
        <v>1077</v>
      </c>
      <c r="K1916" s="6">
        <v>1421</v>
      </c>
    </row>
    <row r="1917" spans="1:11" x14ac:dyDescent="0.25">
      <c r="A1917" s="1">
        <v>0.32986111111111099</v>
      </c>
      <c r="B1917" s="2">
        <v>6.22</v>
      </c>
      <c r="C1917" s="2">
        <v>3.7800000000000002</v>
      </c>
      <c r="D1917" s="2">
        <v>4.8899999999999997</v>
      </c>
      <c r="E1917" s="2">
        <v>5.07</v>
      </c>
      <c r="F1917" s="2">
        <v>3.1</v>
      </c>
      <c r="G1917" s="6">
        <v>1126</v>
      </c>
      <c r="H1917" s="6">
        <v>617</v>
      </c>
      <c r="I1917" s="6">
        <v>561</v>
      </c>
      <c r="J1917" s="6">
        <v>985</v>
      </c>
      <c r="K1917" s="6">
        <v>992</v>
      </c>
    </row>
    <row r="1918" spans="1:11" x14ac:dyDescent="0.25">
      <c r="A1918" s="1">
        <v>0.33055555555555599</v>
      </c>
      <c r="B1918" s="2">
        <v>6.09</v>
      </c>
      <c r="C1918" s="2">
        <v>3.74</v>
      </c>
      <c r="D1918" s="2">
        <v>5.0299999999999994</v>
      </c>
      <c r="E1918" s="2">
        <v>5.14</v>
      </c>
      <c r="F1918" s="2">
        <v>3.12</v>
      </c>
      <c r="G1918" s="6">
        <v>1043</v>
      </c>
      <c r="H1918" s="6">
        <v>685</v>
      </c>
      <c r="I1918" s="6">
        <v>548</v>
      </c>
      <c r="J1918" s="6">
        <v>1145</v>
      </c>
      <c r="K1918" s="6">
        <v>1287</v>
      </c>
    </row>
    <row r="1919" spans="1:11" x14ac:dyDescent="0.25">
      <c r="A1919" s="1">
        <v>0.33124999999999999</v>
      </c>
      <c r="B1919" s="2">
        <v>6.14</v>
      </c>
      <c r="C1919" s="2">
        <v>3.62</v>
      </c>
      <c r="D1919" s="2">
        <v>5.14</v>
      </c>
      <c r="E1919" s="2">
        <v>5.01</v>
      </c>
      <c r="F1919" s="2">
        <v>3.38</v>
      </c>
      <c r="G1919" s="6">
        <v>1056</v>
      </c>
      <c r="H1919" s="6">
        <v>1012</v>
      </c>
      <c r="I1919" s="6">
        <v>787</v>
      </c>
      <c r="J1919" s="6">
        <v>827</v>
      </c>
      <c r="K1919" s="6">
        <v>1287</v>
      </c>
    </row>
    <row r="1920" spans="1:11" x14ac:dyDescent="0.25">
      <c r="A1920" s="1">
        <v>0.33194444444444399</v>
      </c>
      <c r="B1920" s="2">
        <v>6.27</v>
      </c>
      <c r="C1920" s="2">
        <v>3.71</v>
      </c>
      <c r="D1920" s="2">
        <v>5.18</v>
      </c>
      <c r="E1920" s="2">
        <v>5.45</v>
      </c>
      <c r="F1920" s="2">
        <v>3.1500000000000004</v>
      </c>
      <c r="G1920" s="6">
        <v>1165</v>
      </c>
      <c r="H1920" s="6">
        <v>896</v>
      </c>
      <c r="I1920" s="6">
        <v>779</v>
      </c>
      <c r="J1920" s="6">
        <v>660</v>
      </c>
      <c r="K1920" s="6">
        <v>832</v>
      </c>
    </row>
    <row r="1921" spans="1:11" x14ac:dyDescent="0.25">
      <c r="A1921" s="1">
        <v>0.33263888888888898</v>
      </c>
      <c r="B1921" s="2">
        <v>6.25</v>
      </c>
      <c r="C1921" s="2">
        <v>3.84</v>
      </c>
      <c r="D1921" s="2">
        <v>5.0199999999999996</v>
      </c>
      <c r="E1921" s="2">
        <v>5.15</v>
      </c>
      <c r="F1921" s="2">
        <v>3.33</v>
      </c>
      <c r="G1921" s="6">
        <v>695</v>
      </c>
      <c r="H1921" s="6">
        <v>1318</v>
      </c>
      <c r="I1921" s="6">
        <v>734</v>
      </c>
      <c r="J1921" s="6">
        <v>1034</v>
      </c>
      <c r="K1921" s="6">
        <v>1051</v>
      </c>
    </row>
    <row r="1922" spans="1:11" x14ac:dyDescent="0.25">
      <c r="A1922" s="3">
        <v>0.33333333333333298</v>
      </c>
      <c r="B1922" s="2">
        <v>6.21</v>
      </c>
      <c r="C1922" s="2">
        <v>3.73</v>
      </c>
      <c r="D1922" s="2">
        <v>5.0999999999999996</v>
      </c>
      <c r="E1922" s="2">
        <v>5.31</v>
      </c>
      <c r="F1922" s="2">
        <v>3.16</v>
      </c>
      <c r="G1922" s="6">
        <v>1123</v>
      </c>
      <c r="H1922" s="6">
        <v>1213</v>
      </c>
      <c r="I1922" s="6">
        <v>950</v>
      </c>
      <c r="J1922" s="6">
        <v>1124</v>
      </c>
      <c r="K1922" s="6">
        <v>1310</v>
      </c>
    </row>
    <row r="1923" spans="1:11" x14ac:dyDescent="0.25">
      <c r="A1923" s="1">
        <v>0.33402777777777798</v>
      </c>
      <c r="B1923" s="2">
        <v>6.1099999999999994</v>
      </c>
      <c r="C1923" s="2">
        <v>3.84</v>
      </c>
      <c r="D1923" s="2">
        <v>5.05</v>
      </c>
      <c r="E1923" s="2">
        <v>5.29</v>
      </c>
      <c r="F1923" s="2">
        <v>3.3600000000000003</v>
      </c>
      <c r="G1923" s="6">
        <v>1150</v>
      </c>
      <c r="H1923" s="6">
        <v>4885</v>
      </c>
      <c r="I1923" s="6">
        <v>4635</v>
      </c>
      <c r="J1923" s="6">
        <v>3162</v>
      </c>
      <c r="K1923" s="6">
        <v>3799</v>
      </c>
    </row>
    <row r="1924" spans="1:11" x14ac:dyDescent="0.25">
      <c r="A1924" s="1">
        <v>0.33472222222222198</v>
      </c>
      <c r="B1924" s="2">
        <v>6.18</v>
      </c>
      <c r="C1924" s="2">
        <v>3.59</v>
      </c>
      <c r="D1924" s="2">
        <v>5.33</v>
      </c>
      <c r="E1924" s="2">
        <v>5.12</v>
      </c>
      <c r="F1924" s="2">
        <v>3.27</v>
      </c>
      <c r="G1924" s="6">
        <v>4253</v>
      </c>
      <c r="H1924" s="6">
        <v>2358</v>
      </c>
      <c r="I1924" s="6">
        <v>4442</v>
      </c>
      <c r="J1924" s="6">
        <v>2773</v>
      </c>
      <c r="K1924" s="6">
        <v>4120</v>
      </c>
    </row>
    <row r="1925" spans="1:11" x14ac:dyDescent="0.25">
      <c r="A1925" s="1">
        <v>0.33541666666666697</v>
      </c>
      <c r="B1925" s="2">
        <v>6.3</v>
      </c>
      <c r="C1925" s="2">
        <v>3.63</v>
      </c>
      <c r="D1925" s="2">
        <v>4.88</v>
      </c>
      <c r="E1925" s="2">
        <v>5.05</v>
      </c>
      <c r="F1925" s="2">
        <v>3.38</v>
      </c>
      <c r="G1925" s="6">
        <v>3745</v>
      </c>
      <c r="H1925" s="6">
        <v>1578</v>
      </c>
      <c r="I1925" s="6">
        <v>3962</v>
      </c>
      <c r="J1925" s="6">
        <v>2614</v>
      </c>
      <c r="K1925" s="6">
        <v>3762</v>
      </c>
    </row>
    <row r="1926" spans="1:11" x14ac:dyDescent="0.25">
      <c r="A1926" s="1">
        <v>0.33611111111111103</v>
      </c>
      <c r="B1926" s="2">
        <v>6.09</v>
      </c>
      <c r="C1926" s="2">
        <v>3.61</v>
      </c>
      <c r="D1926" s="2">
        <v>4.91</v>
      </c>
      <c r="E1926" s="2">
        <v>5.3</v>
      </c>
      <c r="F1926" s="2">
        <v>3.1100000000000003</v>
      </c>
      <c r="G1926" s="6">
        <v>2804</v>
      </c>
      <c r="H1926" s="6">
        <v>3583</v>
      </c>
      <c r="I1926" s="6">
        <v>1477</v>
      </c>
      <c r="J1926" s="6">
        <v>3085</v>
      </c>
      <c r="K1926" s="6">
        <v>2712</v>
      </c>
    </row>
    <row r="1927" spans="1:11" x14ac:dyDescent="0.25">
      <c r="A1927" s="1">
        <v>0.33680555555555602</v>
      </c>
      <c r="B1927" s="2">
        <v>6.1</v>
      </c>
      <c r="C1927" s="2">
        <v>3.61</v>
      </c>
      <c r="D1927" s="2">
        <v>5.19</v>
      </c>
      <c r="E1927" s="2">
        <v>5.16</v>
      </c>
      <c r="F1927" s="2">
        <v>2.89</v>
      </c>
      <c r="G1927" s="6">
        <v>4237</v>
      </c>
      <c r="H1927" s="6">
        <v>3062</v>
      </c>
      <c r="I1927" s="6">
        <v>1110</v>
      </c>
      <c r="J1927" s="6">
        <v>3840</v>
      </c>
      <c r="K1927" s="6">
        <v>3190</v>
      </c>
    </row>
    <row r="1928" spans="1:11" x14ac:dyDescent="0.25">
      <c r="A1928" s="1">
        <v>0.33750000000000002</v>
      </c>
      <c r="B1928" s="2">
        <v>6.34</v>
      </c>
      <c r="C1928" s="2">
        <v>3.59</v>
      </c>
      <c r="D1928" s="2">
        <v>4.91</v>
      </c>
      <c r="E1928" s="2">
        <v>5.32</v>
      </c>
      <c r="F1928" s="2">
        <v>3.25</v>
      </c>
      <c r="G1928" s="6">
        <v>1380</v>
      </c>
      <c r="H1928" s="6">
        <v>3389</v>
      </c>
      <c r="I1928" s="6">
        <v>2677</v>
      </c>
      <c r="J1928" s="6">
        <v>3345</v>
      </c>
      <c r="K1928" s="6">
        <v>1978</v>
      </c>
    </row>
    <row r="1929" spans="1:11" x14ac:dyDescent="0.25">
      <c r="A1929" s="1">
        <v>0.33819444444444402</v>
      </c>
      <c r="B1929" s="2">
        <v>6.09</v>
      </c>
      <c r="C1929" s="2">
        <v>3.85</v>
      </c>
      <c r="D1929" s="2">
        <v>5.3</v>
      </c>
      <c r="E1929" s="2">
        <v>5.21</v>
      </c>
      <c r="F1929" s="2">
        <v>3.0500000000000003</v>
      </c>
      <c r="G1929" s="6">
        <v>4109</v>
      </c>
      <c r="H1929" s="6">
        <v>3426</v>
      </c>
      <c r="I1929" s="6">
        <v>1972</v>
      </c>
      <c r="J1929" s="6">
        <v>4114</v>
      </c>
      <c r="K1929" s="6">
        <v>3389</v>
      </c>
    </row>
    <row r="1930" spans="1:11" x14ac:dyDescent="0.25">
      <c r="A1930" s="1">
        <v>0.33888888888888902</v>
      </c>
      <c r="B1930" s="2">
        <v>6.24</v>
      </c>
      <c r="C1930" s="2">
        <v>3.7600000000000002</v>
      </c>
      <c r="D1930" s="2">
        <v>5.32</v>
      </c>
      <c r="E1930" s="2">
        <v>5.62</v>
      </c>
      <c r="F1930" s="2">
        <v>3.19</v>
      </c>
      <c r="G1930" s="6">
        <v>3452</v>
      </c>
      <c r="H1930" s="6">
        <v>3553</v>
      </c>
      <c r="I1930" s="6">
        <v>3176</v>
      </c>
      <c r="J1930" s="6">
        <v>4878</v>
      </c>
      <c r="K1930" s="6">
        <v>5524</v>
      </c>
    </row>
    <row r="1931" spans="1:11" x14ac:dyDescent="0.25">
      <c r="A1931" s="1">
        <v>0.33958333333333302</v>
      </c>
      <c r="B1931" s="2">
        <v>6.31</v>
      </c>
      <c r="C1931" s="2">
        <v>3.68</v>
      </c>
      <c r="D1931" s="2">
        <v>5.2</v>
      </c>
      <c r="E1931" s="2">
        <v>5.52</v>
      </c>
      <c r="F1931" s="2">
        <v>3.3600000000000003</v>
      </c>
      <c r="G1931" s="6">
        <v>3137</v>
      </c>
      <c r="H1931" s="6">
        <v>2159</v>
      </c>
      <c r="I1931" s="6">
        <v>875</v>
      </c>
      <c r="J1931" s="6">
        <v>5322</v>
      </c>
      <c r="K1931" s="6">
        <v>903</v>
      </c>
    </row>
    <row r="1932" spans="1:11" x14ac:dyDescent="0.25">
      <c r="A1932" s="1">
        <v>0.34027777777777801</v>
      </c>
      <c r="B1932" s="2">
        <v>6.35</v>
      </c>
      <c r="C1932" s="2">
        <v>3.58</v>
      </c>
      <c r="D1932" s="2">
        <v>5.37</v>
      </c>
      <c r="E1932" s="2">
        <v>5.42</v>
      </c>
      <c r="F1932" s="2">
        <v>3.0700000000000003</v>
      </c>
      <c r="G1932" s="6">
        <v>3361</v>
      </c>
      <c r="H1932" s="6">
        <v>5493</v>
      </c>
      <c r="I1932" s="6">
        <v>3555</v>
      </c>
      <c r="J1932" s="6">
        <v>4051</v>
      </c>
      <c r="K1932" s="6">
        <v>1616</v>
      </c>
    </row>
    <row r="1933" spans="1:11" x14ac:dyDescent="0.25">
      <c r="A1933" s="1">
        <v>0.34097222222222201</v>
      </c>
      <c r="B1933" s="2">
        <v>6.1899999999999995</v>
      </c>
      <c r="C1933" s="2">
        <v>3.58</v>
      </c>
      <c r="D1933" s="2">
        <v>5.1100000000000003</v>
      </c>
      <c r="E1933" s="2">
        <v>5.1100000000000003</v>
      </c>
      <c r="F1933" s="2">
        <v>3.21</v>
      </c>
      <c r="G1933" s="6">
        <v>3338</v>
      </c>
      <c r="H1933" s="6">
        <v>4913</v>
      </c>
      <c r="I1933" s="6">
        <v>4494</v>
      </c>
      <c r="J1933" s="6">
        <v>2471</v>
      </c>
      <c r="K1933" s="6">
        <v>2449</v>
      </c>
    </row>
    <row r="1934" spans="1:11" x14ac:dyDescent="0.25">
      <c r="A1934" s="1">
        <v>0.34166666666666701</v>
      </c>
      <c r="B1934" s="2">
        <v>6.2</v>
      </c>
      <c r="C1934" s="2">
        <v>3.85</v>
      </c>
      <c r="D1934" s="2">
        <v>4.96</v>
      </c>
      <c r="E1934" s="2">
        <v>5.54</v>
      </c>
      <c r="F1934" s="2">
        <v>2.98</v>
      </c>
      <c r="G1934" s="6">
        <v>1159</v>
      </c>
      <c r="H1934" s="6">
        <v>813</v>
      </c>
      <c r="I1934" s="6">
        <v>3994</v>
      </c>
      <c r="J1934" s="6">
        <v>4704</v>
      </c>
      <c r="K1934" s="6">
        <v>5689</v>
      </c>
    </row>
    <row r="1935" spans="1:11" x14ac:dyDescent="0.25">
      <c r="A1935" s="1">
        <v>0.34236111111111101</v>
      </c>
      <c r="B1935" s="2">
        <v>6.26</v>
      </c>
      <c r="C1935" s="2">
        <v>3.6</v>
      </c>
      <c r="D1935" s="2">
        <v>5.13</v>
      </c>
      <c r="E1935" s="2">
        <v>4.95</v>
      </c>
      <c r="F1935" s="2">
        <v>3.33</v>
      </c>
      <c r="G1935" s="6">
        <v>803</v>
      </c>
      <c r="H1935" s="6">
        <v>1628</v>
      </c>
      <c r="I1935" s="6">
        <v>1673</v>
      </c>
      <c r="J1935" s="6">
        <v>2766</v>
      </c>
      <c r="K1935" s="6">
        <v>4629</v>
      </c>
    </row>
    <row r="1936" spans="1:11" x14ac:dyDescent="0.25">
      <c r="A1936" s="1">
        <v>0.343055555555556</v>
      </c>
      <c r="B1936" s="2">
        <v>6.2</v>
      </c>
      <c r="C1936" s="2">
        <v>3.59</v>
      </c>
      <c r="D1936" s="2">
        <v>5.07</v>
      </c>
      <c r="E1936" s="2">
        <v>5.45</v>
      </c>
      <c r="F1936" s="2">
        <v>3.12</v>
      </c>
      <c r="G1936" s="6">
        <v>5274</v>
      </c>
      <c r="H1936" s="6">
        <v>1040</v>
      </c>
      <c r="I1936" s="6">
        <v>1637</v>
      </c>
      <c r="J1936" s="6">
        <v>2566</v>
      </c>
      <c r="K1936" s="6">
        <v>3967</v>
      </c>
    </row>
    <row r="1937" spans="1:11" x14ac:dyDescent="0.25">
      <c r="A1937" s="1">
        <v>0.34375</v>
      </c>
      <c r="B1937" s="2">
        <v>6.22</v>
      </c>
      <c r="C1937" s="2">
        <v>3.77</v>
      </c>
      <c r="D1937" s="2">
        <v>5.1000000000000005</v>
      </c>
      <c r="E1937" s="2">
        <v>5.22</v>
      </c>
      <c r="F1937" s="2">
        <v>3.3400000000000003</v>
      </c>
      <c r="G1937" s="6">
        <v>4379</v>
      </c>
      <c r="H1937" s="6">
        <v>4111</v>
      </c>
      <c r="I1937" s="6">
        <v>869</v>
      </c>
      <c r="J1937" s="6">
        <v>1290</v>
      </c>
      <c r="K1937" s="6">
        <v>950</v>
      </c>
    </row>
    <row r="1938" spans="1:11" x14ac:dyDescent="0.25">
      <c r="A1938" s="1">
        <v>0.344444444444444</v>
      </c>
      <c r="B1938" s="2">
        <v>6.33</v>
      </c>
      <c r="C1938" s="2">
        <v>3.7800000000000002</v>
      </c>
      <c r="D1938" s="2">
        <v>5.3</v>
      </c>
      <c r="E1938" s="2">
        <v>5.46</v>
      </c>
      <c r="F1938" s="2">
        <v>2.97</v>
      </c>
      <c r="G1938" s="6">
        <v>3146</v>
      </c>
      <c r="H1938" s="6">
        <v>3836</v>
      </c>
      <c r="I1938" s="6">
        <v>3247</v>
      </c>
      <c r="J1938" s="6">
        <v>1859</v>
      </c>
      <c r="K1938" s="6">
        <v>4746</v>
      </c>
    </row>
    <row r="1939" spans="1:11" x14ac:dyDescent="0.25">
      <c r="A1939" s="1">
        <v>0.34513888888888899</v>
      </c>
      <c r="B1939" s="2">
        <v>6.31</v>
      </c>
      <c r="C1939" s="2">
        <v>3.7800000000000002</v>
      </c>
      <c r="D1939" s="2">
        <v>5.32</v>
      </c>
      <c r="E1939" s="2">
        <v>5.34</v>
      </c>
      <c r="F1939" s="2">
        <v>2.87</v>
      </c>
      <c r="G1939" s="6">
        <v>4966</v>
      </c>
      <c r="H1939" s="6">
        <v>1471</v>
      </c>
      <c r="I1939" s="6">
        <v>3559</v>
      </c>
      <c r="J1939" s="6">
        <v>2269</v>
      </c>
      <c r="K1939" s="6">
        <v>5073</v>
      </c>
    </row>
    <row r="1940" spans="1:11" x14ac:dyDescent="0.25">
      <c r="A1940" s="1">
        <v>0.34583333333333299</v>
      </c>
      <c r="B1940" s="2">
        <v>6.17</v>
      </c>
      <c r="C1940" s="2">
        <v>3.7600000000000002</v>
      </c>
      <c r="D1940" s="2">
        <v>5.09</v>
      </c>
      <c r="E1940" s="2">
        <v>5.5</v>
      </c>
      <c r="F1940" s="2">
        <v>2.96</v>
      </c>
      <c r="G1940" s="6">
        <v>2412</v>
      </c>
      <c r="H1940" s="6">
        <v>4681</v>
      </c>
      <c r="I1940" s="6">
        <v>2722</v>
      </c>
      <c r="J1940" s="6">
        <v>2967</v>
      </c>
      <c r="K1940" s="6">
        <v>1064</v>
      </c>
    </row>
    <row r="1941" spans="1:11" x14ac:dyDescent="0.25">
      <c r="A1941" s="1">
        <v>0.34652777777777799</v>
      </c>
      <c r="B1941" s="2">
        <v>6.31</v>
      </c>
      <c r="C1941" s="2">
        <v>3.71</v>
      </c>
      <c r="D1941" s="2">
        <v>4.96</v>
      </c>
      <c r="E1941" s="2">
        <v>5.18</v>
      </c>
      <c r="F1941" s="2">
        <v>3.33</v>
      </c>
      <c r="G1941" s="6">
        <v>4690</v>
      </c>
      <c r="H1941" s="6">
        <v>4014</v>
      </c>
      <c r="I1941" s="6">
        <v>1245</v>
      </c>
      <c r="J1941" s="6">
        <v>4586</v>
      </c>
      <c r="K1941" s="6">
        <v>5645</v>
      </c>
    </row>
    <row r="1942" spans="1:11" x14ac:dyDescent="0.25">
      <c r="A1942" s="1">
        <v>0.34722222222222199</v>
      </c>
      <c r="B1942" s="2">
        <v>6.1099999999999994</v>
      </c>
      <c r="C1942" s="2">
        <v>3.58</v>
      </c>
      <c r="D1942" s="2">
        <v>5.03</v>
      </c>
      <c r="E1942" s="2">
        <v>5.45</v>
      </c>
      <c r="F1942" s="2">
        <v>3.04</v>
      </c>
      <c r="G1942" s="6">
        <v>4006</v>
      </c>
      <c r="H1942" s="6">
        <v>1550</v>
      </c>
      <c r="I1942" s="6">
        <v>1450</v>
      </c>
      <c r="J1942" s="6">
        <v>4221</v>
      </c>
      <c r="K1942" s="6">
        <v>3947</v>
      </c>
    </row>
    <row r="1943" spans="1:11" x14ac:dyDescent="0.25">
      <c r="A1943" s="1">
        <v>0.34791666666666698</v>
      </c>
      <c r="B1943" s="2">
        <v>6.1099999999999994</v>
      </c>
      <c r="C1943" s="2">
        <v>3.65</v>
      </c>
      <c r="D1943" s="2">
        <v>5.2700000000000005</v>
      </c>
      <c r="E1943" s="2">
        <v>5.21</v>
      </c>
      <c r="F1943" s="2">
        <v>3.29</v>
      </c>
      <c r="G1943" s="6">
        <v>3059</v>
      </c>
      <c r="H1943" s="6">
        <v>2906</v>
      </c>
      <c r="I1943" s="6">
        <v>3005</v>
      </c>
      <c r="J1943" s="6">
        <v>3786</v>
      </c>
      <c r="K1943" s="6">
        <v>3777</v>
      </c>
    </row>
    <row r="1944" spans="1:11" x14ac:dyDescent="0.25">
      <c r="A1944" s="1">
        <v>0.34861111111111098</v>
      </c>
      <c r="B1944" s="2">
        <v>6.1099999999999994</v>
      </c>
      <c r="C1944" s="2">
        <v>3.6</v>
      </c>
      <c r="D1944" s="2">
        <v>5.37</v>
      </c>
      <c r="E1944" s="2">
        <v>5.03</v>
      </c>
      <c r="F1944" s="2">
        <v>3.16</v>
      </c>
      <c r="G1944" s="6">
        <v>2475</v>
      </c>
      <c r="H1944" s="6">
        <v>3488</v>
      </c>
      <c r="I1944" s="6">
        <v>5178</v>
      </c>
      <c r="J1944" s="6">
        <v>3243</v>
      </c>
      <c r="K1944" s="6">
        <v>2308</v>
      </c>
    </row>
    <row r="1945" spans="1:11" x14ac:dyDescent="0.25">
      <c r="A1945" s="1">
        <v>0.34930555555555598</v>
      </c>
      <c r="B1945" s="2">
        <v>6.27</v>
      </c>
      <c r="C1945" s="2">
        <v>3.65</v>
      </c>
      <c r="D1945" s="2">
        <v>5.32</v>
      </c>
      <c r="E1945" s="2">
        <v>5.01</v>
      </c>
      <c r="F1945" s="2">
        <v>3.22</v>
      </c>
      <c r="G1945" s="6">
        <v>3290</v>
      </c>
      <c r="H1945" s="6">
        <v>4236</v>
      </c>
      <c r="I1945" s="6">
        <v>1716</v>
      </c>
      <c r="J1945" s="6">
        <v>5209</v>
      </c>
      <c r="K1945" s="6">
        <v>1117</v>
      </c>
    </row>
    <row r="1946" spans="1:11" x14ac:dyDescent="0.25">
      <c r="A1946" s="1">
        <v>0.35</v>
      </c>
      <c r="B1946" s="2">
        <v>6.16</v>
      </c>
      <c r="C1946" s="2">
        <v>3.77</v>
      </c>
      <c r="D1946" s="2">
        <v>5.1000000000000005</v>
      </c>
      <c r="E1946" s="2">
        <v>5.0999999999999996</v>
      </c>
      <c r="F1946" s="2">
        <v>3.0300000000000002</v>
      </c>
      <c r="G1946" s="6">
        <v>3356</v>
      </c>
      <c r="H1946" s="6">
        <v>2586</v>
      </c>
      <c r="I1946" s="6">
        <v>4923</v>
      </c>
      <c r="J1946" s="6">
        <v>4126</v>
      </c>
      <c r="K1946" s="6">
        <v>1218</v>
      </c>
    </row>
    <row r="1947" spans="1:11" x14ac:dyDescent="0.25">
      <c r="A1947" s="1">
        <v>0.35069444444444398</v>
      </c>
      <c r="B1947" s="2">
        <v>6.28</v>
      </c>
      <c r="C1947" s="2">
        <v>3.69</v>
      </c>
      <c r="D1947" s="2">
        <v>5.33</v>
      </c>
      <c r="E1947" s="2">
        <v>5.37</v>
      </c>
      <c r="F1947" s="2">
        <v>3.3400000000000003</v>
      </c>
      <c r="G1947" s="6">
        <v>1384</v>
      </c>
      <c r="H1947" s="6">
        <v>5458</v>
      </c>
      <c r="I1947" s="6">
        <v>1781</v>
      </c>
      <c r="J1947" s="6">
        <v>4883</v>
      </c>
      <c r="K1947" s="6">
        <v>2290</v>
      </c>
    </row>
    <row r="1948" spans="1:11" x14ac:dyDescent="0.25">
      <c r="A1948" s="1">
        <v>0.35138888888888897</v>
      </c>
      <c r="B1948" s="2">
        <v>6.09</v>
      </c>
      <c r="C1948" s="2">
        <v>3.68</v>
      </c>
      <c r="D1948" s="2">
        <v>4.97</v>
      </c>
      <c r="E1948" s="2">
        <v>5.27</v>
      </c>
      <c r="F1948" s="2">
        <v>3.0100000000000002</v>
      </c>
      <c r="G1948" s="6">
        <v>5045</v>
      </c>
      <c r="H1948" s="6">
        <v>3972</v>
      </c>
      <c r="I1948" s="6">
        <v>5121</v>
      </c>
      <c r="J1948" s="6">
        <v>3651</v>
      </c>
      <c r="K1948" s="6">
        <v>2117</v>
      </c>
    </row>
    <row r="1949" spans="1:11" x14ac:dyDescent="0.25">
      <c r="A1949" s="1">
        <v>0.35208333333333303</v>
      </c>
      <c r="B1949" s="2">
        <v>6.29</v>
      </c>
      <c r="C1949" s="2">
        <v>3.81</v>
      </c>
      <c r="D1949" s="2">
        <v>5.3100000000000005</v>
      </c>
      <c r="E1949" s="2">
        <v>5.2</v>
      </c>
      <c r="F1949" s="2">
        <v>3.21</v>
      </c>
      <c r="G1949" s="6">
        <v>4160</v>
      </c>
      <c r="H1949" s="6">
        <v>3481</v>
      </c>
      <c r="I1949" s="6">
        <v>5126</v>
      </c>
      <c r="J1949" s="6">
        <v>3925</v>
      </c>
      <c r="K1949" s="6">
        <v>1923</v>
      </c>
    </row>
    <row r="1950" spans="1:11" x14ac:dyDescent="0.25">
      <c r="A1950" s="1">
        <v>0.35277777777777802</v>
      </c>
      <c r="B1950" s="2">
        <v>6.25</v>
      </c>
      <c r="C1950" s="2">
        <v>3.83</v>
      </c>
      <c r="D1950" s="2">
        <v>5.32</v>
      </c>
      <c r="E1950" s="2">
        <v>5.57</v>
      </c>
      <c r="F1950" s="2">
        <v>2.96</v>
      </c>
      <c r="G1950" s="6">
        <v>5306</v>
      </c>
      <c r="H1950" s="6">
        <v>3954</v>
      </c>
      <c r="I1950" s="6">
        <v>4285</v>
      </c>
      <c r="J1950" s="6">
        <v>4482</v>
      </c>
      <c r="K1950" s="6">
        <v>4329</v>
      </c>
    </row>
    <row r="1951" spans="1:11" x14ac:dyDescent="0.25">
      <c r="A1951" s="1">
        <v>0.35347222222222202</v>
      </c>
      <c r="B1951" s="2">
        <v>6.16</v>
      </c>
      <c r="C1951" s="2">
        <v>3.62</v>
      </c>
      <c r="D1951" s="2">
        <v>5.2700000000000005</v>
      </c>
      <c r="E1951" s="2">
        <v>5.4</v>
      </c>
      <c r="F1951" s="2">
        <v>2.92</v>
      </c>
      <c r="G1951" s="6">
        <v>2458</v>
      </c>
      <c r="H1951" s="6">
        <v>5235</v>
      </c>
      <c r="I1951" s="6">
        <v>3325</v>
      </c>
      <c r="J1951" s="6">
        <v>5715</v>
      </c>
      <c r="K1951" s="6">
        <v>2555</v>
      </c>
    </row>
    <row r="1952" spans="1:11" x14ac:dyDescent="0.25">
      <c r="A1952" s="1">
        <v>0.35416666666666702</v>
      </c>
      <c r="B1952" s="2">
        <v>6.09</v>
      </c>
      <c r="C1952" s="2">
        <v>3.64</v>
      </c>
      <c r="D1952" s="2">
        <v>5.0600000000000005</v>
      </c>
      <c r="E1952" s="2">
        <v>5.35</v>
      </c>
      <c r="F1952" s="2">
        <v>3.1500000000000004</v>
      </c>
      <c r="G1952" s="6">
        <v>1659</v>
      </c>
      <c r="H1952" s="6">
        <v>3755</v>
      </c>
      <c r="I1952" s="6">
        <v>2739</v>
      </c>
      <c r="J1952" s="6">
        <v>1576</v>
      </c>
      <c r="K1952" s="6">
        <v>3706</v>
      </c>
    </row>
    <row r="1953" spans="1:11" x14ac:dyDescent="0.25">
      <c r="A1953" s="1">
        <v>0.35486111111111102</v>
      </c>
      <c r="B1953" s="2">
        <v>6.33</v>
      </c>
      <c r="C1953" s="2">
        <v>3.8000000000000003</v>
      </c>
      <c r="D1953" s="2">
        <v>4.92</v>
      </c>
      <c r="E1953" s="2">
        <v>5.37</v>
      </c>
      <c r="F1953" s="2">
        <v>3.16</v>
      </c>
      <c r="G1953" s="6">
        <v>1479</v>
      </c>
      <c r="H1953" s="6">
        <v>3205</v>
      </c>
      <c r="I1953" s="6">
        <v>2110</v>
      </c>
      <c r="J1953" s="6">
        <v>5203</v>
      </c>
      <c r="K1953" s="6">
        <v>1231</v>
      </c>
    </row>
    <row r="1954" spans="1:11" x14ac:dyDescent="0.25">
      <c r="A1954" s="1">
        <v>0.35555555555555601</v>
      </c>
      <c r="B1954" s="2">
        <v>6.34</v>
      </c>
      <c r="C1954" s="2">
        <v>3.73</v>
      </c>
      <c r="D1954" s="2">
        <v>5</v>
      </c>
      <c r="E1954" s="2">
        <v>5.47</v>
      </c>
      <c r="F1954" s="2">
        <v>3.2800000000000002</v>
      </c>
      <c r="G1954" s="6">
        <v>4596</v>
      </c>
      <c r="H1954" s="6">
        <v>3981</v>
      </c>
      <c r="I1954" s="6">
        <v>4054</v>
      </c>
      <c r="J1954" s="6">
        <v>2001</v>
      </c>
      <c r="K1954" s="6">
        <v>5408</v>
      </c>
    </row>
    <row r="1955" spans="1:11" x14ac:dyDescent="0.25">
      <c r="A1955" s="1">
        <v>0.35625000000000001</v>
      </c>
      <c r="B1955" s="2">
        <v>6.14</v>
      </c>
      <c r="C1955" s="2">
        <v>3.58</v>
      </c>
      <c r="D1955" s="2">
        <v>5.21</v>
      </c>
      <c r="E1955" s="2">
        <v>5.4</v>
      </c>
      <c r="F1955" s="2">
        <v>3.19</v>
      </c>
      <c r="G1955" s="6">
        <v>2971</v>
      </c>
      <c r="H1955" s="6">
        <v>3975</v>
      </c>
      <c r="I1955" s="6">
        <v>1178</v>
      </c>
      <c r="J1955" s="6">
        <v>5429</v>
      </c>
      <c r="K1955" s="6">
        <v>3557</v>
      </c>
    </row>
    <row r="1956" spans="1:11" x14ac:dyDescent="0.25">
      <c r="A1956" s="1">
        <v>0.35694444444444401</v>
      </c>
      <c r="B1956" s="2">
        <v>6.27</v>
      </c>
      <c r="C1956" s="2">
        <v>3.74</v>
      </c>
      <c r="D1956" s="2">
        <v>5.36</v>
      </c>
      <c r="E1956" s="2">
        <v>5.01</v>
      </c>
      <c r="F1956" s="2">
        <v>2.99</v>
      </c>
      <c r="G1956" s="6">
        <v>1339</v>
      </c>
      <c r="H1956" s="6">
        <v>2704</v>
      </c>
      <c r="I1956" s="6">
        <v>5199</v>
      </c>
      <c r="J1956" s="6">
        <v>2341</v>
      </c>
      <c r="K1956" s="6">
        <v>4193</v>
      </c>
    </row>
    <row r="1957" spans="1:11" x14ac:dyDescent="0.25">
      <c r="A1957" s="1">
        <v>0.35763888888888901</v>
      </c>
      <c r="B1957" s="2">
        <v>6.35</v>
      </c>
      <c r="C1957" s="2">
        <v>3.67</v>
      </c>
      <c r="D1957" s="2">
        <v>5.33</v>
      </c>
      <c r="E1957" s="2">
        <v>5.43</v>
      </c>
      <c r="F1957" s="2">
        <v>3.33</v>
      </c>
      <c r="G1957" s="6">
        <v>4845</v>
      </c>
      <c r="H1957" s="6">
        <v>2905</v>
      </c>
      <c r="I1957" s="6">
        <v>3261</v>
      </c>
      <c r="J1957" s="6">
        <v>4417</v>
      </c>
      <c r="K1957" s="6">
        <v>5502</v>
      </c>
    </row>
    <row r="1958" spans="1:11" x14ac:dyDescent="0.25">
      <c r="A1958" s="1">
        <v>0.358333333333333</v>
      </c>
      <c r="B1958" s="2">
        <v>6.1</v>
      </c>
      <c r="C1958" s="2">
        <v>3.71</v>
      </c>
      <c r="D1958" s="2">
        <v>4.95</v>
      </c>
      <c r="E1958" s="2">
        <v>5.47</v>
      </c>
      <c r="F1958" s="2">
        <v>3.23</v>
      </c>
      <c r="G1958" s="6">
        <v>3034</v>
      </c>
      <c r="H1958" s="6">
        <v>2077</v>
      </c>
      <c r="I1958" s="6">
        <v>3412</v>
      </c>
      <c r="J1958" s="6">
        <v>1056</v>
      </c>
      <c r="K1958" s="6">
        <v>1596</v>
      </c>
    </row>
    <row r="1959" spans="1:11" x14ac:dyDescent="0.25">
      <c r="A1959" s="1">
        <v>0.359027777777778</v>
      </c>
      <c r="B1959" s="2">
        <v>6.16</v>
      </c>
      <c r="C1959" s="2">
        <v>3.8000000000000003</v>
      </c>
      <c r="D1959" s="2">
        <v>4.96</v>
      </c>
      <c r="E1959" s="2">
        <v>5</v>
      </c>
      <c r="F1959" s="2">
        <v>3.18</v>
      </c>
      <c r="G1959" s="6">
        <v>2647</v>
      </c>
      <c r="H1959" s="6">
        <v>4936</v>
      </c>
      <c r="I1959" s="6">
        <v>4897</v>
      </c>
      <c r="J1959" s="6">
        <v>4687</v>
      </c>
      <c r="K1959" s="6">
        <v>4210</v>
      </c>
    </row>
    <row r="1960" spans="1:11" x14ac:dyDescent="0.25">
      <c r="A1960" s="1">
        <v>0.359722222222222</v>
      </c>
      <c r="B1960" s="2">
        <v>6.21</v>
      </c>
      <c r="C1960" s="2">
        <v>3.83</v>
      </c>
      <c r="D1960" s="2">
        <v>4.8899999999999997</v>
      </c>
      <c r="E1960" s="2">
        <v>5.4</v>
      </c>
      <c r="F1960" s="2">
        <v>3.16</v>
      </c>
      <c r="G1960" s="6">
        <v>4003</v>
      </c>
      <c r="H1960" s="6">
        <v>917</v>
      </c>
      <c r="I1960" s="6">
        <v>3431</v>
      </c>
      <c r="J1960" s="6">
        <v>1811</v>
      </c>
      <c r="K1960" s="6">
        <v>915</v>
      </c>
    </row>
    <row r="1961" spans="1:11" x14ac:dyDescent="0.25">
      <c r="A1961" s="1">
        <v>0.360416666666667</v>
      </c>
      <c r="B1961" s="2">
        <v>6.3599999999999994</v>
      </c>
      <c r="C1961" s="2">
        <v>3.7800000000000002</v>
      </c>
      <c r="D1961" s="2">
        <v>4.9000000000000004</v>
      </c>
      <c r="E1961" s="2">
        <v>5.4</v>
      </c>
      <c r="F1961" s="2">
        <v>3.14</v>
      </c>
      <c r="G1961" s="6">
        <v>2689</v>
      </c>
      <c r="H1961" s="6">
        <v>1394</v>
      </c>
      <c r="I1961" s="6">
        <v>4263</v>
      </c>
      <c r="J1961" s="6">
        <v>5699</v>
      </c>
      <c r="K1961" s="6">
        <v>5573</v>
      </c>
    </row>
    <row r="1962" spans="1:11" x14ac:dyDescent="0.25">
      <c r="A1962" s="1">
        <v>0.36111111111111099</v>
      </c>
      <c r="B1962" s="2">
        <v>6.3599999999999994</v>
      </c>
      <c r="C1962" s="2">
        <v>3.73</v>
      </c>
      <c r="D1962" s="2">
        <v>5.33</v>
      </c>
      <c r="E1962" s="2">
        <v>5.24</v>
      </c>
      <c r="F1962" s="2">
        <v>2.98</v>
      </c>
      <c r="G1962" s="6">
        <v>2909</v>
      </c>
      <c r="H1962" s="6">
        <v>4501</v>
      </c>
      <c r="I1962" s="6">
        <v>818</v>
      </c>
      <c r="J1962" s="6">
        <v>4267</v>
      </c>
      <c r="K1962" s="6">
        <v>1982</v>
      </c>
    </row>
    <row r="1963" spans="1:11" x14ac:dyDescent="0.25">
      <c r="A1963" s="1">
        <v>0.36180555555555599</v>
      </c>
      <c r="B1963" s="2">
        <v>6.2</v>
      </c>
      <c r="C1963" s="2">
        <v>3.62</v>
      </c>
      <c r="D1963" s="2">
        <v>5.21</v>
      </c>
      <c r="E1963" s="2">
        <v>5.46</v>
      </c>
      <c r="F1963" s="2">
        <v>3.3200000000000003</v>
      </c>
      <c r="G1963" s="6">
        <v>4624</v>
      </c>
      <c r="H1963" s="6">
        <v>5192</v>
      </c>
      <c r="I1963" s="6">
        <v>3485</v>
      </c>
      <c r="J1963" s="6">
        <v>4521</v>
      </c>
      <c r="K1963" s="6">
        <v>2496</v>
      </c>
    </row>
    <row r="1964" spans="1:11" x14ac:dyDescent="0.25">
      <c r="A1964" s="1">
        <v>0.36249999999999999</v>
      </c>
      <c r="B1964" s="2">
        <v>6.17</v>
      </c>
      <c r="C1964" s="2">
        <v>3.64</v>
      </c>
      <c r="D1964" s="2">
        <v>5.23</v>
      </c>
      <c r="E1964" s="2">
        <v>4.99</v>
      </c>
      <c r="F1964" s="2">
        <v>3.13</v>
      </c>
      <c r="G1964" s="6">
        <v>4174</v>
      </c>
      <c r="H1964" s="6">
        <v>2683</v>
      </c>
      <c r="I1964" s="6">
        <v>4574</v>
      </c>
      <c r="J1964" s="6">
        <v>4548</v>
      </c>
      <c r="K1964" s="6">
        <v>3980</v>
      </c>
    </row>
    <row r="1965" spans="1:11" x14ac:dyDescent="0.25">
      <c r="A1965" s="1">
        <v>0.36319444444444399</v>
      </c>
      <c r="B1965" s="2">
        <v>6.31</v>
      </c>
      <c r="C1965" s="2">
        <v>3.7600000000000002</v>
      </c>
      <c r="D1965" s="2">
        <v>5.35</v>
      </c>
      <c r="E1965" s="2">
        <v>5.39</v>
      </c>
      <c r="F1965" s="2">
        <v>3.25</v>
      </c>
      <c r="G1965" s="6">
        <v>4467</v>
      </c>
      <c r="H1965" s="6">
        <v>4046</v>
      </c>
      <c r="I1965" s="6">
        <v>2157</v>
      </c>
      <c r="J1965" s="6">
        <v>1792</v>
      </c>
      <c r="K1965" s="6">
        <v>3863</v>
      </c>
    </row>
    <row r="1966" spans="1:11" x14ac:dyDescent="0.25">
      <c r="A1966" s="1">
        <v>0.36388888888888898</v>
      </c>
      <c r="B1966" s="2">
        <v>6.28</v>
      </c>
      <c r="C1966" s="2">
        <v>3.62</v>
      </c>
      <c r="D1966" s="2">
        <v>5.28</v>
      </c>
      <c r="E1966" s="2">
        <v>5.53</v>
      </c>
      <c r="F1966" s="2">
        <v>3.27</v>
      </c>
      <c r="G1966" s="6">
        <v>1607</v>
      </c>
      <c r="H1966" s="6">
        <v>2601</v>
      </c>
      <c r="I1966" s="6">
        <v>4302</v>
      </c>
      <c r="J1966" s="6">
        <v>4297</v>
      </c>
      <c r="K1966" s="6">
        <v>5863</v>
      </c>
    </row>
    <row r="1967" spans="1:11" x14ac:dyDescent="0.25">
      <c r="A1967" s="1">
        <v>0.36458333333333298</v>
      </c>
      <c r="B1967" s="2">
        <v>6.34</v>
      </c>
      <c r="C1967" s="2">
        <v>3.65</v>
      </c>
      <c r="D1967" s="2">
        <v>5.09</v>
      </c>
      <c r="E1967" s="2">
        <v>5.39</v>
      </c>
      <c r="F1967" s="2">
        <v>3.38</v>
      </c>
      <c r="G1967" s="6">
        <v>2501</v>
      </c>
      <c r="H1967" s="6">
        <v>3487</v>
      </c>
      <c r="I1967" s="6">
        <v>2674</v>
      </c>
      <c r="J1967" s="6">
        <v>1507</v>
      </c>
      <c r="K1967" s="6">
        <v>5832</v>
      </c>
    </row>
    <row r="1968" spans="1:11" x14ac:dyDescent="0.25">
      <c r="A1968" s="1">
        <v>0.36527777777777798</v>
      </c>
      <c r="B1968" s="2">
        <v>6.17</v>
      </c>
      <c r="C1968" s="2">
        <v>3.63</v>
      </c>
      <c r="D1968" s="2">
        <v>4.8899999999999997</v>
      </c>
      <c r="E1968" s="2">
        <v>5.05</v>
      </c>
      <c r="F1968" s="2">
        <v>3.38</v>
      </c>
      <c r="G1968" s="6">
        <v>759</v>
      </c>
      <c r="H1968" s="6">
        <v>2500</v>
      </c>
      <c r="I1968" s="6">
        <v>1946</v>
      </c>
      <c r="J1968" s="6">
        <v>3977</v>
      </c>
      <c r="K1968" s="6">
        <v>5162</v>
      </c>
    </row>
    <row r="1969" spans="1:11" x14ac:dyDescent="0.25">
      <c r="A1969" s="1">
        <v>0.36597222222222198</v>
      </c>
      <c r="B1969" s="2">
        <v>6.26</v>
      </c>
      <c r="C1969" s="2">
        <v>3.61</v>
      </c>
      <c r="D1969" s="2">
        <v>4.95</v>
      </c>
      <c r="E1969" s="2">
        <v>5.0999999999999996</v>
      </c>
      <c r="F1969" s="2">
        <v>2.93</v>
      </c>
      <c r="G1969" s="6">
        <v>1648</v>
      </c>
      <c r="H1969" s="6">
        <v>2543</v>
      </c>
      <c r="I1969" s="6">
        <v>3643</v>
      </c>
      <c r="J1969" s="6">
        <v>4154</v>
      </c>
      <c r="K1969" s="6">
        <v>2910</v>
      </c>
    </row>
    <row r="1970" spans="1:11" x14ac:dyDescent="0.25">
      <c r="A1970" s="1">
        <v>0.36666666666666697</v>
      </c>
      <c r="B1970" s="2">
        <v>6.34</v>
      </c>
      <c r="C1970" s="2">
        <v>3.84</v>
      </c>
      <c r="D1970" s="2">
        <v>5.21</v>
      </c>
      <c r="E1970" s="2">
        <v>5.51</v>
      </c>
      <c r="F1970" s="2">
        <v>3.1100000000000003</v>
      </c>
      <c r="G1970" s="6">
        <v>1992</v>
      </c>
      <c r="H1970" s="6">
        <v>4887</v>
      </c>
      <c r="I1970" s="6">
        <v>2000</v>
      </c>
      <c r="J1970" s="6">
        <v>1399</v>
      </c>
      <c r="K1970" s="6">
        <v>2187</v>
      </c>
    </row>
    <row r="1971" spans="1:11" x14ac:dyDescent="0.25">
      <c r="A1971" s="1">
        <v>0.36736111111111103</v>
      </c>
      <c r="B1971" s="2">
        <v>6.2299999999999995</v>
      </c>
      <c r="C1971" s="2">
        <v>3.7600000000000002</v>
      </c>
      <c r="D1971" s="2">
        <v>5.13</v>
      </c>
      <c r="E1971" s="2">
        <v>5.4399999999999995</v>
      </c>
      <c r="F1971" s="2">
        <v>3.12</v>
      </c>
      <c r="G1971" s="6">
        <v>2531</v>
      </c>
      <c r="H1971" s="6">
        <v>4493</v>
      </c>
      <c r="I1971" s="6">
        <v>4257</v>
      </c>
      <c r="J1971" s="6">
        <v>3773</v>
      </c>
      <c r="K1971" s="6">
        <v>2780</v>
      </c>
    </row>
    <row r="1972" spans="1:11" x14ac:dyDescent="0.25">
      <c r="A1972" s="1">
        <v>0.36805555555555602</v>
      </c>
      <c r="B1972" s="2">
        <v>6.32</v>
      </c>
      <c r="C1972" s="2">
        <v>3.66</v>
      </c>
      <c r="D1972" s="2">
        <v>4.9400000000000004</v>
      </c>
      <c r="E1972" s="2">
        <v>5.16</v>
      </c>
      <c r="F1972" s="2">
        <v>3.3400000000000003</v>
      </c>
      <c r="G1972" s="6">
        <v>3175</v>
      </c>
      <c r="H1972" s="6">
        <v>1005</v>
      </c>
      <c r="I1972" s="6">
        <v>5217</v>
      </c>
      <c r="J1972" s="6">
        <v>2986</v>
      </c>
      <c r="K1972" s="6">
        <v>2924</v>
      </c>
    </row>
    <row r="1973" spans="1:11" x14ac:dyDescent="0.25">
      <c r="A1973" s="1">
        <v>0.36875000000000002</v>
      </c>
      <c r="B1973" s="2">
        <v>6.3599999999999994</v>
      </c>
      <c r="C1973" s="2">
        <v>3.69</v>
      </c>
      <c r="D1973" s="2">
        <v>5.01</v>
      </c>
      <c r="E1973" s="2">
        <v>5.62</v>
      </c>
      <c r="F1973" s="2">
        <v>2.97</v>
      </c>
      <c r="G1973" s="6">
        <v>2638</v>
      </c>
      <c r="H1973" s="6">
        <v>3653</v>
      </c>
      <c r="I1973" s="6">
        <v>2714</v>
      </c>
      <c r="J1973" s="6">
        <v>5650</v>
      </c>
      <c r="K1973" s="6">
        <v>5144</v>
      </c>
    </row>
    <row r="1974" spans="1:11" x14ac:dyDescent="0.25">
      <c r="A1974" s="1">
        <v>0.36944444444444402</v>
      </c>
      <c r="B1974" s="2">
        <v>6.17</v>
      </c>
      <c r="C1974" s="2">
        <v>3.75</v>
      </c>
      <c r="D1974" s="2">
        <v>5.08</v>
      </c>
      <c r="E1974" s="2">
        <v>5.17</v>
      </c>
      <c r="F1974" s="2">
        <v>3.33</v>
      </c>
      <c r="G1974" s="6">
        <v>4604</v>
      </c>
      <c r="H1974" s="6">
        <v>3315</v>
      </c>
      <c r="I1974" s="6">
        <v>1986</v>
      </c>
      <c r="J1974" s="6">
        <v>2572</v>
      </c>
      <c r="K1974" s="6">
        <v>5187</v>
      </c>
    </row>
    <row r="1975" spans="1:11" x14ac:dyDescent="0.25">
      <c r="A1975" s="1">
        <v>0.37013888888888902</v>
      </c>
      <c r="B1975" s="2">
        <v>6.17</v>
      </c>
      <c r="C1975" s="2">
        <v>3.66</v>
      </c>
      <c r="D1975" s="2">
        <v>5.07</v>
      </c>
      <c r="E1975" s="2">
        <v>5.09</v>
      </c>
      <c r="F1975" s="2">
        <v>3.1</v>
      </c>
      <c r="G1975" s="6">
        <v>3396</v>
      </c>
      <c r="H1975" s="6">
        <v>5133</v>
      </c>
      <c r="I1975" s="6">
        <v>4743</v>
      </c>
      <c r="J1975" s="6">
        <v>4109</v>
      </c>
      <c r="K1975" s="6">
        <v>5835</v>
      </c>
    </row>
    <row r="1976" spans="1:11" x14ac:dyDescent="0.25">
      <c r="A1976" s="1">
        <v>0.37083333333333302</v>
      </c>
      <c r="B1976" s="2">
        <v>6.29</v>
      </c>
      <c r="C1976" s="2">
        <v>3.72</v>
      </c>
      <c r="D1976" s="2">
        <v>5.09</v>
      </c>
      <c r="E1976" s="2">
        <v>5.46</v>
      </c>
      <c r="F1976" s="2">
        <v>3.25</v>
      </c>
      <c r="G1976" s="6">
        <v>4769</v>
      </c>
      <c r="H1976" s="6">
        <v>2947</v>
      </c>
      <c r="I1976" s="6">
        <v>3560</v>
      </c>
      <c r="J1976" s="6">
        <v>1441</v>
      </c>
      <c r="K1976" s="6">
        <v>3743</v>
      </c>
    </row>
    <row r="1977" spans="1:11" x14ac:dyDescent="0.25">
      <c r="A1977" s="1">
        <v>0.37152777777777801</v>
      </c>
      <c r="B1977" s="2">
        <v>6.34</v>
      </c>
      <c r="C1977" s="2">
        <v>3.66</v>
      </c>
      <c r="D1977" s="2">
        <v>5.26</v>
      </c>
      <c r="E1977" s="2">
        <v>4.96</v>
      </c>
      <c r="F1977" s="2">
        <v>3.37</v>
      </c>
      <c r="G1977" s="6">
        <v>1038</v>
      </c>
      <c r="H1977" s="6">
        <v>1795</v>
      </c>
      <c r="I1977" s="6">
        <v>4874</v>
      </c>
      <c r="J1977" s="6">
        <v>3307</v>
      </c>
      <c r="K1977" s="6">
        <v>3915</v>
      </c>
    </row>
    <row r="1978" spans="1:11" x14ac:dyDescent="0.25">
      <c r="A1978" s="1">
        <v>0.37222222222222201</v>
      </c>
      <c r="B1978" s="2">
        <v>6.35</v>
      </c>
      <c r="C1978" s="2">
        <v>3.66</v>
      </c>
      <c r="D1978" s="2">
        <v>4.8899999999999997</v>
      </c>
      <c r="E1978" s="2">
        <v>5.16</v>
      </c>
      <c r="F1978" s="2">
        <v>2.96</v>
      </c>
      <c r="G1978" s="6">
        <v>1069</v>
      </c>
      <c r="H1978" s="6">
        <v>2964</v>
      </c>
      <c r="I1978" s="6">
        <v>5080</v>
      </c>
      <c r="J1978" s="6">
        <v>2333</v>
      </c>
      <c r="K1978" s="6">
        <v>1445</v>
      </c>
    </row>
    <row r="1979" spans="1:11" x14ac:dyDescent="0.25">
      <c r="A1979" s="1">
        <v>0.37291666666666701</v>
      </c>
      <c r="B1979" s="2">
        <v>6.1499999999999995</v>
      </c>
      <c r="C1979" s="2">
        <v>3.62</v>
      </c>
      <c r="D1979" s="2">
        <v>5.05</v>
      </c>
      <c r="E1979" s="2">
        <v>5.49</v>
      </c>
      <c r="F1979" s="2">
        <v>2.93</v>
      </c>
      <c r="G1979" s="6">
        <v>1437</v>
      </c>
      <c r="H1979" s="6">
        <v>1229</v>
      </c>
      <c r="I1979" s="6">
        <v>4231</v>
      </c>
      <c r="J1979" s="6">
        <v>3338</v>
      </c>
      <c r="K1979" s="6">
        <v>5671</v>
      </c>
    </row>
    <row r="1980" spans="1:11" x14ac:dyDescent="0.25">
      <c r="A1980" s="1">
        <v>0.37361111111111101</v>
      </c>
      <c r="B1980" s="2">
        <v>6.3</v>
      </c>
      <c r="C1980" s="2">
        <v>3.64</v>
      </c>
      <c r="D1980" s="2">
        <v>5.01</v>
      </c>
      <c r="E1980" s="2">
        <v>5.4399999999999995</v>
      </c>
      <c r="F1980" s="2">
        <v>2.93</v>
      </c>
      <c r="G1980" s="6">
        <v>1070</v>
      </c>
      <c r="H1980" s="6">
        <v>2018</v>
      </c>
      <c r="I1980" s="6">
        <v>2641</v>
      </c>
      <c r="J1980" s="6">
        <v>4541</v>
      </c>
      <c r="K1980" s="6">
        <v>4728</v>
      </c>
    </row>
    <row r="1981" spans="1:11" x14ac:dyDescent="0.25">
      <c r="A1981" s="1">
        <v>0.374305555555556</v>
      </c>
      <c r="B1981" s="2">
        <v>6.25</v>
      </c>
      <c r="C1981" s="2">
        <v>3.77</v>
      </c>
      <c r="D1981" s="2">
        <v>5.08</v>
      </c>
      <c r="E1981" s="2">
        <v>5.2299999999999995</v>
      </c>
      <c r="F1981" s="2">
        <v>3.23</v>
      </c>
      <c r="G1981" s="6">
        <v>3292</v>
      </c>
      <c r="H1981" s="6">
        <v>5429</v>
      </c>
      <c r="I1981" s="6">
        <v>2493</v>
      </c>
      <c r="J1981" s="6">
        <v>2680</v>
      </c>
      <c r="K1981" s="6">
        <v>5715</v>
      </c>
    </row>
    <row r="1982" spans="1:11" x14ac:dyDescent="0.25">
      <c r="A1982" s="3">
        <v>0.375</v>
      </c>
      <c r="B1982" s="2">
        <v>6.21</v>
      </c>
      <c r="C1982" s="2">
        <v>3.73</v>
      </c>
      <c r="D1982" s="2">
        <v>5.0999999999999996</v>
      </c>
      <c r="E1982" s="2">
        <v>5.31</v>
      </c>
      <c r="F1982" s="2">
        <v>3.16</v>
      </c>
      <c r="G1982" s="6">
        <v>5313</v>
      </c>
      <c r="H1982" s="6">
        <v>5312</v>
      </c>
      <c r="I1982" s="6">
        <v>4893</v>
      </c>
      <c r="J1982" s="6">
        <v>5521</v>
      </c>
      <c r="K1982" s="6">
        <v>5721</v>
      </c>
    </row>
    <row r="1983" spans="1:11" x14ac:dyDescent="0.25">
      <c r="A1983" s="1">
        <v>0.375694444444444</v>
      </c>
      <c r="B1983" s="2">
        <v>6.14</v>
      </c>
      <c r="C1983" s="2">
        <v>3.72</v>
      </c>
      <c r="D1983" s="2">
        <v>5</v>
      </c>
      <c r="E1983" s="2">
        <v>5.34</v>
      </c>
      <c r="F1983" s="2">
        <v>2.94</v>
      </c>
      <c r="G1983" s="6">
        <v>5898</v>
      </c>
      <c r="H1983" s="6">
        <v>4616</v>
      </c>
      <c r="I1983" s="6">
        <v>6292</v>
      </c>
      <c r="J1983" s="6">
        <v>4120</v>
      </c>
      <c r="K1983" s="6">
        <v>6938</v>
      </c>
    </row>
    <row r="1984" spans="1:11" x14ac:dyDescent="0.25">
      <c r="A1984" s="1">
        <v>0.37638888888888899</v>
      </c>
      <c r="B1984" s="2">
        <v>6.3</v>
      </c>
      <c r="C1984" s="2">
        <v>3.66</v>
      </c>
      <c r="D1984" s="2">
        <v>4.96</v>
      </c>
      <c r="E1984" s="2">
        <v>5.15</v>
      </c>
      <c r="F1984" s="2">
        <v>3.16</v>
      </c>
      <c r="G1984" s="6">
        <v>3573</v>
      </c>
      <c r="H1984" s="6">
        <v>7200</v>
      </c>
      <c r="I1984" s="6">
        <v>7772</v>
      </c>
      <c r="J1984" s="6">
        <v>5623</v>
      </c>
      <c r="K1984" s="6">
        <v>5657</v>
      </c>
    </row>
    <row r="1985" spans="1:11" x14ac:dyDescent="0.25">
      <c r="A1985" s="1">
        <v>0.37708333333333299</v>
      </c>
      <c r="B1985" s="2">
        <v>6.28</v>
      </c>
      <c r="C1985" s="2">
        <v>3.83</v>
      </c>
      <c r="D1985" s="2">
        <v>4.99</v>
      </c>
      <c r="E1985" s="2">
        <v>5.31</v>
      </c>
      <c r="F1985" s="2">
        <v>2.9</v>
      </c>
      <c r="G1985" s="6">
        <v>5155</v>
      </c>
      <c r="H1985" s="6">
        <v>7716</v>
      </c>
      <c r="I1985" s="6">
        <v>4760</v>
      </c>
      <c r="J1985" s="6">
        <v>3608</v>
      </c>
      <c r="K1985" s="6">
        <v>8685</v>
      </c>
    </row>
    <row r="1986" spans="1:11" x14ac:dyDescent="0.25">
      <c r="A1986" s="1">
        <v>0.37777777777777799</v>
      </c>
      <c r="B1986" s="2">
        <v>6.12</v>
      </c>
      <c r="C1986" s="2">
        <v>3.69</v>
      </c>
      <c r="D1986" s="2">
        <v>5.1400000000000006</v>
      </c>
      <c r="E1986" s="2">
        <v>4.97</v>
      </c>
      <c r="F1986" s="2">
        <v>3.0100000000000002</v>
      </c>
      <c r="G1986" s="6">
        <v>8203</v>
      </c>
      <c r="H1986" s="6">
        <v>4933</v>
      </c>
      <c r="I1986" s="6">
        <v>2720</v>
      </c>
      <c r="J1986" s="6">
        <v>4833</v>
      </c>
      <c r="K1986" s="6">
        <v>10114</v>
      </c>
    </row>
    <row r="1987" spans="1:11" x14ac:dyDescent="0.25">
      <c r="A1987" s="1">
        <v>0.37847222222222199</v>
      </c>
      <c r="B1987" s="2">
        <v>6.3</v>
      </c>
      <c r="C1987" s="2">
        <v>3.7600000000000002</v>
      </c>
      <c r="D1987" s="2">
        <v>5.07</v>
      </c>
      <c r="E1987" s="2">
        <v>5.34</v>
      </c>
      <c r="F1987" s="2">
        <v>3.23</v>
      </c>
      <c r="G1987" s="6">
        <v>7229</v>
      </c>
      <c r="H1987" s="6">
        <v>3810</v>
      </c>
      <c r="I1987" s="6">
        <v>4925</v>
      </c>
      <c r="J1987" s="6">
        <v>7623</v>
      </c>
      <c r="K1987" s="6">
        <v>4438</v>
      </c>
    </row>
    <row r="1988" spans="1:11" x14ac:dyDescent="0.25">
      <c r="A1988" s="1">
        <v>0.37916666666666698</v>
      </c>
      <c r="B1988" s="2">
        <v>6.28</v>
      </c>
      <c r="C1988" s="2">
        <v>3.7600000000000002</v>
      </c>
      <c r="D1988" s="2">
        <v>4.8899999999999997</v>
      </c>
      <c r="E1988" s="2">
        <v>5.41</v>
      </c>
      <c r="F1988" s="2">
        <v>3.29</v>
      </c>
      <c r="G1988" s="6">
        <v>6012</v>
      </c>
      <c r="H1988" s="6">
        <v>4842</v>
      </c>
      <c r="I1988" s="6">
        <v>6463</v>
      </c>
      <c r="J1988" s="6">
        <v>3842</v>
      </c>
      <c r="K1988" s="6">
        <v>9920</v>
      </c>
    </row>
    <row r="1989" spans="1:11" x14ac:dyDescent="0.25">
      <c r="A1989" s="1">
        <v>0.37986111111111098</v>
      </c>
      <c r="B1989" s="2">
        <v>6.17</v>
      </c>
      <c r="C1989" s="2">
        <v>3.7800000000000002</v>
      </c>
      <c r="D1989" s="2">
        <v>5.37</v>
      </c>
      <c r="E1989" s="2">
        <v>5.39</v>
      </c>
      <c r="F1989" s="2">
        <v>3.39</v>
      </c>
      <c r="G1989" s="6">
        <v>5709</v>
      </c>
      <c r="H1989" s="6">
        <v>5162</v>
      </c>
      <c r="I1989" s="6">
        <v>7340</v>
      </c>
      <c r="J1989" s="6">
        <v>8657</v>
      </c>
      <c r="K1989" s="6">
        <v>7304</v>
      </c>
    </row>
    <row r="1990" spans="1:11" x14ac:dyDescent="0.25">
      <c r="A1990" s="1">
        <v>0.38055555555555598</v>
      </c>
      <c r="B1990" s="2">
        <v>6.1899999999999995</v>
      </c>
      <c r="C1990" s="2">
        <v>3.81</v>
      </c>
      <c r="D1990" s="2">
        <v>5.12</v>
      </c>
      <c r="E1990" s="2">
        <v>5.22</v>
      </c>
      <c r="F1990" s="2">
        <v>3.2600000000000002</v>
      </c>
      <c r="G1990" s="6">
        <v>3697</v>
      </c>
      <c r="H1990" s="6">
        <v>4732</v>
      </c>
      <c r="I1990" s="6">
        <v>7006</v>
      </c>
      <c r="J1990" s="6">
        <v>4278</v>
      </c>
      <c r="K1990" s="6">
        <v>8913</v>
      </c>
    </row>
    <row r="1991" spans="1:11" x14ac:dyDescent="0.25">
      <c r="A1991" s="1">
        <v>0.38124999999999998</v>
      </c>
      <c r="B1991" s="2">
        <v>6.33</v>
      </c>
      <c r="C1991" s="2">
        <v>3.63</v>
      </c>
      <c r="D1991" s="2">
        <v>4.9800000000000004</v>
      </c>
      <c r="E1991" s="2">
        <v>5.43</v>
      </c>
      <c r="F1991" s="2">
        <v>3.27</v>
      </c>
      <c r="G1991" s="6">
        <v>5316</v>
      </c>
      <c r="H1991" s="6">
        <v>4033</v>
      </c>
      <c r="I1991" s="6">
        <v>8703</v>
      </c>
      <c r="J1991" s="6">
        <v>3580</v>
      </c>
      <c r="K1991" s="6">
        <v>5398</v>
      </c>
    </row>
    <row r="1992" spans="1:11" x14ac:dyDescent="0.25">
      <c r="A1992" s="1">
        <v>0.38194444444444398</v>
      </c>
      <c r="B1992" s="2">
        <v>6.09</v>
      </c>
      <c r="C1992" s="2">
        <v>3.62</v>
      </c>
      <c r="D1992" s="2">
        <v>5.24</v>
      </c>
      <c r="E1992" s="2">
        <v>4.96</v>
      </c>
      <c r="F1992" s="2">
        <v>3.02</v>
      </c>
      <c r="G1992" s="6">
        <v>8518</v>
      </c>
      <c r="H1992" s="6">
        <v>6906</v>
      </c>
      <c r="I1992" s="6">
        <v>4322</v>
      </c>
      <c r="J1992" s="6">
        <v>4166</v>
      </c>
      <c r="K1992" s="6">
        <v>9884</v>
      </c>
    </row>
    <row r="1993" spans="1:11" x14ac:dyDescent="0.25">
      <c r="A1993" s="1">
        <v>0.38263888888888897</v>
      </c>
      <c r="B1993" s="2">
        <v>6.27</v>
      </c>
      <c r="C1993" s="2">
        <v>3.63</v>
      </c>
      <c r="D1993" s="2">
        <v>5.25</v>
      </c>
      <c r="E1993" s="2">
        <v>5.32</v>
      </c>
      <c r="F1993" s="2">
        <v>3.2</v>
      </c>
      <c r="G1993" s="6">
        <v>9482</v>
      </c>
      <c r="H1993" s="6">
        <v>5142</v>
      </c>
      <c r="I1993" s="6">
        <v>6951</v>
      </c>
      <c r="J1993" s="6">
        <v>8078</v>
      </c>
      <c r="K1993" s="6">
        <v>7382</v>
      </c>
    </row>
    <row r="1994" spans="1:11" x14ac:dyDescent="0.25">
      <c r="A1994" s="1">
        <v>0.38333333333333303</v>
      </c>
      <c r="B1994" s="2">
        <v>6.26</v>
      </c>
      <c r="C1994" s="2">
        <v>3.74</v>
      </c>
      <c r="D1994" s="2">
        <v>4.87</v>
      </c>
      <c r="E1994" s="2">
        <v>5.5</v>
      </c>
      <c r="F1994" s="2">
        <v>3.22</v>
      </c>
      <c r="G1994" s="6">
        <v>4835</v>
      </c>
      <c r="H1994" s="6">
        <v>7039</v>
      </c>
      <c r="I1994" s="6">
        <v>4648</v>
      </c>
      <c r="J1994" s="6">
        <v>6355</v>
      </c>
      <c r="K1994" s="6">
        <v>10471</v>
      </c>
    </row>
    <row r="1995" spans="1:11" x14ac:dyDescent="0.25">
      <c r="A1995" s="1">
        <v>0.38402777777777802</v>
      </c>
      <c r="B1995" s="2">
        <v>6.22</v>
      </c>
      <c r="C1995" s="2">
        <v>3.7800000000000002</v>
      </c>
      <c r="D1995" s="2">
        <v>5.1100000000000003</v>
      </c>
      <c r="E1995" s="2">
        <v>5.26</v>
      </c>
      <c r="F1995" s="2">
        <v>3.2</v>
      </c>
      <c r="G1995" s="6">
        <v>4468</v>
      </c>
      <c r="H1995" s="6">
        <v>4744</v>
      </c>
      <c r="I1995" s="6">
        <v>8777</v>
      </c>
      <c r="J1995" s="6">
        <v>3942</v>
      </c>
      <c r="K1995" s="6">
        <v>10630</v>
      </c>
    </row>
    <row r="1996" spans="1:11" x14ac:dyDescent="0.25">
      <c r="A1996" s="1">
        <v>0.38472222222222202</v>
      </c>
      <c r="B1996" s="2">
        <v>6.1899999999999995</v>
      </c>
      <c r="C1996" s="2">
        <v>3.61</v>
      </c>
      <c r="D1996" s="2">
        <v>5.2700000000000005</v>
      </c>
      <c r="E1996" s="2">
        <v>5.04</v>
      </c>
      <c r="F1996" s="2">
        <v>2.89</v>
      </c>
      <c r="G1996" s="6">
        <v>4961</v>
      </c>
      <c r="H1996" s="6">
        <v>9030</v>
      </c>
      <c r="I1996" s="6">
        <v>7529</v>
      </c>
      <c r="J1996" s="6">
        <v>9189</v>
      </c>
      <c r="K1996" s="6">
        <v>6930</v>
      </c>
    </row>
    <row r="1997" spans="1:11" x14ac:dyDescent="0.25">
      <c r="A1997" s="1">
        <v>0.38541666666666702</v>
      </c>
      <c r="B1997" s="2">
        <v>6.12</v>
      </c>
      <c r="C1997" s="2">
        <v>3.77</v>
      </c>
      <c r="D1997" s="2">
        <v>5.09</v>
      </c>
      <c r="E1997" s="2">
        <v>5.07</v>
      </c>
      <c r="F1997" s="2">
        <v>3.16</v>
      </c>
      <c r="G1997" s="6">
        <v>8103</v>
      </c>
      <c r="H1997" s="6">
        <v>6768</v>
      </c>
      <c r="I1997" s="6">
        <v>7814</v>
      </c>
      <c r="J1997" s="6">
        <v>6653</v>
      </c>
      <c r="K1997" s="6">
        <v>6896</v>
      </c>
    </row>
    <row r="1998" spans="1:11" x14ac:dyDescent="0.25">
      <c r="A1998" s="1">
        <v>0.38611111111111102</v>
      </c>
      <c r="B1998" s="2">
        <v>6.29</v>
      </c>
      <c r="C1998" s="2">
        <v>3.66</v>
      </c>
      <c r="D1998" s="2">
        <v>5.23</v>
      </c>
      <c r="E1998" s="2">
        <v>5.0599999999999996</v>
      </c>
      <c r="F1998" s="2">
        <v>3.24</v>
      </c>
      <c r="G1998" s="6">
        <v>8375</v>
      </c>
      <c r="H1998" s="6">
        <v>5336</v>
      </c>
      <c r="I1998" s="6">
        <v>4152</v>
      </c>
      <c r="J1998" s="6">
        <v>7759</v>
      </c>
      <c r="K1998" s="6">
        <v>7696</v>
      </c>
    </row>
    <row r="1999" spans="1:11" x14ac:dyDescent="0.25">
      <c r="A1999" s="1">
        <v>0.38680555555555601</v>
      </c>
      <c r="B1999" s="2">
        <v>6.28</v>
      </c>
      <c r="C1999" s="2">
        <v>3.63</v>
      </c>
      <c r="D1999" s="2">
        <v>5.0600000000000005</v>
      </c>
      <c r="E1999" s="2">
        <v>5.36</v>
      </c>
      <c r="F1999" s="2">
        <v>3.02</v>
      </c>
      <c r="G1999" s="6">
        <v>3629</v>
      </c>
      <c r="H1999" s="6">
        <v>8328</v>
      </c>
      <c r="I1999" s="6">
        <v>5587</v>
      </c>
      <c r="J1999" s="6">
        <v>3774</v>
      </c>
      <c r="K1999" s="6">
        <v>6170</v>
      </c>
    </row>
    <row r="2000" spans="1:11" x14ac:dyDescent="0.25">
      <c r="A2000" s="1">
        <v>0.38750000000000001</v>
      </c>
      <c r="B2000" s="2">
        <v>6.12</v>
      </c>
      <c r="C2000" s="2">
        <v>3.66</v>
      </c>
      <c r="D2000" s="2">
        <v>5.04</v>
      </c>
      <c r="E2000" s="2">
        <v>5.07</v>
      </c>
      <c r="F2000" s="2">
        <v>3.33</v>
      </c>
      <c r="G2000" s="6">
        <v>5295</v>
      </c>
      <c r="H2000" s="6">
        <v>4459</v>
      </c>
      <c r="I2000" s="6">
        <v>7172</v>
      </c>
      <c r="J2000" s="6">
        <v>5168</v>
      </c>
      <c r="K2000" s="6">
        <v>6004</v>
      </c>
    </row>
    <row r="2001" spans="1:11" x14ac:dyDescent="0.25">
      <c r="A2001" s="1">
        <v>0.38819444444444401</v>
      </c>
      <c r="B2001" s="2">
        <v>6.1</v>
      </c>
      <c r="C2001" s="2">
        <v>3.8200000000000003</v>
      </c>
      <c r="D2001" s="2">
        <v>4.96</v>
      </c>
      <c r="E2001" s="2">
        <v>4.95</v>
      </c>
      <c r="F2001" s="2">
        <v>3.2800000000000002</v>
      </c>
      <c r="G2001" s="6">
        <v>8858</v>
      </c>
      <c r="H2001" s="6">
        <v>9929</v>
      </c>
      <c r="I2001" s="6">
        <v>8314</v>
      </c>
      <c r="J2001" s="6">
        <v>9453</v>
      </c>
      <c r="K2001" s="6">
        <v>6723</v>
      </c>
    </row>
    <row r="2002" spans="1:11" x14ac:dyDescent="0.25">
      <c r="A2002" s="1">
        <v>0.38888888888888901</v>
      </c>
      <c r="B2002" s="2">
        <v>6.32</v>
      </c>
      <c r="C2002" s="2">
        <v>3.83</v>
      </c>
      <c r="D2002" s="2">
        <v>5.12</v>
      </c>
      <c r="E2002" s="2">
        <v>4.97</v>
      </c>
      <c r="F2002" s="2">
        <v>2.94</v>
      </c>
      <c r="G2002" s="6">
        <v>8833</v>
      </c>
      <c r="H2002" s="6">
        <v>9932</v>
      </c>
      <c r="I2002" s="6">
        <v>5967</v>
      </c>
      <c r="J2002" s="6">
        <v>4314</v>
      </c>
      <c r="K2002" s="6">
        <v>5177</v>
      </c>
    </row>
    <row r="2003" spans="1:11" x14ac:dyDescent="0.25">
      <c r="A2003" s="1">
        <v>0.389583333333333</v>
      </c>
      <c r="B2003" s="2">
        <v>6.14</v>
      </c>
      <c r="C2003" s="2">
        <v>3.63</v>
      </c>
      <c r="D2003" s="2">
        <v>4.9800000000000004</v>
      </c>
      <c r="E2003" s="2">
        <v>5.04</v>
      </c>
      <c r="F2003" s="2">
        <v>2.89</v>
      </c>
      <c r="G2003" s="6">
        <v>8467</v>
      </c>
      <c r="H2003" s="6">
        <v>5017</v>
      </c>
      <c r="I2003" s="6">
        <v>4574</v>
      </c>
      <c r="J2003" s="6">
        <v>6855</v>
      </c>
      <c r="K2003" s="6">
        <v>10947</v>
      </c>
    </row>
    <row r="2004" spans="1:11" x14ac:dyDescent="0.25">
      <c r="A2004" s="1">
        <v>0.390277777777778</v>
      </c>
      <c r="B2004" s="2">
        <v>6.27</v>
      </c>
      <c r="C2004" s="2">
        <v>3.58</v>
      </c>
      <c r="D2004" s="2">
        <v>5.08</v>
      </c>
      <c r="E2004" s="2">
        <v>5.13</v>
      </c>
      <c r="F2004" s="2">
        <v>3.27</v>
      </c>
      <c r="G2004" s="6">
        <v>5698</v>
      </c>
      <c r="H2004" s="6">
        <v>3721</v>
      </c>
      <c r="I2004" s="6">
        <v>4900</v>
      </c>
      <c r="J2004" s="6">
        <v>7029</v>
      </c>
      <c r="K2004" s="6">
        <v>8501</v>
      </c>
    </row>
    <row r="2005" spans="1:11" x14ac:dyDescent="0.25">
      <c r="A2005" s="1">
        <v>0.390972222222222</v>
      </c>
      <c r="B2005" s="2">
        <v>6.1899999999999995</v>
      </c>
      <c r="C2005" s="2">
        <v>3.81</v>
      </c>
      <c r="D2005" s="2">
        <v>5.13</v>
      </c>
      <c r="E2005" s="2">
        <v>5.5</v>
      </c>
      <c r="F2005" s="2">
        <v>3.38</v>
      </c>
      <c r="G2005" s="6">
        <v>9229</v>
      </c>
      <c r="H2005" s="6">
        <v>7409</v>
      </c>
      <c r="I2005" s="6">
        <v>7093</v>
      </c>
      <c r="J2005" s="6">
        <v>8615</v>
      </c>
      <c r="K2005" s="6">
        <v>4800</v>
      </c>
    </row>
    <row r="2006" spans="1:11" x14ac:dyDescent="0.25">
      <c r="A2006" s="1">
        <v>0.391666666666667</v>
      </c>
      <c r="B2006" s="2">
        <v>6.1099999999999994</v>
      </c>
      <c r="C2006" s="2">
        <v>3.8000000000000003</v>
      </c>
      <c r="D2006" s="2">
        <v>4.8899999999999997</v>
      </c>
      <c r="E2006" s="2">
        <v>5.63</v>
      </c>
      <c r="F2006" s="2">
        <v>2.96</v>
      </c>
      <c r="G2006" s="6">
        <v>4575</v>
      </c>
      <c r="H2006" s="6">
        <v>7732</v>
      </c>
      <c r="I2006" s="6">
        <v>3385</v>
      </c>
      <c r="J2006" s="6">
        <v>6288</v>
      </c>
      <c r="K2006" s="6">
        <v>9530</v>
      </c>
    </row>
    <row r="2007" spans="1:11" x14ac:dyDescent="0.25">
      <c r="A2007" s="1">
        <v>0.39236111111111099</v>
      </c>
      <c r="B2007" s="2">
        <v>6.1099999999999994</v>
      </c>
      <c r="C2007" s="2">
        <v>3.63</v>
      </c>
      <c r="D2007" s="2">
        <v>4.93</v>
      </c>
      <c r="E2007" s="2">
        <v>4.9399999999999995</v>
      </c>
      <c r="F2007" s="2">
        <v>3.0100000000000002</v>
      </c>
      <c r="G2007" s="6">
        <v>6707</v>
      </c>
      <c r="H2007" s="6">
        <v>4149</v>
      </c>
      <c r="I2007" s="6">
        <v>7092</v>
      </c>
      <c r="J2007" s="6">
        <v>4076</v>
      </c>
      <c r="K2007" s="6">
        <v>10639</v>
      </c>
    </row>
    <row r="2008" spans="1:11" x14ac:dyDescent="0.25">
      <c r="A2008" s="1">
        <v>0.39305555555555599</v>
      </c>
      <c r="B2008" s="2">
        <v>6.1899999999999995</v>
      </c>
      <c r="C2008" s="2">
        <v>3.63</v>
      </c>
      <c r="D2008" s="2">
        <v>5.0600000000000005</v>
      </c>
      <c r="E2008" s="2">
        <v>4.96</v>
      </c>
      <c r="F2008" s="2">
        <v>3.02</v>
      </c>
      <c r="G2008" s="6">
        <v>5052</v>
      </c>
      <c r="H2008" s="6">
        <v>4767</v>
      </c>
      <c r="I2008" s="6">
        <v>8237</v>
      </c>
      <c r="J2008" s="6">
        <v>7466</v>
      </c>
      <c r="K2008" s="6">
        <v>6853</v>
      </c>
    </row>
    <row r="2009" spans="1:11" x14ac:dyDescent="0.25">
      <c r="A2009" s="1">
        <v>0.39374999999999999</v>
      </c>
      <c r="B2009" s="2">
        <v>6.2299999999999995</v>
      </c>
      <c r="C2009" s="2">
        <v>3.83</v>
      </c>
      <c r="D2009" s="2">
        <v>5.33</v>
      </c>
      <c r="E2009" s="2">
        <v>5.38</v>
      </c>
      <c r="F2009" s="2">
        <v>3.39</v>
      </c>
      <c r="G2009" s="6">
        <v>4983</v>
      </c>
      <c r="H2009" s="6">
        <v>4155</v>
      </c>
      <c r="I2009" s="6">
        <v>4346</v>
      </c>
      <c r="J2009" s="6">
        <v>8177</v>
      </c>
      <c r="K2009" s="6">
        <v>5572</v>
      </c>
    </row>
    <row r="2010" spans="1:11" x14ac:dyDescent="0.25">
      <c r="A2010" s="1">
        <v>0.39444444444444399</v>
      </c>
      <c r="B2010" s="2">
        <v>6.16</v>
      </c>
      <c r="C2010" s="2">
        <v>3.58</v>
      </c>
      <c r="D2010" s="2">
        <v>5.03</v>
      </c>
      <c r="E2010" s="2">
        <v>5.16</v>
      </c>
      <c r="F2010" s="2">
        <v>3.2</v>
      </c>
      <c r="G2010" s="6">
        <v>5509</v>
      </c>
      <c r="H2010" s="6">
        <v>6663</v>
      </c>
      <c r="I2010" s="6">
        <v>4207</v>
      </c>
      <c r="J2010" s="6">
        <v>6517</v>
      </c>
      <c r="K2010" s="6">
        <v>7839</v>
      </c>
    </row>
    <row r="2011" spans="1:11" x14ac:dyDescent="0.25">
      <c r="A2011" s="1">
        <v>0.39513888888888898</v>
      </c>
      <c r="B2011" s="2">
        <v>6.32</v>
      </c>
      <c r="C2011" s="2">
        <v>3.7600000000000002</v>
      </c>
      <c r="D2011" s="2">
        <v>4.96</v>
      </c>
      <c r="E2011" s="2">
        <v>5.38</v>
      </c>
      <c r="F2011" s="2">
        <v>3.19</v>
      </c>
      <c r="G2011" s="6">
        <v>8969</v>
      </c>
      <c r="H2011" s="6">
        <v>9499</v>
      </c>
      <c r="I2011" s="6">
        <v>2918</v>
      </c>
      <c r="J2011" s="6">
        <v>8171</v>
      </c>
      <c r="K2011" s="6">
        <v>8739</v>
      </c>
    </row>
    <row r="2012" spans="1:11" x14ac:dyDescent="0.25">
      <c r="A2012" s="1">
        <v>0.39583333333333298</v>
      </c>
      <c r="B2012" s="2">
        <v>6.16</v>
      </c>
      <c r="C2012" s="2">
        <v>3.8000000000000003</v>
      </c>
      <c r="D2012" s="2">
        <v>5.24</v>
      </c>
      <c r="E2012" s="2">
        <v>5.33</v>
      </c>
      <c r="F2012" s="2">
        <v>3.08</v>
      </c>
      <c r="G2012" s="6">
        <v>3844</v>
      </c>
      <c r="H2012" s="6">
        <v>9449</v>
      </c>
      <c r="I2012" s="6">
        <v>8313</v>
      </c>
      <c r="J2012" s="6">
        <v>6714</v>
      </c>
      <c r="K2012" s="6">
        <v>7989</v>
      </c>
    </row>
    <row r="2013" spans="1:11" x14ac:dyDescent="0.25">
      <c r="A2013" s="1">
        <v>0.39652777777777798</v>
      </c>
      <c r="B2013" s="2">
        <v>6.24</v>
      </c>
      <c r="C2013" s="2">
        <v>3.65</v>
      </c>
      <c r="D2013" s="2">
        <v>5.0600000000000005</v>
      </c>
      <c r="E2013" s="2">
        <v>5.22</v>
      </c>
      <c r="F2013" s="2">
        <v>3.13</v>
      </c>
      <c r="G2013" s="6">
        <v>6245</v>
      </c>
      <c r="H2013" s="6">
        <v>6192</v>
      </c>
      <c r="I2013" s="6">
        <v>4719</v>
      </c>
      <c r="J2013" s="6">
        <v>7803</v>
      </c>
      <c r="K2013" s="6">
        <v>10759</v>
      </c>
    </row>
    <row r="2014" spans="1:11" x14ac:dyDescent="0.25">
      <c r="A2014" s="1">
        <v>0.39722222222222198</v>
      </c>
      <c r="B2014" s="2">
        <v>6.17</v>
      </c>
      <c r="C2014" s="2">
        <v>3.7800000000000002</v>
      </c>
      <c r="D2014" s="2">
        <v>5.15</v>
      </c>
      <c r="E2014" s="2">
        <v>5.16</v>
      </c>
      <c r="F2014" s="2">
        <v>3.29</v>
      </c>
      <c r="G2014" s="6">
        <v>4021</v>
      </c>
      <c r="H2014" s="6">
        <v>5023</v>
      </c>
      <c r="I2014" s="6">
        <v>2886</v>
      </c>
      <c r="J2014" s="6">
        <v>4863</v>
      </c>
      <c r="K2014" s="6">
        <v>8962</v>
      </c>
    </row>
    <row r="2015" spans="1:11" x14ac:dyDescent="0.25">
      <c r="A2015" s="1">
        <v>0.39791666666666697</v>
      </c>
      <c r="B2015" s="2">
        <v>6.27</v>
      </c>
      <c r="C2015" s="2">
        <v>3.72</v>
      </c>
      <c r="D2015" s="2">
        <v>5.28</v>
      </c>
      <c r="E2015" s="2">
        <v>5.54</v>
      </c>
      <c r="F2015" s="2">
        <v>2.98</v>
      </c>
      <c r="G2015" s="6">
        <v>8136</v>
      </c>
      <c r="H2015" s="6">
        <v>8999</v>
      </c>
      <c r="I2015" s="6">
        <v>2702</v>
      </c>
      <c r="J2015" s="6">
        <v>4714</v>
      </c>
      <c r="K2015" s="6">
        <v>4581</v>
      </c>
    </row>
    <row r="2016" spans="1:11" x14ac:dyDescent="0.25">
      <c r="A2016" s="1">
        <v>0.39861111111111103</v>
      </c>
      <c r="B2016" s="2">
        <v>6.21</v>
      </c>
      <c r="C2016" s="2">
        <v>3.71</v>
      </c>
      <c r="D2016" s="2">
        <v>4.9400000000000004</v>
      </c>
      <c r="E2016" s="2">
        <v>5.25</v>
      </c>
      <c r="F2016" s="2">
        <v>3.12</v>
      </c>
      <c r="G2016" s="6">
        <v>4661</v>
      </c>
      <c r="H2016" s="6">
        <v>9641</v>
      </c>
      <c r="I2016" s="6">
        <v>3927</v>
      </c>
      <c r="J2016" s="6">
        <v>7328</v>
      </c>
      <c r="K2016" s="6">
        <v>10936</v>
      </c>
    </row>
    <row r="2017" spans="1:11" x14ac:dyDescent="0.25">
      <c r="A2017" s="1">
        <v>0.39930555555555602</v>
      </c>
      <c r="B2017" s="2">
        <v>6.2299999999999995</v>
      </c>
      <c r="C2017" s="2">
        <v>3.6</v>
      </c>
      <c r="D2017" s="2">
        <v>5.12</v>
      </c>
      <c r="E2017" s="2">
        <v>5.14</v>
      </c>
      <c r="F2017" s="2">
        <v>3.38</v>
      </c>
      <c r="G2017" s="6">
        <v>4051</v>
      </c>
      <c r="H2017" s="6">
        <v>4749</v>
      </c>
      <c r="I2017" s="6">
        <v>2627</v>
      </c>
      <c r="J2017" s="6">
        <v>6309</v>
      </c>
      <c r="K2017" s="6">
        <v>5019</v>
      </c>
    </row>
    <row r="2018" spans="1:11" x14ac:dyDescent="0.25">
      <c r="A2018" s="1">
        <v>0.4</v>
      </c>
      <c r="B2018" s="2">
        <v>6.3599999999999994</v>
      </c>
      <c r="C2018" s="2">
        <v>3.63</v>
      </c>
      <c r="D2018" s="2">
        <v>5.04</v>
      </c>
      <c r="E2018" s="2">
        <v>5.14</v>
      </c>
      <c r="F2018" s="2">
        <v>3.21</v>
      </c>
      <c r="G2018" s="6">
        <v>5038</v>
      </c>
      <c r="H2018" s="6">
        <v>7157</v>
      </c>
      <c r="I2018" s="6">
        <v>5388</v>
      </c>
      <c r="J2018" s="6">
        <v>3737</v>
      </c>
      <c r="K2018" s="6">
        <v>4989</v>
      </c>
    </row>
    <row r="2019" spans="1:11" x14ac:dyDescent="0.25">
      <c r="A2019" s="1">
        <v>0.40069444444444402</v>
      </c>
      <c r="B2019" s="2">
        <v>6.32</v>
      </c>
      <c r="C2019" s="2">
        <v>3.7800000000000002</v>
      </c>
      <c r="D2019" s="2">
        <v>4.99</v>
      </c>
      <c r="E2019" s="2">
        <v>5.13</v>
      </c>
      <c r="F2019" s="2">
        <v>3.04</v>
      </c>
      <c r="G2019" s="6">
        <v>4207</v>
      </c>
      <c r="H2019" s="6">
        <v>4390</v>
      </c>
      <c r="I2019" s="6">
        <v>8115</v>
      </c>
      <c r="J2019" s="6">
        <v>8164</v>
      </c>
      <c r="K2019" s="6">
        <v>7034</v>
      </c>
    </row>
    <row r="2020" spans="1:11" x14ac:dyDescent="0.25">
      <c r="A2020" s="1">
        <v>0.40138888888888902</v>
      </c>
      <c r="B2020" s="2">
        <v>6.2</v>
      </c>
      <c r="C2020" s="2">
        <v>3.67</v>
      </c>
      <c r="D2020" s="2">
        <v>5.23</v>
      </c>
      <c r="E2020" s="2">
        <v>5.14</v>
      </c>
      <c r="F2020" s="2">
        <v>3.1500000000000004</v>
      </c>
      <c r="G2020" s="6">
        <v>7902</v>
      </c>
      <c r="H2020" s="6">
        <v>6909</v>
      </c>
      <c r="I2020" s="6">
        <v>8038</v>
      </c>
      <c r="J2020" s="6">
        <v>4370</v>
      </c>
      <c r="K2020" s="6">
        <v>6498</v>
      </c>
    </row>
    <row r="2021" spans="1:11" x14ac:dyDescent="0.25">
      <c r="A2021" s="1">
        <v>0.40208333333333302</v>
      </c>
      <c r="B2021" s="2">
        <v>6.1499999999999995</v>
      </c>
      <c r="C2021" s="2">
        <v>3.84</v>
      </c>
      <c r="D2021" s="2">
        <v>5.16</v>
      </c>
      <c r="E2021" s="2">
        <v>5.33</v>
      </c>
      <c r="F2021" s="2">
        <v>3.3000000000000003</v>
      </c>
      <c r="G2021" s="6">
        <v>8789</v>
      </c>
      <c r="H2021" s="6">
        <v>6713</v>
      </c>
      <c r="I2021" s="6">
        <v>7521</v>
      </c>
      <c r="J2021" s="6">
        <v>6704</v>
      </c>
      <c r="K2021" s="6">
        <v>4471</v>
      </c>
    </row>
    <row r="2022" spans="1:11" x14ac:dyDescent="0.25">
      <c r="A2022" s="1">
        <v>0.40277777777777801</v>
      </c>
      <c r="B2022" s="2">
        <v>6.13</v>
      </c>
      <c r="C2022" s="2">
        <v>3.7</v>
      </c>
      <c r="D2022" s="2">
        <v>4.91</v>
      </c>
      <c r="E2022" s="2">
        <v>5.08</v>
      </c>
      <c r="F2022" s="2">
        <v>2.92</v>
      </c>
      <c r="G2022" s="6">
        <v>6552</v>
      </c>
      <c r="H2022" s="6">
        <v>8780</v>
      </c>
      <c r="I2022" s="6">
        <v>4530</v>
      </c>
      <c r="J2022" s="6">
        <v>5153</v>
      </c>
      <c r="K2022" s="6">
        <v>9142</v>
      </c>
    </row>
    <row r="2023" spans="1:11" x14ac:dyDescent="0.25">
      <c r="A2023" s="1">
        <v>0.40347222222222201</v>
      </c>
      <c r="B2023" s="2">
        <v>6.28</v>
      </c>
      <c r="C2023" s="2">
        <v>3.73</v>
      </c>
      <c r="D2023" s="2">
        <v>5.0600000000000005</v>
      </c>
      <c r="E2023" s="2">
        <v>5.37</v>
      </c>
      <c r="F2023" s="2">
        <v>2.94</v>
      </c>
      <c r="G2023" s="6">
        <v>5200</v>
      </c>
      <c r="H2023" s="6">
        <v>4134</v>
      </c>
      <c r="I2023" s="6">
        <v>2764</v>
      </c>
      <c r="J2023" s="6">
        <v>3728</v>
      </c>
      <c r="K2023" s="6">
        <v>9128</v>
      </c>
    </row>
    <row r="2024" spans="1:11" x14ac:dyDescent="0.25">
      <c r="A2024" s="1">
        <v>0.40416666666666701</v>
      </c>
      <c r="B2024" s="2">
        <v>6.33</v>
      </c>
      <c r="C2024" s="2">
        <v>3.65</v>
      </c>
      <c r="D2024" s="2">
        <v>5.09</v>
      </c>
      <c r="E2024" s="2">
        <v>5.16</v>
      </c>
      <c r="F2024" s="2">
        <v>3.31</v>
      </c>
      <c r="G2024" s="6">
        <v>9079</v>
      </c>
      <c r="H2024" s="6">
        <v>8215</v>
      </c>
      <c r="I2024" s="6">
        <v>4729</v>
      </c>
      <c r="J2024" s="6">
        <v>7588</v>
      </c>
      <c r="K2024" s="6">
        <v>5820</v>
      </c>
    </row>
    <row r="2025" spans="1:11" x14ac:dyDescent="0.25">
      <c r="A2025" s="1">
        <v>0.40486111111111101</v>
      </c>
      <c r="B2025" s="2">
        <v>6.35</v>
      </c>
      <c r="C2025" s="2">
        <v>3.67</v>
      </c>
      <c r="D2025" s="2">
        <v>4.93</v>
      </c>
      <c r="E2025" s="2">
        <v>5.4399999999999995</v>
      </c>
      <c r="F2025" s="2">
        <v>3.38</v>
      </c>
      <c r="G2025" s="6">
        <v>7163</v>
      </c>
      <c r="H2025" s="6">
        <v>9167</v>
      </c>
      <c r="I2025" s="6">
        <v>6840</v>
      </c>
      <c r="J2025" s="6">
        <v>4484</v>
      </c>
      <c r="K2025" s="6">
        <v>4988</v>
      </c>
    </row>
    <row r="2026" spans="1:11" x14ac:dyDescent="0.25">
      <c r="A2026" s="1">
        <v>0.405555555555556</v>
      </c>
      <c r="B2026" s="2">
        <v>6.09</v>
      </c>
      <c r="C2026" s="2">
        <v>3.84</v>
      </c>
      <c r="D2026" s="2">
        <v>5.15</v>
      </c>
      <c r="E2026" s="2">
        <v>5.22</v>
      </c>
      <c r="F2026" s="2">
        <v>3.2800000000000002</v>
      </c>
      <c r="G2026" s="6">
        <v>7312</v>
      </c>
      <c r="H2026" s="6">
        <v>9457</v>
      </c>
      <c r="I2026" s="6">
        <v>8039</v>
      </c>
      <c r="J2026" s="6">
        <v>9298</v>
      </c>
      <c r="K2026" s="6">
        <v>7048</v>
      </c>
    </row>
    <row r="2027" spans="1:11" x14ac:dyDescent="0.25">
      <c r="A2027" s="1">
        <v>0.40625</v>
      </c>
      <c r="B2027" s="2">
        <v>6.22</v>
      </c>
      <c r="C2027" s="2">
        <v>3.68</v>
      </c>
      <c r="D2027" s="2">
        <v>5.36</v>
      </c>
      <c r="E2027" s="2">
        <v>5.21</v>
      </c>
      <c r="F2027" s="2">
        <v>3.33</v>
      </c>
      <c r="G2027" s="6">
        <v>4091</v>
      </c>
      <c r="H2027" s="6">
        <v>5142</v>
      </c>
      <c r="I2027" s="6">
        <v>8600</v>
      </c>
      <c r="J2027" s="6">
        <v>6446</v>
      </c>
      <c r="K2027" s="6">
        <v>5146</v>
      </c>
    </row>
    <row r="2028" spans="1:11" x14ac:dyDescent="0.25">
      <c r="A2028" s="1">
        <v>0.406944444444444</v>
      </c>
      <c r="B2028" s="2">
        <v>6.26</v>
      </c>
      <c r="C2028" s="2">
        <v>3.64</v>
      </c>
      <c r="D2028" s="2">
        <v>4.8899999999999997</v>
      </c>
      <c r="E2028" s="2">
        <v>5.0599999999999996</v>
      </c>
      <c r="F2028" s="2">
        <v>3.14</v>
      </c>
      <c r="G2028" s="6">
        <v>4109</v>
      </c>
      <c r="H2028" s="6">
        <v>4055</v>
      </c>
      <c r="I2028" s="6">
        <v>3627</v>
      </c>
      <c r="J2028" s="6">
        <v>4209</v>
      </c>
      <c r="K2028" s="6">
        <v>9487</v>
      </c>
    </row>
    <row r="2029" spans="1:11" x14ac:dyDescent="0.25">
      <c r="A2029" s="1">
        <v>0.40763888888888899</v>
      </c>
      <c r="B2029" s="2">
        <v>6.26</v>
      </c>
      <c r="C2029" s="2">
        <v>3.71</v>
      </c>
      <c r="D2029" s="2">
        <v>5.1400000000000006</v>
      </c>
      <c r="E2029" s="2">
        <v>5.48</v>
      </c>
      <c r="F2029" s="2">
        <v>3.12</v>
      </c>
      <c r="G2029" s="6">
        <v>3834</v>
      </c>
      <c r="H2029" s="6">
        <v>7477</v>
      </c>
      <c r="I2029" s="6">
        <v>7252</v>
      </c>
      <c r="J2029" s="6">
        <v>7903</v>
      </c>
      <c r="K2029" s="6">
        <v>6936</v>
      </c>
    </row>
    <row r="2030" spans="1:11" x14ac:dyDescent="0.25">
      <c r="A2030" s="1">
        <v>0.40833333333333299</v>
      </c>
      <c r="B2030" s="2">
        <v>6.27</v>
      </c>
      <c r="C2030" s="2">
        <v>3.79</v>
      </c>
      <c r="D2030" s="2">
        <v>5.29</v>
      </c>
      <c r="E2030" s="2">
        <v>5.37</v>
      </c>
      <c r="F2030" s="2">
        <v>3.3200000000000003</v>
      </c>
      <c r="G2030" s="6">
        <v>9714</v>
      </c>
      <c r="H2030" s="6">
        <v>7512</v>
      </c>
      <c r="I2030" s="6">
        <v>4302</v>
      </c>
      <c r="J2030" s="6">
        <v>8540</v>
      </c>
      <c r="K2030" s="6">
        <v>4831</v>
      </c>
    </row>
    <row r="2031" spans="1:11" x14ac:dyDescent="0.25">
      <c r="A2031" s="1">
        <v>0.40902777777777799</v>
      </c>
      <c r="B2031" s="2">
        <v>6.29</v>
      </c>
      <c r="C2031" s="2">
        <v>3.69</v>
      </c>
      <c r="D2031" s="2">
        <v>5.25</v>
      </c>
      <c r="E2031" s="2">
        <v>5.62</v>
      </c>
      <c r="F2031" s="2">
        <v>2.92</v>
      </c>
      <c r="G2031" s="6">
        <v>8461</v>
      </c>
      <c r="H2031" s="6">
        <v>8053</v>
      </c>
      <c r="I2031" s="6">
        <v>3352</v>
      </c>
      <c r="J2031" s="6">
        <v>6105</v>
      </c>
      <c r="K2031" s="6">
        <v>9418</v>
      </c>
    </row>
    <row r="2032" spans="1:11" x14ac:dyDescent="0.25">
      <c r="A2032" s="1">
        <v>0.40972222222222199</v>
      </c>
      <c r="B2032" s="2">
        <v>6.27</v>
      </c>
      <c r="C2032" s="2">
        <v>3.81</v>
      </c>
      <c r="D2032" s="2">
        <v>5.36</v>
      </c>
      <c r="E2032" s="2">
        <v>5.0599999999999996</v>
      </c>
      <c r="F2032" s="2">
        <v>3.25</v>
      </c>
      <c r="G2032" s="6">
        <v>8986</v>
      </c>
      <c r="H2032" s="6">
        <v>5697</v>
      </c>
      <c r="I2032" s="6">
        <v>6451</v>
      </c>
      <c r="J2032" s="6">
        <v>8511</v>
      </c>
      <c r="K2032" s="6">
        <v>5510</v>
      </c>
    </row>
    <row r="2033" spans="1:11" x14ac:dyDescent="0.25">
      <c r="A2033" s="1">
        <v>0.41041666666666698</v>
      </c>
      <c r="B2033" s="2">
        <v>6.1899999999999995</v>
      </c>
      <c r="C2033" s="2">
        <v>3.7</v>
      </c>
      <c r="D2033" s="2">
        <v>4.91</v>
      </c>
      <c r="E2033" s="2">
        <v>5.54</v>
      </c>
      <c r="F2033" s="2">
        <v>3.12</v>
      </c>
      <c r="G2033" s="6">
        <v>7134</v>
      </c>
      <c r="H2033" s="6">
        <v>4981</v>
      </c>
      <c r="I2033" s="6">
        <v>7193</v>
      </c>
      <c r="J2033" s="6">
        <v>4953</v>
      </c>
      <c r="K2033" s="6">
        <v>7633</v>
      </c>
    </row>
    <row r="2034" spans="1:11" x14ac:dyDescent="0.25">
      <c r="A2034" s="1">
        <v>0.41111111111111098</v>
      </c>
      <c r="B2034" s="2">
        <v>6.35</v>
      </c>
      <c r="C2034" s="2">
        <v>3.72</v>
      </c>
      <c r="D2034" s="2">
        <v>5.1000000000000005</v>
      </c>
      <c r="E2034" s="2">
        <v>5.0999999999999996</v>
      </c>
      <c r="F2034" s="2">
        <v>2.97</v>
      </c>
      <c r="G2034" s="6">
        <v>5131</v>
      </c>
      <c r="H2034" s="6">
        <v>9311</v>
      </c>
      <c r="I2034" s="6">
        <v>6399</v>
      </c>
      <c r="J2034" s="6">
        <v>7313</v>
      </c>
      <c r="K2034" s="6">
        <v>10955</v>
      </c>
    </row>
    <row r="2035" spans="1:11" x14ac:dyDescent="0.25">
      <c r="A2035" s="1">
        <v>0.41180555555555598</v>
      </c>
      <c r="B2035" s="2">
        <v>6.27</v>
      </c>
      <c r="C2035" s="2">
        <v>3.68</v>
      </c>
      <c r="D2035" s="2">
        <v>4.99</v>
      </c>
      <c r="E2035" s="2">
        <v>5.39</v>
      </c>
      <c r="F2035" s="2">
        <v>3.02</v>
      </c>
      <c r="G2035" s="6">
        <v>7851</v>
      </c>
      <c r="H2035" s="6">
        <v>8541</v>
      </c>
      <c r="I2035" s="6">
        <v>5687</v>
      </c>
      <c r="J2035" s="6">
        <v>5007</v>
      </c>
      <c r="K2035" s="6">
        <v>8863</v>
      </c>
    </row>
    <row r="2036" spans="1:11" x14ac:dyDescent="0.25">
      <c r="A2036" s="1">
        <v>0.41249999999999998</v>
      </c>
      <c r="B2036" s="2">
        <v>6.34</v>
      </c>
      <c r="C2036" s="2">
        <v>3.7</v>
      </c>
      <c r="D2036" s="2">
        <v>5.18</v>
      </c>
      <c r="E2036" s="2">
        <v>5.42</v>
      </c>
      <c r="F2036" s="2">
        <v>3.31</v>
      </c>
      <c r="G2036" s="6">
        <v>4362</v>
      </c>
      <c r="H2036" s="6">
        <v>7342</v>
      </c>
      <c r="I2036" s="6">
        <v>7115</v>
      </c>
      <c r="J2036" s="6">
        <v>9399</v>
      </c>
      <c r="K2036" s="6">
        <v>9778</v>
      </c>
    </row>
    <row r="2037" spans="1:11" x14ac:dyDescent="0.25">
      <c r="A2037" s="1">
        <v>0.41319444444444398</v>
      </c>
      <c r="B2037" s="2">
        <v>6.35</v>
      </c>
      <c r="C2037" s="2">
        <v>3.7</v>
      </c>
      <c r="D2037" s="2">
        <v>4.91</v>
      </c>
      <c r="E2037" s="2">
        <v>4.96</v>
      </c>
      <c r="F2037" s="2">
        <v>3.1</v>
      </c>
      <c r="G2037" s="6">
        <v>3614</v>
      </c>
      <c r="H2037" s="6">
        <v>5095</v>
      </c>
      <c r="I2037" s="6">
        <v>2956</v>
      </c>
      <c r="J2037" s="6">
        <v>4945</v>
      </c>
      <c r="K2037" s="6">
        <v>9105</v>
      </c>
    </row>
    <row r="2038" spans="1:11" x14ac:dyDescent="0.25">
      <c r="A2038" s="1">
        <v>0.41388888888888897</v>
      </c>
      <c r="B2038" s="2">
        <v>6.24</v>
      </c>
      <c r="C2038" s="2">
        <v>3.68</v>
      </c>
      <c r="D2038" s="2">
        <v>5.28</v>
      </c>
      <c r="E2038" s="2">
        <v>5.57</v>
      </c>
      <c r="F2038" s="2">
        <v>3.2600000000000002</v>
      </c>
      <c r="G2038" s="6">
        <v>5559</v>
      </c>
      <c r="H2038" s="6">
        <v>8199</v>
      </c>
      <c r="I2038" s="6">
        <v>8270</v>
      </c>
      <c r="J2038" s="6">
        <v>6988</v>
      </c>
      <c r="K2038" s="6">
        <v>6184</v>
      </c>
    </row>
    <row r="2039" spans="1:11" x14ac:dyDescent="0.25">
      <c r="A2039" s="1">
        <v>0.41458333333333303</v>
      </c>
      <c r="B2039" s="2">
        <v>6.3599999999999994</v>
      </c>
      <c r="C2039" s="2">
        <v>3.68</v>
      </c>
      <c r="D2039" s="2">
        <v>5.0600000000000005</v>
      </c>
      <c r="E2039" s="2">
        <v>5.07</v>
      </c>
      <c r="F2039" s="2">
        <v>3.22</v>
      </c>
      <c r="G2039" s="6">
        <v>6613</v>
      </c>
      <c r="H2039" s="6">
        <v>9402</v>
      </c>
      <c r="I2039" s="6">
        <v>8623</v>
      </c>
      <c r="J2039" s="6">
        <v>8554</v>
      </c>
      <c r="K2039" s="6">
        <v>5561</v>
      </c>
    </row>
    <row r="2040" spans="1:11" x14ac:dyDescent="0.25">
      <c r="A2040" s="1">
        <v>0.41527777777777802</v>
      </c>
      <c r="B2040" s="2">
        <v>6.26</v>
      </c>
      <c r="C2040" s="2">
        <v>3.58</v>
      </c>
      <c r="D2040" s="2">
        <v>5.33</v>
      </c>
      <c r="E2040" s="2">
        <v>5.39</v>
      </c>
      <c r="F2040" s="2">
        <v>3.37</v>
      </c>
      <c r="G2040" s="6">
        <v>9539</v>
      </c>
      <c r="H2040" s="6">
        <v>7393</v>
      </c>
      <c r="I2040" s="6">
        <v>6202</v>
      </c>
      <c r="J2040" s="6">
        <v>4748</v>
      </c>
      <c r="K2040" s="6">
        <v>6280</v>
      </c>
    </row>
    <row r="2041" spans="1:11" x14ac:dyDescent="0.25">
      <c r="A2041" s="1">
        <v>0.41597222222222202</v>
      </c>
      <c r="B2041" s="2">
        <v>6.3</v>
      </c>
      <c r="C2041" s="2">
        <v>3.7</v>
      </c>
      <c r="D2041" s="2">
        <v>5.05</v>
      </c>
      <c r="E2041" s="2">
        <v>5.24</v>
      </c>
      <c r="F2041" s="2">
        <v>3.17</v>
      </c>
      <c r="G2041" s="6">
        <v>4465</v>
      </c>
      <c r="H2041" s="6">
        <v>5026</v>
      </c>
      <c r="I2041" s="6">
        <v>2776</v>
      </c>
      <c r="J2041" s="6">
        <v>8538</v>
      </c>
      <c r="K2041" s="6">
        <v>7144</v>
      </c>
    </row>
    <row r="2042" spans="1:11" x14ac:dyDescent="0.25">
      <c r="A2042" s="3">
        <v>0.41666666666666702</v>
      </c>
      <c r="B2042" s="2">
        <v>6.21</v>
      </c>
      <c r="C2042" s="2">
        <v>3.74</v>
      </c>
      <c r="D2042" s="2">
        <v>5.1100000000000003</v>
      </c>
      <c r="E2042" s="2">
        <v>5.32</v>
      </c>
      <c r="F2042" s="2">
        <v>3.18</v>
      </c>
      <c r="G2042" s="6">
        <v>9431</v>
      </c>
      <c r="H2042" s="6">
        <v>9734</v>
      </c>
      <c r="I2042" s="6">
        <v>8954</v>
      </c>
      <c r="J2042" s="6">
        <v>9231</v>
      </c>
      <c r="K2042" s="6">
        <v>10321</v>
      </c>
    </row>
    <row r="2043" spans="1:11" x14ac:dyDescent="0.25">
      <c r="A2043" s="1">
        <v>0.41736111111111102</v>
      </c>
      <c r="B2043" s="2">
        <v>6.35</v>
      </c>
      <c r="C2043" s="2">
        <v>3.84</v>
      </c>
      <c r="D2043" s="2">
        <v>5</v>
      </c>
      <c r="E2043" s="2">
        <v>5.57</v>
      </c>
      <c r="F2043" s="2">
        <v>3.12</v>
      </c>
      <c r="G2043" s="6">
        <v>9568</v>
      </c>
      <c r="H2043" s="6">
        <v>16704</v>
      </c>
      <c r="I2043" s="6">
        <v>6058</v>
      </c>
      <c r="J2043" s="6">
        <v>8149</v>
      </c>
      <c r="K2043" s="6">
        <v>10340</v>
      </c>
    </row>
    <row r="2044" spans="1:11" x14ac:dyDescent="0.25">
      <c r="A2044" s="1">
        <v>0.41805555555555601</v>
      </c>
      <c r="B2044" s="2">
        <v>6.21</v>
      </c>
      <c r="C2044" s="2">
        <v>3.83</v>
      </c>
      <c r="D2044" s="2">
        <v>4.96</v>
      </c>
      <c r="E2044" s="2">
        <v>5.0599999999999996</v>
      </c>
      <c r="F2044" s="2">
        <v>3.31</v>
      </c>
      <c r="G2044" s="6">
        <v>8861</v>
      </c>
      <c r="H2044" s="6">
        <v>16005</v>
      </c>
      <c r="I2044" s="6">
        <v>13276</v>
      </c>
      <c r="J2044" s="6">
        <v>9391</v>
      </c>
      <c r="K2044" s="6">
        <v>12425</v>
      </c>
    </row>
    <row r="2045" spans="1:11" x14ac:dyDescent="0.25">
      <c r="A2045" s="1">
        <v>0.41875000000000001</v>
      </c>
      <c r="B2045" s="2">
        <v>6.16</v>
      </c>
      <c r="C2045" s="2">
        <v>3.59</v>
      </c>
      <c r="D2045" s="2">
        <v>5.09</v>
      </c>
      <c r="E2045" s="2">
        <v>5.63</v>
      </c>
      <c r="F2045" s="2">
        <v>3.1</v>
      </c>
      <c r="G2045" s="6">
        <v>10415</v>
      </c>
      <c r="H2045" s="6">
        <v>12048</v>
      </c>
      <c r="I2045" s="6">
        <v>6946</v>
      </c>
      <c r="J2045" s="6">
        <v>10276</v>
      </c>
      <c r="K2045" s="6">
        <v>11281</v>
      </c>
    </row>
    <row r="2046" spans="1:11" x14ac:dyDescent="0.25">
      <c r="A2046" s="1">
        <v>0.41944444444444401</v>
      </c>
      <c r="B2046" s="2">
        <v>6.1499999999999995</v>
      </c>
      <c r="C2046" s="2">
        <v>3.68</v>
      </c>
      <c r="D2046" s="2">
        <v>5.2700000000000005</v>
      </c>
      <c r="E2046" s="2">
        <v>5.53</v>
      </c>
      <c r="F2046" s="2">
        <v>3.0300000000000002</v>
      </c>
      <c r="G2046" s="6">
        <v>6901</v>
      </c>
      <c r="H2046" s="6">
        <v>7755</v>
      </c>
      <c r="I2046" s="6">
        <v>8709</v>
      </c>
      <c r="J2046" s="6">
        <v>12058</v>
      </c>
      <c r="K2046" s="6">
        <v>13642</v>
      </c>
    </row>
    <row r="2047" spans="1:11" x14ac:dyDescent="0.25">
      <c r="A2047" s="1">
        <v>0.42013888888888901</v>
      </c>
      <c r="B2047" s="2">
        <v>6.22</v>
      </c>
      <c r="C2047" s="2">
        <v>3.63</v>
      </c>
      <c r="D2047" s="2">
        <v>5.2700000000000005</v>
      </c>
      <c r="E2047" s="2">
        <v>4.92</v>
      </c>
      <c r="F2047" s="2">
        <v>3.23</v>
      </c>
      <c r="G2047" s="6">
        <v>6879</v>
      </c>
      <c r="H2047" s="6">
        <v>16659</v>
      </c>
      <c r="I2047" s="6">
        <v>10672</v>
      </c>
      <c r="J2047" s="6">
        <v>8399</v>
      </c>
      <c r="K2047" s="6">
        <v>11150</v>
      </c>
    </row>
    <row r="2048" spans="1:11" x14ac:dyDescent="0.25">
      <c r="A2048" s="1">
        <v>0.420833333333333</v>
      </c>
      <c r="B2048" s="2">
        <v>6.17</v>
      </c>
      <c r="C2048" s="2">
        <v>3.6</v>
      </c>
      <c r="D2048" s="2">
        <v>5.04</v>
      </c>
      <c r="E2048" s="2">
        <v>4.97</v>
      </c>
      <c r="F2048" s="2">
        <v>3.2800000000000002</v>
      </c>
      <c r="G2048" s="6">
        <v>7422</v>
      </c>
      <c r="H2048" s="6">
        <v>14178</v>
      </c>
      <c r="I2048" s="6">
        <v>7593</v>
      </c>
      <c r="J2048" s="6">
        <v>8593</v>
      </c>
      <c r="K2048" s="6">
        <v>15439</v>
      </c>
    </row>
    <row r="2049" spans="1:11" x14ac:dyDescent="0.25">
      <c r="A2049" s="1">
        <v>0.421527777777778</v>
      </c>
      <c r="B2049" s="2">
        <v>6.21</v>
      </c>
      <c r="C2049" s="2">
        <v>3.58</v>
      </c>
      <c r="D2049" s="2">
        <v>5.37</v>
      </c>
      <c r="E2049" s="2">
        <v>5.07</v>
      </c>
      <c r="F2049" s="2">
        <v>3</v>
      </c>
      <c r="G2049" s="6">
        <v>10388</v>
      </c>
      <c r="H2049" s="6">
        <v>15637</v>
      </c>
      <c r="I2049" s="6">
        <v>9966</v>
      </c>
      <c r="J2049" s="6">
        <v>9549</v>
      </c>
      <c r="K2049" s="6">
        <v>9835</v>
      </c>
    </row>
    <row r="2050" spans="1:11" x14ac:dyDescent="0.25">
      <c r="A2050" s="1">
        <v>0.422222222222222</v>
      </c>
      <c r="B2050" s="2">
        <v>6.3</v>
      </c>
      <c r="C2050" s="2">
        <v>3.74</v>
      </c>
      <c r="D2050" s="2">
        <v>5.07</v>
      </c>
      <c r="E2050" s="2">
        <v>5.56</v>
      </c>
      <c r="F2050" s="2">
        <v>2.96</v>
      </c>
      <c r="G2050" s="6">
        <v>13445</v>
      </c>
      <c r="H2050" s="6">
        <v>15611</v>
      </c>
      <c r="I2050" s="6">
        <v>10374</v>
      </c>
      <c r="J2050" s="6">
        <v>11608</v>
      </c>
      <c r="K2050" s="6">
        <v>11764</v>
      </c>
    </row>
    <row r="2051" spans="1:11" x14ac:dyDescent="0.25">
      <c r="A2051" s="1">
        <v>0.422916666666667</v>
      </c>
      <c r="B2051" s="2">
        <v>6.1</v>
      </c>
      <c r="C2051" s="2">
        <v>3.63</v>
      </c>
      <c r="D2051" s="2">
        <v>5.12</v>
      </c>
      <c r="E2051" s="2">
        <v>4.93</v>
      </c>
      <c r="F2051" s="2">
        <v>3.02</v>
      </c>
      <c r="G2051" s="6">
        <v>13864</v>
      </c>
      <c r="H2051" s="6">
        <v>12352</v>
      </c>
      <c r="I2051" s="6">
        <v>9046</v>
      </c>
      <c r="J2051" s="6">
        <v>10010</v>
      </c>
      <c r="K2051" s="6">
        <v>15192</v>
      </c>
    </row>
    <row r="2052" spans="1:11" x14ac:dyDescent="0.25">
      <c r="A2052" s="1">
        <v>0.42361111111111099</v>
      </c>
      <c r="B2052" s="2">
        <v>6.1899999999999995</v>
      </c>
      <c r="C2052" s="2">
        <v>3.66</v>
      </c>
      <c r="D2052" s="2">
        <v>4.88</v>
      </c>
      <c r="E2052" s="2">
        <v>5.49</v>
      </c>
      <c r="F2052" s="2">
        <v>3.1100000000000003</v>
      </c>
      <c r="G2052" s="6">
        <v>13964</v>
      </c>
      <c r="H2052" s="6">
        <v>13360</v>
      </c>
      <c r="I2052" s="6">
        <v>12827</v>
      </c>
      <c r="J2052" s="6">
        <v>8432</v>
      </c>
      <c r="K2052" s="6">
        <v>9939</v>
      </c>
    </row>
    <row r="2053" spans="1:11" x14ac:dyDescent="0.25">
      <c r="A2053" s="1">
        <v>0.42430555555555599</v>
      </c>
      <c r="B2053" s="2">
        <v>6.1499999999999995</v>
      </c>
      <c r="C2053" s="2">
        <v>3.87</v>
      </c>
      <c r="D2053" s="2">
        <v>5.3</v>
      </c>
      <c r="E2053" s="2">
        <v>5.62</v>
      </c>
      <c r="F2053" s="2">
        <v>3.3400000000000003</v>
      </c>
      <c r="G2053" s="6">
        <v>6850</v>
      </c>
      <c r="H2053" s="6">
        <v>10090</v>
      </c>
      <c r="I2053" s="6">
        <v>12021</v>
      </c>
      <c r="J2053" s="6">
        <v>10201</v>
      </c>
      <c r="K2053" s="6">
        <v>15666</v>
      </c>
    </row>
    <row r="2054" spans="1:11" x14ac:dyDescent="0.25">
      <c r="A2054" s="1">
        <v>0.42499999999999999</v>
      </c>
      <c r="B2054" s="2">
        <v>6.3</v>
      </c>
      <c r="C2054" s="2">
        <v>3.59</v>
      </c>
      <c r="D2054" s="2">
        <v>5</v>
      </c>
      <c r="E2054" s="2">
        <v>4.9799999999999995</v>
      </c>
      <c r="F2054" s="2">
        <v>3.12</v>
      </c>
      <c r="G2054" s="6">
        <v>13031</v>
      </c>
      <c r="H2054" s="6">
        <v>7036</v>
      </c>
      <c r="I2054" s="6">
        <v>11570</v>
      </c>
      <c r="J2054" s="6">
        <v>10242</v>
      </c>
      <c r="K2054" s="6">
        <v>13391</v>
      </c>
    </row>
    <row r="2055" spans="1:11" x14ac:dyDescent="0.25">
      <c r="A2055" s="1">
        <v>0.42569444444444399</v>
      </c>
      <c r="B2055" s="2">
        <v>6.1899999999999995</v>
      </c>
      <c r="C2055" s="2">
        <v>3.83</v>
      </c>
      <c r="D2055" s="2">
        <v>5.3</v>
      </c>
      <c r="E2055" s="2">
        <v>5.07</v>
      </c>
      <c r="F2055" s="2">
        <v>3.37</v>
      </c>
      <c r="G2055" s="6">
        <v>6568</v>
      </c>
      <c r="H2055" s="6">
        <v>12688</v>
      </c>
      <c r="I2055" s="6">
        <v>10555</v>
      </c>
      <c r="J2055" s="6">
        <v>9068</v>
      </c>
      <c r="K2055" s="6">
        <v>13690</v>
      </c>
    </row>
    <row r="2056" spans="1:11" x14ac:dyDescent="0.25">
      <c r="A2056" s="1">
        <v>0.42638888888888898</v>
      </c>
      <c r="B2056" s="2">
        <v>6.28</v>
      </c>
      <c r="C2056" s="2">
        <v>3.61</v>
      </c>
      <c r="D2056" s="2">
        <v>5.03</v>
      </c>
      <c r="E2056" s="2">
        <v>5.05</v>
      </c>
      <c r="F2056" s="2">
        <v>2.91</v>
      </c>
      <c r="G2056" s="6">
        <v>11080</v>
      </c>
      <c r="H2056" s="6">
        <v>8204</v>
      </c>
      <c r="I2056" s="6">
        <v>11820</v>
      </c>
      <c r="J2056" s="6">
        <v>10012</v>
      </c>
      <c r="K2056" s="6">
        <v>13503</v>
      </c>
    </row>
    <row r="2057" spans="1:11" x14ac:dyDescent="0.25">
      <c r="A2057" s="1">
        <v>0.42708333333333298</v>
      </c>
      <c r="B2057" s="2">
        <v>6.21</v>
      </c>
      <c r="C2057" s="2">
        <v>3.7</v>
      </c>
      <c r="D2057" s="2">
        <v>4.95</v>
      </c>
      <c r="E2057" s="2">
        <v>4.99</v>
      </c>
      <c r="F2057" s="2">
        <v>3.16</v>
      </c>
      <c r="G2057" s="6">
        <v>13145</v>
      </c>
      <c r="H2057" s="6">
        <v>9499</v>
      </c>
      <c r="I2057" s="6">
        <v>6567</v>
      </c>
      <c r="J2057" s="6">
        <v>10280</v>
      </c>
      <c r="K2057" s="6">
        <v>9636</v>
      </c>
    </row>
    <row r="2058" spans="1:11" x14ac:dyDescent="0.25">
      <c r="A2058" s="1">
        <v>0.42777777777777798</v>
      </c>
      <c r="B2058" s="2">
        <v>6.24</v>
      </c>
      <c r="C2058" s="2">
        <v>3.67</v>
      </c>
      <c r="D2058" s="2">
        <v>5.36</v>
      </c>
      <c r="E2058" s="2">
        <v>4.9799999999999995</v>
      </c>
      <c r="F2058" s="2">
        <v>2.96</v>
      </c>
      <c r="G2058" s="6">
        <v>12180</v>
      </c>
      <c r="H2058" s="6">
        <v>7758</v>
      </c>
      <c r="I2058" s="6">
        <v>13633</v>
      </c>
      <c r="J2058" s="6">
        <v>9723</v>
      </c>
      <c r="K2058" s="6">
        <v>11975</v>
      </c>
    </row>
    <row r="2059" spans="1:11" x14ac:dyDescent="0.25">
      <c r="A2059" s="1">
        <v>0.42847222222222198</v>
      </c>
      <c r="B2059" s="2">
        <v>6.1099999999999994</v>
      </c>
      <c r="C2059" s="2">
        <v>3.73</v>
      </c>
      <c r="D2059" s="2">
        <v>5.36</v>
      </c>
      <c r="E2059" s="2">
        <v>5.16</v>
      </c>
      <c r="F2059" s="2">
        <v>2.89</v>
      </c>
      <c r="G2059" s="6">
        <v>9790</v>
      </c>
      <c r="H2059" s="6">
        <v>16262</v>
      </c>
      <c r="I2059" s="6">
        <v>7535</v>
      </c>
      <c r="J2059" s="6">
        <v>8194</v>
      </c>
      <c r="K2059" s="6">
        <v>12031</v>
      </c>
    </row>
    <row r="2060" spans="1:11" x14ac:dyDescent="0.25">
      <c r="A2060" s="1">
        <v>0.42916666666666697</v>
      </c>
      <c r="B2060" s="2">
        <v>6.3</v>
      </c>
      <c r="C2060" s="2">
        <v>3.58</v>
      </c>
      <c r="D2060" s="2">
        <v>5.09</v>
      </c>
      <c r="E2060" s="2">
        <v>5.32</v>
      </c>
      <c r="F2060" s="2">
        <v>3.12</v>
      </c>
      <c r="G2060" s="6">
        <v>10359</v>
      </c>
      <c r="H2060" s="6">
        <v>13940</v>
      </c>
      <c r="I2060" s="6">
        <v>13458</v>
      </c>
      <c r="J2060" s="6">
        <v>7932</v>
      </c>
      <c r="K2060" s="6">
        <v>15960</v>
      </c>
    </row>
    <row r="2061" spans="1:11" x14ac:dyDescent="0.25">
      <c r="A2061" s="1">
        <v>0.42986111111111103</v>
      </c>
      <c r="B2061" s="2">
        <v>6.33</v>
      </c>
      <c r="C2061" s="2">
        <v>3.61</v>
      </c>
      <c r="D2061" s="2">
        <v>5.16</v>
      </c>
      <c r="E2061" s="2">
        <v>5.61</v>
      </c>
      <c r="F2061" s="2">
        <v>3.14</v>
      </c>
      <c r="G2061" s="6">
        <v>8189</v>
      </c>
      <c r="H2061" s="6">
        <v>7687</v>
      </c>
      <c r="I2061" s="6">
        <v>9284</v>
      </c>
      <c r="J2061" s="6">
        <v>9903</v>
      </c>
      <c r="K2061" s="6">
        <v>11673</v>
      </c>
    </row>
    <row r="2062" spans="1:11" x14ac:dyDescent="0.25">
      <c r="A2062" s="1">
        <v>0.43055555555555602</v>
      </c>
      <c r="B2062" s="2">
        <v>6.2299999999999995</v>
      </c>
      <c r="C2062" s="2">
        <v>3.63</v>
      </c>
      <c r="D2062" s="2">
        <v>5.23</v>
      </c>
      <c r="E2062" s="2">
        <v>5.48</v>
      </c>
      <c r="F2062" s="2">
        <v>2.88</v>
      </c>
      <c r="G2062" s="6">
        <v>6777</v>
      </c>
      <c r="H2062" s="6">
        <v>11051</v>
      </c>
      <c r="I2062" s="6">
        <v>9774</v>
      </c>
      <c r="J2062" s="6">
        <v>9978</v>
      </c>
      <c r="K2062" s="6">
        <v>8939</v>
      </c>
    </row>
    <row r="2063" spans="1:11" x14ac:dyDescent="0.25">
      <c r="A2063" s="1">
        <v>0.43125000000000002</v>
      </c>
      <c r="B2063" s="2">
        <v>6.2</v>
      </c>
      <c r="C2063" s="2">
        <v>3.7</v>
      </c>
      <c r="D2063" s="2">
        <v>4.92</v>
      </c>
      <c r="E2063" s="2">
        <v>5.41</v>
      </c>
      <c r="F2063" s="2">
        <v>3.21</v>
      </c>
      <c r="G2063" s="6">
        <v>10135</v>
      </c>
      <c r="H2063" s="6">
        <v>15404</v>
      </c>
      <c r="I2063" s="6">
        <v>8335</v>
      </c>
      <c r="J2063" s="6">
        <v>11151</v>
      </c>
      <c r="K2063" s="6">
        <v>13763</v>
      </c>
    </row>
    <row r="2064" spans="1:11" x14ac:dyDescent="0.25">
      <c r="A2064" s="1">
        <v>0.43194444444444402</v>
      </c>
      <c r="B2064" s="2">
        <v>6.1499999999999995</v>
      </c>
      <c r="C2064" s="2">
        <v>3.87</v>
      </c>
      <c r="D2064" s="2">
        <v>4.99</v>
      </c>
      <c r="E2064" s="2">
        <v>5.37</v>
      </c>
      <c r="F2064" s="2">
        <v>3.13</v>
      </c>
      <c r="G2064" s="6">
        <v>6527</v>
      </c>
      <c r="H2064" s="6">
        <v>12774</v>
      </c>
      <c r="I2064" s="6">
        <v>12033</v>
      </c>
      <c r="J2064" s="6">
        <v>10805</v>
      </c>
      <c r="K2064" s="6">
        <v>12640</v>
      </c>
    </row>
    <row r="2065" spans="1:11" x14ac:dyDescent="0.25">
      <c r="A2065" s="1">
        <v>0.43263888888888902</v>
      </c>
      <c r="B2065" s="2">
        <v>6.26</v>
      </c>
      <c r="C2065" s="2">
        <v>3.75</v>
      </c>
      <c r="D2065" s="2">
        <v>5.2700000000000005</v>
      </c>
      <c r="E2065" s="2">
        <v>5.45</v>
      </c>
      <c r="F2065" s="2">
        <v>2.94</v>
      </c>
      <c r="G2065" s="6">
        <v>12737</v>
      </c>
      <c r="H2065" s="6">
        <v>14638</v>
      </c>
      <c r="I2065" s="6">
        <v>12729</v>
      </c>
      <c r="J2065" s="6">
        <v>10774</v>
      </c>
      <c r="K2065" s="6">
        <v>10473</v>
      </c>
    </row>
    <row r="2066" spans="1:11" x14ac:dyDescent="0.25">
      <c r="A2066" s="1">
        <v>0.43333333333333302</v>
      </c>
      <c r="B2066" s="2">
        <v>6.18</v>
      </c>
      <c r="C2066" s="2">
        <v>3.58</v>
      </c>
      <c r="D2066" s="2">
        <v>5.0600000000000005</v>
      </c>
      <c r="E2066" s="2">
        <v>5.43</v>
      </c>
      <c r="F2066" s="2">
        <v>3.1100000000000003</v>
      </c>
      <c r="G2066" s="6">
        <v>7399</v>
      </c>
      <c r="H2066" s="6">
        <v>13517</v>
      </c>
      <c r="I2066" s="6">
        <v>12386</v>
      </c>
      <c r="J2066" s="6">
        <v>10528</v>
      </c>
      <c r="K2066" s="6">
        <v>11035</v>
      </c>
    </row>
    <row r="2067" spans="1:11" x14ac:dyDescent="0.25">
      <c r="A2067" s="1">
        <v>0.43402777777777801</v>
      </c>
      <c r="B2067" s="2">
        <v>6.1099999999999994</v>
      </c>
      <c r="C2067" s="2">
        <v>3.69</v>
      </c>
      <c r="D2067" s="2">
        <v>5.05</v>
      </c>
      <c r="E2067" s="2">
        <v>5.14</v>
      </c>
      <c r="F2067" s="2">
        <v>3.24</v>
      </c>
      <c r="G2067" s="6">
        <v>11470</v>
      </c>
      <c r="H2067" s="6">
        <v>13179</v>
      </c>
      <c r="I2067" s="6">
        <v>13929</v>
      </c>
      <c r="J2067" s="6">
        <v>9829</v>
      </c>
      <c r="K2067" s="6">
        <v>13818</v>
      </c>
    </row>
    <row r="2068" spans="1:11" x14ac:dyDescent="0.25">
      <c r="A2068" s="1">
        <v>0.43472222222222201</v>
      </c>
      <c r="B2068" s="2">
        <v>6.1099999999999994</v>
      </c>
      <c r="C2068" s="2">
        <v>3.8600000000000003</v>
      </c>
      <c r="D2068" s="2">
        <v>5.34</v>
      </c>
      <c r="E2068" s="2">
        <v>5.4399999999999995</v>
      </c>
      <c r="F2068" s="2">
        <v>3.12</v>
      </c>
      <c r="G2068" s="6">
        <v>12631</v>
      </c>
      <c r="H2068" s="6">
        <v>16879</v>
      </c>
      <c r="I2068" s="6">
        <v>7234</v>
      </c>
      <c r="J2068" s="6">
        <v>10511</v>
      </c>
      <c r="K2068" s="6">
        <v>10012</v>
      </c>
    </row>
    <row r="2069" spans="1:11" x14ac:dyDescent="0.25">
      <c r="A2069" s="1">
        <v>0.43541666666666701</v>
      </c>
      <c r="B2069" s="2">
        <v>6.25</v>
      </c>
      <c r="C2069" s="2">
        <v>3.63</v>
      </c>
      <c r="D2069" s="2">
        <v>5.1400000000000006</v>
      </c>
      <c r="E2069" s="2">
        <v>5.45</v>
      </c>
      <c r="F2069" s="2">
        <v>2.93</v>
      </c>
      <c r="G2069" s="6">
        <v>10105</v>
      </c>
      <c r="H2069" s="6">
        <v>12618</v>
      </c>
      <c r="I2069" s="6">
        <v>9992</v>
      </c>
      <c r="J2069" s="6">
        <v>8074</v>
      </c>
      <c r="K2069" s="6">
        <v>12865</v>
      </c>
    </row>
    <row r="2070" spans="1:11" x14ac:dyDescent="0.25">
      <c r="A2070" s="1">
        <v>0.43611111111111101</v>
      </c>
      <c r="B2070" s="2">
        <v>6.3599999999999994</v>
      </c>
      <c r="C2070" s="2">
        <v>3.84</v>
      </c>
      <c r="D2070" s="2">
        <v>5.32</v>
      </c>
      <c r="E2070" s="2">
        <v>4.9399999999999995</v>
      </c>
      <c r="F2070" s="2">
        <v>3.3600000000000003</v>
      </c>
      <c r="G2070" s="6">
        <v>14262</v>
      </c>
      <c r="H2070" s="6">
        <v>12012</v>
      </c>
      <c r="I2070" s="6">
        <v>7181</v>
      </c>
      <c r="J2070" s="6">
        <v>8651</v>
      </c>
      <c r="K2070" s="6">
        <v>14813</v>
      </c>
    </row>
    <row r="2071" spans="1:11" x14ac:dyDescent="0.25">
      <c r="A2071" s="1">
        <v>0.436805555555556</v>
      </c>
      <c r="B2071" s="2">
        <v>6.26</v>
      </c>
      <c r="C2071" s="2">
        <v>3.8600000000000003</v>
      </c>
      <c r="D2071" s="2">
        <v>5.26</v>
      </c>
      <c r="E2071" s="2">
        <v>5.35</v>
      </c>
      <c r="F2071" s="2">
        <v>3.0100000000000002</v>
      </c>
      <c r="G2071" s="6">
        <v>13699</v>
      </c>
      <c r="H2071" s="6">
        <v>11897</v>
      </c>
      <c r="I2071" s="6">
        <v>13343</v>
      </c>
      <c r="J2071" s="6">
        <v>11581</v>
      </c>
      <c r="K2071" s="6">
        <v>15644</v>
      </c>
    </row>
    <row r="2072" spans="1:11" x14ac:dyDescent="0.25">
      <c r="A2072" s="1">
        <v>0.4375</v>
      </c>
      <c r="B2072" s="2">
        <v>6.13</v>
      </c>
      <c r="C2072" s="2">
        <v>3.87</v>
      </c>
      <c r="D2072" s="2">
        <v>4.87</v>
      </c>
      <c r="E2072" s="2">
        <v>5.1100000000000003</v>
      </c>
      <c r="F2072" s="2">
        <v>2.96</v>
      </c>
      <c r="G2072" s="6">
        <v>9789</v>
      </c>
      <c r="H2072" s="6">
        <v>9616</v>
      </c>
      <c r="I2072" s="6">
        <v>9509</v>
      </c>
      <c r="J2072" s="6">
        <v>9263</v>
      </c>
      <c r="K2072" s="6">
        <v>11071</v>
      </c>
    </row>
    <row r="2073" spans="1:11" x14ac:dyDescent="0.25">
      <c r="A2073" s="1">
        <v>0.438194444444444</v>
      </c>
      <c r="B2073" s="2">
        <v>6.2</v>
      </c>
      <c r="C2073" s="2">
        <v>3.62</v>
      </c>
      <c r="D2073" s="2">
        <v>5.2</v>
      </c>
      <c r="E2073" s="2">
        <v>4.96</v>
      </c>
      <c r="F2073" s="2">
        <v>2.91</v>
      </c>
      <c r="G2073" s="6">
        <v>9290</v>
      </c>
      <c r="H2073" s="6">
        <v>8148</v>
      </c>
      <c r="I2073" s="6">
        <v>12072</v>
      </c>
      <c r="J2073" s="6">
        <v>9618</v>
      </c>
      <c r="K2073" s="6">
        <v>14003</v>
      </c>
    </row>
    <row r="2074" spans="1:11" x14ac:dyDescent="0.25">
      <c r="A2074" s="1">
        <v>0.43888888888888899</v>
      </c>
      <c r="B2074" s="2">
        <v>6.21</v>
      </c>
      <c r="C2074" s="2">
        <v>3.65</v>
      </c>
      <c r="D2074" s="2">
        <v>5.28</v>
      </c>
      <c r="E2074" s="2">
        <v>5.3</v>
      </c>
      <c r="F2074" s="2">
        <v>2.96</v>
      </c>
      <c r="G2074" s="6">
        <v>11876</v>
      </c>
      <c r="H2074" s="6">
        <v>13523</v>
      </c>
      <c r="I2074" s="6">
        <v>9770</v>
      </c>
      <c r="J2074" s="6">
        <v>11716</v>
      </c>
      <c r="K2074" s="6">
        <v>15017</v>
      </c>
    </row>
    <row r="2075" spans="1:11" x14ac:dyDescent="0.25">
      <c r="A2075" s="1">
        <v>0.43958333333333299</v>
      </c>
      <c r="B2075" s="2">
        <v>6.29</v>
      </c>
      <c r="C2075" s="2">
        <v>3.74</v>
      </c>
      <c r="D2075" s="2">
        <v>5.13</v>
      </c>
      <c r="E2075" s="2">
        <v>4.9399999999999995</v>
      </c>
      <c r="F2075" s="2">
        <v>3.04</v>
      </c>
      <c r="G2075" s="6">
        <v>11258</v>
      </c>
      <c r="H2075" s="6">
        <v>14564</v>
      </c>
      <c r="I2075" s="6">
        <v>6261</v>
      </c>
      <c r="J2075" s="6">
        <v>10929</v>
      </c>
      <c r="K2075" s="6">
        <v>13381</v>
      </c>
    </row>
    <row r="2076" spans="1:11" x14ac:dyDescent="0.25">
      <c r="A2076" s="1">
        <v>0.44027777777777799</v>
      </c>
      <c r="B2076" s="2">
        <v>6.29</v>
      </c>
      <c r="C2076" s="2">
        <v>3.68</v>
      </c>
      <c r="D2076" s="2">
        <v>5.1000000000000005</v>
      </c>
      <c r="E2076" s="2">
        <v>5.2299999999999995</v>
      </c>
      <c r="F2076" s="2">
        <v>3.27</v>
      </c>
      <c r="G2076" s="6">
        <v>13049</v>
      </c>
      <c r="H2076" s="6">
        <v>13702</v>
      </c>
      <c r="I2076" s="6">
        <v>14055</v>
      </c>
      <c r="J2076" s="6">
        <v>8493</v>
      </c>
      <c r="K2076" s="6">
        <v>9933</v>
      </c>
    </row>
    <row r="2077" spans="1:11" x14ac:dyDescent="0.25">
      <c r="A2077" s="1">
        <v>0.44097222222222199</v>
      </c>
      <c r="B2077" s="2">
        <v>6.22</v>
      </c>
      <c r="C2077" s="2">
        <v>3.84</v>
      </c>
      <c r="D2077" s="2">
        <v>5.1100000000000003</v>
      </c>
      <c r="E2077" s="2">
        <v>5.24</v>
      </c>
      <c r="F2077" s="2">
        <v>3</v>
      </c>
      <c r="G2077" s="6">
        <v>13887</v>
      </c>
      <c r="H2077" s="6">
        <v>14037</v>
      </c>
      <c r="I2077" s="6">
        <v>8808</v>
      </c>
      <c r="J2077" s="6">
        <v>8106</v>
      </c>
      <c r="K2077" s="6">
        <v>13596</v>
      </c>
    </row>
    <row r="2078" spans="1:11" x14ac:dyDescent="0.25">
      <c r="A2078" s="1">
        <v>0.44166666666666698</v>
      </c>
      <c r="B2078" s="2">
        <v>6.1899999999999995</v>
      </c>
      <c r="C2078" s="2">
        <v>3.81</v>
      </c>
      <c r="D2078" s="2">
        <v>4.93</v>
      </c>
      <c r="E2078" s="2">
        <v>5.61</v>
      </c>
      <c r="F2078" s="2">
        <v>2.92</v>
      </c>
      <c r="G2078" s="6">
        <v>9715</v>
      </c>
      <c r="H2078" s="6">
        <v>16544</v>
      </c>
      <c r="I2078" s="6">
        <v>7256</v>
      </c>
      <c r="J2078" s="6">
        <v>11351</v>
      </c>
      <c r="K2078" s="6">
        <v>14825</v>
      </c>
    </row>
    <row r="2079" spans="1:11" x14ac:dyDescent="0.25">
      <c r="A2079" s="1">
        <v>0.44236111111111098</v>
      </c>
      <c r="B2079" s="2">
        <v>6.3599999999999994</v>
      </c>
      <c r="C2079" s="2">
        <v>3.58</v>
      </c>
      <c r="D2079" s="2">
        <v>5.12</v>
      </c>
      <c r="E2079" s="2">
        <v>5.03</v>
      </c>
      <c r="F2079" s="2">
        <v>3.17</v>
      </c>
      <c r="G2079" s="6">
        <v>11325</v>
      </c>
      <c r="H2079" s="6">
        <v>8206</v>
      </c>
      <c r="I2079" s="6">
        <v>10996</v>
      </c>
      <c r="J2079" s="6">
        <v>10360</v>
      </c>
      <c r="K2079" s="6">
        <v>12678</v>
      </c>
    </row>
    <row r="2080" spans="1:11" x14ac:dyDescent="0.25">
      <c r="A2080" s="1">
        <v>0.44305555555555598</v>
      </c>
      <c r="B2080" s="2">
        <v>6.16</v>
      </c>
      <c r="C2080" s="2">
        <v>3.58</v>
      </c>
      <c r="D2080" s="2">
        <v>4.96</v>
      </c>
      <c r="E2080" s="2">
        <v>5</v>
      </c>
      <c r="F2080" s="2">
        <v>2.99</v>
      </c>
      <c r="G2080" s="6">
        <v>7998</v>
      </c>
      <c r="H2080" s="6">
        <v>16891</v>
      </c>
      <c r="I2080" s="6">
        <v>10362</v>
      </c>
      <c r="J2080" s="6">
        <v>11922</v>
      </c>
      <c r="K2080" s="6">
        <v>10354</v>
      </c>
    </row>
    <row r="2081" spans="1:11" x14ac:dyDescent="0.25">
      <c r="A2081" s="1">
        <v>0.44374999999999998</v>
      </c>
      <c r="B2081" s="2">
        <v>6.16</v>
      </c>
      <c r="C2081" s="2">
        <v>3.81</v>
      </c>
      <c r="D2081" s="2">
        <v>5.15</v>
      </c>
      <c r="E2081" s="2">
        <v>5.29</v>
      </c>
      <c r="F2081" s="2">
        <v>3.13</v>
      </c>
      <c r="G2081" s="6">
        <v>10731</v>
      </c>
      <c r="H2081" s="6">
        <v>13268</v>
      </c>
      <c r="I2081" s="6">
        <v>7165</v>
      </c>
      <c r="J2081" s="6">
        <v>11193</v>
      </c>
      <c r="K2081" s="6">
        <v>11874</v>
      </c>
    </row>
    <row r="2082" spans="1:11" x14ac:dyDescent="0.25">
      <c r="A2082" s="1">
        <v>0.44444444444444398</v>
      </c>
      <c r="B2082" s="2">
        <v>6.12</v>
      </c>
      <c r="C2082" s="2">
        <v>3.69</v>
      </c>
      <c r="D2082" s="2">
        <v>5.01</v>
      </c>
      <c r="E2082" s="2">
        <v>5.36</v>
      </c>
      <c r="F2082" s="2">
        <v>3.19</v>
      </c>
      <c r="G2082" s="6">
        <v>14968</v>
      </c>
      <c r="H2082" s="6">
        <v>15775</v>
      </c>
      <c r="I2082" s="6">
        <v>10627</v>
      </c>
      <c r="J2082" s="6">
        <v>11048</v>
      </c>
      <c r="K2082" s="6">
        <v>15842</v>
      </c>
    </row>
    <row r="2083" spans="1:11" x14ac:dyDescent="0.25">
      <c r="A2083" s="1">
        <v>0.44513888888888897</v>
      </c>
      <c r="B2083" s="2">
        <v>6.31</v>
      </c>
      <c r="C2083" s="2">
        <v>3.71</v>
      </c>
      <c r="D2083" s="2">
        <v>4.88</v>
      </c>
      <c r="E2083" s="2">
        <v>5.54</v>
      </c>
      <c r="F2083" s="2">
        <v>3.16</v>
      </c>
      <c r="G2083" s="6">
        <v>10407</v>
      </c>
      <c r="H2083" s="6">
        <v>11960</v>
      </c>
      <c r="I2083" s="6">
        <v>7649</v>
      </c>
      <c r="J2083" s="6">
        <v>11665</v>
      </c>
      <c r="K2083" s="6">
        <v>9184</v>
      </c>
    </row>
    <row r="2084" spans="1:11" x14ac:dyDescent="0.25">
      <c r="A2084" s="1">
        <v>0.44583333333333303</v>
      </c>
      <c r="B2084" s="2">
        <v>6.3</v>
      </c>
      <c r="C2084" s="2">
        <v>3.7</v>
      </c>
      <c r="D2084" s="2">
        <v>5.2700000000000005</v>
      </c>
      <c r="E2084" s="2">
        <v>5.05</v>
      </c>
      <c r="F2084" s="2">
        <v>3.3600000000000003</v>
      </c>
      <c r="G2084" s="6">
        <v>12234</v>
      </c>
      <c r="H2084" s="6">
        <v>14231</v>
      </c>
      <c r="I2084" s="6">
        <v>10566</v>
      </c>
      <c r="J2084" s="6">
        <v>7904</v>
      </c>
      <c r="K2084" s="6">
        <v>9282</v>
      </c>
    </row>
    <row r="2085" spans="1:11" x14ac:dyDescent="0.25">
      <c r="A2085" s="1">
        <v>0.44652777777777802</v>
      </c>
      <c r="B2085" s="2">
        <v>6.33</v>
      </c>
      <c r="C2085" s="2">
        <v>3.59</v>
      </c>
      <c r="D2085" s="2">
        <v>5.1000000000000005</v>
      </c>
      <c r="E2085" s="2">
        <v>4.95</v>
      </c>
      <c r="F2085" s="2">
        <v>3.19</v>
      </c>
      <c r="G2085" s="6">
        <v>13292</v>
      </c>
      <c r="H2085" s="6">
        <v>8388</v>
      </c>
      <c r="I2085" s="6">
        <v>13071</v>
      </c>
      <c r="J2085" s="6">
        <v>11554</v>
      </c>
      <c r="K2085" s="6">
        <v>14774</v>
      </c>
    </row>
    <row r="2086" spans="1:11" x14ac:dyDescent="0.25">
      <c r="A2086" s="1">
        <v>0.44722222222222202</v>
      </c>
      <c r="B2086" s="2">
        <v>6.09</v>
      </c>
      <c r="C2086" s="2">
        <v>3.75</v>
      </c>
      <c r="D2086" s="2">
        <v>5.2</v>
      </c>
      <c r="E2086" s="2">
        <v>5.05</v>
      </c>
      <c r="F2086" s="2">
        <v>3.3200000000000003</v>
      </c>
      <c r="G2086" s="6">
        <v>7482</v>
      </c>
      <c r="H2086" s="6">
        <v>9409</v>
      </c>
      <c r="I2086" s="6">
        <v>8894</v>
      </c>
      <c r="J2086" s="6">
        <v>11237</v>
      </c>
      <c r="K2086" s="6">
        <v>9928</v>
      </c>
    </row>
    <row r="2087" spans="1:11" x14ac:dyDescent="0.25">
      <c r="A2087" s="1">
        <v>0.44791666666666702</v>
      </c>
      <c r="B2087" s="2">
        <v>6.3</v>
      </c>
      <c r="C2087" s="2">
        <v>3.6</v>
      </c>
      <c r="D2087" s="2">
        <v>5.32</v>
      </c>
      <c r="E2087" s="2">
        <v>5.6</v>
      </c>
      <c r="F2087" s="2">
        <v>2.95</v>
      </c>
      <c r="G2087" s="6">
        <v>8169</v>
      </c>
      <c r="H2087" s="6">
        <v>13766</v>
      </c>
      <c r="I2087" s="6">
        <v>8797</v>
      </c>
      <c r="J2087" s="6">
        <v>8376</v>
      </c>
      <c r="K2087" s="6">
        <v>13050</v>
      </c>
    </row>
    <row r="2088" spans="1:11" x14ac:dyDescent="0.25">
      <c r="A2088" s="1">
        <v>0.44861111111111102</v>
      </c>
      <c r="B2088" s="2">
        <v>6.09</v>
      </c>
      <c r="C2088" s="2">
        <v>3.64</v>
      </c>
      <c r="D2088" s="2">
        <v>5.1000000000000005</v>
      </c>
      <c r="E2088" s="2">
        <v>5.51</v>
      </c>
      <c r="F2088" s="2">
        <v>3.06</v>
      </c>
      <c r="G2088" s="6">
        <v>7594</v>
      </c>
      <c r="H2088" s="6">
        <v>11469</v>
      </c>
      <c r="I2088" s="6">
        <v>12995</v>
      </c>
      <c r="J2088" s="6">
        <v>9575</v>
      </c>
      <c r="K2088" s="6">
        <v>11699</v>
      </c>
    </row>
    <row r="2089" spans="1:11" x14ac:dyDescent="0.25">
      <c r="A2089" s="1">
        <v>0.44930555555555601</v>
      </c>
      <c r="B2089" s="2">
        <v>6.1</v>
      </c>
      <c r="C2089" s="2">
        <v>3.8200000000000003</v>
      </c>
      <c r="D2089" s="2">
        <v>5.35</v>
      </c>
      <c r="E2089" s="2">
        <v>5.41</v>
      </c>
      <c r="F2089" s="2">
        <v>3.33</v>
      </c>
      <c r="G2089" s="6">
        <v>10886</v>
      </c>
      <c r="H2089" s="6">
        <v>11303</v>
      </c>
      <c r="I2089" s="6">
        <v>6980</v>
      </c>
      <c r="J2089" s="6">
        <v>10407</v>
      </c>
      <c r="K2089" s="6">
        <v>11496</v>
      </c>
    </row>
    <row r="2090" spans="1:11" x14ac:dyDescent="0.25">
      <c r="A2090" s="1">
        <v>0.45</v>
      </c>
      <c r="B2090" s="2">
        <v>6.3599999999999994</v>
      </c>
      <c r="C2090" s="2">
        <v>3.58</v>
      </c>
      <c r="D2090" s="2">
        <v>4.87</v>
      </c>
      <c r="E2090" s="2">
        <v>5.49</v>
      </c>
      <c r="F2090" s="2">
        <v>3.24</v>
      </c>
      <c r="G2090" s="6">
        <v>13290</v>
      </c>
      <c r="H2090" s="6">
        <v>9006</v>
      </c>
      <c r="I2090" s="6">
        <v>8948</v>
      </c>
      <c r="J2090" s="6">
        <v>8534</v>
      </c>
      <c r="K2090" s="6">
        <v>9688</v>
      </c>
    </row>
    <row r="2091" spans="1:11" x14ac:dyDescent="0.25">
      <c r="A2091" s="1">
        <v>0.45069444444444401</v>
      </c>
      <c r="B2091" s="2">
        <v>6.32</v>
      </c>
      <c r="C2091" s="2">
        <v>3.7800000000000002</v>
      </c>
      <c r="D2091" s="2">
        <v>5.18</v>
      </c>
      <c r="E2091" s="2">
        <v>5.51</v>
      </c>
      <c r="F2091" s="2">
        <v>2.93</v>
      </c>
      <c r="G2091" s="6">
        <v>14690</v>
      </c>
      <c r="H2091" s="6">
        <v>13268</v>
      </c>
      <c r="I2091" s="6">
        <v>6841</v>
      </c>
      <c r="J2091" s="6">
        <v>9826</v>
      </c>
      <c r="K2091" s="6">
        <v>9011</v>
      </c>
    </row>
    <row r="2092" spans="1:11" x14ac:dyDescent="0.25">
      <c r="A2092" s="1">
        <v>0.45138888888888901</v>
      </c>
      <c r="B2092" s="2">
        <v>6.17</v>
      </c>
      <c r="C2092" s="2">
        <v>3.79</v>
      </c>
      <c r="D2092" s="2">
        <v>4.95</v>
      </c>
      <c r="E2092" s="2">
        <v>5.1899999999999995</v>
      </c>
      <c r="F2092" s="2">
        <v>3.04</v>
      </c>
      <c r="G2092" s="6">
        <v>14775</v>
      </c>
      <c r="H2092" s="6">
        <v>10313</v>
      </c>
      <c r="I2092" s="6">
        <v>9611</v>
      </c>
      <c r="J2092" s="6">
        <v>8841</v>
      </c>
      <c r="K2092" s="6">
        <v>10481</v>
      </c>
    </row>
    <row r="2093" spans="1:11" x14ac:dyDescent="0.25">
      <c r="A2093" s="1">
        <v>0.452083333333333</v>
      </c>
      <c r="B2093" s="2">
        <v>6.3599999999999994</v>
      </c>
      <c r="C2093" s="2">
        <v>3.74</v>
      </c>
      <c r="D2093" s="2">
        <v>5.0600000000000005</v>
      </c>
      <c r="E2093" s="2">
        <v>5.5</v>
      </c>
      <c r="F2093" s="2">
        <v>3.23</v>
      </c>
      <c r="G2093" s="6">
        <v>7691</v>
      </c>
      <c r="H2093" s="6">
        <v>14945</v>
      </c>
      <c r="I2093" s="6">
        <v>13523</v>
      </c>
      <c r="J2093" s="6">
        <v>11583</v>
      </c>
      <c r="K2093" s="6">
        <v>12823</v>
      </c>
    </row>
    <row r="2094" spans="1:11" x14ac:dyDescent="0.25">
      <c r="A2094" s="1">
        <v>0.452777777777778</v>
      </c>
      <c r="B2094" s="2">
        <v>6.1099999999999994</v>
      </c>
      <c r="C2094" s="2">
        <v>3.7</v>
      </c>
      <c r="D2094" s="2">
        <v>5.04</v>
      </c>
      <c r="E2094" s="2">
        <v>5.18</v>
      </c>
      <c r="F2094" s="2">
        <v>3.06</v>
      </c>
      <c r="G2094" s="6">
        <v>13832</v>
      </c>
      <c r="H2094" s="6">
        <v>10510</v>
      </c>
      <c r="I2094" s="6">
        <v>10597</v>
      </c>
      <c r="J2094" s="6">
        <v>9173</v>
      </c>
      <c r="K2094" s="6">
        <v>14534</v>
      </c>
    </row>
    <row r="2095" spans="1:11" x14ac:dyDescent="0.25">
      <c r="A2095" s="1">
        <v>0.453472222222222</v>
      </c>
      <c r="B2095" s="2">
        <v>6.1499999999999995</v>
      </c>
      <c r="C2095" s="2">
        <v>3.58</v>
      </c>
      <c r="D2095" s="2">
        <v>5.37</v>
      </c>
      <c r="E2095" s="2">
        <v>5.31</v>
      </c>
      <c r="F2095" s="2">
        <v>2.87</v>
      </c>
      <c r="G2095" s="6">
        <v>7334</v>
      </c>
      <c r="H2095" s="6">
        <v>15508</v>
      </c>
      <c r="I2095" s="6">
        <v>7059</v>
      </c>
      <c r="J2095" s="6">
        <v>9587</v>
      </c>
      <c r="K2095" s="6">
        <v>14019</v>
      </c>
    </row>
    <row r="2096" spans="1:11" x14ac:dyDescent="0.25">
      <c r="A2096" s="1">
        <v>0.454166666666667</v>
      </c>
      <c r="B2096" s="2">
        <v>6.17</v>
      </c>
      <c r="C2096" s="2">
        <v>3.64</v>
      </c>
      <c r="D2096" s="2">
        <v>4.9400000000000004</v>
      </c>
      <c r="E2096" s="2">
        <v>5.04</v>
      </c>
      <c r="F2096" s="2">
        <v>2.98</v>
      </c>
      <c r="G2096" s="6">
        <v>12415</v>
      </c>
      <c r="H2096" s="6">
        <v>17016</v>
      </c>
      <c r="I2096" s="6">
        <v>12283</v>
      </c>
      <c r="J2096" s="6">
        <v>9985</v>
      </c>
      <c r="K2096" s="6">
        <v>12291</v>
      </c>
    </row>
    <row r="2097" spans="1:11" x14ac:dyDescent="0.25">
      <c r="A2097" s="1">
        <v>0.45486111111111099</v>
      </c>
      <c r="B2097" s="2">
        <v>6.31</v>
      </c>
      <c r="C2097" s="2">
        <v>3.77</v>
      </c>
      <c r="D2097" s="2">
        <v>5.03</v>
      </c>
      <c r="E2097" s="2">
        <v>5.42</v>
      </c>
      <c r="F2097" s="2">
        <v>3.24</v>
      </c>
      <c r="G2097" s="6">
        <v>11386</v>
      </c>
      <c r="H2097" s="6">
        <v>8977</v>
      </c>
      <c r="I2097" s="6">
        <v>5984</v>
      </c>
      <c r="J2097" s="6">
        <v>7960</v>
      </c>
      <c r="K2097" s="6">
        <v>10270</v>
      </c>
    </row>
    <row r="2098" spans="1:11" x14ac:dyDescent="0.25">
      <c r="A2098" s="1">
        <v>0.45555555555555599</v>
      </c>
      <c r="B2098" s="2">
        <v>6.29</v>
      </c>
      <c r="C2098" s="2">
        <v>3.74</v>
      </c>
      <c r="D2098" s="2">
        <v>4.87</v>
      </c>
      <c r="E2098" s="2">
        <v>5.03</v>
      </c>
      <c r="F2098" s="2">
        <v>3.13</v>
      </c>
      <c r="G2098" s="6">
        <v>15098</v>
      </c>
      <c r="H2098" s="6">
        <v>9311</v>
      </c>
      <c r="I2098" s="6">
        <v>8789</v>
      </c>
      <c r="J2098" s="6">
        <v>8617</v>
      </c>
      <c r="K2098" s="6">
        <v>15399</v>
      </c>
    </row>
    <row r="2099" spans="1:11" x14ac:dyDescent="0.25">
      <c r="A2099" s="1">
        <v>0.45624999999999999</v>
      </c>
      <c r="B2099" s="2">
        <v>6.1899999999999995</v>
      </c>
      <c r="C2099" s="2">
        <v>3.7600000000000002</v>
      </c>
      <c r="D2099" s="2">
        <v>5.2700000000000005</v>
      </c>
      <c r="E2099" s="2">
        <v>5.01</v>
      </c>
      <c r="F2099" s="2">
        <v>3.02</v>
      </c>
      <c r="G2099" s="6">
        <v>12490</v>
      </c>
      <c r="H2099" s="6">
        <v>16832</v>
      </c>
      <c r="I2099" s="6">
        <v>12582</v>
      </c>
      <c r="J2099" s="6">
        <v>11718</v>
      </c>
      <c r="K2099" s="6">
        <v>11557</v>
      </c>
    </row>
    <row r="2100" spans="1:11" x14ac:dyDescent="0.25">
      <c r="A2100" s="1">
        <v>0.45694444444444399</v>
      </c>
      <c r="B2100" s="2">
        <v>6.1099999999999994</v>
      </c>
      <c r="C2100" s="2">
        <v>3.79</v>
      </c>
      <c r="D2100" s="2">
        <v>5.19</v>
      </c>
      <c r="E2100" s="2">
        <v>5.5</v>
      </c>
      <c r="F2100" s="2">
        <v>3.18</v>
      </c>
      <c r="G2100" s="6">
        <v>7329</v>
      </c>
      <c r="H2100" s="6">
        <v>12094</v>
      </c>
      <c r="I2100" s="6">
        <v>14232</v>
      </c>
      <c r="J2100" s="6">
        <v>12012</v>
      </c>
      <c r="K2100" s="6">
        <v>13761</v>
      </c>
    </row>
    <row r="2101" spans="1:11" x14ac:dyDescent="0.25">
      <c r="A2101" s="1">
        <v>0.45763888888888898</v>
      </c>
      <c r="B2101" s="2">
        <v>6.12</v>
      </c>
      <c r="C2101" s="2">
        <v>3.7</v>
      </c>
      <c r="D2101" s="2">
        <v>5.1000000000000005</v>
      </c>
      <c r="E2101" s="2">
        <v>5.54</v>
      </c>
      <c r="F2101" s="2">
        <v>2.91</v>
      </c>
      <c r="G2101" s="6">
        <v>15213</v>
      </c>
      <c r="H2101" s="6">
        <v>8453</v>
      </c>
      <c r="I2101" s="6">
        <v>13582</v>
      </c>
      <c r="J2101" s="6">
        <v>8249</v>
      </c>
      <c r="K2101" s="6">
        <v>10722</v>
      </c>
    </row>
    <row r="2102" spans="1:11" x14ac:dyDescent="0.25">
      <c r="A2102" s="3">
        <v>0.45833333333333298</v>
      </c>
      <c r="B2102" s="2">
        <v>6.21</v>
      </c>
      <c r="C2102" s="2">
        <v>3.74</v>
      </c>
      <c r="D2102" s="2">
        <v>5.1100000000000003</v>
      </c>
      <c r="E2102" s="2">
        <v>5.32</v>
      </c>
      <c r="F2102" s="2">
        <v>3.18</v>
      </c>
      <c r="G2102" s="6">
        <v>14212</v>
      </c>
      <c r="H2102" s="6">
        <v>16312</v>
      </c>
      <c r="I2102" s="6">
        <v>13312</v>
      </c>
      <c r="J2102" s="6">
        <v>11345</v>
      </c>
      <c r="K2102" s="6">
        <v>14823</v>
      </c>
    </row>
    <row r="2103" spans="1:11" x14ac:dyDescent="0.25">
      <c r="A2103" s="1">
        <v>0.45902777777777798</v>
      </c>
      <c r="B2103" s="2">
        <v>6.17</v>
      </c>
      <c r="C2103" s="2">
        <v>3.7800000000000002</v>
      </c>
      <c r="D2103" s="2">
        <v>5.28</v>
      </c>
      <c r="E2103" s="2">
        <v>5.33</v>
      </c>
      <c r="F2103" s="2">
        <v>3.0100000000000002</v>
      </c>
      <c r="G2103" s="6">
        <v>13055</v>
      </c>
      <c r="H2103" s="6">
        <v>14359</v>
      </c>
      <c r="I2103" s="6">
        <v>12663</v>
      </c>
      <c r="J2103" s="6">
        <v>10061</v>
      </c>
      <c r="K2103" s="6">
        <v>10205</v>
      </c>
    </row>
    <row r="2104" spans="1:11" x14ac:dyDescent="0.25">
      <c r="A2104" s="1">
        <v>0.45972222222222198</v>
      </c>
      <c r="B2104" s="2">
        <v>6.29</v>
      </c>
      <c r="C2104" s="2">
        <v>3.8600000000000003</v>
      </c>
      <c r="D2104" s="2">
        <v>4.91</v>
      </c>
      <c r="E2104" s="2">
        <v>5.36</v>
      </c>
      <c r="F2104" s="2">
        <v>3.16</v>
      </c>
      <c r="G2104" s="6">
        <v>15627</v>
      </c>
      <c r="H2104" s="6">
        <v>11123</v>
      </c>
      <c r="I2104" s="6">
        <v>11793</v>
      </c>
      <c r="J2104" s="6">
        <v>8084</v>
      </c>
      <c r="K2104" s="6">
        <v>8217</v>
      </c>
    </row>
    <row r="2105" spans="1:11" x14ac:dyDescent="0.25">
      <c r="A2105" s="1">
        <v>0.46041666666666697</v>
      </c>
      <c r="B2105" s="2">
        <v>6.09</v>
      </c>
      <c r="C2105" s="2">
        <v>3.8200000000000003</v>
      </c>
      <c r="D2105" s="2">
        <v>5.13</v>
      </c>
      <c r="E2105" s="2">
        <v>5.12</v>
      </c>
      <c r="F2105" s="2">
        <v>3.06</v>
      </c>
      <c r="G2105" s="6">
        <v>10836</v>
      </c>
      <c r="H2105" s="6">
        <v>10753</v>
      </c>
      <c r="I2105" s="6">
        <v>11334</v>
      </c>
      <c r="J2105" s="6">
        <v>10634</v>
      </c>
      <c r="K2105" s="6">
        <v>8274</v>
      </c>
    </row>
    <row r="2106" spans="1:11" x14ac:dyDescent="0.25">
      <c r="A2106" s="1">
        <v>0.46111111111111103</v>
      </c>
      <c r="B2106" s="2">
        <v>6.12</v>
      </c>
      <c r="C2106" s="2">
        <v>3.65</v>
      </c>
      <c r="D2106" s="2">
        <v>4.87</v>
      </c>
      <c r="E2106" s="2">
        <v>5.5600000000000005</v>
      </c>
      <c r="F2106" s="2">
        <v>3.0700000000000003</v>
      </c>
      <c r="G2106" s="6">
        <v>14447</v>
      </c>
      <c r="H2106" s="6">
        <v>13979</v>
      </c>
      <c r="I2106" s="6">
        <v>12563</v>
      </c>
      <c r="J2106" s="6">
        <v>8708</v>
      </c>
      <c r="K2106" s="6">
        <v>9257</v>
      </c>
    </row>
    <row r="2107" spans="1:11" x14ac:dyDescent="0.25">
      <c r="A2107" s="1">
        <v>0.46180555555555602</v>
      </c>
      <c r="B2107" s="2">
        <v>6.33</v>
      </c>
      <c r="C2107" s="2">
        <v>3.62</v>
      </c>
      <c r="D2107" s="2">
        <v>5.2700000000000005</v>
      </c>
      <c r="E2107" s="2">
        <v>5.19</v>
      </c>
      <c r="F2107" s="2">
        <v>3.17</v>
      </c>
      <c r="G2107" s="6">
        <v>10054</v>
      </c>
      <c r="H2107" s="6">
        <v>14515</v>
      </c>
      <c r="I2107" s="6">
        <v>11581</v>
      </c>
      <c r="J2107" s="6">
        <v>10581</v>
      </c>
      <c r="K2107" s="6">
        <v>9561</v>
      </c>
    </row>
    <row r="2108" spans="1:11" x14ac:dyDescent="0.25">
      <c r="A2108" s="1">
        <v>0.46250000000000002</v>
      </c>
      <c r="B2108" s="2">
        <v>6.28</v>
      </c>
      <c r="C2108" s="2">
        <v>3.67</v>
      </c>
      <c r="D2108" s="2">
        <v>5.1400000000000006</v>
      </c>
      <c r="E2108" s="2">
        <v>5.0600000000000005</v>
      </c>
      <c r="F2108" s="2">
        <v>2.99</v>
      </c>
      <c r="G2108" s="6">
        <v>11472</v>
      </c>
      <c r="H2108" s="6">
        <v>12696</v>
      </c>
      <c r="I2108" s="6">
        <v>9959</v>
      </c>
      <c r="J2108" s="6">
        <v>10171</v>
      </c>
      <c r="K2108" s="6">
        <v>14557</v>
      </c>
    </row>
    <row r="2109" spans="1:11" x14ac:dyDescent="0.25">
      <c r="A2109" s="1">
        <v>0.46319444444444402</v>
      </c>
      <c r="B2109" s="2">
        <v>6.2</v>
      </c>
      <c r="C2109" s="2">
        <v>3.8000000000000003</v>
      </c>
      <c r="D2109" s="2">
        <v>4.9800000000000004</v>
      </c>
      <c r="E2109" s="2">
        <v>5.5900000000000007</v>
      </c>
      <c r="F2109" s="2">
        <v>3.25</v>
      </c>
      <c r="G2109" s="6">
        <v>13468</v>
      </c>
      <c r="H2109" s="6">
        <v>13775</v>
      </c>
      <c r="I2109" s="6">
        <v>12719</v>
      </c>
      <c r="J2109" s="6">
        <v>11120</v>
      </c>
      <c r="K2109" s="6">
        <v>13636</v>
      </c>
    </row>
    <row r="2110" spans="1:11" x14ac:dyDescent="0.25">
      <c r="A2110" s="1">
        <v>0.46388888888888902</v>
      </c>
      <c r="B2110" s="2">
        <v>6.21</v>
      </c>
      <c r="C2110" s="2">
        <v>3.74</v>
      </c>
      <c r="D2110" s="2">
        <v>5.2700000000000005</v>
      </c>
      <c r="E2110" s="2">
        <v>5.62</v>
      </c>
      <c r="F2110" s="2">
        <v>3.02</v>
      </c>
      <c r="G2110" s="6">
        <v>12195</v>
      </c>
      <c r="H2110" s="6">
        <v>14045</v>
      </c>
      <c r="I2110" s="6">
        <v>11725</v>
      </c>
      <c r="J2110" s="6">
        <v>8856</v>
      </c>
      <c r="K2110" s="6">
        <v>14942</v>
      </c>
    </row>
    <row r="2111" spans="1:11" x14ac:dyDescent="0.25">
      <c r="A2111" s="1">
        <v>0.46458333333333302</v>
      </c>
      <c r="B2111" s="2">
        <v>6.26</v>
      </c>
      <c r="C2111" s="2">
        <v>3.59</v>
      </c>
      <c r="D2111" s="2">
        <v>4.87</v>
      </c>
      <c r="E2111" s="2">
        <v>5.5600000000000005</v>
      </c>
      <c r="F2111" s="2">
        <v>2.96</v>
      </c>
      <c r="G2111" s="6">
        <v>14196</v>
      </c>
      <c r="H2111" s="6">
        <v>13114</v>
      </c>
      <c r="I2111" s="6">
        <v>10593</v>
      </c>
      <c r="J2111" s="6">
        <v>10521</v>
      </c>
      <c r="K2111" s="6">
        <v>14942</v>
      </c>
    </row>
    <row r="2112" spans="1:11" x14ac:dyDescent="0.25">
      <c r="A2112" s="1">
        <v>0.46527777777777801</v>
      </c>
      <c r="B2112" s="2">
        <v>6.21</v>
      </c>
      <c r="C2112" s="2">
        <v>3.62</v>
      </c>
      <c r="D2112" s="2">
        <v>5.12</v>
      </c>
      <c r="E2112" s="2">
        <v>5.2700000000000005</v>
      </c>
      <c r="F2112" s="2">
        <v>3.24</v>
      </c>
      <c r="G2112" s="6">
        <v>14844</v>
      </c>
      <c r="H2112" s="6">
        <v>15885</v>
      </c>
      <c r="I2112" s="6">
        <v>9233</v>
      </c>
      <c r="J2112" s="6">
        <v>10243</v>
      </c>
      <c r="K2112" s="6">
        <v>11694</v>
      </c>
    </row>
    <row r="2113" spans="1:11" x14ac:dyDescent="0.25">
      <c r="A2113" s="1">
        <v>0.46597222222222201</v>
      </c>
      <c r="B2113" s="2">
        <v>6.22</v>
      </c>
      <c r="C2113" s="2">
        <v>3.8000000000000003</v>
      </c>
      <c r="D2113" s="2">
        <v>5.22</v>
      </c>
      <c r="E2113" s="2">
        <v>5.24</v>
      </c>
      <c r="F2113" s="2">
        <v>3.21</v>
      </c>
      <c r="G2113" s="6">
        <v>14816</v>
      </c>
      <c r="H2113" s="6">
        <v>14959</v>
      </c>
      <c r="I2113" s="6">
        <v>11768</v>
      </c>
      <c r="J2113" s="6">
        <v>8109</v>
      </c>
      <c r="K2113" s="6">
        <v>12832</v>
      </c>
    </row>
    <row r="2114" spans="1:11" x14ac:dyDescent="0.25">
      <c r="A2114" s="1">
        <v>0.46666666666666701</v>
      </c>
      <c r="B2114" s="2">
        <v>6.1899999999999995</v>
      </c>
      <c r="C2114" s="2">
        <v>3.66</v>
      </c>
      <c r="D2114" s="2">
        <v>5.1400000000000006</v>
      </c>
      <c r="E2114" s="2">
        <v>5.24</v>
      </c>
      <c r="F2114" s="2">
        <v>3.25</v>
      </c>
      <c r="G2114" s="6">
        <v>13521</v>
      </c>
      <c r="H2114" s="6">
        <v>10596</v>
      </c>
      <c r="I2114" s="6">
        <v>9772</v>
      </c>
      <c r="J2114" s="6">
        <v>10667</v>
      </c>
      <c r="K2114" s="6">
        <v>11507</v>
      </c>
    </row>
    <row r="2115" spans="1:11" x14ac:dyDescent="0.25">
      <c r="A2115" s="1">
        <v>0.46736111111111101</v>
      </c>
      <c r="B2115" s="2">
        <v>6.22</v>
      </c>
      <c r="C2115" s="2">
        <v>3.85</v>
      </c>
      <c r="D2115" s="2">
        <v>5.1000000000000005</v>
      </c>
      <c r="E2115" s="2">
        <v>4.9800000000000004</v>
      </c>
      <c r="F2115" s="2">
        <v>3.14</v>
      </c>
      <c r="G2115" s="6">
        <v>14786</v>
      </c>
      <c r="H2115" s="6">
        <v>12365</v>
      </c>
      <c r="I2115" s="6">
        <v>11518</v>
      </c>
      <c r="J2115" s="6">
        <v>11144</v>
      </c>
      <c r="K2115" s="6">
        <v>8761</v>
      </c>
    </row>
    <row r="2116" spans="1:11" x14ac:dyDescent="0.25">
      <c r="A2116" s="1">
        <v>0.468055555555556</v>
      </c>
      <c r="B2116" s="2">
        <v>6.12</v>
      </c>
      <c r="C2116" s="2">
        <v>3.81</v>
      </c>
      <c r="D2116" s="2">
        <v>5.0600000000000005</v>
      </c>
      <c r="E2116" s="2">
        <v>5.4600000000000009</v>
      </c>
      <c r="F2116" s="2">
        <v>2.88</v>
      </c>
      <c r="G2116" s="6">
        <v>13683</v>
      </c>
      <c r="H2116" s="6">
        <v>15983</v>
      </c>
      <c r="I2116" s="6">
        <v>12229</v>
      </c>
      <c r="J2116" s="6">
        <v>7891</v>
      </c>
      <c r="K2116" s="6">
        <v>9854</v>
      </c>
    </row>
    <row r="2117" spans="1:11" x14ac:dyDescent="0.25">
      <c r="A2117" s="1">
        <v>0.46875</v>
      </c>
      <c r="B2117" s="2">
        <v>6.27</v>
      </c>
      <c r="C2117" s="2">
        <v>3.68</v>
      </c>
      <c r="D2117" s="2">
        <v>5.25</v>
      </c>
      <c r="E2117" s="2">
        <v>5.41</v>
      </c>
      <c r="F2117" s="2">
        <v>2.89</v>
      </c>
      <c r="G2117" s="6">
        <v>11696</v>
      </c>
      <c r="H2117" s="6">
        <v>10321</v>
      </c>
      <c r="I2117" s="6">
        <v>12577</v>
      </c>
      <c r="J2117" s="6">
        <v>9329</v>
      </c>
      <c r="K2117" s="6">
        <v>9658</v>
      </c>
    </row>
    <row r="2118" spans="1:11" x14ac:dyDescent="0.25">
      <c r="A2118" s="1">
        <v>0.469444444444444</v>
      </c>
      <c r="B2118" s="2">
        <v>6.17</v>
      </c>
      <c r="C2118" s="2">
        <v>3.62</v>
      </c>
      <c r="D2118" s="2">
        <v>5.2</v>
      </c>
      <c r="E2118" s="2">
        <v>5.4</v>
      </c>
      <c r="F2118" s="2">
        <v>3.29</v>
      </c>
      <c r="G2118" s="6">
        <v>12468</v>
      </c>
      <c r="H2118" s="6">
        <v>14431</v>
      </c>
      <c r="I2118" s="6">
        <v>10217</v>
      </c>
      <c r="J2118" s="6">
        <v>8907</v>
      </c>
      <c r="K2118" s="6">
        <v>13085</v>
      </c>
    </row>
    <row r="2119" spans="1:11" x14ac:dyDescent="0.25">
      <c r="A2119" s="1">
        <v>0.47013888888888899</v>
      </c>
      <c r="B2119" s="2">
        <v>6.22</v>
      </c>
      <c r="C2119" s="2">
        <v>3.71</v>
      </c>
      <c r="D2119" s="2">
        <v>5.1000000000000005</v>
      </c>
      <c r="E2119" s="2">
        <v>5.41</v>
      </c>
      <c r="F2119" s="2">
        <v>3.3200000000000003</v>
      </c>
      <c r="G2119" s="6">
        <v>12597</v>
      </c>
      <c r="H2119" s="6">
        <v>14150</v>
      </c>
      <c r="I2119" s="6">
        <v>13172</v>
      </c>
      <c r="J2119" s="6">
        <v>7604</v>
      </c>
      <c r="K2119" s="6">
        <v>8165</v>
      </c>
    </row>
    <row r="2120" spans="1:11" x14ac:dyDescent="0.25">
      <c r="A2120" s="1">
        <v>0.47083333333333299</v>
      </c>
      <c r="B2120" s="2">
        <v>6.35</v>
      </c>
      <c r="C2120" s="2">
        <v>3.85</v>
      </c>
      <c r="D2120" s="2">
        <v>5.08</v>
      </c>
      <c r="E2120" s="2">
        <v>5.08</v>
      </c>
      <c r="F2120" s="2">
        <v>3.2</v>
      </c>
      <c r="G2120" s="6">
        <v>12436</v>
      </c>
      <c r="H2120" s="6">
        <v>15440</v>
      </c>
      <c r="I2120" s="6">
        <v>9908</v>
      </c>
      <c r="J2120" s="6">
        <v>8548</v>
      </c>
      <c r="K2120" s="6">
        <v>8190</v>
      </c>
    </row>
    <row r="2121" spans="1:11" x14ac:dyDescent="0.25">
      <c r="A2121" s="1">
        <v>0.47152777777777799</v>
      </c>
      <c r="B2121" s="2">
        <v>6.14</v>
      </c>
      <c r="C2121" s="2">
        <v>3.59</v>
      </c>
      <c r="D2121" s="2">
        <v>5.19</v>
      </c>
      <c r="E2121" s="2">
        <v>5.41</v>
      </c>
      <c r="F2121" s="2">
        <v>3.19</v>
      </c>
      <c r="G2121" s="6">
        <v>15023</v>
      </c>
      <c r="H2121" s="6">
        <v>11384</v>
      </c>
      <c r="I2121" s="6">
        <v>12901</v>
      </c>
      <c r="J2121" s="6">
        <v>9147</v>
      </c>
      <c r="K2121" s="6">
        <v>12477</v>
      </c>
    </row>
    <row r="2122" spans="1:11" x14ac:dyDescent="0.25">
      <c r="A2122" s="1">
        <v>0.47222222222222199</v>
      </c>
      <c r="B2122" s="2">
        <v>6.1</v>
      </c>
      <c r="C2122" s="2">
        <v>3.59</v>
      </c>
      <c r="D2122" s="2">
        <v>4.97</v>
      </c>
      <c r="E2122" s="2">
        <v>5.65</v>
      </c>
      <c r="F2122" s="2">
        <v>2.94</v>
      </c>
      <c r="G2122" s="6">
        <v>11685</v>
      </c>
      <c r="H2122" s="6">
        <v>14475</v>
      </c>
      <c r="I2122" s="6">
        <v>9803</v>
      </c>
      <c r="J2122" s="6">
        <v>9287</v>
      </c>
      <c r="K2122" s="6">
        <v>12941</v>
      </c>
    </row>
    <row r="2123" spans="1:11" x14ac:dyDescent="0.25">
      <c r="A2123" s="1">
        <v>0.47291666666666698</v>
      </c>
      <c r="B2123" s="2">
        <v>6.26</v>
      </c>
      <c r="C2123" s="2">
        <v>3.62</v>
      </c>
      <c r="D2123" s="2">
        <v>5.1100000000000003</v>
      </c>
      <c r="E2123" s="2">
        <v>5.45</v>
      </c>
      <c r="F2123" s="2">
        <v>3.3000000000000003</v>
      </c>
      <c r="G2123" s="6">
        <v>14395</v>
      </c>
      <c r="H2123" s="6">
        <v>12023</v>
      </c>
      <c r="I2123" s="6">
        <v>8874</v>
      </c>
      <c r="J2123" s="6">
        <v>8002</v>
      </c>
      <c r="K2123" s="6">
        <v>14104</v>
      </c>
    </row>
    <row r="2124" spans="1:11" x14ac:dyDescent="0.25">
      <c r="A2124" s="1">
        <v>0.47361111111111098</v>
      </c>
      <c r="B2124" s="2">
        <v>6.27</v>
      </c>
      <c r="C2124" s="2">
        <v>3.84</v>
      </c>
      <c r="D2124" s="2">
        <v>5.2</v>
      </c>
      <c r="E2124" s="2">
        <v>5.45</v>
      </c>
      <c r="F2124" s="2">
        <v>2.87</v>
      </c>
      <c r="G2124" s="6">
        <v>10287</v>
      </c>
      <c r="H2124" s="6">
        <v>10863</v>
      </c>
      <c r="I2124" s="6">
        <v>9734</v>
      </c>
      <c r="J2124" s="6">
        <v>7944</v>
      </c>
      <c r="K2124" s="6">
        <v>11456</v>
      </c>
    </row>
    <row r="2125" spans="1:11" x14ac:dyDescent="0.25">
      <c r="A2125" s="1">
        <v>0.47430555555555598</v>
      </c>
      <c r="B2125" s="2">
        <v>6.2299999999999995</v>
      </c>
      <c r="C2125" s="2">
        <v>3.71</v>
      </c>
      <c r="D2125" s="2">
        <v>5.0600000000000005</v>
      </c>
      <c r="E2125" s="2">
        <v>5.0200000000000005</v>
      </c>
      <c r="F2125" s="2">
        <v>3.39</v>
      </c>
      <c r="G2125" s="6">
        <v>13324</v>
      </c>
      <c r="H2125" s="6">
        <v>10228</v>
      </c>
      <c r="I2125" s="6">
        <v>12612</v>
      </c>
      <c r="J2125" s="6">
        <v>10227</v>
      </c>
      <c r="K2125" s="6">
        <v>12842</v>
      </c>
    </row>
    <row r="2126" spans="1:11" x14ac:dyDescent="0.25">
      <c r="A2126" s="1">
        <v>0.47499999999999998</v>
      </c>
      <c r="B2126" s="2">
        <v>6.3</v>
      </c>
      <c r="C2126" s="2">
        <v>3.67</v>
      </c>
      <c r="D2126" s="2">
        <v>5.3100000000000005</v>
      </c>
      <c r="E2126" s="2">
        <v>5.48</v>
      </c>
      <c r="F2126" s="2">
        <v>3.2600000000000002</v>
      </c>
      <c r="G2126" s="6">
        <v>10993</v>
      </c>
      <c r="H2126" s="6">
        <v>14846</v>
      </c>
      <c r="I2126" s="6">
        <v>9230</v>
      </c>
      <c r="J2126" s="6">
        <v>9279</v>
      </c>
      <c r="K2126" s="6">
        <v>11790</v>
      </c>
    </row>
    <row r="2127" spans="1:11" x14ac:dyDescent="0.25">
      <c r="A2127" s="1">
        <v>0.47569444444444398</v>
      </c>
      <c r="B2127" s="2">
        <v>6.26</v>
      </c>
      <c r="C2127" s="2">
        <v>3.61</v>
      </c>
      <c r="D2127" s="2">
        <v>5.36</v>
      </c>
      <c r="E2127" s="2">
        <v>5.3500000000000005</v>
      </c>
      <c r="F2127" s="2">
        <v>2.88</v>
      </c>
      <c r="G2127" s="6">
        <v>9977</v>
      </c>
      <c r="H2127" s="6">
        <v>15580</v>
      </c>
      <c r="I2127" s="6">
        <v>11045</v>
      </c>
      <c r="J2127" s="6">
        <v>7695</v>
      </c>
      <c r="K2127" s="6">
        <v>12345</v>
      </c>
    </row>
    <row r="2128" spans="1:11" x14ac:dyDescent="0.25">
      <c r="A2128" s="1">
        <v>0.47638888888888897</v>
      </c>
      <c r="B2128" s="2">
        <v>6.24</v>
      </c>
      <c r="C2128" s="2">
        <v>3.59</v>
      </c>
      <c r="D2128" s="2">
        <v>5.35</v>
      </c>
      <c r="E2128" s="2">
        <v>5.03</v>
      </c>
      <c r="F2128" s="2">
        <v>3.16</v>
      </c>
      <c r="G2128" s="6">
        <v>12792</v>
      </c>
      <c r="H2128" s="6">
        <v>12369</v>
      </c>
      <c r="I2128" s="6">
        <v>8326</v>
      </c>
      <c r="J2128" s="6">
        <v>10904</v>
      </c>
      <c r="K2128" s="6">
        <v>12665</v>
      </c>
    </row>
    <row r="2129" spans="1:11" x14ac:dyDescent="0.25">
      <c r="A2129" s="1">
        <v>0.47708333333333303</v>
      </c>
      <c r="B2129" s="2">
        <v>6.3</v>
      </c>
      <c r="C2129" s="2">
        <v>3.85</v>
      </c>
      <c r="D2129" s="2">
        <v>5.07</v>
      </c>
      <c r="E2129" s="2">
        <v>5.1800000000000006</v>
      </c>
      <c r="F2129" s="2">
        <v>2.87</v>
      </c>
      <c r="G2129" s="6">
        <v>14195</v>
      </c>
      <c r="H2129" s="6">
        <v>13862</v>
      </c>
      <c r="I2129" s="6">
        <v>13143</v>
      </c>
      <c r="J2129" s="6">
        <v>8766</v>
      </c>
      <c r="K2129" s="6">
        <v>8890</v>
      </c>
    </row>
    <row r="2130" spans="1:11" x14ac:dyDescent="0.25">
      <c r="A2130" s="1">
        <v>0.47777777777777802</v>
      </c>
      <c r="B2130" s="2">
        <v>6.27</v>
      </c>
      <c r="C2130" s="2">
        <v>3.67</v>
      </c>
      <c r="D2130" s="2">
        <v>5.01</v>
      </c>
      <c r="E2130" s="2">
        <v>5.0500000000000007</v>
      </c>
      <c r="F2130" s="2">
        <v>3.35</v>
      </c>
      <c r="G2130" s="6">
        <v>10271</v>
      </c>
      <c r="H2130" s="6">
        <v>11848</v>
      </c>
      <c r="I2130" s="6">
        <v>9685</v>
      </c>
      <c r="J2130" s="6">
        <v>9106</v>
      </c>
      <c r="K2130" s="6">
        <v>12092</v>
      </c>
    </row>
    <row r="2131" spans="1:11" x14ac:dyDescent="0.25">
      <c r="A2131" s="1">
        <v>0.47847222222222202</v>
      </c>
      <c r="B2131" s="2">
        <v>6.13</v>
      </c>
      <c r="C2131" s="2">
        <v>3.64</v>
      </c>
      <c r="D2131" s="2">
        <v>5.2</v>
      </c>
      <c r="E2131" s="2">
        <v>5.3400000000000007</v>
      </c>
      <c r="F2131" s="2">
        <v>2.92</v>
      </c>
      <c r="G2131" s="6">
        <v>14425</v>
      </c>
      <c r="H2131" s="6">
        <v>14730</v>
      </c>
      <c r="I2131" s="6">
        <v>9987</v>
      </c>
      <c r="J2131" s="6">
        <v>10434</v>
      </c>
      <c r="K2131" s="6">
        <v>12079</v>
      </c>
    </row>
    <row r="2132" spans="1:11" x14ac:dyDescent="0.25">
      <c r="A2132" s="1">
        <v>0.47916666666666702</v>
      </c>
      <c r="B2132" s="2">
        <v>6.17</v>
      </c>
      <c r="C2132" s="2">
        <v>3.79</v>
      </c>
      <c r="D2132" s="2">
        <v>5.12</v>
      </c>
      <c r="E2132" s="2">
        <v>5.04</v>
      </c>
      <c r="F2132" s="2">
        <v>3.2800000000000002</v>
      </c>
      <c r="G2132" s="6">
        <v>13280</v>
      </c>
      <c r="H2132" s="6">
        <v>15179</v>
      </c>
      <c r="I2132" s="6">
        <v>11866</v>
      </c>
      <c r="J2132" s="6">
        <v>9553</v>
      </c>
      <c r="K2132" s="6">
        <v>13338</v>
      </c>
    </row>
    <row r="2133" spans="1:11" x14ac:dyDescent="0.25">
      <c r="A2133" s="1">
        <v>0.47986111111111102</v>
      </c>
      <c r="B2133" s="2">
        <v>6.2299999999999995</v>
      </c>
      <c r="C2133" s="2">
        <v>3.6</v>
      </c>
      <c r="D2133" s="2">
        <v>5.01</v>
      </c>
      <c r="E2133" s="2">
        <v>5.3500000000000005</v>
      </c>
      <c r="F2133" s="2">
        <v>3.02</v>
      </c>
      <c r="G2133" s="6">
        <v>10997</v>
      </c>
      <c r="H2133" s="6">
        <v>12355</v>
      </c>
      <c r="I2133" s="6">
        <v>13047</v>
      </c>
      <c r="J2133" s="6">
        <v>9907</v>
      </c>
      <c r="K2133" s="6">
        <v>9033</v>
      </c>
    </row>
    <row r="2134" spans="1:11" x14ac:dyDescent="0.25">
      <c r="A2134" s="1">
        <v>0.48055555555555601</v>
      </c>
      <c r="B2134" s="2">
        <v>6.25</v>
      </c>
      <c r="C2134" s="2">
        <v>3.71</v>
      </c>
      <c r="D2134" s="2">
        <v>5.1000000000000005</v>
      </c>
      <c r="E2134" s="2">
        <v>5.4700000000000006</v>
      </c>
      <c r="F2134" s="2">
        <v>3.18</v>
      </c>
      <c r="G2134" s="6">
        <v>13926</v>
      </c>
      <c r="H2134" s="6">
        <v>15630</v>
      </c>
      <c r="I2134" s="6">
        <v>10670</v>
      </c>
      <c r="J2134" s="6">
        <v>7126</v>
      </c>
      <c r="K2134" s="6">
        <v>14127</v>
      </c>
    </row>
    <row r="2135" spans="1:11" x14ac:dyDescent="0.25">
      <c r="A2135" s="1">
        <v>0.48125000000000001</v>
      </c>
      <c r="B2135" s="2">
        <v>6.12</v>
      </c>
      <c r="C2135" s="2">
        <v>3.67</v>
      </c>
      <c r="D2135" s="2">
        <v>5.35</v>
      </c>
      <c r="E2135" s="2">
        <v>5.53</v>
      </c>
      <c r="F2135" s="2">
        <v>3.31</v>
      </c>
      <c r="G2135" s="6">
        <v>10142</v>
      </c>
      <c r="H2135" s="6">
        <v>13303</v>
      </c>
      <c r="I2135" s="6">
        <v>11394</v>
      </c>
      <c r="J2135" s="6">
        <v>8918</v>
      </c>
      <c r="K2135" s="6">
        <v>14699</v>
      </c>
    </row>
    <row r="2136" spans="1:11" x14ac:dyDescent="0.25">
      <c r="A2136" s="1">
        <v>0.48194444444444401</v>
      </c>
      <c r="B2136" s="2">
        <v>6.24</v>
      </c>
      <c r="C2136" s="2">
        <v>3.62</v>
      </c>
      <c r="D2136" s="2">
        <v>5.03</v>
      </c>
      <c r="E2136" s="2">
        <v>5.03</v>
      </c>
      <c r="F2136" s="2">
        <v>3.17</v>
      </c>
      <c r="G2136" s="6">
        <v>14039</v>
      </c>
      <c r="H2136" s="6">
        <v>15893</v>
      </c>
      <c r="I2136" s="6">
        <v>11335</v>
      </c>
      <c r="J2136" s="6">
        <v>8368</v>
      </c>
      <c r="K2136" s="6">
        <v>9747</v>
      </c>
    </row>
    <row r="2137" spans="1:11" x14ac:dyDescent="0.25">
      <c r="A2137" s="1">
        <v>0.48263888888888901</v>
      </c>
      <c r="B2137" s="2">
        <v>6.31</v>
      </c>
      <c r="C2137" s="2">
        <v>3.83</v>
      </c>
      <c r="D2137" s="2">
        <v>5.3100000000000005</v>
      </c>
      <c r="E2137" s="2">
        <v>5.23</v>
      </c>
      <c r="F2137" s="2">
        <v>2.91</v>
      </c>
      <c r="G2137" s="6">
        <v>14770</v>
      </c>
      <c r="H2137" s="6">
        <v>10129</v>
      </c>
      <c r="I2137" s="6">
        <v>10015</v>
      </c>
      <c r="J2137" s="6">
        <v>10896</v>
      </c>
      <c r="K2137" s="6">
        <v>8791</v>
      </c>
    </row>
    <row r="2138" spans="1:11" x14ac:dyDescent="0.25">
      <c r="A2138" s="1">
        <v>0.483333333333333</v>
      </c>
      <c r="B2138" s="2">
        <v>6.3599999999999994</v>
      </c>
      <c r="C2138" s="2">
        <v>3.65</v>
      </c>
      <c r="D2138" s="2">
        <v>5.21</v>
      </c>
      <c r="E2138" s="2">
        <v>5.16</v>
      </c>
      <c r="F2138" s="2">
        <v>3.29</v>
      </c>
      <c r="G2138" s="6">
        <v>11508</v>
      </c>
      <c r="H2138" s="6">
        <v>11770</v>
      </c>
      <c r="I2138" s="6">
        <v>9108</v>
      </c>
      <c r="J2138" s="6">
        <v>8743</v>
      </c>
      <c r="K2138" s="6">
        <v>13875</v>
      </c>
    </row>
    <row r="2139" spans="1:11" x14ac:dyDescent="0.25">
      <c r="A2139" s="1">
        <v>0.484027777777778</v>
      </c>
      <c r="B2139" s="2">
        <v>6.22</v>
      </c>
      <c r="C2139" s="2">
        <v>3.85</v>
      </c>
      <c r="D2139" s="2">
        <v>5.2</v>
      </c>
      <c r="E2139" s="2">
        <v>5.28</v>
      </c>
      <c r="F2139" s="2">
        <v>3.21</v>
      </c>
      <c r="G2139" s="6">
        <v>11377</v>
      </c>
      <c r="H2139" s="6">
        <v>14893</v>
      </c>
      <c r="I2139" s="6">
        <v>13203</v>
      </c>
      <c r="J2139" s="6">
        <v>8011</v>
      </c>
      <c r="K2139" s="6">
        <v>13014</v>
      </c>
    </row>
    <row r="2140" spans="1:11" x14ac:dyDescent="0.25">
      <c r="A2140" s="1">
        <v>0.484722222222222</v>
      </c>
      <c r="B2140" s="2">
        <v>6.16</v>
      </c>
      <c r="C2140" s="2">
        <v>3.79</v>
      </c>
      <c r="D2140" s="2">
        <v>5.04</v>
      </c>
      <c r="E2140" s="2">
        <v>5.44</v>
      </c>
      <c r="F2140" s="2">
        <v>2.87</v>
      </c>
      <c r="G2140" s="6">
        <v>10896</v>
      </c>
      <c r="H2140" s="6">
        <v>11816</v>
      </c>
      <c r="I2140" s="6">
        <v>10669</v>
      </c>
      <c r="J2140" s="6">
        <v>8621</v>
      </c>
      <c r="K2140" s="6">
        <v>9585</v>
      </c>
    </row>
    <row r="2141" spans="1:11" x14ac:dyDescent="0.25">
      <c r="A2141" s="1">
        <v>0.485416666666667</v>
      </c>
      <c r="B2141" s="2">
        <v>6.21</v>
      </c>
      <c r="C2141" s="2">
        <v>3.7600000000000002</v>
      </c>
      <c r="D2141" s="2">
        <v>5.17</v>
      </c>
      <c r="E2141" s="2">
        <v>5.2</v>
      </c>
      <c r="F2141" s="2">
        <v>3.06</v>
      </c>
      <c r="G2141" s="6">
        <v>11380</v>
      </c>
      <c r="H2141" s="6">
        <v>15658</v>
      </c>
      <c r="I2141" s="6">
        <v>9347</v>
      </c>
      <c r="J2141" s="6">
        <v>10249</v>
      </c>
      <c r="K2141" s="6">
        <v>12393</v>
      </c>
    </row>
    <row r="2142" spans="1:11" x14ac:dyDescent="0.25">
      <c r="A2142" s="1">
        <v>0.48611111111111099</v>
      </c>
      <c r="B2142" s="2">
        <v>6.09</v>
      </c>
      <c r="C2142" s="2">
        <v>3.81</v>
      </c>
      <c r="D2142" s="2">
        <v>5.07</v>
      </c>
      <c r="E2142" s="2">
        <v>5.2</v>
      </c>
      <c r="F2142" s="2">
        <v>3.12</v>
      </c>
      <c r="G2142" s="6">
        <v>10817</v>
      </c>
      <c r="H2142" s="6">
        <v>10672</v>
      </c>
      <c r="I2142" s="6">
        <v>10075</v>
      </c>
      <c r="J2142" s="6">
        <v>7217</v>
      </c>
      <c r="K2142" s="6">
        <v>9842</v>
      </c>
    </row>
    <row r="2143" spans="1:11" x14ac:dyDescent="0.25">
      <c r="A2143" s="1">
        <v>0.48680555555555599</v>
      </c>
      <c r="B2143" s="2">
        <v>6.33</v>
      </c>
      <c r="C2143" s="2">
        <v>3.83</v>
      </c>
      <c r="D2143" s="2">
        <v>5.36</v>
      </c>
      <c r="E2143" s="2">
        <v>5.45</v>
      </c>
      <c r="F2143" s="2">
        <v>3.04</v>
      </c>
      <c r="G2143" s="6">
        <v>15805</v>
      </c>
      <c r="H2143" s="6">
        <v>10246</v>
      </c>
      <c r="I2143" s="6">
        <v>9542</v>
      </c>
      <c r="J2143" s="6">
        <v>7380</v>
      </c>
      <c r="K2143" s="6">
        <v>13747</v>
      </c>
    </row>
    <row r="2144" spans="1:11" x14ac:dyDescent="0.25">
      <c r="A2144" s="1">
        <v>0.48749999999999999</v>
      </c>
      <c r="B2144" s="2">
        <v>6.29</v>
      </c>
      <c r="C2144" s="2">
        <v>3.71</v>
      </c>
      <c r="D2144" s="2">
        <v>5.04</v>
      </c>
      <c r="E2144" s="2">
        <v>5.6000000000000005</v>
      </c>
      <c r="F2144" s="2">
        <v>2.92</v>
      </c>
      <c r="G2144" s="6">
        <v>11221</v>
      </c>
      <c r="H2144" s="6">
        <v>14148</v>
      </c>
      <c r="I2144" s="6">
        <v>9733</v>
      </c>
      <c r="J2144" s="6">
        <v>10537</v>
      </c>
      <c r="K2144" s="6">
        <v>14619</v>
      </c>
    </row>
    <row r="2145" spans="1:11" x14ac:dyDescent="0.25">
      <c r="A2145" s="1">
        <v>0.48819444444444399</v>
      </c>
      <c r="B2145" s="2">
        <v>6.2</v>
      </c>
      <c r="C2145" s="2">
        <v>3.8200000000000003</v>
      </c>
      <c r="D2145" s="2">
        <v>4.93</v>
      </c>
      <c r="E2145" s="2">
        <v>5.6400000000000006</v>
      </c>
      <c r="F2145" s="2">
        <v>2.92</v>
      </c>
      <c r="G2145" s="6">
        <v>15707</v>
      </c>
      <c r="H2145" s="6">
        <v>14212</v>
      </c>
      <c r="I2145" s="6">
        <v>13059</v>
      </c>
      <c r="J2145" s="6">
        <v>9643</v>
      </c>
      <c r="K2145" s="6">
        <v>13191</v>
      </c>
    </row>
    <row r="2146" spans="1:11" x14ac:dyDescent="0.25">
      <c r="A2146" s="1">
        <v>0.48888888888888898</v>
      </c>
      <c r="B2146" s="2">
        <v>6.16</v>
      </c>
      <c r="C2146" s="2">
        <v>3.65</v>
      </c>
      <c r="D2146" s="2">
        <v>5.15</v>
      </c>
      <c r="E2146" s="2">
        <v>5.37</v>
      </c>
      <c r="F2146" s="2">
        <v>3.12</v>
      </c>
      <c r="G2146" s="6">
        <v>15336</v>
      </c>
      <c r="H2146" s="6">
        <v>12223</v>
      </c>
      <c r="I2146" s="6">
        <v>13005</v>
      </c>
      <c r="J2146" s="6">
        <v>7145</v>
      </c>
      <c r="K2146" s="6">
        <v>11677</v>
      </c>
    </row>
    <row r="2147" spans="1:11" x14ac:dyDescent="0.25">
      <c r="A2147" s="1">
        <v>0.48958333333333298</v>
      </c>
      <c r="B2147" s="2">
        <v>6.1099999999999994</v>
      </c>
      <c r="C2147" s="2">
        <v>3.77</v>
      </c>
      <c r="D2147" s="2">
        <v>5.16</v>
      </c>
      <c r="E2147" s="2">
        <v>5.4</v>
      </c>
      <c r="F2147" s="2">
        <v>3.33</v>
      </c>
      <c r="G2147" s="6">
        <v>14971</v>
      </c>
      <c r="H2147" s="6">
        <v>15488</v>
      </c>
      <c r="I2147" s="6">
        <v>11467</v>
      </c>
      <c r="J2147" s="6">
        <v>10141</v>
      </c>
      <c r="K2147" s="6">
        <v>11681</v>
      </c>
    </row>
    <row r="2148" spans="1:11" x14ac:dyDescent="0.25">
      <c r="A2148" s="1">
        <v>0.49027777777777798</v>
      </c>
      <c r="B2148" s="2">
        <v>6.24</v>
      </c>
      <c r="C2148" s="2">
        <v>3.84</v>
      </c>
      <c r="D2148" s="2">
        <v>5.1000000000000005</v>
      </c>
      <c r="E2148" s="2">
        <v>5.24</v>
      </c>
      <c r="F2148" s="2">
        <v>3.39</v>
      </c>
      <c r="G2148" s="6">
        <v>15329</v>
      </c>
      <c r="H2148" s="6">
        <v>13416</v>
      </c>
      <c r="I2148" s="6">
        <v>9244</v>
      </c>
      <c r="J2148" s="6">
        <v>8143</v>
      </c>
      <c r="K2148" s="6">
        <v>12301</v>
      </c>
    </row>
    <row r="2149" spans="1:11" x14ac:dyDescent="0.25">
      <c r="A2149" s="1">
        <v>0.49097222222222198</v>
      </c>
      <c r="B2149" s="2">
        <v>6.29</v>
      </c>
      <c r="C2149" s="2">
        <v>3.7</v>
      </c>
      <c r="D2149" s="2">
        <v>4.8899999999999997</v>
      </c>
      <c r="E2149" s="2">
        <v>5.0100000000000007</v>
      </c>
      <c r="F2149" s="2">
        <v>3.35</v>
      </c>
      <c r="G2149" s="6">
        <v>12884</v>
      </c>
      <c r="H2149" s="6">
        <v>16107</v>
      </c>
      <c r="I2149" s="6">
        <v>10288</v>
      </c>
      <c r="J2149" s="6">
        <v>8515</v>
      </c>
      <c r="K2149" s="6">
        <v>11677</v>
      </c>
    </row>
    <row r="2150" spans="1:11" x14ac:dyDescent="0.25">
      <c r="A2150" s="1">
        <v>0.49166666666666697</v>
      </c>
      <c r="B2150" s="2">
        <v>6.12</v>
      </c>
      <c r="C2150" s="2">
        <v>3.84</v>
      </c>
      <c r="D2150" s="2">
        <v>4.91</v>
      </c>
      <c r="E2150" s="2">
        <v>5.07</v>
      </c>
      <c r="F2150" s="2">
        <v>3.29</v>
      </c>
      <c r="G2150" s="6">
        <v>15975</v>
      </c>
      <c r="H2150" s="6">
        <v>15140</v>
      </c>
      <c r="I2150" s="6">
        <v>9513</v>
      </c>
      <c r="J2150" s="6">
        <v>7357</v>
      </c>
      <c r="K2150" s="6">
        <v>14763</v>
      </c>
    </row>
    <row r="2151" spans="1:11" x14ac:dyDescent="0.25">
      <c r="A2151" s="1">
        <v>0.49236111111111103</v>
      </c>
      <c r="B2151" s="2">
        <v>6.1099999999999994</v>
      </c>
      <c r="C2151" s="2">
        <v>3.73</v>
      </c>
      <c r="D2151" s="2">
        <v>4.99</v>
      </c>
      <c r="E2151" s="2">
        <v>5.6000000000000005</v>
      </c>
      <c r="F2151" s="2">
        <v>3.3400000000000003</v>
      </c>
      <c r="G2151" s="6">
        <v>12677</v>
      </c>
      <c r="H2151" s="6">
        <v>13287</v>
      </c>
      <c r="I2151" s="6">
        <v>12189</v>
      </c>
      <c r="J2151" s="6">
        <v>7579</v>
      </c>
      <c r="K2151" s="6">
        <v>8571</v>
      </c>
    </row>
    <row r="2152" spans="1:11" x14ac:dyDescent="0.25">
      <c r="A2152" s="1">
        <v>0.49305555555555602</v>
      </c>
      <c r="B2152" s="2">
        <v>6.3599999999999994</v>
      </c>
      <c r="C2152" s="2">
        <v>3.58</v>
      </c>
      <c r="D2152" s="2">
        <v>5.3</v>
      </c>
      <c r="E2152" s="2">
        <v>5.5500000000000007</v>
      </c>
      <c r="F2152" s="2">
        <v>3.06</v>
      </c>
      <c r="G2152" s="6">
        <v>12209</v>
      </c>
      <c r="H2152" s="6">
        <v>14238</v>
      </c>
      <c r="I2152" s="6">
        <v>11820</v>
      </c>
      <c r="J2152" s="6">
        <v>10160</v>
      </c>
      <c r="K2152" s="6">
        <v>12134</v>
      </c>
    </row>
    <row r="2153" spans="1:11" x14ac:dyDescent="0.25">
      <c r="A2153" s="1">
        <v>0.49375000000000002</v>
      </c>
      <c r="B2153" s="2">
        <v>6.2299999999999995</v>
      </c>
      <c r="C2153" s="2">
        <v>3.59</v>
      </c>
      <c r="D2153" s="2">
        <v>4.9000000000000004</v>
      </c>
      <c r="E2153" s="2">
        <v>5.58</v>
      </c>
      <c r="F2153" s="2">
        <v>3.3200000000000003</v>
      </c>
      <c r="G2153" s="6">
        <v>15667</v>
      </c>
      <c r="H2153" s="6">
        <v>14041</v>
      </c>
      <c r="I2153" s="6">
        <v>10279</v>
      </c>
      <c r="J2153" s="6">
        <v>8027</v>
      </c>
      <c r="K2153" s="6">
        <v>13810</v>
      </c>
    </row>
    <row r="2154" spans="1:11" x14ac:dyDescent="0.25">
      <c r="A2154" s="1">
        <v>0.49444444444444402</v>
      </c>
      <c r="B2154" s="2">
        <v>6.09</v>
      </c>
      <c r="C2154" s="2">
        <v>3.63</v>
      </c>
      <c r="D2154" s="2">
        <v>5.24</v>
      </c>
      <c r="E2154" s="2">
        <v>5.12</v>
      </c>
      <c r="F2154" s="2">
        <v>2.93</v>
      </c>
      <c r="G2154" s="6">
        <v>16228</v>
      </c>
      <c r="H2154" s="6">
        <v>15520</v>
      </c>
      <c r="I2154" s="6">
        <v>8320</v>
      </c>
      <c r="J2154" s="6">
        <v>9825</v>
      </c>
      <c r="K2154" s="6">
        <v>12425</v>
      </c>
    </row>
    <row r="2155" spans="1:11" x14ac:dyDescent="0.25">
      <c r="A2155" s="1">
        <v>0.49513888888888902</v>
      </c>
      <c r="B2155" s="2">
        <v>6.1</v>
      </c>
      <c r="C2155" s="2">
        <v>3.63</v>
      </c>
      <c r="D2155" s="2">
        <v>5.0600000000000005</v>
      </c>
      <c r="E2155" s="2">
        <v>5.65</v>
      </c>
      <c r="F2155" s="2">
        <v>3.31</v>
      </c>
      <c r="G2155" s="6">
        <v>13155</v>
      </c>
      <c r="H2155" s="6">
        <v>12654</v>
      </c>
      <c r="I2155" s="6">
        <v>10389</v>
      </c>
      <c r="J2155" s="6">
        <v>10689</v>
      </c>
      <c r="K2155" s="6">
        <v>12364</v>
      </c>
    </row>
    <row r="2156" spans="1:11" x14ac:dyDescent="0.25">
      <c r="A2156" s="1">
        <v>0.49583333333333302</v>
      </c>
      <c r="B2156" s="2">
        <v>6.21</v>
      </c>
      <c r="C2156" s="2">
        <v>3.73</v>
      </c>
      <c r="D2156" s="2">
        <v>5.1000000000000005</v>
      </c>
      <c r="E2156" s="2">
        <v>5.58</v>
      </c>
      <c r="F2156" s="2">
        <v>2.89</v>
      </c>
      <c r="G2156" s="6">
        <v>15013</v>
      </c>
      <c r="H2156" s="6">
        <v>16156</v>
      </c>
      <c r="I2156" s="6">
        <v>8832</v>
      </c>
      <c r="J2156" s="6">
        <v>7796</v>
      </c>
      <c r="K2156" s="6">
        <v>12214</v>
      </c>
    </row>
    <row r="2157" spans="1:11" x14ac:dyDescent="0.25">
      <c r="A2157" s="1">
        <v>0.49652777777777801</v>
      </c>
      <c r="B2157" s="2">
        <v>6.1099999999999994</v>
      </c>
      <c r="C2157" s="2">
        <v>3.62</v>
      </c>
      <c r="D2157" s="2">
        <v>5.03</v>
      </c>
      <c r="E2157" s="2">
        <v>5.1300000000000008</v>
      </c>
      <c r="F2157" s="2">
        <v>3.1100000000000003</v>
      </c>
      <c r="G2157" s="6">
        <v>15216</v>
      </c>
      <c r="H2157" s="6">
        <v>15933</v>
      </c>
      <c r="I2157" s="6">
        <v>9560</v>
      </c>
      <c r="J2157" s="6">
        <v>7755</v>
      </c>
      <c r="K2157" s="6">
        <v>9631</v>
      </c>
    </row>
    <row r="2158" spans="1:11" x14ac:dyDescent="0.25">
      <c r="A2158" s="1">
        <v>0.49722222222222201</v>
      </c>
      <c r="B2158" s="2">
        <v>6.2</v>
      </c>
      <c r="C2158" s="2">
        <v>3.63</v>
      </c>
      <c r="D2158" s="2">
        <v>5.35</v>
      </c>
      <c r="E2158" s="2">
        <v>5.0100000000000007</v>
      </c>
      <c r="F2158" s="2">
        <v>3.18</v>
      </c>
      <c r="G2158" s="6">
        <v>14376</v>
      </c>
      <c r="H2158" s="6">
        <v>13101</v>
      </c>
      <c r="I2158" s="6">
        <v>9844</v>
      </c>
      <c r="J2158" s="6">
        <v>8801</v>
      </c>
      <c r="K2158" s="6">
        <v>9909</v>
      </c>
    </row>
    <row r="2159" spans="1:11" x14ac:dyDescent="0.25">
      <c r="A2159" s="1">
        <v>0.49791666666666701</v>
      </c>
      <c r="B2159" s="2">
        <v>6.32</v>
      </c>
      <c r="C2159" s="2">
        <v>3.7600000000000002</v>
      </c>
      <c r="D2159" s="2">
        <v>4.93</v>
      </c>
      <c r="E2159" s="2">
        <v>5.16</v>
      </c>
      <c r="F2159" s="2">
        <v>3.33</v>
      </c>
      <c r="G2159" s="6">
        <v>10826</v>
      </c>
      <c r="H2159" s="6">
        <v>11678</v>
      </c>
      <c r="I2159" s="6">
        <v>9009</v>
      </c>
      <c r="J2159" s="6">
        <v>7835</v>
      </c>
      <c r="K2159" s="6">
        <v>9553</v>
      </c>
    </row>
    <row r="2160" spans="1:11" x14ac:dyDescent="0.25">
      <c r="A2160" s="1">
        <v>0.49861111111111101</v>
      </c>
      <c r="B2160" s="2">
        <v>6.25</v>
      </c>
      <c r="C2160" s="2">
        <v>3.7</v>
      </c>
      <c r="D2160" s="2">
        <v>5.0200000000000005</v>
      </c>
      <c r="E2160" s="2">
        <v>5.0100000000000007</v>
      </c>
      <c r="F2160" s="2">
        <v>3.3600000000000003</v>
      </c>
      <c r="G2160" s="6">
        <v>15427</v>
      </c>
      <c r="H2160" s="6">
        <v>14505</v>
      </c>
      <c r="I2160" s="6">
        <v>9845</v>
      </c>
      <c r="J2160" s="6">
        <v>10199</v>
      </c>
      <c r="K2160" s="6">
        <v>10534</v>
      </c>
    </row>
    <row r="2161" spans="1:11" x14ac:dyDescent="0.25">
      <c r="A2161" s="1">
        <v>0.499305555555556</v>
      </c>
      <c r="B2161" s="2">
        <v>6.26</v>
      </c>
      <c r="C2161" s="2">
        <v>3.7</v>
      </c>
      <c r="D2161" s="2">
        <v>5.3100000000000005</v>
      </c>
      <c r="E2161" s="2">
        <v>5</v>
      </c>
      <c r="F2161" s="2">
        <v>2.94</v>
      </c>
      <c r="G2161" s="6">
        <v>16195</v>
      </c>
      <c r="H2161" s="6">
        <v>11509</v>
      </c>
      <c r="I2161" s="6">
        <v>12022</v>
      </c>
      <c r="J2161" s="6">
        <v>7569</v>
      </c>
      <c r="K2161" s="6">
        <v>10988</v>
      </c>
    </row>
    <row r="2162" spans="1:11" x14ac:dyDescent="0.25">
      <c r="A2162" s="3">
        <v>0.5</v>
      </c>
      <c r="B2162" s="2">
        <v>6.21</v>
      </c>
      <c r="C2162" s="2">
        <v>3.74</v>
      </c>
      <c r="D2162" s="2">
        <v>5.1100000000000003</v>
      </c>
      <c r="E2162" s="2">
        <v>5.32</v>
      </c>
      <c r="F2162" s="2">
        <v>3.18</v>
      </c>
      <c r="G2162" s="6">
        <v>13350</v>
      </c>
      <c r="H2162" s="6">
        <v>16430</v>
      </c>
      <c r="I2162" s="6">
        <v>10250</v>
      </c>
      <c r="J2162" s="6">
        <v>11520</v>
      </c>
      <c r="K2162" s="6">
        <v>13650</v>
      </c>
    </row>
    <row r="2163" spans="1:11" x14ac:dyDescent="0.25">
      <c r="A2163" s="1">
        <v>0.500694444444444</v>
      </c>
      <c r="B2163" s="2">
        <v>6.27</v>
      </c>
      <c r="C2163" s="2">
        <v>3.63</v>
      </c>
      <c r="D2163" s="2">
        <v>5.3</v>
      </c>
      <c r="E2163" s="2">
        <v>5.41</v>
      </c>
      <c r="F2163" s="2">
        <v>3.02</v>
      </c>
      <c r="G2163" s="6">
        <v>12545</v>
      </c>
      <c r="H2163" s="6">
        <v>21403</v>
      </c>
      <c r="I2163" s="6">
        <v>15367</v>
      </c>
      <c r="J2163" s="6">
        <v>15466</v>
      </c>
      <c r="K2163" s="6">
        <v>23135</v>
      </c>
    </row>
    <row r="2164" spans="1:11" x14ac:dyDescent="0.25">
      <c r="A2164" s="1">
        <v>0.50138888888888899</v>
      </c>
      <c r="B2164" s="2">
        <v>6.17</v>
      </c>
      <c r="C2164" s="2">
        <v>3.68</v>
      </c>
      <c r="D2164" s="2">
        <v>5.04</v>
      </c>
      <c r="E2164" s="2">
        <v>5.0500000000000007</v>
      </c>
      <c r="F2164" s="2">
        <v>2.99</v>
      </c>
      <c r="G2164" s="6">
        <v>20278</v>
      </c>
      <c r="H2164" s="6">
        <v>16209</v>
      </c>
      <c r="I2164" s="6">
        <v>8041</v>
      </c>
      <c r="J2164" s="6">
        <v>23695</v>
      </c>
      <c r="K2164" s="6">
        <v>26121</v>
      </c>
    </row>
    <row r="2165" spans="1:11" x14ac:dyDescent="0.25">
      <c r="A2165" s="1">
        <v>0.50208333333333299</v>
      </c>
      <c r="B2165" s="2">
        <v>6.17</v>
      </c>
      <c r="C2165" s="2">
        <v>3.62</v>
      </c>
      <c r="D2165" s="2">
        <v>5.0600000000000005</v>
      </c>
      <c r="E2165" s="2">
        <v>5.6000000000000005</v>
      </c>
      <c r="F2165" s="2">
        <v>3.16</v>
      </c>
      <c r="G2165" s="6">
        <v>15220</v>
      </c>
      <c r="H2165" s="6">
        <v>20941</v>
      </c>
      <c r="I2165" s="6">
        <v>11538</v>
      </c>
      <c r="J2165" s="6">
        <v>16940</v>
      </c>
      <c r="K2165" s="6">
        <v>25325</v>
      </c>
    </row>
    <row r="2166" spans="1:11" x14ac:dyDescent="0.25">
      <c r="A2166" s="1">
        <v>0.50277777777777799</v>
      </c>
      <c r="B2166" s="2">
        <v>6.2</v>
      </c>
      <c r="C2166" s="2">
        <v>3.7600000000000002</v>
      </c>
      <c r="D2166" s="2">
        <v>5.03</v>
      </c>
      <c r="E2166" s="2">
        <v>5.33</v>
      </c>
      <c r="F2166" s="2">
        <v>3.0500000000000003</v>
      </c>
      <c r="G2166" s="6">
        <v>11166</v>
      </c>
      <c r="H2166" s="6">
        <v>15430</v>
      </c>
      <c r="I2166" s="6">
        <v>21359</v>
      </c>
      <c r="J2166" s="6">
        <v>23971</v>
      </c>
      <c r="K2166" s="6">
        <v>26355</v>
      </c>
    </row>
    <row r="2167" spans="1:11" x14ac:dyDescent="0.25">
      <c r="A2167" s="1">
        <v>0.50347222222222199</v>
      </c>
      <c r="B2167" s="2">
        <v>6.29</v>
      </c>
      <c r="C2167" s="2">
        <v>3.74</v>
      </c>
      <c r="D2167" s="2">
        <v>5.01</v>
      </c>
      <c r="E2167" s="2">
        <v>5.3500000000000005</v>
      </c>
      <c r="F2167" s="2">
        <v>2.98</v>
      </c>
      <c r="G2167" s="6">
        <v>18731</v>
      </c>
      <c r="H2167" s="6">
        <v>11666</v>
      </c>
      <c r="I2167" s="6">
        <v>19316</v>
      </c>
      <c r="J2167" s="6">
        <v>26550</v>
      </c>
      <c r="K2167" s="6">
        <v>22305</v>
      </c>
    </row>
    <row r="2168" spans="1:11" x14ac:dyDescent="0.25">
      <c r="A2168" s="1">
        <v>0.50416666666666698</v>
      </c>
      <c r="B2168" s="2">
        <v>6.17</v>
      </c>
      <c r="C2168" s="2">
        <v>3.85</v>
      </c>
      <c r="D2168" s="2">
        <v>5.01</v>
      </c>
      <c r="E2168" s="2">
        <v>5.08</v>
      </c>
      <c r="F2168" s="2">
        <v>3.2</v>
      </c>
      <c r="G2168" s="6">
        <v>23369</v>
      </c>
      <c r="H2168" s="6">
        <v>13893</v>
      </c>
      <c r="I2168" s="6">
        <v>18770</v>
      </c>
      <c r="J2168" s="6">
        <v>26084</v>
      </c>
      <c r="K2168" s="6">
        <v>20237</v>
      </c>
    </row>
    <row r="2169" spans="1:11" x14ac:dyDescent="0.25">
      <c r="A2169" s="1">
        <v>0.50486111111111098</v>
      </c>
      <c r="B2169" s="2">
        <v>6.26</v>
      </c>
      <c r="C2169" s="2">
        <v>3.7800000000000002</v>
      </c>
      <c r="D2169" s="2">
        <v>5.34</v>
      </c>
      <c r="E2169" s="2">
        <v>5.41</v>
      </c>
      <c r="F2169" s="2">
        <v>2.95</v>
      </c>
      <c r="G2169" s="6">
        <v>16809</v>
      </c>
      <c r="H2169" s="6">
        <v>20420</v>
      </c>
      <c r="I2169" s="6">
        <v>18079</v>
      </c>
      <c r="J2169" s="6">
        <v>27360</v>
      </c>
      <c r="K2169" s="6">
        <v>23841</v>
      </c>
    </row>
    <row r="2170" spans="1:11" x14ac:dyDescent="0.25">
      <c r="A2170" s="1">
        <v>0.50555555555555598</v>
      </c>
      <c r="B2170" s="2">
        <v>6.24</v>
      </c>
      <c r="C2170" s="2">
        <v>3.72</v>
      </c>
      <c r="D2170" s="2">
        <v>5.29</v>
      </c>
      <c r="E2170" s="2">
        <v>5</v>
      </c>
      <c r="F2170" s="2">
        <v>3.1</v>
      </c>
      <c r="G2170" s="6">
        <v>20746</v>
      </c>
      <c r="H2170" s="6">
        <v>16355</v>
      </c>
      <c r="I2170" s="6">
        <v>9042</v>
      </c>
      <c r="J2170" s="6">
        <v>19182</v>
      </c>
      <c r="K2170" s="6">
        <v>27874</v>
      </c>
    </row>
    <row r="2171" spans="1:11" x14ac:dyDescent="0.25">
      <c r="A2171" s="1">
        <v>0.50624999999999998</v>
      </c>
      <c r="B2171" s="2">
        <v>6.17</v>
      </c>
      <c r="C2171" s="2">
        <v>3.8200000000000003</v>
      </c>
      <c r="D2171" s="2">
        <v>5.18</v>
      </c>
      <c r="E2171" s="2">
        <v>5.16</v>
      </c>
      <c r="F2171" s="2">
        <v>3.16</v>
      </c>
      <c r="G2171" s="6">
        <v>22769</v>
      </c>
      <c r="H2171" s="6">
        <v>14105</v>
      </c>
      <c r="I2171" s="6">
        <v>21572</v>
      </c>
      <c r="J2171" s="6">
        <v>25635</v>
      </c>
      <c r="K2171" s="6">
        <v>14485</v>
      </c>
    </row>
    <row r="2172" spans="1:11" x14ac:dyDescent="0.25">
      <c r="A2172" s="1">
        <v>0.50694444444444398</v>
      </c>
      <c r="B2172" s="2">
        <v>6.31</v>
      </c>
      <c r="C2172" s="2">
        <v>3.81</v>
      </c>
      <c r="D2172" s="2">
        <v>5.33</v>
      </c>
      <c r="E2172" s="2">
        <v>5.24</v>
      </c>
      <c r="F2172" s="2">
        <v>3.38</v>
      </c>
      <c r="G2172" s="6">
        <v>17620</v>
      </c>
      <c r="H2172" s="6">
        <v>20570</v>
      </c>
      <c r="I2172" s="6">
        <v>18143</v>
      </c>
      <c r="J2172" s="6">
        <v>18073</v>
      </c>
      <c r="K2172" s="6">
        <v>25334</v>
      </c>
    </row>
    <row r="2173" spans="1:11" x14ac:dyDescent="0.25">
      <c r="A2173" s="1">
        <v>0.50763888888888897</v>
      </c>
      <c r="B2173" s="2">
        <v>6.32</v>
      </c>
      <c r="C2173" s="2">
        <v>3.67</v>
      </c>
      <c r="D2173" s="2">
        <v>5.13</v>
      </c>
      <c r="E2173" s="2">
        <v>5.6300000000000008</v>
      </c>
      <c r="F2173" s="2">
        <v>3.04</v>
      </c>
      <c r="G2173" s="6">
        <v>18576</v>
      </c>
      <c r="H2173" s="6">
        <v>14369</v>
      </c>
      <c r="I2173" s="6">
        <v>22824</v>
      </c>
      <c r="J2173" s="6">
        <v>27063</v>
      </c>
      <c r="K2173" s="6">
        <v>19396</v>
      </c>
    </row>
    <row r="2174" spans="1:11" x14ac:dyDescent="0.25">
      <c r="A2174" s="1">
        <v>0.50833333333333297</v>
      </c>
      <c r="B2174" s="2">
        <v>6.14</v>
      </c>
      <c r="C2174" s="2">
        <v>3.83</v>
      </c>
      <c r="D2174" s="2">
        <v>5.32</v>
      </c>
      <c r="E2174" s="2">
        <v>5.1400000000000006</v>
      </c>
      <c r="F2174" s="2">
        <v>3.22</v>
      </c>
      <c r="G2174" s="6">
        <v>22175</v>
      </c>
      <c r="H2174" s="6">
        <v>22189</v>
      </c>
      <c r="I2174" s="6">
        <v>24537</v>
      </c>
      <c r="J2174" s="6">
        <v>21375</v>
      </c>
      <c r="K2174" s="6">
        <v>28783</v>
      </c>
    </row>
    <row r="2175" spans="1:11" x14ac:dyDescent="0.25">
      <c r="A2175" s="1">
        <v>0.50902777777777797</v>
      </c>
      <c r="B2175" s="2">
        <v>6.34</v>
      </c>
      <c r="C2175" s="2">
        <v>3.83</v>
      </c>
      <c r="D2175" s="2">
        <v>4.96</v>
      </c>
      <c r="E2175" s="2">
        <v>5.24</v>
      </c>
      <c r="F2175" s="2">
        <v>3.35</v>
      </c>
      <c r="G2175" s="6">
        <v>16342</v>
      </c>
      <c r="H2175" s="6">
        <v>23674</v>
      </c>
      <c r="I2175" s="6">
        <v>9391</v>
      </c>
      <c r="J2175" s="6">
        <v>18927</v>
      </c>
      <c r="K2175" s="6">
        <v>20875</v>
      </c>
    </row>
    <row r="2176" spans="1:11" x14ac:dyDescent="0.25">
      <c r="A2176" s="1">
        <v>0.50972222222222197</v>
      </c>
      <c r="B2176" s="2">
        <v>6.35</v>
      </c>
      <c r="C2176" s="2">
        <v>3.68</v>
      </c>
      <c r="D2176" s="2">
        <v>4.95</v>
      </c>
      <c r="E2176" s="2">
        <v>5.08</v>
      </c>
      <c r="F2176" s="2">
        <v>2.87</v>
      </c>
      <c r="G2176" s="6">
        <v>18050</v>
      </c>
      <c r="H2176" s="6">
        <v>19283</v>
      </c>
      <c r="I2176" s="6">
        <v>24168</v>
      </c>
      <c r="J2176" s="6">
        <v>27266</v>
      </c>
      <c r="K2176" s="6">
        <v>15014</v>
      </c>
    </row>
    <row r="2177" spans="1:11" x14ac:dyDescent="0.25">
      <c r="A2177" s="1">
        <v>0.51041666666666696</v>
      </c>
      <c r="B2177" s="2">
        <v>6.35</v>
      </c>
      <c r="C2177" s="2">
        <v>3.83</v>
      </c>
      <c r="D2177" s="2">
        <v>4.96</v>
      </c>
      <c r="E2177" s="2">
        <v>5.44</v>
      </c>
      <c r="F2177" s="2">
        <v>2.9</v>
      </c>
      <c r="G2177" s="6">
        <v>19687</v>
      </c>
      <c r="H2177" s="6">
        <v>18274</v>
      </c>
      <c r="I2177" s="6">
        <v>15398</v>
      </c>
      <c r="J2177" s="6">
        <v>20964</v>
      </c>
      <c r="K2177" s="6">
        <v>27827</v>
      </c>
    </row>
    <row r="2178" spans="1:11" x14ac:dyDescent="0.25">
      <c r="A2178" s="1">
        <v>0.51111111111111096</v>
      </c>
      <c r="B2178" s="2">
        <v>6.27</v>
      </c>
      <c r="C2178" s="2">
        <v>3.61</v>
      </c>
      <c r="D2178" s="2">
        <v>5.37</v>
      </c>
      <c r="E2178" s="2">
        <v>5.19</v>
      </c>
      <c r="F2178" s="2">
        <v>2.91</v>
      </c>
      <c r="G2178" s="6">
        <v>15250</v>
      </c>
      <c r="H2178" s="6">
        <v>13642</v>
      </c>
      <c r="I2178" s="6">
        <v>19124</v>
      </c>
      <c r="J2178" s="6">
        <v>24291</v>
      </c>
      <c r="K2178" s="6">
        <v>26829</v>
      </c>
    </row>
    <row r="2179" spans="1:11" x14ac:dyDescent="0.25">
      <c r="A2179" s="1">
        <v>0.51180555555555596</v>
      </c>
      <c r="B2179" s="2">
        <v>6.21</v>
      </c>
      <c r="C2179" s="2">
        <v>3.84</v>
      </c>
      <c r="D2179" s="2">
        <v>5.3100000000000005</v>
      </c>
      <c r="E2179" s="2">
        <v>5.4200000000000008</v>
      </c>
      <c r="F2179" s="2">
        <v>3.3600000000000003</v>
      </c>
      <c r="G2179" s="6">
        <v>22624</v>
      </c>
      <c r="H2179" s="6">
        <v>16770</v>
      </c>
      <c r="I2179" s="6">
        <v>10764</v>
      </c>
      <c r="J2179" s="6">
        <v>14828</v>
      </c>
      <c r="K2179" s="6">
        <v>25108</v>
      </c>
    </row>
    <row r="2180" spans="1:11" x14ac:dyDescent="0.25">
      <c r="A2180" s="1">
        <v>0.51249999999999996</v>
      </c>
      <c r="B2180" s="2">
        <v>6.32</v>
      </c>
      <c r="C2180" s="2">
        <v>3.59</v>
      </c>
      <c r="D2180" s="2">
        <v>5.1000000000000005</v>
      </c>
      <c r="E2180" s="2">
        <v>5.1000000000000005</v>
      </c>
      <c r="F2180" s="2">
        <v>3.1</v>
      </c>
      <c r="G2180" s="6">
        <v>17411</v>
      </c>
      <c r="H2180" s="6">
        <v>22405</v>
      </c>
      <c r="I2180" s="6">
        <v>17809</v>
      </c>
      <c r="J2180" s="6">
        <v>14307</v>
      </c>
      <c r="K2180" s="6">
        <v>27320</v>
      </c>
    </row>
    <row r="2181" spans="1:11" x14ac:dyDescent="0.25">
      <c r="A2181" s="1">
        <v>0.51319444444444495</v>
      </c>
      <c r="B2181" s="2">
        <v>6.13</v>
      </c>
      <c r="C2181" s="2">
        <v>3.73</v>
      </c>
      <c r="D2181" s="2">
        <v>5.05</v>
      </c>
      <c r="E2181" s="2">
        <v>5.2100000000000009</v>
      </c>
      <c r="F2181" s="2">
        <v>3.21</v>
      </c>
      <c r="G2181" s="6">
        <v>13906</v>
      </c>
      <c r="H2181" s="6">
        <v>12292</v>
      </c>
      <c r="I2181" s="6">
        <v>11392</v>
      </c>
      <c r="J2181" s="6">
        <v>18650</v>
      </c>
      <c r="K2181" s="6">
        <v>16462</v>
      </c>
    </row>
    <row r="2182" spans="1:11" x14ac:dyDescent="0.25">
      <c r="A2182" s="1">
        <v>0.51388888888888895</v>
      </c>
      <c r="B2182" s="2">
        <v>6.26</v>
      </c>
      <c r="C2182" s="2">
        <v>3.85</v>
      </c>
      <c r="D2182" s="2">
        <v>5.0600000000000005</v>
      </c>
      <c r="E2182" s="2">
        <v>5.1400000000000006</v>
      </c>
      <c r="F2182" s="2">
        <v>3.39</v>
      </c>
      <c r="G2182" s="6">
        <v>15970</v>
      </c>
      <c r="H2182" s="6">
        <v>11557</v>
      </c>
      <c r="I2182" s="6">
        <v>19485</v>
      </c>
      <c r="J2182" s="6">
        <v>22745</v>
      </c>
      <c r="K2182" s="6">
        <v>20464</v>
      </c>
    </row>
    <row r="2183" spans="1:11" x14ac:dyDescent="0.25">
      <c r="A2183" s="1">
        <v>0.51458333333333295</v>
      </c>
      <c r="B2183" s="2">
        <v>6.3599999999999994</v>
      </c>
      <c r="C2183" s="2">
        <v>3.66</v>
      </c>
      <c r="D2183" s="2">
        <v>4.96</v>
      </c>
      <c r="E2183" s="2">
        <v>5.25</v>
      </c>
      <c r="F2183" s="2">
        <v>3.14</v>
      </c>
      <c r="G2183" s="6">
        <v>16181</v>
      </c>
      <c r="H2183" s="6">
        <v>20573</v>
      </c>
      <c r="I2183" s="6">
        <v>14842</v>
      </c>
      <c r="J2183" s="6">
        <v>18511</v>
      </c>
      <c r="K2183" s="6">
        <v>24783</v>
      </c>
    </row>
    <row r="2184" spans="1:11" x14ac:dyDescent="0.25">
      <c r="A2184" s="1">
        <v>0.51527777777777795</v>
      </c>
      <c r="B2184" s="2">
        <v>6.09</v>
      </c>
      <c r="C2184" s="2">
        <v>3.84</v>
      </c>
      <c r="D2184" s="2">
        <v>5.08</v>
      </c>
      <c r="E2184" s="2">
        <v>5.33</v>
      </c>
      <c r="F2184" s="2">
        <v>2.9</v>
      </c>
      <c r="G2184" s="6">
        <v>9881</v>
      </c>
      <c r="H2184" s="6">
        <v>21648</v>
      </c>
      <c r="I2184" s="6">
        <v>11384</v>
      </c>
      <c r="J2184" s="6">
        <v>24986</v>
      </c>
      <c r="K2184" s="6">
        <v>26207</v>
      </c>
    </row>
    <row r="2185" spans="1:11" x14ac:dyDescent="0.25">
      <c r="A2185" s="1">
        <v>0.51597222222222205</v>
      </c>
      <c r="B2185" s="2">
        <v>6.1899999999999995</v>
      </c>
      <c r="C2185" s="2">
        <v>3.66</v>
      </c>
      <c r="D2185" s="2">
        <v>4.9400000000000004</v>
      </c>
      <c r="E2185" s="2">
        <v>5.45</v>
      </c>
      <c r="F2185" s="2">
        <v>3.38</v>
      </c>
      <c r="G2185" s="6">
        <v>19606</v>
      </c>
      <c r="H2185" s="6">
        <v>12241</v>
      </c>
      <c r="I2185" s="6">
        <v>17499</v>
      </c>
      <c r="J2185" s="6">
        <v>15754</v>
      </c>
      <c r="K2185" s="6">
        <v>13992</v>
      </c>
    </row>
    <row r="2186" spans="1:11" x14ac:dyDescent="0.25">
      <c r="A2186" s="1">
        <v>0.51666666666666705</v>
      </c>
      <c r="B2186" s="2">
        <v>6.28</v>
      </c>
      <c r="C2186" s="2">
        <v>3.61</v>
      </c>
      <c r="D2186" s="2">
        <v>5.03</v>
      </c>
      <c r="E2186" s="2">
        <v>5.16</v>
      </c>
      <c r="F2186" s="2">
        <v>3.2600000000000002</v>
      </c>
      <c r="G2186" s="6">
        <v>9832</v>
      </c>
      <c r="H2186" s="6">
        <v>21975</v>
      </c>
      <c r="I2186" s="6">
        <v>10866</v>
      </c>
      <c r="J2186" s="6">
        <v>23242</v>
      </c>
      <c r="K2186" s="6">
        <v>17146</v>
      </c>
    </row>
    <row r="2187" spans="1:11" x14ac:dyDescent="0.25">
      <c r="A2187" s="1">
        <v>0.51736111111111105</v>
      </c>
      <c r="B2187" s="2">
        <v>6.33</v>
      </c>
      <c r="C2187" s="2">
        <v>3.7800000000000002</v>
      </c>
      <c r="D2187" s="2">
        <v>5.18</v>
      </c>
      <c r="E2187" s="2">
        <v>5.1400000000000006</v>
      </c>
      <c r="F2187" s="2">
        <v>3.0700000000000003</v>
      </c>
      <c r="G2187" s="6">
        <v>19762</v>
      </c>
      <c r="H2187" s="6">
        <v>14489</v>
      </c>
      <c r="I2187" s="6">
        <v>15851</v>
      </c>
      <c r="J2187" s="6">
        <v>15180</v>
      </c>
      <c r="K2187" s="6">
        <v>22673</v>
      </c>
    </row>
    <row r="2188" spans="1:11" x14ac:dyDescent="0.25">
      <c r="A2188" s="1">
        <v>0.51805555555555605</v>
      </c>
      <c r="B2188" s="2">
        <v>6.17</v>
      </c>
      <c r="C2188" s="2">
        <v>3.84</v>
      </c>
      <c r="D2188" s="2">
        <v>5.13</v>
      </c>
      <c r="E2188" s="2">
        <v>5.32</v>
      </c>
      <c r="F2188" s="2">
        <v>3</v>
      </c>
      <c r="G2188" s="6">
        <v>18362</v>
      </c>
      <c r="H2188" s="6">
        <v>20357</v>
      </c>
      <c r="I2188" s="6">
        <v>19023</v>
      </c>
      <c r="J2188" s="6">
        <v>14083</v>
      </c>
      <c r="K2188" s="6">
        <v>24482</v>
      </c>
    </row>
    <row r="2189" spans="1:11" x14ac:dyDescent="0.25">
      <c r="A2189" s="1">
        <v>0.51875000000000004</v>
      </c>
      <c r="B2189" s="2">
        <v>6.34</v>
      </c>
      <c r="C2189" s="2">
        <v>3.8200000000000003</v>
      </c>
      <c r="D2189" s="2">
        <v>5.3</v>
      </c>
      <c r="E2189" s="2">
        <v>5.3500000000000005</v>
      </c>
      <c r="F2189" s="2">
        <v>2.97</v>
      </c>
      <c r="G2189" s="6">
        <v>12302</v>
      </c>
      <c r="H2189" s="6">
        <v>12194</v>
      </c>
      <c r="I2189" s="6">
        <v>17938</v>
      </c>
      <c r="J2189" s="6">
        <v>24369</v>
      </c>
      <c r="K2189" s="6">
        <v>15180</v>
      </c>
    </row>
    <row r="2190" spans="1:11" x14ac:dyDescent="0.25">
      <c r="A2190" s="1">
        <v>0.51944444444444404</v>
      </c>
      <c r="B2190" s="2">
        <v>6.1499999999999995</v>
      </c>
      <c r="C2190" s="2">
        <v>3.58</v>
      </c>
      <c r="D2190" s="2">
        <v>5.1400000000000006</v>
      </c>
      <c r="E2190" s="2">
        <v>5.3900000000000006</v>
      </c>
      <c r="F2190" s="2">
        <v>3.3200000000000003</v>
      </c>
      <c r="G2190" s="6">
        <v>9818</v>
      </c>
      <c r="H2190" s="6">
        <v>23996</v>
      </c>
      <c r="I2190" s="6">
        <v>11866</v>
      </c>
      <c r="J2190" s="6">
        <v>13083</v>
      </c>
      <c r="K2190" s="6">
        <v>13474</v>
      </c>
    </row>
    <row r="2191" spans="1:11" x14ac:dyDescent="0.25">
      <c r="A2191" s="1">
        <v>0.52013888888888904</v>
      </c>
      <c r="B2191" s="2">
        <v>6.1099999999999994</v>
      </c>
      <c r="C2191" s="2">
        <v>3.73</v>
      </c>
      <c r="D2191" s="2">
        <v>5.0600000000000005</v>
      </c>
      <c r="E2191" s="2">
        <v>5.5500000000000007</v>
      </c>
      <c r="F2191" s="2">
        <v>3.3200000000000003</v>
      </c>
      <c r="G2191" s="6">
        <v>16986</v>
      </c>
      <c r="H2191" s="6">
        <v>19241</v>
      </c>
      <c r="I2191" s="6">
        <v>10161</v>
      </c>
      <c r="J2191" s="6">
        <v>17467</v>
      </c>
      <c r="K2191" s="6">
        <v>21939</v>
      </c>
    </row>
    <row r="2192" spans="1:11" x14ac:dyDescent="0.25">
      <c r="A2192" s="1">
        <v>0.52083333333333304</v>
      </c>
      <c r="B2192" s="2">
        <v>6.25</v>
      </c>
      <c r="C2192" s="2">
        <v>3.8600000000000003</v>
      </c>
      <c r="D2192" s="2">
        <v>5.0200000000000005</v>
      </c>
      <c r="E2192" s="2">
        <v>5.0600000000000005</v>
      </c>
      <c r="F2192" s="2">
        <v>3.22</v>
      </c>
      <c r="G2192" s="6">
        <v>9870</v>
      </c>
      <c r="H2192" s="6">
        <v>16441</v>
      </c>
      <c r="I2192" s="6">
        <v>14356</v>
      </c>
      <c r="J2192" s="6">
        <v>20107</v>
      </c>
      <c r="K2192" s="6">
        <v>17683</v>
      </c>
    </row>
    <row r="2193" spans="1:11" x14ac:dyDescent="0.25">
      <c r="A2193" s="1">
        <v>0.52152777777777803</v>
      </c>
      <c r="B2193" s="2">
        <v>6.21</v>
      </c>
      <c r="C2193" s="2">
        <v>3.66</v>
      </c>
      <c r="D2193" s="2">
        <v>5.2</v>
      </c>
      <c r="E2193" s="2">
        <v>5.45</v>
      </c>
      <c r="F2193" s="2">
        <v>3.25</v>
      </c>
      <c r="G2193" s="6">
        <v>19646</v>
      </c>
      <c r="H2193" s="6">
        <v>22542</v>
      </c>
      <c r="I2193" s="6">
        <v>16240</v>
      </c>
      <c r="J2193" s="6">
        <v>16692</v>
      </c>
      <c r="K2193" s="6">
        <v>18328</v>
      </c>
    </row>
    <row r="2194" spans="1:11" x14ac:dyDescent="0.25">
      <c r="A2194" s="1">
        <v>0.52222222222222203</v>
      </c>
      <c r="B2194" s="2">
        <v>6.2299999999999995</v>
      </c>
      <c r="C2194" s="2">
        <v>3.83</v>
      </c>
      <c r="D2194" s="2">
        <v>5.32</v>
      </c>
      <c r="E2194" s="2">
        <v>5.23</v>
      </c>
      <c r="F2194" s="2">
        <v>3.02</v>
      </c>
      <c r="G2194" s="6">
        <v>16910</v>
      </c>
      <c r="H2194" s="6">
        <v>13608</v>
      </c>
      <c r="I2194" s="6">
        <v>17212</v>
      </c>
      <c r="J2194" s="6">
        <v>23797</v>
      </c>
      <c r="K2194" s="6">
        <v>27622</v>
      </c>
    </row>
    <row r="2195" spans="1:11" x14ac:dyDescent="0.25">
      <c r="A2195" s="1">
        <v>0.52291666666666703</v>
      </c>
      <c r="B2195" s="2">
        <v>6.29</v>
      </c>
      <c r="C2195" s="2">
        <v>3.72</v>
      </c>
      <c r="D2195" s="2">
        <v>4.95</v>
      </c>
      <c r="E2195" s="2">
        <v>5.07</v>
      </c>
      <c r="F2195" s="2">
        <v>3.3000000000000003</v>
      </c>
      <c r="G2195" s="6">
        <v>13032</v>
      </c>
      <c r="H2195" s="6">
        <v>18069</v>
      </c>
      <c r="I2195" s="6">
        <v>14653</v>
      </c>
      <c r="J2195" s="6">
        <v>26051</v>
      </c>
      <c r="K2195" s="6">
        <v>25384</v>
      </c>
    </row>
    <row r="2196" spans="1:11" x14ac:dyDescent="0.25">
      <c r="A2196" s="1">
        <v>0.52361111111111103</v>
      </c>
      <c r="B2196" s="2">
        <v>6.1899999999999995</v>
      </c>
      <c r="C2196" s="2">
        <v>3.85</v>
      </c>
      <c r="D2196" s="2">
        <v>5.18</v>
      </c>
      <c r="E2196" s="2">
        <v>5.4</v>
      </c>
      <c r="F2196" s="2">
        <v>2.96</v>
      </c>
      <c r="G2196" s="6">
        <v>16700</v>
      </c>
      <c r="H2196" s="6">
        <v>14920</v>
      </c>
      <c r="I2196" s="6">
        <v>11681</v>
      </c>
      <c r="J2196" s="6">
        <v>26872</v>
      </c>
      <c r="K2196" s="6">
        <v>18523</v>
      </c>
    </row>
    <row r="2197" spans="1:11" x14ac:dyDescent="0.25">
      <c r="A2197" s="1">
        <v>0.52430555555555602</v>
      </c>
      <c r="B2197" s="2">
        <v>6.14</v>
      </c>
      <c r="C2197" s="2">
        <v>3.87</v>
      </c>
      <c r="D2197" s="2">
        <v>5.28</v>
      </c>
      <c r="E2197" s="2">
        <v>5.15</v>
      </c>
      <c r="F2197" s="2">
        <v>2.97</v>
      </c>
      <c r="G2197" s="6">
        <v>17860</v>
      </c>
      <c r="H2197" s="6">
        <v>19174</v>
      </c>
      <c r="I2197" s="6">
        <v>13160</v>
      </c>
      <c r="J2197" s="6">
        <v>23357</v>
      </c>
      <c r="K2197" s="6">
        <v>18482</v>
      </c>
    </row>
    <row r="2198" spans="1:11" x14ac:dyDescent="0.25">
      <c r="A2198" s="1">
        <v>0.52500000000000002</v>
      </c>
      <c r="B2198" s="2">
        <v>6.14</v>
      </c>
      <c r="C2198" s="2">
        <v>3.68</v>
      </c>
      <c r="D2198" s="2">
        <v>5.04</v>
      </c>
      <c r="E2198" s="2">
        <v>5.5400000000000009</v>
      </c>
      <c r="F2198" s="2">
        <v>2.9</v>
      </c>
      <c r="G2198" s="6">
        <v>13092</v>
      </c>
      <c r="H2198" s="6">
        <v>24459</v>
      </c>
      <c r="I2198" s="6">
        <v>12934</v>
      </c>
      <c r="J2198" s="6">
        <v>17246</v>
      </c>
      <c r="K2198" s="6">
        <v>23158</v>
      </c>
    </row>
    <row r="2199" spans="1:11" x14ac:dyDescent="0.25">
      <c r="A2199" s="1">
        <v>0.52569444444444402</v>
      </c>
      <c r="B2199" s="2">
        <v>6.34</v>
      </c>
      <c r="C2199" s="2">
        <v>3.75</v>
      </c>
      <c r="D2199" s="2">
        <v>5.08</v>
      </c>
      <c r="E2199" s="2">
        <v>5.48</v>
      </c>
      <c r="F2199" s="2">
        <v>2.89</v>
      </c>
      <c r="G2199" s="6">
        <v>12305</v>
      </c>
      <c r="H2199" s="6">
        <v>12896</v>
      </c>
      <c r="I2199" s="6">
        <v>21205</v>
      </c>
      <c r="J2199" s="6">
        <v>24234</v>
      </c>
      <c r="K2199" s="6">
        <v>22627</v>
      </c>
    </row>
    <row r="2200" spans="1:11" x14ac:dyDescent="0.25">
      <c r="A2200" s="1">
        <v>0.52638888888888902</v>
      </c>
      <c r="B2200" s="2">
        <v>6.1099999999999994</v>
      </c>
      <c r="C2200" s="2">
        <v>3.85</v>
      </c>
      <c r="D2200" s="2">
        <v>5.01</v>
      </c>
      <c r="E2200" s="2">
        <v>5.1800000000000006</v>
      </c>
      <c r="F2200" s="2">
        <v>2.91</v>
      </c>
      <c r="G2200" s="6">
        <v>15710</v>
      </c>
      <c r="H2200" s="6">
        <v>17431</v>
      </c>
      <c r="I2200" s="6">
        <v>15131</v>
      </c>
      <c r="J2200" s="6">
        <v>25046</v>
      </c>
      <c r="K2200" s="6">
        <v>14905</v>
      </c>
    </row>
    <row r="2201" spans="1:11" x14ac:dyDescent="0.25">
      <c r="A2201" s="1">
        <v>0.52708333333333302</v>
      </c>
      <c r="B2201" s="2">
        <v>6.2</v>
      </c>
      <c r="C2201" s="2">
        <v>3.65</v>
      </c>
      <c r="D2201" s="2">
        <v>5.23</v>
      </c>
      <c r="E2201" s="2">
        <v>5.0600000000000005</v>
      </c>
      <c r="F2201" s="2">
        <v>2.89</v>
      </c>
      <c r="G2201" s="6">
        <v>19505</v>
      </c>
      <c r="H2201" s="6">
        <v>14463</v>
      </c>
      <c r="I2201" s="6">
        <v>22908</v>
      </c>
      <c r="J2201" s="6">
        <v>24256</v>
      </c>
      <c r="K2201" s="6">
        <v>20761</v>
      </c>
    </row>
    <row r="2202" spans="1:11" x14ac:dyDescent="0.25">
      <c r="A2202" s="1">
        <v>0.52777777777777801</v>
      </c>
      <c r="B2202" s="2">
        <v>6.35</v>
      </c>
      <c r="C2202" s="2">
        <v>3.84</v>
      </c>
      <c r="D2202" s="2">
        <v>4.9400000000000004</v>
      </c>
      <c r="E2202" s="2">
        <v>5.49</v>
      </c>
      <c r="F2202" s="2">
        <v>2.92</v>
      </c>
      <c r="G2202" s="6">
        <v>15732</v>
      </c>
      <c r="H2202" s="6">
        <v>20259</v>
      </c>
      <c r="I2202" s="6">
        <v>12820</v>
      </c>
      <c r="J2202" s="6">
        <v>16972</v>
      </c>
      <c r="K2202" s="6">
        <v>13888</v>
      </c>
    </row>
    <row r="2203" spans="1:11" x14ac:dyDescent="0.25">
      <c r="A2203" s="1">
        <v>0.52847222222222201</v>
      </c>
      <c r="B2203" s="2">
        <v>6.34</v>
      </c>
      <c r="C2203" s="2">
        <v>3.63</v>
      </c>
      <c r="D2203" s="2">
        <v>5.2</v>
      </c>
      <c r="E2203" s="2">
        <v>5.3100000000000005</v>
      </c>
      <c r="F2203" s="2">
        <v>3.2</v>
      </c>
      <c r="G2203" s="6">
        <v>14147</v>
      </c>
      <c r="H2203" s="6">
        <v>17950</v>
      </c>
      <c r="I2203" s="6">
        <v>23579</v>
      </c>
      <c r="J2203" s="6">
        <v>21567</v>
      </c>
      <c r="K2203" s="6">
        <v>13482</v>
      </c>
    </row>
    <row r="2204" spans="1:11" x14ac:dyDescent="0.25">
      <c r="A2204" s="1">
        <v>0.52916666666666701</v>
      </c>
      <c r="B2204" s="2">
        <v>6.34</v>
      </c>
      <c r="C2204" s="2">
        <v>3.8600000000000003</v>
      </c>
      <c r="D2204" s="2">
        <v>5.29</v>
      </c>
      <c r="E2204" s="2">
        <v>5.3800000000000008</v>
      </c>
      <c r="F2204" s="2">
        <v>3.18</v>
      </c>
      <c r="G2204" s="6">
        <v>13390</v>
      </c>
      <c r="H2204" s="6">
        <v>15026</v>
      </c>
      <c r="I2204" s="6">
        <v>23202</v>
      </c>
      <c r="J2204" s="6">
        <v>17102</v>
      </c>
      <c r="K2204" s="6">
        <v>28498</v>
      </c>
    </row>
    <row r="2205" spans="1:11" x14ac:dyDescent="0.25">
      <c r="A2205" s="1">
        <v>0.52986111111111101</v>
      </c>
      <c r="B2205" s="2">
        <v>6.09</v>
      </c>
      <c r="C2205" s="2">
        <v>3.87</v>
      </c>
      <c r="D2205" s="2">
        <v>5.15</v>
      </c>
      <c r="E2205" s="2">
        <v>5.53</v>
      </c>
      <c r="F2205" s="2">
        <v>3.38</v>
      </c>
      <c r="G2205" s="6">
        <v>20462</v>
      </c>
      <c r="H2205" s="6">
        <v>13025</v>
      </c>
      <c r="I2205" s="6">
        <v>8478</v>
      </c>
      <c r="J2205" s="6">
        <v>24229</v>
      </c>
      <c r="K2205" s="6">
        <v>25525</v>
      </c>
    </row>
    <row r="2206" spans="1:11" x14ac:dyDescent="0.25">
      <c r="A2206" s="1">
        <v>0.530555555555556</v>
      </c>
      <c r="B2206" s="2">
        <v>6.14</v>
      </c>
      <c r="C2206" s="2">
        <v>3.71</v>
      </c>
      <c r="D2206" s="2">
        <v>5.04</v>
      </c>
      <c r="E2206" s="2">
        <v>5.16</v>
      </c>
      <c r="F2206" s="2">
        <v>2.98</v>
      </c>
      <c r="G2206" s="6">
        <v>20044</v>
      </c>
      <c r="H2206" s="6">
        <v>14315</v>
      </c>
      <c r="I2206" s="6">
        <v>13979</v>
      </c>
      <c r="J2206" s="6">
        <v>16936</v>
      </c>
      <c r="K2206" s="6">
        <v>27901</v>
      </c>
    </row>
    <row r="2207" spans="1:11" x14ac:dyDescent="0.25">
      <c r="A2207" s="1">
        <v>0.53125</v>
      </c>
      <c r="B2207" s="2">
        <v>6.1499999999999995</v>
      </c>
      <c r="C2207" s="2">
        <v>3.69</v>
      </c>
      <c r="D2207" s="2">
        <v>4.91</v>
      </c>
      <c r="E2207" s="2">
        <v>5.29</v>
      </c>
      <c r="F2207" s="2">
        <v>3.31</v>
      </c>
      <c r="G2207" s="6">
        <v>12159</v>
      </c>
      <c r="H2207" s="6">
        <v>17179</v>
      </c>
      <c r="I2207" s="6">
        <v>14483</v>
      </c>
      <c r="J2207" s="6">
        <v>25790</v>
      </c>
      <c r="K2207" s="6">
        <v>19280</v>
      </c>
    </row>
    <row r="2208" spans="1:11" x14ac:dyDescent="0.25">
      <c r="A2208" s="1">
        <v>0.531944444444444</v>
      </c>
      <c r="B2208" s="2">
        <v>6.32</v>
      </c>
      <c r="C2208" s="2">
        <v>3.79</v>
      </c>
      <c r="D2208" s="2">
        <v>5.2</v>
      </c>
      <c r="E2208" s="2">
        <v>5.25</v>
      </c>
      <c r="F2208" s="2">
        <v>3.12</v>
      </c>
      <c r="G2208" s="6">
        <v>19005</v>
      </c>
      <c r="H2208" s="6">
        <v>23773</v>
      </c>
      <c r="I2208" s="6">
        <v>20501</v>
      </c>
      <c r="J2208" s="6">
        <v>26044</v>
      </c>
      <c r="K2208" s="6">
        <v>16435</v>
      </c>
    </row>
    <row r="2209" spans="1:11" x14ac:dyDescent="0.25">
      <c r="A2209" s="1">
        <v>0.53263888888888899</v>
      </c>
      <c r="B2209" s="2">
        <v>6.26</v>
      </c>
      <c r="C2209" s="2">
        <v>3.85</v>
      </c>
      <c r="D2209" s="2">
        <v>4.88</v>
      </c>
      <c r="E2209" s="2">
        <v>5.25</v>
      </c>
      <c r="F2209" s="2">
        <v>3.37</v>
      </c>
      <c r="G2209" s="6">
        <v>22716</v>
      </c>
      <c r="H2209" s="6">
        <v>23451</v>
      </c>
      <c r="I2209" s="6">
        <v>8600</v>
      </c>
      <c r="J2209" s="6">
        <v>26898</v>
      </c>
      <c r="K2209" s="6">
        <v>17559</v>
      </c>
    </row>
    <row r="2210" spans="1:11" x14ac:dyDescent="0.25">
      <c r="A2210" s="1">
        <v>0.53333333333333299</v>
      </c>
      <c r="B2210" s="2">
        <v>6.21</v>
      </c>
      <c r="C2210" s="2">
        <v>3.69</v>
      </c>
      <c r="D2210" s="2">
        <v>5.09</v>
      </c>
      <c r="E2210" s="2">
        <v>5.4300000000000006</v>
      </c>
      <c r="F2210" s="2">
        <v>3.16</v>
      </c>
      <c r="G2210" s="6">
        <v>17362</v>
      </c>
      <c r="H2210" s="6">
        <v>21181</v>
      </c>
      <c r="I2210" s="6">
        <v>7746</v>
      </c>
      <c r="J2210" s="6">
        <v>14771</v>
      </c>
      <c r="K2210" s="6">
        <v>27367</v>
      </c>
    </row>
    <row r="2211" spans="1:11" x14ac:dyDescent="0.25">
      <c r="A2211" s="1">
        <v>0.53402777777777799</v>
      </c>
      <c r="B2211" s="2">
        <v>6.24</v>
      </c>
      <c r="C2211" s="2">
        <v>3.79</v>
      </c>
      <c r="D2211" s="2">
        <v>5.16</v>
      </c>
      <c r="E2211" s="2">
        <v>5</v>
      </c>
      <c r="F2211" s="2">
        <v>2.92</v>
      </c>
      <c r="G2211" s="6">
        <v>11578</v>
      </c>
      <c r="H2211" s="6">
        <v>17122</v>
      </c>
      <c r="I2211" s="6">
        <v>20980</v>
      </c>
      <c r="J2211" s="6">
        <v>18539</v>
      </c>
      <c r="K2211" s="6">
        <v>17742</v>
      </c>
    </row>
    <row r="2212" spans="1:11" x14ac:dyDescent="0.25">
      <c r="A2212" s="1">
        <v>0.53472222222222199</v>
      </c>
      <c r="B2212" s="2">
        <v>6.34</v>
      </c>
      <c r="C2212" s="2">
        <v>3.7600000000000002</v>
      </c>
      <c r="D2212" s="2">
        <v>5</v>
      </c>
      <c r="E2212" s="2">
        <v>5.45</v>
      </c>
      <c r="F2212" s="2">
        <v>2.9</v>
      </c>
      <c r="G2212" s="6">
        <v>21359</v>
      </c>
      <c r="H2212" s="6">
        <v>18289</v>
      </c>
      <c r="I2212" s="6">
        <v>7820</v>
      </c>
      <c r="J2212" s="6">
        <v>17353</v>
      </c>
      <c r="K2212" s="6">
        <v>18397</v>
      </c>
    </row>
    <row r="2213" spans="1:11" x14ac:dyDescent="0.25">
      <c r="A2213" s="1">
        <v>0.53541666666666698</v>
      </c>
      <c r="B2213" s="2">
        <v>6.28</v>
      </c>
      <c r="C2213" s="2">
        <v>3.73</v>
      </c>
      <c r="D2213" s="2">
        <v>5.04</v>
      </c>
      <c r="E2213" s="2">
        <v>5.5400000000000009</v>
      </c>
      <c r="F2213" s="2">
        <v>3.06</v>
      </c>
      <c r="G2213" s="6">
        <v>17436</v>
      </c>
      <c r="H2213" s="6">
        <v>20654</v>
      </c>
      <c r="I2213" s="6">
        <v>13449</v>
      </c>
      <c r="J2213" s="6">
        <v>27347</v>
      </c>
      <c r="K2213" s="6">
        <v>23653</v>
      </c>
    </row>
    <row r="2214" spans="1:11" x14ac:dyDescent="0.25">
      <c r="A2214" s="1">
        <v>0.53611111111111098</v>
      </c>
      <c r="B2214" s="2">
        <v>6.26</v>
      </c>
      <c r="C2214" s="2">
        <v>3.81</v>
      </c>
      <c r="D2214" s="2">
        <v>5.0200000000000005</v>
      </c>
      <c r="E2214" s="2">
        <v>5.45</v>
      </c>
      <c r="F2214" s="2">
        <v>2.93</v>
      </c>
      <c r="G2214" s="6">
        <v>17030</v>
      </c>
      <c r="H2214" s="6">
        <v>11599</v>
      </c>
      <c r="I2214" s="6">
        <v>11885</v>
      </c>
      <c r="J2214" s="6">
        <v>18616</v>
      </c>
      <c r="K2214" s="6">
        <v>25448</v>
      </c>
    </row>
    <row r="2215" spans="1:11" x14ac:dyDescent="0.25">
      <c r="A2215" s="1">
        <v>0.53680555555555598</v>
      </c>
      <c r="B2215" s="2">
        <v>6.1499999999999995</v>
      </c>
      <c r="C2215" s="2">
        <v>3.6</v>
      </c>
      <c r="D2215" s="2">
        <v>5.22</v>
      </c>
      <c r="E2215" s="2">
        <v>5.15</v>
      </c>
      <c r="F2215" s="2">
        <v>3</v>
      </c>
      <c r="G2215" s="6">
        <v>21377</v>
      </c>
      <c r="H2215" s="6">
        <v>24074</v>
      </c>
      <c r="I2215" s="6">
        <v>7867</v>
      </c>
      <c r="J2215" s="6">
        <v>25385</v>
      </c>
      <c r="K2215" s="6">
        <v>26709</v>
      </c>
    </row>
    <row r="2216" spans="1:11" x14ac:dyDescent="0.25">
      <c r="A2216" s="1">
        <v>0.53749999999999998</v>
      </c>
      <c r="B2216" s="2">
        <v>6.28</v>
      </c>
      <c r="C2216" s="2">
        <v>3.64</v>
      </c>
      <c r="D2216" s="2">
        <v>5.34</v>
      </c>
      <c r="E2216" s="2">
        <v>5.19</v>
      </c>
      <c r="F2216" s="2">
        <v>3.0700000000000003</v>
      </c>
      <c r="G2216" s="6">
        <v>12484</v>
      </c>
      <c r="H2216" s="6">
        <v>13433</v>
      </c>
      <c r="I2216" s="6">
        <v>19432</v>
      </c>
      <c r="J2216" s="6">
        <v>20899</v>
      </c>
      <c r="K2216" s="6">
        <v>18072</v>
      </c>
    </row>
    <row r="2217" spans="1:11" x14ac:dyDescent="0.25">
      <c r="A2217" s="1">
        <v>0.53819444444444398</v>
      </c>
      <c r="B2217" s="2">
        <v>6.09</v>
      </c>
      <c r="C2217" s="2">
        <v>3.58</v>
      </c>
      <c r="D2217" s="2">
        <v>5.1400000000000006</v>
      </c>
      <c r="E2217" s="2">
        <v>5.25</v>
      </c>
      <c r="F2217" s="2">
        <v>3.04</v>
      </c>
      <c r="G2217" s="6">
        <v>14984</v>
      </c>
      <c r="H2217" s="6">
        <v>16850</v>
      </c>
      <c r="I2217" s="6">
        <v>14944</v>
      </c>
      <c r="J2217" s="6">
        <v>23683</v>
      </c>
      <c r="K2217" s="6">
        <v>29378</v>
      </c>
    </row>
    <row r="2218" spans="1:11" x14ac:dyDescent="0.25">
      <c r="A2218" s="1">
        <v>0.53888888888888897</v>
      </c>
      <c r="B2218" s="2">
        <v>6.25</v>
      </c>
      <c r="C2218" s="2">
        <v>3.77</v>
      </c>
      <c r="D2218" s="2">
        <v>5.12</v>
      </c>
      <c r="E2218" s="2">
        <v>5.65</v>
      </c>
      <c r="F2218" s="2">
        <v>3.18</v>
      </c>
      <c r="G2218" s="6">
        <v>14134</v>
      </c>
      <c r="H2218" s="6">
        <v>15581</v>
      </c>
      <c r="I2218" s="6">
        <v>21890</v>
      </c>
      <c r="J2218" s="6">
        <v>12456</v>
      </c>
      <c r="K2218" s="6">
        <v>14138</v>
      </c>
    </row>
    <row r="2219" spans="1:11" x14ac:dyDescent="0.25">
      <c r="A2219" s="1">
        <v>0.53958333333333297</v>
      </c>
      <c r="B2219" s="2">
        <v>6.24</v>
      </c>
      <c r="C2219" s="2">
        <v>3.7800000000000002</v>
      </c>
      <c r="D2219" s="2">
        <v>4.97</v>
      </c>
      <c r="E2219" s="2">
        <v>5.36</v>
      </c>
      <c r="F2219" s="2">
        <v>2.89</v>
      </c>
      <c r="G2219" s="6">
        <v>21098</v>
      </c>
      <c r="H2219" s="6">
        <v>24541</v>
      </c>
      <c r="I2219" s="6">
        <v>23797</v>
      </c>
      <c r="J2219" s="6">
        <v>23634</v>
      </c>
      <c r="K2219" s="6">
        <v>14884</v>
      </c>
    </row>
    <row r="2220" spans="1:11" x14ac:dyDescent="0.25">
      <c r="A2220" s="1">
        <v>0.54027777777777797</v>
      </c>
      <c r="B2220" s="2">
        <v>6.13</v>
      </c>
      <c r="C2220" s="2">
        <v>3.8000000000000003</v>
      </c>
      <c r="D2220" s="2">
        <v>5.1100000000000003</v>
      </c>
      <c r="E2220" s="2">
        <v>5</v>
      </c>
      <c r="F2220" s="2">
        <v>3.2600000000000002</v>
      </c>
      <c r="G2220" s="6">
        <v>14945</v>
      </c>
      <c r="H2220" s="6">
        <v>17592</v>
      </c>
      <c r="I2220" s="6">
        <v>8390</v>
      </c>
      <c r="J2220" s="6">
        <v>15162</v>
      </c>
      <c r="K2220" s="6">
        <v>17834</v>
      </c>
    </row>
    <row r="2221" spans="1:11" x14ac:dyDescent="0.25">
      <c r="A2221" s="1">
        <v>0.54097222222222197</v>
      </c>
      <c r="B2221" s="2">
        <v>6.22</v>
      </c>
      <c r="C2221" s="2">
        <v>3.73</v>
      </c>
      <c r="D2221" s="2">
        <v>5.32</v>
      </c>
      <c r="E2221" s="2">
        <v>5.37</v>
      </c>
      <c r="F2221" s="2">
        <v>3.0700000000000003</v>
      </c>
      <c r="G2221" s="6">
        <v>20775</v>
      </c>
      <c r="H2221" s="6">
        <v>17326</v>
      </c>
      <c r="I2221" s="6">
        <v>10215</v>
      </c>
      <c r="J2221" s="6">
        <v>17270</v>
      </c>
      <c r="K2221" s="6">
        <v>28619</v>
      </c>
    </row>
    <row r="2222" spans="1:11" x14ac:dyDescent="0.25">
      <c r="A2222" s="3">
        <v>0.54166666666666696</v>
      </c>
      <c r="B2222" s="2">
        <v>6.21</v>
      </c>
      <c r="C2222" s="2">
        <v>3.74</v>
      </c>
      <c r="D2222" s="2">
        <v>5.1100000000000003</v>
      </c>
      <c r="E2222" s="2">
        <v>5.32</v>
      </c>
      <c r="F2222" s="2">
        <v>3.18</v>
      </c>
      <c r="G2222" s="6">
        <v>21760</v>
      </c>
      <c r="H2222" s="6">
        <v>23060</v>
      </c>
      <c r="I2222" s="6">
        <v>24150</v>
      </c>
      <c r="J2222" s="6">
        <v>25460</v>
      </c>
      <c r="K2222" s="6">
        <v>27150</v>
      </c>
    </row>
    <row r="2223" spans="1:11" x14ac:dyDescent="0.25">
      <c r="A2223" s="1">
        <v>0.54236111111111096</v>
      </c>
      <c r="B2223" s="2">
        <v>6.28</v>
      </c>
      <c r="C2223" s="2">
        <v>3.7</v>
      </c>
      <c r="D2223" s="2">
        <v>4.9400000000000004</v>
      </c>
      <c r="E2223" s="2">
        <v>5.5900000000000007</v>
      </c>
      <c r="F2223" s="2">
        <v>3.0100000000000002</v>
      </c>
      <c r="G2223" s="6">
        <v>18992</v>
      </c>
      <c r="H2223" s="6">
        <v>25877</v>
      </c>
      <c r="I2223" s="6">
        <v>23106</v>
      </c>
      <c r="J2223" s="6">
        <v>20037</v>
      </c>
      <c r="K2223" s="6">
        <v>26206</v>
      </c>
    </row>
    <row r="2224" spans="1:11" x14ac:dyDescent="0.25">
      <c r="A2224" s="1">
        <v>0.54305555555555596</v>
      </c>
      <c r="B2224" s="2">
        <v>6.13</v>
      </c>
      <c r="C2224" s="2">
        <v>3.72</v>
      </c>
      <c r="D2224" s="2">
        <v>5</v>
      </c>
      <c r="E2224" s="2">
        <v>5</v>
      </c>
      <c r="F2224" s="2">
        <v>3.06</v>
      </c>
      <c r="G2224" s="6">
        <v>27425</v>
      </c>
      <c r="H2224" s="6">
        <v>25335</v>
      </c>
      <c r="I2224" s="6">
        <v>27011</v>
      </c>
      <c r="J2224" s="6">
        <v>23574</v>
      </c>
      <c r="K2224" s="6">
        <v>24646</v>
      </c>
    </row>
    <row r="2225" spans="1:11" x14ac:dyDescent="0.25">
      <c r="A2225" s="1">
        <v>0.54374999999999996</v>
      </c>
      <c r="B2225" s="2">
        <v>6.1099999999999994</v>
      </c>
      <c r="C2225" s="2">
        <v>3.7600000000000002</v>
      </c>
      <c r="D2225" s="2">
        <v>4.88</v>
      </c>
      <c r="E2225" s="2">
        <v>5.1800000000000006</v>
      </c>
      <c r="F2225" s="2">
        <v>3.2600000000000002</v>
      </c>
      <c r="G2225" s="6">
        <v>20075</v>
      </c>
      <c r="H2225" s="6">
        <v>30796</v>
      </c>
      <c r="I2225" s="6">
        <v>24867</v>
      </c>
      <c r="J2225" s="6">
        <v>24987</v>
      </c>
      <c r="K2225" s="6">
        <v>23870</v>
      </c>
    </row>
    <row r="2226" spans="1:11" x14ac:dyDescent="0.25">
      <c r="A2226" s="1">
        <v>0.54444444444444495</v>
      </c>
      <c r="B2226" s="2">
        <v>6.17</v>
      </c>
      <c r="C2226" s="2">
        <v>3.7800000000000002</v>
      </c>
      <c r="D2226" s="2">
        <v>5.01</v>
      </c>
      <c r="E2226" s="2">
        <v>5.6400000000000006</v>
      </c>
      <c r="F2226" s="2">
        <v>3.18</v>
      </c>
      <c r="G2226" s="6">
        <v>23632</v>
      </c>
      <c r="H2226" s="6">
        <v>26542</v>
      </c>
      <c r="I2226" s="6">
        <v>26846</v>
      </c>
      <c r="J2226" s="6">
        <v>20132</v>
      </c>
      <c r="K2226" s="6">
        <v>21724</v>
      </c>
    </row>
    <row r="2227" spans="1:11" x14ac:dyDescent="0.25">
      <c r="A2227" s="1">
        <v>0.54513888888888895</v>
      </c>
      <c r="B2227" s="2">
        <v>6.1</v>
      </c>
      <c r="C2227" s="2">
        <v>3.75</v>
      </c>
      <c r="D2227" s="2">
        <v>4.92</v>
      </c>
      <c r="E2227" s="2">
        <v>5.0900000000000007</v>
      </c>
      <c r="F2227" s="2">
        <v>3.0300000000000002</v>
      </c>
      <c r="G2227" s="6">
        <v>28932</v>
      </c>
      <c r="H2227" s="6">
        <v>29599</v>
      </c>
      <c r="I2227" s="6">
        <v>24674</v>
      </c>
      <c r="J2227" s="6">
        <v>23316</v>
      </c>
      <c r="K2227" s="6">
        <v>22437</v>
      </c>
    </row>
    <row r="2228" spans="1:11" x14ac:dyDescent="0.25">
      <c r="A2228" s="1">
        <v>0.54583333333333295</v>
      </c>
      <c r="B2228" s="2">
        <v>6.1899999999999995</v>
      </c>
      <c r="C2228" s="2">
        <v>3.72</v>
      </c>
      <c r="D2228" s="2">
        <v>5.0200000000000005</v>
      </c>
      <c r="E2228" s="2">
        <v>5.57</v>
      </c>
      <c r="F2228" s="2">
        <v>3.31</v>
      </c>
      <c r="G2228" s="6">
        <v>28195</v>
      </c>
      <c r="H2228" s="6">
        <v>30479</v>
      </c>
      <c r="I2228" s="6">
        <v>21584</v>
      </c>
      <c r="J2228" s="6">
        <v>28326</v>
      </c>
      <c r="K2228" s="6">
        <v>26843</v>
      </c>
    </row>
    <row r="2229" spans="1:11" x14ac:dyDescent="0.25">
      <c r="A2229" s="1">
        <v>0.54652777777777795</v>
      </c>
      <c r="B2229" s="2">
        <v>6.28</v>
      </c>
      <c r="C2229" s="2">
        <v>3.68</v>
      </c>
      <c r="D2229" s="2">
        <v>5.1100000000000003</v>
      </c>
      <c r="E2229" s="2">
        <v>5.03</v>
      </c>
      <c r="F2229" s="2">
        <v>3.35</v>
      </c>
      <c r="G2229" s="6">
        <v>28589</v>
      </c>
      <c r="H2229" s="6">
        <v>30473</v>
      </c>
      <c r="I2229" s="6">
        <v>27511</v>
      </c>
      <c r="J2229" s="6">
        <v>28353</v>
      </c>
      <c r="K2229" s="6">
        <v>25894</v>
      </c>
    </row>
    <row r="2230" spans="1:11" x14ac:dyDescent="0.25">
      <c r="A2230" s="1">
        <v>0.54722222222222205</v>
      </c>
      <c r="B2230" s="2">
        <v>6.12</v>
      </c>
      <c r="C2230" s="2">
        <v>3.67</v>
      </c>
      <c r="D2230" s="2">
        <v>5.19</v>
      </c>
      <c r="E2230" s="2">
        <v>5.6300000000000008</v>
      </c>
      <c r="F2230" s="2">
        <v>3.19</v>
      </c>
      <c r="G2230" s="6">
        <v>23847</v>
      </c>
      <c r="H2230" s="6">
        <v>21831</v>
      </c>
      <c r="I2230" s="6">
        <v>25970</v>
      </c>
      <c r="J2230" s="6">
        <v>27019</v>
      </c>
      <c r="K2230" s="6">
        <v>25540</v>
      </c>
    </row>
    <row r="2231" spans="1:11" x14ac:dyDescent="0.25">
      <c r="A2231" s="1">
        <v>0.54791666666666705</v>
      </c>
      <c r="B2231" s="2">
        <v>6.34</v>
      </c>
      <c r="C2231" s="2">
        <v>3.7</v>
      </c>
      <c r="D2231" s="2">
        <v>4.96</v>
      </c>
      <c r="E2231" s="2">
        <v>5.3000000000000007</v>
      </c>
      <c r="F2231" s="2">
        <v>3.33</v>
      </c>
      <c r="G2231" s="6">
        <v>20330</v>
      </c>
      <c r="H2231" s="6">
        <v>27225</v>
      </c>
      <c r="I2231" s="6">
        <v>26451</v>
      </c>
      <c r="J2231" s="6">
        <v>21553</v>
      </c>
      <c r="K2231" s="6">
        <v>23872</v>
      </c>
    </row>
    <row r="2232" spans="1:11" x14ac:dyDescent="0.25">
      <c r="A2232" s="1">
        <v>0.54861111111111105</v>
      </c>
      <c r="B2232" s="2">
        <v>6.35</v>
      </c>
      <c r="C2232" s="2">
        <v>3.62</v>
      </c>
      <c r="D2232" s="2">
        <v>5.32</v>
      </c>
      <c r="E2232" s="2">
        <v>5.28</v>
      </c>
      <c r="F2232" s="2">
        <v>3.13</v>
      </c>
      <c r="G2232" s="6">
        <v>25192</v>
      </c>
      <c r="H2232" s="6">
        <v>29184</v>
      </c>
      <c r="I2232" s="6">
        <v>21071</v>
      </c>
      <c r="J2232" s="6">
        <v>21380</v>
      </c>
      <c r="K2232" s="6">
        <v>26426</v>
      </c>
    </row>
    <row r="2233" spans="1:11" x14ac:dyDescent="0.25">
      <c r="A2233" s="1">
        <v>0.54930555555555605</v>
      </c>
      <c r="B2233" s="2">
        <v>6.27</v>
      </c>
      <c r="C2233" s="2">
        <v>3.6</v>
      </c>
      <c r="D2233" s="2">
        <v>5.1100000000000003</v>
      </c>
      <c r="E2233" s="2">
        <v>5.1300000000000008</v>
      </c>
      <c r="F2233" s="2">
        <v>2.96</v>
      </c>
      <c r="G2233" s="6">
        <v>26974</v>
      </c>
      <c r="H2233" s="6">
        <v>26069</v>
      </c>
      <c r="I2233" s="6">
        <v>25887</v>
      </c>
      <c r="J2233" s="6">
        <v>20280</v>
      </c>
      <c r="K2233" s="6">
        <v>23981</v>
      </c>
    </row>
    <row r="2234" spans="1:11" x14ac:dyDescent="0.25">
      <c r="A2234" s="1">
        <v>0.55000000000000004</v>
      </c>
      <c r="B2234" s="2">
        <v>6.18</v>
      </c>
      <c r="C2234" s="2">
        <v>3.63</v>
      </c>
      <c r="D2234" s="2">
        <v>5.1400000000000006</v>
      </c>
      <c r="E2234" s="2">
        <v>5.12</v>
      </c>
      <c r="F2234" s="2">
        <v>3.12</v>
      </c>
      <c r="G2234" s="6">
        <v>18968</v>
      </c>
      <c r="H2234" s="6">
        <v>26360</v>
      </c>
      <c r="I2234" s="6">
        <v>24530</v>
      </c>
      <c r="J2234" s="6">
        <v>21558</v>
      </c>
      <c r="K2234" s="6">
        <v>22047</v>
      </c>
    </row>
    <row r="2235" spans="1:11" x14ac:dyDescent="0.25">
      <c r="A2235" s="1">
        <v>0.55069444444444404</v>
      </c>
      <c r="B2235" s="2">
        <v>6.14</v>
      </c>
      <c r="C2235" s="2">
        <v>3.8200000000000003</v>
      </c>
      <c r="D2235" s="2">
        <v>4.9000000000000004</v>
      </c>
      <c r="E2235" s="2">
        <v>5.61</v>
      </c>
      <c r="F2235" s="2">
        <v>3.2600000000000002</v>
      </c>
      <c r="G2235" s="6">
        <v>22545</v>
      </c>
      <c r="H2235" s="6">
        <v>30532</v>
      </c>
      <c r="I2235" s="6">
        <v>24874</v>
      </c>
      <c r="J2235" s="6">
        <v>27495</v>
      </c>
      <c r="K2235" s="6">
        <v>22908</v>
      </c>
    </row>
    <row r="2236" spans="1:11" x14ac:dyDescent="0.25">
      <c r="A2236" s="1">
        <v>0.55138888888888904</v>
      </c>
      <c r="B2236" s="2">
        <v>6.29</v>
      </c>
      <c r="C2236" s="2">
        <v>3.61</v>
      </c>
      <c r="D2236" s="2">
        <v>5.2700000000000005</v>
      </c>
      <c r="E2236" s="2">
        <v>5.4200000000000008</v>
      </c>
      <c r="F2236" s="2">
        <v>3.3000000000000003</v>
      </c>
      <c r="G2236" s="6">
        <v>25310</v>
      </c>
      <c r="H2236" s="6">
        <v>32619</v>
      </c>
      <c r="I2236" s="6">
        <v>27692</v>
      </c>
      <c r="J2236" s="6">
        <v>20060</v>
      </c>
      <c r="K2236" s="6">
        <v>24516</v>
      </c>
    </row>
    <row r="2237" spans="1:11" x14ac:dyDescent="0.25">
      <c r="A2237" s="1">
        <v>0.55208333333333304</v>
      </c>
      <c r="B2237" s="2">
        <v>6.32</v>
      </c>
      <c r="C2237" s="2">
        <v>3.8600000000000003</v>
      </c>
      <c r="D2237" s="2">
        <v>5.07</v>
      </c>
      <c r="E2237" s="2">
        <v>5.0100000000000007</v>
      </c>
      <c r="F2237" s="2">
        <v>3.2</v>
      </c>
      <c r="G2237" s="6">
        <v>20201</v>
      </c>
      <c r="H2237" s="6">
        <v>27536</v>
      </c>
      <c r="I2237" s="6">
        <v>20672</v>
      </c>
      <c r="J2237" s="6">
        <v>27639</v>
      </c>
      <c r="K2237" s="6">
        <v>25406</v>
      </c>
    </row>
    <row r="2238" spans="1:11" x14ac:dyDescent="0.25">
      <c r="A2238" s="1">
        <v>0.55277777777777803</v>
      </c>
      <c r="B2238" s="2">
        <v>6.2299999999999995</v>
      </c>
      <c r="C2238" s="2">
        <v>3.8000000000000003</v>
      </c>
      <c r="D2238" s="2">
        <v>4.9400000000000004</v>
      </c>
      <c r="E2238" s="2">
        <v>5.37</v>
      </c>
      <c r="F2238" s="2">
        <v>2.9</v>
      </c>
      <c r="G2238" s="6">
        <v>28047</v>
      </c>
      <c r="H2238" s="6">
        <v>26288</v>
      </c>
      <c r="I2238" s="6">
        <v>25581</v>
      </c>
      <c r="J2238" s="6">
        <v>25263</v>
      </c>
      <c r="K2238" s="6">
        <v>25582</v>
      </c>
    </row>
    <row r="2239" spans="1:11" x14ac:dyDescent="0.25">
      <c r="A2239" s="1">
        <v>0.55347222222222203</v>
      </c>
      <c r="B2239" s="2">
        <v>6.35</v>
      </c>
      <c r="C2239" s="2">
        <v>3.59</v>
      </c>
      <c r="D2239" s="2">
        <v>5.03</v>
      </c>
      <c r="E2239" s="2">
        <v>5.37</v>
      </c>
      <c r="F2239" s="2">
        <v>3.02</v>
      </c>
      <c r="G2239" s="6">
        <v>20711</v>
      </c>
      <c r="H2239" s="6">
        <v>20816</v>
      </c>
      <c r="I2239" s="6">
        <v>22632</v>
      </c>
      <c r="J2239" s="6">
        <v>25816</v>
      </c>
      <c r="K2239" s="6">
        <v>24600</v>
      </c>
    </row>
    <row r="2240" spans="1:11" x14ac:dyDescent="0.25">
      <c r="A2240" s="1">
        <v>0.55416666666666703</v>
      </c>
      <c r="B2240" s="2">
        <v>6.3599999999999994</v>
      </c>
      <c r="C2240" s="2">
        <v>3.84</v>
      </c>
      <c r="D2240" s="2">
        <v>4.93</v>
      </c>
      <c r="E2240" s="2">
        <v>5.4700000000000006</v>
      </c>
      <c r="F2240" s="2">
        <v>3.1500000000000004</v>
      </c>
      <c r="G2240" s="6">
        <v>23926</v>
      </c>
      <c r="H2240" s="6">
        <v>21421</v>
      </c>
      <c r="I2240" s="6">
        <v>24914</v>
      </c>
      <c r="J2240" s="6">
        <v>24304</v>
      </c>
      <c r="K2240" s="6">
        <v>25084</v>
      </c>
    </row>
    <row r="2241" spans="1:11" x14ac:dyDescent="0.25">
      <c r="A2241" s="1">
        <v>0.55486111111111103</v>
      </c>
      <c r="B2241" s="2">
        <v>6.28</v>
      </c>
      <c r="C2241" s="2">
        <v>3.68</v>
      </c>
      <c r="D2241" s="2">
        <v>5.07</v>
      </c>
      <c r="E2241" s="2">
        <v>5.6400000000000006</v>
      </c>
      <c r="F2241" s="2">
        <v>3.22</v>
      </c>
      <c r="G2241" s="6">
        <v>25601</v>
      </c>
      <c r="H2241" s="6">
        <v>26633</v>
      </c>
      <c r="I2241" s="6">
        <v>23655</v>
      </c>
      <c r="J2241" s="6">
        <v>27867</v>
      </c>
      <c r="K2241" s="6">
        <v>22083</v>
      </c>
    </row>
    <row r="2242" spans="1:11" x14ac:dyDescent="0.25">
      <c r="A2242" s="1">
        <v>0.55555555555555602</v>
      </c>
      <c r="B2242" s="2">
        <v>6.14</v>
      </c>
      <c r="C2242" s="2">
        <v>3.72</v>
      </c>
      <c r="D2242" s="2">
        <v>5.07</v>
      </c>
      <c r="E2242" s="2">
        <v>5.3900000000000006</v>
      </c>
      <c r="F2242" s="2">
        <v>3.2</v>
      </c>
      <c r="G2242" s="6">
        <v>21966</v>
      </c>
      <c r="H2242" s="6">
        <v>25749</v>
      </c>
      <c r="I2242" s="6">
        <v>25906</v>
      </c>
      <c r="J2242" s="6">
        <v>21686</v>
      </c>
      <c r="K2242" s="6">
        <v>21696</v>
      </c>
    </row>
    <row r="2243" spans="1:11" x14ac:dyDescent="0.25">
      <c r="A2243" s="1">
        <v>0.55625000000000002</v>
      </c>
      <c r="B2243" s="2">
        <v>6.1499999999999995</v>
      </c>
      <c r="C2243" s="2">
        <v>3.63</v>
      </c>
      <c r="D2243" s="2">
        <v>4.95</v>
      </c>
      <c r="E2243" s="2">
        <v>5.19</v>
      </c>
      <c r="F2243" s="2">
        <v>3.27</v>
      </c>
      <c r="G2243" s="6">
        <v>22459</v>
      </c>
      <c r="H2243" s="6">
        <v>23032</v>
      </c>
      <c r="I2243" s="6">
        <v>23166</v>
      </c>
      <c r="J2243" s="6">
        <v>21938</v>
      </c>
      <c r="K2243" s="6">
        <v>25080</v>
      </c>
    </row>
    <row r="2244" spans="1:11" x14ac:dyDescent="0.25">
      <c r="A2244" s="1">
        <v>0.55694444444444402</v>
      </c>
      <c r="B2244" s="2">
        <v>6.13</v>
      </c>
      <c r="C2244" s="2">
        <v>3.75</v>
      </c>
      <c r="D2244" s="2">
        <v>5.37</v>
      </c>
      <c r="E2244" s="2">
        <v>5.19</v>
      </c>
      <c r="F2244" s="2">
        <v>3.22</v>
      </c>
      <c r="G2244" s="6">
        <v>26568</v>
      </c>
      <c r="H2244" s="6">
        <v>28226</v>
      </c>
      <c r="I2244" s="6">
        <v>21042</v>
      </c>
      <c r="J2244" s="6">
        <v>22611</v>
      </c>
      <c r="K2244" s="6">
        <v>24850</v>
      </c>
    </row>
    <row r="2245" spans="1:11" x14ac:dyDescent="0.25">
      <c r="A2245" s="1">
        <v>0.55763888888888902</v>
      </c>
      <c r="B2245" s="2">
        <v>6.17</v>
      </c>
      <c r="C2245" s="2">
        <v>3.62</v>
      </c>
      <c r="D2245" s="2">
        <v>5.25</v>
      </c>
      <c r="E2245" s="2">
        <v>5.04</v>
      </c>
      <c r="F2245" s="2">
        <v>3.2800000000000002</v>
      </c>
      <c r="G2245" s="6">
        <v>18967</v>
      </c>
      <c r="H2245" s="6">
        <v>29903</v>
      </c>
      <c r="I2245" s="6">
        <v>26292</v>
      </c>
      <c r="J2245" s="6">
        <v>24239</v>
      </c>
      <c r="K2245" s="6">
        <v>27678</v>
      </c>
    </row>
    <row r="2246" spans="1:11" x14ac:dyDescent="0.25">
      <c r="A2246" s="1">
        <v>0.55833333333333302</v>
      </c>
      <c r="B2246" s="2">
        <v>6.1899999999999995</v>
      </c>
      <c r="C2246" s="2">
        <v>3.8000000000000003</v>
      </c>
      <c r="D2246" s="2">
        <v>5.19</v>
      </c>
      <c r="E2246" s="2">
        <v>5.5500000000000007</v>
      </c>
      <c r="F2246" s="2">
        <v>3.39</v>
      </c>
      <c r="G2246" s="6">
        <v>18585</v>
      </c>
      <c r="H2246" s="6">
        <v>21122</v>
      </c>
      <c r="I2246" s="6">
        <v>20114</v>
      </c>
      <c r="J2246" s="6">
        <v>26933</v>
      </c>
      <c r="K2246" s="6">
        <v>25963</v>
      </c>
    </row>
    <row r="2247" spans="1:11" x14ac:dyDescent="0.25">
      <c r="A2247" s="1">
        <v>0.55902777777777801</v>
      </c>
      <c r="B2247" s="2">
        <v>6.1099999999999994</v>
      </c>
      <c r="C2247" s="2">
        <v>3.83</v>
      </c>
      <c r="D2247" s="2">
        <v>5.19</v>
      </c>
      <c r="E2247" s="2">
        <v>5.0200000000000005</v>
      </c>
      <c r="F2247" s="2">
        <v>3.3600000000000003</v>
      </c>
      <c r="G2247" s="6">
        <v>27591</v>
      </c>
      <c r="H2247" s="6">
        <v>24407</v>
      </c>
      <c r="I2247" s="6">
        <v>27418</v>
      </c>
      <c r="J2247" s="6">
        <v>25225</v>
      </c>
      <c r="K2247" s="6">
        <v>25694</v>
      </c>
    </row>
    <row r="2248" spans="1:11" x14ac:dyDescent="0.25">
      <c r="A2248" s="1">
        <v>0.55972222222222201</v>
      </c>
      <c r="B2248" s="2">
        <v>6.3</v>
      </c>
      <c r="C2248" s="2">
        <v>3.7800000000000002</v>
      </c>
      <c r="D2248" s="2">
        <v>4.95</v>
      </c>
      <c r="E2248" s="2">
        <v>5.6000000000000005</v>
      </c>
      <c r="F2248" s="2">
        <v>3.2800000000000002</v>
      </c>
      <c r="G2248" s="6">
        <v>28982</v>
      </c>
      <c r="H2248" s="6">
        <v>28072</v>
      </c>
      <c r="I2248" s="6">
        <v>22834</v>
      </c>
      <c r="J2248" s="6">
        <v>25520</v>
      </c>
      <c r="K2248" s="6">
        <v>25301</v>
      </c>
    </row>
    <row r="2249" spans="1:11" x14ac:dyDescent="0.25">
      <c r="A2249" s="1">
        <v>0.56041666666666701</v>
      </c>
      <c r="B2249" s="2">
        <v>6.1899999999999995</v>
      </c>
      <c r="C2249" s="2">
        <v>3.83</v>
      </c>
      <c r="D2249" s="2">
        <v>5.23</v>
      </c>
      <c r="E2249" s="2">
        <v>5.65</v>
      </c>
      <c r="F2249" s="2">
        <v>3.3200000000000003</v>
      </c>
      <c r="G2249" s="6">
        <v>27615</v>
      </c>
      <c r="H2249" s="6">
        <v>21507</v>
      </c>
      <c r="I2249" s="6">
        <v>24664</v>
      </c>
      <c r="J2249" s="6">
        <v>21659</v>
      </c>
      <c r="K2249" s="6">
        <v>27950</v>
      </c>
    </row>
    <row r="2250" spans="1:11" x14ac:dyDescent="0.25">
      <c r="A2250" s="1">
        <v>0.56111111111111101</v>
      </c>
      <c r="B2250" s="2">
        <v>6.33</v>
      </c>
      <c r="C2250" s="2">
        <v>3.77</v>
      </c>
      <c r="D2250" s="2">
        <v>5.1400000000000006</v>
      </c>
      <c r="E2250" s="2">
        <v>5.2</v>
      </c>
      <c r="F2250" s="2">
        <v>3.27</v>
      </c>
      <c r="G2250" s="6">
        <v>25375</v>
      </c>
      <c r="H2250" s="6">
        <v>27145</v>
      </c>
      <c r="I2250" s="6">
        <v>25036</v>
      </c>
      <c r="J2250" s="6">
        <v>26822</v>
      </c>
      <c r="K2250" s="6">
        <v>21978</v>
      </c>
    </row>
    <row r="2251" spans="1:11" x14ac:dyDescent="0.25">
      <c r="A2251" s="1">
        <v>0.561805555555556</v>
      </c>
      <c r="B2251" s="2">
        <v>6.29</v>
      </c>
      <c r="C2251" s="2">
        <v>3.6</v>
      </c>
      <c r="D2251" s="2">
        <v>5.29</v>
      </c>
      <c r="E2251" s="2">
        <v>5.1700000000000008</v>
      </c>
      <c r="F2251" s="2">
        <v>3.3200000000000003</v>
      </c>
      <c r="G2251" s="6">
        <v>22703</v>
      </c>
      <c r="H2251" s="6">
        <v>30287</v>
      </c>
      <c r="I2251" s="6">
        <v>23822</v>
      </c>
      <c r="J2251" s="6">
        <v>25833</v>
      </c>
      <c r="K2251" s="6">
        <v>28437</v>
      </c>
    </row>
    <row r="2252" spans="1:11" x14ac:dyDescent="0.25">
      <c r="A2252" s="1">
        <v>0.5625</v>
      </c>
      <c r="B2252" s="2">
        <v>6.26</v>
      </c>
      <c r="C2252" s="2">
        <v>3.66</v>
      </c>
      <c r="D2252" s="2">
        <v>4.9400000000000004</v>
      </c>
      <c r="E2252" s="2">
        <v>5.3000000000000007</v>
      </c>
      <c r="F2252" s="2">
        <v>3.13</v>
      </c>
      <c r="G2252" s="6">
        <v>22162</v>
      </c>
      <c r="H2252" s="6">
        <v>27027</v>
      </c>
      <c r="I2252" s="6">
        <v>20416</v>
      </c>
      <c r="J2252" s="6">
        <v>24987</v>
      </c>
      <c r="K2252" s="6">
        <v>25987</v>
      </c>
    </row>
    <row r="2253" spans="1:11" x14ac:dyDescent="0.25">
      <c r="A2253" s="1">
        <v>0.563194444444444</v>
      </c>
      <c r="B2253" s="2">
        <v>6.28</v>
      </c>
      <c r="C2253" s="2">
        <v>3.69</v>
      </c>
      <c r="D2253" s="2">
        <v>5.05</v>
      </c>
      <c r="E2253" s="2">
        <v>5.5600000000000005</v>
      </c>
      <c r="F2253" s="2">
        <v>3.17</v>
      </c>
      <c r="G2253" s="6">
        <v>26581</v>
      </c>
      <c r="H2253" s="6">
        <v>26692</v>
      </c>
      <c r="I2253" s="6">
        <v>19622</v>
      </c>
      <c r="J2253" s="6">
        <v>21499</v>
      </c>
      <c r="K2253" s="6">
        <v>28072</v>
      </c>
    </row>
    <row r="2254" spans="1:11" x14ac:dyDescent="0.25">
      <c r="A2254" s="1">
        <v>0.56388888888888899</v>
      </c>
      <c r="B2254" s="2">
        <v>6.18</v>
      </c>
      <c r="C2254" s="2">
        <v>3.72</v>
      </c>
      <c r="D2254" s="2">
        <v>4.96</v>
      </c>
      <c r="E2254" s="2">
        <v>5.2200000000000006</v>
      </c>
      <c r="F2254" s="2">
        <v>2.97</v>
      </c>
      <c r="G2254" s="6">
        <v>29195</v>
      </c>
      <c r="H2254" s="6">
        <v>20682</v>
      </c>
      <c r="I2254" s="6">
        <v>25143</v>
      </c>
      <c r="J2254" s="6">
        <v>26229</v>
      </c>
      <c r="K2254" s="6">
        <v>23575</v>
      </c>
    </row>
    <row r="2255" spans="1:11" x14ac:dyDescent="0.25">
      <c r="A2255" s="1">
        <v>0.56458333333333299</v>
      </c>
      <c r="B2255" s="2">
        <v>6.13</v>
      </c>
      <c r="C2255" s="2">
        <v>3.7800000000000002</v>
      </c>
      <c r="D2255" s="2">
        <v>5.13</v>
      </c>
      <c r="E2255" s="2">
        <v>5.4200000000000008</v>
      </c>
      <c r="F2255" s="2">
        <v>3.38</v>
      </c>
      <c r="G2255" s="6">
        <v>22953</v>
      </c>
      <c r="H2255" s="6">
        <v>25447</v>
      </c>
      <c r="I2255" s="6">
        <v>25683</v>
      </c>
      <c r="J2255" s="6">
        <v>24479</v>
      </c>
      <c r="K2255" s="6">
        <v>26268</v>
      </c>
    </row>
    <row r="2256" spans="1:11" x14ac:dyDescent="0.25">
      <c r="A2256" s="1">
        <v>0.56527777777777799</v>
      </c>
      <c r="B2256" s="2">
        <v>6.17</v>
      </c>
      <c r="C2256" s="2">
        <v>3.69</v>
      </c>
      <c r="D2256" s="2">
        <v>5.08</v>
      </c>
      <c r="E2256" s="2">
        <v>5.2100000000000009</v>
      </c>
      <c r="F2256" s="2">
        <v>3</v>
      </c>
      <c r="G2256" s="6">
        <v>22323</v>
      </c>
      <c r="H2256" s="6">
        <v>31891</v>
      </c>
      <c r="I2256" s="6">
        <v>19578</v>
      </c>
      <c r="J2256" s="6">
        <v>23628</v>
      </c>
      <c r="K2256" s="6">
        <v>26336</v>
      </c>
    </row>
    <row r="2257" spans="1:11" x14ac:dyDescent="0.25">
      <c r="A2257" s="1">
        <v>0.56597222222222199</v>
      </c>
      <c r="B2257" s="2">
        <v>6.34</v>
      </c>
      <c r="C2257" s="2">
        <v>3.77</v>
      </c>
      <c r="D2257" s="2">
        <v>5.26</v>
      </c>
      <c r="E2257" s="2">
        <v>5.48</v>
      </c>
      <c r="F2257" s="2">
        <v>2.98</v>
      </c>
      <c r="G2257" s="6">
        <v>26133</v>
      </c>
      <c r="H2257" s="6">
        <v>31929</v>
      </c>
      <c r="I2257" s="6">
        <v>28211</v>
      </c>
      <c r="J2257" s="6">
        <v>27026</v>
      </c>
      <c r="K2257" s="6">
        <v>26790</v>
      </c>
    </row>
    <row r="2258" spans="1:11" x14ac:dyDescent="0.25">
      <c r="A2258" s="1">
        <v>0.56666666666666698</v>
      </c>
      <c r="B2258" s="2">
        <v>6.13</v>
      </c>
      <c r="C2258" s="2">
        <v>3.62</v>
      </c>
      <c r="D2258" s="2">
        <v>5.13</v>
      </c>
      <c r="E2258" s="2">
        <v>5.32</v>
      </c>
      <c r="F2258" s="2">
        <v>3.33</v>
      </c>
      <c r="G2258" s="6">
        <v>22115</v>
      </c>
      <c r="H2258" s="6">
        <v>21738</v>
      </c>
      <c r="I2258" s="6">
        <v>19510</v>
      </c>
      <c r="J2258" s="6">
        <v>24352</v>
      </c>
      <c r="K2258" s="6">
        <v>23029</v>
      </c>
    </row>
    <row r="2259" spans="1:11" x14ac:dyDescent="0.25">
      <c r="A2259" s="1">
        <v>0.56736111111111098</v>
      </c>
      <c r="B2259" s="2">
        <v>6.33</v>
      </c>
      <c r="C2259" s="2">
        <v>3.73</v>
      </c>
      <c r="D2259" s="2">
        <v>4.87</v>
      </c>
      <c r="E2259" s="2">
        <v>5.6300000000000008</v>
      </c>
      <c r="F2259" s="2">
        <v>3.12</v>
      </c>
      <c r="G2259" s="6">
        <v>27872</v>
      </c>
      <c r="H2259" s="6">
        <v>23833</v>
      </c>
      <c r="I2259" s="6">
        <v>20536</v>
      </c>
      <c r="J2259" s="6">
        <v>21985</v>
      </c>
      <c r="K2259" s="6">
        <v>22362</v>
      </c>
    </row>
    <row r="2260" spans="1:11" x14ac:dyDescent="0.25">
      <c r="A2260" s="1">
        <v>0.56805555555555598</v>
      </c>
      <c r="B2260" s="2">
        <v>6.34</v>
      </c>
      <c r="C2260" s="2">
        <v>3.77</v>
      </c>
      <c r="D2260" s="2">
        <v>5.34</v>
      </c>
      <c r="E2260" s="2">
        <v>5.2</v>
      </c>
      <c r="F2260" s="2">
        <v>3.04</v>
      </c>
      <c r="G2260" s="6">
        <v>26025</v>
      </c>
      <c r="H2260" s="6">
        <v>22928</v>
      </c>
      <c r="I2260" s="6">
        <v>22170</v>
      </c>
      <c r="J2260" s="6">
        <v>23735</v>
      </c>
      <c r="K2260" s="6">
        <v>22348</v>
      </c>
    </row>
    <row r="2261" spans="1:11" x14ac:dyDescent="0.25">
      <c r="A2261" s="1">
        <v>0.56874999999999998</v>
      </c>
      <c r="B2261" s="2">
        <v>6.1</v>
      </c>
      <c r="C2261" s="2">
        <v>3.83</v>
      </c>
      <c r="D2261" s="2">
        <v>5.19</v>
      </c>
      <c r="E2261" s="2">
        <v>5.1300000000000008</v>
      </c>
      <c r="F2261" s="2">
        <v>3.1</v>
      </c>
      <c r="G2261" s="6">
        <v>28968</v>
      </c>
      <c r="H2261" s="6">
        <v>30085</v>
      </c>
      <c r="I2261" s="6">
        <v>25137</v>
      </c>
      <c r="J2261" s="6">
        <v>25540</v>
      </c>
      <c r="K2261" s="6">
        <v>26312</v>
      </c>
    </row>
    <row r="2262" spans="1:11" x14ac:dyDescent="0.25">
      <c r="A2262" s="1">
        <v>0.56944444444444398</v>
      </c>
      <c r="B2262" s="2">
        <v>6.35</v>
      </c>
      <c r="C2262" s="2">
        <v>3.85</v>
      </c>
      <c r="D2262" s="2">
        <v>5.33</v>
      </c>
      <c r="E2262" s="2">
        <v>5.6000000000000005</v>
      </c>
      <c r="F2262" s="2">
        <v>2.88</v>
      </c>
      <c r="G2262" s="6">
        <v>18918</v>
      </c>
      <c r="H2262" s="6">
        <v>31121</v>
      </c>
      <c r="I2262" s="6">
        <v>25913</v>
      </c>
      <c r="J2262" s="6">
        <v>25951</v>
      </c>
      <c r="K2262" s="6">
        <v>22649</v>
      </c>
    </row>
    <row r="2263" spans="1:11" x14ac:dyDescent="0.25">
      <c r="A2263" s="1">
        <v>0.57013888888888897</v>
      </c>
      <c r="B2263" s="2">
        <v>6.34</v>
      </c>
      <c r="C2263" s="2">
        <v>3.68</v>
      </c>
      <c r="D2263" s="2">
        <v>4.92</v>
      </c>
      <c r="E2263" s="2">
        <v>5.2600000000000007</v>
      </c>
      <c r="F2263" s="2">
        <v>3.31</v>
      </c>
      <c r="G2263" s="6">
        <v>24305</v>
      </c>
      <c r="H2263" s="6">
        <v>23775</v>
      </c>
      <c r="I2263" s="6">
        <v>21066</v>
      </c>
      <c r="J2263" s="6">
        <v>27882</v>
      </c>
      <c r="K2263" s="6">
        <v>23838</v>
      </c>
    </row>
    <row r="2264" spans="1:11" x14ac:dyDescent="0.25">
      <c r="A2264" s="1">
        <v>0.57083333333333297</v>
      </c>
      <c r="B2264" s="2">
        <v>6.34</v>
      </c>
      <c r="C2264" s="2">
        <v>3.62</v>
      </c>
      <c r="D2264" s="2">
        <v>5.35</v>
      </c>
      <c r="E2264" s="2">
        <v>5.1000000000000005</v>
      </c>
      <c r="F2264" s="2">
        <v>2.94</v>
      </c>
      <c r="G2264" s="6">
        <v>23513</v>
      </c>
      <c r="H2264" s="6">
        <v>27261</v>
      </c>
      <c r="I2264" s="6">
        <v>26805</v>
      </c>
      <c r="J2264" s="6">
        <v>26883</v>
      </c>
      <c r="K2264" s="6">
        <v>25427</v>
      </c>
    </row>
    <row r="2265" spans="1:11" x14ac:dyDescent="0.25">
      <c r="A2265" s="1">
        <v>0.57152777777777797</v>
      </c>
      <c r="B2265" s="2">
        <v>6.12</v>
      </c>
      <c r="C2265" s="2">
        <v>3.79</v>
      </c>
      <c r="D2265" s="2">
        <v>5.2700000000000005</v>
      </c>
      <c r="E2265" s="2">
        <v>5.1100000000000003</v>
      </c>
      <c r="F2265" s="2">
        <v>3.21</v>
      </c>
      <c r="G2265" s="6">
        <v>23456</v>
      </c>
      <c r="H2265" s="6">
        <v>32052</v>
      </c>
      <c r="I2265" s="6">
        <v>21891</v>
      </c>
      <c r="J2265" s="6">
        <v>23433</v>
      </c>
      <c r="K2265" s="6">
        <v>23484</v>
      </c>
    </row>
    <row r="2266" spans="1:11" x14ac:dyDescent="0.25">
      <c r="A2266" s="1">
        <v>0.57222222222222197</v>
      </c>
      <c r="B2266" s="2">
        <v>6.09</v>
      </c>
      <c r="C2266" s="2">
        <v>3.71</v>
      </c>
      <c r="D2266" s="2">
        <v>4.9400000000000004</v>
      </c>
      <c r="E2266" s="2">
        <v>5.48</v>
      </c>
      <c r="F2266" s="2">
        <v>3.2800000000000002</v>
      </c>
      <c r="G2266" s="6">
        <v>21920</v>
      </c>
      <c r="H2266" s="6">
        <v>32168</v>
      </c>
      <c r="I2266" s="6">
        <v>23983</v>
      </c>
      <c r="J2266" s="6">
        <v>20845</v>
      </c>
      <c r="K2266" s="6">
        <v>27219</v>
      </c>
    </row>
    <row r="2267" spans="1:11" x14ac:dyDescent="0.25">
      <c r="A2267" s="1">
        <v>0.57291666666666696</v>
      </c>
      <c r="B2267" s="2">
        <v>6.1099999999999994</v>
      </c>
      <c r="C2267" s="2">
        <v>3.77</v>
      </c>
      <c r="D2267" s="2">
        <v>5.19</v>
      </c>
      <c r="E2267" s="2">
        <v>5.0100000000000007</v>
      </c>
      <c r="F2267" s="2">
        <v>3.21</v>
      </c>
      <c r="G2267" s="6">
        <v>25409</v>
      </c>
      <c r="H2267" s="6">
        <v>27238</v>
      </c>
      <c r="I2267" s="6">
        <v>28015</v>
      </c>
      <c r="J2267" s="6">
        <v>20321</v>
      </c>
      <c r="K2267" s="6">
        <v>23568</v>
      </c>
    </row>
    <row r="2268" spans="1:11" x14ac:dyDescent="0.25">
      <c r="A2268" s="1">
        <v>0.57361111111111096</v>
      </c>
      <c r="B2268" s="2">
        <v>6.18</v>
      </c>
      <c r="C2268" s="2">
        <v>3.7800000000000002</v>
      </c>
      <c r="D2268" s="2">
        <v>5.36</v>
      </c>
      <c r="E2268" s="2">
        <v>5.08</v>
      </c>
      <c r="F2268" s="2">
        <v>3.23</v>
      </c>
      <c r="G2268" s="6">
        <v>25924</v>
      </c>
      <c r="H2268" s="6">
        <v>24513</v>
      </c>
      <c r="I2268" s="6">
        <v>22799</v>
      </c>
      <c r="J2268" s="6">
        <v>27178</v>
      </c>
      <c r="K2268" s="6">
        <v>21645</v>
      </c>
    </row>
    <row r="2269" spans="1:11" x14ac:dyDescent="0.25">
      <c r="A2269" s="1">
        <v>0.57430555555555596</v>
      </c>
      <c r="B2269" s="2">
        <v>6.13</v>
      </c>
      <c r="C2269" s="2">
        <v>3.58</v>
      </c>
      <c r="D2269" s="2">
        <v>4.9800000000000004</v>
      </c>
      <c r="E2269" s="2">
        <v>5.58</v>
      </c>
      <c r="F2269" s="2">
        <v>3.0500000000000003</v>
      </c>
      <c r="G2269" s="6">
        <v>24012</v>
      </c>
      <c r="H2269" s="6">
        <v>32628</v>
      </c>
      <c r="I2269" s="6">
        <v>21757</v>
      </c>
      <c r="J2269" s="6">
        <v>24096</v>
      </c>
      <c r="K2269" s="6">
        <v>23080</v>
      </c>
    </row>
    <row r="2270" spans="1:11" x14ac:dyDescent="0.25">
      <c r="A2270" s="1">
        <v>0.57499999999999996</v>
      </c>
      <c r="B2270" s="2">
        <v>6.16</v>
      </c>
      <c r="C2270" s="2">
        <v>3.61</v>
      </c>
      <c r="D2270" s="2">
        <v>5.12</v>
      </c>
      <c r="E2270" s="2">
        <v>4.9800000000000004</v>
      </c>
      <c r="F2270" s="2">
        <v>3.35</v>
      </c>
      <c r="G2270" s="6">
        <v>21836</v>
      </c>
      <c r="H2270" s="6">
        <v>32098</v>
      </c>
      <c r="I2270" s="6">
        <v>26997</v>
      </c>
      <c r="J2270" s="6">
        <v>24795</v>
      </c>
      <c r="K2270" s="6">
        <v>24544</v>
      </c>
    </row>
    <row r="2271" spans="1:11" x14ac:dyDescent="0.25">
      <c r="A2271" s="1">
        <v>0.57569444444444495</v>
      </c>
      <c r="B2271" s="2">
        <v>6.24</v>
      </c>
      <c r="C2271" s="2">
        <v>3.87</v>
      </c>
      <c r="D2271" s="2">
        <v>5.2700000000000005</v>
      </c>
      <c r="E2271" s="2">
        <v>5.25</v>
      </c>
      <c r="F2271" s="2">
        <v>3.24</v>
      </c>
      <c r="G2271" s="6">
        <v>23682</v>
      </c>
      <c r="H2271" s="6">
        <v>25522</v>
      </c>
      <c r="I2271" s="6">
        <v>22421</v>
      </c>
      <c r="J2271" s="6">
        <v>26641</v>
      </c>
      <c r="K2271" s="6">
        <v>24536</v>
      </c>
    </row>
    <row r="2272" spans="1:11" x14ac:dyDescent="0.25">
      <c r="A2272" s="1">
        <v>0.57638888888888895</v>
      </c>
      <c r="B2272" s="2">
        <v>6.1899999999999995</v>
      </c>
      <c r="C2272" s="2">
        <v>3.8600000000000003</v>
      </c>
      <c r="D2272" s="2">
        <v>4.9000000000000004</v>
      </c>
      <c r="E2272" s="2">
        <v>5.62</v>
      </c>
      <c r="F2272" s="2">
        <v>3.0500000000000003</v>
      </c>
      <c r="G2272" s="6">
        <v>28724</v>
      </c>
      <c r="H2272" s="6">
        <v>26293</v>
      </c>
      <c r="I2272" s="6">
        <v>22463</v>
      </c>
      <c r="J2272" s="6">
        <v>23564</v>
      </c>
      <c r="K2272" s="6">
        <v>28001</v>
      </c>
    </row>
    <row r="2273" spans="1:11" x14ac:dyDescent="0.25">
      <c r="A2273" s="1">
        <v>0.57708333333333295</v>
      </c>
      <c r="B2273" s="2">
        <v>6.35</v>
      </c>
      <c r="C2273" s="2">
        <v>3.75</v>
      </c>
      <c r="D2273" s="2">
        <v>5.05</v>
      </c>
      <c r="E2273" s="2">
        <v>5.19</v>
      </c>
      <c r="F2273" s="2">
        <v>3.3600000000000003</v>
      </c>
      <c r="G2273" s="6">
        <v>25525</v>
      </c>
      <c r="H2273" s="6">
        <v>28244</v>
      </c>
      <c r="I2273" s="6">
        <v>22210</v>
      </c>
      <c r="J2273" s="6">
        <v>24876</v>
      </c>
      <c r="K2273" s="6">
        <v>25575</v>
      </c>
    </row>
    <row r="2274" spans="1:11" x14ac:dyDescent="0.25">
      <c r="A2274" s="1">
        <v>0.57777777777777795</v>
      </c>
      <c r="B2274" s="2">
        <v>6.16</v>
      </c>
      <c r="C2274" s="2">
        <v>3.71</v>
      </c>
      <c r="D2274" s="2">
        <v>4.93</v>
      </c>
      <c r="E2274" s="2">
        <v>5.36</v>
      </c>
      <c r="F2274" s="2">
        <v>3.21</v>
      </c>
      <c r="G2274" s="6">
        <v>23603</v>
      </c>
      <c r="H2274" s="6">
        <v>21035</v>
      </c>
      <c r="I2274" s="6">
        <v>20528</v>
      </c>
      <c r="J2274" s="6">
        <v>20887</v>
      </c>
      <c r="K2274" s="6">
        <v>22135</v>
      </c>
    </row>
    <row r="2275" spans="1:11" x14ac:dyDescent="0.25">
      <c r="A2275" s="1">
        <v>0.57847222222222205</v>
      </c>
      <c r="B2275" s="2">
        <v>6.2299999999999995</v>
      </c>
      <c r="C2275" s="2">
        <v>3.66</v>
      </c>
      <c r="D2275" s="2">
        <v>4.96</v>
      </c>
      <c r="E2275" s="2">
        <v>5.29</v>
      </c>
      <c r="F2275" s="2">
        <v>3.0700000000000003</v>
      </c>
      <c r="G2275" s="6">
        <v>24417</v>
      </c>
      <c r="H2275" s="6">
        <v>24617</v>
      </c>
      <c r="I2275" s="6">
        <v>23308</v>
      </c>
      <c r="J2275" s="6">
        <v>28253</v>
      </c>
      <c r="K2275" s="6">
        <v>25052</v>
      </c>
    </row>
    <row r="2276" spans="1:11" x14ac:dyDescent="0.25">
      <c r="A2276" s="1">
        <v>0.57916666666666705</v>
      </c>
      <c r="B2276" s="2">
        <v>6.35</v>
      </c>
      <c r="C2276" s="2">
        <v>3.71</v>
      </c>
      <c r="D2276" s="2">
        <v>5.05</v>
      </c>
      <c r="E2276" s="2">
        <v>5.53</v>
      </c>
      <c r="F2276" s="2">
        <v>3.38</v>
      </c>
      <c r="G2276" s="6">
        <v>22277</v>
      </c>
      <c r="H2276" s="6">
        <v>24543</v>
      </c>
      <c r="I2276" s="6">
        <v>23453</v>
      </c>
      <c r="J2276" s="6">
        <v>25777</v>
      </c>
      <c r="K2276" s="6">
        <v>27870</v>
      </c>
    </row>
    <row r="2277" spans="1:11" x14ac:dyDescent="0.25">
      <c r="A2277" s="1">
        <v>0.57986111111111105</v>
      </c>
      <c r="B2277" s="2">
        <v>6.1099999999999994</v>
      </c>
      <c r="C2277" s="2">
        <v>3.62</v>
      </c>
      <c r="D2277" s="2">
        <v>5.05</v>
      </c>
      <c r="E2277" s="2">
        <v>5.5</v>
      </c>
      <c r="F2277" s="2">
        <v>3.13</v>
      </c>
      <c r="G2277" s="6">
        <v>27097</v>
      </c>
      <c r="H2277" s="6">
        <v>25537</v>
      </c>
      <c r="I2277" s="6">
        <v>19569</v>
      </c>
      <c r="J2277" s="6">
        <v>24614</v>
      </c>
      <c r="K2277" s="6">
        <v>23418</v>
      </c>
    </row>
    <row r="2278" spans="1:11" x14ac:dyDescent="0.25">
      <c r="A2278" s="1">
        <v>0.58055555555555605</v>
      </c>
      <c r="B2278" s="2">
        <v>6.22</v>
      </c>
      <c r="C2278" s="2">
        <v>3.85</v>
      </c>
      <c r="D2278" s="2">
        <v>5.23</v>
      </c>
      <c r="E2278" s="2">
        <v>5.2200000000000006</v>
      </c>
      <c r="F2278" s="2">
        <v>3.33</v>
      </c>
      <c r="G2278" s="6">
        <v>19518</v>
      </c>
      <c r="H2278" s="6">
        <v>31671</v>
      </c>
      <c r="I2278" s="6">
        <v>20694</v>
      </c>
      <c r="J2278" s="6">
        <v>21591</v>
      </c>
      <c r="K2278" s="6">
        <v>24345</v>
      </c>
    </row>
    <row r="2279" spans="1:11" x14ac:dyDescent="0.25">
      <c r="A2279" s="1">
        <v>0.58125000000000004</v>
      </c>
      <c r="B2279" s="2">
        <v>6.16</v>
      </c>
      <c r="C2279" s="2">
        <v>3.7800000000000002</v>
      </c>
      <c r="D2279" s="2">
        <v>5.25</v>
      </c>
      <c r="E2279" s="2">
        <v>5.6300000000000008</v>
      </c>
      <c r="F2279" s="2">
        <v>2.91</v>
      </c>
      <c r="G2279" s="6">
        <v>26461</v>
      </c>
      <c r="H2279" s="6">
        <v>24807</v>
      </c>
      <c r="I2279" s="6">
        <v>21254</v>
      </c>
      <c r="J2279" s="6">
        <v>20033</v>
      </c>
      <c r="K2279" s="6">
        <v>26093</v>
      </c>
    </row>
    <row r="2280" spans="1:11" x14ac:dyDescent="0.25">
      <c r="A2280" s="1">
        <v>0.58194444444444404</v>
      </c>
      <c r="B2280" s="2">
        <v>6.29</v>
      </c>
      <c r="C2280" s="2">
        <v>3.61</v>
      </c>
      <c r="D2280" s="2">
        <v>5.2700000000000005</v>
      </c>
      <c r="E2280" s="2">
        <v>5.6400000000000006</v>
      </c>
      <c r="F2280" s="2">
        <v>2.87</v>
      </c>
      <c r="G2280" s="6">
        <v>27369</v>
      </c>
      <c r="H2280" s="6">
        <v>28325</v>
      </c>
      <c r="I2280" s="6">
        <v>27520</v>
      </c>
      <c r="J2280" s="6">
        <v>20077</v>
      </c>
      <c r="K2280" s="6">
        <v>23853</v>
      </c>
    </row>
    <row r="2281" spans="1:11" x14ac:dyDescent="0.25">
      <c r="A2281" s="1">
        <v>0.58263888888888904</v>
      </c>
      <c r="B2281" s="2">
        <v>6.33</v>
      </c>
      <c r="C2281" s="2">
        <v>3.8200000000000003</v>
      </c>
      <c r="D2281" s="2">
        <v>5.37</v>
      </c>
      <c r="E2281" s="2">
        <v>5.41</v>
      </c>
      <c r="F2281" s="2">
        <v>2.99</v>
      </c>
      <c r="G2281" s="6">
        <v>25284</v>
      </c>
      <c r="H2281" s="6">
        <v>28587</v>
      </c>
      <c r="I2281" s="6">
        <v>24940</v>
      </c>
      <c r="J2281" s="6">
        <v>24842</v>
      </c>
      <c r="K2281" s="6">
        <v>26244</v>
      </c>
    </row>
    <row r="2282" spans="1:11" x14ac:dyDescent="0.25">
      <c r="A2282" s="3">
        <v>0.58333333333333304</v>
      </c>
      <c r="B2282" s="2">
        <v>6.21</v>
      </c>
      <c r="C2282" s="2">
        <v>3.74</v>
      </c>
      <c r="D2282" s="2">
        <v>5.1100000000000003</v>
      </c>
      <c r="E2282" s="2">
        <v>5.32</v>
      </c>
      <c r="F2282" s="2">
        <v>3.18</v>
      </c>
      <c r="G2282" s="6">
        <v>26422</v>
      </c>
      <c r="H2282" s="6">
        <v>29313</v>
      </c>
      <c r="I2282" s="6">
        <v>25421</v>
      </c>
      <c r="J2282" s="6">
        <v>24344</v>
      </c>
      <c r="K2282" s="6">
        <v>27454</v>
      </c>
    </row>
    <row r="2283" spans="1:11" x14ac:dyDescent="0.25">
      <c r="A2283" s="1">
        <v>0.58402777777777803</v>
      </c>
      <c r="B2283" s="2">
        <v>6.09</v>
      </c>
      <c r="C2283" s="2">
        <v>3.79</v>
      </c>
      <c r="D2283" s="2">
        <v>5.28</v>
      </c>
      <c r="E2283" s="2">
        <v>5.36</v>
      </c>
      <c r="F2283" s="2">
        <v>3.33</v>
      </c>
      <c r="G2283" s="6">
        <v>12135</v>
      </c>
      <c r="H2283" s="6">
        <v>29734</v>
      </c>
      <c r="I2283" s="6">
        <v>24819</v>
      </c>
      <c r="J2283" s="6">
        <v>23778</v>
      </c>
      <c r="K2283" s="6">
        <v>22069</v>
      </c>
    </row>
    <row r="2284" spans="1:11" x14ac:dyDescent="0.25">
      <c r="A2284" s="1">
        <v>0.58472222222222203</v>
      </c>
      <c r="B2284" s="2">
        <v>6.16</v>
      </c>
      <c r="C2284" s="2">
        <v>3.75</v>
      </c>
      <c r="D2284" s="2">
        <v>4.96</v>
      </c>
      <c r="E2284" s="2">
        <v>5.65</v>
      </c>
      <c r="F2284" s="2">
        <v>2.89</v>
      </c>
      <c r="G2284" s="6">
        <v>22604</v>
      </c>
      <c r="H2284" s="6">
        <v>10967</v>
      </c>
      <c r="I2284" s="6">
        <v>9892</v>
      </c>
      <c r="J2284" s="6">
        <v>16143</v>
      </c>
      <c r="K2284" s="6">
        <v>18738</v>
      </c>
    </row>
    <row r="2285" spans="1:11" x14ac:dyDescent="0.25">
      <c r="A2285" s="1">
        <v>0.58541666666666703</v>
      </c>
      <c r="B2285" s="2">
        <v>6.31</v>
      </c>
      <c r="C2285" s="2">
        <v>3.8600000000000003</v>
      </c>
      <c r="D2285" s="2">
        <v>5.24</v>
      </c>
      <c r="E2285" s="2">
        <v>5.3100000000000005</v>
      </c>
      <c r="F2285" s="2">
        <v>3.04</v>
      </c>
      <c r="G2285" s="6">
        <v>20603</v>
      </c>
      <c r="H2285" s="6">
        <v>11206</v>
      </c>
      <c r="I2285" s="6">
        <v>25172</v>
      </c>
      <c r="J2285" s="6">
        <v>20120</v>
      </c>
      <c r="K2285" s="6">
        <v>19366</v>
      </c>
    </row>
    <row r="2286" spans="1:11" x14ac:dyDescent="0.25">
      <c r="A2286" s="1">
        <v>0.58611111111111103</v>
      </c>
      <c r="B2286" s="2">
        <v>6.32</v>
      </c>
      <c r="C2286" s="2">
        <v>3.59</v>
      </c>
      <c r="D2286" s="2">
        <v>4.99</v>
      </c>
      <c r="E2286" s="2">
        <v>5.5600000000000005</v>
      </c>
      <c r="F2286" s="2">
        <v>3.25</v>
      </c>
      <c r="G2286" s="6">
        <v>26604</v>
      </c>
      <c r="H2286" s="6">
        <v>17853</v>
      </c>
      <c r="I2286" s="6">
        <v>3704</v>
      </c>
      <c r="J2286" s="6">
        <v>20160</v>
      </c>
      <c r="K2286" s="6">
        <v>20620</v>
      </c>
    </row>
    <row r="2287" spans="1:11" x14ac:dyDescent="0.25">
      <c r="A2287" s="1">
        <v>0.58680555555555602</v>
      </c>
      <c r="B2287" s="2">
        <v>6.24</v>
      </c>
      <c r="C2287" s="2">
        <v>3.74</v>
      </c>
      <c r="D2287" s="2">
        <v>5.2</v>
      </c>
      <c r="E2287" s="2">
        <v>5.33</v>
      </c>
      <c r="F2287" s="2">
        <v>3.27</v>
      </c>
      <c r="G2287" s="6">
        <v>7109</v>
      </c>
      <c r="H2287" s="6">
        <v>17176</v>
      </c>
      <c r="I2287" s="6">
        <v>4969</v>
      </c>
      <c r="J2287" s="6">
        <v>9929</v>
      </c>
      <c r="K2287" s="6">
        <v>6259</v>
      </c>
    </row>
    <row r="2288" spans="1:11" x14ac:dyDescent="0.25">
      <c r="A2288" s="1">
        <v>0.58750000000000002</v>
      </c>
      <c r="B2288" s="2">
        <v>6.32</v>
      </c>
      <c r="C2288" s="2">
        <v>3.67</v>
      </c>
      <c r="D2288" s="2">
        <v>5.0600000000000005</v>
      </c>
      <c r="E2288" s="2">
        <v>5.6400000000000006</v>
      </c>
      <c r="F2288" s="2">
        <v>2.96</v>
      </c>
      <c r="G2288" s="6">
        <v>26707</v>
      </c>
      <c r="H2288" s="6">
        <v>8897</v>
      </c>
      <c r="I2288" s="6">
        <v>23842</v>
      </c>
      <c r="J2288" s="6">
        <v>15279</v>
      </c>
      <c r="K2288" s="6">
        <v>8644</v>
      </c>
    </row>
    <row r="2289" spans="1:11" x14ac:dyDescent="0.25">
      <c r="A2289" s="1">
        <v>0.58819444444444402</v>
      </c>
      <c r="B2289" s="2">
        <v>6.33</v>
      </c>
      <c r="C2289" s="2">
        <v>3.6</v>
      </c>
      <c r="D2289" s="2">
        <v>4.97</v>
      </c>
      <c r="E2289" s="2">
        <v>5.13</v>
      </c>
      <c r="F2289" s="2">
        <v>3.33</v>
      </c>
      <c r="G2289" s="6">
        <v>23273</v>
      </c>
      <c r="H2289" s="6">
        <v>20246</v>
      </c>
      <c r="I2289" s="6">
        <v>11810</v>
      </c>
      <c r="J2289" s="6">
        <v>25010</v>
      </c>
      <c r="K2289" s="6">
        <v>17806</v>
      </c>
    </row>
    <row r="2290" spans="1:11" x14ac:dyDescent="0.25">
      <c r="A2290" s="1">
        <v>0.58888888888888902</v>
      </c>
      <c r="B2290" s="2">
        <v>6.1899999999999995</v>
      </c>
      <c r="C2290" s="2">
        <v>3.75</v>
      </c>
      <c r="D2290" s="2">
        <v>5.3</v>
      </c>
      <c r="E2290" s="2">
        <v>5.51</v>
      </c>
      <c r="F2290" s="2">
        <v>3.21</v>
      </c>
      <c r="G2290" s="6">
        <v>27478</v>
      </c>
      <c r="H2290" s="6">
        <v>12875</v>
      </c>
      <c r="I2290" s="6">
        <v>9636</v>
      </c>
      <c r="J2290" s="6">
        <v>25761</v>
      </c>
      <c r="K2290" s="6">
        <v>11487</v>
      </c>
    </row>
    <row r="2291" spans="1:11" x14ac:dyDescent="0.25">
      <c r="A2291" s="1">
        <v>0.58958333333333302</v>
      </c>
      <c r="B2291" s="2">
        <v>6.28</v>
      </c>
      <c r="C2291" s="2">
        <v>3.62</v>
      </c>
      <c r="D2291" s="2">
        <v>4.9000000000000004</v>
      </c>
      <c r="E2291" s="2">
        <v>5.4</v>
      </c>
      <c r="F2291" s="2">
        <v>3.19</v>
      </c>
      <c r="G2291" s="6">
        <v>7742</v>
      </c>
      <c r="H2291" s="6">
        <v>20818</v>
      </c>
      <c r="I2291" s="6">
        <v>4124</v>
      </c>
      <c r="J2291" s="6">
        <v>24663</v>
      </c>
      <c r="K2291" s="6">
        <v>22796</v>
      </c>
    </row>
    <row r="2292" spans="1:11" x14ac:dyDescent="0.25">
      <c r="A2292" s="1">
        <v>0.59027777777777801</v>
      </c>
      <c r="B2292" s="2">
        <v>6.1899999999999995</v>
      </c>
      <c r="C2292" s="2">
        <v>3.58</v>
      </c>
      <c r="D2292" s="2">
        <v>5.22</v>
      </c>
      <c r="E2292" s="2">
        <v>5.21</v>
      </c>
      <c r="F2292" s="2">
        <v>2.91</v>
      </c>
      <c r="G2292" s="6">
        <v>21029</v>
      </c>
      <c r="H2292" s="6">
        <v>13460</v>
      </c>
      <c r="I2292" s="6">
        <v>4024</v>
      </c>
      <c r="J2292" s="6">
        <v>12269</v>
      </c>
      <c r="K2292" s="6">
        <v>15378</v>
      </c>
    </row>
    <row r="2293" spans="1:11" x14ac:dyDescent="0.25">
      <c r="A2293" s="1">
        <v>0.59097222222222201</v>
      </c>
      <c r="B2293" s="2">
        <v>6.26</v>
      </c>
      <c r="C2293" s="2">
        <v>3.83</v>
      </c>
      <c r="D2293" s="2">
        <v>5.3100000000000005</v>
      </c>
      <c r="E2293" s="2">
        <v>5.19</v>
      </c>
      <c r="F2293" s="2">
        <v>2.87</v>
      </c>
      <c r="G2293" s="6">
        <v>9780</v>
      </c>
      <c r="H2293" s="6">
        <v>15225</v>
      </c>
      <c r="I2293" s="6">
        <v>7202</v>
      </c>
      <c r="J2293" s="6">
        <v>24538</v>
      </c>
      <c r="K2293" s="6">
        <v>23476</v>
      </c>
    </row>
    <row r="2294" spans="1:11" x14ac:dyDescent="0.25">
      <c r="A2294" s="1">
        <v>0.59166666666666701</v>
      </c>
      <c r="B2294" s="2">
        <v>6.1899999999999995</v>
      </c>
      <c r="C2294" s="2">
        <v>3.62</v>
      </c>
      <c r="D2294" s="2">
        <v>5.05</v>
      </c>
      <c r="E2294" s="2">
        <v>5.07</v>
      </c>
      <c r="F2294" s="2">
        <v>3.33</v>
      </c>
      <c r="G2294" s="6">
        <v>21986</v>
      </c>
      <c r="H2294" s="6">
        <v>8055</v>
      </c>
      <c r="I2294" s="6">
        <v>16118</v>
      </c>
      <c r="J2294" s="6">
        <v>17655</v>
      </c>
      <c r="K2294" s="6">
        <v>16692</v>
      </c>
    </row>
    <row r="2295" spans="1:11" x14ac:dyDescent="0.25">
      <c r="A2295" s="1">
        <v>0.59236111111111101</v>
      </c>
      <c r="B2295" s="2">
        <v>6.21</v>
      </c>
      <c r="C2295" s="2">
        <v>3.62</v>
      </c>
      <c r="D2295" s="2">
        <v>5.03</v>
      </c>
      <c r="E2295" s="2">
        <v>5.6000000000000005</v>
      </c>
      <c r="F2295" s="2">
        <v>3.02</v>
      </c>
      <c r="G2295" s="6">
        <v>24572</v>
      </c>
      <c r="H2295" s="6">
        <v>27530</v>
      </c>
      <c r="I2295" s="6">
        <v>12410</v>
      </c>
      <c r="J2295" s="6">
        <v>17792</v>
      </c>
      <c r="K2295" s="6">
        <v>21357</v>
      </c>
    </row>
    <row r="2296" spans="1:11" x14ac:dyDescent="0.25">
      <c r="A2296" s="1">
        <v>0.593055555555556</v>
      </c>
      <c r="B2296" s="2">
        <v>6.14</v>
      </c>
      <c r="C2296" s="2">
        <v>3.66</v>
      </c>
      <c r="D2296" s="2">
        <v>5.33</v>
      </c>
      <c r="E2296" s="2">
        <v>5.36</v>
      </c>
      <c r="F2296" s="2">
        <v>3.0100000000000002</v>
      </c>
      <c r="G2296" s="6">
        <v>23296</v>
      </c>
      <c r="H2296" s="6">
        <v>22696</v>
      </c>
      <c r="I2296" s="6">
        <v>15693</v>
      </c>
      <c r="J2296" s="6">
        <v>23232</v>
      </c>
      <c r="K2296" s="6">
        <v>19959</v>
      </c>
    </row>
    <row r="2297" spans="1:11" x14ac:dyDescent="0.25">
      <c r="A2297" s="1">
        <v>0.59375</v>
      </c>
      <c r="B2297" s="2">
        <v>6.14</v>
      </c>
      <c r="C2297" s="2">
        <v>3.73</v>
      </c>
      <c r="D2297" s="2">
        <v>5.2</v>
      </c>
      <c r="E2297" s="2">
        <v>5.46</v>
      </c>
      <c r="F2297" s="2">
        <v>2.92</v>
      </c>
      <c r="G2297" s="6">
        <v>18147</v>
      </c>
      <c r="H2297" s="6">
        <v>28065</v>
      </c>
      <c r="I2297" s="6">
        <v>5136</v>
      </c>
      <c r="J2297" s="6">
        <v>26031</v>
      </c>
      <c r="K2297" s="6">
        <v>13694</v>
      </c>
    </row>
    <row r="2298" spans="1:11" x14ac:dyDescent="0.25">
      <c r="A2298" s="1">
        <v>0.594444444444444</v>
      </c>
      <c r="B2298" s="2">
        <v>6.09</v>
      </c>
      <c r="C2298" s="2">
        <v>3.8600000000000003</v>
      </c>
      <c r="D2298" s="2">
        <v>4.8899999999999997</v>
      </c>
      <c r="E2298" s="2">
        <v>5.08</v>
      </c>
      <c r="F2298" s="2">
        <v>3.33</v>
      </c>
      <c r="G2298" s="6">
        <v>5208</v>
      </c>
      <c r="H2298" s="6">
        <v>25568</v>
      </c>
      <c r="I2298" s="6">
        <v>20405</v>
      </c>
      <c r="J2298" s="6">
        <v>24109</v>
      </c>
      <c r="K2298" s="6">
        <v>19896</v>
      </c>
    </row>
    <row r="2299" spans="1:11" x14ac:dyDescent="0.25">
      <c r="A2299" s="1">
        <v>0.59513888888888899</v>
      </c>
      <c r="B2299" s="2">
        <v>6.29</v>
      </c>
      <c r="C2299" s="2">
        <v>3.7800000000000002</v>
      </c>
      <c r="D2299" s="2">
        <v>5.04</v>
      </c>
      <c r="E2299" s="2">
        <v>5.3900000000000006</v>
      </c>
      <c r="F2299" s="2">
        <v>3.25</v>
      </c>
      <c r="G2299" s="6">
        <v>8073</v>
      </c>
      <c r="H2299" s="6">
        <v>9078</v>
      </c>
      <c r="I2299" s="6">
        <v>10977</v>
      </c>
      <c r="J2299" s="6">
        <v>14522</v>
      </c>
      <c r="K2299" s="6">
        <v>18861</v>
      </c>
    </row>
    <row r="2300" spans="1:11" x14ac:dyDescent="0.25">
      <c r="A2300" s="1">
        <v>0.59583333333333299</v>
      </c>
      <c r="B2300" s="2">
        <v>6.32</v>
      </c>
      <c r="C2300" s="2">
        <v>3.65</v>
      </c>
      <c r="D2300" s="2">
        <v>5.25</v>
      </c>
      <c r="E2300" s="2">
        <v>5.33</v>
      </c>
      <c r="F2300" s="2">
        <v>3.38</v>
      </c>
      <c r="G2300" s="6">
        <v>16122</v>
      </c>
      <c r="H2300" s="6">
        <v>6427</v>
      </c>
      <c r="I2300" s="6">
        <v>14207</v>
      </c>
      <c r="J2300" s="6">
        <v>11935</v>
      </c>
      <c r="K2300" s="6">
        <v>10850</v>
      </c>
    </row>
    <row r="2301" spans="1:11" x14ac:dyDescent="0.25">
      <c r="A2301" s="1">
        <v>0.59652777777777799</v>
      </c>
      <c r="B2301" s="2">
        <v>6.33</v>
      </c>
      <c r="C2301" s="2">
        <v>3.62</v>
      </c>
      <c r="D2301" s="2">
        <v>5.19</v>
      </c>
      <c r="E2301" s="2">
        <v>5.66</v>
      </c>
      <c r="F2301" s="2">
        <v>3.0100000000000002</v>
      </c>
      <c r="G2301" s="6">
        <v>24277</v>
      </c>
      <c r="H2301" s="6">
        <v>28295</v>
      </c>
      <c r="I2301" s="6">
        <v>9845</v>
      </c>
      <c r="J2301" s="6">
        <v>20033</v>
      </c>
      <c r="K2301" s="6">
        <v>19501</v>
      </c>
    </row>
    <row r="2302" spans="1:11" x14ac:dyDescent="0.25">
      <c r="A2302" s="1">
        <v>0.59722222222222199</v>
      </c>
      <c r="B2302" s="2">
        <v>6.16</v>
      </c>
      <c r="C2302" s="2">
        <v>3.84</v>
      </c>
      <c r="D2302" s="2">
        <v>5.25</v>
      </c>
      <c r="E2302" s="2">
        <v>5</v>
      </c>
      <c r="F2302" s="2">
        <v>3.31</v>
      </c>
      <c r="G2302" s="6">
        <v>15044</v>
      </c>
      <c r="H2302" s="6">
        <v>29695</v>
      </c>
      <c r="I2302" s="6">
        <v>11226</v>
      </c>
      <c r="J2302" s="6">
        <v>15097</v>
      </c>
      <c r="K2302" s="6">
        <v>14737</v>
      </c>
    </row>
    <row r="2303" spans="1:11" x14ac:dyDescent="0.25">
      <c r="A2303" s="1">
        <v>0.59791666666666698</v>
      </c>
      <c r="B2303" s="2">
        <v>6.18</v>
      </c>
      <c r="C2303" s="2">
        <v>3.79</v>
      </c>
      <c r="D2303" s="2">
        <v>5.13</v>
      </c>
      <c r="E2303" s="2">
        <v>5.57</v>
      </c>
      <c r="F2303" s="2">
        <v>3.17</v>
      </c>
      <c r="G2303" s="6">
        <v>19478</v>
      </c>
      <c r="H2303" s="6">
        <v>12881</v>
      </c>
      <c r="I2303" s="6">
        <v>6564</v>
      </c>
      <c r="J2303" s="6">
        <v>19367</v>
      </c>
      <c r="K2303" s="6">
        <v>21325</v>
      </c>
    </row>
    <row r="2304" spans="1:11" x14ac:dyDescent="0.25">
      <c r="A2304" s="1">
        <v>0.59861111111111098</v>
      </c>
      <c r="B2304" s="2">
        <v>6.1899999999999995</v>
      </c>
      <c r="C2304" s="2">
        <v>3.7600000000000002</v>
      </c>
      <c r="D2304" s="2">
        <v>5.19</v>
      </c>
      <c r="E2304" s="2">
        <v>5.1400000000000006</v>
      </c>
      <c r="F2304" s="2">
        <v>2.99</v>
      </c>
      <c r="G2304" s="6">
        <v>8686</v>
      </c>
      <c r="H2304" s="6">
        <v>26114</v>
      </c>
      <c r="I2304" s="6">
        <v>14982</v>
      </c>
      <c r="J2304" s="6">
        <v>25945</v>
      </c>
      <c r="K2304" s="6">
        <v>9220</v>
      </c>
    </row>
    <row r="2305" spans="1:11" x14ac:dyDescent="0.25">
      <c r="A2305" s="1">
        <v>0.59930555555555598</v>
      </c>
      <c r="B2305" s="2">
        <v>6.27</v>
      </c>
      <c r="C2305" s="2">
        <v>3.83</v>
      </c>
      <c r="D2305" s="2">
        <v>5.36</v>
      </c>
      <c r="E2305" s="2">
        <v>5.24</v>
      </c>
      <c r="F2305" s="2">
        <v>2.95</v>
      </c>
      <c r="G2305" s="6">
        <v>20077</v>
      </c>
      <c r="H2305" s="6">
        <v>29121</v>
      </c>
      <c r="I2305" s="6">
        <v>5008</v>
      </c>
      <c r="J2305" s="6">
        <v>6443</v>
      </c>
      <c r="K2305" s="6">
        <v>11863</v>
      </c>
    </row>
    <row r="2306" spans="1:11" x14ac:dyDescent="0.25">
      <c r="A2306" s="1">
        <v>0.6</v>
      </c>
      <c r="B2306" s="2">
        <v>6.09</v>
      </c>
      <c r="C2306" s="2">
        <v>3.74</v>
      </c>
      <c r="D2306" s="2">
        <v>4.92</v>
      </c>
      <c r="E2306" s="2">
        <v>5.2</v>
      </c>
      <c r="F2306" s="2">
        <v>3.12</v>
      </c>
      <c r="G2306" s="6">
        <v>17463</v>
      </c>
      <c r="H2306" s="6">
        <v>25237</v>
      </c>
      <c r="I2306" s="6">
        <v>16168</v>
      </c>
      <c r="J2306" s="6">
        <v>19437</v>
      </c>
      <c r="K2306" s="6">
        <v>22947</v>
      </c>
    </row>
    <row r="2307" spans="1:11" x14ac:dyDescent="0.25">
      <c r="A2307" s="1">
        <v>0.60069444444444398</v>
      </c>
      <c r="B2307" s="2">
        <v>6.09</v>
      </c>
      <c r="C2307" s="2">
        <v>3.73</v>
      </c>
      <c r="D2307" s="2">
        <v>5.23</v>
      </c>
      <c r="E2307" s="2">
        <v>5.5600000000000005</v>
      </c>
      <c r="F2307" s="2">
        <v>2.95</v>
      </c>
      <c r="G2307" s="6">
        <v>24821</v>
      </c>
      <c r="H2307" s="6">
        <v>13816</v>
      </c>
      <c r="I2307" s="6">
        <v>26150</v>
      </c>
      <c r="J2307" s="6">
        <v>12420</v>
      </c>
      <c r="K2307" s="6">
        <v>7525</v>
      </c>
    </row>
    <row r="2308" spans="1:11" x14ac:dyDescent="0.25">
      <c r="A2308" s="1">
        <v>0.60138888888888897</v>
      </c>
      <c r="B2308" s="2">
        <v>6.27</v>
      </c>
      <c r="C2308" s="2">
        <v>3.62</v>
      </c>
      <c r="D2308" s="2">
        <v>5.1400000000000006</v>
      </c>
      <c r="E2308" s="2">
        <v>5.61</v>
      </c>
      <c r="F2308" s="2">
        <v>3.02</v>
      </c>
      <c r="G2308" s="6">
        <v>8690</v>
      </c>
      <c r="H2308" s="6">
        <v>17737</v>
      </c>
      <c r="I2308" s="6">
        <v>18316</v>
      </c>
      <c r="J2308" s="6">
        <v>12266</v>
      </c>
      <c r="K2308" s="6">
        <v>22881</v>
      </c>
    </row>
    <row r="2309" spans="1:11" x14ac:dyDescent="0.25">
      <c r="A2309" s="1">
        <v>0.60208333333333297</v>
      </c>
      <c r="B2309" s="2">
        <v>6.3599999999999994</v>
      </c>
      <c r="C2309" s="2">
        <v>3.77</v>
      </c>
      <c r="D2309" s="2">
        <v>5.36</v>
      </c>
      <c r="E2309" s="2">
        <v>5.4700000000000006</v>
      </c>
      <c r="F2309" s="2">
        <v>3.33</v>
      </c>
      <c r="G2309" s="6">
        <v>25793</v>
      </c>
      <c r="H2309" s="6">
        <v>28073</v>
      </c>
      <c r="I2309" s="6">
        <v>19664</v>
      </c>
      <c r="J2309" s="6">
        <v>26095</v>
      </c>
      <c r="K2309" s="6">
        <v>20819</v>
      </c>
    </row>
    <row r="2310" spans="1:11" x14ac:dyDescent="0.25">
      <c r="A2310" s="1">
        <v>0.60277777777777797</v>
      </c>
      <c r="B2310" s="2">
        <v>6.28</v>
      </c>
      <c r="C2310" s="2">
        <v>3.6</v>
      </c>
      <c r="D2310" s="2">
        <v>4.95</v>
      </c>
      <c r="E2310" s="2">
        <v>5.34</v>
      </c>
      <c r="F2310" s="2">
        <v>3.33</v>
      </c>
      <c r="G2310" s="6">
        <v>13032</v>
      </c>
      <c r="H2310" s="6">
        <v>15007</v>
      </c>
      <c r="I2310" s="6">
        <v>17945</v>
      </c>
      <c r="J2310" s="6">
        <v>8336</v>
      </c>
      <c r="K2310" s="6">
        <v>22156</v>
      </c>
    </row>
    <row r="2311" spans="1:11" x14ac:dyDescent="0.25">
      <c r="A2311" s="1">
        <v>0.60347222222222197</v>
      </c>
      <c r="B2311" s="2">
        <v>6.12</v>
      </c>
      <c r="C2311" s="2">
        <v>3.7</v>
      </c>
      <c r="D2311" s="2">
        <v>5.13</v>
      </c>
      <c r="E2311" s="2">
        <v>5.61</v>
      </c>
      <c r="F2311" s="2">
        <v>3.12</v>
      </c>
      <c r="G2311" s="6">
        <v>5950</v>
      </c>
      <c r="H2311" s="6">
        <v>17228</v>
      </c>
      <c r="I2311" s="6">
        <v>26100</v>
      </c>
      <c r="J2311" s="6">
        <v>16234</v>
      </c>
      <c r="K2311" s="6">
        <v>12485</v>
      </c>
    </row>
    <row r="2312" spans="1:11" x14ac:dyDescent="0.25">
      <c r="A2312" s="1">
        <v>0.60416666666666696</v>
      </c>
      <c r="B2312" s="2">
        <v>6.09</v>
      </c>
      <c r="C2312" s="2">
        <v>3.7</v>
      </c>
      <c r="D2312" s="2">
        <v>5.01</v>
      </c>
      <c r="E2312" s="2">
        <v>5.65</v>
      </c>
      <c r="F2312" s="2">
        <v>2.91</v>
      </c>
      <c r="G2312" s="6">
        <v>24239</v>
      </c>
      <c r="H2312" s="6">
        <v>21937</v>
      </c>
      <c r="I2312" s="6">
        <v>8315</v>
      </c>
      <c r="J2312" s="6">
        <v>7812</v>
      </c>
      <c r="K2312" s="6">
        <v>24012</v>
      </c>
    </row>
    <row r="2313" spans="1:11" x14ac:dyDescent="0.25">
      <c r="A2313" s="1">
        <v>0.60486111111111096</v>
      </c>
      <c r="B2313" s="2">
        <v>6.35</v>
      </c>
      <c r="C2313" s="2">
        <v>3.64</v>
      </c>
      <c r="D2313" s="2">
        <v>5.15</v>
      </c>
      <c r="E2313" s="2">
        <v>5.63</v>
      </c>
      <c r="F2313" s="2">
        <v>3.0900000000000003</v>
      </c>
      <c r="G2313" s="6">
        <v>12630</v>
      </c>
      <c r="H2313" s="6">
        <v>27302</v>
      </c>
      <c r="I2313" s="6">
        <v>17405</v>
      </c>
      <c r="J2313" s="6">
        <v>23931</v>
      </c>
      <c r="K2313" s="6">
        <v>12174</v>
      </c>
    </row>
    <row r="2314" spans="1:11" x14ac:dyDescent="0.25">
      <c r="A2314" s="1">
        <v>0.60555555555555596</v>
      </c>
      <c r="B2314" s="2">
        <v>6.3599999999999994</v>
      </c>
      <c r="C2314" s="2">
        <v>3.74</v>
      </c>
      <c r="D2314" s="2">
        <v>5.0200000000000005</v>
      </c>
      <c r="E2314" s="2">
        <v>5.5600000000000005</v>
      </c>
      <c r="F2314" s="2">
        <v>3.25</v>
      </c>
      <c r="G2314" s="6">
        <v>5894</v>
      </c>
      <c r="H2314" s="6">
        <v>12469</v>
      </c>
      <c r="I2314" s="6">
        <v>13192</v>
      </c>
      <c r="J2314" s="6">
        <v>23385</v>
      </c>
      <c r="K2314" s="6">
        <v>11551</v>
      </c>
    </row>
    <row r="2315" spans="1:11" x14ac:dyDescent="0.25">
      <c r="A2315" s="1">
        <v>0.60624999999999996</v>
      </c>
      <c r="B2315" s="2">
        <v>6.1499999999999995</v>
      </c>
      <c r="C2315" s="2">
        <v>3.8200000000000003</v>
      </c>
      <c r="D2315" s="2">
        <v>5.26</v>
      </c>
      <c r="E2315" s="2">
        <v>5.1100000000000003</v>
      </c>
      <c r="F2315" s="2">
        <v>3.2600000000000002</v>
      </c>
      <c r="G2315" s="6">
        <v>5759</v>
      </c>
      <c r="H2315" s="6">
        <v>21019</v>
      </c>
      <c r="I2315" s="6">
        <v>12241</v>
      </c>
      <c r="J2315" s="6">
        <v>16035</v>
      </c>
      <c r="K2315" s="6">
        <v>6550</v>
      </c>
    </row>
    <row r="2316" spans="1:11" x14ac:dyDescent="0.25">
      <c r="A2316" s="1">
        <v>0.60694444444444495</v>
      </c>
      <c r="B2316" s="2">
        <v>6.14</v>
      </c>
      <c r="C2316" s="2">
        <v>3.79</v>
      </c>
      <c r="D2316" s="2">
        <v>5.33</v>
      </c>
      <c r="E2316" s="2">
        <v>5.4300000000000006</v>
      </c>
      <c r="F2316" s="2">
        <v>2.93</v>
      </c>
      <c r="G2316" s="6">
        <v>23835</v>
      </c>
      <c r="H2316" s="6">
        <v>28161</v>
      </c>
      <c r="I2316" s="6">
        <v>25938</v>
      </c>
      <c r="J2316" s="6">
        <v>9368</v>
      </c>
      <c r="K2316" s="6">
        <v>7690</v>
      </c>
    </row>
    <row r="2317" spans="1:11" x14ac:dyDescent="0.25">
      <c r="A2317" s="1">
        <v>0.60763888888888895</v>
      </c>
      <c r="B2317" s="2">
        <v>6.2</v>
      </c>
      <c r="C2317" s="2">
        <v>3.8600000000000003</v>
      </c>
      <c r="D2317" s="2">
        <v>5.3</v>
      </c>
      <c r="E2317" s="2">
        <v>5.4700000000000006</v>
      </c>
      <c r="F2317" s="2">
        <v>2.89</v>
      </c>
      <c r="G2317" s="6">
        <v>22749</v>
      </c>
      <c r="H2317" s="6">
        <v>10983</v>
      </c>
      <c r="I2317" s="6">
        <v>19299</v>
      </c>
      <c r="J2317" s="6">
        <v>21814</v>
      </c>
      <c r="K2317" s="6">
        <v>16150</v>
      </c>
    </row>
    <row r="2318" spans="1:11" x14ac:dyDescent="0.25">
      <c r="A2318" s="1">
        <v>0.60833333333333295</v>
      </c>
      <c r="B2318" s="2">
        <v>6.32</v>
      </c>
      <c r="C2318" s="2">
        <v>3.79</v>
      </c>
      <c r="D2318" s="2">
        <v>4.9400000000000004</v>
      </c>
      <c r="E2318" s="2">
        <v>5.23</v>
      </c>
      <c r="F2318" s="2">
        <v>3.3000000000000003</v>
      </c>
      <c r="G2318" s="6">
        <v>26567</v>
      </c>
      <c r="H2318" s="6">
        <v>11486</v>
      </c>
      <c r="I2318" s="6">
        <v>8540</v>
      </c>
      <c r="J2318" s="6">
        <v>5786</v>
      </c>
      <c r="K2318" s="6">
        <v>6237</v>
      </c>
    </row>
    <row r="2319" spans="1:11" x14ac:dyDescent="0.25">
      <c r="A2319" s="1">
        <v>0.60902777777777795</v>
      </c>
      <c r="B2319" s="2">
        <v>6.3599999999999994</v>
      </c>
      <c r="C2319" s="2">
        <v>3.74</v>
      </c>
      <c r="D2319" s="2">
        <v>5.0200000000000005</v>
      </c>
      <c r="E2319" s="2">
        <v>5.1800000000000006</v>
      </c>
      <c r="F2319" s="2">
        <v>3.3400000000000003</v>
      </c>
      <c r="G2319" s="6">
        <v>11939</v>
      </c>
      <c r="H2319" s="6">
        <v>8372</v>
      </c>
      <c r="I2319" s="6">
        <v>6006</v>
      </c>
      <c r="J2319" s="6">
        <v>15746</v>
      </c>
      <c r="K2319" s="6">
        <v>7400</v>
      </c>
    </row>
    <row r="2320" spans="1:11" x14ac:dyDescent="0.25">
      <c r="A2320" s="1">
        <v>0.60972222222222205</v>
      </c>
      <c r="B2320" s="2">
        <v>6.18</v>
      </c>
      <c r="C2320" s="2">
        <v>3.65</v>
      </c>
      <c r="D2320" s="2">
        <v>5.09</v>
      </c>
      <c r="E2320" s="2">
        <v>5.4</v>
      </c>
      <c r="F2320" s="2">
        <v>3.18</v>
      </c>
      <c r="G2320" s="6">
        <v>21982</v>
      </c>
      <c r="H2320" s="6">
        <v>20997</v>
      </c>
      <c r="I2320" s="6">
        <v>19708</v>
      </c>
      <c r="J2320" s="6">
        <v>22825</v>
      </c>
      <c r="K2320" s="6">
        <v>17141</v>
      </c>
    </row>
    <row r="2321" spans="1:11" x14ac:dyDescent="0.25">
      <c r="A2321" s="1">
        <v>0.61041666666666705</v>
      </c>
      <c r="B2321" s="2">
        <v>6.34</v>
      </c>
      <c r="C2321" s="2">
        <v>3.73</v>
      </c>
      <c r="D2321" s="2">
        <v>4.93</v>
      </c>
      <c r="E2321" s="2">
        <v>5.21</v>
      </c>
      <c r="F2321" s="2">
        <v>2.9</v>
      </c>
      <c r="G2321" s="6">
        <v>8152</v>
      </c>
      <c r="H2321" s="6">
        <v>26880</v>
      </c>
      <c r="I2321" s="6">
        <v>4482</v>
      </c>
      <c r="J2321" s="6">
        <v>14296</v>
      </c>
      <c r="K2321" s="6">
        <v>13595</v>
      </c>
    </row>
    <row r="2322" spans="1:11" x14ac:dyDescent="0.25">
      <c r="A2322" s="1">
        <v>0.61111111111111105</v>
      </c>
      <c r="B2322" s="2">
        <v>6.29</v>
      </c>
      <c r="C2322" s="2">
        <v>3.75</v>
      </c>
      <c r="D2322" s="2">
        <v>5.37</v>
      </c>
      <c r="E2322" s="2">
        <v>5.19</v>
      </c>
      <c r="F2322" s="2">
        <v>3.24</v>
      </c>
      <c r="G2322" s="6">
        <v>17191</v>
      </c>
      <c r="H2322" s="6">
        <v>11209</v>
      </c>
      <c r="I2322" s="6">
        <v>22400</v>
      </c>
      <c r="J2322" s="6">
        <v>22128</v>
      </c>
      <c r="K2322" s="6">
        <v>17324</v>
      </c>
    </row>
    <row r="2323" spans="1:11" x14ac:dyDescent="0.25">
      <c r="A2323" s="1">
        <v>0.61180555555555605</v>
      </c>
      <c r="B2323" s="2">
        <v>6.22</v>
      </c>
      <c r="C2323" s="2">
        <v>3.64</v>
      </c>
      <c r="D2323" s="2">
        <v>5.37</v>
      </c>
      <c r="E2323" s="2">
        <v>5.24</v>
      </c>
      <c r="F2323" s="2">
        <v>3.19</v>
      </c>
      <c r="G2323" s="6">
        <v>14164</v>
      </c>
      <c r="H2323" s="6">
        <v>20122</v>
      </c>
      <c r="I2323" s="6">
        <v>16293</v>
      </c>
      <c r="J2323" s="6">
        <v>12518</v>
      </c>
      <c r="K2323" s="6">
        <v>6661</v>
      </c>
    </row>
    <row r="2324" spans="1:11" x14ac:dyDescent="0.25">
      <c r="A2324" s="1">
        <v>0.61250000000000004</v>
      </c>
      <c r="B2324" s="2">
        <v>6.25</v>
      </c>
      <c r="C2324" s="2">
        <v>3.7600000000000002</v>
      </c>
      <c r="D2324" s="2">
        <v>5.28</v>
      </c>
      <c r="E2324" s="2">
        <v>5.63</v>
      </c>
      <c r="F2324" s="2">
        <v>3.19</v>
      </c>
      <c r="G2324" s="6">
        <v>27226</v>
      </c>
      <c r="H2324" s="6">
        <v>8129</v>
      </c>
      <c r="I2324" s="6">
        <v>21363</v>
      </c>
      <c r="J2324" s="6">
        <v>9193</v>
      </c>
      <c r="K2324" s="6">
        <v>21629</v>
      </c>
    </row>
    <row r="2325" spans="1:11" x14ac:dyDescent="0.25">
      <c r="A2325" s="1">
        <v>0.61319444444444404</v>
      </c>
      <c r="B2325" s="2">
        <v>6.13</v>
      </c>
      <c r="C2325" s="2">
        <v>3.73</v>
      </c>
      <c r="D2325" s="2">
        <v>5.3100000000000005</v>
      </c>
      <c r="E2325" s="2">
        <v>5.5500000000000007</v>
      </c>
      <c r="F2325" s="2">
        <v>3.35</v>
      </c>
      <c r="G2325" s="6">
        <v>10484</v>
      </c>
      <c r="H2325" s="6">
        <v>28968</v>
      </c>
      <c r="I2325" s="6">
        <v>21678</v>
      </c>
      <c r="J2325" s="6">
        <v>21925</v>
      </c>
      <c r="K2325" s="6">
        <v>17091</v>
      </c>
    </row>
    <row r="2326" spans="1:11" x14ac:dyDescent="0.25">
      <c r="A2326" s="1">
        <v>0.61388888888888904</v>
      </c>
      <c r="B2326" s="2">
        <v>6.1499999999999995</v>
      </c>
      <c r="C2326" s="2">
        <v>3.7800000000000002</v>
      </c>
      <c r="D2326" s="2">
        <v>5.08</v>
      </c>
      <c r="E2326" s="2">
        <v>5.3900000000000006</v>
      </c>
      <c r="F2326" s="2">
        <v>3.23</v>
      </c>
      <c r="G2326" s="6">
        <v>9826</v>
      </c>
      <c r="H2326" s="6">
        <v>22589</v>
      </c>
      <c r="I2326" s="6">
        <v>24039</v>
      </c>
      <c r="J2326" s="6">
        <v>17559</v>
      </c>
      <c r="K2326" s="6">
        <v>17761</v>
      </c>
    </row>
    <row r="2327" spans="1:11" x14ac:dyDescent="0.25">
      <c r="A2327" s="1">
        <v>0.61458333333333304</v>
      </c>
      <c r="B2327" s="2">
        <v>6.26</v>
      </c>
      <c r="C2327" s="2">
        <v>3.62</v>
      </c>
      <c r="D2327" s="2">
        <v>4.88</v>
      </c>
      <c r="E2327" s="2">
        <v>5.25</v>
      </c>
      <c r="F2327" s="2">
        <v>3.0300000000000002</v>
      </c>
      <c r="G2327" s="6">
        <v>19422</v>
      </c>
      <c r="H2327" s="6">
        <v>12696</v>
      </c>
      <c r="I2327" s="6">
        <v>17017</v>
      </c>
      <c r="J2327" s="6">
        <v>20162</v>
      </c>
      <c r="K2327" s="6">
        <v>15365</v>
      </c>
    </row>
    <row r="2328" spans="1:11" x14ac:dyDescent="0.25">
      <c r="A2328" s="1">
        <v>0.61527777777777803</v>
      </c>
      <c r="B2328" s="2">
        <v>6.25</v>
      </c>
      <c r="C2328" s="2">
        <v>3.73</v>
      </c>
      <c r="D2328" s="2">
        <v>4.91</v>
      </c>
      <c r="E2328" s="2">
        <v>5.23</v>
      </c>
      <c r="F2328" s="2">
        <v>3.3200000000000003</v>
      </c>
      <c r="G2328" s="6">
        <v>20102</v>
      </c>
      <c r="H2328" s="6">
        <v>29910</v>
      </c>
      <c r="I2328" s="6">
        <v>7975</v>
      </c>
      <c r="J2328" s="6">
        <v>9884</v>
      </c>
      <c r="K2328" s="6">
        <v>8262</v>
      </c>
    </row>
    <row r="2329" spans="1:11" x14ac:dyDescent="0.25">
      <c r="A2329" s="1">
        <v>0.61597222222222203</v>
      </c>
      <c r="B2329" s="2">
        <v>6.16</v>
      </c>
      <c r="C2329" s="2">
        <v>3.61</v>
      </c>
      <c r="D2329" s="2">
        <v>4.9800000000000004</v>
      </c>
      <c r="E2329" s="2">
        <v>5.24</v>
      </c>
      <c r="F2329" s="2">
        <v>3.0700000000000003</v>
      </c>
      <c r="G2329" s="6">
        <v>11887</v>
      </c>
      <c r="H2329" s="6">
        <v>20258</v>
      </c>
      <c r="I2329" s="6">
        <v>9985</v>
      </c>
      <c r="J2329" s="6">
        <v>19604</v>
      </c>
      <c r="K2329" s="6">
        <v>23714</v>
      </c>
    </row>
    <row r="2330" spans="1:11" x14ac:dyDescent="0.25">
      <c r="A2330" s="1">
        <v>0.61666666666666703</v>
      </c>
      <c r="B2330" s="2">
        <v>6.28</v>
      </c>
      <c r="C2330" s="2">
        <v>3.66</v>
      </c>
      <c r="D2330" s="2">
        <v>4.88</v>
      </c>
      <c r="E2330" s="2">
        <v>5.5200000000000005</v>
      </c>
      <c r="F2330" s="2">
        <v>3.37</v>
      </c>
      <c r="G2330" s="6">
        <v>23659</v>
      </c>
      <c r="H2330" s="6">
        <v>7491</v>
      </c>
      <c r="I2330" s="6">
        <v>15166</v>
      </c>
      <c r="J2330" s="6">
        <v>8971</v>
      </c>
      <c r="K2330" s="6">
        <v>7999</v>
      </c>
    </row>
    <row r="2331" spans="1:11" x14ac:dyDescent="0.25">
      <c r="A2331" s="1">
        <v>0.61736111111111103</v>
      </c>
      <c r="B2331" s="2">
        <v>6.3</v>
      </c>
      <c r="C2331" s="2">
        <v>3.65</v>
      </c>
      <c r="D2331" s="2">
        <v>5.05</v>
      </c>
      <c r="E2331" s="2">
        <v>5.4</v>
      </c>
      <c r="F2331" s="2">
        <v>3.23</v>
      </c>
      <c r="G2331" s="6">
        <v>25471</v>
      </c>
      <c r="H2331" s="6">
        <v>16257</v>
      </c>
      <c r="I2331" s="6">
        <v>21572</v>
      </c>
      <c r="J2331" s="6">
        <v>11089</v>
      </c>
      <c r="K2331" s="6">
        <v>19083</v>
      </c>
    </row>
    <row r="2332" spans="1:11" x14ac:dyDescent="0.25">
      <c r="A2332" s="1">
        <v>0.61805555555555602</v>
      </c>
      <c r="B2332" s="2">
        <v>6.2</v>
      </c>
      <c r="C2332" s="2">
        <v>3.77</v>
      </c>
      <c r="D2332" s="2">
        <v>5.3100000000000005</v>
      </c>
      <c r="E2332" s="2">
        <v>5.4300000000000006</v>
      </c>
      <c r="F2332" s="2">
        <v>3.06</v>
      </c>
      <c r="G2332" s="6">
        <v>8830</v>
      </c>
      <c r="H2332" s="6">
        <v>28016</v>
      </c>
      <c r="I2332" s="6">
        <v>20591</v>
      </c>
      <c r="J2332" s="6">
        <v>16675</v>
      </c>
      <c r="K2332" s="6">
        <v>21513</v>
      </c>
    </row>
    <row r="2333" spans="1:11" x14ac:dyDescent="0.25">
      <c r="A2333" s="1">
        <v>0.61875000000000002</v>
      </c>
      <c r="B2333" s="2">
        <v>6.13</v>
      </c>
      <c r="C2333" s="2">
        <v>3.73</v>
      </c>
      <c r="D2333" s="2">
        <v>5.2</v>
      </c>
      <c r="E2333" s="2">
        <v>5.63</v>
      </c>
      <c r="F2333" s="2">
        <v>2.93</v>
      </c>
      <c r="G2333" s="6">
        <v>7140</v>
      </c>
      <c r="H2333" s="6">
        <v>5698</v>
      </c>
      <c r="I2333" s="6">
        <v>13005</v>
      </c>
      <c r="J2333" s="6">
        <v>22492</v>
      </c>
      <c r="K2333" s="6">
        <v>10577</v>
      </c>
    </row>
    <row r="2334" spans="1:11" x14ac:dyDescent="0.25">
      <c r="A2334" s="1">
        <v>0.61944444444444402</v>
      </c>
      <c r="B2334" s="2">
        <v>6.2</v>
      </c>
      <c r="C2334" s="2">
        <v>3.59</v>
      </c>
      <c r="D2334" s="2">
        <v>5.15</v>
      </c>
      <c r="E2334" s="2">
        <v>4.99</v>
      </c>
      <c r="F2334" s="2">
        <v>2.93</v>
      </c>
      <c r="G2334" s="6">
        <v>16038</v>
      </c>
      <c r="H2334" s="6">
        <v>19992</v>
      </c>
      <c r="I2334" s="6">
        <v>26019</v>
      </c>
      <c r="J2334" s="6">
        <v>22869</v>
      </c>
      <c r="K2334" s="6">
        <v>10348</v>
      </c>
    </row>
    <row r="2335" spans="1:11" x14ac:dyDescent="0.25">
      <c r="A2335" s="1">
        <v>0.62013888888888902</v>
      </c>
      <c r="B2335" s="2">
        <v>6.33</v>
      </c>
      <c r="C2335" s="2">
        <v>3.71</v>
      </c>
      <c r="D2335" s="2">
        <v>5.16</v>
      </c>
      <c r="E2335" s="2">
        <v>5.23</v>
      </c>
      <c r="F2335" s="2">
        <v>3</v>
      </c>
      <c r="G2335" s="6">
        <v>24206</v>
      </c>
      <c r="H2335" s="6">
        <v>29400</v>
      </c>
      <c r="I2335" s="6">
        <v>26186</v>
      </c>
      <c r="J2335" s="6">
        <v>15786</v>
      </c>
      <c r="K2335" s="6">
        <v>13880</v>
      </c>
    </row>
    <row r="2336" spans="1:11" x14ac:dyDescent="0.25">
      <c r="A2336" s="1">
        <v>0.62083333333333302</v>
      </c>
      <c r="B2336" s="2">
        <v>6.27</v>
      </c>
      <c r="C2336" s="2">
        <v>3.87</v>
      </c>
      <c r="D2336" s="2">
        <v>4.91</v>
      </c>
      <c r="E2336" s="2">
        <v>5.23</v>
      </c>
      <c r="F2336" s="2">
        <v>3.22</v>
      </c>
      <c r="G2336" s="6">
        <v>19219</v>
      </c>
      <c r="H2336" s="6">
        <v>14320</v>
      </c>
      <c r="I2336" s="6">
        <v>14948</v>
      </c>
      <c r="J2336" s="6">
        <v>20943</v>
      </c>
      <c r="K2336" s="6">
        <v>17329</v>
      </c>
    </row>
    <row r="2337" spans="1:11" x14ac:dyDescent="0.25">
      <c r="A2337" s="1">
        <v>0.62152777777777801</v>
      </c>
      <c r="B2337" s="2">
        <v>6.35</v>
      </c>
      <c r="C2337" s="2">
        <v>3.6</v>
      </c>
      <c r="D2337" s="2">
        <v>5.25</v>
      </c>
      <c r="E2337" s="2">
        <v>5.1100000000000003</v>
      </c>
      <c r="F2337" s="2">
        <v>3.1</v>
      </c>
      <c r="G2337" s="6">
        <v>10018</v>
      </c>
      <c r="H2337" s="6">
        <v>24725</v>
      </c>
      <c r="I2337" s="6">
        <v>11033</v>
      </c>
      <c r="J2337" s="6">
        <v>25226</v>
      </c>
      <c r="K2337" s="6">
        <v>11192</v>
      </c>
    </row>
    <row r="2338" spans="1:11" x14ac:dyDescent="0.25">
      <c r="A2338" s="1">
        <v>0.62222222222222201</v>
      </c>
      <c r="B2338" s="2">
        <v>6.27</v>
      </c>
      <c r="C2338" s="2">
        <v>3.81</v>
      </c>
      <c r="D2338" s="2">
        <v>4.99</v>
      </c>
      <c r="E2338" s="2">
        <v>5.26</v>
      </c>
      <c r="F2338" s="2">
        <v>3.33</v>
      </c>
      <c r="G2338" s="6">
        <v>6945</v>
      </c>
      <c r="H2338" s="6">
        <v>10710</v>
      </c>
      <c r="I2338" s="6">
        <v>25928</v>
      </c>
      <c r="J2338" s="6">
        <v>16942</v>
      </c>
      <c r="K2338" s="6">
        <v>11033</v>
      </c>
    </row>
    <row r="2339" spans="1:11" x14ac:dyDescent="0.25">
      <c r="A2339" s="1">
        <v>0.62291666666666701</v>
      </c>
      <c r="B2339" s="2">
        <v>6.2299999999999995</v>
      </c>
      <c r="C2339" s="2">
        <v>3.87</v>
      </c>
      <c r="D2339" s="2">
        <v>5.2700000000000005</v>
      </c>
      <c r="E2339" s="2">
        <v>5.0200000000000005</v>
      </c>
      <c r="F2339" s="2">
        <v>3.02</v>
      </c>
      <c r="G2339" s="6">
        <v>11003</v>
      </c>
      <c r="H2339" s="6">
        <v>18005</v>
      </c>
      <c r="I2339" s="6">
        <v>4573</v>
      </c>
      <c r="J2339" s="6">
        <v>10442</v>
      </c>
      <c r="K2339" s="6">
        <v>8987</v>
      </c>
    </row>
    <row r="2340" spans="1:11" x14ac:dyDescent="0.25">
      <c r="A2340" s="1">
        <v>0.62361111111111101</v>
      </c>
      <c r="B2340" s="2">
        <v>6.35</v>
      </c>
      <c r="C2340" s="2">
        <v>3.63</v>
      </c>
      <c r="D2340" s="2">
        <v>5.3</v>
      </c>
      <c r="E2340" s="2">
        <v>5.5200000000000005</v>
      </c>
      <c r="F2340" s="2">
        <v>2.89</v>
      </c>
      <c r="G2340" s="6">
        <v>18792</v>
      </c>
      <c r="H2340" s="6">
        <v>25321</v>
      </c>
      <c r="I2340" s="6">
        <v>14324</v>
      </c>
      <c r="J2340" s="6">
        <v>24864</v>
      </c>
      <c r="K2340" s="6">
        <v>7240</v>
      </c>
    </row>
    <row r="2341" spans="1:11" x14ac:dyDescent="0.25">
      <c r="A2341" s="1">
        <v>0.624305555555556</v>
      </c>
      <c r="B2341" s="2">
        <v>6.35</v>
      </c>
      <c r="C2341" s="2">
        <v>3.63</v>
      </c>
      <c r="D2341" s="2">
        <v>5.1000000000000005</v>
      </c>
      <c r="E2341" s="2">
        <v>5.36</v>
      </c>
      <c r="F2341" s="2">
        <v>3</v>
      </c>
      <c r="G2341" s="6">
        <v>17775</v>
      </c>
      <c r="H2341" s="6">
        <v>18389</v>
      </c>
      <c r="I2341" s="6">
        <v>9770</v>
      </c>
      <c r="J2341" s="6">
        <v>11771</v>
      </c>
      <c r="K2341" s="6">
        <v>6423</v>
      </c>
    </row>
    <row r="2342" spans="1:11" x14ac:dyDescent="0.25">
      <c r="A2342" s="3">
        <v>0.625</v>
      </c>
      <c r="B2342" s="2">
        <v>6.21</v>
      </c>
      <c r="C2342" s="2">
        <v>3.74</v>
      </c>
      <c r="D2342" s="2">
        <v>5.1100000000000003</v>
      </c>
      <c r="E2342" s="2">
        <v>5.33</v>
      </c>
      <c r="F2342" s="2">
        <v>3.18</v>
      </c>
      <c r="G2342" s="6">
        <v>5400</v>
      </c>
      <c r="H2342" s="6">
        <v>7758</v>
      </c>
      <c r="I2342" s="6">
        <v>4262</v>
      </c>
      <c r="J2342" s="6">
        <v>4761</v>
      </c>
      <c r="K2342" s="6">
        <v>6386</v>
      </c>
    </row>
    <row r="2343" spans="1:11" x14ac:dyDescent="0.25">
      <c r="A2343" s="1">
        <v>0.625694444444444</v>
      </c>
      <c r="B2343" s="2">
        <v>6.32</v>
      </c>
      <c r="C2343" s="2">
        <v>3.7800000000000002</v>
      </c>
      <c r="D2343" s="2">
        <v>5.01</v>
      </c>
      <c r="E2343" s="2">
        <v>5.3900000000000006</v>
      </c>
      <c r="F2343" s="2">
        <v>3.08</v>
      </c>
      <c r="G2343" s="6">
        <v>4745</v>
      </c>
      <c r="H2343" s="6">
        <v>6045</v>
      </c>
      <c r="I2343" s="6">
        <v>4946</v>
      </c>
      <c r="J2343" s="6">
        <v>4259</v>
      </c>
      <c r="K2343" s="6">
        <v>7015</v>
      </c>
    </row>
    <row r="2344" spans="1:11" x14ac:dyDescent="0.25">
      <c r="A2344" s="1">
        <v>0.62638888888888899</v>
      </c>
      <c r="B2344" s="2">
        <v>6.33</v>
      </c>
      <c r="C2344" s="2">
        <v>3.79</v>
      </c>
      <c r="D2344" s="2">
        <v>5.16</v>
      </c>
      <c r="E2344" s="2">
        <v>5.4700000000000006</v>
      </c>
      <c r="F2344" s="2">
        <v>3.1</v>
      </c>
      <c r="G2344" s="6">
        <v>6035</v>
      </c>
      <c r="H2344" s="6">
        <v>6954</v>
      </c>
      <c r="I2344" s="6">
        <v>5057</v>
      </c>
      <c r="J2344" s="6">
        <v>4030</v>
      </c>
      <c r="K2344" s="6">
        <v>6623</v>
      </c>
    </row>
    <row r="2345" spans="1:11" x14ac:dyDescent="0.25">
      <c r="A2345" s="1">
        <v>0.62708333333333299</v>
      </c>
      <c r="B2345" s="2">
        <v>6.24</v>
      </c>
      <c r="C2345" s="2">
        <v>3.61</v>
      </c>
      <c r="D2345" s="2">
        <v>5.17</v>
      </c>
      <c r="E2345" s="2">
        <v>5.2700000000000005</v>
      </c>
      <c r="F2345" s="2">
        <v>3.17</v>
      </c>
      <c r="G2345" s="6">
        <v>6035</v>
      </c>
      <c r="H2345" s="6">
        <v>7780</v>
      </c>
      <c r="I2345" s="6">
        <v>5323</v>
      </c>
      <c r="J2345" s="6">
        <v>3964</v>
      </c>
      <c r="K2345" s="6">
        <v>4796</v>
      </c>
    </row>
    <row r="2346" spans="1:11" x14ac:dyDescent="0.25">
      <c r="A2346" s="1">
        <v>0.62777777777777799</v>
      </c>
      <c r="B2346" s="2">
        <v>6.32</v>
      </c>
      <c r="C2346" s="2">
        <v>3.69</v>
      </c>
      <c r="D2346" s="2">
        <v>5.05</v>
      </c>
      <c r="E2346" s="2">
        <v>5.07</v>
      </c>
      <c r="F2346" s="2">
        <v>3.37</v>
      </c>
      <c r="G2346" s="6">
        <v>5406</v>
      </c>
      <c r="H2346" s="6">
        <v>7422</v>
      </c>
      <c r="I2346" s="6">
        <v>5257</v>
      </c>
      <c r="J2346" s="6">
        <v>4036</v>
      </c>
      <c r="K2346" s="6">
        <v>5390</v>
      </c>
    </row>
    <row r="2347" spans="1:11" x14ac:dyDescent="0.25">
      <c r="A2347" s="1">
        <v>0.62847222222222199</v>
      </c>
      <c r="B2347" s="2">
        <v>6.32</v>
      </c>
      <c r="C2347" s="2">
        <v>3.69</v>
      </c>
      <c r="D2347" s="2">
        <v>4.99</v>
      </c>
      <c r="E2347" s="2">
        <v>5.48</v>
      </c>
      <c r="F2347" s="2">
        <v>2.93</v>
      </c>
      <c r="G2347" s="6">
        <v>6532</v>
      </c>
      <c r="H2347" s="6">
        <v>6522</v>
      </c>
      <c r="I2347" s="6">
        <v>4890</v>
      </c>
      <c r="J2347" s="6">
        <v>4136</v>
      </c>
      <c r="K2347" s="6">
        <v>5343</v>
      </c>
    </row>
    <row r="2348" spans="1:11" x14ac:dyDescent="0.25">
      <c r="A2348" s="1">
        <v>0.62916666666666698</v>
      </c>
      <c r="B2348" s="2">
        <v>6.1899999999999995</v>
      </c>
      <c r="C2348" s="2">
        <v>3.65</v>
      </c>
      <c r="D2348" s="2">
        <v>5.35</v>
      </c>
      <c r="E2348" s="2">
        <v>5.0600000000000005</v>
      </c>
      <c r="F2348" s="2">
        <v>3.22</v>
      </c>
      <c r="G2348" s="6">
        <v>5313</v>
      </c>
      <c r="H2348" s="6">
        <v>5032</v>
      </c>
      <c r="I2348" s="6">
        <v>4842</v>
      </c>
      <c r="J2348" s="6">
        <v>4112</v>
      </c>
      <c r="K2348" s="6">
        <v>3941</v>
      </c>
    </row>
    <row r="2349" spans="1:11" x14ac:dyDescent="0.25">
      <c r="A2349" s="1">
        <v>0.62986111111111098</v>
      </c>
      <c r="B2349" s="2">
        <v>6.26</v>
      </c>
      <c r="C2349" s="2">
        <v>3.79</v>
      </c>
      <c r="D2349" s="2">
        <v>5.3</v>
      </c>
      <c r="E2349" s="2">
        <v>5.04</v>
      </c>
      <c r="F2349" s="2">
        <v>2.93</v>
      </c>
      <c r="G2349" s="6">
        <v>4891</v>
      </c>
      <c r="H2349" s="6">
        <v>6614</v>
      </c>
      <c r="I2349" s="6">
        <v>5205</v>
      </c>
      <c r="J2349" s="6">
        <v>3808</v>
      </c>
      <c r="K2349" s="6">
        <v>5702</v>
      </c>
    </row>
    <row r="2350" spans="1:11" x14ac:dyDescent="0.25">
      <c r="A2350" s="1">
        <v>0.63055555555555598</v>
      </c>
      <c r="B2350" s="2">
        <v>6.1</v>
      </c>
      <c r="C2350" s="2">
        <v>3.63</v>
      </c>
      <c r="D2350" s="2">
        <v>5.13</v>
      </c>
      <c r="E2350" s="2">
        <v>5.45</v>
      </c>
      <c r="F2350" s="2">
        <v>3.3200000000000003</v>
      </c>
      <c r="G2350" s="6">
        <v>5132</v>
      </c>
      <c r="H2350" s="6">
        <v>5001</v>
      </c>
      <c r="I2350" s="6">
        <v>4959</v>
      </c>
      <c r="J2350" s="6">
        <v>3460</v>
      </c>
      <c r="K2350" s="6">
        <v>5558</v>
      </c>
    </row>
    <row r="2351" spans="1:11" x14ac:dyDescent="0.25">
      <c r="A2351" s="1">
        <v>0.63124999999999998</v>
      </c>
      <c r="B2351" s="2">
        <v>6.1499999999999995</v>
      </c>
      <c r="C2351" s="2">
        <v>3.65</v>
      </c>
      <c r="D2351" s="2">
        <v>4.96</v>
      </c>
      <c r="E2351" s="2">
        <v>5.38</v>
      </c>
      <c r="F2351" s="2">
        <v>3.38</v>
      </c>
      <c r="G2351" s="6">
        <v>4837</v>
      </c>
      <c r="H2351" s="6">
        <v>7888</v>
      </c>
      <c r="I2351" s="6">
        <v>5308</v>
      </c>
      <c r="J2351" s="6">
        <v>4096</v>
      </c>
      <c r="K2351" s="6">
        <v>4961</v>
      </c>
    </row>
    <row r="2352" spans="1:11" x14ac:dyDescent="0.25">
      <c r="A2352" s="1">
        <v>0.63194444444444398</v>
      </c>
      <c r="B2352" s="2">
        <v>6.2</v>
      </c>
      <c r="C2352" s="2">
        <v>3.63</v>
      </c>
      <c r="D2352" s="2">
        <v>5</v>
      </c>
      <c r="E2352" s="2">
        <v>5.16</v>
      </c>
      <c r="F2352" s="2">
        <v>3.16</v>
      </c>
      <c r="G2352" s="6">
        <v>6331</v>
      </c>
      <c r="H2352" s="6">
        <v>7187</v>
      </c>
      <c r="I2352" s="6">
        <v>5136</v>
      </c>
      <c r="J2352" s="6">
        <v>3610</v>
      </c>
      <c r="K2352" s="6">
        <v>5693</v>
      </c>
    </row>
    <row r="2353" spans="1:11" x14ac:dyDescent="0.25">
      <c r="A2353" s="1">
        <v>0.63263888888888897</v>
      </c>
      <c r="B2353" s="2">
        <v>6.17</v>
      </c>
      <c r="C2353" s="2">
        <v>3.79</v>
      </c>
      <c r="D2353" s="2">
        <v>5.35</v>
      </c>
      <c r="E2353" s="2">
        <v>5.57</v>
      </c>
      <c r="F2353" s="2">
        <v>3</v>
      </c>
      <c r="G2353" s="6">
        <v>6458</v>
      </c>
      <c r="H2353" s="6">
        <v>6589</v>
      </c>
      <c r="I2353" s="6">
        <v>4911</v>
      </c>
      <c r="J2353" s="6">
        <v>4346</v>
      </c>
      <c r="K2353" s="6">
        <v>3503</v>
      </c>
    </row>
    <row r="2354" spans="1:11" x14ac:dyDescent="0.25">
      <c r="A2354" s="1">
        <v>0.63333333333333297</v>
      </c>
      <c r="B2354" s="2">
        <v>6.33</v>
      </c>
      <c r="C2354" s="2">
        <v>3.8600000000000003</v>
      </c>
      <c r="D2354" s="2">
        <v>5.15</v>
      </c>
      <c r="E2354" s="2">
        <v>5.1000000000000005</v>
      </c>
      <c r="F2354" s="2">
        <v>2.95</v>
      </c>
      <c r="G2354" s="6">
        <v>5254</v>
      </c>
      <c r="H2354" s="6">
        <v>4844</v>
      </c>
      <c r="I2354" s="6">
        <v>5223</v>
      </c>
      <c r="J2354" s="6">
        <v>3985</v>
      </c>
      <c r="K2354" s="6">
        <v>3958</v>
      </c>
    </row>
    <row r="2355" spans="1:11" x14ac:dyDescent="0.25">
      <c r="A2355" s="1">
        <v>0.63402777777777797</v>
      </c>
      <c r="B2355" s="2">
        <v>6.1499999999999995</v>
      </c>
      <c r="C2355" s="2">
        <v>3.58</v>
      </c>
      <c r="D2355" s="2">
        <v>5.05</v>
      </c>
      <c r="E2355" s="2">
        <v>5.03</v>
      </c>
      <c r="F2355" s="2">
        <v>2.99</v>
      </c>
      <c r="G2355" s="6">
        <v>4645</v>
      </c>
      <c r="H2355" s="6">
        <v>6764</v>
      </c>
      <c r="I2355" s="6">
        <v>4963</v>
      </c>
      <c r="J2355" s="6">
        <v>3592</v>
      </c>
      <c r="K2355" s="6">
        <v>4107</v>
      </c>
    </row>
    <row r="2356" spans="1:11" x14ac:dyDescent="0.25">
      <c r="A2356" s="1">
        <v>0.63472222222222197</v>
      </c>
      <c r="B2356" s="2">
        <v>6.1499999999999995</v>
      </c>
      <c r="C2356" s="2">
        <v>3.8600000000000003</v>
      </c>
      <c r="D2356" s="2">
        <v>5.33</v>
      </c>
      <c r="E2356" s="2">
        <v>5.1100000000000003</v>
      </c>
      <c r="F2356" s="2">
        <v>3.23</v>
      </c>
      <c r="G2356" s="6">
        <v>4869</v>
      </c>
      <c r="H2356" s="6">
        <v>6945</v>
      </c>
      <c r="I2356" s="6">
        <v>4961</v>
      </c>
      <c r="J2356" s="6">
        <v>4229</v>
      </c>
      <c r="K2356" s="6">
        <v>6681</v>
      </c>
    </row>
    <row r="2357" spans="1:11" x14ac:dyDescent="0.25">
      <c r="A2357" s="1">
        <v>0.63541666666666696</v>
      </c>
      <c r="B2357" s="2">
        <v>6.26</v>
      </c>
      <c r="C2357" s="2">
        <v>3.72</v>
      </c>
      <c r="D2357" s="2">
        <v>5.16</v>
      </c>
      <c r="E2357" s="2">
        <v>5.01</v>
      </c>
      <c r="F2357" s="2">
        <v>3.0700000000000003</v>
      </c>
      <c r="G2357" s="6">
        <v>5341</v>
      </c>
      <c r="H2357" s="6">
        <v>6704</v>
      </c>
      <c r="I2357" s="6">
        <v>5110</v>
      </c>
      <c r="J2357" s="6">
        <v>3360</v>
      </c>
      <c r="K2357" s="6">
        <v>6233</v>
      </c>
    </row>
    <row r="2358" spans="1:11" x14ac:dyDescent="0.25">
      <c r="A2358" s="1">
        <v>0.63611111111111096</v>
      </c>
      <c r="B2358" s="2">
        <v>6.35</v>
      </c>
      <c r="C2358" s="2">
        <v>3.79</v>
      </c>
      <c r="D2358" s="2">
        <v>4.9400000000000004</v>
      </c>
      <c r="E2358" s="2">
        <v>5.5600000000000005</v>
      </c>
      <c r="F2358" s="2">
        <v>3.1100000000000003</v>
      </c>
      <c r="G2358" s="6">
        <v>5420</v>
      </c>
      <c r="H2358" s="6">
        <v>7094</v>
      </c>
      <c r="I2358" s="6">
        <v>5223</v>
      </c>
      <c r="J2358" s="6">
        <v>3551</v>
      </c>
      <c r="K2358" s="6">
        <v>6978</v>
      </c>
    </row>
    <row r="2359" spans="1:11" x14ac:dyDescent="0.25">
      <c r="A2359" s="1">
        <v>0.63680555555555596</v>
      </c>
      <c r="B2359" s="2">
        <v>6.18</v>
      </c>
      <c r="C2359" s="2">
        <v>3.75</v>
      </c>
      <c r="D2359" s="2">
        <v>5.12</v>
      </c>
      <c r="E2359" s="2">
        <v>5.32</v>
      </c>
      <c r="F2359" s="2">
        <v>3.13</v>
      </c>
      <c r="G2359" s="6">
        <v>6129</v>
      </c>
      <c r="H2359" s="6">
        <v>5204</v>
      </c>
      <c r="I2359" s="6">
        <v>5339</v>
      </c>
      <c r="J2359" s="6">
        <v>3969</v>
      </c>
      <c r="K2359" s="6">
        <v>5321</v>
      </c>
    </row>
    <row r="2360" spans="1:11" x14ac:dyDescent="0.25">
      <c r="A2360" s="1">
        <v>0.63749999999999996</v>
      </c>
      <c r="B2360" s="2">
        <v>6.2299999999999995</v>
      </c>
      <c r="C2360" s="2">
        <v>3.77</v>
      </c>
      <c r="D2360" s="2">
        <v>4.95</v>
      </c>
      <c r="E2360" s="2">
        <v>5.6000000000000005</v>
      </c>
      <c r="F2360" s="2">
        <v>3.16</v>
      </c>
      <c r="G2360" s="6">
        <v>5082</v>
      </c>
      <c r="H2360" s="6">
        <v>5972</v>
      </c>
      <c r="I2360" s="6">
        <v>4876</v>
      </c>
      <c r="J2360" s="6">
        <v>4065</v>
      </c>
      <c r="K2360" s="6">
        <v>4410</v>
      </c>
    </row>
    <row r="2361" spans="1:11" x14ac:dyDescent="0.25">
      <c r="A2361" s="1">
        <v>0.63819444444444495</v>
      </c>
      <c r="B2361" s="2">
        <v>6.17</v>
      </c>
      <c r="C2361" s="2">
        <v>3.63</v>
      </c>
      <c r="D2361" s="2">
        <v>4.9000000000000004</v>
      </c>
      <c r="E2361" s="2">
        <v>5.17</v>
      </c>
      <c r="F2361" s="2">
        <v>2.89</v>
      </c>
      <c r="G2361" s="6">
        <v>5362</v>
      </c>
      <c r="H2361" s="6">
        <v>5972</v>
      </c>
      <c r="I2361" s="6">
        <v>4919</v>
      </c>
      <c r="J2361" s="6">
        <v>4309</v>
      </c>
      <c r="K2361" s="6">
        <v>6012</v>
      </c>
    </row>
    <row r="2362" spans="1:11" x14ac:dyDescent="0.25">
      <c r="A2362" s="1">
        <v>0.63888888888888895</v>
      </c>
      <c r="B2362" s="2">
        <v>6.26</v>
      </c>
      <c r="C2362" s="2">
        <v>3.71</v>
      </c>
      <c r="D2362" s="2">
        <v>4.91</v>
      </c>
      <c r="E2362" s="2">
        <v>5.15</v>
      </c>
      <c r="F2362" s="2">
        <v>3.3600000000000003</v>
      </c>
      <c r="G2362" s="6">
        <v>5903</v>
      </c>
      <c r="H2362" s="6">
        <v>5743</v>
      </c>
      <c r="I2362" s="6">
        <v>5215</v>
      </c>
      <c r="J2362" s="6">
        <v>3719</v>
      </c>
      <c r="K2362" s="6">
        <v>6302</v>
      </c>
    </row>
    <row r="2363" spans="1:11" x14ac:dyDescent="0.25">
      <c r="A2363" s="1">
        <v>0.63958333333333295</v>
      </c>
      <c r="B2363" s="2">
        <v>6.24</v>
      </c>
      <c r="C2363" s="2">
        <v>3.67</v>
      </c>
      <c r="D2363" s="2">
        <v>5.18</v>
      </c>
      <c r="E2363" s="2">
        <v>5.17</v>
      </c>
      <c r="F2363" s="2">
        <v>3.3600000000000003</v>
      </c>
      <c r="G2363" s="6">
        <v>5563</v>
      </c>
      <c r="H2363" s="6">
        <v>5396</v>
      </c>
      <c r="I2363" s="6">
        <v>5190</v>
      </c>
      <c r="J2363" s="6">
        <v>3963</v>
      </c>
      <c r="K2363" s="6">
        <v>4529</v>
      </c>
    </row>
    <row r="2364" spans="1:11" x14ac:dyDescent="0.25">
      <c r="A2364" s="1">
        <v>0.64027777777777795</v>
      </c>
      <c r="B2364" s="2">
        <v>6.1499999999999995</v>
      </c>
      <c r="C2364" s="2">
        <v>3.65</v>
      </c>
      <c r="D2364" s="2">
        <v>4.9800000000000004</v>
      </c>
      <c r="E2364" s="2">
        <v>5.5600000000000005</v>
      </c>
      <c r="F2364" s="2">
        <v>3.39</v>
      </c>
      <c r="G2364" s="6">
        <v>4632</v>
      </c>
      <c r="H2364" s="6">
        <v>5529</v>
      </c>
      <c r="I2364" s="6">
        <v>4947</v>
      </c>
      <c r="J2364" s="6">
        <v>3874</v>
      </c>
      <c r="K2364" s="6">
        <v>4512</v>
      </c>
    </row>
    <row r="2365" spans="1:11" x14ac:dyDescent="0.25">
      <c r="A2365" s="1">
        <v>0.64097222222222205</v>
      </c>
      <c r="B2365" s="2">
        <v>6.1499999999999995</v>
      </c>
      <c r="C2365" s="2">
        <v>3.75</v>
      </c>
      <c r="D2365" s="2">
        <v>5.34</v>
      </c>
      <c r="E2365" s="2">
        <v>5.5500000000000007</v>
      </c>
      <c r="F2365" s="2">
        <v>3.3000000000000003</v>
      </c>
      <c r="G2365" s="6">
        <v>5580</v>
      </c>
      <c r="H2365" s="6">
        <v>7666</v>
      </c>
      <c r="I2365" s="6">
        <v>4944</v>
      </c>
      <c r="J2365" s="6">
        <v>3697</v>
      </c>
      <c r="K2365" s="6">
        <v>5700</v>
      </c>
    </row>
    <row r="2366" spans="1:11" x14ac:dyDescent="0.25">
      <c r="A2366" s="1">
        <v>0.64166666666666705</v>
      </c>
      <c r="B2366" s="2">
        <v>6.27</v>
      </c>
      <c r="C2366" s="2">
        <v>3.58</v>
      </c>
      <c r="D2366" s="2">
        <v>5.23</v>
      </c>
      <c r="E2366" s="2">
        <v>5.54</v>
      </c>
      <c r="F2366" s="2">
        <v>3.23</v>
      </c>
      <c r="G2366" s="6">
        <v>5109</v>
      </c>
      <c r="H2366" s="6">
        <v>6426</v>
      </c>
      <c r="I2366" s="6">
        <v>5074</v>
      </c>
      <c r="J2366" s="6">
        <v>4204</v>
      </c>
      <c r="K2366" s="6">
        <v>4334</v>
      </c>
    </row>
    <row r="2367" spans="1:11" x14ac:dyDescent="0.25">
      <c r="A2367" s="1">
        <v>0.64236111111111105</v>
      </c>
      <c r="B2367" s="2">
        <v>6.12</v>
      </c>
      <c r="C2367" s="2">
        <v>3.7</v>
      </c>
      <c r="D2367" s="2">
        <v>5.03</v>
      </c>
      <c r="E2367" s="2">
        <v>5.1000000000000005</v>
      </c>
      <c r="F2367" s="2">
        <v>3.23</v>
      </c>
      <c r="G2367" s="6">
        <v>4828</v>
      </c>
      <c r="H2367" s="6">
        <v>5128</v>
      </c>
      <c r="I2367" s="6">
        <v>4924</v>
      </c>
      <c r="J2367" s="6">
        <v>3721</v>
      </c>
      <c r="K2367" s="6">
        <v>4522</v>
      </c>
    </row>
    <row r="2368" spans="1:11" x14ac:dyDescent="0.25">
      <c r="A2368" s="1">
        <v>0.64305555555555605</v>
      </c>
      <c r="B2368" s="2">
        <v>6.28</v>
      </c>
      <c r="C2368" s="2">
        <v>3.77</v>
      </c>
      <c r="D2368" s="2">
        <v>5.16</v>
      </c>
      <c r="E2368" s="2">
        <v>5.4</v>
      </c>
      <c r="F2368" s="2">
        <v>3.29</v>
      </c>
      <c r="G2368" s="6">
        <v>4569</v>
      </c>
      <c r="H2368" s="6">
        <v>7861</v>
      </c>
      <c r="I2368" s="6">
        <v>4875</v>
      </c>
      <c r="J2368" s="6">
        <v>4318</v>
      </c>
      <c r="K2368" s="6">
        <v>3737</v>
      </c>
    </row>
    <row r="2369" spans="1:11" x14ac:dyDescent="0.25">
      <c r="A2369" s="1">
        <v>0.64375000000000004</v>
      </c>
      <c r="B2369" s="2">
        <v>6.21</v>
      </c>
      <c r="C2369" s="2">
        <v>3.69</v>
      </c>
      <c r="D2369" s="2">
        <v>5.2</v>
      </c>
      <c r="E2369" s="2">
        <v>5.25</v>
      </c>
      <c r="F2369" s="2">
        <v>3.04</v>
      </c>
      <c r="G2369" s="6">
        <v>4993</v>
      </c>
      <c r="H2369" s="6">
        <v>6013</v>
      </c>
      <c r="I2369" s="6">
        <v>5339</v>
      </c>
      <c r="J2369" s="6">
        <v>3477</v>
      </c>
      <c r="K2369" s="6">
        <v>3583</v>
      </c>
    </row>
    <row r="2370" spans="1:11" x14ac:dyDescent="0.25">
      <c r="A2370" s="1">
        <v>0.64444444444444404</v>
      </c>
      <c r="B2370" s="2">
        <v>6.27</v>
      </c>
      <c r="C2370" s="2">
        <v>3.81</v>
      </c>
      <c r="D2370" s="2">
        <v>5.04</v>
      </c>
      <c r="E2370" s="2">
        <v>5.5200000000000005</v>
      </c>
      <c r="F2370" s="2">
        <v>3.2</v>
      </c>
      <c r="G2370" s="6">
        <v>5667</v>
      </c>
      <c r="H2370" s="6">
        <v>5287</v>
      </c>
      <c r="I2370" s="6">
        <v>5005</v>
      </c>
      <c r="J2370" s="6">
        <v>3860</v>
      </c>
      <c r="K2370" s="6">
        <v>5475</v>
      </c>
    </row>
    <row r="2371" spans="1:11" x14ac:dyDescent="0.25">
      <c r="A2371" s="1">
        <v>0.64513888888888904</v>
      </c>
      <c r="B2371" s="2">
        <v>6.22</v>
      </c>
      <c r="C2371" s="2">
        <v>3.58</v>
      </c>
      <c r="D2371" s="2">
        <v>4.9800000000000004</v>
      </c>
      <c r="E2371" s="2">
        <v>5.33</v>
      </c>
      <c r="F2371" s="2">
        <v>3.22</v>
      </c>
      <c r="G2371" s="6">
        <v>5256</v>
      </c>
      <c r="H2371" s="6">
        <v>6236</v>
      </c>
      <c r="I2371" s="6">
        <v>4980</v>
      </c>
      <c r="J2371" s="6">
        <v>3907</v>
      </c>
      <c r="K2371" s="6">
        <v>5991</v>
      </c>
    </row>
    <row r="2372" spans="1:11" x14ac:dyDescent="0.25">
      <c r="A2372" s="1">
        <v>0.64583333333333304</v>
      </c>
      <c r="B2372" s="2">
        <v>6.3</v>
      </c>
      <c r="C2372" s="2">
        <v>3.71</v>
      </c>
      <c r="D2372" s="2">
        <v>5.25</v>
      </c>
      <c r="E2372" s="2">
        <v>5.01</v>
      </c>
      <c r="F2372" s="2">
        <v>3.21</v>
      </c>
      <c r="G2372" s="6">
        <v>5573</v>
      </c>
      <c r="H2372" s="6">
        <v>6124</v>
      </c>
      <c r="I2372" s="6">
        <v>5291</v>
      </c>
      <c r="J2372" s="6">
        <v>3462</v>
      </c>
      <c r="K2372" s="6">
        <v>5133</v>
      </c>
    </row>
    <row r="2373" spans="1:11" x14ac:dyDescent="0.25">
      <c r="A2373" s="1">
        <v>0.64652777777777803</v>
      </c>
      <c r="B2373" s="2">
        <v>6.34</v>
      </c>
      <c r="C2373" s="2">
        <v>3.73</v>
      </c>
      <c r="D2373" s="2">
        <v>5.29</v>
      </c>
      <c r="E2373" s="2">
        <v>5.67</v>
      </c>
      <c r="F2373" s="2">
        <v>3.2</v>
      </c>
      <c r="G2373" s="6">
        <v>5724</v>
      </c>
      <c r="H2373" s="6">
        <v>7225</v>
      </c>
      <c r="I2373" s="6">
        <v>5019</v>
      </c>
      <c r="J2373" s="6">
        <v>4095</v>
      </c>
      <c r="K2373" s="6">
        <v>6369</v>
      </c>
    </row>
    <row r="2374" spans="1:11" x14ac:dyDescent="0.25">
      <c r="A2374" s="1">
        <v>0.64722222222222203</v>
      </c>
      <c r="B2374" s="2">
        <v>6.14</v>
      </c>
      <c r="C2374" s="2">
        <v>3.6</v>
      </c>
      <c r="D2374" s="2">
        <v>4.9000000000000004</v>
      </c>
      <c r="E2374" s="2">
        <v>5.24</v>
      </c>
      <c r="F2374" s="2">
        <v>3.1</v>
      </c>
      <c r="G2374" s="6">
        <v>4864</v>
      </c>
      <c r="H2374" s="6">
        <v>5247</v>
      </c>
      <c r="I2374" s="6">
        <v>4846</v>
      </c>
      <c r="J2374" s="6">
        <v>3983</v>
      </c>
      <c r="K2374" s="6">
        <v>4486</v>
      </c>
    </row>
    <row r="2375" spans="1:11" x14ac:dyDescent="0.25">
      <c r="A2375" s="1">
        <v>0.64791666666666703</v>
      </c>
      <c r="B2375" s="2">
        <v>6.1499999999999995</v>
      </c>
      <c r="C2375" s="2">
        <v>3.6</v>
      </c>
      <c r="D2375" s="2">
        <v>5.19</v>
      </c>
      <c r="E2375" s="2">
        <v>5.51</v>
      </c>
      <c r="F2375" s="2">
        <v>3.0900000000000003</v>
      </c>
      <c r="G2375" s="6">
        <v>6015</v>
      </c>
      <c r="H2375" s="6">
        <v>5489</v>
      </c>
      <c r="I2375" s="6">
        <v>4850</v>
      </c>
      <c r="J2375" s="6">
        <v>4050</v>
      </c>
      <c r="K2375" s="6">
        <v>3443</v>
      </c>
    </row>
    <row r="2376" spans="1:11" x14ac:dyDescent="0.25">
      <c r="A2376" s="1">
        <v>0.64861111111111103</v>
      </c>
      <c r="B2376" s="2">
        <v>6.28</v>
      </c>
      <c r="C2376" s="2">
        <v>3.71</v>
      </c>
      <c r="D2376" s="2">
        <v>4.91</v>
      </c>
      <c r="E2376" s="2">
        <v>5.32</v>
      </c>
      <c r="F2376" s="2">
        <v>2.98</v>
      </c>
      <c r="G2376" s="6">
        <v>4706</v>
      </c>
      <c r="H2376" s="6">
        <v>5622</v>
      </c>
      <c r="I2376" s="6">
        <v>5071</v>
      </c>
      <c r="J2376" s="6">
        <v>3823</v>
      </c>
      <c r="K2376" s="6">
        <v>6891</v>
      </c>
    </row>
    <row r="2377" spans="1:11" x14ac:dyDescent="0.25">
      <c r="A2377" s="1">
        <v>0.64930555555555602</v>
      </c>
      <c r="B2377" s="2">
        <v>6.35</v>
      </c>
      <c r="C2377" s="2">
        <v>3.59</v>
      </c>
      <c r="D2377" s="2">
        <v>5.08</v>
      </c>
      <c r="E2377" s="2">
        <v>5.16</v>
      </c>
      <c r="F2377" s="2">
        <v>3.2600000000000002</v>
      </c>
      <c r="G2377" s="6">
        <v>4598</v>
      </c>
      <c r="H2377" s="6">
        <v>5510</v>
      </c>
      <c r="I2377" s="6">
        <v>5082</v>
      </c>
      <c r="J2377" s="6">
        <v>4001</v>
      </c>
      <c r="K2377" s="6">
        <v>4121</v>
      </c>
    </row>
    <row r="2378" spans="1:11" x14ac:dyDescent="0.25">
      <c r="A2378" s="1">
        <v>0.65</v>
      </c>
      <c r="B2378" s="2">
        <v>6.35</v>
      </c>
      <c r="C2378" s="2">
        <v>3.64</v>
      </c>
      <c r="D2378" s="2">
        <v>5.24</v>
      </c>
      <c r="E2378" s="2">
        <v>5.03</v>
      </c>
      <c r="F2378" s="2">
        <v>3.3000000000000003</v>
      </c>
      <c r="G2378" s="6">
        <v>5792</v>
      </c>
      <c r="H2378" s="6">
        <v>5557</v>
      </c>
      <c r="I2378" s="6">
        <v>5040</v>
      </c>
      <c r="J2378" s="6">
        <v>3622</v>
      </c>
      <c r="K2378" s="6">
        <v>7026</v>
      </c>
    </row>
    <row r="2379" spans="1:11" x14ac:dyDescent="0.25">
      <c r="A2379" s="1">
        <v>0.65069444444444402</v>
      </c>
      <c r="B2379" s="2">
        <v>6.27</v>
      </c>
      <c r="C2379" s="2">
        <v>3.83</v>
      </c>
      <c r="D2379" s="2">
        <v>5.13</v>
      </c>
      <c r="E2379" s="2">
        <v>5.29</v>
      </c>
      <c r="F2379" s="2">
        <v>3.0500000000000003</v>
      </c>
      <c r="G2379" s="6">
        <v>5032</v>
      </c>
      <c r="H2379" s="6">
        <v>7615</v>
      </c>
      <c r="I2379" s="6">
        <v>5286</v>
      </c>
      <c r="J2379" s="6">
        <v>4228</v>
      </c>
      <c r="K2379" s="6">
        <v>5502</v>
      </c>
    </row>
    <row r="2380" spans="1:11" x14ac:dyDescent="0.25">
      <c r="A2380" s="1">
        <v>0.65138888888888902</v>
      </c>
      <c r="B2380" s="2">
        <v>6.28</v>
      </c>
      <c r="C2380" s="2">
        <v>3.83</v>
      </c>
      <c r="D2380" s="2">
        <v>5.35</v>
      </c>
      <c r="E2380" s="2">
        <v>5.16</v>
      </c>
      <c r="F2380" s="2">
        <v>3.18</v>
      </c>
      <c r="G2380" s="6">
        <v>4782</v>
      </c>
      <c r="H2380" s="6">
        <v>6101</v>
      </c>
      <c r="I2380" s="6">
        <v>4928</v>
      </c>
      <c r="J2380" s="6">
        <v>4195</v>
      </c>
      <c r="K2380" s="6">
        <v>3867</v>
      </c>
    </row>
    <row r="2381" spans="1:11" x14ac:dyDescent="0.25">
      <c r="A2381" s="1">
        <v>0.65208333333333302</v>
      </c>
      <c r="B2381" s="2">
        <v>6.27</v>
      </c>
      <c r="C2381" s="2">
        <v>3.85</v>
      </c>
      <c r="D2381" s="2">
        <v>5.08</v>
      </c>
      <c r="E2381" s="2">
        <v>5.51</v>
      </c>
      <c r="F2381" s="2">
        <v>3.1500000000000004</v>
      </c>
      <c r="G2381" s="6">
        <v>5415</v>
      </c>
      <c r="H2381" s="6">
        <v>5632</v>
      </c>
      <c r="I2381" s="6">
        <v>5212</v>
      </c>
      <c r="J2381" s="6">
        <v>3522</v>
      </c>
      <c r="K2381" s="6">
        <v>4713</v>
      </c>
    </row>
    <row r="2382" spans="1:11" x14ac:dyDescent="0.25">
      <c r="A2382" s="1">
        <v>0.65277777777777801</v>
      </c>
      <c r="B2382" s="2">
        <v>6.14</v>
      </c>
      <c r="C2382" s="2">
        <v>3.74</v>
      </c>
      <c r="D2382" s="2">
        <v>4.99</v>
      </c>
      <c r="E2382" s="2">
        <v>5.26</v>
      </c>
      <c r="F2382" s="2">
        <v>2.88</v>
      </c>
      <c r="G2382" s="6">
        <v>4748</v>
      </c>
      <c r="H2382" s="6">
        <v>7380</v>
      </c>
      <c r="I2382" s="6">
        <v>5167</v>
      </c>
      <c r="J2382" s="6">
        <v>3400</v>
      </c>
      <c r="K2382" s="6">
        <v>4357</v>
      </c>
    </row>
    <row r="2383" spans="1:11" x14ac:dyDescent="0.25">
      <c r="A2383" s="1">
        <v>0.65347222222222201</v>
      </c>
      <c r="B2383" s="2">
        <v>6.16</v>
      </c>
      <c r="C2383" s="2">
        <v>3.67</v>
      </c>
      <c r="D2383" s="2">
        <v>5.26</v>
      </c>
      <c r="E2383" s="2">
        <v>5.08</v>
      </c>
      <c r="F2383" s="2">
        <v>2.95</v>
      </c>
      <c r="G2383" s="6">
        <v>6467</v>
      </c>
      <c r="H2383" s="6">
        <v>5502</v>
      </c>
      <c r="I2383" s="6">
        <v>5020</v>
      </c>
      <c r="J2383" s="6">
        <v>3929</v>
      </c>
      <c r="K2383" s="6">
        <v>5463</v>
      </c>
    </row>
    <row r="2384" spans="1:11" x14ac:dyDescent="0.25">
      <c r="A2384" s="1">
        <v>0.65416666666666701</v>
      </c>
      <c r="B2384" s="2">
        <v>6.12</v>
      </c>
      <c r="C2384" s="2">
        <v>3.71</v>
      </c>
      <c r="D2384" s="2">
        <v>4.92</v>
      </c>
      <c r="E2384" s="2">
        <v>5.2700000000000005</v>
      </c>
      <c r="F2384" s="2">
        <v>3.3200000000000003</v>
      </c>
      <c r="G2384" s="6">
        <v>6071</v>
      </c>
      <c r="H2384" s="6">
        <v>6191</v>
      </c>
      <c r="I2384" s="6">
        <v>4991</v>
      </c>
      <c r="J2384" s="6">
        <v>4114</v>
      </c>
      <c r="K2384" s="6">
        <v>5690</v>
      </c>
    </row>
    <row r="2385" spans="1:11" x14ac:dyDescent="0.25">
      <c r="A2385" s="1">
        <v>0.65486111111111101</v>
      </c>
      <c r="B2385" s="2">
        <v>6.28</v>
      </c>
      <c r="C2385" s="2">
        <v>3.67</v>
      </c>
      <c r="D2385" s="2">
        <v>5.16</v>
      </c>
      <c r="E2385" s="2">
        <v>5.57</v>
      </c>
      <c r="F2385" s="2">
        <v>3.25</v>
      </c>
      <c r="G2385" s="6">
        <v>5476</v>
      </c>
      <c r="H2385" s="6">
        <v>6551</v>
      </c>
      <c r="I2385" s="6">
        <v>5308</v>
      </c>
      <c r="J2385" s="6">
        <v>3858</v>
      </c>
      <c r="K2385" s="6">
        <v>6813</v>
      </c>
    </row>
    <row r="2386" spans="1:11" x14ac:dyDescent="0.25">
      <c r="A2386" s="1">
        <v>0.655555555555556</v>
      </c>
      <c r="B2386" s="2">
        <v>6.2</v>
      </c>
      <c r="C2386" s="2">
        <v>3.83</v>
      </c>
      <c r="D2386" s="2">
        <v>4.91</v>
      </c>
      <c r="E2386" s="2">
        <v>5.4700000000000006</v>
      </c>
      <c r="F2386" s="2">
        <v>3.24</v>
      </c>
      <c r="G2386" s="6">
        <v>5411</v>
      </c>
      <c r="H2386" s="6">
        <v>4868</v>
      </c>
      <c r="I2386" s="6">
        <v>5172</v>
      </c>
      <c r="J2386" s="6">
        <v>3400</v>
      </c>
      <c r="K2386" s="6">
        <v>3640</v>
      </c>
    </row>
    <row r="2387" spans="1:11" x14ac:dyDescent="0.25">
      <c r="A2387" s="1">
        <v>0.65625</v>
      </c>
      <c r="B2387" s="2">
        <v>6.33</v>
      </c>
      <c r="C2387" s="2">
        <v>3.61</v>
      </c>
      <c r="D2387" s="2">
        <v>5.13</v>
      </c>
      <c r="E2387" s="2">
        <v>5.54</v>
      </c>
      <c r="F2387" s="2">
        <v>3.21</v>
      </c>
      <c r="G2387" s="6">
        <v>6482</v>
      </c>
      <c r="H2387" s="6">
        <v>6960</v>
      </c>
      <c r="I2387" s="6">
        <v>5278</v>
      </c>
      <c r="J2387" s="6">
        <v>4259</v>
      </c>
      <c r="K2387" s="6">
        <v>3543</v>
      </c>
    </row>
    <row r="2388" spans="1:11" x14ac:dyDescent="0.25">
      <c r="A2388" s="1">
        <v>0.656944444444444</v>
      </c>
      <c r="B2388" s="2">
        <v>6.31</v>
      </c>
      <c r="C2388" s="2">
        <v>3.64</v>
      </c>
      <c r="D2388" s="2">
        <v>5.05</v>
      </c>
      <c r="E2388" s="2">
        <v>5.5600000000000005</v>
      </c>
      <c r="F2388" s="2">
        <v>2.9</v>
      </c>
      <c r="G2388" s="6">
        <v>4557</v>
      </c>
      <c r="H2388" s="6">
        <v>5551</v>
      </c>
      <c r="I2388" s="6">
        <v>5068</v>
      </c>
      <c r="J2388" s="6">
        <v>3424</v>
      </c>
      <c r="K2388" s="6">
        <v>5120</v>
      </c>
    </row>
    <row r="2389" spans="1:11" x14ac:dyDescent="0.25">
      <c r="A2389" s="1">
        <v>0.65763888888888899</v>
      </c>
      <c r="B2389" s="2">
        <v>6.18</v>
      </c>
      <c r="C2389" s="2">
        <v>3.59</v>
      </c>
      <c r="D2389" s="2">
        <v>5.17</v>
      </c>
      <c r="E2389" s="2">
        <v>5.3100000000000005</v>
      </c>
      <c r="F2389" s="2">
        <v>3.0100000000000002</v>
      </c>
      <c r="G2389" s="6">
        <v>4830</v>
      </c>
      <c r="H2389" s="6">
        <v>7194</v>
      </c>
      <c r="I2389" s="6">
        <v>5214</v>
      </c>
      <c r="J2389" s="6">
        <v>4253</v>
      </c>
      <c r="K2389" s="6">
        <v>5070</v>
      </c>
    </row>
    <row r="2390" spans="1:11" x14ac:dyDescent="0.25">
      <c r="A2390" s="1">
        <v>0.65833333333333299</v>
      </c>
      <c r="B2390" s="2">
        <v>6.1899999999999995</v>
      </c>
      <c r="C2390" s="2">
        <v>3.6</v>
      </c>
      <c r="D2390" s="2">
        <v>4.87</v>
      </c>
      <c r="E2390" s="2">
        <v>5.23</v>
      </c>
      <c r="F2390" s="2">
        <v>3.2800000000000002</v>
      </c>
      <c r="G2390" s="6">
        <v>5236</v>
      </c>
      <c r="H2390" s="6">
        <v>7537</v>
      </c>
      <c r="I2390" s="6">
        <v>5174</v>
      </c>
      <c r="J2390" s="6">
        <v>3375</v>
      </c>
      <c r="K2390" s="6">
        <v>4589</v>
      </c>
    </row>
    <row r="2391" spans="1:11" x14ac:dyDescent="0.25">
      <c r="A2391" s="1">
        <v>0.65902777777777799</v>
      </c>
      <c r="B2391" s="2">
        <v>6.22</v>
      </c>
      <c r="C2391" s="2">
        <v>3.74</v>
      </c>
      <c r="D2391" s="2">
        <v>5.36</v>
      </c>
      <c r="E2391" s="2">
        <v>5.29</v>
      </c>
      <c r="F2391" s="2">
        <v>3.16</v>
      </c>
      <c r="G2391" s="6">
        <v>5770</v>
      </c>
      <c r="H2391" s="6">
        <v>7292</v>
      </c>
      <c r="I2391" s="6">
        <v>5215</v>
      </c>
      <c r="J2391" s="6">
        <v>4216</v>
      </c>
      <c r="K2391" s="6">
        <v>6703</v>
      </c>
    </row>
    <row r="2392" spans="1:11" x14ac:dyDescent="0.25">
      <c r="A2392" s="1">
        <v>0.65972222222222199</v>
      </c>
      <c r="B2392" s="2">
        <v>6.28</v>
      </c>
      <c r="C2392" s="2">
        <v>3.84</v>
      </c>
      <c r="D2392" s="2">
        <v>5.07</v>
      </c>
      <c r="E2392" s="2">
        <v>5.2700000000000005</v>
      </c>
      <c r="F2392" s="2">
        <v>3.0300000000000002</v>
      </c>
      <c r="G2392" s="6">
        <v>4853</v>
      </c>
      <c r="H2392" s="6">
        <v>7776</v>
      </c>
      <c r="I2392" s="6">
        <v>5036</v>
      </c>
      <c r="J2392" s="6">
        <v>4163</v>
      </c>
      <c r="K2392" s="6">
        <v>5911</v>
      </c>
    </row>
    <row r="2393" spans="1:11" x14ac:dyDescent="0.25">
      <c r="A2393" s="1">
        <v>0.66041666666666698</v>
      </c>
      <c r="B2393" s="2">
        <v>6.29</v>
      </c>
      <c r="C2393" s="2">
        <v>3.65</v>
      </c>
      <c r="D2393" s="2">
        <v>5.05</v>
      </c>
      <c r="E2393" s="2">
        <v>5.34</v>
      </c>
      <c r="F2393" s="2">
        <v>3.37</v>
      </c>
      <c r="G2393" s="6">
        <v>5928</v>
      </c>
      <c r="H2393" s="6">
        <v>6884</v>
      </c>
      <c r="I2393" s="6">
        <v>5072</v>
      </c>
      <c r="J2393" s="6">
        <v>3558</v>
      </c>
      <c r="K2393" s="6">
        <v>4076</v>
      </c>
    </row>
    <row r="2394" spans="1:11" x14ac:dyDescent="0.25">
      <c r="A2394" s="1">
        <v>0.66111111111111098</v>
      </c>
      <c r="B2394" s="2">
        <v>6.16</v>
      </c>
      <c r="C2394" s="2">
        <v>3.6</v>
      </c>
      <c r="D2394" s="2">
        <v>4.96</v>
      </c>
      <c r="E2394" s="2">
        <v>5.0600000000000005</v>
      </c>
      <c r="F2394" s="2">
        <v>3.2800000000000002</v>
      </c>
      <c r="G2394" s="6">
        <v>4574</v>
      </c>
      <c r="H2394" s="6">
        <v>5396</v>
      </c>
      <c r="I2394" s="6">
        <v>4907</v>
      </c>
      <c r="J2394" s="6">
        <v>4249</v>
      </c>
      <c r="K2394" s="6">
        <v>4405</v>
      </c>
    </row>
    <row r="2395" spans="1:11" x14ac:dyDescent="0.25">
      <c r="A2395" s="1">
        <v>0.66180555555555598</v>
      </c>
      <c r="B2395" s="2">
        <v>6.33</v>
      </c>
      <c r="C2395" s="2">
        <v>3.58</v>
      </c>
      <c r="D2395" s="2">
        <v>5.03</v>
      </c>
      <c r="E2395" s="2">
        <v>5.5500000000000007</v>
      </c>
      <c r="F2395" s="2">
        <v>3.2800000000000002</v>
      </c>
      <c r="G2395" s="6">
        <v>6430</v>
      </c>
      <c r="H2395" s="6">
        <v>5369</v>
      </c>
      <c r="I2395" s="6">
        <v>5156</v>
      </c>
      <c r="J2395" s="6">
        <v>3417</v>
      </c>
      <c r="K2395" s="6">
        <v>6022</v>
      </c>
    </row>
    <row r="2396" spans="1:11" x14ac:dyDescent="0.25">
      <c r="A2396" s="1">
        <v>0.66249999999999998</v>
      </c>
      <c r="B2396" s="2">
        <v>6.24</v>
      </c>
      <c r="C2396" s="2">
        <v>3.64</v>
      </c>
      <c r="D2396" s="2">
        <v>4.9000000000000004</v>
      </c>
      <c r="E2396" s="2">
        <v>5.42</v>
      </c>
      <c r="F2396" s="2">
        <v>2.96</v>
      </c>
      <c r="G2396" s="6">
        <v>5331</v>
      </c>
      <c r="H2396" s="6">
        <v>5758</v>
      </c>
      <c r="I2396" s="6">
        <v>4852</v>
      </c>
      <c r="J2396" s="6">
        <v>3418</v>
      </c>
      <c r="K2396" s="6">
        <v>4825</v>
      </c>
    </row>
    <row r="2397" spans="1:11" x14ac:dyDescent="0.25">
      <c r="A2397" s="1">
        <v>0.66319444444444398</v>
      </c>
      <c r="B2397" s="2">
        <v>6.18</v>
      </c>
      <c r="C2397" s="2">
        <v>3.67</v>
      </c>
      <c r="D2397" s="2">
        <v>5.16</v>
      </c>
      <c r="E2397" s="2">
        <v>5.07</v>
      </c>
      <c r="F2397" s="2">
        <v>2.92</v>
      </c>
      <c r="G2397" s="6">
        <v>5696</v>
      </c>
      <c r="H2397" s="6">
        <v>6534</v>
      </c>
      <c r="I2397" s="6">
        <v>5300</v>
      </c>
      <c r="J2397" s="6">
        <v>4126</v>
      </c>
      <c r="K2397" s="6">
        <v>5987</v>
      </c>
    </row>
    <row r="2398" spans="1:11" x14ac:dyDescent="0.25">
      <c r="A2398" s="1">
        <v>0.66388888888888897</v>
      </c>
      <c r="B2398" s="2">
        <v>6.13</v>
      </c>
      <c r="C2398" s="2">
        <v>3.85</v>
      </c>
      <c r="D2398" s="2">
        <v>5.03</v>
      </c>
      <c r="E2398" s="2">
        <v>5.5200000000000005</v>
      </c>
      <c r="F2398" s="2">
        <v>3.08</v>
      </c>
      <c r="G2398" s="6">
        <v>6202</v>
      </c>
      <c r="H2398" s="6">
        <v>5058</v>
      </c>
      <c r="I2398" s="6">
        <v>5320</v>
      </c>
      <c r="J2398" s="6">
        <v>3680</v>
      </c>
      <c r="K2398" s="6">
        <v>3691</v>
      </c>
    </row>
    <row r="2399" spans="1:11" x14ac:dyDescent="0.25">
      <c r="A2399" s="1">
        <v>0.66458333333333297</v>
      </c>
      <c r="B2399" s="2">
        <v>6.13</v>
      </c>
      <c r="C2399" s="2">
        <v>3.72</v>
      </c>
      <c r="D2399" s="2">
        <v>5.33</v>
      </c>
      <c r="E2399" s="2">
        <v>5.4</v>
      </c>
      <c r="F2399" s="2">
        <v>3.33</v>
      </c>
      <c r="G2399" s="6">
        <v>5310</v>
      </c>
      <c r="H2399" s="6">
        <v>5207</v>
      </c>
      <c r="I2399" s="6">
        <v>4842</v>
      </c>
      <c r="J2399" s="6">
        <v>4047</v>
      </c>
      <c r="K2399" s="6">
        <v>5786</v>
      </c>
    </row>
    <row r="2400" spans="1:11" x14ac:dyDescent="0.25">
      <c r="A2400" s="1">
        <v>0.66527777777777797</v>
      </c>
      <c r="B2400" s="2">
        <v>6.1099999999999994</v>
      </c>
      <c r="C2400" s="2">
        <v>3.59</v>
      </c>
      <c r="D2400" s="2">
        <v>5.15</v>
      </c>
      <c r="E2400" s="2">
        <v>5.16</v>
      </c>
      <c r="F2400" s="2">
        <v>3.02</v>
      </c>
      <c r="G2400" s="6">
        <v>5984</v>
      </c>
      <c r="H2400" s="6">
        <v>7486</v>
      </c>
      <c r="I2400" s="6">
        <v>5198</v>
      </c>
      <c r="J2400" s="6">
        <v>3987</v>
      </c>
      <c r="K2400" s="6">
        <v>5836</v>
      </c>
    </row>
    <row r="2401" spans="1:11" x14ac:dyDescent="0.25">
      <c r="A2401" s="1">
        <v>0.66597222222222197</v>
      </c>
      <c r="B2401" s="2">
        <v>6.32</v>
      </c>
      <c r="C2401" s="2">
        <v>3.64</v>
      </c>
      <c r="D2401" s="2">
        <v>5.1400000000000006</v>
      </c>
      <c r="E2401" s="2">
        <v>5.34</v>
      </c>
      <c r="F2401" s="2">
        <v>3.31</v>
      </c>
      <c r="G2401" s="6">
        <v>6305</v>
      </c>
      <c r="H2401" s="6">
        <v>7548</v>
      </c>
      <c r="I2401" s="6">
        <v>5164</v>
      </c>
      <c r="J2401" s="6">
        <v>3560</v>
      </c>
      <c r="K2401" s="6">
        <v>6927</v>
      </c>
    </row>
    <row r="2402" spans="1:11" x14ac:dyDescent="0.25">
      <c r="A2402" s="3">
        <v>0.66666666666666696</v>
      </c>
      <c r="B2402" s="2">
        <v>6.21</v>
      </c>
      <c r="C2402" s="2">
        <v>3.74</v>
      </c>
      <c r="D2402" s="2">
        <v>5.1100000000000003</v>
      </c>
      <c r="E2402" s="2">
        <v>5.34</v>
      </c>
      <c r="F2402" s="2">
        <v>3.19</v>
      </c>
      <c r="G2402" s="6">
        <v>4822</v>
      </c>
      <c r="H2402" s="6">
        <v>6662</v>
      </c>
      <c r="I2402" s="6">
        <v>4950</v>
      </c>
      <c r="J2402" s="6">
        <v>2521</v>
      </c>
      <c r="K2402" s="6">
        <v>3080</v>
      </c>
    </row>
    <row r="2403" spans="1:11" x14ac:dyDescent="0.25">
      <c r="A2403" s="1">
        <v>0.66736111111111096</v>
      </c>
      <c r="B2403" s="2">
        <v>6.1499999999999995</v>
      </c>
      <c r="C2403" s="2">
        <v>3.85</v>
      </c>
      <c r="D2403" s="2">
        <v>4.92</v>
      </c>
      <c r="E2403" s="2">
        <v>5.29</v>
      </c>
      <c r="F2403" s="2">
        <v>3.14</v>
      </c>
      <c r="G2403" s="6">
        <v>3965</v>
      </c>
      <c r="H2403" s="6">
        <v>3070</v>
      </c>
      <c r="I2403" s="6">
        <v>3516</v>
      </c>
      <c r="J2403" s="6">
        <v>2594</v>
      </c>
      <c r="K2403" s="6">
        <v>2109</v>
      </c>
    </row>
    <row r="2404" spans="1:11" x14ac:dyDescent="0.25">
      <c r="A2404" s="1">
        <v>0.66805555555555596</v>
      </c>
      <c r="B2404" s="2">
        <v>6.1099999999999994</v>
      </c>
      <c r="C2404" s="2">
        <v>3.77</v>
      </c>
      <c r="D2404" s="2">
        <v>4.8899999999999997</v>
      </c>
      <c r="E2404" s="2">
        <v>5.67</v>
      </c>
      <c r="F2404" s="2">
        <v>3.14</v>
      </c>
      <c r="G2404" s="6">
        <v>3354</v>
      </c>
      <c r="H2404" s="6">
        <v>3683</v>
      </c>
      <c r="I2404" s="6">
        <v>2521</v>
      </c>
      <c r="J2404" s="6">
        <v>2189</v>
      </c>
      <c r="K2404" s="6">
        <v>2807</v>
      </c>
    </row>
    <row r="2405" spans="1:11" x14ac:dyDescent="0.25">
      <c r="A2405" s="1">
        <v>0.66874999999999996</v>
      </c>
      <c r="B2405" s="2">
        <v>6.2</v>
      </c>
      <c r="C2405" s="2">
        <v>3.75</v>
      </c>
      <c r="D2405" s="2">
        <v>5.36</v>
      </c>
      <c r="E2405" s="2">
        <v>5.16</v>
      </c>
      <c r="F2405" s="2">
        <v>3.22</v>
      </c>
      <c r="G2405" s="6">
        <v>3486</v>
      </c>
      <c r="H2405" s="6">
        <v>4879</v>
      </c>
      <c r="I2405" s="6">
        <v>2419</v>
      </c>
      <c r="J2405" s="6">
        <v>1948</v>
      </c>
      <c r="K2405" s="6">
        <v>2778</v>
      </c>
    </row>
    <row r="2406" spans="1:11" x14ac:dyDescent="0.25">
      <c r="A2406" s="1">
        <v>0.66944444444444495</v>
      </c>
      <c r="B2406" s="2">
        <v>6.27</v>
      </c>
      <c r="C2406" s="2">
        <v>3.87</v>
      </c>
      <c r="D2406" s="2">
        <v>5.21</v>
      </c>
      <c r="E2406" s="2">
        <v>5.23</v>
      </c>
      <c r="F2406" s="2">
        <v>3.38</v>
      </c>
      <c r="G2406" s="6">
        <v>3823</v>
      </c>
      <c r="H2406" s="6">
        <v>6321</v>
      </c>
      <c r="I2406" s="6">
        <v>3010</v>
      </c>
      <c r="J2406" s="6">
        <v>2310</v>
      </c>
      <c r="K2406" s="6">
        <v>2060</v>
      </c>
    </row>
    <row r="2407" spans="1:11" x14ac:dyDescent="0.25">
      <c r="A2407" s="1">
        <v>0.67013888888888895</v>
      </c>
      <c r="B2407" s="2">
        <v>6.22</v>
      </c>
      <c r="C2407" s="2">
        <v>3.6</v>
      </c>
      <c r="D2407" s="2">
        <v>4.96</v>
      </c>
      <c r="E2407" s="2">
        <v>5.3</v>
      </c>
      <c r="F2407" s="2">
        <v>3.0300000000000002</v>
      </c>
      <c r="G2407" s="6">
        <v>4072</v>
      </c>
      <c r="H2407" s="6">
        <v>7056</v>
      </c>
      <c r="I2407" s="6">
        <v>4026</v>
      </c>
      <c r="J2407" s="6">
        <v>1889</v>
      </c>
      <c r="K2407" s="6">
        <v>2290</v>
      </c>
    </row>
    <row r="2408" spans="1:11" x14ac:dyDescent="0.25">
      <c r="A2408" s="1">
        <v>0.67083333333333295</v>
      </c>
      <c r="B2408" s="2">
        <v>6.32</v>
      </c>
      <c r="C2408" s="2">
        <v>3.59</v>
      </c>
      <c r="D2408" s="2">
        <v>4.87</v>
      </c>
      <c r="E2408" s="2">
        <v>5.0599999999999996</v>
      </c>
      <c r="F2408" s="2">
        <v>2.97</v>
      </c>
      <c r="G2408" s="6">
        <v>3617</v>
      </c>
      <c r="H2408" s="6">
        <v>6202</v>
      </c>
      <c r="I2408" s="6">
        <v>4991</v>
      </c>
      <c r="J2408" s="6">
        <v>2405</v>
      </c>
      <c r="K2408" s="6">
        <v>3459</v>
      </c>
    </row>
    <row r="2409" spans="1:11" x14ac:dyDescent="0.25">
      <c r="A2409" s="1">
        <v>0.67152777777777795</v>
      </c>
      <c r="B2409" s="2">
        <v>6.1099999999999994</v>
      </c>
      <c r="C2409" s="2">
        <v>3.83</v>
      </c>
      <c r="D2409" s="2">
        <v>5.29</v>
      </c>
      <c r="E2409" s="2">
        <v>5.45</v>
      </c>
      <c r="F2409" s="2">
        <v>3.24</v>
      </c>
      <c r="G2409" s="6">
        <v>3956</v>
      </c>
      <c r="H2409" s="6">
        <v>3207</v>
      </c>
      <c r="I2409" s="6">
        <v>3402</v>
      </c>
      <c r="J2409" s="6">
        <v>2018</v>
      </c>
      <c r="K2409" s="6">
        <v>2729</v>
      </c>
    </row>
    <row r="2410" spans="1:11" x14ac:dyDescent="0.25">
      <c r="A2410" s="1">
        <v>0.67222222222222205</v>
      </c>
      <c r="B2410" s="2">
        <v>6.2</v>
      </c>
      <c r="C2410" s="2">
        <v>3.8200000000000003</v>
      </c>
      <c r="D2410" s="2">
        <v>4.92</v>
      </c>
      <c r="E2410" s="2">
        <v>5.0199999999999996</v>
      </c>
      <c r="F2410" s="2">
        <v>3.29</v>
      </c>
      <c r="G2410" s="6">
        <v>4056</v>
      </c>
      <c r="H2410" s="6">
        <v>4510</v>
      </c>
      <c r="I2410" s="6">
        <v>3036</v>
      </c>
      <c r="J2410" s="6">
        <v>1605</v>
      </c>
      <c r="K2410" s="6">
        <v>1980</v>
      </c>
    </row>
    <row r="2411" spans="1:11" x14ac:dyDescent="0.25">
      <c r="A2411" s="1">
        <v>0.67291666666666705</v>
      </c>
      <c r="B2411" s="2">
        <v>6.25</v>
      </c>
      <c r="C2411" s="2">
        <v>3.8200000000000003</v>
      </c>
      <c r="D2411" s="2">
        <v>4.87</v>
      </c>
      <c r="E2411" s="2">
        <v>5.41</v>
      </c>
      <c r="F2411" s="2">
        <v>2.89</v>
      </c>
      <c r="G2411" s="6">
        <v>3865</v>
      </c>
      <c r="H2411" s="6">
        <v>5301</v>
      </c>
      <c r="I2411" s="6">
        <v>3763</v>
      </c>
      <c r="J2411" s="6">
        <v>1841</v>
      </c>
      <c r="K2411" s="6">
        <v>1945</v>
      </c>
    </row>
    <row r="2412" spans="1:11" x14ac:dyDescent="0.25">
      <c r="A2412" s="1">
        <v>0.67361111111111105</v>
      </c>
      <c r="B2412" s="2">
        <v>6.3599999999999994</v>
      </c>
      <c r="C2412" s="2">
        <v>3.7</v>
      </c>
      <c r="D2412" s="2">
        <v>5.0200000000000005</v>
      </c>
      <c r="E2412" s="2">
        <v>5.05</v>
      </c>
      <c r="F2412" s="2">
        <v>3.0900000000000003</v>
      </c>
      <c r="G2412" s="6">
        <v>3361</v>
      </c>
      <c r="H2412" s="6">
        <v>5367</v>
      </c>
      <c r="I2412" s="6">
        <v>3423</v>
      </c>
      <c r="J2412" s="6">
        <v>2728</v>
      </c>
      <c r="K2412" s="6">
        <v>3294</v>
      </c>
    </row>
    <row r="2413" spans="1:11" x14ac:dyDescent="0.25">
      <c r="A2413" s="1">
        <v>0.67430555555555605</v>
      </c>
      <c r="B2413" s="2">
        <v>6.24</v>
      </c>
      <c r="C2413" s="2">
        <v>3.67</v>
      </c>
      <c r="D2413" s="2">
        <v>5.3100000000000005</v>
      </c>
      <c r="E2413" s="2">
        <v>5.41</v>
      </c>
      <c r="F2413" s="2">
        <v>3.3600000000000003</v>
      </c>
      <c r="G2413" s="6">
        <v>3131</v>
      </c>
      <c r="H2413" s="6">
        <v>5976</v>
      </c>
      <c r="I2413" s="6">
        <v>4501</v>
      </c>
      <c r="J2413" s="6">
        <v>2167</v>
      </c>
      <c r="K2413" s="6">
        <v>2180</v>
      </c>
    </row>
    <row r="2414" spans="1:11" x14ac:dyDescent="0.25">
      <c r="A2414" s="1">
        <v>0.67500000000000004</v>
      </c>
      <c r="B2414" s="2">
        <v>6.18</v>
      </c>
      <c r="C2414" s="2">
        <v>3.65</v>
      </c>
      <c r="D2414" s="2">
        <v>5.15</v>
      </c>
      <c r="E2414" s="2">
        <v>5.64</v>
      </c>
      <c r="F2414" s="2">
        <v>3.22</v>
      </c>
      <c r="G2414" s="6">
        <v>4683</v>
      </c>
      <c r="H2414" s="6">
        <v>6235</v>
      </c>
      <c r="I2414" s="6">
        <v>3759</v>
      </c>
      <c r="J2414" s="6">
        <v>2119</v>
      </c>
      <c r="K2414" s="6">
        <v>2112</v>
      </c>
    </row>
    <row r="2415" spans="1:11" x14ac:dyDescent="0.25">
      <c r="A2415" s="1">
        <v>0.67569444444444404</v>
      </c>
      <c r="B2415" s="2">
        <v>6.3</v>
      </c>
      <c r="C2415" s="2">
        <v>3.73</v>
      </c>
      <c r="D2415" s="2">
        <v>5.01</v>
      </c>
      <c r="E2415" s="2">
        <v>5.01</v>
      </c>
      <c r="F2415" s="2">
        <v>2.89</v>
      </c>
      <c r="G2415" s="6">
        <v>3314</v>
      </c>
      <c r="H2415" s="6">
        <v>4911</v>
      </c>
      <c r="I2415" s="6">
        <v>2151</v>
      </c>
      <c r="J2415" s="6">
        <v>1731</v>
      </c>
      <c r="K2415" s="6">
        <v>3136</v>
      </c>
    </row>
    <row r="2416" spans="1:11" x14ac:dyDescent="0.25">
      <c r="A2416" s="1">
        <v>0.67638888888888904</v>
      </c>
      <c r="B2416" s="2">
        <v>6.26</v>
      </c>
      <c r="C2416" s="2">
        <v>3.75</v>
      </c>
      <c r="D2416" s="2">
        <v>5.36</v>
      </c>
      <c r="E2416" s="2">
        <v>5.46</v>
      </c>
      <c r="F2416" s="2">
        <v>3.3000000000000003</v>
      </c>
      <c r="G2416" s="6">
        <v>4037</v>
      </c>
      <c r="H2416" s="6">
        <v>3009</v>
      </c>
      <c r="I2416" s="6">
        <v>3671</v>
      </c>
      <c r="J2416" s="6">
        <v>1751</v>
      </c>
      <c r="K2416" s="6">
        <v>2145</v>
      </c>
    </row>
    <row r="2417" spans="1:11" x14ac:dyDescent="0.25">
      <c r="A2417" s="1">
        <v>0.67708333333333304</v>
      </c>
      <c r="B2417" s="2">
        <v>6.16</v>
      </c>
      <c r="C2417" s="2">
        <v>3.59</v>
      </c>
      <c r="D2417" s="2">
        <v>5.23</v>
      </c>
      <c r="E2417" s="2">
        <v>5.36</v>
      </c>
      <c r="F2417" s="2">
        <v>3.29</v>
      </c>
      <c r="G2417" s="6">
        <v>4641</v>
      </c>
      <c r="H2417" s="6">
        <v>5590</v>
      </c>
      <c r="I2417" s="6">
        <v>2958</v>
      </c>
      <c r="J2417" s="6">
        <v>2716</v>
      </c>
      <c r="K2417" s="6">
        <v>2158</v>
      </c>
    </row>
    <row r="2418" spans="1:11" x14ac:dyDescent="0.25">
      <c r="A2418" s="1">
        <v>0.67777777777777803</v>
      </c>
      <c r="B2418" s="2">
        <v>6.3</v>
      </c>
      <c r="C2418" s="2">
        <v>3.68</v>
      </c>
      <c r="D2418" s="2">
        <v>5.2</v>
      </c>
      <c r="E2418" s="2">
        <v>5.0999999999999996</v>
      </c>
      <c r="F2418" s="2">
        <v>3</v>
      </c>
      <c r="G2418" s="6">
        <v>4600</v>
      </c>
      <c r="H2418" s="6">
        <v>6919</v>
      </c>
      <c r="I2418" s="6">
        <v>3990</v>
      </c>
      <c r="J2418" s="6">
        <v>2643</v>
      </c>
      <c r="K2418" s="6">
        <v>2863</v>
      </c>
    </row>
    <row r="2419" spans="1:11" x14ac:dyDescent="0.25">
      <c r="A2419" s="1">
        <v>0.67847222222222203</v>
      </c>
      <c r="B2419" s="2">
        <v>6.17</v>
      </c>
      <c r="C2419" s="2">
        <v>3.63</v>
      </c>
      <c r="D2419" s="2">
        <v>5.03</v>
      </c>
      <c r="E2419" s="2">
        <v>5.51</v>
      </c>
      <c r="F2419" s="2">
        <v>2.91</v>
      </c>
      <c r="G2419" s="6">
        <v>2869</v>
      </c>
      <c r="H2419" s="6">
        <v>5482</v>
      </c>
      <c r="I2419" s="6">
        <v>3972</v>
      </c>
      <c r="J2419" s="6">
        <v>1949</v>
      </c>
      <c r="K2419" s="6">
        <v>2638</v>
      </c>
    </row>
    <row r="2420" spans="1:11" x14ac:dyDescent="0.25">
      <c r="A2420" s="1">
        <v>0.67916666666666703</v>
      </c>
      <c r="B2420" s="2">
        <v>6.31</v>
      </c>
      <c r="C2420" s="2">
        <v>3.79</v>
      </c>
      <c r="D2420" s="2">
        <v>4.88</v>
      </c>
      <c r="E2420" s="2">
        <v>5.5</v>
      </c>
      <c r="F2420" s="2">
        <v>3.2</v>
      </c>
      <c r="G2420" s="6">
        <v>3237</v>
      </c>
      <c r="H2420" s="6">
        <v>4252</v>
      </c>
      <c r="I2420" s="6">
        <v>3281</v>
      </c>
      <c r="J2420" s="6">
        <v>2700</v>
      </c>
      <c r="K2420" s="6">
        <v>2185</v>
      </c>
    </row>
    <row r="2421" spans="1:11" x14ac:dyDescent="0.25">
      <c r="A2421" s="1">
        <v>0.67986111111111103</v>
      </c>
      <c r="B2421" s="2">
        <v>6.22</v>
      </c>
      <c r="C2421" s="2">
        <v>3.73</v>
      </c>
      <c r="D2421" s="2">
        <v>4.99</v>
      </c>
      <c r="E2421" s="2">
        <v>5.57</v>
      </c>
      <c r="F2421" s="2">
        <v>3.29</v>
      </c>
      <c r="G2421" s="6">
        <v>4411</v>
      </c>
      <c r="H2421" s="6">
        <v>3818</v>
      </c>
      <c r="I2421" s="6">
        <v>5407</v>
      </c>
      <c r="J2421" s="6">
        <v>2035</v>
      </c>
      <c r="K2421" s="6">
        <v>3434</v>
      </c>
    </row>
    <row r="2422" spans="1:11" x14ac:dyDescent="0.25">
      <c r="A2422" s="1">
        <v>0.68055555555555602</v>
      </c>
      <c r="B2422" s="2">
        <v>6.34</v>
      </c>
      <c r="C2422" s="2">
        <v>3.75</v>
      </c>
      <c r="D2422" s="2">
        <v>5.05</v>
      </c>
      <c r="E2422" s="2">
        <v>5</v>
      </c>
      <c r="F2422" s="2">
        <v>2.91</v>
      </c>
      <c r="G2422" s="6">
        <v>4137</v>
      </c>
      <c r="H2422" s="6">
        <v>2761</v>
      </c>
      <c r="I2422" s="6">
        <v>1542</v>
      </c>
      <c r="J2422" s="6">
        <v>2503</v>
      </c>
      <c r="K2422" s="6">
        <v>2023</v>
      </c>
    </row>
    <row r="2423" spans="1:11" x14ac:dyDescent="0.25">
      <c r="A2423" s="1">
        <v>0.68125000000000002</v>
      </c>
      <c r="B2423" s="2">
        <v>6.24</v>
      </c>
      <c r="C2423" s="2">
        <v>3.87</v>
      </c>
      <c r="D2423" s="2">
        <v>5.18</v>
      </c>
      <c r="E2423" s="2">
        <v>5.0199999999999996</v>
      </c>
      <c r="F2423" s="2">
        <v>3.0700000000000003</v>
      </c>
      <c r="G2423" s="6">
        <v>3500</v>
      </c>
      <c r="H2423" s="6">
        <v>4284</v>
      </c>
      <c r="I2423" s="6">
        <v>5352</v>
      </c>
      <c r="J2423" s="6">
        <v>2606</v>
      </c>
      <c r="K2423" s="6">
        <v>3376</v>
      </c>
    </row>
    <row r="2424" spans="1:11" x14ac:dyDescent="0.25">
      <c r="A2424" s="1">
        <v>0.68194444444444402</v>
      </c>
      <c r="B2424" s="2">
        <v>6.1899999999999995</v>
      </c>
      <c r="C2424" s="2">
        <v>3.66</v>
      </c>
      <c r="D2424" s="2">
        <v>4.95</v>
      </c>
      <c r="E2424" s="2">
        <v>5.44</v>
      </c>
      <c r="F2424" s="2">
        <v>3.27</v>
      </c>
      <c r="G2424" s="6">
        <v>4225</v>
      </c>
      <c r="H2424" s="6">
        <v>6763</v>
      </c>
      <c r="I2424" s="6">
        <v>2472</v>
      </c>
      <c r="J2424" s="6">
        <v>1670</v>
      </c>
      <c r="K2424" s="6">
        <v>2355</v>
      </c>
    </row>
    <row r="2425" spans="1:11" x14ac:dyDescent="0.25">
      <c r="A2425" s="1">
        <v>0.68263888888888902</v>
      </c>
      <c r="B2425" s="2">
        <v>6.18</v>
      </c>
      <c r="C2425" s="2">
        <v>3.61</v>
      </c>
      <c r="D2425" s="2">
        <v>4.8899999999999997</v>
      </c>
      <c r="E2425" s="2">
        <v>5.08</v>
      </c>
      <c r="F2425" s="2">
        <v>3.21</v>
      </c>
      <c r="G2425" s="6">
        <v>3047</v>
      </c>
      <c r="H2425" s="6">
        <v>5551</v>
      </c>
      <c r="I2425" s="6">
        <v>2697</v>
      </c>
      <c r="J2425" s="6">
        <v>2626</v>
      </c>
      <c r="K2425" s="6">
        <v>2957</v>
      </c>
    </row>
    <row r="2426" spans="1:11" x14ac:dyDescent="0.25">
      <c r="A2426" s="1">
        <v>0.68333333333333302</v>
      </c>
      <c r="B2426" s="2">
        <v>6.34</v>
      </c>
      <c r="C2426" s="2">
        <v>3.63</v>
      </c>
      <c r="D2426" s="2">
        <v>5.07</v>
      </c>
      <c r="E2426" s="2">
        <v>5.25</v>
      </c>
      <c r="F2426" s="2">
        <v>2.91</v>
      </c>
      <c r="G2426" s="6">
        <v>4038</v>
      </c>
      <c r="H2426" s="6">
        <v>4644</v>
      </c>
      <c r="I2426" s="6">
        <v>2757</v>
      </c>
      <c r="J2426" s="6">
        <v>1915</v>
      </c>
      <c r="K2426" s="6">
        <v>2089</v>
      </c>
    </row>
    <row r="2427" spans="1:11" x14ac:dyDescent="0.25">
      <c r="A2427" s="1">
        <v>0.68402777777777801</v>
      </c>
      <c r="B2427" s="2">
        <v>6.13</v>
      </c>
      <c r="C2427" s="2">
        <v>3.65</v>
      </c>
      <c r="D2427" s="2">
        <v>5.0200000000000005</v>
      </c>
      <c r="E2427" s="2">
        <v>5.39</v>
      </c>
      <c r="F2427" s="2">
        <v>3.3400000000000003</v>
      </c>
      <c r="G2427" s="6">
        <v>2519</v>
      </c>
      <c r="H2427" s="6">
        <v>2649</v>
      </c>
      <c r="I2427" s="6">
        <v>4011</v>
      </c>
      <c r="J2427" s="6">
        <v>2479</v>
      </c>
      <c r="K2427" s="6">
        <v>2618</v>
      </c>
    </row>
    <row r="2428" spans="1:11" x14ac:dyDescent="0.25">
      <c r="A2428" s="1">
        <v>0.68472222222222201</v>
      </c>
      <c r="B2428" s="2">
        <v>6.35</v>
      </c>
      <c r="C2428" s="2">
        <v>3.7</v>
      </c>
      <c r="D2428" s="2">
        <v>5.36</v>
      </c>
      <c r="E2428" s="2">
        <v>5.18</v>
      </c>
      <c r="F2428" s="2">
        <v>3.3200000000000003</v>
      </c>
      <c r="G2428" s="6">
        <v>4372</v>
      </c>
      <c r="H2428" s="6">
        <v>5640</v>
      </c>
      <c r="I2428" s="6">
        <v>4440</v>
      </c>
      <c r="J2428" s="6">
        <v>2753</v>
      </c>
      <c r="K2428" s="6">
        <v>3350</v>
      </c>
    </row>
    <row r="2429" spans="1:11" x14ac:dyDescent="0.25">
      <c r="A2429" s="1">
        <v>0.68541666666666701</v>
      </c>
      <c r="B2429" s="2">
        <v>6.24</v>
      </c>
      <c r="C2429" s="2">
        <v>3.65</v>
      </c>
      <c r="D2429" s="2">
        <v>5.01</v>
      </c>
      <c r="E2429" s="2">
        <v>5.42</v>
      </c>
      <c r="F2429" s="2">
        <v>3.21</v>
      </c>
      <c r="G2429" s="6">
        <v>4364</v>
      </c>
      <c r="H2429" s="6">
        <v>4147</v>
      </c>
      <c r="I2429" s="6">
        <v>3927</v>
      </c>
      <c r="J2429" s="6">
        <v>1596</v>
      </c>
      <c r="K2429" s="6">
        <v>2546</v>
      </c>
    </row>
    <row r="2430" spans="1:11" x14ac:dyDescent="0.25">
      <c r="A2430" s="1">
        <v>0.68611111111111101</v>
      </c>
      <c r="B2430" s="2">
        <v>6.32</v>
      </c>
      <c r="C2430" s="2">
        <v>3.71</v>
      </c>
      <c r="D2430" s="2">
        <v>5.35</v>
      </c>
      <c r="E2430" s="2">
        <v>5.03</v>
      </c>
      <c r="F2430" s="2">
        <v>3.12</v>
      </c>
      <c r="G2430" s="6">
        <v>2642</v>
      </c>
      <c r="H2430" s="6">
        <v>5130</v>
      </c>
      <c r="I2430" s="6">
        <v>1936</v>
      </c>
      <c r="J2430" s="6">
        <v>2665</v>
      </c>
      <c r="K2430" s="6">
        <v>2786</v>
      </c>
    </row>
    <row r="2431" spans="1:11" x14ac:dyDescent="0.25">
      <c r="A2431" s="1">
        <v>0.686805555555556</v>
      </c>
      <c r="B2431" s="2">
        <v>6.34</v>
      </c>
      <c r="C2431" s="2">
        <v>3.74</v>
      </c>
      <c r="D2431" s="2">
        <v>4.95</v>
      </c>
      <c r="E2431" s="2">
        <v>5.21</v>
      </c>
      <c r="F2431" s="2">
        <v>3.3200000000000003</v>
      </c>
      <c r="G2431" s="6">
        <v>4460</v>
      </c>
      <c r="H2431" s="6">
        <v>3946</v>
      </c>
      <c r="I2431" s="6">
        <v>2726</v>
      </c>
      <c r="J2431" s="6">
        <v>2261</v>
      </c>
      <c r="K2431" s="6">
        <v>2564</v>
      </c>
    </row>
    <row r="2432" spans="1:11" x14ac:dyDescent="0.25">
      <c r="A2432" s="1">
        <v>0.6875</v>
      </c>
      <c r="B2432" s="2">
        <v>6.13</v>
      </c>
      <c r="C2432" s="2">
        <v>3.71</v>
      </c>
      <c r="D2432" s="2">
        <v>4.95</v>
      </c>
      <c r="E2432" s="2">
        <v>5.66</v>
      </c>
      <c r="F2432" s="2">
        <v>3.33</v>
      </c>
      <c r="G2432" s="6">
        <v>3481</v>
      </c>
      <c r="H2432" s="6">
        <v>4310</v>
      </c>
      <c r="I2432" s="6">
        <v>4983</v>
      </c>
      <c r="J2432" s="6">
        <v>1620</v>
      </c>
      <c r="K2432" s="6">
        <v>2899</v>
      </c>
    </row>
    <row r="2433" spans="1:11" x14ac:dyDescent="0.25">
      <c r="A2433" s="1">
        <v>0.688194444444444</v>
      </c>
      <c r="B2433" s="2">
        <v>6.28</v>
      </c>
      <c r="C2433" s="2">
        <v>3.7800000000000002</v>
      </c>
      <c r="D2433" s="2">
        <v>5.17</v>
      </c>
      <c r="E2433" s="2">
        <v>5.01</v>
      </c>
      <c r="F2433" s="2">
        <v>3.02</v>
      </c>
      <c r="G2433" s="6">
        <v>2479</v>
      </c>
      <c r="H2433" s="6">
        <v>6464</v>
      </c>
      <c r="I2433" s="6">
        <v>1560</v>
      </c>
      <c r="J2433" s="6">
        <v>2716</v>
      </c>
      <c r="K2433" s="6">
        <v>2784</v>
      </c>
    </row>
    <row r="2434" spans="1:11" x14ac:dyDescent="0.25">
      <c r="A2434" s="1">
        <v>0.68888888888888899</v>
      </c>
      <c r="B2434" s="2">
        <v>6.16</v>
      </c>
      <c r="C2434" s="2">
        <v>3.8000000000000003</v>
      </c>
      <c r="D2434" s="2">
        <v>5.16</v>
      </c>
      <c r="E2434" s="2">
        <v>5.34</v>
      </c>
      <c r="F2434" s="2">
        <v>3.2800000000000002</v>
      </c>
      <c r="G2434" s="6">
        <v>3297</v>
      </c>
      <c r="H2434" s="6">
        <v>4398</v>
      </c>
      <c r="I2434" s="6">
        <v>4457</v>
      </c>
      <c r="J2434" s="6">
        <v>2492</v>
      </c>
      <c r="K2434" s="6">
        <v>2465</v>
      </c>
    </row>
    <row r="2435" spans="1:11" x14ac:dyDescent="0.25">
      <c r="A2435" s="1">
        <v>0.68958333333333299</v>
      </c>
      <c r="B2435" s="2">
        <v>6.18</v>
      </c>
      <c r="C2435" s="2">
        <v>3.6</v>
      </c>
      <c r="D2435" s="2">
        <v>5.24</v>
      </c>
      <c r="E2435" s="2">
        <v>5.12</v>
      </c>
      <c r="F2435" s="2">
        <v>3.1100000000000003</v>
      </c>
      <c r="G2435" s="6">
        <v>3646</v>
      </c>
      <c r="H2435" s="6">
        <v>3128</v>
      </c>
      <c r="I2435" s="6">
        <v>2107</v>
      </c>
      <c r="J2435" s="6">
        <v>1520</v>
      </c>
      <c r="K2435" s="6">
        <v>2769</v>
      </c>
    </row>
    <row r="2436" spans="1:11" x14ac:dyDescent="0.25">
      <c r="A2436" s="1">
        <v>0.69027777777777799</v>
      </c>
      <c r="B2436" s="2">
        <v>6.1499999999999995</v>
      </c>
      <c r="C2436" s="2">
        <v>3.8200000000000003</v>
      </c>
      <c r="D2436" s="2">
        <v>4.96</v>
      </c>
      <c r="E2436" s="2">
        <v>5.66</v>
      </c>
      <c r="F2436" s="2">
        <v>3.23</v>
      </c>
      <c r="G2436" s="6">
        <v>3072</v>
      </c>
      <c r="H2436" s="6">
        <v>2580</v>
      </c>
      <c r="I2436" s="6">
        <v>2511</v>
      </c>
      <c r="J2436" s="6">
        <v>2644</v>
      </c>
      <c r="K2436" s="6">
        <v>3285</v>
      </c>
    </row>
    <row r="2437" spans="1:11" x14ac:dyDescent="0.25">
      <c r="A2437" s="1">
        <v>0.69097222222222199</v>
      </c>
      <c r="B2437" s="2">
        <v>6.29</v>
      </c>
      <c r="C2437" s="2">
        <v>3.8600000000000003</v>
      </c>
      <c r="D2437" s="2">
        <v>5.1000000000000005</v>
      </c>
      <c r="E2437" s="2">
        <v>5.35</v>
      </c>
      <c r="F2437" s="2">
        <v>2.98</v>
      </c>
      <c r="G2437" s="6">
        <v>3226</v>
      </c>
      <c r="H2437" s="6">
        <v>6168</v>
      </c>
      <c r="I2437" s="6">
        <v>3520</v>
      </c>
      <c r="J2437" s="6">
        <v>2245</v>
      </c>
      <c r="K2437" s="6">
        <v>2415</v>
      </c>
    </row>
    <row r="2438" spans="1:11" x14ac:dyDescent="0.25">
      <c r="A2438" s="1">
        <v>0.69166666666666698</v>
      </c>
      <c r="B2438" s="2">
        <v>6.27</v>
      </c>
      <c r="C2438" s="2">
        <v>3.58</v>
      </c>
      <c r="D2438" s="2">
        <v>5.13</v>
      </c>
      <c r="E2438" s="2">
        <v>5.53</v>
      </c>
      <c r="F2438" s="2">
        <v>2.97</v>
      </c>
      <c r="G2438" s="6">
        <v>3104</v>
      </c>
      <c r="H2438" s="6">
        <v>3702</v>
      </c>
      <c r="I2438" s="6">
        <v>4266</v>
      </c>
      <c r="J2438" s="6">
        <v>1744</v>
      </c>
      <c r="K2438" s="6">
        <v>3310</v>
      </c>
    </row>
    <row r="2439" spans="1:11" x14ac:dyDescent="0.25">
      <c r="A2439" s="1">
        <v>0.69236111111111098</v>
      </c>
      <c r="B2439" s="2">
        <v>6.32</v>
      </c>
      <c r="C2439" s="2">
        <v>3.67</v>
      </c>
      <c r="D2439" s="2">
        <v>5.24</v>
      </c>
      <c r="E2439" s="2">
        <v>5.21</v>
      </c>
      <c r="F2439" s="2">
        <v>3.38</v>
      </c>
      <c r="G2439" s="6">
        <v>3505</v>
      </c>
      <c r="H2439" s="6">
        <v>6353</v>
      </c>
      <c r="I2439" s="6">
        <v>2116</v>
      </c>
      <c r="J2439" s="6">
        <v>2613</v>
      </c>
      <c r="K2439" s="6">
        <v>3129</v>
      </c>
    </row>
    <row r="2440" spans="1:11" x14ac:dyDescent="0.25">
      <c r="A2440" s="1">
        <v>0.69305555555555598</v>
      </c>
      <c r="B2440" s="2">
        <v>6.29</v>
      </c>
      <c r="C2440" s="2">
        <v>3.61</v>
      </c>
      <c r="D2440" s="2">
        <v>4.9000000000000004</v>
      </c>
      <c r="E2440" s="2">
        <v>5.62</v>
      </c>
      <c r="F2440" s="2">
        <v>2.93</v>
      </c>
      <c r="G2440" s="6">
        <v>3854</v>
      </c>
      <c r="H2440" s="6">
        <v>5126</v>
      </c>
      <c r="I2440" s="6">
        <v>5146</v>
      </c>
      <c r="J2440" s="6">
        <v>1822</v>
      </c>
      <c r="K2440" s="6">
        <v>2399</v>
      </c>
    </row>
    <row r="2441" spans="1:11" x14ac:dyDescent="0.25">
      <c r="A2441" s="1">
        <v>0.69374999999999998</v>
      </c>
      <c r="B2441" s="2">
        <v>6.25</v>
      </c>
      <c r="C2441" s="2">
        <v>3.63</v>
      </c>
      <c r="D2441" s="2">
        <v>5.17</v>
      </c>
      <c r="E2441" s="2">
        <v>5.67</v>
      </c>
      <c r="F2441" s="2">
        <v>3.0100000000000002</v>
      </c>
      <c r="G2441" s="6">
        <v>2815</v>
      </c>
      <c r="H2441" s="6">
        <v>6368</v>
      </c>
      <c r="I2441" s="6">
        <v>4129</v>
      </c>
      <c r="J2441" s="6">
        <v>1652</v>
      </c>
      <c r="K2441" s="6">
        <v>3230</v>
      </c>
    </row>
    <row r="2442" spans="1:11" x14ac:dyDescent="0.25">
      <c r="A2442" s="1">
        <v>0.69444444444444398</v>
      </c>
      <c r="B2442" s="2">
        <v>6.24</v>
      </c>
      <c r="C2442" s="2">
        <v>3.72</v>
      </c>
      <c r="D2442" s="2">
        <v>4.8899999999999997</v>
      </c>
      <c r="E2442" s="2">
        <v>5.51</v>
      </c>
      <c r="F2442" s="2">
        <v>2.94</v>
      </c>
      <c r="G2442" s="6">
        <v>3946</v>
      </c>
      <c r="H2442" s="6">
        <v>4847</v>
      </c>
      <c r="I2442" s="6">
        <v>5049</v>
      </c>
      <c r="J2442" s="6">
        <v>2405</v>
      </c>
      <c r="K2442" s="6">
        <v>3439</v>
      </c>
    </row>
    <row r="2443" spans="1:11" x14ac:dyDescent="0.25">
      <c r="A2443" s="1">
        <v>0.69513888888888897</v>
      </c>
      <c r="B2443" s="2">
        <v>6.1099999999999994</v>
      </c>
      <c r="C2443" s="2">
        <v>3.58</v>
      </c>
      <c r="D2443" s="2">
        <v>5.16</v>
      </c>
      <c r="E2443" s="2">
        <v>5.29</v>
      </c>
      <c r="F2443" s="2">
        <v>3.3600000000000003</v>
      </c>
      <c r="G2443" s="6">
        <v>2750</v>
      </c>
      <c r="H2443" s="6">
        <v>3698</v>
      </c>
      <c r="I2443" s="6">
        <v>4555</v>
      </c>
      <c r="J2443" s="6">
        <v>1665</v>
      </c>
      <c r="K2443" s="6">
        <v>2209</v>
      </c>
    </row>
    <row r="2444" spans="1:11" x14ac:dyDescent="0.25">
      <c r="A2444" s="1">
        <v>0.69583333333333297</v>
      </c>
      <c r="B2444" s="2">
        <v>6.22</v>
      </c>
      <c r="C2444" s="2">
        <v>3.67</v>
      </c>
      <c r="D2444" s="2">
        <v>5.1000000000000005</v>
      </c>
      <c r="E2444" s="2">
        <v>5.46</v>
      </c>
      <c r="F2444" s="2">
        <v>2.92</v>
      </c>
      <c r="G2444" s="6">
        <v>3813</v>
      </c>
      <c r="H2444" s="6">
        <v>7140</v>
      </c>
      <c r="I2444" s="6">
        <v>3843</v>
      </c>
      <c r="J2444" s="6">
        <v>1902</v>
      </c>
      <c r="K2444" s="6">
        <v>2106</v>
      </c>
    </row>
    <row r="2445" spans="1:11" x14ac:dyDescent="0.25">
      <c r="A2445" s="1">
        <v>0.69652777777777797</v>
      </c>
      <c r="B2445" s="2">
        <v>6.13</v>
      </c>
      <c r="C2445" s="2">
        <v>3.59</v>
      </c>
      <c r="D2445" s="2">
        <v>5.3</v>
      </c>
      <c r="E2445" s="2">
        <v>5.4</v>
      </c>
      <c r="F2445" s="2">
        <v>2.88</v>
      </c>
      <c r="G2445" s="6">
        <v>3228</v>
      </c>
      <c r="H2445" s="6">
        <v>4950</v>
      </c>
      <c r="I2445" s="6">
        <v>2611</v>
      </c>
      <c r="J2445" s="6">
        <v>2075</v>
      </c>
      <c r="K2445" s="6">
        <v>3539</v>
      </c>
    </row>
    <row r="2446" spans="1:11" x14ac:dyDescent="0.25">
      <c r="A2446" s="1">
        <v>0.69722222222222197</v>
      </c>
      <c r="B2446" s="2">
        <v>6.22</v>
      </c>
      <c r="C2446" s="2">
        <v>3.73</v>
      </c>
      <c r="D2446" s="2">
        <v>4.9800000000000004</v>
      </c>
      <c r="E2446" s="2">
        <v>5.37</v>
      </c>
      <c r="F2446" s="2">
        <v>2.92</v>
      </c>
      <c r="G2446" s="6">
        <v>2440</v>
      </c>
      <c r="H2446" s="6">
        <v>6054</v>
      </c>
      <c r="I2446" s="6">
        <v>3552</v>
      </c>
      <c r="J2446" s="6">
        <v>2137</v>
      </c>
      <c r="K2446" s="6">
        <v>2952</v>
      </c>
    </row>
    <row r="2447" spans="1:11" x14ac:dyDescent="0.25">
      <c r="A2447" s="1">
        <v>0.69791666666666696</v>
      </c>
      <c r="B2447" s="2">
        <v>6.22</v>
      </c>
      <c r="C2447" s="2">
        <v>3.6</v>
      </c>
      <c r="D2447" s="2">
        <v>5.09</v>
      </c>
      <c r="E2447" s="2">
        <v>5.33</v>
      </c>
      <c r="F2447" s="2">
        <v>3.23</v>
      </c>
      <c r="G2447" s="6">
        <v>3854</v>
      </c>
      <c r="H2447" s="6">
        <v>5615</v>
      </c>
      <c r="I2447" s="6">
        <v>4874</v>
      </c>
      <c r="J2447" s="6">
        <v>2446</v>
      </c>
      <c r="K2447" s="6">
        <v>2775</v>
      </c>
    </row>
    <row r="2448" spans="1:11" x14ac:dyDescent="0.25">
      <c r="A2448" s="1">
        <v>0.69861111111111096</v>
      </c>
      <c r="B2448" s="2">
        <v>6.3599999999999994</v>
      </c>
      <c r="C2448" s="2">
        <v>3.75</v>
      </c>
      <c r="D2448" s="2">
        <v>5.37</v>
      </c>
      <c r="E2448" s="2">
        <v>5.32</v>
      </c>
      <c r="F2448" s="2">
        <v>2.93</v>
      </c>
      <c r="G2448" s="6">
        <v>4117</v>
      </c>
      <c r="H2448" s="6">
        <v>5228</v>
      </c>
      <c r="I2448" s="6">
        <v>4730</v>
      </c>
      <c r="J2448" s="6">
        <v>2606</v>
      </c>
      <c r="K2448" s="6">
        <v>3522</v>
      </c>
    </row>
    <row r="2449" spans="1:11" x14ac:dyDescent="0.25">
      <c r="A2449" s="1">
        <v>0.69930555555555596</v>
      </c>
      <c r="B2449" s="2">
        <v>6.25</v>
      </c>
      <c r="C2449" s="2">
        <v>3.61</v>
      </c>
      <c r="D2449" s="2">
        <v>4.95</v>
      </c>
      <c r="E2449" s="2">
        <v>5.34</v>
      </c>
      <c r="F2449" s="2">
        <v>3</v>
      </c>
      <c r="G2449" s="6">
        <v>4123</v>
      </c>
      <c r="H2449" s="6">
        <v>5181</v>
      </c>
      <c r="I2449" s="6">
        <v>3155</v>
      </c>
      <c r="J2449" s="6">
        <v>1771</v>
      </c>
      <c r="K2449" s="6">
        <v>2216</v>
      </c>
    </row>
    <row r="2450" spans="1:11" x14ac:dyDescent="0.25">
      <c r="A2450" s="1">
        <v>0.7</v>
      </c>
      <c r="B2450" s="2">
        <v>6.2</v>
      </c>
      <c r="C2450" s="2">
        <v>3.6</v>
      </c>
      <c r="D2450" s="2">
        <v>5.28</v>
      </c>
      <c r="E2450" s="2">
        <v>5.15</v>
      </c>
      <c r="F2450" s="2">
        <v>3.24</v>
      </c>
      <c r="G2450" s="6">
        <v>4579</v>
      </c>
      <c r="H2450" s="6">
        <v>3835</v>
      </c>
      <c r="I2450" s="6">
        <v>4923</v>
      </c>
      <c r="J2450" s="6">
        <v>1943</v>
      </c>
      <c r="K2450" s="6">
        <v>1951</v>
      </c>
    </row>
    <row r="2451" spans="1:11" x14ac:dyDescent="0.25">
      <c r="A2451" s="1">
        <v>0.70069444444444495</v>
      </c>
      <c r="B2451" s="2">
        <v>6.13</v>
      </c>
      <c r="C2451" s="2">
        <v>3.66</v>
      </c>
      <c r="D2451" s="2">
        <v>5</v>
      </c>
      <c r="E2451" s="2">
        <v>5.38</v>
      </c>
      <c r="F2451" s="2">
        <v>2.96</v>
      </c>
      <c r="G2451" s="6">
        <v>2843</v>
      </c>
      <c r="H2451" s="6">
        <v>3619</v>
      </c>
      <c r="I2451" s="6">
        <v>4366</v>
      </c>
      <c r="J2451" s="6">
        <v>2703</v>
      </c>
      <c r="K2451" s="6">
        <v>2510</v>
      </c>
    </row>
    <row r="2452" spans="1:11" x14ac:dyDescent="0.25">
      <c r="A2452" s="1">
        <v>0.70138888888888895</v>
      </c>
      <c r="B2452" s="2">
        <v>6.33</v>
      </c>
      <c r="C2452" s="2">
        <v>3.81</v>
      </c>
      <c r="D2452" s="2">
        <v>5.29</v>
      </c>
      <c r="E2452" s="2">
        <v>5.12</v>
      </c>
      <c r="F2452" s="2">
        <v>3.38</v>
      </c>
      <c r="G2452" s="6">
        <v>3582</v>
      </c>
      <c r="H2452" s="6">
        <v>4702</v>
      </c>
      <c r="I2452" s="6">
        <v>4170</v>
      </c>
      <c r="J2452" s="6">
        <v>1819</v>
      </c>
      <c r="K2452" s="6">
        <v>2704</v>
      </c>
    </row>
    <row r="2453" spans="1:11" x14ac:dyDescent="0.25">
      <c r="A2453" s="1">
        <v>0.70208333333333295</v>
      </c>
      <c r="B2453" s="2">
        <v>6.26</v>
      </c>
      <c r="C2453" s="2">
        <v>3.69</v>
      </c>
      <c r="D2453" s="2">
        <v>5.28</v>
      </c>
      <c r="E2453" s="2">
        <v>5.59</v>
      </c>
      <c r="F2453" s="2">
        <v>3.38</v>
      </c>
      <c r="G2453" s="6">
        <v>2574</v>
      </c>
      <c r="H2453" s="6">
        <v>3454</v>
      </c>
      <c r="I2453" s="6">
        <v>4296</v>
      </c>
      <c r="J2453" s="6">
        <v>1858</v>
      </c>
      <c r="K2453" s="6">
        <v>3163</v>
      </c>
    </row>
    <row r="2454" spans="1:11" x14ac:dyDescent="0.25">
      <c r="A2454" s="1">
        <v>0.70277777777777795</v>
      </c>
      <c r="B2454" s="2">
        <v>6.22</v>
      </c>
      <c r="C2454" s="2">
        <v>3.83</v>
      </c>
      <c r="D2454" s="2">
        <v>5.15</v>
      </c>
      <c r="E2454" s="2">
        <v>5.54</v>
      </c>
      <c r="F2454" s="2">
        <v>2.9</v>
      </c>
      <c r="G2454" s="6">
        <v>4836</v>
      </c>
      <c r="H2454" s="6">
        <v>5703</v>
      </c>
      <c r="I2454" s="6">
        <v>4096</v>
      </c>
      <c r="J2454" s="6">
        <v>2195</v>
      </c>
      <c r="K2454" s="6">
        <v>2362</v>
      </c>
    </row>
    <row r="2455" spans="1:11" x14ac:dyDescent="0.25">
      <c r="A2455" s="1">
        <v>0.70347222222222205</v>
      </c>
      <c r="B2455" s="2">
        <v>6.31</v>
      </c>
      <c r="C2455" s="2">
        <v>3.7600000000000002</v>
      </c>
      <c r="D2455" s="2">
        <v>4.99</v>
      </c>
      <c r="E2455" s="2">
        <v>5.64</v>
      </c>
      <c r="F2455" s="2">
        <v>3.3600000000000003</v>
      </c>
      <c r="G2455" s="6">
        <v>3795</v>
      </c>
      <c r="H2455" s="6">
        <v>4337</v>
      </c>
      <c r="I2455" s="6">
        <v>3919</v>
      </c>
      <c r="J2455" s="6">
        <v>2060</v>
      </c>
      <c r="K2455" s="6">
        <v>2083</v>
      </c>
    </row>
    <row r="2456" spans="1:11" x14ac:dyDescent="0.25">
      <c r="A2456" s="1">
        <v>0.70416666666666705</v>
      </c>
      <c r="B2456" s="2">
        <v>6.26</v>
      </c>
      <c r="C2456" s="2">
        <v>3.85</v>
      </c>
      <c r="D2456" s="2">
        <v>5.15</v>
      </c>
      <c r="E2456" s="2">
        <v>5.62</v>
      </c>
      <c r="F2456" s="2">
        <v>3.2</v>
      </c>
      <c r="G2456" s="6">
        <v>3381</v>
      </c>
      <c r="H2456" s="6">
        <v>4018</v>
      </c>
      <c r="I2456" s="6">
        <v>3624</v>
      </c>
      <c r="J2456" s="6">
        <v>2410</v>
      </c>
      <c r="K2456" s="6">
        <v>1985</v>
      </c>
    </row>
    <row r="2457" spans="1:11" x14ac:dyDescent="0.25">
      <c r="A2457" s="1">
        <v>0.70486111111111105</v>
      </c>
      <c r="B2457" s="2">
        <v>6.18</v>
      </c>
      <c r="C2457" s="2">
        <v>3.83</v>
      </c>
      <c r="D2457" s="2">
        <v>5.35</v>
      </c>
      <c r="E2457" s="2">
        <v>5.14</v>
      </c>
      <c r="F2457" s="2">
        <v>3.12</v>
      </c>
      <c r="G2457" s="6">
        <v>3044</v>
      </c>
      <c r="H2457" s="6">
        <v>7105</v>
      </c>
      <c r="I2457" s="6">
        <v>4799</v>
      </c>
      <c r="J2457" s="6">
        <v>1779</v>
      </c>
      <c r="K2457" s="6">
        <v>3290</v>
      </c>
    </row>
    <row r="2458" spans="1:11" x14ac:dyDescent="0.25">
      <c r="A2458" s="1">
        <v>0.70555555555555605</v>
      </c>
      <c r="B2458" s="2">
        <v>6.29</v>
      </c>
      <c r="C2458" s="2">
        <v>3.65</v>
      </c>
      <c r="D2458" s="2">
        <v>5.1400000000000006</v>
      </c>
      <c r="E2458" s="2">
        <v>5.26</v>
      </c>
      <c r="F2458" s="2">
        <v>3.02</v>
      </c>
      <c r="G2458" s="6">
        <v>4429</v>
      </c>
      <c r="H2458" s="6">
        <v>5590</v>
      </c>
      <c r="I2458" s="6">
        <v>3072</v>
      </c>
      <c r="J2458" s="6">
        <v>1668</v>
      </c>
      <c r="K2458" s="6">
        <v>3421</v>
      </c>
    </row>
    <row r="2459" spans="1:11" x14ac:dyDescent="0.25">
      <c r="A2459" s="1">
        <v>0.70625000000000004</v>
      </c>
      <c r="B2459" s="2">
        <v>6.17</v>
      </c>
      <c r="C2459" s="2">
        <v>3.7</v>
      </c>
      <c r="D2459" s="2">
        <v>5.07</v>
      </c>
      <c r="E2459" s="2">
        <v>5.42</v>
      </c>
      <c r="F2459" s="2">
        <v>3.0300000000000002</v>
      </c>
      <c r="G2459" s="6">
        <v>2610</v>
      </c>
      <c r="H2459" s="6">
        <v>7037</v>
      </c>
      <c r="I2459" s="6">
        <v>2619</v>
      </c>
      <c r="J2459" s="6">
        <v>2289</v>
      </c>
      <c r="K2459" s="6">
        <v>3475</v>
      </c>
    </row>
    <row r="2460" spans="1:11" x14ac:dyDescent="0.25">
      <c r="A2460" s="1">
        <v>0.70694444444444404</v>
      </c>
      <c r="B2460" s="2">
        <v>6.27</v>
      </c>
      <c r="C2460" s="2">
        <v>3.61</v>
      </c>
      <c r="D2460" s="2">
        <v>4.9400000000000004</v>
      </c>
      <c r="E2460" s="2">
        <v>5.58</v>
      </c>
      <c r="F2460" s="2">
        <v>3.16</v>
      </c>
      <c r="G2460" s="6">
        <v>2712</v>
      </c>
      <c r="H2460" s="6">
        <v>4475</v>
      </c>
      <c r="I2460" s="6">
        <v>2195</v>
      </c>
      <c r="J2460" s="6">
        <v>2131</v>
      </c>
      <c r="K2460" s="6">
        <v>3134</v>
      </c>
    </row>
    <row r="2461" spans="1:11" x14ac:dyDescent="0.25">
      <c r="A2461" s="1">
        <v>0.70763888888888904</v>
      </c>
      <c r="B2461" s="2">
        <v>6.1</v>
      </c>
      <c r="C2461" s="2">
        <v>3.81</v>
      </c>
      <c r="D2461" s="2">
        <v>5.05</v>
      </c>
      <c r="E2461" s="2">
        <v>5.55</v>
      </c>
      <c r="F2461" s="2">
        <v>3.2800000000000002</v>
      </c>
      <c r="G2461" s="6">
        <v>3872</v>
      </c>
      <c r="H2461" s="6">
        <v>5320</v>
      </c>
      <c r="I2461" s="6">
        <v>2752</v>
      </c>
      <c r="J2461" s="6">
        <v>1721</v>
      </c>
      <c r="K2461" s="6">
        <v>2894</v>
      </c>
    </row>
    <row r="2462" spans="1:11" x14ac:dyDescent="0.25">
      <c r="A2462" s="3">
        <v>0.70833333333333304</v>
      </c>
      <c r="B2462" s="2">
        <v>6.21</v>
      </c>
      <c r="C2462" s="2">
        <v>3.74</v>
      </c>
      <c r="D2462" s="2">
        <v>5.1100000000000003</v>
      </c>
      <c r="E2462" s="2">
        <v>5.34</v>
      </c>
      <c r="F2462" s="2">
        <v>3.19</v>
      </c>
      <c r="G2462" s="6">
        <v>2722</v>
      </c>
      <c r="H2462" s="6">
        <v>2955</v>
      </c>
      <c r="I2462" s="6">
        <v>1563</v>
      </c>
      <c r="J2462" s="6">
        <v>1721</v>
      </c>
      <c r="K2462" s="6">
        <v>2107</v>
      </c>
    </row>
    <row r="2463" spans="1:11" x14ac:dyDescent="0.25">
      <c r="A2463" s="1">
        <v>0.70902777777777803</v>
      </c>
      <c r="B2463" s="2">
        <v>6.1</v>
      </c>
      <c r="C2463" s="2">
        <v>3.69</v>
      </c>
      <c r="D2463" s="2">
        <v>5.18</v>
      </c>
      <c r="E2463" s="2">
        <v>5.55</v>
      </c>
      <c r="F2463" s="2">
        <v>2.98</v>
      </c>
      <c r="G2463" s="6">
        <v>1289</v>
      </c>
      <c r="H2463" s="6">
        <v>2446</v>
      </c>
      <c r="I2463" s="6">
        <v>1086</v>
      </c>
      <c r="J2463" s="6">
        <v>1558</v>
      </c>
      <c r="K2463" s="6">
        <v>2144</v>
      </c>
    </row>
    <row r="2464" spans="1:11" x14ac:dyDescent="0.25">
      <c r="A2464" s="1">
        <v>0.70972222222222203</v>
      </c>
      <c r="B2464" s="2">
        <v>6.13</v>
      </c>
      <c r="C2464" s="2">
        <v>3.69</v>
      </c>
      <c r="D2464" s="2">
        <v>5.2700000000000005</v>
      </c>
      <c r="E2464" s="2">
        <v>5.04</v>
      </c>
      <c r="F2464" s="2">
        <v>3.0900000000000003</v>
      </c>
      <c r="G2464" s="6">
        <v>2053</v>
      </c>
      <c r="H2464" s="6">
        <v>1971</v>
      </c>
      <c r="I2464" s="6">
        <v>1433</v>
      </c>
      <c r="J2464" s="6">
        <v>1594</v>
      </c>
      <c r="K2464" s="6">
        <v>1897</v>
      </c>
    </row>
    <row r="2465" spans="1:11" x14ac:dyDescent="0.25">
      <c r="A2465" s="1">
        <v>0.71041666666666703</v>
      </c>
      <c r="B2465" s="2">
        <v>6.34</v>
      </c>
      <c r="C2465" s="2">
        <v>3.61</v>
      </c>
      <c r="D2465" s="2">
        <v>5.32</v>
      </c>
      <c r="E2465" s="2">
        <v>5.28</v>
      </c>
      <c r="F2465" s="2">
        <v>3.27</v>
      </c>
      <c r="G2465" s="6">
        <v>2078</v>
      </c>
      <c r="H2465" s="6">
        <v>1269</v>
      </c>
      <c r="I2465" s="6">
        <v>1333</v>
      </c>
      <c r="J2465" s="6">
        <v>1228</v>
      </c>
      <c r="K2465" s="6">
        <v>2210</v>
      </c>
    </row>
    <row r="2466" spans="1:11" x14ac:dyDescent="0.25">
      <c r="A2466" s="1">
        <v>0.71111111111111103</v>
      </c>
      <c r="B2466" s="2">
        <v>6.3</v>
      </c>
      <c r="C2466" s="2">
        <v>3.8600000000000003</v>
      </c>
      <c r="D2466" s="2">
        <v>5.19</v>
      </c>
      <c r="E2466" s="2">
        <v>5.39</v>
      </c>
      <c r="F2466" s="2">
        <v>3.25</v>
      </c>
      <c r="G2466" s="6">
        <v>2266</v>
      </c>
      <c r="H2466" s="6">
        <v>1785</v>
      </c>
      <c r="I2466" s="6">
        <v>1449</v>
      </c>
      <c r="J2466" s="6">
        <v>1311</v>
      </c>
      <c r="K2466" s="6">
        <v>1375</v>
      </c>
    </row>
    <row r="2467" spans="1:11" x14ac:dyDescent="0.25">
      <c r="A2467" s="1">
        <v>0.71180555555555602</v>
      </c>
      <c r="B2467" s="2">
        <v>6.17</v>
      </c>
      <c r="C2467" s="2">
        <v>3.61</v>
      </c>
      <c r="D2467" s="2">
        <v>5.09</v>
      </c>
      <c r="E2467" s="2">
        <v>5.65</v>
      </c>
      <c r="F2467" s="2">
        <v>2.93</v>
      </c>
      <c r="G2467" s="6">
        <v>1256</v>
      </c>
      <c r="H2467" s="6">
        <v>1738</v>
      </c>
      <c r="I2467" s="6">
        <v>1468</v>
      </c>
      <c r="J2467" s="6">
        <v>1367</v>
      </c>
      <c r="K2467" s="6">
        <v>1557</v>
      </c>
    </row>
    <row r="2468" spans="1:11" x14ac:dyDescent="0.25">
      <c r="A2468" s="1">
        <v>0.71250000000000002</v>
      </c>
      <c r="B2468" s="2">
        <v>6.1099999999999994</v>
      </c>
      <c r="C2468" s="2">
        <v>3.7600000000000002</v>
      </c>
      <c r="D2468" s="2">
        <v>5.08</v>
      </c>
      <c r="E2468" s="2">
        <v>5.07</v>
      </c>
      <c r="F2468" s="2">
        <v>3.1500000000000004</v>
      </c>
      <c r="G2468" s="6">
        <v>2762</v>
      </c>
      <c r="H2468" s="6">
        <v>2993</v>
      </c>
      <c r="I2468" s="6">
        <v>1462</v>
      </c>
      <c r="J2468" s="6">
        <v>1465</v>
      </c>
      <c r="K2468" s="6">
        <v>1791</v>
      </c>
    </row>
    <row r="2469" spans="1:11" x14ac:dyDescent="0.25">
      <c r="A2469" s="1">
        <v>0.71319444444444402</v>
      </c>
      <c r="B2469" s="2">
        <v>6.22</v>
      </c>
      <c r="C2469" s="2">
        <v>3.66</v>
      </c>
      <c r="D2469" s="2">
        <v>5.37</v>
      </c>
      <c r="E2469" s="2">
        <v>5.01</v>
      </c>
      <c r="F2469" s="2">
        <v>2.99</v>
      </c>
      <c r="G2469" s="6">
        <v>2244</v>
      </c>
      <c r="H2469" s="6">
        <v>2032</v>
      </c>
      <c r="I2469" s="6">
        <v>1439</v>
      </c>
      <c r="J2469" s="6">
        <v>1153</v>
      </c>
      <c r="K2469" s="6">
        <v>1734</v>
      </c>
    </row>
    <row r="2470" spans="1:11" x14ac:dyDescent="0.25">
      <c r="A2470" s="1">
        <v>0.71388888888888902</v>
      </c>
      <c r="B2470" s="2">
        <v>6.17</v>
      </c>
      <c r="C2470" s="2">
        <v>3.62</v>
      </c>
      <c r="D2470" s="2">
        <v>5.19</v>
      </c>
      <c r="E2470" s="2">
        <v>5.57</v>
      </c>
      <c r="F2470" s="2">
        <v>2.96</v>
      </c>
      <c r="G2470" s="6">
        <v>2684</v>
      </c>
      <c r="H2470" s="6">
        <v>3167</v>
      </c>
      <c r="I2470" s="6">
        <v>1298</v>
      </c>
      <c r="J2470" s="6">
        <v>1434</v>
      </c>
      <c r="K2470" s="6">
        <v>2128</v>
      </c>
    </row>
    <row r="2471" spans="1:11" x14ac:dyDescent="0.25">
      <c r="A2471" s="1">
        <v>0.71458333333333302</v>
      </c>
      <c r="B2471" s="2">
        <v>6.1899999999999995</v>
      </c>
      <c r="C2471" s="2">
        <v>3.8200000000000003</v>
      </c>
      <c r="D2471" s="2">
        <v>5.29</v>
      </c>
      <c r="E2471" s="2">
        <v>5.23</v>
      </c>
      <c r="F2471" s="2">
        <v>3.0300000000000002</v>
      </c>
      <c r="G2471" s="6">
        <v>1383</v>
      </c>
      <c r="H2471" s="6">
        <v>1737</v>
      </c>
      <c r="I2471" s="6">
        <v>970</v>
      </c>
      <c r="J2471" s="6">
        <v>1437</v>
      </c>
      <c r="K2471" s="6">
        <v>1599</v>
      </c>
    </row>
    <row r="2472" spans="1:11" x14ac:dyDescent="0.25">
      <c r="A2472" s="1">
        <v>0.71527777777777801</v>
      </c>
      <c r="B2472" s="2">
        <v>6.12</v>
      </c>
      <c r="C2472" s="2">
        <v>3.62</v>
      </c>
      <c r="D2472" s="2">
        <v>5.0200000000000005</v>
      </c>
      <c r="E2472" s="2">
        <v>5.5</v>
      </c>
      <c r="F2472" s="2">
        <v>3.12</v>
      </c>
      <c r="G2472" s="6">
        <v>2370</v>
      </c>
      <c r="H2472" s="6">
        <v>1542</v>
      </c>
      <c r="I2472" s="6">
        <v>1198</v>
      </c>
      <c r="J2472" s="6">
        <v>1155</v>
      </c>
      <c r="K2472" s="6">
        <v>1714</v>
      </c>
    </row>
    <row r="2473" spans="1:11" x14ac:dyDescent="0.25">
      <c r="A2473" s="1">
        <v>0.71597222222222201</v>
      </c>
      <c r="B2473" s="2">
        <v>6.31</v>
      </c>
      <c r="C2473" s="2">
        <v>3.63</v>
      </c>
      <c r="D2473" s="2">
        <v>5.08</v>
      </c>
      <c r="E2473" s="2">
        <v>5.03</v>
      </c>
      <c r="F2473" s="2">
        <v>2.87</v>
      </c>
      <c r="G2473" s="6">
        <v>2080</v>
      </c>
      <c r="H2473" s="6">
        <v>2903</v>
      </c>
      <c r="I2473" s="6">
        <v>1115</v>
      </c>
      <c r="J2473" s="6">
        <v>1437</v>
      </c>
      <c r="K2473" s="6">
        <v>2095</v>
      </c>
    </row>
    <row r="2474" spans="1:11" x14ac:dyDescent="0.25">
      <c r="A2474" s="1">
        <v>0.71666666666666701</v>
      </c>
      <c r="B2474" s="2">
        <v>6.16</v>
      </c>
      <c r="C2474" s="2">
        <v>3.67</v>
      </c>
      <c r="D2474" s="2">
        <v>5.07</v>
      </c>
      <c r="E2474" s="2">
        <v>5.07</v>
      </c>
      <c r="F2474" s="2">
        <v>3.0100000000000002</v>
      </c>
      <c r="G2474" s="6">
        <v>2151</v>
      </c>
      <c r="H2474" s="6">
        <v>3157</v>
      </c>
      <c r="I2474" s="6">
        <v>1013</v>
      </c>
      <c r="J2474" s="6">
        <v>1575</v>
      </c>
      <c r="K2474" s="6">
        <v>2044</v>
      </c>
    </row>
    <row r="2475" spans="1:11" x14ac:dyDescent="0.25">
      <c r="A2475" s="1">
        <v>0.71736111111111101</v>
      </c>
      <c r="B2475" s="2">
        <v>6.28</v>
      </c>
      <c r="C2475" s="2">
        <v>3.87</v>
      </c>
      <c r="D2475" s="2">
        <v>5.22</v>
      </c>
      <c r="E2475" s="2">
        <v>5.61</v>
      </c>
      <c r="F2475" s="2">
        <v>2.92</v>
      </c>
      <c r="G2475" s="6">
        <v>2849</v>
      </c>
      <c r="H2475" s="6">
        <v>2846</v>
      </c>
      <c r="I2475" s="6">
        <v>1001</v>
      </c>
      <c r="J2475" s="6">
        <v>1423</v>
      </c>
      <c r="K2475" s="6">
        <v>1359</v>
      </c>
    </row>
    <row r="2476" spans="1:11" x14ac:dyDescent="0.25">
      <c r="A2476" s="1">
        <v>0.718055555555556</v>
      </c>
      <c r="B2476" s="2">
        <v>6.28</v>
      </c>
      <c r="C2476" s="2">
        <v>3.79</v>
      </c>
      <c r="D2476" s="2">
        <v>5.1400000000000006</v>
      </c>
      <c r="E2476" s="2">
        <v>5.22</v>
      </c>
      <c r="F2476" s="2">
        <v>2.96</v>
      </c>
      <c r="G2476" s="6">
        <v>2491</v>
      </c>
      <c r="H2476" s="6">
        <v>1767</v>
      </c>
      <c r="I2476" s="6">
        <v>1355</v>
      </c>
      <c r="J2476" s="6">
        <v>1190</v>
      </c>
      <c r="K2476" s="6">
        <v>1969</v>
      </c>
    </row>
    <row r="2477" spans="1:11" x14ac:dyDescent="0.25">
      <c r="A2477" s="1">
        <v>0.71875</v>
      </c>
      <c r="B2477" s="2">
        <v>6.32</v>
      </c>
      <c r="C2477" s="2">
        <v>3.7800000000000002</v>
      </c>
      <c r="D2477" s="2">
        <v>5.09</v>
      </c>
      <c r="E2477" s="2">
        <v>5.38</v>
      </c>
      <c r="F2477" s="2">
        <v>3.37</v>
      </c>
      <c r="G2477" s="6">
        <v>1447</v>
      </c>
      <c r="H2477" s="6">
        <v>2545</v>
      </c>
      <c r="I2477" s="6">
        <v>1231</v>
      </c>
      <c r="J2477" s="6">
        <v>1481</v>
      </c>
      <c r="K2477" s="6">
        <v>1901</v>
      </c>
    </row>
    <row r="2478" spans="1:11" x14ac:dyDescent="0.25">
      <c r="A2478" s="1">
        <v>0.719444444444444</v>
      </c>
      <c r="B2478" s="2">
        <v>6.09</v>
      </c>
      <c r="C2478" s="2">
        <v>3.75</v>
      </c>
      <c r="D2478" s="2">
        <v>5.1000000000000005</v>
      </c>
      <c r="E2478" s="2">
        <v>5.58</v>
      </c>
      <c r="F2478" s="2">
        <v>3.23</v>
      </c>
      <c r="G2478" s="6">
        <v>1658</v>
      </c>
      <c r="H2478" s="6">
        <v>1711</v>
      </c>
      <c r="I2478" s="6">
        <v>1429</v>
      </c>
      <c r="J2478" s="6">
        <v>1666</v>
      </c>
      <c r="K2478" s="6">
        <v>1194</v>
      </c>
    </row>
    <row r="2479" spans="1:11" x14ac:dyDescent="0.25">
      <c r="A2479" s="1">
        <v>0.72013888888888899</v>
      </c>
      <c r="B2479" s="2">
        <v>6.1099999999999994</v>
      </c>
      <c r="C2479" s="2">
        <v>3.87</v>
      </c>
      <c r="D2479" s="2">
        <v>5.1000000000000005</v>
      </c>
      <c r="E2479" s="2">
        <v>5.4</v>
      </c>
      <c r="F2479" s="2">
        <v>3.13</v>
      </c>
      <c r="G2479" s="6">
        <v>2801</v>
      </c>
      <c r="H2479" s="6">
        <v>2719</v>
      </c>
      <c r="I2479" s="6">
        <v>1166</v>
      </c>
      <c r="J2479" s="6">
        <v>1154</v>
      </c>
      <c r="K2479" s="6">
        <v>1802</v>
      </c>
    </row>
    <row r="2480" spans="1:11" x14ac:dyDescent="0.25">
      <c r="A2480" s="1">
        <v>0.72083333333333299</v>
      </c>
      <c r="B2480" s="2">
        <v>6.3</v>
      </c>
      <c r="C2480" s="2">
        <v>3.7</v>
      </c>
      <c r="D2480" s="2">
        <v>5.24</v>
      </c>
      <c r="E2480" s="2">
        <v>5.34</v>
      </c>
      <c r="F2480" s="2">
        <v>3.1</v>
      </c>
      <c r="G2480" s="6">
        <v>2181</v>
      </c>
      <c r="H2480" s="6">
        <v>1430</v>
      </c>
      <c r="I2480" s="6">
        <v>1522</v>
      </c>
      <c r="J2480" s="6">
        <v>1582</v>
      </c>
      <c r="K2480" s="6">
        <v>1671</v>
      </c>
    </row>
    <row r="2481" spans="1:11" x14ac:dyDescent="0.25">
      <c r="A2481" s="1">
        <v>0.72152777777777799</v>
      </c>
      <c r="B2481" s="2">
        <v>6.1099999999999994</v>
      </c>
      <c r="C2481" s="2">
        <v>3.7</v>
      </c>
      <c r="D2481" s="2">
        <v>5.2700000000000005</v>
      </c>
      <c r="E2481" s="2">
        <v>5.45</v>
      </c>
      <c r="F2481" s="2">
        <v>2.93</v>
      </c>
      <c r="G2481" s="6">
        <v>2370</v>
      </c>
      <c r="H2481" s="6">
        <v>2052</v>
      </c>
      <c r="I2481" s="6">
        <v>1269</v>
      </c>
      <c r="J2481" s="6">
        <v>1152</v>
      </c>
      <c r="K2481" s="6">
        <v>2205</v>
      </c>
    </row>
    <row r="2482" spans="1:11" x14ac:dyDescent="0.25">
      <c r="A2482" s="1">
        <v>0.72222222222222199</v>
      </c>
      <c r="B2482" s="2">
        <v>6.09</v>
      </c>
      <c r="C2482" s="2">
        <v>3.87</v>
      </c>
      <c r="D2482" s="2">
        <v>5.3</v>
      </c>
      <c r="E2482" s="2">
        <v>5.59</v>
      </c>
      <c r="F2482" s="2">
        <v>3.13</v>
      </c>
      <c r="G2482" s="6">
        <v>1201</v>
      </c>
      <c r="H2482" s="6">
        <v>1954</v>
      </c>
      <c r="I2482" s="6">
        <v>1026</v>
      </c>
      <c r="J2482" s="6">
        <v>1333</v>
      </c>
      <c r="K2482" s="6">
        <v>1221</v>
      </c>
    </row>
    <row r="2483" spans="1:11" x14ac:dyDescent="0.25">
      <c r="A2483" s="1">
        <v>0.72291666666666698</v>
      </c>
      <c r="B2483" s="2">
        <v>6.3599999999999994</v>
      </c>
      <c r="C2483" s="2">
        <v>3.67</v>
      </c>
      <c r="D2483" s="2">
        <v>4.9000000000000004</v>
      </c>
      <c r="E2483" s="2">
        <v>5.55</v>
      </c>
      <c r="F2483" s="2">
        <v>2.99</v>
      </c>
      <c r="G2483" s="6">
        <v>1362</v>
      </c>
      <c r="H2483" s="6">
        <v>2041</v>
      </c>
      <c r="I2483" s="6">
        <v>1017</v>
      </c>
      <c r="J2483" s="6">
        <v>1379</v>
      </c>
      <c r="K2483" s="6">
        <v>1411</v>
      </c>
    </row>
    <row r="2484" spans="1:11" x14ac:dyDescent="0.25">
      <c r="A2484" s="1">
        <v>0.72361111111111098</v>
      </c>
      <c r="B2484" s="2">
        <v>6.28</v>
      </c>
      <c r="C2484" s="2">
        <v>3.66</v>
      </c>
      <c r="D2484" s="2">
        <v>5.24</v>
      </c>
      <c r="E2484" s="2">
        <v>5.14</v>
      </c>
      <c r="F2484" s="2">
        <v>3.29</v>
      </c>
      <c r="G2484" s="6">
        <v>1110</v>
      </c>
      <c r="H2484" s="6">
        <v>1408</v>
      </c>
      <c r="I2484" s="6">
        <v>960</v>
      </c>
      <c r="J2484" s="6">
        <v>1268</v>
      </c>
      <c r="K2484" s="6">
        <v>521</v>
      </c>
    </row>
    <row r="2485" spans="1:11" x14ac:dyDescent="0.25">
      <c r="A2485" s="1">
        <v>0.72430555555555598</v>
      </c>
      <c r="B2485" s="2">
        <v>6.33</v>
      </c>
      <c r="C2485" s="2">
        <v>3.72</v>
      </c>
      <c r="D2485" s="2">
        <v>5.1100000000000003</v>
      </c>
      <c r="E2485" s="2">
        <v>5.44</v>
      </c>
      <c r="F2485" s="2">
        <v>3.13</v>
      </c>
      <c r="G2485" s="6">
        <v>1010</v>
      </c>
      <c r="H2485" s="6">
        <v>1632</v>
      </c>
      <c r="I2485" s="6">
        <v>723</v>
      </c>
      <c r="J2485" s="6">
        <v>1010</v>
      </c>
      <c r="K2485" s="6">
        <v>946</v>
      </c>
    </row>
    <row r="2486" spans="1:11" x14ac:dyDescent="0.25">
      <c r="A2486" s="1">
        <v>0.72499999999999998</v>
      </c>
      <c r="B2486" s="2">
        <v>6.22</v>
      </c>
      <c r="C2486" s="2">
        <v>3.58</v>
      </c>
      <c r="D2486" s="2">
        <v>5.36</v>
      </c>
      <c r="E2486" s="2">
        <v>5</v>
      </c>
      <c r="F2486" s="2">
        <v>2.95</v>
      </c>
      <c r="G2486" s="6">
        <v>1000</v>
      </c>
      <c r="H2486" s="6">
        <v>1371</v>
      </c>
      <c r="I2486" s="6">
        <v>879</v>
      </c>
      <c r="J2486" s="6">
        <v>922</v>
      </c>
      <c r="K2486" s="6">
        <v>486</v>
      </c>
    </row>
    <row r="2487" spans="1:11" x14ac:dyDescent="0.25">
      <c r="A2487" s="1">
        <v>0.72569444444444398</v>
      </c>
      <c r="B2487" s="2">
        <v>6.24</v>
      </c>
      <c r="C2487" s="2">
        <v>3.84</v>
      </c>
      <c r="D2487" s="2">
        <v>5.09</v>
      </c>
      <c r="E2487" s="2">
        <v>5.42</v>
      </c>
      <c r="F2487" s="2">
        <v>2.96</v>
      </c>
      <c r="G2487" s="6">
        <v>916</v>
      </c>
      <c r="H2487" s="6">
        <v>1669</v>
      </c>
      <c r="I2487" s="6">
        <v>754</v>
      </c>
      <c r="J2487" s="6">
        <v>423</v>
      </c>
      <c r="K2487" s="6">
        <v>682</v>
      </c>
    </row>
    <row r="2488" spans="1:11" x14ac:dyDescent="0.25">
      <c r="A2488" s="1">
        <v>0.72638888888888897</v>
      </c>
      <c r="B2488" s="2">
        <v>6.1899999999999995</v>
      </c>
      <c r="C2488" s="2">
        <v>3.81</v>
      </c>
      <c r="D2488" s="2">
        <v>5.22</v>
      </c>
      <c r="E2488" s="2">
        <v>5.48</v>
      </c>
      <c r="F2488" s="2">
        <v>3.1500000000000004</v>
      </c>
      <c r="G2488" s="6">
        <v>931</v>
      </c>
      <c r="H2488" s="6">
        <v>1064</v>
      </c>
      <c r="I2488" s="6">
        <v>772</v>
      </c>
      <c r="J2488" s="6">
        <v>1109</v>
      </c>
      <c r="K2488" s="6">
        <v>934</v>
      </c>
    </row>
    <row r="2489" spans="1:11" x14ac:dyDescent="0.25">
      <c r="A2489" s="1">
        <v>0.72708333333333297</v>
      </c>
      <c r="B2489" s="2">
        <v>6.25</v>
      </c>
      <c r="C2489" s="2">
        <v>3.73</v>
      </c>
      <c r="D2489" s="2">
        <v>5.19</v>
      </c>
      <c r="E2489" s="2">
        <v>5.46</v>
      </c>
      <c r="F2489" s="2">
        <v>3.35</v>
      </c>
      <c r="G2489" s="6">
        <v>1110</v>
      </c>
      <c r="H2489" s="6">
        <v>1125</v>
      </c>
      <c r="I2489" s="6">
        <v>702</v>
      </c>
      <c r="J2489" s="6">
        <v>659</v>
      </c>
      <c r="K2489" s="6">
        <v>501</v>
      </c>
    </row>
    <row r="2490" spans="1:11" x14ac:dyDescent="0.25">
      <c r="A2490" s="1">
        <v>0.72777777777777797</v>
      </c>
      <c r="B2490" s="2">
        <v>6.12</v>
      </c>
      <c r="C2490" s="2">
        <v>3.72</v>
      </c>
      <c r="D2490" s="2">
        <v>5.22</v>
      </c>
      <c r="E2490" s="2">
        <v>5.31</v>
      </c>
      <c r="F2490" s="2">
        <v>3.12</v>
      </c>
      <c r="G2490" s="6">
        <v>994</v>
      </c>
      <c r="H2490" s="6">
        <v>1225</v>
      </c>
      <c r="I2490" s="6">
        <v>936</v>
      </c>
      <c r="J2490" s="6">
        <v>665</v>
      </c>
      <c r="K2490" s="6">
        <v>759</v>
      </c>
    </row>
    <row r="2491" spans="1:11" x14ac:dyDescent="0.25">
      <c r="A2491" s="1">
        <v>0.72847222222222197</v>
      </c>
      <c r="B2491" s="2">
        <v>6.1899999999999995</v>
      </c>
      <c r="C2491" s="2">
        <v>3.84</v>
      </c>
      <c r="D2491" s="2">
        <v>5.35</v>
      </c>
      <c r="E2491" s="2">
        <v>5.49</v>
      </c>
      <c r="F2491" s="2">
        <v>3.3200000000000003</v>
      </c>
      <c r="G2491" s="6">
        <v>892</v>
      </c>
      <c r="H2491" s="6">
        <v>1920</v>
      </c>
      <c r="I2491" s="6">
        <v>717</v>
      </c>
      <c r="J2491" s="6">
        <v>1332</v>
      </c>
      <c r="K2491" s="6">
        <v>1187</v>
      </c>
    </row>
    <row r="2492" spans="1:11" x14ac:dyDescent="0.25">
      <c r="A2492" s="1">
        <v>0.72916666666666696</v>
      </c>
      <c r="B2492" s="2">
        <v>6.33</v>
      </c>
      <c r="C2492" s="2">
        <v>3.8000000000000003</v>
      </c>
      <c r="D2492" s="2">
        <v>5.01</v>
      </c>
      <c r="E2492" s="2">
        <v>5.07</v>
      </c>
      <c r="F2492" s="2">
        <v>3.31</v>
      </c>
      <c r="G2492" s="6">
        <v>852</v>
      </c>
      <c r="H2492" s="6">
        <v>1149</v>
      </c>
      <c r="I2492" s="6">
        <v>1065</v>
      </c>
      <c r="J2492" s="6">
        <v>1252</v>
      </c>
      <c r="K2492" s="6">
        <v>1001</v>
      </c>
    </row>
    <row r="2493" spans="1:11" x14ac:dyDescent="0.25">
      <c r="A2493" s="1">
        <v>0.72986111111111096</v>
      </c>
      <c r="B2493" s="2">
        <v>6.22</v>
      </c>
      <c r="C2493" s="2">
        <v>3.61</v>
      </c>
      <c r="D2493" s="2">
        <v>5.25</v>
      </c>
      <c r="E2493" s="2">
        <v>5.44</v>
      </c>
      <c r="F2493" s="2">
        <v>2.98</v>
      </c>
      <c r="G2493" s="6">
        <v>776</v>
      </c>
      <c r="H2493" s="6">
        <v>1915</v>
      </c>
      <c r="I2493" s="6">
        <v>802</v>
      </c>
      <c r="J2493" s="6">
        <v>971</v>
      </c>
      <c r="K2493" s="6">
        <v>1116</v>
      </c>
    </row>
    <row r="2494" spans="1:11" x14ac:dyDescent="0.25">
      <c r="A2494" s="1">
        <v>0.73055555555555596</v>
      </c>
      <c r="B2494" s="2">
        <v>6.2</v>
      </c>
      <c r="C2494" s="2">
        <v>3.73</v>
      </c>
      <c r="D2494" s="2">
        <v>5.3</v>
      </c>
      <c r="E2494" s="2">
        <v>5.33</v>
      </c>
      <c r="F2494" s="2">
        <v>2.94</v>
      </c>
      <c r="G2494" s="6">
        <v>827</v>
      </c>
      <c r="H2494" s="6">
        <v>1459</v>
      </c>
      <c r="I2494" s="6">
        <v>1099</v>
      </c>
      <c r="J2494" s="6">
        <v>792</v>
      </c>
      <c r="K2494" s="6">
        <v>972</v>
      </c>
    </row>
    <row r="2495" spans="1:11" x14ac:dyDescent="0.25">
      <c r="A2495" s="1">
        <v>0.73124999999999996</v>
      </c>
      <c r="B2495" s="2">
        <v>6.3599999999999994</v>
      </c>
      <c r="C2495" s="2">
        <v>3.7600000000000002</v>
      </c>
      <c r="D2495" s="2">
        <v>5</v>
      </c>
      <c r="E2495" s="2">
        <v>5.08</v>
      </c>
      <c r="F2495" s="2">
        <v>3.0300000000000002</v>
      </c>
      <c r="G2495" s="6">
        <v>904</v>
      </c>
      <c r="H2495" s="6">
        <v>1326</v>
      </c>
      <c r="I2495" s="6">
        <v>827</v>
      </c>
      <c r="J2495" s="6">
        <v>1045</v>
      </c>
      <c r="K2495" s="6">
        <v>1001</v>
      </c>
    </row>
    <row r="2496" spans="1:11" x14ac:dyDescent="0.25">
      <c r="A2496" s="1">
        <v>0.73194444444444495</v>
      </c>
      <c r="B2496" s="2">
        <v>6.09</v>
      </c>
      <c r="C2496" s="2">
        <v>3.73</v>
      </c>
      <c r="D2496" s="2">
        <v>5.01</v>
      </c>
      <c r="E2496" s="2">
        <v>5.55</v>
      </c>
      <c r="F2496" s="2">
        <v>3.1</v>
      </c>
      <c r="G2496" s="6">
        <v>888</v>
      </c>
      <c r="H2496" s="6">
        <v>1789</v>
      </c>
      <c r="I2496" s="6">
        <v>935</v>
      </c>
      <c r="J2496" s="6">
        <v>1071</v>
      </c>
      <c r="K2496" s="6">
        <v>1521</v>
      </c>
    </row>
    <row r="2497" spans="1:11" x14ac:dyDescent="0.25">
      <c r="A2497" s="1">
        <v>0.73263888888888895</v>
      </c>
      <c r="B2497" s="2">
        <v>6.21</v>
      </c>
      <c r="C2497" s="2">
        <v>3.68</v>
      </c>
      <c r="D2497" s="2">
        <v>4.95</v>
      </c>
      <c r="E2497" s="2">
        <v>5.13</v>
      </c>
      <c r="F2497" s="2">
        <v>3.3000000000000003</v>
      </c>
      <c r="G2497" s="6">
        <v>918</v>
      </c>
      <c r="H2497" s="6">
        <v>1502</v>
      </c>
      <c r="I2497" s="6">
        <v>713</v>
      </c>
      <c r="J2497" s="6">
        <v>850</v>
      </c>
      <c r="K2497" s="6">
        <v>987</v>
      </c>
    </row>
    <row r="2498" spans="1:11" x14ac:dyDescent="0.25">
      <c r="A2498" s="1">
        <v>0.73333333333333295</v>
      </c>
      <c r="B2498" s="2">
        <v>6.27</v>
      </c>
      <c r="C2498" s="2">
        <v>3.7800000000000002</v>
      </c>
      <c r="D2498" s="2">
        <v>5.24</v>
      </c>
      <c r="E2498" s="2">
        <v>5.01</v>
      </c>
      <c r="F2498" s="2">
        <v>3.02</v>
      </c>
      <c r="G2498" s="6">
        <v>858</v>
      </c>
      <c r="H2498" s="6">
        <v>1722</v>
      </c>
      <c r="I2498" s="6">
        <v>1043</v>
      </c>
      <c r="J2498" s="6">
        <v>356</v>
      </c>
      <c r="K2498" s="6">
        <v>505</v>
      </c>
    </row>
    <row r="2499" spans="1:11" x14ac:dyDescent="0.25">
      <c r="A2499" s="1">
        <v>0.73402777777777795</v>
      </c>
      <c r="B2499" s="2">
        <v>6.1</v>
      </c>
      <c r="C2499" s="2">
        <v>3.81</v>
      </c>
      <c r="D2499" s="2">
        <v>5.12</v>
      </c>
      <c r="E2499" s="2">
        <v>5.39</v>
      </c>
      <c r="F2499" s="2">
        <v>2.93</v>
      </c>
      <c r="G2499" s="6">
        <v>1015</v>
      </c>
      <c r="H2499" s="6">
        <v>1551</v>
      </c>
      <c r="I2499" s="6">
        <v>680</v>
      </c>
      <c r="J2499" s="6">
        <v>952</v>
      </c>
      <c r="K2499" s="6">
        <v>991</v>
      </c>
    </row>
    <row r="2500" spans="1:11" x14ac:dyDescent="0.25">
      <c r="A2500" s="1">
        <v>0.73472222222222205</v>
      </c>
      <c r="B2500" s="2">
        <v>6.18</v>
      </c>
      <c r="C2500" s="2">
        <v>3.65</v>
      </c>
      <c r="D2500" s="2">
        <v>4.9800000000000004</v>
      </c>
      <c r="E2500" s="2">
        <v>5.46</v>
      </c>
      <c r="F2500" s="2">
        <v>3.04</v>
      </c>
      <c r="G2500" s="6">
        <v>778</v>
      </c>
      <c r="H2500" s="6">
        <v>1617</v>
      </c>
      <c r="I2500" s="6">
        <v>1033</v>
      </c>
      <c r="J2500" s="6">
        <v>753</v>
      </c>
      <c r="K2500" s="6">
        <v>758</v>
      </c>
    </row>
    <row r="2501" spans="1:11" x14ac:dyDescent="0.25">
      <c r="A2501" s="1">
        <v>0.73541666666666705</v>
      </c>
      <c r="B2501" s="2">
        <v>6.13</v>
      </c>
      <c r="C2501" s="2">
        <v>3.75</v>
      </c>
      <c r="D2501" s="2">
        <v>5.24</v>
      </c>
      <c r="E2501" s="2">
        <v>5.01</v>
      </c>
      <c r="F2501" s="2">
        <v>3.04</v>
      </c>
      <c r="G2501" s="6">
        <v>1040</v>
      </c>
      <c r="H2501" s="6">
        <v>1874</v>
      </c>
      <c r="I2501" s="6">
        <v>1094</v>
      </c>
      <c r="J2501" s="6">
        <v>815</v>
      </c>
      <c r="K2501" s="6">
        <v>624</v>
      </c>
    </row>
    <row r="2502" spans="1:11" x14ac:dyDescent="0.25">
      <c r="A2502" s="1">
        <v>0.73611111111111105</v>
      </c>
      <c r="B2502" s="2">
        <v>6.33</v>
      </c>
      <c r="C2502" s="2">
        <v>3.7800000000000002</v>
      </c>
      <c r="D2502" s="2">
        <v>4.92</v>
      </c>
      <c r="E2502" s="2">
        <v>5.4</v>
      </c>
      <c r="F2502" s="2">
        <v>3.12</v>
      </c>
      <c r="G2502" s="6">
        <v>837</v>
      </c>
      <c r="H2502" s="6">
        <v>1305</v>
      </c>
      <c r="I2502" s="6">
        <v>810</v>
      </c>
      <c r="J2502" s="6">
        <v>648</v>
      </c>
      <c r="K2502" s="6">
        <v>1341</v>
      </c>
    </row>
    <row r="2503" spans="1:11" x14ac:dyDescent="0.25">
      <c r="A2503" s="1">
        <v>0.73680555555555605</v>
      </c>
      <c r="B2503" s="2">
        <v>6.26</v>
      </c>
      <c r="C2503" s="2">
        <v>3.84</v>
      </c>
      <c r="D2503" s="2">
        <v>5.08</v>
      </c>
      <c r="E2503" s="2">
        <v>5.57</v>
      </c>
      <c r="F2503" s="2">
        <v>3.31</v>
      </c>
      <c r="G2503" s="6">
        <v>883</v>
      </c>
      <c r="H2503" s="6">
        <v>972</v>
      </c>
      <c r="I2503" s="6">
        <v>1115</v>
      </c>
      <c r="J2503" s="6">
        <v>779</v>
      </c>
      <c r="K2503" s="6">
        <v>567</v>
      </c>
    </row>
    <row r="2504" spans="1:11" x14ac:dyDescent="0.25">
      <c r="A2504" s="1">
        <v>0.73750000000000004</v>
      </c>
      <c r="B2504" s="2">
        <v>6.16</v>
      </c>
      <c r="C2504" s="2">
        <v>3.8200000000000003</v>
      </c>
      <c r="D2504" s="2">
        <v>5.1400000000000006</v>
      </c>
      <c r="E2504" s="2">
        <v>5.59</v>
      </c>
      <c r="F2504" s="2">
        <v>3.2800000000000002</v>
      </c>
      <c r="G2504" s="6">
        <v>1110</v>
      </c>
      <c r="H2504" s="6">
        <v>1472</v>
      </c>
      <c r="I2504" s="6">
        <v>1106</v>
      </c>
      <c r="J2504" s="6">
        <v>425</v>
      </c>
      <c r="K2504" s="6">
        <v>1342</v>
      </c>
    </row>
    <row r="2505" spans="1:11" x14ac:dyDescent="0.25">
      <c r="A2505" s="1">
        <v>0.73819444444444404</v>
      </c>
      <c r="B2505" s="2">
        <v>6.24</v>
      </c>
      <c r="C2505" s="2">
        <v>3.75</v>
      </c>
      <c r="D2505" s="2">
        <v>5.26</v>
      </c>
      <c r="E2505" s="2">
        <v>5.35</v>
      </c>
      <c r="F2505" s="2">
        <v>3.12</v>
      </c>
      <c r="G2505" s="6">
        <v>1076</v>
      </c>
      <c r="H2505" s="6">
        <v>1678</v>
      </c>
      <c r="I2505" s="6">
        <v>1091</v>
      </c>
      <c r="J2505" s="6">
        <v>546</v>
      </c>
      <c r="K2505" s="6">
        <v>1206</v>
      </c>
    </row>
    <row r="2506" spans="1:11" x14ac:dyDescent="0.25">
      <c r="A2506" s="1">
        <v>0.73888888888888904</v>
      </c>
      <c r="B2506" s="2">
        <v>6.17</v>
      </c>
      <c r="C2506" s="2">
        <v>3.58</v>
      </c>
      <c r="D2506" s="2">
        <v>5.0200000000000005</v>
      </c>
      <c r="E2506" s="2">
        <v>5.59</v>
      </c>
      <c r="F2506" s="2">
        <v>3.22</v>
      </c>
      <c r="G2506" s="6">
        <v>1074</v>
      </c>
      <c r="H2506" s="6">
        <v>1883</v>
      </c>
      <c r="I2506" s="6">
        <v>763</v>
      </c>
      <c r="J2506" s="6">
        <v>414</v>
      </c>
      <c r="K2506" s="6">
        <v>1332</v>
      </c>
    </row>
    <row r="2507" spans="1:11" x14ac:dyDescent="0.25">
      <c r="A2507" s="1">
        <v>0.73958333333333304</v>
      </c>
      <c r="B2507" s="2">
        <v>6.26</v>
      </c>
      <c r="C2507" s="2">
        <v>3.87</v>
      </c>
      <c r="D2507" s="2">
        <v>4.9400000000000004</v>
      </c>
      <c r="E2507" s="2">
        <v>5.46</v>
      </c>
      <c r="F2507" s="2">
        <v>3.0900000000000003</v>
      </c>
      <c r="G2507" s="6">
        <v>1089</v>
      </c>
      <c r="H2507" s="6">
        <v>1732</v>
      </c>
      <c r="I2507" s="6">
        <v>1076</v>
      </c>
      <c r="J2507" s="6">
        <v>815</v>
      </c>
      <c r="K2507" s="6">
        <v>943</v>
      </c>
    </row>
    <row r="2508" spans="1:11" x14ac:dyDescent="0.25">
      <c r="A2508" s="1">
        <v>0.74027777777777803</v>
      </c>
      <c r="B2508" s="2">
        <v>6.27</v>
      </c>
      <c r="C2508" s="2">
        <v>3.67</v>
      </c>
      <c r="D2508" s="2">
        <v>5.23</v>
      </c>
      <c r="E2508" s="2">
        <v>5.33</v>
      </c>
      <c r="F2508" s="2">
        <v>3.19</v>
      </c>
      <c r="G2508" s="6">
        <v>813</v>
      </c>
      <c r="H2508" s="6">
        <v>1820</v>
      </c>
      <c r="I2508" s="6">
        <v>942</v>
      </c>
      <c r="J2508" s="6">
        <v>551</v>
      </c>
      <c r="K2508" s="6">
        <v>488</v>
      </c>
    </row>
    <row r="2509" spans="1:11" x14ac:dyDescent="0.25">
      <c r="A2509" s="1">
        <v>0.74097222222222203</v>
      </c>
      <c r="B2509" s="2">
        <v>6.21</v>
      </c>
      <c r="C2509" s="2">
        <v>3.83</v>
      </c>
      <c r="D2509" s="2">
        <v>5.0200000000000005</v>
      </c>
      <c r="E2509" s="2">
        <v>5.43</v>
      </c>
      <c r="F2509" s="2">
        <v>3.0900000000000003</v>
      </c>
      <c r="G2509" s="6">
        <v>1100</v>
      </c>
      <c r="H2509" s="6">
        <v>1761</v>
      </c>
      <c r="I2509" s="6">
        <v>660</v>
      </c>
      <c r="J2509" s="6">
        <v>736</v>
      </c>
      <c r="K2509" s="6">
        <v>1092</v>
      </c>
    </row>
    <row r="2510" spans="1:11" x14ac:dyDescent="0.25">
      <c r="A2510" s="1">
        <v>0.74166666666666703</v>
      </c>
      <c r="B2510" s="2">
        <v>6.29</v>
      </c>
      <c r="C2510" s="2">
        <v>3.59</v>
      </c>
      <c r="D2510" s="2">
        <v>5.16</v>
      </c>
      <c r="E2510" s="2">
        <v>5.65</v>
      </c>
      <c r="F2510" s="2">
        <v>3.31</v>
      </c>
      <c r="G2510" s="6">
        <v>1096</v>
      </c>
      <c r="H2510" s="6">
        <v>1799</v>
      </c>
      <c r="I2510" s="6">
        <v>707</v>
      </c>
      <c r="J2510" s="6">
        <v>418</v>
      </c>
      <c r="K2510" s="6">
        <v>1496</v>
      </c>
    </row>
    <row r="2511" spans="1:11" x14ac:dyDescent="0.25">
      <c r="A2511" s="1">
        <v>0.74236111111111103</v>
      </c>
      <c r="B2511" s="2">
        <v>6.25</v>
      </c>
      <c r="C2511" s="2">
        <v>3.75</v>
      </c>
      <c r="D2511" s="2">
        <v>5.32</v>
      </c>
      <c r="E2511" s="2">
        <v>5.23</v>
      </c>
      <c r="F2511" s="2">
        <v>2.99</v>
      </c>
      <c r="G2511" s="6">
        <v>843</v>
      </c>
      <c r="H2511" s="6">
        <v>1766</v>
      </c>
      <c r="I2511" s="6">
        <v>705</v>
      </c>
      <c r="J2511" s="6">
        <v>344</v>
      </c>
      <c r="K2511" s="6">
        <v>1251</v>
      </c>
    </row>
    <row r="2512" spans="1:11" x14ac:dyDescent="0.25">
      <c r="A2512" s="1">
        <v>0.74305555555555602</v>
      </c>
      <c r="B2512" s="2">
        <v>6.22</v>
      </c>
      <c r="C2512" s="2">
        <v>3.74</v>
      </c>
      <c r="D2512" s="2">
        <v>5.35</v>
      </c>
      <c r="E2512" s="2">
        <v>5.03</v>
      </c>
      <c r="F2512" s="2">
        <v>3.22</v>
      </c>
      <c r="G2512" s="6">
        <v>1071</v>
      </c>
      <c r="H2512" s="6">
        <v>1550</v>
      </c>
      <c r="I2512" s="6">
        <v>969</v>
      </c>
      <c r="J2512" s="6">
        <v>557</v>
      </c>
      <c r="K2512" s="6">
        <v>605</v>
      </c>
    </row>
    <row r="2513" spans="1:11" x14ac:dyDescent="0.25">
      <c r="A2513" s="1">
        <v>0.74375000000000002</v>
      </c>
      <c r="B2513" s="2">
        <v>6.16</v>
      </c>
      <c r="C2513" s="2">
        <v>3.63</v>
      </c>
      <c r="D2513" s="2">
        <v>5.1100000000000003</v>
      </c>
      <c r="E2513" s="2">
        <v>5.5600000000000005</v>
      </c>
      <c r="F2513" s="2">
        <v>2.93</v>
      </c>
      <c r="G2513" s="6">
        <v>1116</v>
      </c>
      <c r="H2513" s="6">
        <v>1162</v>
      </c>
      <c r="I2513" s="6">
        <v>666</v>
      </c>
      <c r="J2513" s="6">
        <v>1147</v>
      </c>
      <c r="K2513" s="6">
        <v>1065</v>
      </c>
    </row>
    <row r="2514" spans="1:11" x14ac:dyDescent="0.25">
      <c r="A2514" s="1">
        <v>0.74444444444444402</v>
      </c>
      <c r="B2514" s="2">
        <v>6.27</v>
      </c>
      <c r="C2514" s="2">
        <v>3.65</v>
      </c>
      <c r="D2514" s="2">
        <v>5.29</v>
      </c>
      <c r="E2514" s="2">
        <v>5.16</v>
      </c>
      <c r="F2514" s="2">
        <v>3.0700000000000003</v>
      </c>
      <c r="G2514" s="6">
        <v>1001</v>
      </c>
      <c r="H2514" s="6">
        <v>1545</v>
      </c>
      <c r="I2514" s="6">
        <v>1016</v>
      </c>
      <c r="J2514" s="6">
        <v>1186</v>
      </c>
      <c r="K2514" s="6">
        <v>871</v>
      </c>
    </row>
    <row r="2515" spans="1:11" x14ac:dyDescent="0.25">
      <c r="A2515" s="1">
        <v>0.74513888888888902</v>
      </c>
      <c r="B2515" s="2">
        <v>6.28</v>
      </c>
      <c r="C2515" s="2">
        <v>3.85</v>
      </c>
      <c r="D2515" s="2">
        <v>4.92</v>
      </c>
      <c r="E2515" s="2">
        <v>5.19</v>
      </c>
      <c r="F2515" s="2">
        <v>3.3600000000000003</v>
      </c>
      <c r="G2515" s="6">
        <v>988</v>
      </c>
      <c r="H2515" s="6">
        <v>1308</v>
      </c>
      <c r="I2515" s="6">
        <v>790</v>
      </c>
      <c r="J2515" s="6">
        <v>383</v>
      </c>
      <c r="K2515" s="6">
        <v>1267</v>
      </c>
    </row>
    <row r="2516" spans="1:11" x14ac:dyDescent="0.25">
      <c r="A2516" s="1">
        <v>0.74583333333333302</v>
      </c>
      <c r="B2516" s="2">
        <v>6.28</v>
      </c>
      <c r="C2516" s="2">
        <v>3.65</v>
      </c>
      <c r="D2516" s="2">
        <v>5.23</v>
      </c>
      <c r="E2516" s="2">
        <v>5.26</v>
      </c>
      <c r="F2516" s="2">
        <v>3.22</v>
      </c>
      <c r="G2516" s="6">
        <v>771</v>
      </c>
      <c r="H2516" s="6">
        <v>1396</v>
      </c>
      <c r="I2516" s="6">
        <v>1083</v>
      </c>
      <c r="J2516" s="6">
        <v>744</v>
      </c>
      <c r="K2516" s="6">
        <v>1102</v>
      </c>
    </row>
    <row r="2517" spans="1:11" x14ac:dyDescent="0.25">
      <c r="A2517" s="1">
        <v>0.74652777777777801</v>
      </c>
      <c r="B2517" s="2">
        <v>6.21</v>
      </c>
      <c r="C2517" s="2">
        <v>3.71</v>
      </c>
      <c r="D2517" s="2">
        <v>5</v>
      </c>
      <c r="E2517" s="2">
        <v>5.35</v>
      </c>
      <c r="F2517" s="2">
        <v>2.88</v>
      </c>
      <c r="G2517" s="6">
        <v>953</v>
      </c>
      <c r="H2517" s="6">
        <v>1021</v>
      </c>
      <c r="I2517" s="6">
        <v>745</v>
      </c>
      <c r="J2517" s="6">
        <v>941</v>
      </c>
      <c r="K2517" s="6">
        <v>1375</v>
      </c>
    </row>
    <row r="2518" spans="1:11" x14ac:dyDescent="0.25">
      <c r="A2518" s="1">
        <v>0.74722222222222201</v>
      </c>
      <c r="B2518" s="2">
        <v>6.09</v>
      </c>
      <c r="C2518" s="2">
        <v>3.77</v>
      </c>
      <c r="D2518" s="2">
        <v>5.08</v>
      </c>
      <c r="E2518" s="2">
        <v>5.19</v>
      </c>
      <c r="F2518" s="2">
        <v>2.99</v>
      </c>
      <c r="G2518" s="6">
        <v>1047</v>
      </c>
      <c r="H2518" s="6">
        <v>1865</v>
      </c>
      <c r="I2518" s="6">
        <v>1053</v>
      </c>
      <c r="J2518" s="6">
        <v>996</v>
      </c>
      <c r="K2518" s="6">
        <v>1162</v>
      </c>
    </row>
    <row r="2519" spans="1:11" x14ac:dyDescent="0.25">
      <c r="A2519" s="1">
        <v>0.74791666666666701</v>
      </c>
      <c r="B2519" s="2">
        <v>6.1</v>
      </c>
      <c r="C2519" s="2">
        <v>3.65</v>
      </c>
      <c r="D2519" s="2">
        <v>5.23</v>
      </c>
      <c r="E2519" s="2">
        <v>5.1100000000000003</v>
      </c>
      <c r="F2519" s="2">
        <v>3.39</v>
      </c>
      <c r="G2519" s="6">
        <v>778</v>
      </c>
      <c r="H2519" s="6">
        <v>925</v>
      </c>
      <c r="I2519" s="6">
        <v>924</v>
      </c>
      <c r="J2519" s="6">
        <v>598</v>
      </c>
      <c r="K2519" s="6">
        <v>1235</v>
      </c>
    </row>
    <row r="2520" spans="1:11" x14ac:dyDescent="0.25">
      <c r="A2520" s="1">
        <v>0.74861111111111101</v>
      </c>
      <c r="B2520" s="2">
        <v>6.22</v>
      </c>
      <c r="C2520" s="2">
        <v>3.7800000000000002</v>
      </c>
      <c r="D2520" s="2">
        <v>5.36</v>
      </c>
      <c r="E2520" s="2">
        <v>5.63</v>
      </c>
      <c r="F2520" s="2">
        <v>2.94</v>
      </c>
      <c r="G2520" s="6">
        <v>973</v>
      </c>
      <c r="H2520" s="6">
        <v>1091</v>
      </c>
      <c r="I2520" s="6">
        <v>1009</v>
      </c>
      <c r="J2520" s="6">
        <v>405</v>
      </c>
      <c r="K2520" s="6">
        <v>1055</v>
      </c>
    </row>
    <row r="2521" spans="1:11" x14ac:dyDescent="0.25">
      <c r="A2521" s="1">
        <v>0.749305555555556</v>
      </c>
      <c r="B2521" s="2">
        <v>6.27</v>
      </c>
      <c r="C2521" s="2">
        <v>3.81</v>
      </c>
      <c r="D2521" s="2">
        <v>5.09</v>
      </c>
      <c r="E2521" s="2">
        <v>5.36</v>
      </c>
      <c r="F2521" s="2">
        <v>2.93</v>
      </c>
      <c r="G2521" s="6">
        <v>992</v>
      </c>
      <c r="H2521" s="6">
        <v>1115</v>
      </c>
      <c r="I2521" s="6">
        <v>1040</v>
      </c>
      <c r="J2521" s="6">
        <v>1288</v>
      </c>
      <c r="K2521" s="6">
        <v>1151</v>
      </c>
    </row>
    <row r="2522" spans="1:11" x14ac:dyDescent="0.25">
      <c r="A2522" s="3">
        <v>0.75</v>
      </c>
      <c r="B2522" s="2">
        <v>6.21</v>
      </c>
      <c r="C2522" s="2">
        <v>3.74</v>
      </c>
      <c r="D2522" s="2">
        <v>5.1100000000000003</v>
      </c>
      <c r="E2522" s="2">
        <v>5.34</v>
      </c>
      <c r="F2522" s="2">
        <v>3.19</v>
      </c>
      <c r="G2522" s="6">
        <v>844</v>
      </c>
      <c r="H2522" s="6">
        <v>876</v>
      </c>
      <c r="I2522" s="6">
        <v>633</v>
      </c>
      <c r="J2522" s="6">
        <v>364</v>
      </c>
      <c r="K2522" s="6">
        <v>464</v>
      </c>
    </row>
    <row r="2523" spans="1:11" x14ac:dyDescent="0.25">
      <c r="A2523" s="1">
        <v>0.750694444444444</v>
      </c>
      <c r="B2523" s="2">
        <v>6.27</v>
      </c>
      <c r="C2523" s="2">
        <v>3.7399999999999998</v>
      </c>
      <c r="D2523" s="2">
        <v>5.36</v>
      </c>
      <c r="E2523" s="2">
        <v>5.18</v>
      </c>
      <c r="F2523" s="2">
        <v>3.3600000000000003</v>
      </c>
      <c r="G2523" s="6">
        <v>544</v>
      </c>
      <c r="H2523" s="6">
        <v>767</v>
      </c>
      <c r="I2523" s="6">
        <v>390</v>
      </c>
      <c r="J2523" s="6">
        <v>316</v>
      </c>
      <c r="K2523" s="6">
        <v>301</v>
      </c>
    </row>
    <row r="2524" spans="1:11" x14ac:dyDescent="0.25">
      <c r="A2524" s="1">
        <v>0.75138888888888899</v>
      </c>
      <c r="B2524" s="2">
        <v>6.34</v>
      </c>
      <c r="C2524" s="2">
        <v>3.67</v>
      </c>
      <c r="D2524" s="2">
        <v>5.19</v>
      </c>
      <c r="E2524" s="2">
        <v>5.13</v>
      </c>
      <c r="F2524" s="2">
        <v>3.0500000000000003</v>
      </c>
      <c r="G2524" s="6">
        <v>766</v>
      </c>
      <c r="H2524" s="6">
        <v>442</v>
      </c>
      <c r="I2524" s="6">
        <v>615</v>
      </c>
      <c r="J2524" s="6">
        <v>267</v>
      </c>
      <c r="K2524" s="6">
        <v>330</v>
      </c>
    </row>
    <row r="2525" spans="1:11" x14ac:dyDescent="0.25">
      <c r="A2525" s="1">
        <v>0.75208333333333299</v>
      </c>
      <c r="B2525" s="2">
        <v>6.25</v>
      </c>
      <c r="C2525" s="2">
        <v>3.6199999999999997</v>
      </c>
      <c r="D2525" s="2">
        <v>5.35</v>
      </c>
      <c r="E2525" s="2">
        <v>5.17</v>
      </c>
      <c r="F2525" s="2">
        <v>3.3000000000000003</v>
      </c>
      <c r="G2525" s="6">
        <v>552</v>
      </c>
      <c r="H2525" s="6">
        <v>845</v>
      </c>
      <c r="I2525" s="6">
        <v>373</v>
      </c>
      <c r="J2525" s="6">
        <v>344</v>
      </c>
      <c r="K2525" s="6">
        <v>321</v>
      </c>
    </row>
    <row r="2526" spans="1:11" x14ac:dyDescent="0.25">
      <c r="A2526" s="1">
        <v>0.75277777777777799</v>
      </c>
      <c r="B2526" s="2">
        <v>6.2299999999999995</v>
      </c>
      <c r="C2526" s="2">
        <v>3.6999999999999997</v>
      </c>
      <c r="D2526" s="2">
        <v>5.01</v>
      </c>
      <c r="E2526" s="2">
        <v>5.46</v>
      </c>
      <c r="F2526" s="2">
        <v>2.87</v>
      </c>
      <c r="G2526" s="6">
        <v>863</v>
      </c>
      <c r="H2526" s="6">
        <v>498</v>
      </c>
      <c r="I2526" s="6">
        <v>598</v>
      </c>
      <c r="J2526" s="6">
        <v>313</v>
      </c>
      <c r="K2526" s="6">
        <v>346</v>
      </c>
    </row>
    <row r="2527" spans="1:11" x14ac:dyDescent="0.25">
      <c r="A2527" s="1">
        <v>0.75347222222222199</v>
      </c>
      <c r="B2527" s="2">
        <v>6.2</v>
      </c>
      <c r="C2527" s="2">
        <v>3.75</v>
      </c>
      <c r="D2527" s="2">
        <v>5.32</v>
      </c>
      <c r="E2527" s="2">
        <v>5.03</v>
      </c>
      <c r="F2527" s="2">
        <v>3.14</v>
      </c>
      <c r="G2527" s="6">
        <v>490</v>
      </c>
      <c r="H2527" s="6">
        <v>431</v>
      </c>
      <c r="I2527" s="6">
        <v>681</v>
      </c>
      <c r="J2527" s="6">
        <v>269</v>
      </c>
      <c r="K2527" s="6">
        <v>387</v>
      </c>
    </row>
    <row r="2528" spans="1:11" x14ac:dyDescent="0.25">
      <c r="A2528" s="1">
        <v>0.75416666666666698</v>
      </c>
      <c r="B2528" s="2">
        <v>6.3</v>
      </c>
      <c r="C2528" s="2">
        <v>3.84</v>
      </c>
      <c r="D2528" s="2">
        <v>5.3100000000000005</v>
      </c>
      <c r="E2528" s="2">
        <v>5.5</v>
      </c>
      <c r="F2528" s="2">
        <v>3.35</v>
      </c>
      <c r="G2528" s="6">
        <v>692</v>
      </c>
      <c r="H2528" s="6">
        <v>625</v>
      </c>
      <c r="I2528" s="6">
        <v>377</v>
      </c>
      <c r="J2528" s="6">
        <v>269</v>
      </c>
      <c r="K2528" s="6">
        <v>386</v>
      </c>
    </row>
    <row r="2529" spans="1:11" x14ac:dyDescent="0.25">
      <c r="A2529" s="1">
        <v>0.75486111111111098</v>
      </c>
      <c r="B2529" s="2">
        <v>6.35</v>
      </c>
      <c r="C2529" s="2">
        <v>3.77</v>
      </c>
      <c r="D2529" s="2">
        <v>5.09</v>
      </c>
      <c r="E2529" s="2">
        <v>5.17</v>
      </c>
      <c r="F2529" s="2">
        <v>3.04</v>
      </c>
      <c r="G2529" s="6">
        <v>553</v>
      </c>
      <c r="H2529" s="6">
        <v>717</v>
      </c>
      <c r="I2529" s="6">
        <v>512</v>
      </c>
      <c r="J2529" s="6">
        <v>383</v>
      </c>
      <c r="K2529" s="6">
        <v>378</v>
      </c>
    </row>
    <row r="2530" spans="1:11" x14ac:dyDescent="0.25">
      <c r="A2530" s="1">
        <v>0.75555555555555598</v>
      </c>
      <c r="B2530" s="2">
        <v>6.34</v>
      </c>
      <c r="C2530" s="2">
        <v>3.7399999999999998</v>
      </c>
      <c r="D2530" s="2">
        <v>5.05</v>
      </c>
      <c r="E2530" s="2">
        <v>5.0599999999999996</v>
      </c>
      <c r="F2530" s="2">
        <v>2.9</v>
      </c>
      <c r="G2530" s="6">
        <v>596</v>
      </c>
      <c r="H2530" s="6">
        <v>859</v>
      </c>
      <c r="I2530" s="6">
        <v>371</v>
      </c>
      <c r="J2530" s="6">
        <v>324</v>
      </c>
      <c r="K2530" s="6">
        <v>340</v>
      </c>
    </row>
    <row r="2531" spans="1:11" x14ac:dyDescent="0.25">
      <c r="A2531" s="1">
        <v>0.75624999999999998</v>
      </c>
      <c r="B2531" s="2">
        <v>6.13</v>
      </c>
      <c r="C2531" s="2">
        <v>3.77</v>
      </c>
      <c r="D2531" s="2">
        <v>4.96</v>
      </c>
      <c r="E2531" s="2">
        <v>5.63</v>
      </c>
      <c r="F2531" s="2">
        <v>3.31</v>
      </c>
      <c r="G2531" s="6">
        <v>623</v>
      </c>
      <c r="H2531" s="6">
        <v>653</v>
      </c>
      <c r="I2531" s="6">
        <v>481</v>
      </c>
      <c r="J2531" s="6">
        <v>328</v>
      </c>
      <c r="K2531" s="6">
        <v>430</v>
      </c>
    </row>
    <row r="2532" spans="1:11" x14ac:dyDescent="0.25">
      <c r="A2532" s="1">
        <v>0.75694444444444398</v>
      </c>
      <c r="B2532" s="2">
        <v>6.35</v>
      </c>
      <c r="C2532" s="2">
        <v>3.8</v>
      </c>
      <c r="D2532" s="2">
        <v>5.18</v>
      </c>
      <c r="E2532" s="2">
        <v>5.63</v>
      </c>
      <c r="F2532" s="2">
        <v>3.24</v>
      </c>
      <c r="G2532" s="6">
        <v>837</v>
      </c>
      <c r="H2532" s="6">
        <v>577</v>
      </c>
      <c r="I2532" s="6">
        <v>450</v>
      </c>
      <c r="J2532" s="6">
        <v>293</v>
      </c>
      <c r="K2532" s="6">
        <v>389</v>
      </c>
    </row>
    <row r="2533" spans="1:11" x14ac:dyDescent="0.25">
      <c r="A2533" s="1">
        <v>0.75763888888888897</v>
      </c>
      <c r="B2533" s="2">
        <v>6.1499999999999995</v>
      </c>
      <c r="C2533" s="2">
        <v>3.59</v>
      </c>
      <c r="D2533" s="2">
        <v>5.1100000000000003</v>
      </c>
      <c r="E2533" s="2">
        <v>5.14</v>
      </c>
      <c r="F2533" s="2">
        <v>2.91</v>
      </c>
      <c r="G2533" s="6">
        <v>736</v>
      </c>
      <c r="H2533" s="6">
        <v>792</v>
      </c>
      <c r="I2533" s="6">
        <v>746</v>
      </c>
      <c r="J2533" s="6">
        <v>401</v>
      </c>
      <c r="K2533" s="6">
        <v>331</v>
      </c>
    </row>
    <row r="2534" spans="1:11" x14ac:dyDescent="0.25">
      <c r="A2534" s="1">
        <v>0.75833333333333297</v>
      </c>
      <c r="B2534" s="2">
        <v>6.3599999999999994</v>
      </c>
      <c r="C2534" s="2">
        <v>3.73</v>
      </c>
      <c r="D2534" s="2">
        <v>5.17</v>
      </c>
      <c r="E2534" s="2">
        <v>5.52</v>
      </c>
      <c r="F2534" s="2">
        <v>3.19</v>
      </c>
      <c r="G2534" s="6">
        <v>448</v>
      </c>
      <c r="H2534" s="6">
        <v>424</v>
      </c>
      <c r="I2534" s="6">
        <v>450</v>
      </c>
      <c r="J2534" s="6">
        <v>265</v>
      </c>
      <c r="K2534" s="6">
        <v>315</v>
      </c>
    </row>
    <row r="2535" spans="1:11" x14ac:dyDescent="0.25">
      <c r="A2535" s="1">
        <v>0.75902777777777797</v>
      </c>
      <c r="B2535" s="2">
        <v>6.27</v>
      </c>
      <c r="C2535" s="2">
        <v>3.7199999999999998</v>
      </c>
      <c r="D2535" s="2">
        <v>5.16</v>
      </c>
      <c r="E2535" s="2">
        <v>5.33</v>
      </c>
      <c r="F2535" s="2">
        <v>3.35</v>
      </c>
      <c r="G2535" s="6">
        <v>524</v>
      </c>
      <c r="H2535" s="6">
        <v>528</v>
      </c>
      <c r="I2535" s="6">
        <v>459</v>
      </c>
      <c r="J2535" s="6">
        <v>356</v>
      </c>
      <c r="K2535" s="6">
        <v>410</v>
      </c>
    </row>
    <row r="2536" spans="1:11" x14ac:dyDescent="0.25">
      <c r="A2536" s="1">
        <v>0.75972222222222197</v>
      </c>
      <c r="B2536" s="2">
        <v>6.25</v>
      </c>
      <c r="C2536" s="2">
        <v>3.6799999999999997</v>
      </c>
      <c r="D2536" s="2">
        <v>5.03</v>
      </c>
      <c r="E2536" s="2">
        <v>5.51</v>
      </c>
      <c r="F2536" s="2">
        <v>3.19</v>
      </c>
      <c r="G2536" s="6">
        <v>770</v>
      </c>
      <c r="H2536" s="6">
        <v>439</v>
      </c>
      <c r="I2536" s="6">
        <v>387</v>
      </c>
      <c r="J2536" s="6">
        <v>282</v>
      </c>
      <c r="K2536" s="6">
        <v>292</v>
      </c>
    </row>
    <row r="2537" spans="1:11" x14ac:dyDescent="0.25">
      <c r="A2537" s="1">
        <v>0.76041666666666696</v>
      </c>
      <c r="B2537" s="2">
        <v>6.09</v>
      </c>
      <c r="C2537" s="2">
        <v>3.7199999999999998</v>
      </c>
      <c r="D2537" s="2">
        <v>4.91</v>
      </c>
      <c r="E2537" s="2">
        <v>5.39</v>
      </c>
      <c r="F2537" s="2">
        <v>2.99</v>
      </c>
      <c r="G2537" s="6">
        <v>371</v>
      </c>
      <c r="H2537" s="6">
        <v>151</v>
      </c>
      <c r="I2537" s="6">
        <v>304</v>
      </c>
      <c r="J2537" s="6">
        <v>224</v>
      </c>
      <c r="K2537" s="6">
        <v>234</v>
      </c>
    </row>
    <row r="2538" spans="1:11" x14ac:dyDescent="0.25">
      <c r="A2538" s="1">
        <v>0.76111111111111096</v>
      </c>
      <c r="B2538" s="2">
        <v>6.25</v>
      </c>
      <c r="C2538" s="2">
        <v>3.5999999999999996</v>
      </c>
      <c r="D2538" s="2">
        <v>4.8899999999999997</v>
      </c>
      <c r="E2538" s="2">
        <v>5.3</v>
      </c>
      <c r="F2538" s="2">
        <v>3.31</v>
      </c>
      <c r="G2538" s="6">
        <v>351</v>
      </c>
      <c r="H2538" s="6">
        <v>404</v>
      </c>
      <c r="I2538" s="6">
        <v>251</v>
      </c>
      <c r="J2538" s="6">
        <v>164</v>
      </c>
      <c r="K2538" s="6">
        <v>216</v>
      </c>
    </row>
    <row r="2539" spans="1:11" x14ac:dyDescent="0.25">
      <c r="A2539" s="1">
        <v>0.76180555555555596</v>
      </c>
      <c r="B2539" s="2">
        <v>6.32</v>
      </c>
      <c r="C2539" s="2">
        <v>3.79</v>
      </c>
      <c r="D2539" s="2">
        <v>5.26</v>
      </c>
      <c r="E2539" s="2">
        <v>5.23</v>
      </c>
      <c r="F2539" s="2">
        <v>3.1</v>
      </c>
      <c r="G2539" s="6">
        <v>431</v>
      </c>
      <c r="H2539" s="6">
        <v>389</v>
      </c>
      <c r="I2539" s="6">
        <v>294</v>
      </c>
      <c r="J2539" s="6">
        <v>245</v>
      </c>
      <c r="K2539" s="6">
        <v>267</v>
      </c>
    </row>
    <row r="2540" spans="1:11" x14ac:dyDescent="0.25">
      <c r="A2540" s="1">
        <v>0.76249999999999996</v>
      </c>
      <c r="B2540" s="2">
        <v>6.18</v>
      </c>
      <c r="C2540" s="2">
        <v>3.63</v>
      </c>
      <c r="D2540" s="2">
        <v>5.04</v>
      </c>
      <c r="E2540" s="2">
        <v>5.55</v>
      </c>
      <c r="F2540" s="2">
        <v>3.2</v>
      </c>
      <c r="G2540" s="6">
        <v>198</v>
      </c>
      <c r="H2540" s="6">
        <v>288</v>
      </c>
      <c r="I2540" s="6">
        <v>345</v>
      </c>
      <c r="J2540" s="6">
        <v>164</v>
      </c>
      <c r="K2540" s="6">
        <v>182</v>
      </c>
    </row>
    <row r="2541" spans="1:11" x14ac:dyDescent="0.25">
      <c r="A2541" s="1">
        <v>0.76319444444444495</v>
      </c>
      <c r="B2541" s="2">
        <v>6.2299999999999995</v>
      </c>
      <c r="C2541" s="2">
        <v>3.7399999999999998</v>
      </c>
      <c r="D2541" s="2">
        <v>5.05</v>
      </c>
      <c r="E2541" s="2">
        <v>5.51</v>
      </c>
      <c r="F2541" s="2">
        <v>3.16</v>
      </c>
      <c r="G2541" s="6">
        <v>353</v>
      </c>
      <c r="H2541" s="6">
        <v>285</v>
      </c>
      <c r="I2541" s="6">
        <v>139</v>
      </c>
      <c r="J2541" s="6">
        <v>102</v>
      </c>
      <c r="K2541" s="6">
        <v>164</v>
      </c>
    </row>
    <row r="2542" spans="1:11" x14ac:dyDescent="0.25">
      <c r="A2542" s="1">
        <v>0.76388888888888895</v>
      </c>
      <c r="B2542" s="2">
        <v>6.1499999999999995</v>
      </c>
      <c r="C2542" s="2">
        <v>3.65</v>
      </c>
      <c r="D2542" s="2">
        <v>5.0600000000000005</v>
      </c>
      <c r="E2542" s="2">
        <v>5.65</v>
      </c>
      <c r="F2542" s="2">
        <v>3.37</v>
      </c>
      <c r="G2542" s="6">
        <v>396</v>
      </c>
      <c r="H2542" s="6">
        <v>250</v>
      </c>
      <c r="I2542" s="6">
        <v>315</v>
      </c>
      <c r="J2542" s="6">
        <v>345</v>
      </c>
      <c r="K2542" s="6">
        <v>394</v>
      </c>
    </row>
    <row r="2543" spans="1:11" x14ac:dyDescent="0.25">
      <c r="A2543" s="1">
        <v>0.76458333333333295</v>
      </c>
      <c r="B2543" s="2">
        <v>6.33</v>
      </c>
      <c r="C2543" s="2">
        <v>3.88</v>
      </c>
      <c r="D2543" s="2">
        <v>5.1400000000000006</v>
      </c>
      <c r="E2543" s="2">
        <v>5.51</v>
      </c>
      <c r="F2543" s="2">
        <v>2.94</v>
      </c>
      <c r="G2543" s="6">
        <v>412</v>
      </c>
      <c r="H2543" s="6">
        <v>180</v>
      </c>
      <c r="I2543" s="6">
        <v>296</v>
      </c>
      <c r="J2543" s="6">
        <v>334</v>
      </c>
      <c r="K2543" s="6">
        <v>324</v>
      </c>
    </row>
    <row r="2544" spans="1:11" x14ac:dyDescent="0.25">
      <c r="A2544" s="1">
        <v>0.76527777777777795</v>
      </c>
      <c r="B2544" s="2">
        <v>6.28</v>
      </c>
      <c r="C2544" s="2">
        <v>3.8499999999999996</v>
      </c>
      <c r="D2544" s="2">
        <v>4.88</v>
      </c>
      <c r="E2544" s="2">
        <v>5.61</v>
      </c>
      <c r="F2544" s="2">
        <v>3.25</v>
      </c>
      <c r="G2544" s="6">
        <v>329</v>
      </c>
      <c r="H2544" s="6">
        <v>382</v>
      </c>
      <c r="I2544" s="6">
        <v>118</v>
      </c>
      <c r="J2544" s="6">
        <v>85</v>
      </c>
      <c r="K2544" s="6">
        <v>64</v>
      </c>
    </row>
    <row r="2545" spans="1:11" x14ac:dyDescent="0.25">
      <c r="A2545" s="1">
        <v>0.76597222222222205</v>
      </c>
      <c r="B2545" s="2">
        <v>6.12</v>
      </c>
      <c r="C2545" s="2">
        <v>3.78</v>
      </c>
      <c r="D2545" s="2">
        <v>5.22</v>
      </c>
      <c r="E2545" s="2">
        <v>5.52</v>
      </c>
      <c r="F2545" s="2">
        <v>2.88</v>
      </c>
      <c r="G2545" s="6">
        <v>158</v>
      </c>
      <c r="H2545" s="6">
        <v>223</v>
      </c>
      <c r="I2545" s="6">
        <v>100</v>
      </c>
      <c r="J2545" s="6">
        <v>95</v>
      </c>
      <c r="K2545" s="6">
        <v>97</v>
      </c>
    </row>
    <row r="2546" spans="1:11" x14ac:dyDescent="0.25">
      <c r="A2546" s="1">
        <v>0.76666666666666705</v>
      </c>
      <c r="B2546" s="2">
        <v>6.18</v>
      </c>
      <c r="C2546" s="2">
        <v>3.5999999999999996</v>
      </c>
      <c r="D2546" s="2">
        <v>5.1400000000000006</v>
      </c>
      <c r="E2546" s="2">
        <v>5.26</v>
      </c>
      <c r="F2546" s="2">
        <v>3.18</v>
      </c>
      <c r="G2546" s="6">
        <v>130</v>
      </c>
      <c r="H2546" s="6">
        <v>434</v>
      </c>
      <c r="I2546" s="6">
        <v>331</v>
      </c>
      <c r="J2546" s="6">
        <v>224</v>
      </c>
      <c r="K2546" s="6">
        <v>387</v>
      </c>
    </row>
    <row r="2547" spans="1:11" x14ac:dyDescent="0.25">
      <c r="A2547" s="1">
        <v>0.76736111111111105</v>
      </c>
      <c r="B2547" s="2">
        <v>6.33</v>
      </c>
      <c r="C2547" s="2">
        <v>3.6399999999999997</v>
      </c>
      <c r="D2547" s="2">
        <v>5.33</v>
      </c>
      <c r="E2547" s="2">
        <v>5.26</v>
      </c>
      <c r="F2547" s="2">
        <v>3.0500000000000003</v>
      </c>
      <c r="G2547" s="6">
        <v>121</v>
      </c>
      <c r="H2547" s="6">
        <v>286</v>
      </c>
      <c r="I2547" s="6">
        <v>332</v>
      </c>
      <c r="J2547" s="6">
        <v>178</v>
      </c>
      <c r="K2547" s="6">
        <v>264</v>
      </c>
    </row>
    <row r="2548" spans="1:11" x14ac:dyDescent="0.25">
      <c r="A2548" s="1">
        <v>0.76805555555555605</v>
      </c>
      <c r="B2548" s="2">
        <v>6.31</v>
      </c>
      <c r="C2548" s="2">
        <v>3.73</v>
      </c>
      <c r="D2548" s="2">
        <v>5.26</v>
      </c>
      <c r="E2548" s="2">
        <v>5.42</v>
      </c>
      <c r="F2548" s="2">
        <v>3.31</v>
      </c>
      <c r="G2548" s="6">
        <v>149</v>
      </c>
      <c r="H2548" s="6">
        <v>200</v>
      </c>
      <c r="I2548" s="6">
        <v>126</v>
      </c>
      <c r="J2548" s="6">
        <v>254</v>
      </c>
      <c r="K2548" s="6">
        <v>345</v>
      </c>
    </row>
    <row r="2549" spans="1:11" x14ac:dyDescent="0.25">
      <c r="A2549" s="1">
        <v>0.76875000000000004</v>
      </c>
      <c r="B2549" s="2">
        <v>6.28</v>
      </c>
      <c r="C2549" s="2">
        <v>3.67</v>
      </c>
      <c r="D2549" s="2">
        <v>4.92</v>
      </c>
      <c r="E2549" s="2">
        <v>5.07</v>
      </c>
      <c r="F2549" s="2">
        <v>3.16</v>
      </c>
      <c r="G2549" s="6">
        <v>209</v>
      </c>
      <c r="H2549" s="6">
        <v>433</v>
      </c>
      <c r="I2549" s="6">
        <v>324</v>
      </c>
      <c r="J2549" s="6">
        <v>177</v>
      </c>
      <c r="K2549" s="6">
        <v>156</v>
      </c>
    </row>
    <row r="2550" spans="1:11" x14ac:dyDescent="0.25">
      <c r="A2550" s="1">
        <v>0.76944444444444404</v>
      </c>
      <c r="B2550" s="2">
        <v>6.17</v>
      </c>
      <c r="C2550" s="2">
        <v>3.6399999999999997</v>
      </c>
      <c r="D2550" s="2">
        <v>5.1100000000000003</v>
      </c>
      <c r="E2550" s="2">
        <v>5.19</v>
      </c>
      <c r="F2550" s="2">
        <v>3.17</v>
      </c>
      <c r="G2550" s="6">
        <v>170</v>
      </c>
      <c r="H2550" s="6">
        <v>298</v>
      </c>
      <c r="I2550" s="6">
        <v>105</v>
      </c>
      <c r="J2550" s="6">
        <v>95</v>
      </c>
      <c r="K2550" s="6">
        <v>99</v>
      </c>
    </row>
    <row r="2551" spans="1:11" x14ac:dyDescent="0.25">
      <c r="A2551" s="1">
        <v>0.77013888888888904</v>
      </c>
      <c r="B2551" s="2">
        <v>6.21</v>
      </c>
      <c r="C2551" s="2">
        <v>3.88</v>
      </c>
      <c r="D2551" s="2">
        <v>5.24</v>
      </c>
      <c r="E2551" s="2">
        <v>5.19</v>
      </c>
      <c r="F2551" s="2">
        <v>2.87</v>
      </c>
      <c r="G2551" s="6">
        <v>184</v>
      </c>
      <c r="H2551" s="6">
        <v>153</v>
      </c>
      <c r="I2551" s="6">
        <v>95</v>
      </c>
      <c r="J2551" s="6">
        <v>77</v>
      </c>
      <c r="K2551" s="6">
        <v>95</v>
      </c>
    </row>
    <row r="2552" spans="1:11" x14ac:dyDescent="0.25">
      <c r="A2552" s="1">
        <v>0.77083333333333304</v>
      </c>
      <c r="B2552" s="2">
        <v>6.13</v>
      </c>
      <c r="C2552" s="2">
        <v>3.78</v>
      </c>
      <c r="D2552" s="2">
        <v>5.18</v>
      </c>
      <c r="E2552" s="2">
        <v>5.24</v>
      </c>
      <c r="F2552" s="2">
        <v>3.0300000000000002</v>
      </c>
      <c r="G2552" s="6">
        <v>155</v>
      </c>
      <c r="H2552" s="6">
        <v>143</v>
      </c>
      <c r="I2552" s="6">
        <v>97</v>
      </c>
      <c r="J2552" s="6">
        <v>66</v>
      </c>
      <c r="K2552" s="6">
        <v>98</v>
      </c>
    </row>
    <row r="2553" spans="1:11" x14ac:dyDescent="0.25">
      <c r="A2553" s="1">
        <v>0.77152777777777803</v>
      </c>
      <c r="B2553" s="2">
        <v>6.3</v>
      </c>
      <c r="C2553" s="2">
        <v>3.7399999999999998</v>
      </c>
      <c r="D2553" s="2">
        <v>5.34</v>
      </c>
      <c r="E2553" s="2">
        <v>5.58</v>
      </c>
      <c r="F2553" s="2">
        <v>2.88</v>
      </c>
      <c r="G2553" s="6">
        <v>155</v>
      </c>
      <c r="H2553" s="6">
        <v>134</v>
      </c>
      <c r="I2553" s="6">
        <v>97</v>
      </c>
      <c r="J2553" s="6">
        <v>62</v>
      </c>
      <c r="K2553" s="6">
        <v>95</v>
      </c>
    </row>
    <row r="2554" spans="1:11" x14ac:dyDescent="0.25">
      <c r="A2554" s="1">
        <v>0.77222222222222203</v>
      </c>
      <c r="B2554" s="2">
        <v>6.14</v>
      </c>
      <c r="C2554" s="2">
        <v>3.67</v>
      </c>
      <c r="D2554" s="2">
        <v>5.04</v>
      </c>
      <c r="E2554" s="2">
        <v>5.25</v>
      </c>
      <c r="F2554" s="2">
        <v>3.2800000000000002</v>
      </c>
      <c r="G2554" s="6">
        <v>125</v>
      </c>
      <c r="H2554" s="6">
        <v>129</v>
      </c>
      <c r="I2554" s="6">
        <v>87</v>
      </c>
      <c r="J2554" s="6">
        <v>50</v>
      </c>
      <c r="K2554" s="6">
        <v>92</v>
      </c>
    </row>
    <row r="2555" spans="1:11" x14ac:dyDescent="0.25">
      <c r="A2555" s="1">
        <v>0.77291666666666703</v>
      </c>
      <c r="B2555" s="2">
        <v>6.27</v>
      </c>
      <c r="C2555" s="2">
        <v>3.71</v>
      </c>
      <c r="D2555" s="2">
        <v>5.1000000000000005</v>
      </c>
      <c r="E2555" s="2">
        <v>5.12</v>
      </c>
      <c r="F2555" s="2">
        <v>3.2600000000000002</v>
      </c>
      <c r="G2555" s="6">
        <v>88</v>
      </c>
      <c r="H2555" s="6">
        <v>106</v>
      </c>
      <c r="I2555" s="6">
        <v>80</v>
      </c>
      <c r="J2555" s="6">
        <v>50</v>
      </c>
      <c r="K2555" s="6">
        <v>86</v>
      </c>
    </row>
    <row r="2556" spans="1:11" x14ac:dyDescent="0.25">
      <c r="A2556" s="1">
        <v>0.77361111111111103</v>
      </c>
      <c r="B2556" s="2">
        <v>6.3</v>
      </c>
      <c r="C2556" s="2">
        <v>3.76</v>
      </c>
      <c r="D2556" s="2">
        <v>5.2700000000000005</v>
      </c>
      <c r="E2556" s="2">
        <v>5.33</v>
      </c>
      <c r="F2556" s="2">
        <v>3.0500000000000003</v>
      </c>
      <c r="G2556" s="6">
        <v>85</v>
      </c>
      <c r="H2556" s="6">
        <v>79</v>
      </c>
      <c r="I2556" s="6">
        <v>72</v>
      </c>
      <c r="J2556" s="6">
        <v>34</v>
      </c>
      <c r="K2556" s="6">
        <v>65</v>
      </c>
    </row>
    <row r="2557" spans="1:11" x14ac:dyDescent="0.25">
      <c r="A2557" s="1">
        <v>0.77430555555555602</v>
      </c>
      <c r="B2557" s="2">
        <v>6.13</v>
      </c>
      <c r="C2557" s="2">
        <v>3.65</v>
      </c>
      <c r="D2557" s="2">
        <v>5.19</v>
      </c>
      <c r="E2557" s="2">
        <v>5.14</v>
      </c>
      <c r="F2557" s="2">
        <v>3.17</v>
      </c>
      <c r="G2557" s="6">
        <v>72</v>
      </c>
      <c r="H2557" s="6">
        <v>70</v>
      </c>
      <c r="I2557" s="6">
        <v>71</v>
      </c>
      <c r="J2557" s="6">
        <v>30</v>
      </c>
      <c r="K2557" s="6">
        <v>49</v>
      </c>
    </row>
    <row r="2558" spans="1:11" x14ac:dyDescent="0.25">
      <c r="A2558" s="1">
        <v>0.77500000000000002</v>
      </c>
      <c r="B2558" s="2">
        <v>6.1899999999999995</v>
      </c>
      <c r="C2558" s="2">
        <v>3.88</v>
      </c>
      <c r="D2558" s="2">
        <v>5.23</v>
      </c>
      <c r="E2558" s="2">
        <v>5.18</v>
      </c>
      <c r="F2558" s="2">
        <v>3.1</v>
      </c>
      <c r="G2558" s="6">
        <v>54</v>
      </c>
      <c r="H2558" s="6">
        <v>60</v>
      </c>
      <c r="I2558" s="6">
        <v>67</v>
      </c>
      <c r="J2558" s="6">
        <v>29</v>
      </c>
      <c r="K2558" s="6">
        <v>40</v>
      </c>
    </row>
    <row r="2559" spans="1:11" x14ac:dyDescent="0.25">
      <c r="A2559" s="1">
        <v>0.77569444444444402</v>
      </c>
      <c r="B2559" s="2">
        <v>6.17</v>
      </c>
      <c r="C2559" s="2">
        <v>3.6399999999999997</v>
      </c>
      <c r="D2559" s="2">
        <v>4.9000000000000004</v>
      </c>
      <c r="E2559" s="2">
        <v>5.65</v>
      </c>
      <c r="F2559" s="2">
        <v>2.97</v>
      </c>
      <c r="G2559" s="6">
        <v>46</v>
      </c>
      <c r="H2559" s="6">
        <v>55</v>
      </c>
      <c r="I2559" s="6">
        <v>37</v>
      </c>
      <c r="J2559" s="6">
        <v>27</v>
      </c>
      <c r="K2559" s="6">
        <v>36</v>
      </c>
    </row>
    <row r="2560" spans="1:11" x14ac:dyDescent="0.25">
      <c r="A2560" s="1">
        <v>0.77638888888888902</v>
      </c>
      <c r="B2560" s="2">
        <v>6.29</v>
      </c>
      <c r="C2560" s="2">
        <v>3.84</v>
      </c>
      <c r="D2560" s="2">
        <v>5.29</v>
      </c>
      <c r="E2560" s="2">
        <v>5.6</v>
      </c>
      <c r="F2560" s="2">
        <v>3.37</v>
      </c>
      <c r="G2560" s="6">
        <v>30</v>
      </c>
      <c r="H2560" s="6">
        <v>47</v>
      </c>
      <c r="I2560" s="6">
        <v>24</v>
      </c>
      <c r="J2560" s="6">
        <v>27</v>
      </c>
      <c r="K2560" s="6">
        <v>27</v>
      </c>
    </row>
    <row r="2561" spans="1:11" x14ac:dyDescent="0.25">
      <c r="A2561" s="1">
        <v>0.77708333333333302</v>
      </c>
      <c r="B2561" s="2">
        <v>6.33</v>
      </c>
      <c r="C2561" s="2">
        <v>3.8499999999999996</v>
      </c>
      <c r="D2561" s="2">
        <v>4.88</v>
      </c>
      <c r="E2561" s="2">
        <v>5.62</v>
      </c>
      <c r="F2561" s="2">
        <v>2.89</v>
      </c>
      <c r="G2561" s="6">
        <v>30</v>
      </c>
      <c r="H2561" s="6">
        <v>42</v>
      </c>
      <c r="I2561" s="6">
        <v>23</v>
      </c>
      <c r="J2561" s="6">
        <v>17</v>
      </c>
      <c r="K2561" s="6">
        <v>23</v>
      </c>
    </row>
    <row r="2562" spans="1:11" x14ac:dyDescent="0.25">
      <c r="A2562" s="1">
        <v>0.77777777777777801</v>
      </c>
      <c r="B2562" s="2">
        <v>6.27</v>
      </c>
      <c r="C2562" s="2">
        <v>3.82</v>
      </c>
      <c r="D2562" s="2">
        <v>5</v>
      </c>
      <c r="E2562" s="2">
        <v>5.42</v>
      </c>
      <c r="F2562" s="2">
        <v>3.13</v>
      </c>
      <c r="G2562" s="6">
        <v>13</v>
      </c>
      <c r="H2562" s="6">
        <v>22</v>
      </c>
      <c r="I2562" s="6">
        <v>16</v>
      </c>
      <c r="J2562" s="6">
        <v>10</v>
      </c>
      <c r="K2562" s="6">
        <v>14</v>
      </c>
    </row>
    <row r="2563" spans="1:11" x14ac:dyDescent="0.25">
      <c r="A2563" s="1">
        <v>0.77847222222222201</v>
      </c>
      <c r="B2563" s="2">
        <v>6.16</v>
      </c>
      <c r="C2563" s="2">
        <v>3.8</v>
      </c>
      <c r="D2563" s="2">
        <v>5.1100000000000003</v>
      </c>
      <c r="E2563" s="2">
        <v>5.36</v>
      </c>
      <c r="F2563" s="2">
        <v>3.31</v>
      </c>
      <c r="G2563" s="6">
        <v>16</v>
      </c>
      <c r="H2563" s="6">
        <v>20</v>
      </c>
      <c r="I2563" s="6">
        <v>12</v>
      </c>
      <c r="J2563" s="6">
        <v>6</v>
      </c>
      <c r="K2563" s="6">
        <v>6</v>
      </c>
    </row>
    <row r="2564" spans="1:11" x14ac:dyDescent="0.25">
      <c r="A2564" s="1">
        <v>0.77916666666666701</v>
      </c>
      <c r="B2564" s="2">
        <v>6.26</v>
      </c>
      <c r="C2564" s="2">
        <v>3.79</v>
      </c>
      <c r="D2564" s="2">
        <v>5.2</v>
      </c>
      <c r="E2564" s="2">
        <v>5.35</v>
      </c>
      <c r="F2564" s="2">
        <v>3.3400000000000003</v>
      </c>
      <c r="G2564" s="6">
        <v>8</v>
      </c>
      <c r="H2564" s="6">
        <v>15</v>
      </c>
      <c r="I2564" s="6">
        <v>6</v>
      </c>
      <c r="J2564" s="6">
        <v>4</v>
      </c>
      <c r="K2564" s="6">
        <v>0</v>
      </c>
    </row>
    <row r="2565" spans="1:11" x14ac:dyDescent="0.25">
      <c r="A2565" s="1">
        <v>0.77986111111111101</v>
      </c>
      <c r="B2565" s="2">
        <v>6.12</v>
      </c>
      <c r="C2565" s="2">
        <v>3.6399999999999997</v>
      </c>
      <c r="D2565" s="2">
        <v>5.18</v>
      </c>
      <c r="E2565" s="2">
        <v>5.26</v>
      </c>
      <c r="F2565" s="2">
        <v>3.31</v>
      </c>
      <c r="G2565" s="6">
        <v>5</v>
      </c>
      <c r="H2565" s="6">
        <v>6</v>
      </c>
      <c r="I2565" s="6">
        <v>0</v>
      </c>
      <c r="J2565" s="6">
        <v>1</v>
      </c>
      <c r="K2565" s="6">
        <v>0</v>
      </c>
    </row>
    <row r="2566" spans="1:11" x14ac:dyDescent="0.25">
      <c r="A2566" s="1">
        <v>0.780555555555556</v>
      </c>
      <c r="B2566" s="2">
        <v>6.1899999999999995</v>
      </c>
      <c r="C2566" s="2">
        <v>3.78</v>
      </c>
      <c r="D2566" s="2">
        <v>5.12</v>
      </c>
      <c r="E2566" s="2">
        <v>5.31</v>
      </c>
      <c r="F2566" s="2">
        <v>3.0700000000000003</v>
      </c>
      <c r="G2566" s="6">
        <v>4</v>
      </c>
      <c r="H2566" s="6">
        <v>2</v>
      </c>
      <c r="I2566" s="6">
        <v>0</v>
      </c>
      <c r="J2566" s="6">
        <v>0</v>
      </c>
      <c r="K2566" s="6">
        <v>0</v>
      </c>
    </row>
    <row r="2567" spans="1:11" x14ac:dyDescent="0.25">
      <c r="A2567" s="1">
        <v>0.78125</v>
      </c>
      <c r="B2567" s="2">
        <v>6.16</v>
      </c>
      <c r="C2567" s="2">
        <v>3.83</v>
      </c>
      <c r="D2567" s="2">
        <v>5.34</v>
      </c>
      <c r="E2567" s="2">
        <v>5.45</v>
      </c>
      <c r="F2567" s="2">
        <v>3.22</v>
      </c>
      <c r="G2567" s="6">
        <v>0</v>
      </c>
      <c r="H2567" s="6">
        <v>0</v>
      </c>
      <c r="I2567" s="6">
        <v>0</v>
      </c>
      <c r="J2567" s="6">
        <v>0</v>
      </c>
      <c r="K2567" s="6">
        <v>0</v>
      </c>
    </row>
    <row r="2568" spans="1:11" x14ac:dyDescent="0.25">
      <c r="A2568" s="1">
        <v>0.781944444444444</v>
      </c>
      <c r="B2568" s="2">
        <v>6.26</v>
      </c>
      <c r="C2568" s="2">
        <v>3.6999999999999997</v>
      </c>
      <c r="D2568" s="2">
        <v>4.91</v>
      </c>
      <c r="E2568" s="2">
        <v>5.32</v>
      </c>
      <c r="F2568" s="2">
        <v>2.97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</row>
    <row r="2569" spans="1:11" x14ac:dyDescent="0.25">
      <c r="A2569" s="1">
        <v>0.78263888888888899</v>
      </c>
      <c r="B2569" s="2">
        <v>6.24</v>
      </c>
      <c r="C2569" s="2">
        <v>3.77</v>
      </c>
      <c r="D2569" s="2">
        <v>5.01</v>
      </c>
      <c r="E2569" s="2">
        <v>5.43</v>
      </c>
      <c r="F2569" s="2">
        <v>3.31</v>
      </c>
      <c r="G2569" s="6">
        <v>0</v>
      </c>
      <c r="H2569" s="6">
        <v>0</v>
      </c>
      <c r="I2569" s="6">
        <v>0</v>
      </c>
      <c r="J2569" s="6">
        <v>0</v>
      </c>
      <c r="K2569" s="6">
        <v>0</v>
      </c>
    </row>
    <row r="2570" spans="1:11" x14ac:dyDescent="0.25">
      <c r="A2570" s="1">
        <v>0.78333333333333299</v>
      </c>
      <c r="B2570" s="2">
        <v>6.13</v>
      </c>
      <c r="C2570" s="2">
        <v>3.6799999999999997</v>
      </c>
      <c r="D2570" s="2">
        <v>5.33</v>
      </c>
      <c r="E2570" s="2">
        <v>5.44</v>
      </c>
      <c r="F2570" s="2">
        <v>3.3600000000000003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</row>
    <row r="2571" spans="1:11" x14ac:dyDescent="0.25">
      <c r="A2571" s="1">
        <v>0.78402777777777799</v>
      </c>
      <c r="B2571" s="2">
        <v>6.31</v>
      </c>
      <c r="C2571" s="2">
        <v>3.67</v>
      </c>
      <c r="D2571" s="2">
        <v>5.2700000000000005</v>
      </c>
      <c r="E2571" s="2">
        <v>5.31</v>
      </c>
      <c r="F2571" s="2">
        <v>3.12</v>
      </c>
      <c r="G2571" s="6">
        <v>0</v>
      </c>
      <c r="H2571" s="6">
        <v>0</v>
      </c>
      <c r="I2571" s="6">
        <v>0</v>
      </c>
      <c r="J2571" s="6">
        <v>0</v>
      </c>
      <c r="K2571" s="6">
        <v>0</v>
      </c>
    </row>
    <row r="2572" spans="1:11" x14ac:dyDescent="0.25">
      <c r="A2572" s="1">
        <v>0.78472222222222199</v>
      </c>
      <c r="B2572" s="2">
        <v>6.2</v>
      </c>
      <c r="C2572" s="2">
        <v>3.86</v>
      </c>
      <c r="D2572" s="2">
        <v>5.13</v>
      </c>
      <c r="E2572" s="2">
        <v>5.09</v>
      </c>
      <c r="F2572" s="2">
        <v>3.14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</row>
    <row r="2573" spans="1:11" x14ac:dyDescent="0.25">
      <c r="A2573" s="1">
        <v>0.78541666666666698</v>
      </c>
      <c r="B2573" s="2">
        <v>6.09</v>
      </c>
      <c r="C2573" s="2">
        <v>3.6799999999999997</v>
      </c>
      <c r="D2573" s="2">
        <v>4.92</v>
      </c>
      <c r="E2573" s="2">
        <v>5.54</v>
      </c>
      <c r="F2573" s="2">
        <v>3.27</v>
      </c>
      <c r="G2573" s="6">
        <v>0</v>
      </c>
      <c r="H2573" s="6">
        <v>0</v>
      </c>
      <c r="I2573" s="6">
        <v>0</v>
      </c>
      <c r="J2573" s="6">
        <v>0</v>
      </c>
      <c r="K2573" s="6">
        <v>0</v>
      </c>
    </row>
    <row r="2574" spans="1:11" x14ac:dyDescent="0.25">
      <c r="A2574" s="1">
        <v>0.78611111111111098</v>
      </c>
      <c r="B2574" s="2">
        <v>6.1899999999999995</v>
      </c>
      <c r="C2574" s="2">
        <v>3.69</v>
      </c>
      <c r="D2574" s="2">
        <v>4.9800000000000004</v>
      </c>
      <c r="E2574" s="2">
        <v>5.62</v>
      </c>
      <c r="F2574" s="2">
        <v>3.2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</row>
    <row r="2575" spans="1:11" x14ac:dyDescent="0.25">
      <c r="A2575" s="1">
        <v>0.78680555555555598</v>
      </c>
      <c r="B2575" s="2">
        <v>6.21</v>
      </c>
      <c r="C2575" s="2">
        <v>3.5999999999999996</v>
      </c>
      <c r="D2575" s="2">
        <v>5.18</v>
      </c>
      <c r="E2575" s="2">
        <v>5.47</v>
      </c>
      <c r="F2575" s="2">
        <v>2.98</v>
      </c>
      <c r="G2575" s="6">
        <v>0</v>
      </c>
      <c r="H2575" s="6">
        <v>0</v>
      </c>
      <c r="I2575" s="6">
        <v>0</v>
      </c>
      <c r="J2575" s="6">
        <v>0</v>
      </c>
      <c r="K2575" s="6">
        <v>0</v>
      </c>
    </row>
    <row r="2576" spans="1:11" x14ac:dyDescent="0.25">
      <c r="A2576" s="1">
        <v>0.78749999999999998</v>
      </c>
      <c r="B2576" s="2">
        <v>6.31</v>
      </c>
      <c r="C2576" s="2">
        <v>3.6399999999999997</v>
      </c>
      <c r="D2576" s="2">
        <v>5.33</v>
      </c>
      <c r="E2576" s="2">
        <v>5.45</v>
      </c>
      <c r="F2576" s="2">
        <v>2.95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</row>
    <row r="2577" spans="1:11" x14ac:dyDescent="0.25">
      <c r="A2577" s="1">
        <v>0.78819444444444398</v>
      </c>
      <c r="B2577" s="2">
        <v>6.17</v>
      </c>
      <c r="C2577" s="2">
        <v>3.65</v>
      </c>
      <c r="D2577" s="2">
        <v>5.17</v>
      </c>
      <c r="E2577" s="2">
        <v>5.49</v>
      </c>
      <c r="F2577" s="2">
        <v>3.2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</row>
    <row r="2578" spans="1:11" x14ac:dyDescent="0.25">
      <c r="A2578" s="1">
        <v>0.78888888888888897</v>
      </c>
      <c r="B2578" s="2">
        <v>6.25</v>
      </c>
      <c r="C2578" s="2">
        <v>3.88</v>
      </c>
      <c r="D2578" s="2">
        <v>4.91</v>
      </c>
      <c r="E2578" s="2">
        <v>5.49</v>
      </c>
      <c r="F2578" s="2">
        <v>3.39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</row>
    <row r="2579" spans="1:11" x14ac:dyDescent="0.25">
      <c r="A2579" s="1">
        <v>0.78958333333333297</v>
      </c>
      <c r="B2579" s="2">
        <v>6.12</v>
      </c>
      <c r="C2579" s="2">
        <v>3.71</v>
      </c>
      <c r="D2579" s="2">
        <v>5.05</v>
      </c>
      <c r="E2579" s="2">
        <v>5.46</v>
      </c>
      <c r="F2579" s="2">
        <v>3.17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</row>
    <row r="2580" spans="1:11" x14ac:dyDescent="0.25">
      <c r="A2580" s="1">
        <v>0.79027777777777797</v>
      </c>
      <c r="B2580" s="2">
        <v>6.14</v>
      </c>
      <c r="C2580" s="2">
        <v>3.83</v>
      </c>
      <c r="D2580" s="2">
        <v>5.34</v>
      </c>
      <c r="E2580" s="2">
        <v>5.47</v>
      </c>
      <c r="F2580" s="2">
        <v>2.87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</row>
    <row r="2581" spans="1:11" x14ac:dyDescent="0.25">
      <c r="A2581" s="1">
        <v>0.79097222222222197</v>
      </c>
      <c r="B2581" s="2">
        <v>6.12</v>
      </c>
      <c r="C2581" s="2">
        <v>3.75</v>
      </c>
      <c r="D2581" s="2">
        <v>5.37</v>
      </c>
      <c r="E2581" s="2">
        <v>5.61</v>
      </c>
      <c r="F2581" s="2">
        <v>3.13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</row>
    <row r="2582" spans="1:11" x14ac:dyDescent="0.25">
      <c r="A2582" s="3">
        <v>0.79166666666666696</v>
      </c>
      <c r="B2582" s="2">
        <v>6.21</v>
      </c>
      <c r="C2582" s="2">
        <v>3.75</v>
      </c>
      <c r="D2582" s="2">
        <v>5.1100000000000003</v>
      </c>
      <c r="E2582" s="2">
        <v>5.34</v>
      </c>
      <c r="F2582" s="2">
        <v>3.19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</row>
    <row r="2583" spans="1:11" x14ac:dyDescent="0.25">
      <c r="A2583" s="1">
        <v>0.79236111111111096</v>
      </c>
      <c r="B2583" s="2">
        <v>6.3599999999999994</v>
      </c>
      <c r="C2583" s="2">
        <v>3.6799999999999997</v>
      </c>
      <c r="D2583" s="2">
        <v>5.22</v>
      </c>
      <c r="E2583" s="2">
        <v>5.12</v>
      </c>
      <c r="F2583" s="2">
        <v>2.95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</row>
    <row r="2584" spans="1:11" x14ac:dyDescent="0.25">
      <c r="A2584" s="1">
        <v>0.79305555555555596</v>
      </c>
      <c r="B2584" s="2">
        <v>6.17</v>
      </c>
      <c r="C2584" s="2">
        <v>3.76</v>
      </c>
      <c r="D2584" s="2">
        <v>5.1000000000000005</v>
      </c>
      <c r="E2584" s="2">
        <v>5.59</v>
      </c>
      <c r="F2584" s="2">
        <v>3.14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</row>
    <row r="2585" spans="1:11" x14ac:dyDescent="0.25">
      <c r="A2585" s="1">
        <v>0.79374999999999996</v>
      </c>
      <c r="B2585" s="2">
        <v>6.33</v>
      </c>
      <c r="C2585" s="2">
        <v>3.5999999999999996</v>
      </c>
      <c r="D2585" s="2">
        <v>5.29</v>
      </c>
      <c r="E2585" s="2">
        <v>5.14</v>
      </c>
      <c r="F2585" s="2">
        <v>2.93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</row>
    <row r="2586" spans="1:11" x14ac:dyDescent="0.25">
      <c r="A2586" s="1">
        <v>0.79444444444444495</v>
      </c>
      <c r="B2586" s="2">
        <v>6.1499999999999995</v>
      </c>
      <c r="C2586" s="2">
        <v>3.82</v>
      </c>
      <c r="D2586" s="2">
        <v>4.9800000000000004</v>
      </c>
      <c r="E2586" s="2">
        <v>5.69</v>
      </c>
      <c r="F2586" s="2">
        <v>3.2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</row>
    <row r="2587" spans="1:11" x14ac:dyDescent="0.25">
      <c r="A2587" s="1">
        <v>0.79513888888888895</v>
      </c>
      <c r="B2587" s="2">
        <v>6.31</v>
      </c>
      <c r="C2587" s="2">
        <v>3.6999999999999997</v>
      </c>
      <c r="D2587" s="2">
        <v>4.92</v>
      </c>
      <c r="E2587" s="2">
        <v>5.1100000000000003</v>
      </c>
      <c r="F2587" s="2">
        <v>3.2800000000000002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</row>
    <row r="2588" spans="1:11" x14ac:dyDescent="0.25">
      <c r="A2588" s="1">
        <v>0.79583333333333295</v>
      </c>
      <c r="B2588" s="2">
        <v>6.18</v>
      </c>
      <c r="C2588" s="2">
        <v>3.7399999999999998</v>
      </c>
      <c r="D2588" s="2">
        <v>4.97</v>
      </c>
      <c r="E2588" s="2">
        <v>5.38</v>
      </c>
      <c r="F2588" s="2">
        <v>3.02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</row>
    <row r="2589" spans="1:11" x14ac:dyDescent="0.25">
      <c r="A2589" s="1">
        <v>0.79652777777777795</v>
      </c>
      <c r="B2589" s="2">
        <v>6.2299999999999995</v>
      </c>
      <c r="C2589" s="2">
        <v>3.84</v>
      </c>
      <c r="D2589" s="2">
        <v>5.3100000000000005</v>
      </c>
      <c r="E2589" s="2">
        <v>5.2</v>
      </c>
      <c r="F2589" s="2">
        <v>2.95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</row>
    <row r="2590" spans="1:11" x14ac:dyDescent="0.25">
      <c r="A2590" s="1">
        <v>0.79722222222222205</v>
      </c>
      <c r="B2590" s="2">
        <v>6.1499999999999995</v>
      </c>
      <c r="C2590" s="2">
        <v>3.76</v>
      </c>
      <c r="D2590" s="2">
        <v>5.09</v>
      </c>
      <c r="E2590" s="2">
        <v>5.21</v>
      </c>
      <c r="F2590" s="2">
        <v>3.24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</row>
    <row r="2591" spans="1:11" x14ac:dyDescent="0.25">
      <c r="A2591" s="1">
        <v>0.79791666666666705</v>
      </c>
      <c r="B2591" s="2">
        <v>6.22</v>
      </c>
      <c r="C2591" s="2">
        <v>3.69</v>
      </c>
      <c r="D2591" s="2">
        <v>5.25</v>
      </c>
      <c r="E2591" s="2">
        <v>5.54</v>
      </c>
      <c r="F2591" s="2">
        <v>3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</row>
    <row r="2592" spans="1:11" x14ac:dyDescent="0.25">
      <c r="A2592" s="1">
        <v>0.79861111111111105</v>
      </c>
      <c r="B2592" s="2">
        <v>6.27</v>
      </c>
      <c r="C2592" s="2">
        <v>3.75</v>
      </c>
      <c r="D2592" s="2">
        <v>5.18</v>
      </c>
      <c r="E2592" s="2">
        <v>5.15</v>
      </c>
      <c r="F2592" s="2">
        <v>2.89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</row>
    <row r="2593" spans="1:11" x14ac:dyDescent="0.25">
      <c r="A2593" s="1">
        <v>0.79930555555555605</v>
      </c>
      <c r="B2593" s="2">
        <v>6.25</v>
      </c>
      <c r="C2593" s="2">
        <v>3.67</v>
      </c>
      <c r="D2593" s="2">
        <v>5.29</v>
      </c>
      <c r="E2593" s="2">
        <v>5.67</v>
      </c>
      <c r="F2593" s="2">
        <v>3.1500000000000004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</row>
    <row r="2594" spans="1:11" x14ac:dyDescent="0.25">
      <c r="A2594" s="1">
        <v>0.8</v>
      </c>
      <c r="B2594" s="2">
        <v>6.16</v>
      </c>
      <c r="C2594" s="2">
        <v>3.61</v>
      </c>
      <c r="D2594" s="2">
        <v>5</v>
      </c>
      <c r="E2594" s="2">
        <v>5.35</v>
      </c>
      <c r="F2594" s="2">
        <v>3.3200000000000003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</row>
    <row r="2595" spans="1:11" x14ac:dyDescent="0.25">
      <c r="A2595" s="1">
        <v>0.80069444444444404</v>
      </c>
      <c r="B2595" s="2">
        <v>6.09</v>
      </c>
      <c r="C2595" s="2">
        <v>3.84</v>
      </c>
      <c r="D2595" s="2">
        <v>5.04</v>
      </c>
      <c r="E2595" s="2">
        <v>5.61</v>
      </c>
      <c r="F2595" s="2">
        <v>2.97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</row>
    <row r="2596" spans="1:11" x14ac:dyDescent="0.25">
      <c r="A2596" s="1">
        <v>0.80138888888888904</v>
      </c>
      <c r="B2596" s="2">
        <v>6.22</v>
      </c>
      <c r="C2596" s="2">
        <v>3.7399999999999998</v>
      </c>
      <c r="D2596" s="2">
        <v>5.32</v>
      </c>
      <c r="E2596" s="2">
        <v>5.09</v>
      </c>
      <c r="F2596" s="2">
        <v>3.0300000000000002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</row>
    <row r="2597" spans="1:11" x14ac:dyDescent="0.25">
      <c r="A2597" s="1">
        <v>0.80208333333333304</v>
      </c>
      <c r="B2597" s="2">
        <v>6.13</v>
      </c>
      <c r="C2597" s="2">
        <v>3.6799999999999997</v>
      </c>
      <c r="D2597" s="2">
        <v>4.91</v>
      </c>
      <c r="E2597" s="2">
        <v>5.66</v>
      </c>
      <c r="F2597" s="2">
        <v>3.27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</row>
    <row r="2598" spans="1:11" x14ac:dyDescent="0.25">
      <c r="A2598" s="1">
        <v>0.80277777777777803</v>
      </c>
      <c r="B2598" s="2">
        <v>6.25</v>
      </c>
      <c r="C2598" s="2">
        <v>3.77</v>
      </c>
      <c r="D2598" s="2">
        <v>5.09</v>
      </c>
      <c r="E2598" s="2">
        <v>5.46</v>
      </c>
      <c r="F2598" s="2">
        <v>3.0700000000000003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</row>
    <row r="2599" spans="1:11" x14ac:dyDescent="0.25">
      <c r="A2599" s="1">
        <v>0.80347222222222203</v>
      </c>
      <c r="B2599" s="2">
        <v>6.3599999999999994</v>
      </c>
      <c r="C2599" s="2">
        <v>3.8</v>
      </c>
      <c r="D2599" s="2">
        <v>4.99</v>
      </c>
      <c r="E2599" s="2">
        <v>5.17</v>
      </c>
      <c r="F2599" s="2">
        <v>3.0100000000000002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</row>
    <row r="2600" spans="1:11" x14ac:dyDescent="0.25">
      <c r="A2600" s="1">
        <v>0.80416666666666703</v>
      </c>
      <c r="B2600" s="2">
        <v>6.12</v>
      </c>
      <c r="C2600" s="2">
        <v>3.79</v>
      </c>
      <c r="D2600" s="2">
        <v>5.01</v>
      </c>
      <c r="E2600" s="2">
        <v>5.44</v>
      </c>
      <c r="F2600" s="2">
        <v>3.0500000000000003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</row>
    <row r="2601" spans="1:11" x14ac:dyDescent="0.25">
      <c r="A2601" s="1">
        <v>0.80486111111111103</v>
      </c>
      <c r="B2601" s="2">
        <v>6.14</v>
      </c>
      <c r="C2601" s="2">
        <v>3.76</v>
      </c>
      <c r="D2601" s="2">
        <v>5.37</v>
      </c>
      <c r="E2601" s="2">
        <v>5.51</v>
      </c>
      <c r="F2601" s="2">
        <v>2.93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</row>
    <row r="2602" spans="1:11" x14ac:dyDescent="0.25">
      <c r="A2602" s="1">
        <v>0.80555555555555602</v>
      </c>
      <c r="B2602" s="2">
        <v>6.09</v>
      </c>
      <c r="C2602" s="2">
        <v>3.7399999999999998</v>
      </c>
      <c r="D2602" s="2">
        <v>5.24</v>
      </c>
      <c r="E2602" s="2">
        <v>5.48</v>
      </c>
      <c r="F2602" s="2">
        <v>2.99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</row>
    <row r="2603" spans="1:11" x14ac:dyDescent="0.25">
      <c r="A2603" s="1">
        <v>0.80625000000000002</v>
      </c>
      <c r="B2603" s="2">
        <v>6.14</v>
      </c>
      <c r="C2603" s="2">
        <v>3.61</v>
      </c>
      <c r="D2603" s="2">
        <v>5.19</v>
      </c>
      <c r="E2603" s="2">
        <v>5.2</v>
      </c>
      <c r="F2603" s="2">
        <v>2.98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</row>
    <row r="2604" spans="1:11" x14ac:dyDescent="0.25">
      <c r="A2604" s="1">
        <v>0.80694444444444402</v>
      </c>
      <c r="B2604" s="2">
        <v>6.3599999999999994</v>
      </c>
      <c r="C2604" s="2">
        <v>3.77</v>
      </c>
      <c r="D2604" s="2">
        <v>5.09</v>
      </c>
      <c r="E2604" s="2">
        <v>5.31</v>
      </c>
      <c r="F2604" s="2">
        <v>3.0100000000000002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</row>
    <row r="2605" spans="1:11" x14ac:dyDescent="0.25">
      <c r="A2605" s="1">
        <v>0.80763888888888902</v>
      </c>
      <c r="B2605" s="2">
        <v>6.14</v>
      </c>
      <c r="C2605" s="2">
        <v>3.63</v>
      </c>
      <c r="D2605" s="2">
        <v>5.21</v>
      </c>
      <c r="E2605" s="2">
        <v>5.5</v>
      </c>
      <c r="F2605" s="2">
        <v>3.0100000000000002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</row>
    <row r="2606" spans="1:11" x14ac:dyDescent="0.25">
      <c r="A2606" s="1">
        <v>0.80833333333333302</v>
      </c>
      <c r="B2606" s="2">
        <v>6.27</v>
      </c>
      <c r="C2606" s="2">
        <v>3.87</v>
      </c>
      <c r="D2606" s="2">
        <v>5.12</v>
      </c>
      <c r="E2606" s="2">
        <v>5.47</v>
      </c>
      <c r="F2606" s="2">
        <v>3.0100000000000002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</row>
    <row r="2607" spans="1:11" x14ac:dyDescent="0.25">
      <c r="A2607" s="1">
        <v>0.80902777777777801</v>
      </c>
      <c r="B2607" s="2">
        <v>6.3</v>
      </c>
      <c r="C2607" s="2">
        <v>3.76</v>
      </c>
      <c r="D2607" s="2">
        <v>4.93</v>
      </c>
      <c r="E2607" s="2">
        <v>5.51</v>
      </c>
      <c r="F2607" s="2">
        <v>2.87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</row>
    <row r="2608" spans="1:11" x14ac:dyDescent="0.25">
      <c r="A2608" s="1">
        <v>0.80972222222222201</v>
      </c>
      <c r="B2608" s="2">
        <v>6.3599999999999994</v>
      </c>
      <c r="C2608" s="2">
        <v>3.88</v>
      </c>
      <c r="D2608" s="2">
        <v>4.87</v>
      </c>
      <c r="E2608" s="2">
        <v>5.12</v>
      </c>
      <c r="F2608" s="2">
        <v>3.14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</row>
    <row r="2609" spans="1:11" x14ac:dyDescent="0.25">
      <c r="A2609" s="1">
        <v>0.81041666666666701</v>
      </c>
      <c r="B2609" s="2">
        <v>6.14</v>
      </c>
      <c r="C2609" s="2">
        <v>3.7199999999999998</v>
      </c>
      <c r="D2609" s="2">
        <v>4.9800000000000004</v>
      </c>
      <c r="E2609" s="2">
        <v>5.48</v>
      </c>
      <c r="F2609" s="2">
        <v>2.88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</row>
    <row r="2610" spans="1:11" x14ac:dyDescent="0.25">
      <c r="A2610" s="1">
        <v>0.81111111111111101</v>
      </c>
      <c r="B2610" s="2">
        <v>6.31</v>
      </c>
      <c r="C2610" s="2">
        <v>3.86</v>
      </c>
      <c r="D2610" s="2">
        <v>5.0600000000000005</v>
      </c>
      <c r="E2610" s="2">
        <v>5.41</v>
      </c>
      <c r="F2610" s="2">
        <v>3.2800000000000002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</row>
    <row r="2611" spans="1:11" x14ac:dyDescent="0.25">
      <c r="A2611" s="1">
        <v>0.811805555555556</v>
      </c>
      <c r="B2611" s="2">
        <v>6.1</v>
      </c>
      <c r="C2611" s="2">
        <v>3.63</v>
      </c>
      <c r="D2611" s="2">
        <v>4.99</v>
      </c>
      <c r="E2611" s="2">
        <v>5.53</v>
      </c>
      <c r="F2611" s="2">
        <v>3.02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</row>
    <row r="2612" spans="1:11" x14ac:dyDescent="0.25">
      <c r="A2612" s="1">
        <v>0.8125</v>
      </c>
      <c r="B2612" s="2">
        <v>6.1099999999999994</v>
      </c>
      <c r="C2612" s="2">
        <v>3.59</v>
      </c>
      <c r="D2612" s="2">
        <v>5.17</v>
      </c>
      <c r="E2612" s="2">
        <v>5.0199999999999996</v>
      </c>
      <c r="F2612" s="2">
        <v>3.0700000000000003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</row>
    <row r="2613" spans="1:11" x14ac:dyDescent="0.25">
      <c r="A2613" s="1">
        <v>0.813194444444444</v>
      </c>
      <c r="B2613" s="2">
        <v>6.13</v>
      </c>
      <c r="C2613" s="2">
        <v>3.73</v>
      </c>
      <c r="D2613" s="2">
        <v>5.3100000000000005</v>
      </c>
      <c r="E2613" s="2">
        <v>5.36</v>
      </c>
      <c r="F2613" s="2">
        <v>3.14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</row>
    <row r="2614" spans="1:11" x14ac:dyDescent="0.25">
      <c r="A2614" s="1">
        <v>0.81388888888888899</v>
      </c>
      <c r="B2614" s="2">
        <v>6.1499999999999995</v>
      </c>
      <c r="C2614" s="2">
        <v>3.8499999999999996</v>
      </c>
      <c r="D2614" s="2">
        <v>5.07</v>
      </c>
      <c r="E2614" s="2">
        <v>5.08</v>
      </c>
      <c r="F2614" s="2">
        <v>3.02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</row>
    <row r="2615" spans="1:11" x14ac:dyDescent="0.25">
      <c r="A2615" s="1">
        <v>0.81458333333333299</v>
      </c>
      <c r="B2615" s="2">
        <v>6.12</v>
      </c>
      <c r="C2615" s="2">
        <v>3.78</v>
      </c>
      <c r="D2615" s="2">
        <v>5.1400000000000006</v>
      </c>
      <c r="E2615" s="2">
        <v>5.25</v>
      </c>
      <c r="F2615" s="2">
        <v>2.93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</row>
    <row r="2616" spans="1:11" x14ac:dyDescent="0.25">
      <c r="A2616" s="1">
        <v>0.81527777777777799</v>
      </c>
      <c r="B2616" s="2">
        <v>6.13</v>
      </c>
      <c r="C2616" s="2">
        <v>3.8499999999999996</v>
      </c>
      <c r="D2616" s="2">
        <v>5.32</v>
      </c>
      <c r="E2616" s="2">
        <v>5.64</v>
      </c>
      <c r="F2616" s="2">
        <v>2.87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</row>
    <row r="2617" spans="1:11" x14ac:dyDescent="0.25">
      <c r="A2617" s="1">
        <v>0.81597222222222199</v>
      </c>
      <c r="B2617" s="2">
        <v>6.1899999999999995</v>
      </c>
      <c r="C2617" s="2">
        <v>3.6399999999999997</v>
      </c>
      <c r="D2617" s="2">
        <v>5.22</v>
      </c>
      <c r="E2617" s="2">
        <v>5.07</v>
      </c>
      <c r="F2617" s="2">
        <v>3.0900000000000003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</row>
    <row r="2618" spans="1:11" x14ac:dyDescent="0.25">
      <c r="A2618" s="1">
        <v>0.81666666666666698</v>
      </c>
      <c r="B2618" s="2">
        <v>6.24</v>
      </c>
      <c r="C2618" s="2">
        <v>3.63</v>
      </c>
      <c r="D2618" s="2">
        <v>4.9400000000000004</v>
      </c>
      <c r="E2618" s="2">
        <v>5.59</v>
      </c>
      <c r="F2618" s="2">
        <v>3.13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</row>
    <row r="2619" spans="1:11" x14ac:dyDescent="0.25">
      <c r="A2619" s="1">
        <v>0.81736111111111098</v>
      </c>
      <c r="B2619" s="2">
        <v>6.2</v>
      </c>
      <c r="C2619" s="2">
        <v>3.88</v>
      </c>
      <c r="D2619" s="2">
        <v>5.26</v>
      </c>
      <c r="E2619" s="2">
        <v>5.6</v>
      </c>
      <c r="F2619" s="2">
        <v>3.37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</row>
    <row r="2620" spans="1:11" x14ac:dyDescent="0.25">
      <c r="A2620" s="1">
        <v>0.81805555555555598</v>
      </c>
      <c r="B2620" s="2">
        <v>6.35</v>
      </c>
      <c r="C2620" s="2">
        <v>3.75</v>
      </c>
      <c r="D2620" s="2">
        <v>5.36</v>
      </c>
      <c r="E2620" s="2">
        <v>5.43</v>
      </c>
      <c r="F2620" s="2">
        <v>3.1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</row>
    <row r="2621" spans="1:11" x14ac:dyDescent="0.25">
      <c r="A2621" s="1">
        <v>0.81874999999999998</v>
      </c>
      <c r="B2621" s="2">
        <v>6.18</v>
      </c>
      <c r="C2621" s="2">
        <v>3.6599999999999997</v>
      </c>
      <c r="D2621" s="2">
        <v>5.07</v>
      </c>
      <c r="E2621" s="2">
        <v>5.44</v>
      </c>
      <c r="F2621" s="2">
        <v>3.2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</row>
    <row r="2622" spans="1:11" x14ac:dyDescent="0.25">
      <c r="A2622" s="1">
        <v>0.81944444444444497</v>
      </c>
      <c r="B2622" s="2">
        <v>6.35</v>
      </c>
      <c r="C2622" s="2">
        <v>3.88</v>
      </c>
      <c r="D2622" s="2">
        <v>5.0600000000000005</v>
      </c>
      <c r="E2622" s="2">
        <v>5.43</v>
      </c>
      <c r="F2622" s="2">
        <v>3.19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</row>
    <row r="2623" spans="1:11" x14ac:dyDescent="0.25">
      <c r="A2623" s="1">
        <v>0.82013888888888897</v>
      </c>
      <c r="B2623" s="2">
        <v>6.25</v>
      </c>
      <c r="C2623" s="2">
        <v>3.76</v>
      </c>
      <c r="D2623" s="2">
        <v>5</v>
      </c>
      <c r="E2623" s="2">
        <v>5.55</v>
      </c>
      <c r="F2623" s="2">
        <v>3.25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</row>
    <row r="2624" spans="1:11" x14ac:dyDescent="0.25">
      <c r="A2624" s="1">
        <v>0.82083333333333297</v>
      </c>
      <c r="B2624" s="2">
        <v>6.2299999999999995</v>
      </c>
      <c r="C2624" s="2">
        <v>3.81</v>
      </c>
      <c r="D2624" s="2">
        <v>4.91</v>
      </c>
      <c r="E2624" s="2">
        <v>5.26</v>
      </c>
      <c r="F2624" s="2">
        <v>2.91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</row>
    <row r="2625" spans="1:11" x14ac:dyDescent="0.25">
      <c r="A2625" s="1">
        <v>0.82152777777777797</v>
      </c>
      <c r="B2625" s="2">
        <v>6.26</v>
      </c>
      <c r="C2625" s="2">
        <v>3.5999999999999996</v>
      </c>
      <c r="D2625" s="2">
        <v>5.0600000000000005</v>
      </c>
      <c r="E2625" s="2">
        <v>5.66</v>
      </c>
      <c r="F2625" s="2">
        <v>2.87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</row>
    <row r="2626" spans="1:11" x14ac:dyDescent="0.25">
      <c r="A2626" s="1">
        <v>0.82222222222222197</v>
      </c>
      <c r="B2626" s="2">
        <v>6.1499999999999995</v>
      </c>
      <c r="C2626" s="2">
        <v>3.77</v>
      </c>
      <c r="D2626" s="2">
        <v>5.23</v>
      </c>
      <c r="E2626" s="2">
        <v>5.12</v>
      </c>
      <c r="F2626" s="2">
        <v>3.29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</row>
    <row r="2627" spans="1:11" x14ac:dyDescent="0.25">
      <c r="A2627" s="1">
        <v>0.82291666666666696</v>
      </c>
      <c r="B2627" s="2">
        <v>6.27</v>
      </c>
      <c r="C2627" s="2">
        <v>3.8</v>
      </c>
      <c r="D2627" s="2">
        <v>5.25</v>
      </c>
      <c r="E2627" s="2">
        <v>5.66</v>
      </c>
      <c r="F2627" s="2">
        <v>3.1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</row>
    <row r="2628" spans="1:11" x14ac:dyDescent="0.25">
      <c r="A2628" s="1">
        <v>0.82361111111111096</v>
      </c>
      <c r="B2628" s="2">
        <v>6.32</v>
      </c>
      <c r="C2628" s="2">
        <v>3.67</v>
      </c>
      <c r="D2628" s="2">
        <v>5.09</v>
      </c>
      <c r="E2628" s="2">
        <v>5.45</v>
      </c>
      <c r="F2628" s="2">
        <v>3.0300000000000002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</row>
    <row r="2629" spans="1:11" x14ac:dyDescent="0.25">
      <c r="A2629" s="1">
        <v>0.82430555555555596</v>
      </c>
      <c r="B2629" s="2">
        <v>6.16</v>
      </c>
      <c r="C2629" s="2">
        <v>3.83</v>
      </c>
      <c r="D2629" s="2">
        <v>4.9000000000000004</v>
      </c>
      <c r="E2629" s="2">
        <v>5.18</v>
      </c>
      <c r="F2629" s="2">
        <v>3.13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</row>
    <row r="2630" spans="1:11" x14ac:dyDescent="0.25">
      <c r="A2630" s="1">
        <v>0.82499999999999996</v>
      </c>
      <c r="B2630" s="2">
        <v>6.33</v>
      </c>
      <c r="C2630" s="2">
        <v>3.8</v>
      </c>
      <c r="D2630" s="2">
        <v>5.2</v>
      </c>
      <c r="E2630" s="2">
        <v>5.0599999999999996</v>
      </c>
      <c r="F2630" s="2">
        <v>2.89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</row>
    <row r="2631" spans="1:11" x14ac:dyDescent="0.25">
      <c r="A2631" s="1">
        <v>0.82569444444444495</v>
      </c>
      <c r="B2631" s="2">
        <v>6.22</v>
      </c>
      <c r="C2631" s="2">
        <v>3.77</v>
      </c>
      <c r="D2631" s="2">
        <v>4.9800000000000004</v>
      </c>
      <c r="E2631" s="2">
        <v>5.49</v>
      </c>
      <c r="F2631" s="2">
        <v>3.2800000000000002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</row>
    <row r="2632" spans="1:11" x14ac:dyDescent="0.25">
      <c r="A2632" s="1">
        <v>0.82638888888888895</v>
      </c>
      <c r="B2632" s="2">
        <v>6.2299999999999995</v>
      </c>
      <c r="C2632" s="2">
        <v>3.71</v>
      </c>
      <c r="D2632" s="2">
        <v>5.0600000000000005</v>
      </c>
      <c r="E2632" s="2">
        <v>5.03</v>
      </c>
      <c r="F2632" s="2">
        <v>3.0500000000000003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</row>
    <row r="2633" spans="1:11" x14ac:dyDescent="0.25">
      <c r="A2633" s="1">
        <v>0.82708333333333295</v>
      </c>
      <c r="B2633" s="2">
        <v>6.14</v>
      </c>
      <c r="C2633" s="2">
        <v>3.61</v>
      </c>
      <c r="D2633" s="2">
        <v>5.1100000000000003</v>
      </c>
      <c r="E2633" s="2">
        <v>5.15</v>
      </c>
      <c r="F2633" s="2">
        <v>3.1100000000000003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</row>
    <row r="2634" spans="1:11" x14ac:dyDescent="0.25">
      <c r="A2634" s="1">
        <v>0.82777777777777795</v>
      </c>
      <c r="B2634" s="2">
        <v>6.24</v>
      </c>
      <c r="C2634" s="2">
        <v>3.86</v>
      </c>
      <c r="D2634" s="2">
        <v>5.33</v>
      </c>
      <c r="E2634" s="2">
        <v>5.62</v>
      </c>
      <c r="F2634" s="2">
        <v>2.9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</row>
    <row r="2635" spans="1:11" x14ac:dyDescent="0.25">
      <c r="A2635" s="1">
        <v>0.82847222222222205</v>
      </c>
      <c r="B2635" s="2">
        <v>6.16</v>
      </c>
      <c r="C2635" s="2">
        <v>3.67</v>
      </c>
      <c r="D2635" s="2">
        <v>4.9400000000000004</v>
      </c>
      <c r="E2635" s="2">
        <v>5.43</v>
      </c>
      <c r="F2635" s="2">
        <v>2.92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</row>
    <row r="2636" spans="1:11" x14ac:dyDescent="0.25">
      <c r="A2636" s="1">
        <v>0.82916666666666705</v>
      </c>
      <c r="B2636" s="2">
        <v>6.34</v>
      </c>
      <c r="C2636" s="2">
        <v>3.86</v>
      </c>
      <c r="D2636" s="2">
        <v>5.26</v>
      </c>
      <c r="E2636" s="2">
        <v>5.53</v>
      </c>
      <c r="F2636" s="2">
        <v>3.1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</row>
    <row r="2637" spans="1:11" x14ac:dyDescent="0.25">
      <c r="A2637" s="1">
        <v>0.82986111111111105</v>
      </c>
      <c r="B2637" s="2">
        <v>6.1</v>
      </c>
      <c r="C2637" s="2">
        <v>3.71</v>
      </c>
      <c r="D2637" s="2">
        <v>4.93</v>
      </c>
      <c r="E2637" s="2">
        <v>5.69</v>
      </c>
      <c r="F2637" s="2">
        <v>3.0100000000000002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</row>
    <row r="2638" spans="1:11" x14ac:dyDescent="0.25">
      <c r="A2638" s="1">
        <v>0.83055555555555605</v>
      </c>
      <c r="B2638" s="2">
        <v>6.33</v>
      </c>
      <c r="C2638" s="2">
        <v>3.83</v>
      </c>
      <c r="D2638" s="2">
        <v>5.3100000000000005</v>
      </c>
      <c r="E2638" s="2">
        <v>5.24</v>
      </c>
      <c r="F2638" s="2">
        <v>3.21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</row>
    <row r="2639" spans="1:11" x14ac:dyDescent="0.25">
      <c r="A2639" s="1">
        <v>0.83125000000000004</v>
      </c>
      <c r="B2639" s="2">
        <v>6.2299999999999995</v>
      </c>
      <c r="C2639" s="2">
        <v>3.59</v>
      </c>
      <c r="D2639" s="2">
        <v>5.35</v>
      </c>
      <c r="E2639" s="2">
        <v>5.18</v>
      </c>
      <c r="F2639" s="2">
        <v>3.2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</row>
    <row r="2640" spans="1:11" x14ac:dyDescent="0.25">
      <c r="A2640" s="1">
        <v>0.83194444444444404</v>
      </c>
      <c r="B2640" s="2">
        <v>6.2299999999999995</v>
      </c>
      <c r="C2640" s="2">
        <v>3.79</v>
      </c>
      <c r="D2640" s="2">
        <v>5.18</v>
      </c>
      <c r="E2640" s="2">
        <v>5.61</v>
      </c>
      <c r="F2640" s="2">
        <v>2.99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</row>
    <row r="2641" spans="1:11" x14ac:dyDescent="0.25">
      <c r="A2641" s="1">
        <v>0.83263888888888904</v>
      </c>
      <c r="B2641" s="2">
        <v>6.16</v>
      </c>
      <c r="C2641" s="2">
        <v>3.6999999999999997</v>
      </c>
      <c r="D2641" s="2">
        <v>5.36</v>
      </c>
      <c r="E2641" s="2">
        <v>5.49</v>
      </c>
      <c r="F2641" s="2">
        <v>2.89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</row>
    <row r="2642" spans="1:11" x14ac:dyDescent="0.25">
      <c r="A2642" s="3">
        <v>0.83333333333333304</v>
      </c>
      <c r="B2642" s="2">
        <v>6.22</v>
      </c>
      <c r="C2642" s="2">
        <v>3.75</v>
      </c>
      <c r="D2642" s="2">
        <v>5.1100000000000003</v>
      </c>
      <c r="E2642" s="2">
        <v>5.35</v>
      </c>
      <c r="F2642" s="2">
        <v>3.19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</row>
    <row r="2643" spans="1:11" x14ac:dyDescent="0.25">
      <c r="A2643" s="1">
        <v>0.83402777777777803</v>
      </c>
      <c r="B2643" s="2">
        <v>6.35</v>
      </c>
      <c r="C2643" s="2">
        <v>3.7199999999999998</v>
      </c>
      <c r="D2643" s="2">
        <v>5.32</v>
      </c>
      <c r="E2643" s="2">
        <v>5.0599999999999996</v>
      </c>
      <c r="F2643" s="2">
        <v>3.13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</row>
    <row r="2644" spans="1:11" x14ac:dyDescent="0.25">
      <c r="A2644" s="1">
        <v>0.83472222222222203</v>
      </c>
      <c r="B2644" s="2">
        <v>6.16</v>
      </c>
      <c r="C2644" s="2">
        <v>3.87</v>
      </c>
      <c r="D2644" s="2">
        <v>5.22</v>
      </c>
      <c r="E2644" s="2">
        <v>5.39</v>
      </c>
      <c r="F2644" s="2">
        <v>3.02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</row>
    <row r="2645" spans="1:11" x14ac:dyDescent="0.25">
      <c r="A2645" s="1">
        <v>0.83541666666666703</v>
      </c>
      <c r="B2645" s="2">
        <v>6.18</v>
      </c>
      <c r="C2645" s="2">
        <v>3.73</v>
      </c>
      <c r="D2645" s="2">
        <v>5.0200000000000005</v>
      </c>
      <c r="E2645" s="2">
        <v>5.4</v>
      </c>
      <c r="F2645" s="2">
        <v>3.35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</row>
    <row r="2646" spans="1:11" x14ac:dyDescent="0.25">
      <c r="A2646" s="1">
        <v>0.83611111111111103</v>
      </c>
      <c r="B2646" s="2">
        <v>6.32</v>
      </c>
      <c r="C2646" s="2">
        <v>3.75</v>
      </c>
      <c r="D2646" s="2">
        <v>4.9400000000000004</v>
      </c>
      <c r="E2646" s="2">
        <v>5.69</v>
      </c>
      <c r="F2646" s="2">
        <v>2.97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</row>
    <row r="2647" spans="1:11" x14ac:dyDescent="0.25">
      <c r="A2647" s="1">
        <v>0.83680555555555602</v>
      </c>
      <c r="B2647" s="2">
        <v>6.1899999999999995</v>
      </c>
      <c r="C2647" s="2">
        <v>3.73</v>
      </c>
      <c r="D2647" s="2">
        <v>5.1400000000000006</v>
      </c>
      <c r="E2647" s="2">
        <v>5.25</v>
      </c>
      <c r="F2647" s="2">
        <v>3.0700000000000003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</row>
    <row r="2648" spans="1:11" x14ac:dyDescent="0.25">
      <c r="A2648" s="1">
        <v>0.83750000000000002</v>
      </c>
      <c r="B2648" s="2">
        <v>6.14</v>
      </c>
      <c r="C2648" s="2">
        <v>3.67</v>
      </c>
      <c r="D2648" s="2">
        <v>5.33</v>
      </c>
      <c r="E2648" s="2">
        <v>5.43</v>
      </c>
      <c r="F2648" s="2">
        <v>3.0900000000000003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</row>
    <row r="2649" spans="1:11" x14ac:dyDescent="0.25">
      <c r="A2649" s="1">
        <v>0.83819444444444402</v>
      </c>
      <c r="B2649" s="2">
        <v>6.14</v>
      </c>
      <c r="C2649" s="2">
        <v>3.6799999999999997</v>
      </c>
      <c r="D2649" s="2">
        <v>5.16</v>
      </c>
      <c r="E2649" s="2">
        <v>5.08</v>
      </c>
      <c r="F2649" s="2">
        <v>3.13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</row>
    <row r="2650" spans="1:11" x14ac:dyDescent="0.25">
      <c r="A2650" s="1">
        <v>0.83888888888888902</v>
      </c>
      <c r="B2650" s="2">
        <v>6.26</v>
      </c>
      <c r="C2650" s="2">
        <v>3.78</v>
      </c>
      <c r="D2650" s="2">
        <v>5.29</v>
      </c>
      <c r="E2650" s="2">
        <v>5.35</v>
      </c>
      <c r="F2650" s="2">
        <v>3.33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</row>
    <row r="2651" spans="1:11" x14ac:dyDescent="0.25">
      <c r="A2651" s="1">
        <v>0.83958333333333302</v>
      </c>
      <c r="B2651" s="2">
        <v>6.2</v>
      </c>
      <c r="C2651" s="2">
        <v>3.6599999999999997</v>
      </c>
      <c r="D2651" s="2">
        <v>4.9800000000000004</v>
      </c>
      <c r="E2651" s="2">
        <v>5.44</v>
      </c>
      <c r="F2651" s="2">
        <v>3.0300000000000002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</row>
    <row r="2652" spans="1:11" x14ac:dyDescent="0.25">
      <c r="A2652" s="1">
        <v>0.84027777777777801</v>
      </c>
      <c r="B2652" s="2">
        <v>6.17</v>
      </c>
      <c r="C2652" s="2">
        <v>3.84</v>
      </c>
      <c r="D2652" s="2">
        <v>5.3100000000000005</v>
      </c>
      <c r="E2652" s="2">
        <v>5.45</v>
      </c>
      <c r="F2652" s="2">
        <v>3.37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</row>
    <row r="2653" spans="1:11" x14ac:dyDescent="0.25">
      <c r="A2653" s="1">
        <v>0.84097222222222201</v>
      </c>
      <c r="B2653" s="2">
        <v>6.21</v>
      </c>
      <c r="C2653" s="2">
        <v>3.6999999999999997</v>
      </c>
      <c r="D2653" s="2">
        <v>5.3</v>
      </c>
      <c r="E2653" s="2">
        <v>5.54</v>
      </c>
      <c r="F2653" s="2">
        <v>2.9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</row>
    <row r="2654" spans="1:11" x14ac:dyDescent="0.25">
      <c r="A2654" s="1">
        <v>0.84166666666666701</v>
      </c>
      <c r="B2654" s="2">
        <v>6.21</v>
      </c>
      <c r="C2654" s="2">
        <v>3.71</v>
      </c>
      <c r="D2654" s="2">
        <v>5.3100000000000005</v>
      </c>
      <c r="E2654" s="2">
        <v>5.41</v>
      </c>
      <c r="F2654" s="2">
        <v>3.31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</row>
    <row r="2655" spans="1:11" x14ac:dyDescent="0.25">
      <c r="A2655" s="1">
        <v>0.84236111111111101</v>
      </c>
      <c r="B2655" s="2">
        <v>6.17</v>
      </c>
      <c r="C2655" s="2">
        <v>3.6799999999999997</v>
      </c>
      <c r="D2655" s="2">
        <v>5.29</v>
      </c>
      <c r="E2655" s="2">
        <v>5.33</v>
      </c>
      <c r="F2655" s="2">
        <v>3.22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</row>
    <row r="2656" spans="1:11" x14ac:dyDescent="0.25">
      <c r="A2656" s="1">
        <v>0.843055555555556</v>
      </c>
      <c r="B2656" s="2">
        <v>6.28</v>
      </c>
      <c r="C2656" s="2">
        <v>3.87</v>
      </c>
      <c r="D2656" s="2">
        <v>4.91</v>
      </c>
      <c r="E2656" s="2">
        <v>5.7</v>
      </c>
      <c r="F2656" s="2">
        <v>3.08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</row>
    <row r="2657" spans="1:11" x14ac:dyDescent="0.25">
      <c r="A2657" s="1">
        <v>0.84375</v>
      </c>
      <c r="B2657" s="2">
        <v>6.1499999999999995</v>
      </c>
      <c r="C2657" s="2">
        <v>3.76</v>
      </c>
      <c r="D2657" s="2">
        <v>5.05</v>
      </c>
      <c r="E2657" s="2">
        <v>5.21</v>
      </c>
      <c r="F2657" s="2">
        <v>3.12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</row>
    <row r="2658" spans="1:11" x14ac:dyDescent="0.25">
      <c r="A2658" s="1">
        <v>0.844444444444444</v>
      </c>
      <c r="B2658" s="2">
        <v>6.18</v>
      </c>
      <c r="C2658" s="2">
        <v>3.79</v>
      </c>
      <c r="D2658" s="2">
        <v>4.8899999999999997</v>
      </c>
      <c r="E2658" s="2">
        <v>5.34</v>
      </c>
      <c r="F2658" s="2">
        <v>3.1500000000000004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</row>
    <row r="2659" spans="1:11" x14ac:dyDescent="0.25">
      <c r="A2659" s="1">
        <v>0.84513888888888899</v>
      </c>
      <c r="B2659" s="2">
        <v>6.13</v>
      </c>
      <c r="C2659" s="2">
        <v>3.6999999999999997</v>
      </c>
      <c r="D2659" s="2">
        <v>5.03</v>
      </c>
      <c r="E2659" s="2">
        <v>5.36</v>
      </c>
      <c r="F2659" s="2">
        <v>3.35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</row>
    <row r="2660" spans="1:11" x14ac:dyDescent="0.25">
      <c r="A2660" s="1">
        <v>0.84583333333333299</v>
      </c>
      <c r="B2660" s="2">
        <v>6.34</v>
      </c>
      <c r="C2660" s="2">
        <v>3.7399999999999998</v>
      </c>
      <c r="D2660" s="2">
        <v>5.19</v>
      </c>
      <c r="E2660" s="2">
        <v>5.64</v>
      </c>
      <c r="F2660" s="2">
        <v>3.33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</row>
    <row r="2661" spans="1:11" x14ac:dyDescent="0.25">
      <c r="A2661" s="1">
        <v>0.84652777777777799</v>
      </c>
      <c r="B2661" s="2">
        <v>6.28</v>
      </c>
      <c r="C2661" s="2">
        <v>3.87</v>
      </c>
      <c r="D2661" s="2">
        <v>5.22</v>
      </c>
      <c r="E2661" s="2">
        <v>5.58</v>
      </c>
      <c r="F2661" s="2">
        <v>3.2600000000000002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</row>
    <row r="2662" spans="1:11" x14ac:dyDescent="0.25">
      <c r="A2662" s="1">
        <v>0.84722222222222199</v>
      </c>
      <c r="B2662" s="2">
        <v>6.13</v>
      </c>
      <c r="C2662" s="2">
        <v>3.82</v>
      </c>
      <c r="D2662" s="2">
        <v>4.9800000000000004</v>
      </c>
      <c r="E2662" s="2">
        <v>5.33</v>
      </c>
      <c r="F2662" s="2">
        <v>2.93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</row>
    <row r="2663" spans="1:11" x14ac:dyDescent="0.25">
      <c r="A2663" s="1">
        <v>0.84791666666666698</v>
      </c>
      <c r="B2663" s="2">
        <v>6.17</v>
      </c>
      <c r="C2663" s="2">
        <v>3.79</v>
      </c>
      <c r="D2663" s="2">
        <v>5.13</v>
      </c>
      <c r="E2663" s="2">
        <v>5.18</v>
      </c>
      <c r="F2663" s="2">
        <v>3.0900000000000003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</row>
    <row r="2664" spans="1:11" x14ac:dyDescent="0.25">
      <c r="A2664" s="1">
        <v>0.84861111111111098</v>
      </c>
      <c r="B2664" s="2">
        <v>6.28</v>
      </c>
      <c r="C2664" s="2">
        <v>3.84</v>
      </c>
      <c r="D2664" s="2">
        <v>5</v>
      </c>
      <c r="E2664" s="2">
        <v>5.58</v>
      </c>
      <c r="F2664" s="2">
        <v>3.29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</row>
    <row r="2665" spans="1:11" x14ac:dyDescent="0.25">
      <c r="A2665" s="1">
        <v>0.84930555555555598</v>
      </c>
      <c r="B2665" s="2">
        <v>6.34</v>
      </c>
      <c r="C2665" s="2">
        <v>3.6599999999999997</v>
      </c>
      <c r="D2665" s="2">
        <v>5.13</v>
      </c>
      <c r="E2665" s="2">
        <v>5.53</v>
      </c>
      <c r="F2665" s="2">
        <v>3.2800000000000002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</row>
    <row r="2666" spans="1:11" x14ac:dyDescent="0.25">
      <c r="A2666" s="1">
        <v>0.85</v>
      </c>
      <c r="B2666" s="2">
        <v>6.35</v>
      </c>
      <c r="C2666" s="2">
        <v>3.61</v>
      </c>
      <c r="D2666" s="2">
        <v>5.37</v>
      </c>
      <c r="E2666" s="2">
        <v>5.54</v>
      </c>
      <c r="F2666" s="2">
        <v>3.27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</row>
    <row r="2667" spans="1:11" x14ac:dyDescent="0.25">
      <c r="A2667" s="1">
        <v>0.85069444444444497</v>
      </c>
      <c r="B2667" s="2">
        <v>6.33</v>
      </c>
      <c r="C2667" s="2">
        <v>3.78</v>
      </c>
      <c r="D2667" s="2">
        <v>5.3</v>
      </c>
      <c r="E2667" s="2">
        <v>5.23</v>
      </c>
      <c r="F2667" s="2">
        <v>3.12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</row>
    <row r="2668" spans="1:11" x14ac:dyDescent="0.25">
      <c r="A2668" s="1">
        <v>0.85138888888888897</v>
      </c>
      <c r="B2668" s="2">
        <v>6.2299999999999995</v>
      </c>
      <c r="C2668" s="2">
        <v>3.8499999999999996</v>
      </c>
      <c r="D2668" s="2">
        <v>5.19</v>
      </c>
      <c r="E2668" s="2">
        <v>5.01</v>
      </c>
      <c r="F2668" s="2">
        <v>3.3600000000000003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</row>
    <row r="2669" spans="1:11" x14ac:dyDescent="0.25">
      <c r="A2669" s="1">
        <v>0.85208333333333297</v>
      </c>
      <c r="B2669" s="2">
        <v>6.14</v>
      </c>
      <c r="C2669" s="2">
        <v>3.78</v>
      </c>
      <c r="D2669" s="2">
        <v>5.1400000000000006</v>
      </c>
      <c r="E2669" s="2">
        <v>5.1100000000000003</v>
      </c>
      <c r="F2669" s="2">
        <v>3.23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</row>
    <row r="2670" spans="1:11" x14ac:dyDescent="0.25">
      <c r="A2670" s="1">
        <v>0.85277777777777797</v>
      </c>
      <c r="B2670" s="2">
        <v>6.12</v>
      </c>
      <c r="C2670" s="2">
        <v>3.7199999999999998</v>
      </c>
      <c r="D2670" s="2">
        <v>5.22</v>
      </c>
      <c r="E2670" s="2">
        <v>5.55</v>
      </c>
      <c r="F2670" s="2">
        <v>3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</row>
    <row r="2671" spans="1:11" x14ac:dyDescent="0.25">
      <c r="A2671" s="1">
        <v>0.85347222222222197</v>
      </c>
      <c r="B2671" s="2">
        <v>6.25</v>
      </c>
      <c r="C2671" s="2">
        <v>3.79</v>
      </c>
      <c r="D2671" s="2">
        <v>5.17</v>
      </c>
      <c r="E2671" s="2">
        <v>5.55</v>
      </c>
      <c r="F2671" s="2">
        <v>3.14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</row>
    <row r="2672" spans="1:11" x14ac:dyDescent="0.25">
      <c r="A2672" s="1">
        <v>0.85416666666666696</v>
      </c>
      <c r="B2672" s="2">
        <v>6.34</v>
      </c>
      <c r="C2672" s="2">
        <v>3.6799999999999997</v>
      </c>
      <c r="D2672" s="2">
        <v>4.87</v>
      </c>
      <c r="E2672" s="2">
        <v>5.26</v>
      </c>
      <c r="F2672" s="2">
        <v>3.14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</row>
    <row r="2673" spans="1:11" x14ac:dyDescent="0.25">
      <c r="A2673" s="1">
        <v>0.85486111111111096</v>
      </c>
      <c r="B2673" s="2">
        <v>6.22</v>
      </c>
      <c r="C2673" s="2">
        <v>3.8499999999999996</v>
      </c>
      <c r="D2673" s="2">
        <v>5.3100000000000005</v>
      </c>
      <c r="E2673" s="2">
        <v>5.15</v>
      </c>
      <c r="F2673" s="2">
        <v>2.92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</row>
    <row r="2674" spans="1:11" x14ac:dyDescent="0.25">
      <c r="A2674" s="1">
        <v>0.85555555555555596</v>
      </c>
      <c r="B2674" s="2">
        <v>6.14</v>
      </c>
      <c r="C2674" s="2">
        <v>3.7399999999999998</v>
      </c>
      <c r="D2674" s="2">
        <v>5.19</v>
      </c>
      <c r="E2674" s="2">
        <v>5.41</v>
      </c>
      <c r="F2674" s="2">
        <v>3.31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</row>
    <row r="2675" spans="1:11" x14ac:dyDescent="0.25">
      <c r="A2675" s="1">
        <v>0.85624999999999996</v>
      </c>
      <c r="B2675" s="2">
        <v>6.35</v>
      </c>
      <c r="C2675" s="2">
        <v>3.73</v>
      </c>
      <c r="D2675" s="2">
        <v>4.99</v>
      </c>
      <c r="E2675" s="2">
        <v>5.55</v>
      </c>
      <c r="F2675" s="2">
        <v>3.22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</row>
    <row r="2676" spans="1:11" x14ac:dyDescent="0.25">
      <c r="A2676" s="1">
        <v>0.85694444444444495</v>
      </c>
      <c r="B2676" s="2">
        <v>6.17</v>
      </c>
      <c r="C2676" s="2">
        <v>3.6599999999999997</v>
      </c>
      <c r="D2676" s="2">
        <v>5.37</v>
      </c>
      <c r="E2676" s="2">
        <v>5.32</v>
      </c>
      <c r="F2676" s="2">
        <v>3.25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</row>
    <row r="2677" spans="1:11" x14ac:dyDescent="0.25">
      <c r="A2677" s="1">
        <v>0.85763888888888895</v>
      </c>
      <c r="B2677" s="2">
        <v>6.3599999999999994</v>
      </c>
      <c r="C2677" s="2">
        <v>3.6799999999999997</v>
      </c>
      <c r="D2677" s="2">
        <v>5.1100000000000003</v>
      </c>
      <c r="E2677" s="2">
        <v>5.68</v>
      </c>
      <c r="F2677" s="2">
        <v>3.27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</row>
    <row r="2678" spans="1:11" x14ac:dyDescent="0.25">
      <c r="A2678" s="1">
        <v>0.85833333333333295</v>
      </c>
      <c r="B2678" s="2">
        <v>6.28</v>
      </c>
      <c r="C2678" s="2">
        <v>3.77</v>
      </c>
      <c r="D2678" s="2">
        <v>5.1000000000000005</v>
      </c>
      <c r="E2678" s="2">
        <v>5.38</v>
      </c>
      <c r="F2678" s="2">
        <v>2.98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</row>
    <row r="2679" spans="1:11" x14ac:dyDescent="0.25">
      <c r="A2679" s="1">
        <v>0.85902777777777795</v>
      </c>
      <c r="B2679" s="2">
        <v>6.21</v>
      </c>
      <c r="C2679" s="2">
        <v>3.6599999999999997</v>
      </c>
      <c r="D2679" s="2">
        <v>4.92</v>
      </c>
      <c r="E2679" s="2">
        <v>5.33</v>
      </c>
      <c r="F2679" s="2">
        <v>3.14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</row>
    <row r="2680" spans="1:11" x14ac:dyDescent="0.25">
      <c r="A2680" s="1">
        <v>0.85972222222222205</v>
      </c>
      <c r="B2680" s="2">
        <v>6.1</v>
      </c>
      <c r="C2680" s="2">
        <v>3.6199999999999997</v>
      </c>
      <c r="D2680" s="2">
        <v>5.19</v>
      </c>
      <c r="E2680" s="2">
        <v>5.63</v>
      </c>
      <c r="F2680" s="2">
        <v>3.0700000000000003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</row>
    <row r="2681" spans="1:11" x14ac:dyDescent="0.25">
      <c r="A2681" s="1">
        <v>0.86041666666666705</v>
      </c>
      <c r="B2681" s="2">
        <v>6.18</v>
      </c>
      <c r="C2681" s="2">
        <v>3.77</v>
      </c>
      <c r="D2681" s="2">
        <v>5.36</v>
      </c>
      <c r="E2681" s="2">
        <v>5.27</v>
      </c>
      <c r="F2681" s="2">
        <v>3.1500000000000004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</row>
    <row r="2682" spans="1:11" x14ac:dyDescent="0.25">
      <c r="A2682" s="1">
        <v>0.86111111111111105</v>
      </c>
      <c r="B2682" s="2">
        <v>6.16</v>
      </c>
      <c r="C2682" s="2">
        <v>3.6999999999999997</v>
      </c>
      <c r="D2682" s="2">
        <v>5.32</v>
      </c>
      <c r="E2682" s="2">
        <v>5.24</v>
      </c>
      <c r="F2682" s="2">
        <v>2.88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</row>
    <row r="2683" spans="1:11" x14ac:dyDescent="0.25">
      <c r="A2683" s="1">
        <v>0.86180555555555605</v>
      </c>
      <c r="B2683" s="2">
        <v>6.14</v>
      </c>
      <c r="C2683" s="2">
        <v>3.71</v>
      </c>
      <c r="D2683" s="2">
        <v>5.01</v>
      </c>
      <c r="E2683" s="2">
        <v>5.09</v>
      </c>
      <c r="F2683" s="2">
        <v>2.91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</row>
    <row r="2684" spans="1:11" x14ac:dyDescent="0.25">
      <c r="A2684" s="1">
        <v>0.86250000000000004</v>
      </c>
      <c r="B2684" s="2">
        <v>6.26</v>
      </c>
      <c r="C2684" s="2">
        <v>3.77</v>
      </c>
      <c r="D2684" s="2">
        <v>5.28</v>
      </c>
      <c r="E2684" s="2">
        <v>5.65</v>
      </c>
      <c r="F2684" s="2">
        <v>3.35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</row>
    <row r="2685" spans="1:11" x14ac:dyDescent="0.25">
      <c r="A2685" s="1">
        <v>0.86319444444444404</v>
      </c>
      <c r="B2685" s="2">
        <v>6.2299999999999995</v>
      </c>
      <c r="C2685" s="2">
        <v>3.71</v>
      </c>
      <c r="D2685" s="2">
        <v>5.17</v>
      </c>
      <c r="E2685" s="2">
        <v>5.42</v>
      </c>
      <c r="F2685" s="2">
        <v>3.0700000000000003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</row>
    <row r="2686" spans="1:11" x14ac:dyDescent="0.25">
      <c r="A2686" s="1">
        <v>0.86388888888888904</v>
      </c>
      <c r="B2686" s="2">
        <v>6.12</v>
      </c>
      <c r="C2686" s="2">
        <v>3.69</v>
      </c>
      <c r="D2686" s="2">
        <v>5.26</v>
      </c>
      <c r="E2686" s="2">
        <v>5.12</v>
      </c>
      <c r="F2686" s="2">
        <v>3.0100000000000002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</row>
    <row r="2687" spans="1:11" x14ac:dyDescent="0.25">
      <c r="A2687" s="1">
        <v>0.86458333333333304</v>
      </c>
      <c r="B2687" s="2">
        <v>6.28</v>
      </c>
      <c r="C2687" s="2">
        <v>3.75</v>
      </c>
      <c r="D2687" s="2">
        <v>5.22</v>
      </c>
      <c r="E2687" s="2">
        <v>5.39</v>
      </c>
      <c r="F2687" s="2">
        <v>2.96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</row>
    <row r="2688" spans="1:11" x14ac:dyDescent="0.25">
      <c r="A2688" s="1">
        <v>0.86527777777777803</v>
      </c>
      <c r="B2688" s="2">
        <v>6.16</v>
      </c>
      <c r="C2688" s="2">
        <v>3.63</v>
      </c>
      <c r="D2688" s="2">
        <v>5.24</v>
      </c>
      <c r="E2688" s="2">
        <v>5.13</v>
      </c>
      <c r="F2688" s="2">
        <v>3.17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</row>
    <row r="2689" spans="1:11" x14ac:dyDescent="0.25">
      <c r="A2689" s="1">
        <v>0.86597222222222203</v>
      </c>
      <c r="B2689" s="2">
        <v>6.24</v>
      </c>
      <c r="C2689" s="2">
        <v>3.71</v>
      </c>
      <c r="D2689" s="2">
        <v>5.1400000000000006</v>
      </c>
      <c r="E2689" s="2">
        <v>5.28</v>
      </c>
      <c r="F2689" s="2">
        <v>3.37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</row>
    <row r="2690" spans="1:11" x14ac:dyDescent="0.25">
      <c r="A2690" s="1">
        <v>0.86666666666666703</v>
      </c>
      <c r="B2690" s="2">
        <v>6.25</v>
      </c>
      <c r="C2690" s="2">
        <v>3.61</v>
      </c>
      <c r="D2690" s="2">
        <v>4.91</v>
      </c>
      <c r="E2690" s="2">
        <v>5.09</v>
      </c>
      <c r="F2690" s="2">
        <v>2.97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</row>
    <row r="2691" spans="1:11" x14ac:dyDescent="0.25">
      <c r="A2691" s="1">
        <v>0.86736111111111103</v>
      </c>
      <c r="B2691" s="2">
        <v>6.09</v>
      </c>
      <c r="C2691" s="2">
        <v>3.7199999999999998</v>
      </c>
      <c r="D2691" s="2">
        <v>5.17</v>
      </c>
      <c r="E2691" s="2">
        <v>5.5</v>
      </c>
      <c r="F2691" s="2">
        <v>3.2800000000000002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</row>
    <row r="2692" spans="1:11" x14ac:dyDescent="0.25">
      <c r="A2692" s="1">
        <v>0.86805555555555602</v>
      </c>
      <c r="B2692" s="2">
        <v>6.24</v>
      </c>
      <c r="C2692" s="2">
        <v>3.6599999999999997</v>
      </c>
      <c r="D2692" s="2">
        <v>5.28</v>
      </c>
      <c r="E2692" s="2">
        <v>5.62</v>
      </c>
      <c r="F2692" s="2">
        <v>3.3200000000000003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</row>
    <row r="2693" spans="1:11" x14ac:dyDescent="0.25">
      <c r="A2693" s="1">
        <v>0.86875000000000002</v>
      </c>
      <c r="B2693" s="2">
        <v>6.1</v>
      </c>
      <c r="C2693" s="2">
        <v>3.76</v>
      </c>
      <c r="D2693" s="2">
        <v>5.07</v>
      </c>
      <c r="E2693" s="2">
        <v>5.0599999999999996</v>
      </c>
      <c r="F2693" s="2">
        <v>2.89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</row>
    <row r="2694" spans="1:11" x14ac:dyDescent="0.25">
      <c r="A2694" s="1">
        <v>0.86944444444444402</v>
      </c>
      <c r="B2694" s="2">
        <v>6.09</v>
      </c>
      <c r="C2694" s="2">
        <v>3.6399999999999997</v>
      </c>
      <c r="D2694" s="2">
        <v>5.16</v>
      </c>
      <c r="E2694" s="2">
        <v>5.7</v>
      </c>
      <c r="F2694" s="2">
        <v>3.0700000000000003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</row>
    <row r="2695" spans="1:11" x14ac:dyDescent="0.25">
      <c r="A2695" s="1">
        <v>0.87013888888888902</v>
      </c>
      <c r="B2695" s="2">
        <v>6.1</v>
      </c>
      <c r="C2695" s="2">
        <v>3.78</v>
      </c>
      <c r="D2695" s="2">
        <v>4.91</v>
      </c>
      <c r="E2695" s="2">
        <v>5.43</v>
      </c>
      <c r="F2695" s="2">
        <v>3.37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</row>
    <row r="2696" spans="1:11" x14ac:dyDescent="0.25">
      <c r="A2696" s="1">
        <v>0.87083333333333302</v>
      </c>
      <c r="B2696" s="2">
        <v>6.27</v>
      </c>
      <c r="C2696" s="2">
        <v>3.79</v>
      </c>
      <c r="D2696" s="2">
        <v>5.21</v>
      </c>
      <c r="E2696" s="2">
        <v>5.0199999999999996</v>
      </c>
      <c r="F2696" s="2">
        <v>2.97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</row>
    <row r="2697" spans="1:11" x14ac:dyDescent="0.25">
      <c r="A2697" s="1">
        <v>0.87152777777777801</v>
      </c>
      <c r="B2697" s="2">
        <v>6.17</v>
      </c>
      <c r="C2697" s="2">
        <v>3.8</v>
      </c>
      <c r="D2697" s="2">
        <v>4.87</v>
      </c>
      <c r="E2697" s="2">
        <v>5.27</v>
      </c>
      <c r="F2697" s="2">
        <v>3.19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</row>
    <row r="2698" spans="1:11" x14ac:dyDescent="0.25">
      <c r="A2698" s="1">
        <v>0.87222222222222201</v>
      </c>
      <c r="B2698" s="2">
        <v>6.3599999999999994</v>
      </c>
      <c r="C2698" s="2">
        <v>3.83</v>
      </c>
      <c r="D2698" s="2">
        <v>5.05</v>
      </c>
      <c r="E2698" s="2">
        <v>5.08</v>
      </c>
      <c r="F2698" s="2">
        <v>2.93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</row>
    <row r="2699" spans="1:11" x14ac:dyDescent="0.25">
      <c r="A2699" s="1">
        <v>0.87291666666666701</v>
      </c>
      <c r="B2699" s="2">
        <v>6.13</v>
      </c>
      <c r="C2699" s="2">
        <v>3.83</v>
      </c>
      <c r="D2699" s="2">
        <v>4.92</v>
      </c>
      <c r="E2699" s="2">
        <v>5.31</v>
      </c>
      <c r="F2699" s="2">
        <v>3.27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</row>
    <row r="2700" spans="1:11" x14ac:dyDescent="0.25">
      <c r="A2700" s="1">
        <v>0.87361111111111101</v>
      </c>
      <c r="B2700" s="2">
        <v>6.1899999999999995</v>
      </c>
      <c r="C2700" s="2">
        <v>3.65</v>
      </c>
      <c r="D2700" s="2">
        <v>5.18</v>
      </c>
      <c r="E2700" s="2">
        <v>5.0599999999999996</v>
      </c>
      <c r="F2700" s="2">
        <v>2.87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</row>
    <row r="2701" spans="1:11" x14ac:dyDescent="0.25">
      <c r="A2701" s="1">
        <v>0.874305555555556</v>
      </c>
      <c r="B2701" s="2">
        <v>6.18</v>
      </c>
      <c r="C2701" s="2">
        <v>3.65</v>
      </c>
      <c r="D2701" s="2">
        <v>5.0600000000000005</v>
      </c>
      <c r="E2701" s="2">
        <v>5.53</v>
      </c>
      <c r="F2701" s="2">
        <v>3.3000000000000003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</row>
    <row r="2702" spans="1:11" x14ac:dyDescent="0.25">
      <c r="A2702" s="3">
        <v>0.875</v>
      </c>
      <c r="B2702" s="2">
        <v>6.22</v>
      </c>
      <c r="C2702" s="2">
        <v>3.76</v>
      </c>
      <c r="D2702" s="2">
        <v>5.1100000000000003</v>
      </c>
      <c r="E2702" s="2">
        <v>5.35</v>
      </c>
      <c r="F2702" s="2">
        <v>3.19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</row>
    <row r="2703" spans="1:11" x14ac:dyDescent="0.25">
      <c r="A2703" s="1">
        <v>0.875694444444444</v>
      </c>
      <c r="B2703" s="2">
        <v>6.1899999999999995</v>
      </c>
      <c r="C2703" s="2">
        <v>3.83</v>
      </c>
      <c r="D2703" s="2">
        <v>5.35</v>
      </c>
      <c r="E2703" s="2">
        <v>5.2</v>
      </c>
      <c r="F2703" s="2">
        <v>3.18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</row>
    <row r="2704" spans="1:11" x14ac:dyDescent="0.25">
      <c r="A2704" s="1">
        <v>0.87638888888888899</v>
      </c>
      <c r="B2704" s="2">
        <v>6.28</v>
      </c>
      <c r="C2704" s="2">
        <v>3.71</v>
      </c>
      <c r="D2704" s="2">
        <v>4.91</v>
      </c>
      <c r="E2704" s="2">
        <v>5.2299999999999995</v>
      </c>
      <c r="F2704" s="2">
        <v>2.97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</row>
    <row r="2705" spans="1:11" x14ac:dyDescent="0.25">
      <c r="A2705" s="1">
        <v>0.87708333333333299</v>
      </c>
      <c r="B2705" s="2">
        <v>6.16</v>
      </c>
      <c r="C2705" s="2">
        <v>3.61</v>
      </c>
      <c r="D2705" s="2">
        <v>5.05</v>
      </c>
      <c r="E2705" s="2">
        <v>5.35</v>
      </c>
      <c r="F2705" s="2">
        <v>3.08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</row>
    <row r="2706" spans="1:11" x14ac:dyDescent="0.25">
      <c r="A2706" s="1">
        <v>0.87777777777777799</v>
      </c>
      <c r="B2706" s="2">
        <v>6.09</v>
      </c>
      <c r="C2706" s="2">
        <v>3.87</v>
      </c>
      <c r="D2706" s="2">
        <v>5.12</v>
      </c>
      <c r="E2706" s="2">
        <v>5.31</v>
      </c>
      <c r="F2706" s="2">
        <v>3.25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</row>
    <row r="2707" spans="1:11" x14ac:dyDescent="0.25">
      <c r="A2707" s="1">
        <v>0.87847222222222199</v>
      </c>
      <c r="B2707" s="2">
        <v>6.33</v>
      </c>
      <c r="C2707" s="2">
        <v>3.78</v>
      </c>
      <c r="D2707" s="2">
        <v>5.07</v>
      </c>
      <c r="E2707" s="2">
        <v>5.6099999999999994</v>
      </c>
      <c r="F2707" s="2">
        <v>2.93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</row>
    <row r="2708" spans="1:11" x14ac:dyDescent="0.25">
      <c r="A2708" s="1">
        <v>0.87916666666666698</v>
      </c>
      <c r="B2708" s="2">
        <v>6.25</v>
      </c>
      <c r="C2708" s="2">
        <v>3.78</v>
      </c>
      <c r="D2708" s="2">
        <v>4.9000000000000004</v>
      </c>
      <c r="E2708" s="2">
        <v>5.4399999999999995</v>
      </c>
      <c r="F2708" s="2">
        <v>3.0100000000000002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</row>
    <row r="2709" spans="1:11" x14ac:dyDescent="0.25">
      <c r="A2709" s="1">
        <v>0.87986111111111098</v>
      </c>
      <c r="B2709" s="2">
        <v>6.2</v>
      </c>
      <c r="C2709" s="2">
        <v>3.6999999999999997</v>
      </c>
      <c r="D2709" s="2">
        <v>5.21</v>
      </c>
      <c r="E2709" s="2">
        <v>5.22</v>
      </c>
      <c r="F2709" s="2">
        <v>3.14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</row>
    <row r="2710" spans="1:11" x14ac:dyDescent="0.25">
      <c r="A2710" s="1">
        <v>0.88055555555555598</v>
      </c>
      <c r="B2710" s="2">
        <v>6.1899999999999995</v>
      </c>
      <c r="C2710" s="2">
        <v>3.6799999999999997</v>
      </c>
      <c r="D2710" s="2">
        <v>5.35</v>
      </c>
      <c r="E2710" s="2">
        <v>5.05</v>
      </c>
      <c r="F2710" s="2">
        <v>3.25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</row>
    <row r="2711" spans="1:11" x14ac:dyDescent="0.25">
      <c r="A2711" s="1">
        <v>0.88124999999999998</v>
      </c>
      <c r="B2711" s="2">
        <v>6.24</v>
      </c>
      <c r="C2711" s="2">
        <v>3.81</v>
      </c>
      <c r="D2711" s="2">
        <v>4.87</v>
      </c>
      <c r="E2711" s="2">
        <v>5.14</v>
      </c>
      <c r="F2711" s="2">
        <v>3.1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</row>
    <row r="2712" spans="1:11" x14ac:dyDescent="0.25">
      <c r="A2712" s="1">
        <v>0.88194444444444497</v>
      </c>
      <c r="B2712" s="2">
        <v>6.2299999999999995</v>
      </c>
      <c r="C2712" s="2">
        <v>3.79</v>
      </c>
      <c r="D2712" s="2">
        <v>5.17</v>
      </c>
      <c r="E2712" s="2">
        <v>5.42</v>
      </c>
      <c r="F2712" s="2">
        <v>3.18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</row>
    <row r="2713" spans="1:11" x14ac:dyDescent="0.25">
      <c r="A2713" s="1">
        <v>0.88263888888888897</v>
      </c>
      <c r="B2713" s="2">
        <v>6.09</v>
      </c>
      <c r="C2713" s="2">
        <v>3.78</v>
      </c>
      <c r="D2713" s="2">
        <v>5.01</v>
      </c>
      <c r="E2713" s="2">
        <v>5.7</v>
      </c>
      <c r="F2713" s="2">
        <v>3.31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</row>
    <row r="2714" spans="1:11" x14ac:dyDescent="0.25">
      <c r="A2714" s="1">
        <v>0.88333333333333297</v>
      </c>
      <c r="B2714" s="2">
        <v>6.22</v>
      </c>
      <c r="C2714" s="2">
        <v>3.8899999999999997</v>
      </c>
      <c r="D2714" s="2">
        <v>5.3100000000000005</v>
      </c>
      <c r="E2714" s="2">
        <v>5.12</v>
      </c>
      <c r="F2714" s="2">
        <v>3.38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</row>
    <row r="2715" spans="1:11" x14ac:dyDescent="0.25">
      <c r="A2715" s="1">
        <v>0.88402777777777797</v>
      </c>
      <c r="B2715" s="2">
        <v>6.28</v>
      </c>
      <c r="C2715" s="2">
        <v>3.81</v>
      </c>
      <c r="D2715" s="2">
        <v>5.0200000000000005</v>
      </c>
      <c r="E2715" s="2">
        <v>5.24</v>
      </c>
      <c r="F2715" s="2">
        <v>2.96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</row>
    <row r="2716" spans="1:11" x14ac:dyDescent="0.25">
      <c r="A2716" s="1">
        <v>0.88472222222222197</v>
      </c>
      <c r="B2716" s="2">
        <v>6.1099999999999994</v>
      </c>
      <c r="C2716" s="2">
        <v>3.86</v>
      </c>
      <c r="D2716" s="2">
        <v>5.35</v>
      </c>
      <c r="E2716" s="2">
        <v>5.7</v>
      </c>
      <c r="F2716" s="2">
        <v>2.98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</row>
    <row r="2717" spans="1:11" x14ac:dyDescent="0.25">
      <c r="A2717" s="1">
        <v>0.88541666666666696</v>
      </c>
      <c r="B2717" s="2">
        <v>6.29</v>
      </c>
      <c r="C2717" s="2">
        <v>3.77</v>
      </c>
      <c r="D2717" s="2">
        <v>5.29</v>
      </c>
      <c r="E2717" s="2">
        <v>5.32</v>
      </c>
      <c r="F2717" s="2">
        <v>3.3400000000000003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</row>
    <row r="2718" spans="1:11" x14ac:dyDescent="0.25">
      <c r="A2718" s="1">
        <v>0.88611111111111096</v>
      </c>
      <c r="B2718" s="2">
        <v>6.21</v>
      </c>
      <c r="C2718" s="2">
        <v>3.71</v>
      </c>
      <c r="D2718" s="2">
        <v>5.19</v>
      </c>
      <c r="E2718" s="2">
        <v>5.13</v>
      </c>
      <c r="F2718" s="2">
        <v>3.0300000000000002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</row>
    <row r="2719" spans="1:11" x14ac:dyDescent="0.25">
      <c r="A2719" s="1">
        <v>0.88680555555555596</v>
      </c>
      <c r="B2719" s="2">
        <v>6.29</v>
      </c>
      <c r="C2719" s="2">
        <v>3.84</v>
      </c>
      <c r="D2719" s="2">
        <v>4.9400000000000004</v>
      </c>
      <c r="E2719" s="2">
        <v>5.45</v>
      </c>
      <c r="F2719" s="2">
        <v>3.3600000000000003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</row>
    <row r="2720" spans="1:11" x14ac:dyDescent="0.25">
      <c r="A2720" s="1">
        <v>0.88749999999999996</v>
      </c>
      <c r="B2720" s="2">
        <v>6.2299999999999995</v>
      </c>
      <c r="C2720" s="2">
        <v>3.8899999999999997</v>
      </c>
      <c r="D2720" s="2">
        <v>5.01</v>
      </c>
      <c r="E2720" s="2">
        <v>5.18</v>
      </c>
      <c r="F2720" s="2">
        <v>3.39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</row>
    <row r="2721" spans="1:11" x14ac:dyDescent="0.25">
      <c r="A2721" s="1">
        <v>0.88819444444444495</v>
      </c>
      <c r="B2721" s="2">
        <v>6.1</v>
      </c>
      <c r="C2721" s="2">
        <v>3.6999999999999997</v>
      </c>
      <c r="D2721" s="2">
        <v>5.1000000000000005</v>
      </c>
      <c r="E2721" s="2">
        <v>5.32</v>
      </c>
      <c r="F2721" s="2">
        <v>3.2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</row>
    <row r="2722" spans="1:11" x14ac:dyDescent="0.25">
      <c r="A2722" s="1">
        <v>0.88888888888888895</v>
      </c>
      <c r="B2722" s="2">
        <v>6.34</v>
      </c>
      <c r="C2722" s="2">
        <v>3.6199999999999997</v>
      </c>
      <c r="D2722" s="2">
        <v>4.8899999999999997</v>
      </c>
      <c r="E2722" s="2">
        <v>5.2299999999999995</v>
      </c>
      <c r="F2722" s="2">
        <v>2.97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</row>
    <row r="2723" spans="1:11" x14ac:dyDescent="0.25">
      <c r="A2723" s="1">
        <v>0.88958333333333295</v>
      </c>
      <c r="B2723" s="2">
        <v>6.21</v>
      </c>
      <c r="C2723" s="2">
        <v>3.83</v>
      </c>
      <c r="D2723" s="2">
        <v>4.95</v>
      </c>
      <c r="E2723" s="2">
        <v>5.6899999999999995</v>
      </c>
      <c r="F2723" s="2">
        <v>3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</row>
    <row r="2724" spans="1:11" x14ac:dyDescent="0.25">
      <c r="A2724" s="1">
        <v>0.89027777777777795</v>
      </c>
      <c r="B2724" s="2">
        <v>6.1099999999999994</v>
      </c>
      <c r="C2724" s="2">
        <v>3.8899999999999997</v>
      </c>
      <c r="D2724" s="2">
        <v>5.16</v>
      </c>
      <c r="E2724" s="2">
        <v>5.68</v>
      </c>
      <c r="F2724" s="2">
        <v>2.96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</row>
    <row r="2725" spans="1:11" x14ac:dyDescent="0.25">
      <c r="A2725" s="1">
        <v>0.89097222222222205</v>
      </c>
      <c r="B2725" s="2">
        <v>6.24</v>
      </c>
      <c r="C2725" s="2">
        <v>3.86</v>
      </c>
      <c r="D2725" s="2">
        <v>5.28</v>
      </c>
      <c r="E2725" s="2">
        <v>5.7</v>
      </c>
      <c r="F2725" s="2">
        <v>3.31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</row>
    <row r="2726" spans="1:11" x14ac:dyDescent="0.25">
      <c r="A2726" s="1">
        <v>0.89166666666666705</v>
      </c>
      <c r="B2726" s="2">
        <v>6.09</v>
      </c>
      <c r="C2726" s="2">
        <v>3.6399999999999997</v>
      </c>
      <c r="D2726" s="2">
        <v>5.1400000000000006</v>
      </c>
      <c r="E2726" s="2">
        <v>5.29</v>
      </c>
      <c r="F2726" s="2">
        <v>3.16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</row>
    <row r="2727" spans="1:11" x14ac:dyDescent="0.25">
      <c r="A2727" s="1">
        <v>0.89236111111111105</v>
      </c>
      <c r="B2727" s="2">
        <v>6.22</v>
      </c>
      <c r="C2727" s="2">
        <v>3.6199999999999997</v>
      </c>
      <c r="D2727" s="2">
        <v>5</v>
      </c>
      <c r="E2727" s="2">
        <v>5.38</v>
      </c>
      <c r="F2727" s="2">
        <v>3.19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</row>
    <row r="2728" spans="1:11" x14ac:dyDescent="0.25">
      <c r="A2728" s="1">
        <v>0.89305555555555605</v>
      </c>
      <c r="B2728" s="2">
        <v>6.18</v>
      </c>
      <c r="C2728" s="2">
        <v>3.81</v>
      </c>
      <c r="D2728" s="2">
        <v>5.32</v>
      </c>
      <c r="E2728" s="2">
        <v>5.0999999999999996</v>
      </c>
      <c r="F2728" s="2">
        <v>2.95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</row>
    <row r="2729" spans="1:11" x14ac:dyDescent="0.25">
      <c r="A2729" s="1">
        <v>0.89375000000000004</v>
      </c>
      <c r="B2729" s="2">
        <v>6.32</v>
      </c>
      <c r="C2729" s="2">
        <v>3.81</v>
      </c>
      <c r="D2729" s="2">
        <v>4.99</v>
      </c>
      <c r="E2729" s="2">
        <v>5.4399999999999995</v>
      </c>
      <c r="F2729" s="2">
        <v>3.35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</row>
    <row r="2730" spans="1:11" x14ac:dyDescent="0.25">
      <c r="A2730" s="1">
        <v>0.89444444444444404</v>
      </c>
      <c r="B2730" s="2">
        <v>6.14</v>
      </c>
      <c r="C2730" s="2">
        <v>3.75</v>
      </c>
      <c r="D2730" s="2">
        <v>5.07</v>
      </c>
      <c r="E2730" s="2">
        <v>5.58</v>
      </c>
      <c r="F2730" s="2">
        <v>3.1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</row>
    <row r="2731" spans="1:11" x14ac:dyDescent="0.25">
      <c r="A2731" s="1">
        <v>0.89513888888888904</v>
      </c>
      <c r="B2731" s="2">
        <v>6.12</v>
      </c>
      <c r="C2731" s="2">
        <v>3.7399999999999998</v>
      </c>
      <c r="D2731" s="2">
        <v>5.1100000000000003</v>
      </c>
      <c r="E2731" s="2">
        <v>5.46</v>
      </c>
      <c r="F2731" s="2">
        <v>3.2800000000000002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</row>
    <row r="2732" spans="1:11" x14ac:dyDescent="0.25">
      <c r="A2732" s="1">
        <v>0.89583333333333304</v>
      </c>
      <c r="B2732" s="2">
        <v>6.09</v>
      </c>
      <c r="C2732" s="2">
        <v>3.7199999999999998</v>
      </c>
      <c r="D2732" s="2">
        <v>5.35</v>
      </c>
      <c r="E2732" s="2">
        <v>5.56</v>
      </c>
      <c r="F2732" s="2">
        <v>3.12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</row>
    <row r="2733" spans="1:11" x14ac:dyDescent="0.25">
      <c r="A2733" s="1">
        <v>0.89652777777777803</v>
      </c>
      <c r="B2733" s="2">
        <v>6.12</v>
      </c>
      <c r="C2733" s="2">
        <v>3.6799999999999997</v>
      </c>
      <c r="D2733" s="2">
        <v>4.96</v>
      </c>
      <c r="E2733" s="2">
        <v>5.56</v>
      </c>
      <c r="F2733" s="2">
        <v>3.3000000000000003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</row>
    <row r="2734" spans="1:11" x14ac:dyDescent="0.25">
      <c r="A2734" s="1">
        <v>0.89722222222222203</v>
      </c>
      <c r="B2734" s="2">
        <v>6.29</v>
      </c>
      <c r="C2734" s="2">
        <v>3.8499999999999996</v>
      </c>
      <c r="D2734" s="2">
        <v>5.18</v>
      </c>
      <c r="E2734" s="2">
        <v>5.6</v>
      </c>
      <c r="F2734" s="2">
        <v>3.0500000000000003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</row>
    <row r="2735" spans="1:11" x14ac:dyDescent="0.25">
      <c r="A2735" s="1">
        <v>0.89791666666666703</v>
      </c>
      <c r="B2735" s="2">
        <v>6.1899999999999995</v>
      </c>
      <c r="C2735" s="2">
        <v>3.7399999999999998</v>
      </c>
      <c r="D2735" s="2">
        <v>4.91</v>
      </c>
      <c r="E2735" s="2">
        <v>5.1099999999999994</v>
      </c>
      <c r="F2735" s="2">
        <v>3.0500000000000003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</row>
    <row r="2736" spans="1:11" x14ac:dyDescent="0.25">
      <c r="A2736" s="1">
        <v>0.89861111111111103</v>
      </c>
      <c r="B2736" s="2">
        <v>6.3</v>
      </c>
      <c r="C2736" s="2">
        <v>3.79</v>
      </c>
      <c r="D2736" s="2">
        <v>5.28</v>
      </c>
      <c r="E2736" s="2">
        <v>5.64</v>
      </c>
      <c r="F2736" s="2">
        <v>2.92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</row>
    <row r="2737" spans="1:11" x14ac:dyDescent="0.25">
      <c r="A2737" s="1">
        <v>0.89930555555555602</v>
      </c>
      <c r="B2737" s="2">
        <v>6.25</v>
      </c>
      <c r="C2737" s="2">
        <v>3.6199999999999997</v>
      </c>
      <c r="D2737" s="2">
        <v>5.34</v>
      </c>
      <c r="E2737" s="2">
        <v>5.6499999999999995</v>
      </c>
      <c r="F2737" s="2">
        <v>3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</row>
    <row r="2738" spans="1:11" x14ac:dyDescent="0.25">
      <c r="A2738" s="1">
        <v>0.9</v>
      </c>
      <c r="B2738" s="2">
        <v>6.18</v>
      </c>
      <c r="C2738" s="2">
        <v>3.7399999999999998</v>
      </c>
      <c r="D2738" s="2">
        <v>5.16</v>
      </c>
      <c r="E2738" s="2">
        <v>5.09</v>
      </c>
      <c r="F2738" s="2">
        <v>3.1500000000000004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</row>
    <row r="2739" spans="1:11" x14ac:dyDescent="0.25">
      <c r="A2739" s="1">
        <v>0.90069444444444402</v>
      </c>
      <c r="B2739" s="2">
        <v>6.1</v>
      </c>
      <c r="C2739" s="2">
        <v>3.78</v>
      </c>
      <c r="D2739" s="2">
        <v>5.28</v>
      </c>
      <c r="E2739" s="2">
        <v>5.4799999999999995</v>
      </c>
      <c r="F2739" s="2">
        <v>3.21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</row>
    <row r="2740" spans="1:11" x14ac:dyDescent="0.25">
      <c r="A2740" s="1">
        <v>0.90138888888888902</v>
      </c>
      <c r="B2740" s="2">
        <v>6.27</v>
      </c>
      <c r="C2740" s="2">
        <v>3.6799999999999997</v>
      </c>
      <c r="D2740" s="2">
        <v>5.37</v>
      </c>
      <c r="E2740" s="2">
        <v>5.52</v>
      </c>
      <c r="F2740" s="2">
        <v>3.3400000000000003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</row>
    <row r="2741" spans="1:11" x14ac:dyDescent="0.25">
      <c r="A2741" s="1">
        <v>0.90208333333333302</v>
      </c>
      <c r="B2741" s="2">
        <v>6.25</v>
      </c>
      <c r="C2741" s="2">
        <v>3.6799999999999997</v>
      </c>
      <c r="D2741" s="2">
        <v>5.15</v>
      </c>
      <c r="E2741" s="2">
        <v>5.29</v>
      </c>
      <c r="F2741" s="2">
        <v>2.9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</row>
    <row r="2742" spans="1:11" x14ac:dyDescent="0.25">
      <c r="A2742" s="1">
        <v>0.90277777777777801</v>
      </c>
      <c r="B2742" s="2">
        <v>6.31</v>
      </c>
      <c r="C2742" s="2">
        <v>3.84</v>
      </c>
      <c r="D2742" s="2">
        <v>5.0600000000000005</v>
      </c>
      <c r="E2742" s="2">
        <v>5.24</v>
      </c>
      <c r="F2742" s="2">
        <v>3.22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</row>
    <row r="2743" spans="1:11" x14ac:dyDescent="0.25">
      <c r="A2743" s="1">
        <v>0.90347222222222201</v>
      </c>
      <c r="B2743" s="2">
        <v>6.22</v>
      </c>
      <c r="C2743" s="2">
        <v>3.6999999999999997</v>
      </c>
      <c r="D2743" s="2">
        <v>5.15</v>
      </c>
      <c r="E2743" s="2">
        <v>5.3999999999999995</v>
      </c>
      <c r="F2743" s="2">
        <v>3.25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</row>
    <row r="2744" spans="1:11" x14ac:dyDescent="0.25">
      <c r="A2744" s="1">
        <v>0.90416666666666701</v>
      </c>
      <c r="B2744" s="2">
        <v>6.16</v>
      </c>
      <c r="C2744" s="2">
        <v>3.65</v>
      </c>
      <c r="D2744" s="2">
        <v>5.19</v>
      </c>
      <c r="E2744" s="2">
        <v>5.5</v>
      </c>
      <c r="F2744" s="2">
        <v>3.12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</row>
    <row r="2745" spans="1:11" x14ac:dyDescent="0.25">
      <c r="A2745" s="1">
        <v>0.90486111111111101</v>
      </c>
      <c r="B2745" s="2">
        <v>6.22</v>
      </c>
      <c r="C2745" s="2">
        <v>3.7399999999999998</v>
      </c>
      <c r="D2745" s="2">
        <v>4.95</v>
      </c>
      <c r="E2745" s="2">
        <v>5.55</v>
      </c>
      <c r="F2745" s="2">
        <v>2.9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</row>
    <row r="2746" spans="1:11" x14ac:dyDescent="0.25">
      <c r="A2746" s="1">
        <v>0.905555555555556</v>
      </c>
      <c r="B2746" s="2">
        <v>6.1499999999999995</v>
      </c>
      <c r="C2746" s="2">
        <v>3.8</v>
      </c>
      <c r="D2746" s="2">
        <v>4.9000000000000004</v>
      </c>
      <c r="E2746" s="2">
        <v>5.31</v>
      </c>
      <c r="F2746" s="2">
        <v>3.23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</row>
    <row r="2747" spans="1:11" x14ac:dyDescent="0.25">
      <c r="A2747" s="1">
        <v>0.90625</v>
      </c>
      <c r="B2747" s="2">
        <v>6.12</v>
      </c>
      <c r="C2747" s="2">
        <v>3.81</v>
      </c>
      <c r="D2747" s="2">
        <v>4.9400000000000004</v>
      </c>
      <c r="E2747" s="2">
        <v>5.4399999999999995</v>
      </c>
      <c r="F2747" s="2">
        <v>3.2800000000000002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</row>
    <row r="2748" spans="1:11" x14ac:dyDescent="0.25">
      <c r="A2748" s="1">
        <v>0.906944444444444</v>
      </c>
      <c r="B2748" s="2">
        <v>6.28</v>
      </c>
      <c r="C2748" s="2">
        <v>3.79</v>
      </c>
      <c r="D2748" s="2">
        <v>4.93</v>
      </c>
      <c r="E2748" s="2">
        <v>5.5</v>
      </c>
      <c r="F2748" s="2">
        <v>2.94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</row>
    <row r="2749" spans="1:11" x14ac:dyDescent="0.25">
      <c r="A2749" s="1">
        <v>0.90763888888888899</v>
      </c>
      <c r="B2749" s="2">
        <v>6.1899999999999995</v>
      </c>
      <c r="C2749" s="2">
        <v>3.88</v>
      </c>
      <c r="D2749" s="2">
        <v>5.01</v>
      </c>
      <c r="E2749" s="2">
        <v>5.4399999999999995</v>
      </c>
      <c r="F2749" s="2">
        <v>3.3400000000000003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</row>
    <row r="2750" spans="1:11" x14ac:dyDescent="0.25">
      <c r="A2750" s="1">
        <v>0.90833333333333299</v>
      </c>
      <c r="B2750" s="2">
        <v>6.18</v>
      </c>
      <c r="C2750" s="2">
        <v>3.65</v>
      </c>
      <c r="D2750" s="2">
        <v>5.07</v>
      </c>
      <c r="E2750" s="2">
        <v>5.5299999999999994</v>
      </c>
      <c r="F2750" s="2">
        <v>2.89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</row>
    <row r="2751" spans="1:11" x14ac:dyDescent="0.25">
      <c r="A2751" s="1">
        <v>0.90902777777777799</v>
      </c>
      <c r="B2751" s="2">
        <v>6.28</v>
      </c>
      <c r="C2751" s="2">
        <v>3.86</v>
      </c>
      <c r="D2751" s="2">
        <v>5.07</v>
      </c>
      <c r="E2751" s="2">
        <v>5.29</v>
      </c>
      <c r="F2751" s="2">
        <v>3.2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</row>
    <row r="2752" spans="1:11" x14ac:dyDescent="0.25">
      <c r="A2752" s="1">
        <v>0.90972222222222199</v>
      </c>
      <c r="B2752" s="2">
        <v>6.18</v>
      </c>
      <c r="C2752" s="2">
        <v>3.6799999999999997</v>
      </c>
      <c r="D2752" s="2">
        <v>5.23</v>
      </c>
      <c r="E2752" s="2">
        <v>5.25</v>
      </c>
      <c r="F2752" s="2">
        <v>2.97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</row>
    <row r="2753" spans="1:11" x14ac:dyDescent="0.25">
      <c r="A2753" s="1">
        <v>0.91041666666666698</v>
      </c>
      <c r="B2753" s="2">
        <v>6.17</v>
      </c>
      <c r="C2753" s="2">
        <v>3.83</v>
      </c>
      <c r="D2753" s="2">
        <v>5.15</v>
      </c>
      <c r="E2753" s="2">
        <v>5.0699999999999994</v>
      </c>
      <c r="F2753" s="2">
        <v>2.98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</row>
    <row r="2754" spans="1:11" x14ac:dyDescent="0.25">
      <c r="A2754" s="1">
        <v>0.91111111111111098</v>
      </c>
      <c r="B2754" s="2">
        <v>6.09</v>
      </c>
      <c r="C2754" s="2">
        <v>3.81</v>
      </c>
      <c r="D2754" s="2">
        <v>5.21</v>
      </c>
      <c r="E2754" s="2">
        <v>5.41</v>
      </c>
      <c r="F2754" s="2">
        <v>3.3600000000000003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</row>
    <row r="2755" spans="1:11" x14ac:dyDescent="0.25">
      <c r="A2755" s="1">
        <v>0.91180555555555598</v>
      </c>
      <c r="B2755" s="2">
        <v>6.21</v>
      </c>
      <c r="C2755" s="2">
        <v>3.6799999999999997</v>
      </c>
      <c r="D2755" s="2">
        <v>5.1400000000000006</v>
      </c>
      <c r="E2755" s="2">
        <v>5.46</v>
      </c>
      <c r="F2755" s="2">
        <v>3.19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</row>
    <row r="2756" spans="1:11" x14ac:dyDescent="0.25">
      <c r="A2756" s="1">
        <v>0.91249999999999998</v>
      </c>
      <c r="B2756" s="2">
        <v>6.14</v>
      </c>
      <c r="C2756" s="2">
        <v>3.6599999999999997</v>
      </c>
      <c r="D2756" s="2">
        <v>5.21</v>
      </c>
      <c r="E2756" s="2">
        <v>5.46</v>
      </c>
      <c r="F2756" s="2">
        <v>3.08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</row>
    <row r="2757" spans="1:11" x14ac:dyDescent="0.25">
      <c r="A2757" s="1">
        <v>0.91319444444444497</v>
      </c>
      <c r="B2757" s="2">
        <v>6.29</v>
      </c>
      <c r="C2757" s="2">
        <v>3.79</v>
      </c>
      <c r="D2757" s="2">
        <v>5.26</v>
      </c>
      <c r="E2757" s="2">
        <v>5.09</v>
      </c>
      <c r="F2757" s="2">
        <v>2.99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</row>
    <row r="2758" spans="1:11" x14ac:dyDescent="0.25">
      <c r="A2758" s="1">
        <v>0.91388888888888897</v>
      </c>
      <c r="B2758" s="2">
        <v>6.1099999999999994</v>
      </c>
      <c r="C2758" s="2">
        <v>3.6599999999999997</v>
      </c>
      <c r="D2758" s="2">
        <v>5.3100000000000005</v>
      </c>
      <c r="E2758" s="2">
        <v>5.59</v>
      </c>
      <c r="F2758" s="2">
        <v>2.92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</row>
    <row r="2759" spans="1:11" x14ac:dyDescent="0.25">
      <c r="A2759" s="1">
        <v>0.91458333333333297</v>
      </c>
      <c r="B2759" s="2">
        <v>6.24</v>
      </c>
      <c r="C2759" s="2">
        <v>3.8</v>
      </c>
      <c r="D2759" s="2">
        <v>5.19</v>
      </c>
      <c r="E2759" s="2">
        <v>5.0599999999999996</v>
      </c>
      <c r="F2759" s="2">
        <v>3.22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</row>
    <row r="2760" spans="1:11" x14ac:dyDescent="0.25">
      <c r="A2760" s="1">
        <v>0.91527777777777797</v>
      </c>
      <c r="B2760" s="2">
        <v>6.1499999999999995</v>
      </c>
      <c r="C2760" s="2">
        <v>3.76</v>
      </c>
      <c r="D2760" s="2">
        <v>5.1400000000000006</v>
      </c>
      <c r="E2760" s="2">
        <v>5.6899999999999995</v>
      </c>
      <c r="F2760" s="2">
        <v>3.31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</row>
    <row r="2761" spans="1:11" x14ac:dyDescent="0.25">
      <c r="A2761" s="1">
        <v>0.91597222222222197</v>
      </c>
      <c r="B2761" s="2">
        <v>6.3599999999999994</v>
      </c>
      <c r="C2761" s="2">
        <v>3.73</v>
      </c>
      <c r="D2761" s="2">
        <v>4.87</v>
      </c>
      <c r="E2761" s="2">
        <v>5.51</v>
      </c>
      <c r="F2761" s="2">
        <v>3.06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</row>
    <row r="2762" spans="1:11" x14ac:dyDescent="0.25">
      <c r="A2762" s="3">
        <v>0.91666666666666696</v>
      </c>
      <c r="B2762" s="2">
        <v>6.22</v>
      </c>
      <c r="C2762" s="2">
        <v>3.77</v>
      </c>
      <c r="D2762" s="2">
        <v>5.1100000000000003</v>
      </c>
      <c r="E2762" s="2">
        <v>5.36</v>
      </c>
      <c r="F2762" s="2">
        <v>3.19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</row>
    <row r="2763" spans="1:11" x14ac:dyDescent="0.25">
      <c r="A2763" s="1">
        <v>0.91736111111111096</v>
      </c>
      <c r="B2763" s="2">
        <v>6.35</v>
      </c>
      <c r="C2763" s="2">
        <v>3.61</v>
      </c>
      <c r="D2763" s="2">
        <v>5.36</v>
      </c>
      <c r="E2763" s="2">
        <v>5.71</v>
      </c>
      <c r="F2763" s="2">
        <v>3.0100000000000002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</row>
    <row r="2764" spans="1:11" x14ac:dyDescent="0.25">
      <c r="A2764" s="1">
        <v>0.91805555555555596</v>
      </c>
      <c r="B2764" s="2">
        <v>6.3599999999999994</v>
      </c>
      <c r="C2764" s="2">
        <v>3.71</v>
      </c>
      <c r="D2764" s="2">
        <v>5.35</v>
      </c>
      <c r="E2764" s="2">
        <v>5.33</v>
      </c>
      <c r="F2764" s="2">
        <v>3.1100000000000003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</row>
    <row r="2765" spans="1:11" x14ac:dyDescent="0.25">
      <c r="A2765" s="1">
        <v>0.91874999999999996</v>
      </c>
      <c r="B2765" s="2">
        <v>6.34</v>
      </c>
      <c r="C2765" s="2">
        <v>3.8899999999999997</v>
      </c>
      <c r="D2765" s="2">
        <v>5.0200000000000005</v>
      </c>
      <c r="E2765" s="2">
        <v>5.14</v>
      </c>
      <c r="F2765" s="2">
        <v>3.31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</row>
    <row r="2766" spans="1:11" x14ac:dyDescent="0.25">
      <c r="A2766" s="1">
        <v>0.91944444444444495</v>
      </c>
      <c r="B2766" s="2">
        <v>6.1999999999999993</v>
      </c>
      <c r="C2766" s="2">
        <v>3.86</v>
      </c>
      <c r="D2766" s="2">
        <v>5.1400000000000006</v>
      </c>
      <c r="E2766" s="2">
        <v>5.16</v>
      </c>
      <c r="F2766" s="2">
        <v>3.1</v>
      </c>
      <c r="G2766" s="6">
        <v>0</v>
      </c>
      <c r="H2766" s="6">
        <v>0</v>
      </c>
      <c r="I2766" s="6">
        <v>0</v>
      </c>
      <c r="J2766" s="6">
        <v>0</v>
      </c>
      <c r="K2766" s="6">
        <v>0</v>
      </c>
    </row>
    <row r="2767" spans="1:11" x14ac:dyDescent="0.25">
      <c r="A2767" s="1">
        <v>0.92013888888888895</v>
      </c>
      <c r="B2767" s="2">
        <v>6.25</v>
      </c>
      <c r="C2767" s="2">
        <v>3.73</v>
      </c>
      <c r="D2767" s="2">
        <v>5.0600000000000005</v>
      </c>
      <c r="E2767" s="2">
        <v>5.05</v>
      </c>
      <c r="F2767" s="2">
        <v>3.06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</row>
    <row r="2768" spans="1:11" x14ac:dyDescent="0.25">
      <c r="A2768" s="1">
        <v>0.92083333333333295</v>
      </c>
      <c r="B2768" s="2">
        <v>6.3199999999999994</v>
      </c>
      <c r="C2768" s="2">
        <v>3.79</v>
      </c>
      <c r="D2768" s="2">
        <v>5.29</v>
      </c>
      <c r="E2768" s="2">
        <v>5.28</v>
      </c>
      <c r="F2768" s="2">
        <v>3.21</v>
      </c>
      <c r="G2768" s="6">
        <v>0</v>
      </c>
      <c r="H2768" s="6">
        <v>0</v>
      </c>
      <c r="I2768" s="6">
        <v>0</v>
      </c>
      <c r="J2768" s="6">
        <v>0</v>
      </c>
      <c r="K2768" s="6">
        <v>0</v>
      </c>
    </row>
    <row r="2769" spans="1:11" x14ac:dyDescent="0.25">
      <c r="A2769" s="1">
        <v>0.92152777777777795</v>
      </c>
      <c r="B2769" s="2">
        <v>6.35</v>
      </c>
      <c r="C2769" s="2">
        <v>3.6599999999999997</v>
      </c>
      <c r="D2769" s="2">
        <v>5.17</v>
      </c>
      <c r="E2769" s="2">
        <v>5.55</v>
      </c>
      <c r="F2769" s="2">
        <v>2.95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</row>
    <row r="2770" spans="1:11" x14ac:dyDescent="0.25">
      <c r="A2770" s="1">
        <v>0.92222222222222205</v>
      </c>
      <c r="B2770" s="2">
        <v>6.2799999999999994</v>
      </c>
      <c r="C2770" s="2">
        <v>3.6599999999999997</v>
      </c>
      <c r="D2770" s="2">
        <v>4.9000000000000004</v>
      </c>
      <c r="E2770" s="2">
        <v>5.3999999999999995</v>
      </c>
      <c r="F2770" s="2">
        <v>2.96</v>
      </c>
      <c r="G2770" s="6">
        <v>0</v>
      </c>
      <c r="H2770" s="6">
        <v>0</v>
      </c>
      <c r="I2770" s="6">
        <v>0</v>
      </c>
      <c r="J2770" s="6">
        <v>0</v>
      </c>
      <c r="K2770" s="6">
        <v>0</v>
      </c>
    </row>
    <row r="2771" spans="1:11" x14ac:dyDescent="0.25">
      <c r="A2771" s="1">
        <v>0.92291666666666705</v>
      </c>
      <c r="B2771" s="2">
        <v>6.33</v>
      </c>
      <c r="C2771" s="2">
        <v>3.7399999999999998</v>
      </c>
      <c r="D2771" s="2">
        <v>5.22</v>
      </c>
      <c r="E2771" s="2">
        <v>5.49</v>
      </c>
      <c r="F2771" s="2">
        <v>3.1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</row>
    <row r="2772" spans="1:11" x14ac:dyDescent="0.25">
      <c r="A2772" s="1">
        <v>0.92361111111111105</v>
      </c>
      <c r="B2772" s="2">
        <v>6.3199999999999994</v>
      </c>
      <c r="C2772" s="2">
        <v>3.75</v>
      </c>
      <c r="D2772" s="2">
        <v>5.07</v>
      </c>
      <c r="E2772" s="2">
        <v>5.43</v>
      </c>
      <c r="F2772" s="2">
        <v>3.3600000000000003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</row>
    <row r="2773" spans="1:11" x14ac:dyDescent="0.25">
      <c r="A2773" s="1">
        <v>0.92430555555555605</v>
      </c>
      <c r="B2773" s="2">
        <v>6.2799999999999994</v>
      </c>
      <c r="C2773" s="2">
        <v>3.88</v>
      </c>
      <c r="D2773" s="2">
        <v>5.08</v>
      </c>
      <c r="E2773" s="2">
        <v>5.57</v>
      </c>
      <c r="F2773" s="2">
        <v>2.88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</row>
    <row r="2774" spans="1:11" x14ac:dyDescent="0.25">
      <c r="A2774" s="1">
        <v>0.92500000000000004</v>
      </c>
      <c r="B2774" s="2">
        <v>6.1499999999999995</v>
      </c>
      <c r="C2774" s="2">
        <v>3.6999999999999997</v>
      </c>
      <c r="D2774" s="2">
        <v>4.96</v>
      </c>
      <c r="E2774" s="2">
        <v>5.37</v>
      </c>
      <c r="F2774" s="2">
        <v>3.23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</row>
    <row r="2775" spans="1:11" x14ac:dyDescent="0.25">
      <c r="A2775" s="1">
        <v>0.92569444444444404</v>
      </c>
      <c r="B2775" s="2">
        <v>6.3699999999999992</v>
      </c>
      <c r="C2775" s="2">
        <v>3.73</v>
      </c>
      <c r="D2775" s="2">
        <v>5.34</v>
      </c>
      <c r="E2775" s="2">
        <v>5.62</v>
      </c>
      <c r="F2775" s="2">
        <v>3.27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</row>
    <row r="2776" spans="1:11" x14ac:dyDescent="0.25">
      <c r="A2776" s="1">
        <v>0.92638888888888904</v>
      </c>
      <c r="B2776" s="2">
        <v>6.22</v>
      </c>
      <c r="C2776" s="2">
        <v>3.82</v>
      </c>
      <c r="D2776" s="2">
        <v>5.01</v>
      </c>
      <c r="E2776" s="2">
        <v>5.66</v>
      </c>
      <c r="F2776" s="2">
        <v>3.17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</row>
    <row r="2777" spans="1:11" x14ac:dyDescent="0.25">
      <c r="A2777" s="1">
        <v>0.92708333333333304</v>
      </c>
      <c r="B2777" s="2">
        <v>6.3</v>
      </c>
      <c r="C2777" s="2">
        <v>3.6399999999999997</v>
      </c>
      <c r="D2777" s="2">
        <v>5.0200000000000005</v>
      </c>
      <c r="E2777" s="2">
        <v>5.16</v>
      </c>
      <c r="F2777" s="2">
        <v>3.1100000000000003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</row>
    <row r="2778" spans="1:11" x14ac:dyDescent="0.25">
      <c r="A2778" s="1">
        <v>0.92777777777777803</v>
      </c>
      <c r="B2778" s="2">
        <v>6.14</v>
      </c>
      <c r="C2778" s="2">
        <v>3.67</v>
      </c>
      <c r="D2778" s="2">
        <v>5.01</v>
      </c>
      <c r="E2778" s="2">
        <v>5.2299999999999995</v>
      </c>
      <c r="F2778" s="2">
        <v>3.1500000000000004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</row>
    <row r="2779" spans="1:11" x14ac:dyDescent="0.25">
      <c r="A2779" s="1">
        <v>0.92847222222222203</v>
      </c>
      <c r="B2779" s="2">
        <v>6.35</v>
      </c>
      <c r="C2779" s="2">
        <v>3.67</v>
      </c>
      <c r="D2779" s="2">
        <v>5.2</v>
      </c>
      <c r="E2779" s="2">
        <v>5.59</v>
      </c>
      <c r="F2779" s="2">
        <v>2.88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</row>
    <row r="2780" spans="1:11" x14ac:dyDescent="0.25">
      <c r="A2780" s="1">
        <v>0.92916666666666703</v>
      </c>
      <c r="B2780" s="2">
        <v>6.1599999999999993</v>
      </c>
      <c r="C2780" s="2">
        <v>3.65</v>
      </c>
      <c r="D2780" s="2">
        <v>5</v>
      </c>
      <c r="E2780" s="2">
        <v>5.26</v>
      </c>
      <c r="F2780" s="2">
        <v>3.17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</row>
    <row r="2781" spans="1:11" x14ac:dyDescent="0.25">
      <c r="A2781" s="1">
        <v>0.92986111111111103</v>
      </c>
      <c r="B2781" s="2">
        <v>6.29</v>
      </c>
      <c r="C2781" s="2">
        <v>3.76</v>
      </c>
      <c r="D2781" s="2">
        <v>4.92</v>
      </c>
      <c r="E2781" s="2">
        <v>5.31</v>
      </c>
      <c r="F2781" s="2">
        <v>3.0300000000000002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</row>
    <row r="2782" spans="1:11" x14ac:dyDescent="0.25">
      <c r="A2782" s="1">
        <v>0.93055555555555602</v>
      </c>
      <c r="B2782" s="2">
        <v>6.21</v>
      </c>
      <c r="C2782" s="2">
        <v>3.6199999999999997</v>
      </c>
      <c r="D2782" s="2">
        <v>5.29</v>
      </c>
      <c r="E2782" s="2">
        <v>5.43</v>
      </c>
      <c r="F2782" s="2">
        <v>3.2600000000000002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</row>
    <row r="2783" spans="1:11" x14ac:dyDescent="0.25">
      <c r="A2783" s="1">
        <v>0.93125000000000002</v>
      </c>
      <c r="B2783" s="2">
        <v>6.31</v>
      </c>
      <c r="C2783" s="2">
        <v>3.63</v>
      </c>
      <c r="D2783" s="2">
        <v>5.03</v>
      </c>
      <c r="E2783" s="2">
        <v>5.2299999999999995</v>
      </c>
      <c r="F2783" s="2">
        <v>3.13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</row>
    <row r="2784" spans="1:11" x14ac:dyDescent="0.25">
      <c r="A2784" s="1">
        <v>0.93194444444444402</v>
      </c>
      <c r="B2784" s="2">
        <v>6.1499999999999995</v>
      </c>
      <c r="C2784" s="2">
        <v>3.79</v>
      </c>
      <c r="D2784" s="2">
        <v>5.17</v>
      </c>
      <c r="E2784" s="2">
        <v>5.12</v>
      </c>
      <c r="F2784" s="2">
        <v>2.98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</row>
    <row r="2785" spans="1:11" x14ac:dyDescent="0.25">
      <c r="A2785" s="1">
        <v>0.93263888888888902</v>
      </c>
      <c r="B2785" s="2">
        <v>6.2399999999999993</v>
      </c>
      <c r="C2785" s="2">
        <v>3.6399999999999997</v>
      </c>
      <c r="D2785" s="2">
        <v>5.08</v>
      </c>
      <c r="E2785" s="2">
        <v>5.58</v>
      </c>
      <c r="F2785" s="2">
        <v>3.14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</row>
    <row r="2786" spans="1:11" x14ac:dyDescent="0.25">
      <c r="A2786" s="1">
        <v>0.93333333333333302</v>
      </c>
      <c r="B2786" s="2">
        <v>6.13</v>
      </c>
      <c r="C2786" s="2">
        <v>3.77</v>
      </c>
      <c r="D2786" s="2">
        <v>4.95</v>
      </c>
      <c r="E2786" s="2">
        <v>5.31</v>
      </c>
      <c r="F2786" s="2">
        <v>3.39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</row>
    <row r="2787" spans="1:11" x14ac:dyDescent="0.25">
      <c r="A2787" s="1">
        <v>0.93402777777777801</v>
      </c>
      <c r="B2787" s="2">
        <v>6.21</v>
      </c>
      <c r="C2787" s="2">
        <v>3.84</v>
      </c>
      <c r="D2787" s="2">
        <v>5.23</v>
      </c>
      <c r="E2787" s="2">
        <v>5.08</v>
      </c>
      <c r="F2787" s="2">
        <v>3.0700000000000003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</row>
    <row r="2788" spans="1:11" x14ac:dyDescent="0.25">
      <c r="A2788" s="1">
        <v>0.93472222222222201</v>
      </c>
      <c r="B2788" s="2">
        <v>6.3599999999999994</v>
      </c>
      <c r="C2788" s="2">
        <v>3.77</v>
      </c>
      <c r="D2788" s="2">
        <v>5.08</v>
      </c>
      <c r="E2788" s="2">
        <v>5.32</v>
      </c>
      <c r="F2788" s="2">
        <v>3.35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</row>
    <row r="2789" spans="1:11" x14ac:dyDescent="0.25">
      <c r="A2789" s="1">
        <v>0.93541666666666701</v>
      </c>
      <c r="B2789" s="2">
        <v>6.2399999999999993</v>
      </c>
      <c r="C2789" s="2">
        <v>3.84</v>
      </c>
      <c r="D2789" s="2">
        <v>4.95</v>
      </c>
      <c r="E2789" s="2">
        <v>5.22</v>
      </c>
      <c r="F2789" s="2">
        <v>3.22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</row>
    <row r="2790" spans="1:11" x14ac:dyDescent="0.25">
      <c r="A2790" s="1">
        <v>0.93611111111111101</v>
      </c>
      <c r="B2790" s="2">
        <v>6.3699999999999992</v>
      </c>
      <c r="C2790" s="2">
        <v>3.75</v>
      </c>
      <c r="D2790" s="2">
        <v>5.16</v>
      </c>
      <c r="E2790" s="2">
        <v>5.12</v>
      </c>
      <c r="F2790" s="2">
        <v>2.93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</row>
    <row r="2791" spans="1:11" x14ac:dyDescent="0.25">
      <c r="A2791" s="1">
        <v>0.936805555555556</v>
      </c>
      <c r="B2791" s="2">
        <v>6.27</v>
      </c>
      <c r="C2791" s="2">
        <v>3.77</v>
      </c>
      <c r="D2791" s="2">
        <v>5.28</v>
      </c>
      <c r="E2791" s="2">
        <v>5.56</v>
      </c>
      <c r="F2791" s="2">
        <v>3.13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</row>
    <row r="2792" spans="1:11" x14ac:dyDescent="0.25">
      <c r="A2792" s="1">
        <v>0.9375</v>
      </c>
      <c r="B2792" s="2">
        <v>6.25</v>
      </c>
      <c r="C2792" s="2">
        <v>3.76</v>
      </c>
      <c r="D2792" s="2">
        <v>5.09</v>
      </c>
      <c r="E2792" s="2">
        <v>5.64</v>
      </c>
      <c r="F2792" s="2">
        <v>3.0100000000000002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</row>
    <row r="2793" spans="1:11" x14ac:dyDescent="0.25">
      <c r="A2793" s="1">
        <v>0.938194444444444</v>
      </c>
      <c r="B2793" s="2">
        <v>6.1599999999999993</v>
      </c>
      <c r="C2793" s="2">
        <v>3.6599999999999997</v>
      </c>
      <c r="D2793" s="2">
        <v>5.12</v>
      </c>
      <c r="E2793" s="2">
        <v>5.13</v>
      </c>
      <c r="F2793" s="2">
        <v>3.24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</row>
    <row r="2794" spans="1:11" x14ac:dyDescent="0.25">
      <c r="A2794" s="1">
        <v>0.93888888888888899</v>
      </c>
      <c r="B2794" s="2">
        <v>6.14</v>
      </c>
      <c r="C2794" s="2">
        <v>3.81</v>
      </c>
      <c r="D2794" s="2">
        <v>5.19</v>
      </c>
      <c r="E2794" s="2">
        <v>5.6099999999999994</v>
      </c>
      <c r="F2794" s="2">
        <v>3.29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</row>
    <row r="2795" spans="1:11" x14ac:dyDescent="0.25">
      <c r="A2795" s="1">
        <v>0.93958333333333299</v>
      </c>
      <c r="B2795" s="2">
        <v>6.1</v>
      </c>
      <c r="C2795" s="2">
        <v>3.5999999999999996</v>
      </c>
      <c r="D2795" s="2">
        <v>5.22</v>
      </c>
      <c r="E2795" s="2">
        <v>5.6499999999999995</v>
      </c>
      <c r="F2795" s="2">
        <v>2.95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</row>
    <row r="2796" spans="1:11" x14ac:dyDescent="0.25">
      <c r="A2796" s="1">
        <v>0.94027777777777799</v>
      </c>
      <c r="B2796" s="2">
        <v>6.18</v>
      </c>
      <c r="C2796" s="2">
        <v>3.73</v>
      </c>
      <c r="D2796" s="2">
        <v>5.33</v>
      </c>
      <c r="E2796" s="2">
        <v>5.52</v>
      </c>
      <c r="F2796" s="2">
        <v>3.1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</row>
    <row r="2797" spans="1:11" x14ac:dyDescent="0.25">
      <c r="A2797" s="1">
        <v>0.94097222222222199</v>
      </c>
      <c r="B2797" s="2">
        <v>6.13</v>
      </c>
      <c r="C2797" s="2">
        <v>3.8499999999999996</v>
      </c>
      <c r="D2797" s="2">
        <v>5.37</v>
      </c>
      <c r="E2797" s="2">
        <v>5.21</v>
      </c>
      <c r="F2797" s="2">
        <v>2.89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</row>
    <row r="2798" spans="1:11" x14ac:dyDescent="0.25">
      <c r="A2798" s="1">
        <v>0.94166666666666698</v>
      </c>
      <c r="B2798" s="2">
        <v>6.17</v>
      </c>
      <c r="C2798" s="2">
        <v>3.87</v>
      </c>
      <c r="D2798" s="2">
        <v>5.25</v>
      </c>
      <c r="E2798" s="2">
        <v>5.05</v>
      </c>
      <c r="F2798" s="2">
        <v>3.13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</row>
    <row r="2799" spans="1:11" x14ac:dyDescent="0.25">
      <c r="A2799" s="1">
        <v>0.94236111111111098</v>
      </c>
      <c r="B2799" s="2">
        <v>6.33</v>
      </c>
      <c r="C2799" s="2">
        <v>3.79</v>
      </c>
      <c r="D2799" s="2">
        <v>5.32</v>
      </c>
      <c r="E2799" s="2">
        <v>5.08</v>
      </c>
      <c r="F2799" s="2">
        <v>3.0100000000000002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</row>
    <row r="2800" spans="1:11" x14ac:dyDescent="0.25">
      <c r="A2800" s="1">
        <v>0.94305555555555598</v>
      </c>
      <c r="B2800" s="2">
        <v>6.1099999999999994</v>
      </c>
      <c r="C2800" s="2">
        <v>3.7399999999999998</v>
      </c>
      <c r="D2800" s="2">
        <v>5.29</v>
      </c>
      <c r="E2800" s="2">
        <v>5.5</v>
      </c>
      <c r="F2800" s="2">
        <v>3.23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</row>
    <row r="2801" spans="1:11" x14ac:dyDescent="0.25">
      <c r="A2801" s="1">
        <v>0.94374999999999998</v>
      </c>
      <c r="B2801" s="2">
        <v>6.2799999999999994</v>
      </c>
      <c r="C2801" s="2">
        <v>3.79</v>
      </c>
      <c r="D2801" s="2">
        <v>5.33</v>
      </c>
      <c r="E2801" s="2">
        <v>5.37</v>
      </c>
      <c r="F2801" s="2">
        <v>3.23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</row>
    <row r="2802" spans="1:11" x14ac:dyDescent="0.25">
      <c r="A2802" s="1">
        <v>0.94444444444444497</v>
      </c>
      <c r="B2802" s="2">
        <v>6.27</v>
      </c>
      <c r="C2802" s="2">
        <v>3.65</v>
      </c>
      <c r="D2802" s="2">
        <v>4.91</v>
      </c>
      <c r="E2802" s="2">
        <v>5.14</v>
      </c>
      <c r="F2802" s="2">
        <v>3.22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</row>
    <row r="2803" spans="1:11" x14ac:dyDescent="0.25">
      <c r="A2803" s="1">
        <v>0.94513888888888897</v>
      </c>
      <c r="B2803" s="2">
        <v>6.18</v>
      </c>
      <c r="C2803" s="2">
        <v>3.84</v>
      </c>
      <c r="D2803" s="2">
        <v>5.3</v>
      </c>
      <c r="E2803" s="2">
        <v>5.3</v>
      </c>
      <c r="F2803" s="2">
        <v>3.3000000000000003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</row>
    <row r="2804" spans="1:11" x14ac:dyDescent="0.25">
      <c r="A2804" s="1">
        <v>0.94583333333333297</v>
      </c>
      <c r="B2804" s="2">
        <v>6.1599999999999993</v>
      </c>
      <c r="C2804" s="2">
        <v>3.84</v>
      </c>
      <c r="D2804" s="2">
        <v>5.08</v>
      </c>
      <c r="E2804" s="2">
        <v>5.55</v>
      </c>
      <c r="F2804" s="2">
        <v>2.98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</row>
    <row r="2805" spans="1:11" x14ac:dyDescent="0.25">
      <c r="A2805" s="1">
        <v>0.94652777777777797</v>
      </c>
      <c r="B2805" s="2">
        <v>6.26</v>
      </c>
      <c r="C2805" s="2">
        <v>3.6799999999999997</v>
      </c>
      <c r="D2805" s="2">
        <v>4.88</v>
      </c>
      <c r="E2805" s="2">
        <v>5.2299999999999995</v>
      </c>
      <c r="F2805" s="2">
        <v>3.3200000000000003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</row>
    <row r="2806" spans="1:11" x14ac:dyDescent="0.25">
      <c r="A2806" s="1">
        <v>0.94722222222222197</v>
      </c>
      <c r="B2806" s="2">
        <v>6.2799999999999994</v>
      </c>
      <c r="C2806" s="2">
        <v>3.8</v>
      </c>
      <c r="D2806" s="2">
        <v>5.1100000000000003</v>
      </c>
      <c r="E2806" s="2">
        <v>5.7</v>
      </c>
      <c r="F2806" s="2">
        <v>2.96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</row>
    <row r="2807" spans="1:11" x14ac:dyDescent="0.25">
      <c r="A2807" s="1">
        <v>0.94791666666666696</v>
      </c>
      <c r="B2807" s="2">
        <v>6.34</v>
      </c>
      <c r="C2807" s="2">
        <v>3.6799999999999997</v>
      </c>
      <c r="D2807" s="2">
        <v>5.24</v>
      </c>
      <c r="E2807" s="2">
        <v>5.38</v>
      </c>
      <c r="F2807" s="2">
        <v>3.08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</row>
    <row r="2808" spans="1:11" x14ac:dyDescent="0.25">
      <c r="A2808" s="1">
        <v>0.94861111111111096</v>
      </c>
      <c r="B2808" s="2">
        <v>6.3599999999999994</v>
      </c>
      <c r="C2808" s="2">
        <v>3.88</v>
      </c>
      <c r="D2808" s="2">
        <v>5.24</v>
      </c>
      <c r="E2808" s="2">
        <v>5.5299999999999994</v>
      </c>
      <c r="F2808" s="2">
        <v>2.98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</row>
    <row r="2809" spans="1:11" x14ac:dyDescent="0.25">
      <c r="A2809" s="1">
        <v>0.94930555555555596</v>
      </c>
      <c r="B2809" s="2">
        <v>6.29</v>
      </c>
      <c r="C2809" s="2">
        <v>3.77</v>
      </c>
      <c r="D2809" s="2">
        <v>5.04</v>
      </c>
      <c r="E2809" s="2">
        <v>5.41</v>
      </c>
      <c r="F2809" s="2">
        <v>3.25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</row>
    <row r="2810" spans="1:11" x14ac:dyDescent="0.25">
      <c r="A2810" s="1">
        <v>0.95</v>
      </c>
      <c r="B2810" s="2">
        <v>6.3699999999999992</v>
      </c>
      <c r="C2810" s="2">
        <v>3.63</v>
      </c>
      <c r="D2810" s="2">
        <v>5.34</v>
      </c>
      <c r="E2810" s="2">
        <v>5.57</v>
      </c>
      <c r="F2810" s="2">
        <v>2.93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</row>
    <row r="2811" spans="1:11" x14ac:dyDescent="0.25">
      <c r="A2811" s="1">
        <v>0.95069444444444495</v>
      </c>
      <c r="B2811" s="2">
        <v>6.1499999999999995</v>
      </c>
      <c r="C2811" s="2">
        <v>3.73</v>
      </c>
      <c r="D2811" s="2">
        <v>5.08</v>
      </c>
      <c r="E2811" s="2">
        <v>5.32</v>
      </c>
      <c r="F2811" s="2">
        <v>2.98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</row>
    <row r="2812" spans="1:11" x14ac:dyDescent="0.25">
      <c r="A2812" s="1">
        <v>0.95138888888888895</v>
      </c>
      <c r="B2812" s="2">
        <v>6.1899999999999995</v>
      </c>
      <c r="C2812" s="2">
        <v>3.6399999999999997</v>
      </c>
      <c r="D2812" s="2">
        <v>5.25</v>
      </c>
      <c r="E2812" s="2">
        <v>5.18</v>
      </c>
      <c r="F2812" s="2">
        <v>3.0100000000000002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</row>
    <row r="2813" spans="1:11" x14ac:dyDescent="0.25">
      <c r="A2813" s="1">
        <v>0.95208333333333295</v>
      </c>
      <c r="B2813" s="2">
        <v>6.22</v>
      </c>
      <c r="C2813" s="2">
        <v>3.88</v>
      </c>
      <c r="D2813" s="2">
        <v>5.03</v>
      </c>
      <c r="E2813" s="2">
        <v>5.62</v>
      </c>
      <c r="F2813" s="2">
        <v>3.1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</row>
    <row r="2814" spans="1:11" x14ac:dyDescent="0.25">
      <c r="A2814" s="1">
        <v>0.95277777777777795</v>
      </c>
      <c r="B2814" s="2">
        <v>6.3599999999999994</v>
      </c>
      <c r="C2814" s="2">
        <v>3.6399999999999997</v>
      </c>
      <c r="D2814" s="2">
        <v>4.92</v>
      </c>
      <c r="E2814" s="2">
        <v>5.7</v>
      </c>
      <c r="F2814" s="2">
        <v>3.19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</row>
    <row r="2815" spans="1:11" x14ac:dyDescent="0.25">
      <c r="A2815" s="1">
        <v>0.95347222222222205</v>
      </c>
      <c r="B2815" s="2">
        <v>6.3199999999999994</v>
      </c>
      <c r="C2815" s="2">
        <v>3.67</v>
      </c>
      <c r="D2815" s="2">
        <v>5.25</v>
      </c>
      <c r="E2815" s="2">
        <v>5.55</v>
      </c>
      <c r="F2815" s="2">
        <v>2.91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</row>
    <row r="2816" spans="1:11" x14ac:dyDescent="0.25">
      <c r="A2816" s="1">
        <v>0.95416666666666705</v>
      </c>
      <c r="B2816" s="2">
        <v>6.1999999999999993</v>
      </c>
      <c r="C2816" s="2">
        <v>3.6599999999999997</v>
      </c>
      <c r="D2816" s="2">
        <v>5.1100000000000003</v>
      </c>
      <c r="E2816" s="2">
        <v>5.5299999999999994</v>
      </c>
      <c r="F2816" s="2">
        <v>3.3200000000000003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</row>
    <row r="2817" spans="1:11" x14ac:dyDescent="0.25">
      <c r="A2817" s="1">
        <v>0.95486111111111105</v>
      </c>
      <c r="B2817" s="2">
        <v>6.14</v>
      </c>
      <c r="C2817" s="2">
        <v>3.7399999999999998</v>
      </c>
      <c r="D2817" s="2">
        <v>5.01</v>
      </c>
      <c r="E2817" s="2">
        <v>5.58</v>
      </c>
      <c r="F2817" s="2">
        <v>3.06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</row>
    <row r="2818" spans="1:11" x14ac:dyDescent="0.25">
      <c r="A2818" s="1">
        <v>0.95555555555555605</v>
      </c>
      <c r="B2818" s="2">
        <v>6.21</v>
      </c>
      <c r="C2818" s="2">
        <v>3.76</v>
      </c>
      <c r="D2818" s="2">
        <v>4.9400000000000004</v>
      </c>
      <c r="E2818" s="2">
        <v>5.6099999999999994</v>
      </c>
      <c r="F2818" s="2">
        <v>2.93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</row>
    <row r="2819" spans="1:11" x14ac:dyDescent="0.25">
      <c r="A2819" s="1">
        <v>0.95625000000000004</v>
      </c>
      <c r="B2819" s="2">
        <v>6.25</v>
      </c>
      <c r="C2819" s="2">
        <v>3.65</v>
      </c>
      <c r="D2819" s="2">
        <v>4.91</v>
      </c>
      <c r="E2819" s="2">
        <v>5.31</v>
      </c>
      <c r="F2819" s="2">
        <v>3.38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</row>
    <row r="2820" spans="1:11" x14ac:dyDescent="0.25">
      <c r="A2820" s="1">
        <v>0.95694444444444404</v>
      </c>
      <c r="B2820" s="2">
        <v>6.27</v>
      </c>
      <c r="C2820" s="2">
        <v>3.6799999999999997</v>
      </c>
      <c r="D2820" s="2">
        <v>5.07</v>
      </c>
      <c r="E2820" s="2">
        <v>5.28</v>
      </c>
      <c r="F2820" s="2">
        <v>2.97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</row>
    <row r="2821" spans="1:11" x14ac:dyDescent="0.25">
      <c r="A2821" s="1">
        <v>0.95763888888888904</v>
      </c>
      <c r="B2821" s="2">
        <v>6.1899999999999995</v>
      </c>
      <c r="C2821" s="2">
        <v>3.61</v>
      </c>
      <c r="D2821" s="2">
        <v>4.87</v>
      </c>
      <c r="E2821" s="2">
        <v>5.4399999999999995</v>
      </c>
      <c r="F2821" s="2">
        <v>3.19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</row>
    <row r="2822" spans="1:11" x14ac:dyDescent="0.25">
      <c r="A2822" s="3">
        <v>0.95833333333333304</v>
      </c>
      <c r="B2822" s="2">
        <v>6.22</v>
      </c>
      <c r="C2822" s="2">
        <v>3.77</v>
      </c>
      <c r="D2822" s="2">
        <v>5.1100000000000003</v>
      </c>
      <c r="E2822" s="2">
        <v>5.36</v>
      </c>
      <c r="F2822" s="2">
        <v>3.19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</row>
    <row r="2823" spans="1:11" x14ac:dyDescent="0.25">
      <c r="A2823" s="1">
        <v>0.95902777777777803</v>
      </c>
      <c r="B2823" s="2">
        <v>6.1199999999999992</v>
      </c>
      <c r="C2823" s="2">
        <v>3.67</v>
      </c>
      <c r="D2823" s="2">
        <v>5.13</v>
      </c>
      <c r="E2823" s="2">
        <v>5.3000000000000007</v>
      </c>
      <c r="F2823" s="2">
        <v>2.94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</row>
    <row r="2824" spans="1:11" x14ac:dyDescent="0.25">
      <c r="A2824" s="1">
        <v>0.95972222222222203</v>
      </c>
      <c r="B2824" s="2">
        <v>6.1099999999999994</v>
      </c>
      <c r="C2824" s="2">
        <v>3.6799999999999997</v>
      </c>
      <c r="D2824" s="2">
        <v>5.29</v>
      </c>
      <c r="E2824" s="2">
        <v>5.04</v>
      </c>
      <c r="F2824" s="2">
        <v>3.27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</row>
    <row r="2825" spans="1:11" x14ac:dyDescent="0.25">
      <c r="A2825" s="1">
        <v>0.96041666666666703</v>
      </c>
      <c r="B2825" s="2">
        <v>6.3</v>
      </c>
      <c r="C2825" s="2">
        <v>3.77</v>
      </c>
      <c r="D2825" s="2">
        <v>5.07</v>
      </c>
      <c r="E2825" s="2">
        <v>5.53</v>
      </c>
      <c r="F2825" s="2">
        <v>3.16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</row>
    <row r="2826" spans="1:11" x14ac:dyDescent="0.25">
      <c r="A2826" s="1">
        <v>0.96111111111111103</v>
      </c>
      <c r="B2826" s="2">
        <v>6.3</v>
      </c>
      <c r="C2826" s="2">
        <v>3.7399999999999998</v>
      </c>
      <c r="D2826" s="2">
        <v>5.18</v>
      </c>
      <c r="E2826" s="2">
        <v>5.61</v>
      </c>
      <c r="F2826" s="2">
        <v>3.19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</row>
    <row r="2827" spans="1:11" x14ac:dyDescent="0.25">
      <c r="A2827" s="1">
        <v>0.96180555555555602</v>
      </c>
      <c r="B2827" s="2">
        <v>6.33</v>
      </c>
      <c r="C2827" s="2">
        <v>3.83</v>
      </c>
      <c r="D2827" s="2">
        <v>5.32</v>
      </c>
      <c r="E2827" s="2">
        <v>5.0600000000000005</v>
      </c>
      <c r="F2827" s="2">
        <v>3.3200000000000003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</row>
    <row r="2828" spans="1:11" x14ac:dyDescent="0.25">
      <c r="A2828" s="1">
        <v>0.96250000000000002</v>
      </c>
      <c r="B2828" s="2">
        <v>6.1999999999999993</v>
      </c>
      <c r="C2828" s="2">
        <v>3.69</v>
      </c>
      <c r="D2828" s="2">
        <v>4.97</v>
      </c>
      <c r="E2828" s="2">
        <v>5.17</v>
      </c>
      <c r="F2828" s="2">
        <v>3.31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</row>
    <row r="2829" spans="1:11" x14ac:dyDescent="0.25">
      <c r="A2829" s="1">
        <v>0.96319444444444402</v>
      </c>
      <c r="B2829" s="2">
        <v>6.27</v>
      </c>
      <c r="C2829" s="2">
        <v>3.65</v>
      </c>
      <c r="D2829" s="2">
        <v>4.8899999999999997</v>
      </c>
      <c r="E2829" s="2">
        <v>5.0600000000000005</v>
      </c>
      <c r="F2829" s="2">
        <v>3.33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</row>
    <row r="2830" spans="1:11" x14ac:dyDescent="0.25">
      <c r="A2830" s="1">
        <v>0.96388888888888902</v>
      </c>
      <c r="B2830" s="2">
        <v>6.3599999999999994</v>
      </c>
      <c r="C2830" s="2">
        <v>3.84</v>
      </c>
      <c r="D2830" s="2">
        <v>5.21</v>
      </c>
      <c r="E2830" s="2">
        <v>5.36</v>
      </c>
      <c r="F2830" s="2">
        <v>3.0100000000000002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</row>
    <row r="2831" spans="1:11" x14ac:dyDescent="0.25">
      <c r="A2831" s="1">
        <v>0.96458333333333302</v>
      </c>
      <c r="B2831" s="2">
        <v>6.29</v>
      </c>
      <c r="C2831" s="2">
        <v>3.75</v>
      </c>
      <c r="D2831" s="2">
        <v>5.37</v>
      </c>
      <c r="E2831" s="2">
        <v>5.4300000000000006</v>
      </c>
      <c r="F2831" s="2">
        <v>2.97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</row>
    <row r="2832" spans="1:11" x14ac:dyDescent="0.25">
      <c r="A2832" s="1">
        <v>0.96527777777777801</v>
      </c>
      <c r="B2832" s="2">
        <v>6.25</v>
      </c>
      <c r="C2832" s="2">
        <v>3.6599999999999997</v>
      </c>
      <c r="D2832" s="2">
        <v>5.0600000000000005</v>
      </c>
      <c r="E2832" s="2">
        <v>5.38</v>
      </c>
      <c r="F2832" s="2">
        <v>2.91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</row>
    <row r="2833" spans="1:11" x14ac:dyDescent="0.25">
      <c r="A2833" s="1">
        <v>0.96597222222222201</v>
      </c>
      <c r="B2833" s="2">
        <v>6.1199999999999992</v>
      </c>
      <c r="C2833" s="2">
        <v>3.65</v>
      </c>
      <c r="D2833" s="2">
        <v>5.09</v>
      </c>
      <c r="E2833" s="2">
        <v>5.48</v>
      </c>
      <c r="F2833" s="2">
        <v>3.21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</row>
    <row r="2834" spans="1:11" x14ac:dyDescent="0.25">
      <c r="A2834" s="1">
        <v>0.96666666666666701</v>
      </c>
      <c r="B2834" s="2">
        <v>6.25</v>
      </c>
      <c r="C2834" s="2">
        <v>3.8899999999999997</v>
      </c>
      <c r="D2834" s="2">
        <v>5.36</v>
      </c>
      <c r="E2834" s="2">
        <v>5.25</v>
      </c>
      <c r="F2834" s="2">
        <v>3.21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</row>
    <row r="2835" spans="1:11" x14ac:dyDescent="0.25">
      <c r="A2835" s="1">
        <v>0.96736111111111101</v>
      </c>
      <c r="B2835" s="2">
        <v>6.35</v>
      </c>
      <c r="C2835" s="2">
        <v>3.8499999999999996</v>
      </c>
      <c r="D2835" s="2">
        <v>5.35</v>
      </c>
      <c r="E2835" s="2">
        <v>5.23</v>
      </c>
      <c r="F2835" s="2">
        <v>3.0100000000000002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</row>
    <row r="2836" spans="1:11" x14ac:dyDescent="0.25">
      <c r="A2836" s="1">
        <v>0.968055555555556</v>
      </c>
      <c r="B2836" s="2">
        <v>6.3599999999999994</v>
      </c>
      <c r="C2836" s="2">
        <v>3.87</v>
      </c>
      <c r="D2836" s="2">
        <v>4.95</v>
      </c>
      <c r="E2836" s="2">
        <v>5.63</v>
      </c>
      <c r="F2836" s="2">
        <v>3.0700000000000003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</row>
    <row r="2837" spans="1:11" x14ac:dyDescent="0.25">
      <c r="A2837" s="1">
        <v>0.96875</v>
      </c>
      <c r="B2837" s="2">
        <v>6.14</v>
      </c>
      <c r="C2837" s="2">
        <v>3.7399999999999998</v>
      </c>
      <c r="D2837" s="2">
        <v>5</v>
      </c>
      <c r="E2837" s="2">
        <v>5.25</v>
      </c>
      <c r="F2837" s="2">
        <v>3.0300000000000002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</row>
    <row r="2838" spans="1:11" x14ac:dyDescent="0.25">
      <c r="A2838" s="1">
        <v>0.969444444444444</v>
      </c>
      <c r="B2838" s="2">
        <v>6.13</v>
      </c>
      <c r="C2838" s="2">
        <v>3.7199999999999998</v>
      </c>
      <c r="D2838" s="2">
        <v>4.99</v>
      </c>
      <c r="E2838" s="2">
        <v>5.2700000000000005</v>
      </c>
      <c r="F2838" s="2">
        <v>2.97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</row>
    <row r="2839" spans="1:11" x14ac:dyDescent="0.25">
      <c r="A2839" s="1">
        <v>0.97013888888888899</v>
      </c>
      <c r="B2839" s="2">
        <v>6.1199999999999992</v>
      </c>
      <c r="C2839" s="2">
        <v>3.78</v>
      </c>
      <c r="D2839" s="2">
        <v>4.95</v>
      </c>
      <c r="E2839" s="2">
        <v>5.25</v>
      </c>
      <c r="F2839" s="2">
        <v>3.04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</row>
    <row r="2840" spans="1:11" x14ac:dyDescent="0.25">
      <c r="A2840" s="1">
        <v>0.97083333333333299</v>
      </c>
      <c r="B2840" s="2">
        <v>6.29</v>
      </c>
      <c r="C2840" s="2">
        <v>3.75</v>
      </c>
      <c r="D2840" s="2">
        <v>5.2700000000000005</v>
      </c>
      <c r="E2840" s="2">
        <v>5.5200000000000005</v>
      </c>
      <c r="F2840" s="2">
        <v>3.08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</row>
    <row r="2841" spans="1:11" x14ac:dyDescent="0.25">
      <c r="A2841" s="1">
        <v>0.97152777777777799</v>
      </c>
      <c r="B2841" s="2">
        <v>6.3599999999999994</v>
      </c>
      <c r="C2841" s="2">
        <v>3.5999999999999996</v>
      </c>
      <c r="D2841" s="2">
        <v>5.3</v>
      </c>
      <c r="E2841" s="2">
        <v>5.23</v>
      </c>
      <c r="F2841" s="2">
        <v>3.37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</row>
    <row r="2842" spans="1:11" x14ac:dyDescent="0.25">
      <c r="A2842" s="1">
        <v>0.97222222222222199</v>
      </c>
      <c r="B2842" s="2">
        <v>6.33</v>
      </c>
      <c r="C2842" s="2">
        <v>3.82</v>
      </c>
      <c r="D2842" s="2">
        <v>5.03</v>
      </c>
      <c r="E2842" s="2">
        <v>5.1400000000000006</v>
      </c>
      <c r="F2842" s="2">
        <v>3.0900000000000003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</row>
    <row r="2843" spans="1:11" x14ac:dyDescent="0.25">
      <c r="A2843" s="1">
        <v>0.97291666666666698</v>
      </c>
      <c r="B2843" s="2">
        <v>6.14</v>
      </c>
      <c r="C2843" s="2">
        <v>3.61</v>
      </c>
      <c r="D2843" s="2">
        <v>5.18</v>
      </c>
      <c r="E2843" s="2">
        <v>5.67</v>
      </c>
      <c r="F2843" s="2">
        <v>3.0500000000000003</v>
      </c>
      <c r="G2843" s="6">
        <v>0</v>
      </c>
      <c r="H2843" s="6">
        <v>0</v>
      </c>
      <c r="I2843" s="6">
        <v>0</v>
      </c>
      <c r="J2843" s="6">
        <v>0</v>
      </c>
      <c r="K2843" s="6">
        <v>0</v>
      </c>
    </row>
    <row r="2844" spans="1:11" x14ac:dyDescent="0.25">
      <c r="A2844" s="1">
        <v>0.97361111111111098</v>
      </c>
      <c r="B2844" s="2">
        <v>6.1999999999999993</v>
      </c>
      <c r="C2844" s="2">
        <v>3.6599999999999997</v>
      </c>
      <c r="D2844" s="2">
        <v>5.18</v>
      </c>
      <c r="E2844" s="2">
        <v>5.04</v>
      </c>
      <c r="F2844" s="2">
        <v>3.1100000000000003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</row>
    <row r="2845" spans="1:11" x14ac:dyDescent="0.25">
      <c r="A2845" s="1">
        <v>0.97430555555555598</v>
      </c>
      <c r="B2845" s="2">
        <v>6.3</v>
      </c>
      <c r="C2845" s="2">
        <v>3.6199999999999997</v>
      </c>
      <c r="D2845" s="2">
        <v>4.9800000000000004</v>
      </c>
      <c r="E2845" s="2">
        <v>5.19</v>
      </c>
      <c r="F2845" s="2">
        <v>3.22</v>
      </c>
      <c r="G2845" s="6">
        <v>0</v>
      </c>
      <c r="H2845" s="6">
        <v>0</v>
      </c>
      <c r="I2845" s="6">
        <v>0</v>
      </c>
      <c r="J2845" s="6">
        <v>0</v>
      </c>
      <c r="K2845" s="6">
        <v>0</v>
      </c>
    </row>
    <row r="2846" spans="1:11" x14ac:dyDescent="0.25">
      <c r="A2846" s="1">
        <v>0.97499999999999998</v>
      </c>
      <c r="B2846" s="2">
        <v>6.1899999999999995</v>
      </c>
      <c r="C2846" s="2">
        <v>3.71</v>
      </c>
      <c r="D2846" s="2">
        <v>5.37</v>
      </c>
      <c r="E2846" s="2">
        <v>5.09</v>
      </c>
      <c r="F2846" s="2">
        <v>3.37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</row>
    <row r="2847" spans="1:11" x14ac:dyDescent="0.25">
      <c r="A2847" s="1">
        <v>0.97569444444444497</v>
      </c>
      <c r="B2847" s="2">
        <v>6.17</v>
      </c>
      <c r="C2847" s="2">
        <v>3.86</v>
      </c>
      <c r="D2847" s="2">
        <v>5.17</v>
      </c>
      <c r="E2847" s="2">
        <v>5.13</v>
      </c>
      <c r="F2847" s="2">
        <v>2.9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</row>
    <row r="2848" spans="1:11" x14ac:dyDescent="0.25">
      <c r="A2848" s="1">
        <v>0.97638888888888897</v>
      </c>
      <c r="B2848" s="2">
        <v>6.18</v>
      </c>
      <c r="C2848" s="2">
        <v>3.81</v>
      </c>
      <c r="D2848" s="2">
        <v>5.36</v>
      </c>
      <c r="E2848" s="2">
        <v>5.4</v>
      </c>
      <c r="F2848" s="2">
        <v>3.24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</row>
    <row r="2849" spans="1:11" x14ac:dyDescent="0.25">
      <c r="A2849" s="1">
        <v>0.97708333333333297</v>
      </c>
      <c r="B2849" s="2">
        <v>6.1599999999999993</v>
      </c>
      <c r="C2849" s="2">
        <v>3.5999999999999996</v>
      </c>
      <c r="D2849" s="2">
        <v>5.08</v>
      </c>
      <c r="E2849" s="2">
        <v>5.3000000000000007</v>
      </c>
      <c r="F2849" s="2">
        <v>2.89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</row>
    <row r="2850" spans="1:11" x14ac:dyDescent="0.25">
      <c r="A2850" s="1">
        <v>0.97777777777777797</v>
      </c>
      <c r="B2850" s="2">
        <v>6.1199999999999992</v>
      </c>
      <c r="C2850" s="2">
        <v>3.77</v>
      </c>
      <c r="D2850" s="2">
        <v>5.3100000000000005</v>
      </c>
      <c r="E2850" s="2">
        <v>5.48</v>
      </c>
      <c r="F2850" s="2">
        <v>3.2600000000000002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</row>
    <row r="2851" spans="1:11" x14ac:dyDescent="0.25">
      <c r="A2851" s="1">
        <v>0.97847222222222197</v>
      </c>
      <c r="B2851" s="2">
        <v>6.2299999999999995</v>
      </c>
      <c r="C2851" s="2">
        <v>3.76</v>
      </c>
      <c r="D2851" s="2">
        <v>5.26</v>
      </c>
      <c r="E2851" s="2">
        <v>5.41</v>
      </c>
      <c r="F2851" s="2">
        <v>2.93</v>
      </c>
      <c r="G2851" s="6">
        <v>0</v>
      </c>
      <c r="H2851" s="6">
        <v>0</v>
      </c>
      <c r="I2851" s="6">
        <v>0</v>
      </c>
      <c r="J2851" s="6">
        <v>0</v>
      </c>
      <c r="K2851" s="6">
        <v>0</v>
      </c>
    </row>
    <row r="2852" spans="1:11" x14ac:dyDescent="0.25">
      <c r="A2852" s="1">
        <v>0.97916666666666696</v>
      </c>
      <c r="B2852" s="2">
        <v>6.26</v>
      </c>
      <c r="C2852" s="2">
        <v>3.6999999999999997</v>
      </c>
      <c r="D2852" s="2">
        <v>5.0200000000000005</v>
      </c>
      <c r="E2852" s="2">
        <v>5.2700000000000005</v>
      </c>
      <c r="F2852" s="2">
        <v>3.12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</row>
    <row r="2853" spans="1:11" x14ac:dyDescent="0.25">
      <c r="A2853" s="1">
        <v>0.97986111111111096</v>
      </c>
      <c r="B2853" s="2">
        <v>6.1199999999999992</v>
      </c>
      <c r="C2853" s="2">
        <v>3.6799999999999997</v>
      </c>
      <c r="D2853" s="2">
        <v>4.93</v>
      </c>
      <c r="E2853" s="2">
        <v>5.13</v>
      </c>
      <c r="F2853" s="2">
        <v>2.91</v>
      </c>
      <c r="G2853" s="6">
        <v>0</v>
      </c>
      <c r="H2853" s="6">
        <v>0</v>
      </c>
      <c r="I2853" s="6">
        <v>0</v>
      </c>
      <c r="J2853" s="6">
        <v>0</v>
      </c>
      <c r="K2853" s="6">
        <v>0</v>
      </c>
    </row>
    <row r="2854" spans="1:11" x14ac:dyDescent="0.25">
      <c r="A2854" s="1">
        <v>0.98055555555555596</v>
      </c>
      <c r="B2854" s="2">
        <v>6.31</v>
      </c>
      <c r="C2854" s="2">
        <v>3.6999999999999997</v>
      </c>
      <c r="D2854" s="2">
        <v>5.2700000000000005</v>
      </c>
      <c r="E2854" s="2">
        <v>5.1000000000000005</v>
      </c>
      <c r="F2854" s="2">
        <v>3.21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</row>
    <row r="2855" spans="1:11" x14ac:dyDescent="0.25">
      <c r="A2855" s="1">
        <v>0.98124999999999996</v>
      </c>
      <c r="B2855" s="2">
        <v>6.14</v>
      </c>
      <c r="C2855" s="2">
        <v>3.87</v>
      </c>
      <c r="D2855" s="2">
        <v>4.97</v>
      </c>
      <c r="E2855" s="2">
        <v>5.2700000000000005</v>
      </c>
      <c r="F2855" s="2">
        <v>3.16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</row>
    <row r="2856" spans="1:11" x14ac:dyDescent="0.25">
      <c r="A2856" s="1">
        <v>0.98194444444444495</v>
      </c>
      <c r="B2856" s="2">
        <v>6.38</v>
      </c>
      <c r="C2856" s="2">
        <v>3.75</v>
      </c>
      <c r="D2856" s="2">
        <v>5.19</v>
      </c>
      <c r="E2856" s="2">
        <v>5.45</v>
      </c>
      <c r="F2856" s="2">
        <v>2.88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</row>
    <row r="2857" spans="1:11" x14ac:dyDescent="0.25">
      <c r="A2857" s="1">
        <v>0.98263888888888895</v>
      </c>
      <c r="B2857" s="2">
        <v>6.2799999999999994</v>
      </c>
      <c r="C2857" s="2">
        <v>3.7399999999999998</v>
      </c>
      <c r="D2857" s="2">
        <v>5.08</v>
      </c>
      <c r="E2857" s="2">
        <v>5.4300000000000006</v>
      </c>
      <c r="F2857" s="2">
        <v>2.99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</row>
    <row r="2858" spans="1:11" x14ac:dyDescent="0.25">
      <c r="A2858" s="1">
        <v>0.98333333333333295</v>
      </c>
      <c r="B2858" s="2">
        <v>6.3199999999999994</v>
      </c>
      <c r="C2858" s="2">
        <v>3.61</v>
      </c>
      <c r="D2858" s="2">
        <v>4.99</v>
      </c>
      <c r="E2858" s="2">
        <v>5.33</v>
      </c>
      <c r="F2858" s="2">
        <v>2.94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</row>
    <row r="2859" spans="1:11" x14ac:dyDescent="0.25">
      <c r="A2859" s="1">
        <v>0.98402777777777795</v>
      </c>
      <c r="B2859" s="2">
        <v>6.1</v>
      </c>
      <c r="C2859" s="2">
        <v>3.8899999999999997</v>
      </c>
      <c r="D2859" s="2">
        <v>5.36</v>
      </c>
      <c r="E2859" s="2">
        <v>5.5500000000000007</v>
      </c>
      <c r="F2859" s="2">
        <v>3.12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</row>
    <row r="2860" spans="1:11" x14ac:dyDescent="0.25">
      <c r="A2860" s="1">
        <v>0.98472222222222205</v>
      </c>
      <c r="B2860" s="2">
        <v>6.2399999999999993</v>
      </c>
      <c r="C2860" s="2">
        <v>3.86</v>
      </c>
      <c r="D2860" s="2">
        <v>4.92</v>
      </c>
      <c r="E2860" s="2">
        <v>5.4</v>
      </c>
      <c r="F2860" s="2">
        <v>3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</row>
    <row r="2861" spans="1:11" x14ac:dyDescent="0.25">
      <c r="A2861" s="1">
        <v>0.98541666666666705</v>
      </c>
      <c r="B2861" s="2">
        <v>6.3699999999999992</v>
      </c>
      <c r="C2861" s="2">
        <v>3.59</v>
      </c>
      <c r="D2861" s="2">
        <v>5.35</v>
      </c>
      <c r="E2861" s="2">
        <v>5.41</v>
      </c>
      <c r="F2861" s="2">
        <v>3.25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</row>
    <row r="2862" spans="1:11" x14ac:dyDescent="0.25">
      <c r="A2862" s="1">
        <v>0.98611111111111105</v>
      </c>
      <c r="B2862" s="2">
        <v>6.2799999999999994</v>
      </c>
      <c r="C2862" s="2">
        <v>3.59</v>
      </c>
      <c r="D2862" s="2">
        <v>4.97</v>
      </c>
      <c r="E2862" s="2">
        <v>5.29</v>
      </c>
      <c r="F2862" s="2">
        <v>3.06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</row>
    <row r="2863" spans="1:11" x14ac:dyDescent="0.25">
      <c r="A2863" s="1">
        <v>0.98680555555555605</v>
      </c>
      <c r="B2863" s="2">
        <v>6.17</v>
      </c>
      <c r="C2863" s="2">
        <v>3.5999999999999996</v>
      </c>
      <c r="D2863" s="2">
        <v>5.2700000000000005</v>
      </c>
      <c r="E2863" s="2">
        <v>5.38</v>
      </c>
      <c r="F2863" s="2">
        <v>2.9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</row>
    <row r="2864" spans="1:11" x14ac:dyDescent="0.25">
      <c r="A2864" s="1">
        <v>0.98750000000000004</v>
      </c>
      <c r="B2864" s="2">
        <v>6.2799999999999994</v>
      </c>
      <c r="C2864" s="2">
        <v>3.71</v>
      </c>
      <c r="D2864" s="2">
        <v>5.32</v>
      </c>
      <c r="E2864" s="2">
        <v>5.5500000000000007</v>
      </c>
      <c r="F2864" s="2">
        <v>2.88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</row>
    <row r="2865" spans="1:11" x14ac:dyDescent="0.25">
      <c r="A2865" s="1">
        <v>0.98819444444444404</v>
      </c>
      <c r="B2865" s="2">
        <v>6.1199999999999992</v>
      </c>
      <c r="C2865" s="2">
        <v>3.77</v>
      </c>
      <c r="D2865" s="2">
        <v>4.9400000000000004</v>
      </c>
      <c r="E2865" s="2">
        <v>5.61</v>
      </c>
      <c r="F2865" s="2">
        <v>2.93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</row>
    <row r="2866" spans="1:11" x14ac:dyDescent="0.25">
      <c r="A2866" s="1">
        <v>0.98888888888888904</v>
      </c>
      <c r="B2866" s="2">
        <v>6.3</v>
      </c>
      <c r="C2866" s="2">
        <v>3.65</v>
      </c>
      <c r="D2866" s="2">
        <v>4.9000000000000004</v>
      </c>
      <c r="E2866" s="2">
        <v>5.69</v>
      </c>
      <c r="F2866" s="2">
        <v>3.0500000000000003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</row>
    <row r="2867" spans="1:11" x14ac:dyDescent="0.25">
      <c r="A2867" s="1">
        <v>0.98958333333333304</v>
      </c>
      <c r="B2867" s="2">
        <v>6.34</v>
      </c>
      <c r="C2867" s="2">
        <v>3.59</v>
      </c>
      <c r="D2867" s="2">
        <v>5.35</v>
      </c>
      <c r="E2867" s="2">
        <v>5.51</v>
      </c>
      <c r="F2867" s="2">
        <v>3.25</v>
      </c>
      <c r="G2867" s="6">
        <v>0</v>
      </c>
      <c r="H2867" s="6">
        <v>0</v>
      </c>
      <c r="I2867" s="6">
        <v>0</v>
      </c>
      <c r="J2867" s="6">
        <v>0</v>
      </c>
      <c r="K2867" s="6">
        <v>0</v>
      </c>
    </row>
    <row r="2868" spans="1:11" x14ac:dyDescent="0.25">
      <c r="A2868" s="1">
        <v>0.99027777777777803</v>
      </c>
      <c r="B2868" s="2">
        <v>6.25</v>
      </c>
      <c r="C2868" s="2">
        <v>3.65</v>
      </c>
      <c r="D2868" s="2">
        <v>5.07</v>
      </c>
      <c r="E2868" s="2">
        <v>5.5200000000000005</v>
      </c>
      <c r="F2868" s="2">
        <v>3.08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</row>
    <row r="2869" spans="1:11" x14ac:dyDescent="0.25">
      <c r="A2869" s="1">
        <v>0.99097222222222203</v>
      </c>
      <c r="B2869" s="2">
        <v>6.26</v>
      </c>
      <c r="C2869" s="2">
        <v>3.69</v>
      </c>
      <c r="D2869" s="2">
        <v>5.34</v>
      </c>
      <c r="E2869" s="2">
        <v>5.45</v>
      </c>
      <c r="F2869" s="2">
        <v>2.98</v>
      </c>
      <c r="G2869" s="6">
        <v>0</v>
      </c>
      <c r="H2869" s="6">
        <v>0</v>
      </c>
      <c r="I2869" s="6">
        <v>0</v>
      </c>
      <c r="J2869" s="6">
        <v>0</v>
      </c>
      <c r="K2869" s="6">
        <v>0</v>
      </c>
    </row>
    <row r="2870" spans="1:11" x14ac:dyDescent="0.25">
      <c r="A2870" s="1">
        <v>0.99166666666666703</v>
      </c>
      <c r="B2870" s="2">
        <v>6.38</v>
      </c>
      <c r="C2870" s="2">
        <v>3.79</v>
      </c>
      <c r="D2870" s="2">
        <v>4.87</v>
      </c>
      <c r="E2870" s="2">
        <v>5.7</v>
      </c>
      <c r="F2870" s="2">
        <v>3.19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</row>
    <row r="2871" spans="1:11" x14ac:dyDescent="0.25">
      <c r="A2871" s="1">
        <v>0.99236111111111103</v>
      </c>
      <c r="B2871" s="2">
        <v>6.17</v>
      </c>
      <c r="C2871" s="2">
        <v>3.87</v>
      </c>
      <c r="D2871" s="2">
        <v>5.15</v>
      </c>
      <c r="E2871" s="2">
        <v>5.66</v>
      </c>
      <c r="F2871" s="2">
        <v>3.1500000000000004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</row>
    <row r="2872" spans="1:11" x14ac:dyDescent="0.25">
      <c r="A2872" s="1">
        <v>0.99305555555555602</v>
      </c>
      <c r="B2872" s="2">
        <v>6.35</v>
      </c>
      <c r="C2872" s="2">
        <v>3.8899999999999997</v>
      </c>
      <c r="D2872" s="2">
        <v>5.18</v>
      </c>
      <c r="E2872" s="2">
        <v>5.3900000000000006</v>
      </c>
      <c r="F2872" s="2">
        <v>3.08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</row>
    <row r="2873" spans="1:11" x14ac:dyDescent="0.25">
      <c r="A2873" s="1">
        <v>0.99375000000000002</v>
      </c>
      <c r="B2873" s="2">
        <v>6.14</v>
      </c>
      <c r="C2873" s="2">
        <v>3.86</v>
      </c>
      <c r="D2873" s="2">
        <v>5.09</v>
      </c>
      <c r="E2873" s="2">
        <v>5.1100000000000003</v>
      </c>
      <c r="F2873" s="2">
        <v>2.9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</row>
    <row r="2874" spans="1:11" x14ac:dyDescent="0.25">
      <c r="A2874" s="1">
        <v>0.99444444444444402</v>
      </c>
      <c r="B2874" s="2">
        <v>6.27</v>
      </c>
      <c r="C2874" s="2">
        <v>3.8</v>
      </c>
      <c r="D2874" s="2">
        <v>5.0600000000000005</v>
      </c>
      <c r="E2874" s="2">
        <v>5.03</v>
      </c>
      <c r="F2874" s="2">
        <v>3.3000000000000003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</row>
    <row r="2875" spans="1:11" x14ac:dyDescent="0.25">
      <c r="A2875" s="1">
        <v>0.99513888888888902</v>
      </c>
      <c r="B2875" s="2">
        <v>6.18</v>
      </c>
      <c r="C2875" s="2">
        <v>3.84</v>
      </c>
      <c r="D2875" s="2">
        <v>5.37</v>
      </c>
      <c r="E2875" s="2">
        <v>5.37</v>
      </c>
      <c r="F2875" s="2">
        <v>2.88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</row>
    <row r="2876" spans="1:11" x14ac:dyDescent="0.25">
      <c r="A2876" s="1">
        <v>0.99583333333333302</v>
      </c>
      <c r="B2876" s="2">
        <v>6.1599999999999993</v>
      </c>
      <c r="C2876" s="2">
        <v>3.6799999999999997</v>
      </c>
      <c r="D2876" s="2">
        <v>5.23</v>
      </c>
      <c r="E2876" s="2">
        <v>5.67</v>
      </c>
      <c r="F2876" s="2">
        <v>3.31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</row>
    <row r="2877" spans="1:11" x14ac:dyDescent="0.25">
      <c r="A2877" s="1">
        <v>0.99652777777777801</v>
      </c>
      <c r="B2877" s="2">
        <v>6.38</v>
      </c>
      <c r="C2877" s="2">
        <v>3.88</v>
      </c>
      <c r="D2877" s="2">
        <v>4.92</v>
      </c>
      <c r="E2877" s="2">
        <v>5.45</v>
      </c>
      <c r="F2877" s="2">
        <v>3.0100000000000002</v>
      </c>
      <c r="G2877" s="6">
        <v>0</v>
      </c>
      <c r="H2877" s="6">
        <v>0</v>
      </c>
      <c r="I2877" s="6">
        <v>0</v>
      </c>
      <c r="J2877" s="6">
        <v>0</v>
      </c>
      <c r="K2877" s="6">
        <v>0</v>
      </c>
    </row>
    <row r="2878" spans="1:11" x14ac:dyDescent="0.25">
      <c r="A2878" s="1">
        <v>0.99722222222222201</v>
      </c>
      <c r="B2878" s="2">
        <v>6.3599999999999994</v>
      </c>
      <c r="C2878" s="2">
        <v>3.79</v>
      </c>
      <c r="D2878" s="2">
        <v>5.2</v>
      </c>
      <c r="E2878" s="2">
        <v>5.38</v>
      </c>
      <c r="F2878" s="2">
        <v>3.33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</row>
    <row r="2879" spans="1:11" x14ac:dyDescent="0.25">
      <c r="A2879" s="1">
        <v>0.99791666666666701</v>
      </c>
      <c r="B2879" s="2">
        <v>6.1899999999999995</v>
      </c>
      <c r="C2879" s="2">
        <v>3.86</v>
      </c>
      <c r="D2879" s="2">
        <v>5.17</v>
      </c>
      <c r="E2879" s="2">
        <v>5.1400000000000006</v>
      </c>
      <c r="F2879" s="2">
        <v>2.89</v>
      </c>
      <c r="G2879" s="6">
        <v>0</v>
      </c>
      <c r="H2879" s="6">
        <v>0</v>
      </c>
      <c r="I2879" s="6">
        <v>0</v>
      </c>
      <c r="J2879" s="6">
        <v>0</v>
      </c>
      <c r="K2879" s="6">
        <v>0</v>
      </c>
    </row>
    <row r="2880" spans="1:11" x14ac:dyDescent="0.25">
      <c r="A2880" s="1">
        <v>0.99861111111111101</v>
      </c>
      <c r="B2880" s="2">
        <v>6.27</v>
      </c>
      <c r="C2880" s="2">
        <v>3.77</v>
      </c>
      <c r="D2880" s="2">
        <v>4.88</v>
      </c>
      <c r="E2880" s="2">
        <v>5.46</v>
      </c>
      <c r="F2880" s="2">
        <v>3.1100000000000003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</row>
    <row r="2881" spans="1:11" x14ac:dyDescent="0.25">
      <c r="A2881" s="1">
        <v>0.999305555555556</v>
      </c>
      <c r="B2881" s="2">
        <v>6.2799999999999994</v>
      </c>
      <c r="C2881" s="2">
        <v>3.86</v>
      </c>
      <c r="D2881" s="2">
        <v>4.91</v>
      </c>
      <c r="E2881" s="2">
        <v>5.49</v>
      </c>
      <c r="F2881" s="2">
        <v>3.21</v>
      </c>
      <c r="G2881" s="6">
        <v>0</v>
      </c>
      <c r="H2881" s="6">
        <v>0</v>
      </c>
      <c r="I2881" s="6">
        <v>0</v>
      </c>
      <c r="J2881" s="6">
        <v>0</v>
      </c>
      <c r="K2881" s="6">
        <v>0</v>
      </c>
    </row>
    <row r="2882" spans="1:11" x14ac:dyDescent="0.25">
      <c r="A2882" s="3">
        <v>0</v>
      </c>
      <c r="B2882" s="2">
        <v>6.22</v>
      </c>
      <c r="C2882" s="2">
        <v>3.77</v>
      </c>
      <c r="D2882" s="2">
        <v>5.1100000000000003</v>
      </c>
      <c r="E2882" s="2">
        <v>5.36</v>
      </c>
      <c r="F2882" s="2">
        <v>3.19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</row>
    <row r="2883" spans="1:11" x14ac:dyDescent="0.25">
      <c r="A2883" s="1">
        <v>6.9444444444444447E-4</v>
      </c>
      <c r="B2883" s="2">
        <v>6.1499999999999995</v>
      </c>
      <c r="C2883" s="2">
        <v>3.8</v>
      </c>
      <c r="D2883" s="2">
        <v>5.28</v>
      </c>
      <c r="E2883" s="2">
        <v>5.2700000000000005</v>
      </c>
      <c r="F2883" s="2">
        <v>3.1100000000000003</v>
      </c>
      <c r="G2883" s="6">
        <v>0</v>
      </c>
      <c r="H2883" s="6">
        <v>0</v>
      </c>
      <c r="I2883" s="6">
        <v>0</v>
      </c>
      <c r="J2883" s="6">
        <v>0</v>
      </c>
      <c r="K2883" s="6">
        <v>0</v>
      </c>
    </row>
    <row r="2884" spans="1:11" x14ac:dyDescent="0.25">
      <c r="A2884" s="1">
        <v>1.38888888888889E-3</v>
      </c>
      <c r="B2884" s="2">
        <v>6.14</v>
      </c>
      <c r="C2884" s="2">
        <v>3.6399999999999997</v>
      </c>
      <c r="D2884" s="2">
        <v>5.1400000000000006</v>
      </c>
      <c r="E2884" s="2">
        <v>5.08</v>
      </c>
      <c r="F2884" s="2">
        <v>3.22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</row>
    <row r="2885" spans="1:11" x14ac:dyDescent="0.25">
      <c r="A2885" s="1">
        <v>2.0833333333333298E-3</v>
      </c>
      <c r="B2885" s="2">
        <v>6.13</v>
      </c>
      <c r="C2885" s="2">
        <v>3.88</v>
      </c>
      <c r="D2885" s="2">
        <v>4.95</v>
      </c>
      <c r="E2885" s="2">
        <v>5.74</v>
      </c>
      <c r="F2885" s="2">
        <v>3.2800000000000002</v>
      </c>
      <c r="G2885" s="6">
        <v>0</v>
      </c>
      <c r="H2885" s="6">
        <v>0</v>
      </c>
      <c r="I2885" s="6">
        <v>0</v>
      </c>
      <c r="J2885" s="6">
        <v>0</v>
      </c>
      <c r="K2885" s="6">
        <v>0</v>
      </c>
    </row>
    <row r="2886" spans="1:11" x14ac:dyDescent="0.25">
      <c r="A2886" s="1">
        <v>2.7777777777777801E-3</v>
      </c>
      <c r="B2886" s="2">
        <v>6.29</v>
      </c>
      <c r="C2886" s="2">
        <v>3.83</v>
      </c>
      <c r="D2886" s="2">
        <v>5.17</v>
      </c>
      <c r="E2886" s="2">
        <v>5.37</v>
      </c>
      <c r="F2886" s="2">
        <v>3.0700000000000003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</row>
    <row r="2887" spans="1:11" x14ac:dyDescent="0.25">
      <c r="A2887" s="1">
        <v>3.4722222222222199E-3</v>
      </c>
      <c r="B2887" s="2">
        <v>6.3699999999999992</v>
      </c>
      <c r="C2887" s="2">
        <v>3.88</v>
      </c>
      <c r="D2887" s="2">
        <v>5.05</v>
      </c>
      <c r="E2887" s="2">
        <v>5.72</v>
      </c>
      <c r="F2887" s="2">
        <v>2.94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</row>
    <row r="2888" spans="1:11" x14ac:dyDescent="0.25">
      <c r="A2888" s="1">
        <v>4.1666666666666701E-3</v>
      </c>
      <c r="B2888" s="2">
        <v>6.27</v>
      </c>
      <c r="C2888" s="2">
        <v>3.77</v>
      </c>
      <c r="D2888" s="2">
        <v>4.87</v>
      </c>
      <c r="E2888" s="2">
        <v>5.7</v>
      </c>
      <c r="F2888" s="2">
        <v>3.37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</row>
    <row r="2889" spans="1:11" x14ac:dyDescent="0.25">
      <c r="A2889" s="1">
        <v>4.8611111111111103E-3</v>
      </c>
      <c r="B2889" s="2">
        <v>6.3199999999999994</v>
      </c>
      <c r="C2889" s="2">
        <v>3.81</v>
      </c>
      <c r="D2889" s="2">
        <v>5.21</v>
      </c>
      <c r="E2889" s="2">
        <v>5.74</v>
      </c>
      <c r="F2889" s="2">
        <v>3.0300000000000002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</row>
    <row r="2890" spans="1:11" x14ac:dyDescent="0.25">
      <c r="A2890" s="1">
        <v>5.5555555555555601E-3</v>
      </c>
      <c r="B2890" s="2">
        <v>6.3599999999999994</v>
      </c>
      <c r="C2890" s="2">
        <v>3.82</v>
      </c>
      <c r="D2890" s="2">
        <v>5.18</v>
      </c>
      <c r="E2890" s="2">
        <v>5.45</v>
      </c>
      <c r="F2890" s="2">
        <v>2.87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</row>
    <row r="2891" spans="1:11" x14ac:dyDescent="0.25">
      <c r="A2891" s="1">
        <v>6.2500000000000003E-3</v>
      </c>
      <c r="B2891" s="2">
        <v>6.3</v>
      </c>
      <c r="C2891" s="2">
        <v>3.71</v>
      </c>
      <c r="D2891" s="2">
        <v>5.36</v>
      </c>
      <c r="E2891" s="2">
        <v>5.42</v>
      </c>
      <c r="F2891" s="2">
        <v>3.38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</row>
    <row r="2892" spans="1:11" x14ac:dyDescent="0.25">
      <c r="A2892" s="1">
        <v>6.9444444444444397E-3</v>
      </c>
      <c r="B2892" s="2">
        <v>6.14</v>
      </c>
      <c r="C2892" s="2">
        <v>3.69</v>
      </c>
      <c r="D2892" s="2">
        <v>5.15</v>
      </c>
      <c r="E2892" s="2">
        <v>5.58</v>
      </c>
      <c r="F2892" s="2">
        <v>3.12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</row>
    <row r="2893" spans="1:11" x14ac:dyDescent="0.25">
      <c r="A2893" s="1">
        <v>7.6388888888888904E-3</v>
      </c>
      <c r="B2893" s="2">
        <v>6.33</v>
      </c>
      <c r="C2893" s="2">
        <v>3.6799999999999997</v>
      </c>
      <c r="D2893" s="2">
        <v>4.9800000000000004</v>
      </c>
      <c r="E2893" s="2">
        <v>5.2</v>
      </c>
      <c r="F2893" s="2">
        <v>3.27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</row>
    <row r="2894" spans="1:11" x14ac:dyDescent="0.25">
      <c r="A2894" s="1">
        <v>8.3333333333333297E-3</v>
      </c>
      <c r="B2894" s="2">
        <v>6.38</v>
      </c>
      <c r="C2894" s="2">
        <v>3.81</v>
      </c>
      <c r="D2894" s="2">
        <v>5.2</v>
      </c>
      <c r="E2894" s="2">
        <v>5.15</v>
      </c>
      <c r="F2894" s="2">
        <v>3.2600000000000002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</row>
    <row r="2895" spans="1:11" x14ac:dyDescent="0.25">
      <c r="A2895" s="1">
        <v>9.0277777777777804E-3</v>
      </c>
      <c r="B2895" s="2">
        <v>6.17</v>
      </c>
      <c r="C2895" s="2">
        <v>3.7399999999999998</v>
      </c>
      <c r="D2895" s="2">
        <v>4.8899999999999997</v>
      </c>
      <c r="E2895" s="2">
        <v>5.41</v>
      </c>
      <c r="F2895" s="2">
        <v>3.25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</row>
    <row r="2896" spans="1:11" x14ac:dyDescent="0.25">
      <c r="A2896" s="1">
        <v>9.7222222222222206E-3</v>
      </c>
      <c r="B2896" s="2">
        <v>6.1899999999999995</v>
      </c>
      <c r="C2896" s="2">
        <v>3.65</v>
      </c>
      <c r="D2896" s="2">
        <v>5.37</v>
      </c>
      <c r="E2896" s="2">
        <v>5.0999999999999996</v>
      </c>
      <c r="F2896" s="2">
        <v>3.19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</row>
    <row r="2897" spans="1:11" x14ac:dyDescent="0.25">
      <c r="A2897" s="1">
        <v>1.0416666666666701E-2</v>
      </c>
      <c r="B2897" s="2">
        <v>6.1599999999999993</v>
      </c>
      <c r="C2897" s="2">
        <v>3.6199999999999997</v>
      </c>
      <c r="D2897" s="2">
        <v>4.97</v>
      </c>
      <c r="E2897" s="2">
        <v>5.58</v>
      </c>
      <c r="F2897" s="2">
        <v>3.0700000000000003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</row>
    <row r="2898" spans="1:11" x14ac:dyDescent="0.25">
      <c r="A2898" s="1">
        <v>1.1111111111111099E-2</v>
      </c>
      <c r="B2898" s="2">
        <v>6.1099999999999994</v>
      </c>
      <c r="C2898" s="2">
        <v>3.8899999999999997</v>
      </c>
      <c r="D2898" s="2">
        <v>4.9000000000000004</v>
      </c>
      <c r="E2898" s="2">
        <v>5.26</v>
      </c>
      <c r="F2898" s="2">
        <v>3.3600000000000003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</row>
    <row r="2899" spans="1:11" x14ac:dyDescent="0.25">
      <c r="A2899" s="1">
        <v>1.18055555555556E-2</v>
      </c>
      <c r="B2899" s="2">
        <v>6.1899999999999995</v>
      </c>
      <c r="C2899" s="2">
        <v>3.78</v>
      </c>
      <c r="D2899" s="2">
        <v>5.3</v>
      </c>
      <c r="E2899" s="2">
        <v>5.57</v>
      </c>
      <c r="F2899" s="2">
        <v>2.96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</row>
    <row r="2900" spans="1:11" x14ac:dyDescent="0.25">
      <c r="A2900" s="1">
        <v>1.2500000000000001E-2</v>
      </c>
      <c r="B2900" s="2">
        <v>6.25</v>
      </c>
      <c r="C2900" s="2">
        <v>3.67</v>
      </c>
      <c r="D2900" s="2">
        <v>5.15</v>
      </c>
      <c r="E2900" s="2">
        <v>5.34</v>
      </c>
      <c r="F2900" s="2">
        <v>3.18</v>
      </c>
      <c r="G2900" s="6">
        <v>0</v>
      </c>
      <c r="H2900" s="6">
        <v>0</v>
      </c>
      <c r="I2900" s="6">
        <v>0</v>
      </c>
      <c r="J2900" s="6">
        <v>0</v>
      </c>
      <c r="K2900" s="6">
        <v>0</v>
      </c>
    </row>
    <row r="2901" spans="1:11" x14ac:dyDescent="0.25">
      <c r="A2901" s="1">
        <v>1.3194444444444399E-2</v>
      </c>
      <c r="B2901" s="2">
        <v>6.22</v>
      </c>
      <c r="C2901" s="2">
        <v>3.8899999999999997</v>
      </c>
      <c r="D2901" s="2">
        <v>5.21</v>
      </c>
      <c r="E2901" s="2">
        <v>5.61</v>
      </c>
      <c r="F2901" s="2">
        <v>3.31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</row>
    <row r="2902" spans="1:11" x14ac:dyDescent="0.25">
      <c r="A2902" s="1">
        <v>1.38888888888889E-2</v>
      </c>
      <c r="B2902" s="2">
        <v>6.17</v>
      </c>
      <c r="C2902" s="2">
        <v>3.8499999999999996</v>
      </c>
      <c r="D2902" s="2">
        <v>5.0200000000000005</v>
      </c>
      <c r="E2902" s="2">
        <v>5.22</v>
      </c>
      <c r="F2902" s="2">
        <v>3.25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</row>
    <row r="2903" spans="1:11" x14ac:dyDescent="0.25">
      <c r="A2903" s="1">
        <v>1.4583333333333301E-2</v>
      </c>
      <c r="B2903" s="2">
        <v>6.22</v>
      </c>
      <c r="C2903" s="2">
        <v>3.6399999999999997</v>
      </c>
      <c r="D2903" s="2">
        <v>5.08</v>
      </c>
      <c r="E2903" s="2">
        <v>5.09</v>
      </c>
      <c r="F2903" s="2">
        <v>3.2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</row>
    <row r="2904" spans="1:11" x14ac:dyDescent="0.25">
      <c r="A2904" s="1">
        <v>1.52777777777778E-2</v>
      </c>
      <c r="B2904" s="2">
        <v>6.1899999999999995</v>
      </c>
      <c r="C2904" s="2">
        <v>3.67</v>
      </c>
      <c r="D2904" s="2">
        <v>5.03</v>
      </c>
      <c r="E2904" s="2">
        <v>5.35</v>
      </c>
      <c r="F2904" s="2">
        <v>3.37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</row>
    <row r="2905" spans="1:11" x14ac:dyDescent="0.25">
      <c r="A2905" s="1">
        <v>1.59722222222222E-2</v>
      </c>
      <c r="B2905" s="2">
        <v>6.17</v>
      </c>
      <c r="C2905" s="2">
        <v>3.6199999999999997</v>
      </c>
      <c r="D2905" s="2">
        <v>5.04</v>
      </c>
      <c r="E2905" s="2">
        <v>5.2</v>
      </c>
      <c r="F2905" s="2">
        <v>3.2800000000000002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</row>
    <row r="2906" spans="1:11" x14ac:dyDescent="0.25">
      <c r="A2906" s="1">
        <v>1.6666666666666701E-2</v>
      </c>
      <c r="B2906" s="2">
        <v>6.21</v>
      </c>
      <c r="C2906" s="2">
        <v>3.8499999999999996</v>
      </c>
      <c r="D2906" s="2">
        <v>5.29</v>
      </c>
      <c r="E2906" s="2">
        <v>5.62</v>
      </c>
      <c r="F2906" s="2">
        <v>2.95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</row>
    <row r="2907" spans="1:11" x14ac:dyDescent="0.25">
      <c r="A2907" s="1">
        <v>1.7361111111111101E-2</v>
      </c>
      <c r="B2907" s="2">
        <v>6.1899999999999995</v>
      </c>
      <c r="C2907" s="2">
        <v>3.59</v>
      </c>
      <c r="D2907" s="2">
        <v>5.18</v>
      </c>
      <c r="E2907" s="2">
        <v>5.12</v>
      </c>
      <c r="F2907" s="2">
        <v>3.2800000000000002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</row>
    <row r="2908" spans="1:11" x14ac:dyDescent="0.25">
      <c r="A2908" s="1">
        <v>1.8055555555555599E-2</v>
      </c>
      <c r="B2908" s="2">
        <v>6.3699999999999992</v>
      </c>
      <c r="C2908" s="2">
        <v>3.82</v>
      </c>
      <c r="D2908" s="2">
        <v>5.2</v>
      </c>
      <c r="E2908" s="2">
        <v>5.18</v>
      </c>
      <c r="F2908" s="2">
        <v>3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</row>
    <row r="2909" spans="1:11" x14ac:dyDescent="0.25">
      <c r="A2909" s="1">
        <v>1.8749999999999999E-2</v>
      </c>
      <c r="B2909" s="2">
        <v>6.25</v>
      </c>
      <c r="C2909" s="2">
        <v>3.6199999999999997</v>
      </c>
      <c r="D2909" s="2">
        <v>5.2700000000000005</v>
      </c>
      <c r="E2909" s="2">
        <v>5.51</v>
      </c>
      <c r="F2909" s="2">
        <v>3.29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</row>
    <row r="2910" spans="1:11" x14ac:dyDescent="0.25">
      <c r="A2910" s="1">
        <v>1.94444444444444E-2</v>
      </c>
      <c r="B2910" s="2">
        <v>6.1899999999999995</v>
      </c>
      <c r="C2910" s="2">
        <v>3.9</v>
      </c>
      <c r="D2910" s="2">
        <v>5.05</v>
      </c>
      <c r="E2910" s="2">
        <v>5.47</v>
      </c>
      <c r="F2910" s="2">
        <v>3.1500000000000004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</row>
    <row r="2911" spans="1:11" x14ac:dyDescent="0.25">
      <c r="A2911" s="1">
        <v>2.0138888888888901E-2</v>
      </c>
      <c r="B2911" s="2">
        <v>6.2299999999999995</v>
      </c>
      <c r="C2911" s="2">
        <v>3.6199999999999997</v>
      </c>
      <c r="D2911" s="2">
        <v>5.18</v>
      </c>
      <c r="E2911" s="2">
        <v>5.42</v>
      </c>
      <c r="F2911" s="2">
        <v>3.2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</row>
    <row r="2912" spans="1:11" x14ac:dyDescent="0.25">
      <c r="A2912" s="1">
        <v>2.0833333333333301E-2</v>
      </c>
      <c r="B2912" s="2">
        <v>6.13</v>
      </c>
      <c r="C2912" s="2">
        <v>3.82</v>
      </c>
      <c r="D2912" s="2">
        <v>4.9400000000000004</v>
      </c>
      <c r="E2912" s="2">
        <v>5.53</v>
      </c>
      <c r="F2912" s="2">
        <v>2.9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</row>
    <row r="2913" spans="1:11" x14ac:dyDescent="0.25">
      <c r="A2913" s="1">
        <v>2.1527777777777798E-2</v>
      </c>
      <c r="B2913" s="2">
        <v>6.31</v>
      </c>
      <c r="C2913" s="2">
        <v>3.69</v>
      </c>
      <c r="D2913" s="2">
        <v>4.91</v>
      </c>
      <c r="E2913" s="2">
        <v>5.66</v>
      </c>
      <c r="F2913" s="2">
        <v>3.16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</row>
    <row r="2914" spans="1:11" x14ac:dyDescent="0.25">
      <c r="A2914" s="1">
        <v>2.2222222222222199E-2</v>
      </c>
      <c r="B2914" s="2">
        <v>6.1</v>
      </c>
      <c r="C2914" s="2">
        <v>3.8499999999999996</v>
      </c>
      <c r="D2914" s="2">
        <v>5.03</v>
      </c>
      <c r="E2914" s="2">
        <v>5.75</v>
      </c>
      <c r="F2914" s="2">
        <v>3.35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</row>
    <row r="2915" spans="1:11" x14ac:dyDescent="0.25">
      <c r="A2915" s="1">
        <v>2.29166666666667E-2</v>
      </c>
      <c r="B2915" s="2">
        <v>6.38</v>
      </c>
      <c r="C2915" s="2">
        <v>3.73</v>
      </c>
      <c r="D2915" s="2">
        <v>5.1100000000000003</v>
      </c>
      <c r="E2915" s="2">
        <v>5.37</v>
      </c>
      <c r="F2915" s="2">
        <v>3.2800000000000002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</row>
    <row r="2916" spans="1:11" x14ac:dyDescent="0.25">
      <c r="A2916" s="1">
        <v>2.36111111111111E-2</v>
      </c>
      <c r="B2916" s="2">
        <v>6.38</v>
      </c>
      <c r="C2916" s="2">
        <v>3.75</v>
      </c>
      <c r="D2916" s="2">
        <v>5.21</v>
      </c>
      <c r="E2916" s="2">
        <v>5.61</v>
      </c>
      <c r="F2916" s="2">
        <v>2.92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</row>
    <row r="2917" spans="1:11" x14ac:dyDescent="0.25">
      <c r="A2917" s="1">
        <v>2.4305555555555601E-2</v>
      </c>
      <c r="B2917" s="2">
        <v>6.35</v>
      </c>
      <c r="C2917" s="2">
        <v>3.59</v>
      </c>
      <c r="D2917" s="2">
        <v>5.1100000000000003</v>
      </c>
      <c r="E2917" s="2">
        <v>5.15</v>
      </c>
      <c r="F2917" s="2">
        <v>2.97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</row>
    <row r="2918" spans="1:11" x14ac:dyDescent="0.25">
      <c r="A2918" s="1">
        <v>2.5000000000000001E-2</v>
      </c>
      <c r="B2918" s="2">
        <v>6.27</v>
      </c>
      <c r="C2918" s="2">
        <v>3.5999999999999996</v>
      </c>
      <c r="D2918" s="2">
        <v>5.12</v>
      </c>
      <c r="E2918" s="2">
        <v>5.57</v>
      </c>
      <c r="F2918" s="2">
        <v>3.37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</row>
    <row r="2919" spans="1:11" x14ac:dyDescent="0.25">
      <c r="A2919" s="1">
        <v>2.5694444444444402E-2</v>
      </c>
      <c r="B2919" s="2">
        <v>6.27</v>
      </c>
      <c r="C2919" s="2">
        <v>3.6199999999999997</v>
      </c>
      <c r="D2919" s="2">
        <v>4.9000000000000004</v>
      </c>
      <c r="E2919" s="2">
        <v>5.73</v>
      </c>
      <c r="F2919" s="2">
        <v>3.38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</row>
    <row r="2920" spans="1:11" x14ac:dyDescent="0.25">
      <c r="A2920" s="1">
        <v>2.6388888888888899E-2</v>
      </c>
      <c r="B2920" s="2">
        <v>6.2299999999999995</v>
      </c>
      <c r="C2920" s="2">
        <v>3.84</v>
      </c>
      <c r="D2920" s="2">
        <v>5.21</v>
      </c>
      <c r="E2920" s="2">
        <v>5.23</v>
      </c>
      <c r="F2920" s="2">
        <v>3.2600000000000002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</row>
    <row r="2921" spans="1:11" x14ac:dyDescent="0.25">
      <c r="A2921" s="1">
        <v>2.70833333333333E-2</v>
      </c>
      <c r="B2921" s="2">
        <v>6.33</v>
      </c>
      <c r="C2921" s="2">
        <v>3.79</v>
      </c>
      <c r="D2921" s="2">
        <v>5.09</v>
      </c>
      <c r="E2921" s="2">
        <v>5.76</v>
      </c>
      <c r="F2921" s="2">
        <v>3.3600000000000003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</row>
    <row r="2922" spans="1:11" x14ac:dyDescent="0.25">
      <c r="A2922" s="1">
        <v>2.7777777777777801E-2</v>
      </c>
      <c r="B2922" s="2">
        <v>6.3199999999999994</v>
      </c>
      <c r="C2922" s="2">
        <v>3.88</v>
      </c>
      <c r="D2922" s="2">
        <v>4.91</v>
      </c>
      <c r="E2922" s="2">
        <v>5.47</v>
      </c>
      <c r="F2922" s="2">
        <v>2.92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</row>
    <row r="2923" spans="1:11" x14ac:dyDescent="0.25">
      <c r="A2923" s="1">
        <v>2.8472222222222201E-2</v>
      </c>
      <c r="B2923" s="2">
        <v>6.14</v>
      </c>
      <c r="C2923" s="2">
        <v>3.8</v>
      </c>
      <c r="D2923" s="2">
        <v>4.97</v>
      </c>
      <c r="E2923" s="2">
        <v>5.14</v>
      </c>
      <c r="F2923" s="2">
        <v>3.3000000000000003</v>
      </c>
      <c r="G2923" s="6">
        <v>0</v>
      </c>
      <c r="H2923" s="6">
        <v>0</v>
      </c>
      <c r="I2923" s="6">
        <v>0</v>
      </c>
      <c r="J2923" s="6">
        <v>0</v>
      </c>
      <c r="K2923" s="6">
        <v>0</v>
      </c>
    </row>
    <row r="2924" spans="1:11" x14ac:dyDescent="0.25">
      <c r="A2924" s="1">
        <v>2.9166666666666698E-2</v>
      </c>
      <c r="B2924" s="2">
        <v>6.3</v>
      </c>
      <c r="C2924" s="2">
        <v>3.86</v>
      </c>
      <c r="D2924" s="2">
        <v>5.25</v>
      </c>
      <c r="E2924" s="2">
        <v>5.74</v>
      </c>
      <c r="F2924" s="2">
        <v>3.22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</row>
    <row r="2925" spans="1:11" x14ac:dyDescent="0.25">
      <c r="A2925" s="1">
        <v>2.9861111111111099E-2</v>
      </c>
      <c r="B2925" s="2">
        <v>6.3</v>
      </c>
      <c r="C2925" s="2">
        <v>3.6799999999999997</v>
      </c>
      <c r="D2925" s="2">
        <v>5.32</v>
      </c>
      <c r="E2925" s="2">
        <v>5.39</v>
      </c>
      <c r="F2925" s="2">
        <v>3.38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</row>
    <row r="2926" spans="1:11" x14ac:dyDescent="0.25">
      <c r="A2926" s="1">
        <v>3.05555555555556E-2</v>
      </c>
      <c r="B2926" s="2">
        <v>6.25</v>
      </c>
      <c r="C2926" s="2">
        <v>3.77</v>
      </c>
      <c r="D2926" s="2">
        <v>5.28</v>
      </c>
      <c r="E2926" s="2">
        <v>5.26</v>
      </c>
      <c r="F2926" s="2">
        <v>3.2600000000000002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</row>
    <row r="2927" spans="1:11" x14ac:dyDescent="0.25">
      <c r="A2927" s="1">
        <v>3.125E-2</v>
      </c>
      <c r="B2927" s="2">
        <v>6.34</v>
      </c>
      <c r="C2927" s="2">
        <v>3.8899999999999997</v>
      </c>
      <c r="D2927" s="2">
        <v>4.8899999999999997</v>
      </c>
      <c r="E2927" s="2">
        <v>5.74</v>
      </c>
      <c r="F2927" s="2">
        <v>3.3200000000000003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</row>
    <row r="2928" spans="1:11" x14ac:dyDescent="0.25">
      <c r="A2928" s="1">
        <v>3.19444444444444E-2</v>
      </c>
      <c r="B2928" s="2">
        <v>6.35</v>
      </c>
      <c r="C2928" s="2">
        <v>3.73</v>
      </c>
      <c r="D2928" s="2">
        <v>5.15</v>
      </c>
      <c r="E2928" s="2">
        <v>5.61</v>
      </c>
      <c r="F2928" s="2">
        <v>3.3400000000000003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</row>
    <row r="2929" spans="1:11" x14ac:dyDescent="0.25">
      <c r="A2929" s="1">
        <v>3.2638888888888898E-2</v>
      </c>
      <c r="B2929" s="2">
        <v>6.27</v>
      </c>
      <c r="C2929" s="2">
        <v>3.78</v>
      </c>
      <c r="D2929" s="2">
        <v>5.2700000000000005</v>
      </c>
      <c r="E2929" s="2">
        <v>5.12</v>
      </c>
      <c r="F2929" s="2">
        <v>3.21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</row>
    <row r="2930" spans="1:11" x14ac:dyDescent="0.25">
      <c r="A2930" s="1">
        <v>3.3333333333333298E-2</v>
      </c>
      <c r="B2930" s="2">
        <v>6.3599999999999994</v>
      </c>
      <c r="C2930" s="2">
        <v>3.87</v>
      </c>
      <c r="D2930" s="2">
        <v>5.0600000000000005</v>
      </c>
      <c r="E2930" s="2">
        <v>5.57</v>
      </c>
      <c r="F2930" s="2">
        <v>3.37</v>
      </c>
      <c r="G2930" s="6">
        <v>0</v>
      </c>
      <c r="H2930" s="6">
        <v>0</v>
      </c>
      <c r="I2930" s="6">
        <v>0</v>
      </c>
      <c r="J2930" s="6">
        <v>0</v>
      </c>
      <c r="K2930" s="6">
        <v>0</v>
      </c>
    </row>
    <row r="2931" spans="1:11" x14ac:dyDescent="0.25">
      <c r="A2931" s="1">
        <v>3.4027777777777803E-2</v>
      </c>
      <c r="B2931" s="2">
        <v>6.27</v>
      </c>
      <c r="C2931" s="2">
        <v>3.82</v>
      </c>
      <c r="D2931" s="2">
        <v>5.22</v>
      </c>
      <c r="E2931" s="2">
        <v>5.16</v>
      </c>
      <c r="F2931" s="2">
        <v>3.27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</row>
    <row r="2932" spans="1:11" x14ac:dyDescent="0.25">
      <c r="A2932" s="1">
        <v>3.4722222222222203E-2</v>
      </c>
      <c r="B2932" s="2">
        <v>6.13</v>
      </c>
      <c r="C2932" s="2">
        <v>3.63</v>
      </c>
      <c r="D2932" s="2">
        <v>5.26</v>
      </c>
      <c r="E2932" s="2">
        <v>5.08</v>
      </c>
      <c r="F2932" s="2">
        <v>3.33</v>
      </c>
      <c r="G2932" s="6">
        <v>0</v>
      </c>
      <c r="H2932" s="6">
        <v>0</v>
      </c>
      <c r="I2932" s="6">
        <v>0</v>
      </c>
      <c r="J2932" s="6">
        <v>0</v>
      </c>
      <c r="K2932" s="6">
        <v>0</v>
      </c>
    </row>
    <row r="2933" spans="1:11" x14ac:dyDescent="0.25">
      <c r="A2933" s="1">
        <v>3.54166666666667E-2</v>
      </c>
      <c r="B2933" s="2">
        <v>6.25</v>
      </c>
      <c r="C2933" s="2">
        <v>3.76</v>
      </c>
      <c r="D2933" s="2">
        <v>5.3100000000000005</v>
      </c>
      <c r="E2933" s="2">
        <v>5.39</v>
      </c>
      <c r="F2933" s="2">
        <v>3.31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</row>
    <row r="2934" spans="1:11" x14ac:dyDescent="0.25">
      <c r="A2934" s="1">
        <v>3.6111111111111101E-2</v>
      </c>
      <c r="B2934" s="2">
        <v>6.17</v>
      </c>
      <c r="C2934" s="2">
        <v>3.67</v>
      </c>
      <c r="D2934" s="2">
        <v>4.99</v>
      </c>
      <c r="E2934" s="2">
        <v>5.4</v>
      </c>
      <c r="F2934" s="2">
        <v>2.97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</row>
    <row r="2935" spans="1:11" x14ac:dyDescent="0.25">
      <c r="A2935" s="1">
        <v>3.6805555555555598E-2</v>
      </c>
      <c r="B2935" s="2">
        <v>6.2399999999999993</v>
      </c>
      <c r="C2935" s="2">
        <v>3.61</v>
      </c>
      <c r="D2935" s="2">
        <v>4.9400000000000004</v>
      </c>
      <c r="E2935" s="2">
        <v>5.23</v>
      </c>
      <c r="F2935" s="2">
        <v>3.35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</row>
    <row r="2936" spans="1:11" x14ac:dyDescent="0.25">
      <c r="A2936" s="1">
        <v>3.7499999999999999E-2</v>
      </c>
      <c r="B2936" s="2">
        <v>6.38</v>
      </c>
      <c r="C2936" s="2">
        <v>3.88</v>
      </c>
      <c r="D2936" s="2">
        <v>5.1400000000000006</v>
      </c>
      <c r="E2936" s="2">
        <v>5.6</v>
      </c>
      <c r="F2936" s="2">
        <v>2.9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</row>
    <row r="2937" spans="1:11" x14ac:dyDescent="0.25">
      <c r="A2937" s="1">
        <v>3.8194444444444399E-2</v>
      </c>
      <c r="B2937" s="2">
        <v>6.27</v>
      </c>
      <c r="C2937" s="2">
        <v>3.8899999999999997</v>
      </c>
      <c r="D2937" s="2">
        <v>5.16</v>
      </c>
      <c r="E2937" s="2">
        <v>5.22</v>
      </c>
      <c r="F2937" s="2">
        <v>3.16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</row>
    <row r="2938" spans="1:11" x14ac:dyDescent="0.25">
      <c r="A2938" s="1">
        <v>3.8888888888888903E-2</v>
      </c>
      <c r="B2938" s="2">
        <v>6.2399999999999993</v>
      </c>
      <c r="C2938" s="2">
        <v>3.8899999999999997</v>
      </c>
      <c r="D2938" s="2">
        <v>5.13</v>
      </c>
      <c r="E2938" s="2">
        <v>5.37</v>
      </c>
      <c r="F2938" s="2">
        <v>3.1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</row>
    <row r="2939" spans="1:11" x14ac:dyDescent="0.25">
      <c r="A2939" s="1">
        <v>3.9583333333333297E-2</v>
      </c>
      <c r="B2939" s="2">
        <v>6.31</v>
      </c>
      <c r="C2939" s="2">
        <v>3.77</v>
      </c>
      <c r="D2939" s="2">
        <v>5.0600000000000005</v>
      </c>
      <c r="E2939" s="2">
        <v>5.72</v>
      </c>
      <c r="F2939" s="2">
        <v>2.94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</row>
    <row r="2940" spans="1:11" x14ac:dyDescent="0.25">
      <c r="A2940" s="1">
        <v>4.0277777777777801E-2</v>
      </c>
      <c r="B2940" s="2">
        <v>6.3</v>
      </c>
      <c r="C2940" s="2">
        <v>3.61</v>
      </c>
      <c r="D2940" s="2">
        <v>5.32</v>
      </c>
      <c r="E2940" s="2">
        <v>5.17</v>
      </c>
      <c r="F2940" s="2">
        <v>3.1500000000000004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</row>
    <row r="2941" spans="1:11" x14ac:dyDescent="0.25">
      <c r="A2941" s="1">
        <v>4.0972222222222202E-2</v>
      </c>
      <c r="B2941" s="2">
        <v>6.2399999999999993</v>
      </c>
      <c r="C2941" s="2">
        <v>3.8499999999999996</v>
      </c>
      <c r="D2941" s="2">
        <v>5.1000000000000005</v>
      </c>
      <c r="E2941" s="2">
        <v>5.62</v>
      </c>
      <c r="F2941" s="2">
        <v>3.33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</row>
    <row r="2942" spans="1:11" x14ac:dyDescent="0.25">
      <c r="A2942" s="3">
        <v>4.1666666666666699E-2</v>
      </c>
      <c r="B2942" s="2">
        <v>6.23</v>
      </c>
      <c r="C2942" s="2">
        <v>3.78</v>
      </c>
      <c r="D2942" s="2">
        <v>5.12</v>
      </c>
      <c r="E2942" s="2">
        <v>5.36</v>
      </c>
      <c r="F2942" s="2">
        <v>3.19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</row>
    <row r="2943" spans="1:11" x14ac:dyDescent="0.25">
      <c r="A2943" s="1">
        <v>4.2361111111111099E-2</v>
      </c>
      <c r="B2943" s="2">
        <v>6.1499999999999995</v>
      </c>
      <c r="C2943" s="2">
        <v>3.83</v>
      </c>
      <c r="D2943" s="2">
        <v>5.16</v>
      </c>
      <c r="E2943" s="2">
        <v>5.39</v>
      </c>
      <c r="F2943" s="2">
        <v>3.06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</row>
    <row r="2944" spans="1:11" x14ac:dyDescent="0.25">
      <c r="A2944" s="1">
        <v>4.3055555555555597E-2</v>
      </c>
      <c r="B2944" s="2">
        <v>6.14</v>
      </c>
      <c r="C2944" s="2">
        <v>3.6399999999999997</v>
      </c>
      <c r="D2944" s="2">
        <v>5.3599999999999994</v>
      </c>
      <c r="E2944" s="2">
        <v>5.42</v>
      </c>
      <c r="F2944" s="2">
        <v>2.99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</row>
    <row r="2945" spans="1:11" x14ac:dyDescent="0.25">
      <c r="A2945" s="1">
        <v>4.3749999999999997E-2</v>
      </c>
      <c r="B2945" s="2">
        <v>6.21</v>
      </c>
      <c r="C2945" s="2">
        <v>3.75</v>
      </c>
      <c r="D2945" s="2">
        <v>5.05</v>
      </c>
      <c r="E2945" s="2">
        <v>5.6</v>
      </c>
      <c r="F2945" s="2">
        <v>3.39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</row>
    <row r="2946" spans="1:11" x14ac:dyDescent="0.25">
      <c r="A2946" s="1">
        <v>4.4444444444444398E-2</v>
      </c>
      <c r="B2946" s="2">
        <v>6.18</v>
      </c>
      <c r="C2946" s="2">
        <v>3.6999999999999997</v>
      </c>
      <c r="D2946" s="2">
        <v>5.0999999999999996</v>
      </c>
      <c r="E2946" s="2">
        <v>5.26</v>
      </c>
      <c r="F2946" s="2">
        <v>3.17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</row>
    <row r="2947" spans="1:11" x14ac:dyDescent="0.25">
      <c r="A2947" s="1">
        <v>4.5138888888888902E-2</v>
      </c>
      <c r="B2947" s="2">
        <v>6.1499999999999995</v>
      </c>
      <c r="C2947" s="2">
        <v>3.8499999999999996</v>
      </c>
      <c r="D2947" s="2">
        <v>5.16</v>
      </c>
      <c r="E2947" s="2">
        <v>5.49</v>
      </c>
      <c r="F2947" s="2">
        <v>3.13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</row>
    <row r="2948" spans="1:11" x14ac:dyDescent="0.25">
      <c r="A2948" s="1">
        <v>4.5833333333333302E-2</v>
      </c>
      <c r="B2948" s="2">
        <v>6.25</v>
      </c>
      <c r="C2948" s="2">
        <v>3.69</v>
      </c>
      <c r="D2948" s="2">
        <v>5.04</v>
      </c>
      <c r="E2948" s="2">
        <v>5.74</v>
      </c>
      <c r="F2948" s="2">
        <v>2.94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</row>
    <row r="2949" spans="1:11" x14ac:dyDescent="0.25">
      <c r="A2949" s="1">
        <v>4.65277777777778E-2</v>
      </c>
      <c r="B2949" s="2">
        <v>6.1899999999999995</v>
      </c>
      <c r="C2949" s="2">
        <v>3.63</v>
      </c>
      <c r="D2949" s="2">
        <v>5.0599999999999996</v>
      </c>
      <c r="E2949" s="2">
        <v>5.7</v>
      </c>
      <c r="F2949" s="2">
        <v>3.24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</row>
    <row r="2950" spans="1:11" x14ac:dyDescent="0.25">
      <c r="A2950" s="1">
        <v>4.72222222222222E-2</v>
      </c>
      <c r="B2950" s="2">
        <v>6.2399999999999993</v>
      </c>
      <c r="C2950" s="2">
        <v>3.6399999999999997</v>
      </c>
      <c r="D2950" s="2">
        <v>4.9899999999999993</v>
      </c>
      <c r="E2950" s="2">
        <v>5.39</v>
      </c>
      <c r="F2950" s="2">
        <v>3.12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</row>
    <row r="2951" spans="1:11" x14ac:dyDescent="0.25">
      <c r="A2951" s="1">
        <v>4.7916666666666698E-2</v>
      </c>
      <c r="B2951" s="2">
        <v>6.3199999999999994</v>
      </c>
      <c r="C2951" s="2">
        <v>3.67</v>
      </c>
      <c r="D2951" s="2">
        <v>5.27</v>
      </c>
      <c r="E2951" s="2">
        <v>5.37</v>
      </c>
      <c r="F2951" s="2">
        <v>3.35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</row>
    <row r="2952" spans="1:11" x14ac:dyDescent="0.25">
      <c r="A2952" s="1">
        <v>4.8611111111111098E-2</v>
      </c>
      <c r="B2952" s="2">
        <v>6.2299999999999995</v>
      </c>
      <c r="C2952" s="2">
        <v>3.6999999999999997</v>
      </c>
      <c r="D2952" s="2">
        <v>4.9499999999999993</v>
      </c>
      <c r="E2952" s="2">
        <v>5.44</v>
      </c>
      <c r="F2952" s="2">
        <v>3.27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</row>
    <row r="2953" spans="1:11" x14ac:dyDescent="0.25">
      <c r="A2953" s="1">
        <v>4.9305555555555602E-2</v>
      </c>
      <c r="B2953" s="2">
        <v>6.35</v>
      </c>
      <c r="C2953" s="2">
        <v>3.65</v>
      </c>
      <c r="D2953" s="2">
        <v>5.2399999999999993</v>
      </c>
      <c r="E2953" s="2">
        <v>5.34</v>
      </c>
      <c r="F2953" s="2">
        <v>3.1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</row>
    <row r="2954" spans="1:11" x14ac:dyDescent="0.25">
      <c r="A2954" s="1">
        <v>0.05</v>
      </c>
      <c r="B2954" s="2">
        <v>6.1999999999999993</v>
      </c>
      <c r="C2954" s="2">
        <v>3.84</v>
      </c>
      <c r="D2954" s="2">
        <v>5.35</v>
      </c>
      <c r="E2954" s="2">
        <v>5.6</v>
      </c>
      <c r="F2954" s="2">
        <v>3.22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</row>
    <row r="2955" spans="1:11" x14ac:dyDescent="0.25">
      <c r="A2955" s="1">
        <v>5.0694444444444403E-2</v>
      </c>
      <c r="B2955" s="2">
        <v>6.13</v>
      </c>
      <c r="C2955" s="2">
        <v>3.6799999999999997</v>
      </c>
      <c r="D2955" s="2">
        <v>5.1999999999999993</v>
      </c>
      <c r="E2955" s="2">
        <v>5.39</v>
      </c>
      <c r="F2955" s="2">
        <v>3.0500000000000003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</row>
    <row r="2956" spans="1:11" x14ac:dyDescent="0.25">
      <c r="A2956" s="1">
        <v>5.1388888888888901E-2</v>
      </c>
      <c r="B2956" s="2">
        <v>6.35</v>
      </c>
      <c r="C2956" s="2">
        <v>3.59</v>
      </c>
      <c r="D2956" s="2">
        <v>5.3599999999999994</v>
      </c>
      <c r="E2956" s="2">
        <v>5.72</v>
      </c>
      <c r="F2956" s="2">
        <v>3.27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</row>
    <row r="2957" spans="1:11" x14ac:dyDescent="0.25">
      <c r="A2957" s="1">
        <v>5.2083333333333301E-2</v>
      </c>
      <c r="B2957" s="2">
        <v>6.21</v>
      </c>
      <c r="C2957" s="2">
        <v>3.7199999999999998</v>
      </c>
      <c r="D2957" s="2">
        <v>5.0699999999999994</v>
      </c>
      <c r="E2957" s="2">
        <v>5.08</v>
      </c>
      <c r="F2957" s="2">
        <v>3.29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</row>
    <row r="2958" spans="1:11" x14ac:dyDescent="0.25">
      <c r="A2958" s="1">
        <v>5.2777777777777798E-2</v>
      </c>
      <c r="B2958" s="2">
        <v>6.31</v>
      </c>
      <c r="C2958" s="2">
        <v>3.84</v>
      </c>
      <c r="D2958" s="2">
        <v>5.34</v>
      </c>
      <c r="E2958" s="2">
        <v>5.5200000000000005</v>
      </c>
      <c r="F2958" s="2">
        <v>3.24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</row>
    <row r="2959" spans="1:11" x14ac:dyDescent="0.25">
      <c r="A2959" s="1">
        <v>5.3472222222222199E-2</v>
      </c>
      <c r="B2959" s="2">
        <v>6.1999999999999993</v>
      </c>
      <c r="C2959" s="2">
        <v>3.78</v>
      </c>
      <c r="D2959" s="2">
        <v>4.92</v>
      </c>
      <c r="E2959" s="2">
        <v>5.62</v>
      </c>
      <c r="F2959" s="2">
        <v>2.95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</row>
    <row r="2960" spans="1:11" x14ac:dyDescent="0.25">
      <c r="A2960" s="1">
        <v>5.4166666666666703E-2</v>
      </c>
      <c r="B2960" s="2">
        <v>6.1</v>
      </c>
      <c r="C2960" s="2">
        <v>3.71</v>
      </c>
      <c r="D2960" s="2">
        <v>5.22</v>
      </c>
      <c r="E2960" s="2">
        <v>5.17</v>
      </c>
      <c r="F2960" s="2">
        <v>3.31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</row>
    <row r="2961" spans="1:11" x14ac:dyDescent="0.25">
      <c r="A2961" s="1">
        <v>5.4861111111111097E-2</v>
      </c>
      <c r="B2961" s="2">
        <v>6.25</v>
      </c>
      <c r="C2961" s="2">
        <v>3.8</v>
      </c>
      <c r="D2961" s="2">
        <v>4.9399999999999995</v>
      </c>
      <c r="E2961" s="2">
        <v>5.74</v>
      </c>
      <c r="F2961" s="2">
        <v>3.0100000000000002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</row>
    <row r="2962" spans="1:11" x14ac:dyDescent="0.25">
      <c r="A2962" s="1">
        <v>5.5555555555555601E-2</v>
      </c>
      <c r="B2962" s="2">
        <v>6.3199999999999994</v>
      </c>
      <c r="C2962" s="2">
        <v>3.6999999999999997</v>
      </c>
      <c r="D2962" s="2">
        <v>4.9499999999999993</v>
      </c>
      <c r="E2962" s="2">
        <v>5.3100000000000005</v>
      </c>
      <c r="F2962" s="2">
        <v>3.08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</row>
    <row r="2963" spans="1:11" x14ac:dyDescent="0.25">
      <c r="A2963" s="1">
        <v>5.6250000000000001E-2</v>
      </c>
      <c r="B2963" s="2">
        <v>6.1099999999999994</v>
      </c>
      <c r="C2963" s="2">
        <v>3.67</v>
      </c>
      <c r="D2963" s="2">
        <v>4.9899999999999993</v>
      </c>
      <c r="E2963" s="2">
        <v>5.33</v>
      </c>
      <c r="F2963" s="2">
        <v>3.37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</row>
    <row r="2964" spans="1:11" x14ac:dyDescent="0.25">
      <c r="A2964" s="1">
        <v>5.6944444444444402E-2</v>
      </c>
      <c r="B2964" s="2">
        <v>6.33</v>
      </c>
      <c r="C2964" s="2">
        <v>3.8</v>
      </c>
      <c r="D2964" s="2">
        <v>5.35</v>
      </c>
      <c r="E2964" s="2">
        <v>5.55</v>
      </c>
      <c r="F2964" s="2">
        <v>3.38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</row>
    <row r="2965" spans="1:11" x14ac:dyDescent="0.25">
      <c r="A2965" s="1">
        <v>5.7638888888888899E-2</v>
      </c>
      <c r="B2965" s="2">
        <v>6.35</v>
      </c>
      <c r="C2965" s="2">
        <v>3.6799999999999997</v>
      </c>
      <c r="D2965" s="2">
        <v>5.2299999999999995</v>
      </c>
      <c r="E2965" s="2">
        <v>5.55</v>
      </c>
      <c r="F2965" s="2">
        <v>3.12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</row>
    <row r="2966" spans="1:11" x14ac:dyDescent="0.25">
      <c r="A2966" s="1">
        <v>5.83333333333333E-2</v>
      </c>
      <c r="B2966" s="2">
        <v>6.33</v>
      </c>
      <c r="C2966" s="2">
        <v>3.6599999999999997</v>
      </c>
      <c r="D2966" s="2">
        <v>5.22</v>
      </c>
      <c r="E2966" s="2">
        <v>5.2700000000000005</v>
      </c>
      <c r="F2966" s="2">
        <v>2.98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</row>
    <row r="2967" spans="1:11" x14ac:dyDescent="0.25">
      <c r="A2967" s="1">
        <v>5.9027777777777797E-2</v>
      </c>
      <c r="B2967" s="2">
        <v>6.3599999999999994</v>
      </c>
      <c r="C2967" s="2">
        <v>3.75</v>
      </c>
      <c r="D2967" s="2">
        <v>4.8999999999999995</v>
      </c>
      <c r="E2967" s="2">
        <v>5.33</v>
      </c>
      <c r="F2967" s="2">
        <v>3.0900000000000003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</row>
    <row r="2968" spans="1:11" x14ac:dyDescent="0.25">
      <c r="A2968" s="1">
        <v>5.9722222222222197E-2</v>
      </c>
      <c r="B2968" s="2">
        <v>6.25</v>
      </c>
      <c r="C2968" s="2">
        <v>3.73</v>
      </c>
      <c r="D2968" s="2">
        <v>5.12</v>
      </c>
      <c r="E2968" s="2">
        <v>5.3100000000000005</v>
      </c>
      <c r="F2968" s="2">
        <v>3.37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</row>
    <row r="2969" spans="1:11" x14ac:dyDescent="0.25">
      <c r="A2969" s="1">
        <v>6.0416666666666702E-2</v>
      </c>
      <c r="B2969" s="2">
        <v>6.33</v>
      </c>
      <c r="C2969" s="2">
        <v>3.81</v>
      </c>
      <c r="D2969" s="2">
        <v>5.04</v>
      </c>
      <c r="E2969" s="2">
        <v>5.74</v>
      </c>
      <c r="F2969" s="2">
        <v>3.18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</row>
    <row r="2970" spans="1:11" x14ac:dyDescent="0.25">
      <c r="A2970" s="1">
        <v>6.1111111111111102E-2</v>
      </c>
      <c r="B2970" s="2">
        <v>6.3199999999999994</v>
      </c>
      <c r="C2970" s="2">
        <v>3.6199999999999997</v>
      </c>
      <c r="D2970" s="2">
        <v>4.97</v>
      </c>
      <c r="E2970" s="2">
        <v>5.75</v>
      </c>
      <c r="F2970" s="2">
        <v>3.3600000000000003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</row>
    <row r="2971" spans="1:11" x14ac:dyDescent="0.25">
      <c r="A2971" s="1">
        <v>6.18055555555556E-2</v>
      </c>
      <c r="B2971" s="2">
        <v>6.3699999999999992</v>
      </c>
      <c r="C2971" s="2">
        <v>3.59</v>
      </c>
      <c r="D2971" s="2">
        <v>5.16</v>
      </c>
      <c r="E2971" s="2">
        <v>5.73</v>
      </c>
      <c r="F2971" s="2">
        <v>3.0700000000000003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</row>
    <row r="2972" spans="1:11" x14ac:dyDescent="0.25">
      <c r="A2972" s="1">
        <v>6.25E-2</v>
      </c>
      <c r="B2972" s="2">
        <v>6.3599999999999994</v>
      </c>
      <c r="C2972" s="2">
        <v>3.8899999999999997</v>
      </c>
      <c r="D2972" s="2">
        <v>4.9099999999999993</v>
      </c>
      <c r="E2972" s="2">
        <v>5.74</v>
      </c>
      <c r="F2972" s="2">
        <v>2.95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</row>
    <row r="2973" spans="1:11" x14ac:dyDescent="0.25">
      <c r="A2973" s="1">
        <v>6.31944444444444E-2</v>
      </c>
      <c r="B2973" s="2">
        <v>6.2799999999999994</v>
      </c>
      <c r="C2973" s="2">
        <v>3.6399999999999997</v>
      </c>
      <c r="D2973" s="2">
        <v>5.0699999999999994</v>
      </c>
      <c r="E2973" s="2">
        <v>5.25</v>
      </c>
      <c r="F2973" s="2">
        <v>2.92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</row>
    <row r="2974" spans="1:11" x14ac:dyDescent="0.25">
      <c r="A2974" s="1">
        <v>6.3888888888888898E-2</v>
      </c>
      <c r="B2974" s="2">
        <v>6.33</v>
      </c>
      <c r="C2974" s="2">
        <v>3.87</v>
      </c>
      <c r="D2974" s="2">
        <v>5.33</v>
      </c>
      <c r="E2974" s="2">
        <v>5.69</v>
      </c>
      <c r="F2974" s="2">
        <v>3.1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</row>
    <row r="2975" spans="1:11" x14ac:dyDescent="0.25">
      <c r="A2975" s="1">
        <v>6.4583333333333298E-2</v>
      </c>
      <c r="B2975" s="2">
        <v>6.26</v>
      </c>
      <c r="C2975" s="2">
        <v>3.6999999999999997</v>
      </c>
      <c r="D2975" s="2">
        <v>4.96</v>
      </c>
      <c r="E2975" s="2">
        <v>5.19</v>
      </c>
      <c r="F2975" s="2">
        <v>2.92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</row>
    <row r="2976" spans="1:11" x14ac:dyDescent="0.25">
      <c r="A2976" s="1">
        <v>6.5277777777777796E-2</v>
      </c>
      <c r="B2976" s="2">
        <v>6.13</v>
      </c>
      <c r="C2976" s="2">
        <v>3.86</v>
      </c>
      <c r="D2976" s="2">
        <v>5.0699999999999994</v>
      </c>
      <c r="E2976" s="2">
        <v>5.5600000000000005</v>
      </c>
      <c r="F2976" s="2">
        <v>3.14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</row>
    <row r="2977" spans="1:11" x14ac:dyDescent="0.25">
      <c r="A2977" s="1">
        <v>6.5972222222222196E-2</v>
      </c>
      <c r="B2977" s="2">
        <v>6.1</v>
      </c>
      <c r="C2977" s="2">
        <v>3.87</v>
      </c>
      <c r="D2977" s="2">
        <v>5.0299999999999994</v>
      </c>
      <c r="E2977" s="2">
        <v>5.21</v>
      </c>
      <c r="F2977" s="2">
        <v>3.22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</row>
    <row r="2978" spans="1:11" x14ac:dyDescent="0.25">
      <c r="A2978" s="1">
        <v>6.6666666666666693E-2</v>
      </c>
      <c r="B2978" s="2">
        <v>6.1099999999999994</v>
      </c>
      <c r="C2978" s="2">
        <v>3.84</v>
      </c>
      <c r="D2978" s="2">
        <v>5.2399999999999993</v>
      </c>
      <c r="E2978" s="2">
        <v>5.65</v>
      </c>
      <c r="F2978" s="2">
        <v>3.39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</row>
    <row r="2979" spans="1:11" x14ac:dyDescent="0.25">
      <c r="A2979" s="1">
        <v>6.7361111111111094E-2</v>
      </c>
      <c r="B2979" s="2">
        <v>6.17</v>
      </c>
      <c r="C2979" s="2">
        <v>3.82</v>
      </c>
      <c r="D2979" s="2">
        <v>4.9399999999999995</v>
      </c>
      <c r="E2979" s="2">
        <v>5.21</v>
      </c>
      <c r="F2979" s="2">
        <v>3.3600000000000003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</row>
    <row r="2980" spans="1:11" x14ac:dyDescent="0.25">
      <c r="A2980" s="1">
        <v>6.8055555555555605E-2</v>
      </c>
      <c r="B2980" s="2">
        <v>6.21</v>
      </c>
      <c r="C2980" s="2">
        <v>3.8899999999999997</v>
      </c>
      <c r="D2980" s="2">
        <v>5.0599999999999996</v>
      </c>
      <c r="E2980" s="2">
        <v>5.29</v>
      </c>
      <c r="F2980" s="2">
        <v>3.33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</row>
    <row r="2981" spans="1:11" x14ac:dyDescent="0.25">
      <c r="A2981" s="1">
        <v>6.8750000000000006E-2</v>
      </c>
      <c r="B2981" s="2">
        <v>6.25</v>
      </c>
      <c r="C2981" s="2">
        <v>3.71</v>
      </c>
      <c r="D2981" s="2">
        <v>5.3199999999999994</v>
      </c>
      <c r="E2981" s="2">
        <v>5.46</v>
      </c>
      <c r="F2981" s="2">
        <v>3.0900000000000003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</row>
    <row r="2982" spans="1:11" x14ac:dyDescent="0.25">
      <c r="A2982" s="1">
        <v>6.9444444444444406E-2</v>
      </c>
      <c r="B2982" s="2">
        <v>6.2799999999999994</v>
      </c>
      <c r="C2982" s="2">
        <v>3.61</v>
      </c>
      <c r="D2982" s="2">
        <v>5.22</v>
      </c>
      <c r="E2982" s="2">
        <v>5.36</v>
      </c>
      <c r="F2982" s="2">
        <v>3.1500000000000004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</row>
    <row r="2983" spans="1:11" x14ac:dyDescent="0.25">
      <c r="A2983" s="1">
        <v>7.0138888888888903E-2</v>
      </c>
      <c r="B2983" s="2">
        <v>6.1499999999999995</v>
      </c>
      <c r="C2983" s="2">
        <v>3.83</v>
      </c>
      <c r="D2983" s="2">
        <v>5.14</v>
      </c>
      <c r="E2983" s="2">
        <v>5.61</v>
      </c>
      <c r="F2983" s="2">
        <v>2.9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</row>
    <row r="2984" spans="1:11" x14ac:dyDescent="0.25">
      <c r="A2984" s="1">
        <v>7.0833333333333304E-2</v>
      </c>
      <c r="B2984" s="2">
        <v>6.29</v>
      </c>
      <c r="C2984" s="2">
        <v>3.75</v>
      </c>
      <c r="D2984" s="2">
        <v>5.2299999999999995</v>
      </c>
      <c r="E2984" s="2">
        <v>5.68</v>
      </c>
      <c r="F2984" s="2">
        <v>3.0700000000000003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</row>
    <row r="2985" spans="1:11" x14ac:dyDescent="0.25">
      <c r="A2985" s="1">
        <v>7.1527777777777801E-2</v>
      </c>
      <c r="B2985" s="2">
        <v>6.3</v>
      </c>
      <c r="C2985" s="2">
        <v>3.5999999999999996</v>
      </c>
      <c r="D2985" s="2">
        <v>5.1899999999999995</v>
      </c>
      <c r="E2985" s="2">
        <v>5.21</v>
      </c>
      <c r="F2985" s="2">
        <v>3.0700000000000003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</row>
    <row r="2986" spans="1:11" x14ac:dyDescent="0.25">
      <c r="A2986" s="1">
        <v>7.2222222222222202E-2</v>
      </c>
      <c r="B2986" s="2">
        <v>6.1599999999999993</v>
      </c>
      <c r="C2986" s="2">
        <v>3.73</v>
      </c>
      <c r="D2986" s="2">
        <v>5.12</v>
      </c>
      <c r="E2986" s="2">
        <v>5.62</v>
      </c>
      <c r="F2986" s="2">
        <v>3.0700000000000003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</row>
    <row r="2987" spans="1:11" x14ac:dyDescent="0.25">
      <c r="A2987" s="1">
        <v>7.2916666666666699E-2</v>
      </c>
      <c r="B2987" s="2">
        <v>6.1899999999999995</v>
      </c>
      <c r="C2987" s="2">
        <v>3.88</v>
      </c>
      <c r="D2987" s="2">
        <v>4.9799999999999995</v>
      </c>
      <c r="E2987" s="2">
        <v>5.73</v>
      </c>
      <c r="F2987" s="2">
        <v>3.21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</row>
    <row r="2988" spans="1:11" x14ac:dyDescent="0.25">
      <c r="A2988" s="1">
        <v>7.3611111111111099E-2</v>
      </c>
      <c r="B2988" s="2">
        <v>6.27</v>
      </c>
      <c r="C2988" s="2">
        <v>3.75</v>
      </c>
      <c r="D2988" s="2">
        <v>5.16</v>
      </c>
      <c r="E2988" s="2">
        <v>5.5</v>
      </c>
      <c r="F2988" s="2">
        <v>3.08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</row>
    <row r="2989" spans="1:11" x14ac:dyDescent="0.25">
      <c r="A2989" s="1">
        <v>7.4305555555555597E-2</v>
      </c>
      <c r="B2989" s="2">
        <v>6.1</v>
      </c>
      <c r="C2989" s="2">
        <v>3.88</v>
      </c>
      <c r="D2989" s="2">
        <v>5.1499999999999995</v>
      </c>
      <c r="E2989" s="2">
        <v>5.4</v>
      </c>
      <c r="F2989" s="2">
        <v>2.93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</row>
    <row r="2990" spans="1:11" x14ac:dyDescent="0.25">
      <c r="A2990" s="1">
        <v>7.4999999999999997E-2</v>
      </c>
      <c r="B2990" s="2">
        <v>6.22</v>
      </c>
      <c r="C2990" s="2">
        <v>3.76</v>
      </c>
      <c r="D2990" s="2">
        <v>5.12</v>
      </c>
      <c r="E2990" s="2">
        <v>5.6</v>
      </c>
      <c r="F2990" s="2">
        <v>2.9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</row>
    <row r="2991" spans="1:11" x14ac:dyDescent="0.25">
      <c r="A2991" s="1">
        <v>7.5694444444444495E-2</v>
      </c>
      <c r="B2991" s="2">
        <v>6.3199999999999994</v>
      </c>
      <c r="C2991" s="2">
        <v>3.8499999999999996</v>
      </c>
      <c r="D2991" s="2">
        <v>4.9899999999999993</v>
      </c>
      <c r="E2991" s="2">
        <v>5.73</v>
      </c>
      <c r="F2991" s="2">
        <v>2.96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</row>
    <row r="2992" spans="1:11" x14ac:dyDescent="0.25">
      <c r="A2992" s="1">
        <v>7.6388888888888895E-2</v>
      </c>
      <c r="B2992" s="2">
        <v>6.2799999999999994</v>
      </c>
      <c r="C2992" s="2">
        <v>3.6999999999999997</v>
      </c>
      <c r="D2992" s="2">
        <v>5.22</v>
      </c>
      <c r="E2992" s="2">
        <v>5.14</v>
      </c>
      <c r="F2992" s="2">
        <v>3.08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</row>
    <row r="2993" spans="1:11" x14ac:dyDescent="0.25">
      <c r="A2993" s="1">
        <v>7.7083333333333295E-2</v>
      </c>
      <c r="B2993" s="2">
        <v>6.1899999999999995</v>
      </c>
      <c r="C2993" s="2">
        <v>3.84</v>
      </c>
      <c r="D2993" s="2">
        <v>5.39</v>
      </c>
      <c r="E2993" s="2">
        <v>5.6</v>
      </c>
      <c r="F2993" s="2">
        <v>3.27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</row>
    <row r="2994" spans="1:11" x14ac:dyDescent="0.25">
      <c r="A2994" s="1">
        <v>7.7777777777777807E-2</v>
      </c>
      <c r="B2994" s="2">
        <v>6.27</v>
      </c>
      <c r="C2994" s="2">
        <v>3.82</v>
      </c>
      <c r="D2994" s="2">
        <v>5.2799999999999994</v>
      </c>
      <c r="E2994" s="2">
        <v>5.72</v>
      </c>
      <c r="F2994" s="2">
        <v>3.13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</row>
    <row r="2995" spans="1:11" x14ac:dyDescent="0.25">
      <c r="A2995" s="1">
        <v>7.8472222222222193E-2</v>
      </c>
      <c r="B2995" s="2">
        <v>6.1099999999999994</v>
      </c>
      <c r="C2995" s="2">
        <v>3.59</v>
      </c>
      <c r="D2995" s="2">
        <v>5.0299999999999994</v>
      </c>
      <c r="E2995" s="2">
        <v>5.41</v>
      </c>
      <c r="F2995" s="2">
        <v>3.35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</row>
    <row r="2996" spans="1:11" x14ac:dyDescent="0.25">
      <c r="A2996" s="1">
        <v>7.9166666666666705E-2</v>
      </c>
      <c r="B2996" s="2">
        <v>6.25</v>
      </c>
      <c r="C2996" s="2">
        <v>3.84</v>
      </c>
      <c r="D2996" s="2">
        <v>5.17</v>
      </c>
      <c r="E2996" s="2">
        <v>5.47</v>
      </c>
      <c r="F2996" s="2">
        <v>3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</row>
    <row r="2997" spans="1:11" x14ac:dyDescent="0.25">
      <c r="A2997" s="1">
        <v>7.9861111111111105E-2</v>
      </c>
      <c r="B2997" s="2">
        <v>6.26</v>
      </c>
      <c r="C2997" s="2">
        <v>3.78</v>
      </c>
      <c r="D2997" s="2">
        <v>4.9099999999999993</v>
      </c>
      <c r="E2997" s="2">
        <v>5.32</v>
      </c>
      <c r="F2997" s="2">
        <v>2.98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</row>
    <row r="2998" spans="1:11" x14ac:dyDescent="0.25">
      <c r="A2998" s="1">
        <v>8.0555555555555602E-2</v>
      </c>
      <c r="B2998" s="2">
        <v>6.1199999999999992</v>
      </c>
      <c r="C2998" s="2">
        <v>3.5999999999999996</v>
      </c>
      <c r="D2998" s="2">
        <v>5.21</v>
      </c>
      <c r="E2998" s="2">
        <v>5.3</v>
      </c>
      <c r="F2998" s="2">
        <v>3.0700000000000003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</row>
    <row r="2999" spans="1:11" x14ac:dyDescent="0.25">
      <c r="A2999" s="1">
        <v>8.1250000000000003E-2</v>
      </c>
      <c r="B2999" s="2">
        <v>6.1199999999999992</v>
      </c>
      <c r="C2999" s="2">
        <v>3.87</v>
      </c>
      <c r="D2999" s="2">
        <v>5.3</v>
      </c>
      <c r="E2999" s="2">
        <v>5.15</v>
      </c>
      <c r="F2999" s="2">
        <v>3.33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</row>
    <row r="3000" spans="1:11" x14ac:dyDescent="0.25">
      <c r="A3000" s="1">
        <v>8.1944444444444403E-2</v>
      </c>
      <c r="B3000" s="2">
        <v>6.14</v>
      </c>
      <c r="C3000" s="2">
        <v>3.9</v>
      </c>
      <c r="D3000" s="2">
        <v>4.8999999999999995</v>
      </c>
      <c r="E3000" s="2">
        <v>5.53</v>
      </c>
      <c r="F3000" s="2">
        <v>3.29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</row>
    <row r="3001" spans="1:11" x14ac:dyDescent="0.25">
      <c r="A3001" s="1">
        <v>8.2638888888888901E-2</v>
      </c>
      <c r="B3001" s="2">
        <v>6.27</v>
      </c>
      <c r="C3001" s="2">
        <v>3.9</v>
      </c>
      <c r="D3001" s="2">
        <v>5.3</v>
      </c>
      <c r="E3001" s="2">
        <v>5.4</v>
      </c>
      <c r="F3001" s="2">
        <v>3.14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</row>
    <row r="3002" spans="1:11" x14ac:dyDescent="0.25">
      <c r="A3002" s="3">
        <v>8.3333333333333301E-2</v>
      </c>
      <c r="B3002" s="2">
        <v>6.23</v>
      </c>
      <c r="C3002" s="2">
        <v>3.78</v>
      </c>
      <c r="D3002" s="2">
        <v>5.12</v>
      </c>
      <c r="E3002" s="2">
        <v>5.36</v>
      </c>
      <c r="F3002" s="2">
        <v>3.19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</row>
    <row r="3003" spans="1:11" x14ac:dyDescent="0.25">
      <c r="A3003" s="1">
        <v>8.4027777777777798E-2</v>
      </c>
      <c r="B3003" s="2">
        <v>6.38</v>
      </c>
      <c r="C3003" s="2">
        <v>3.78</v>
      </c>
      <c r="D3003" s="2">
        <v>5.09</v>
      </c>
      <c r="E3003" s="2">
        <v>5.41</v>
      </c>
      <c r="F3003" s="2">
        <v>3.12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</row>
    <row r="3004" spans="1:11" x14ac:dyDescent="0.25">
      <c r="A3004" s="1">
        <v>8.4722222222222199E-2</v>
      </c>
      <c r="B3004" s="2">
        <v>6.26</v>
      </c>
      <c r="C3004" s="2">
        <v>3.88</v>
      </c>
      <c r="D3004" s="2">
        <v>5.25</v>
      </c>
      <c r="E3004" s="2">
        <v>5.15</v>
      </c>
      <c r="F3004" s="2">
        <v>3.33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</row>
    <row r="3005" spans="1:11" x14ac:dyDescent="0.25">
      <c r="A3005" s="1">
        <v>8.5416666666666696E-2</v>
      </c>
      <c r="B3005" s="2">
        <v>6.14</v>
      </c>
      <c r="C3005" s="2">
        <v>3.83</v>
      </c>
      <c r="D3005" s="2">
        <v>4.8999999999999995</v>
      </c>
      <c r="E3005" s="2">
        <v>5.38</v>
      </c>
      <c r="F3005" s="2">
        <v>3.0300000000000002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</row>
    <row r="3006" spans="1:11" x14ac:dyDescent="0.25">
      <c r="A3006" s="1">
        <v>8.6111111111111097E-2</v>
      </c>
      <c r="B3006" s="2">
        <v>6.33</v>
      </c>
      <c r="C3006" s="2">
        <v>3.59</v>
      </c>
      <c r="D3006" s="2">
        <v>5.1999999999999993</v>
      </c>
      <c r="E3006" s="2">
        <v>5.0999999999999996</v>
      </c>
      <c r="F3006" s="2">
        <v>3.2800000000000002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</row>
    <row r="3007" spans="1:11" x14ac:dyDescent="0.25">
      <c r="A3007" s="1">
        <v>8.6805555555555594E-2</v>
      </c>
      <c r="B3007" s="2">
        <v>6.1499999999999995</v>
      </c>
      <c r="C3007" s="2">
        <v>3.9</v>
      </c>
      <c r="D3007" s="2">
        <v>5.2299999999999995</v>
      </c>
      <c r="E3007" s="2">
        <v>5.71</v>
      </c>
      <c r="F3007" s="2">
        <v>3.3600000000000003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</row>
    <row r="3008" spans="1:11" x14ac:dyDescent="0.25">
      <c r="A3008" s="1">
        <v>8.7499999999999994E-2</v>
      </c>
      <c r="B3008" s="2">
        <v>6.3599999999999994</v>
      </c>
      <c r="C3008" s="2">
        <v>3.67</v>
      </c>
      <c r="D3008" s="2">
        <v>5.22</v>
      </c>
      <c r="E3008" s="2">
        <v>5.71</v>
      </c>
      <c r="F3008" s="2">
        <v>3.33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</row>
    <row r="3009" spans="1:11" x14ac:dyDescent="0.25">
      <c r="A3009" s="1">
        <v>8.8194444444444506E-2</v>
      </c>
      <c r="B3009" s="2">
        <v>6.2299999999999995</v>
      </c>
      <c r="C3009" s="2">
        <v>3.82</v>
      </c>
      <c r="D3009" s="2">
        <v>4.96</v>
      </c>
      <c r="E3009" s="2">
        <v>5.69</v>
      </c>
      <c r="F3009" s="2">
        <v>3.06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</row>
    <row r="3010" spans="1:11" x14ac:dyDescent="0.25">
      <c r="A3010" s="1">
        <v>8.8888888888888906E-2</v>
      </c>
      <c r="B3010" s="2">
        <v>6.1</v>
      </c>
      <c r="C3010" s="2">
        <v>3.65</v>
      </c>
      <c r="D3010" s="2">
        <v>5.21</v>
      </c>
      <c r="E3010" s="2">
        <v>5.22</v>
      </c>
      <c r="F3010" s="2">
        <v>3.23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</row>
    <row r="3011" spans="1:11" x14ac:dyDescent="0.25">
      <c r="A3011" s="1">
        <v>8.9583333333333307E-2</v>
      </c>
      <c r="B3011" s="2">
        <v>6.26</v>
      </c>
      <c r="C3011" s="2">
        <v>3.6399999999999997</v>
      </c>
      <c r="D3011" s="2">
        <v>5.2399999999999993</v>
      </c>
      <c r="E3011" s="2">
        <v>5.74</v>
      </c>
      <c r="F3011" s="2">
        <v>3.0100000000000002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</row>
    <row r="3012" spans="1:11" x14ac:dyDescent="0.25">
      <c r="A3012" s="1">
        <v>9.0277777777777804E-2</v>
      </c>
      <c r="B3012" s="2">
        <v>6.1499999999999995</v>
      </c>
      <c r="C3012" s="2">
        <v>3.79</v>
      </c>
      <c r="D3012" s="2">
        <v>5.1999999999999993</v>
      </c>
      <c r="E3012" s="2">
        <v>5.28</v>
      </c>
      <c r="F3012" s="2">
        <v>2.88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</row>
    <row r="3013" spans="1:11" x14ac:dyDescent="0.25">
      <c r="A3013" s="1">
        <v>9.0972222222222204E-2</v>
      </c>
      <c r="B3013" s="2">
        <v>6.26</v>
      </c>
      <c r="C3013" s="2">
        <v>3.84</v>
      </c>
      <c r="D3013" s="2">
        <v>5.09</v>
      </c>
      <c r="E3013" s="2">
        <v>5.41</v>
      </c>
      <c r="F3013" s="2">
        <v>3.2600000000000002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</row>
    <row r="3014" spans="1:11" x14ac:dyDescent="0.25">
      <c r="A3014" s="1">
        <v>9.1666666666666702E-2</v>
      </c>
      <c r="B3014" s="2">
        <v>6.1899999999999995</v>
      </c>
      <c r="C3014" s="2">
        <v>3.79</v>
      </c>
      <c r="D3014" s="2">
        <v>5.25</v>
      </c>
      <c r="E3014" s="2">
        <v>5.47</v>
      </c>
      <c r="F3014" s="2">
        <v>2.99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</row>
    <row r="3015" spans="1:11" x14ac:dyDescent="0.25">
      <c r="A3015" s="1">
        <v>9.2361111111111102E-2</v>
      </c>
      <c r="B3015" s="2">
        <v>6.3699999999999992</v>
      </c>
      <c r="C3015" s="2">
        <v>3.7399999999999998</v>
      </c>
      <c r="D3015" s="2">
        <v>5.0199999999999996</v>
      </c>
      <c r="E3015" s="2">
        <v>5.6400000000000006</v>
      </c>
      <c r="F3015" s="2">
        <v>3.27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</row>
    <row r="3016" spans="1:11" x14ac:dyDescent="0.25">
      <c r="A3016" s="1">
        <v>9.30555555555556E-2</v>
      </c>
      <c r="B3016" s="2">
        <v>6.1899999999999995</v>
      </c>
      <c r="C3016" s="2">
        <v>3.6399999999999997</v>
      </c>
      <c r="D3016" s="2">
        <v>5.29</v>
      </c>
      <c r="E3016" s="2">
        <v>5.2</v>
      </c>
      <c r="F3016" s="2">
        <v>3.12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</row>
    <row r="3017" spans="1:11" x14ac:dyDescent="0.25">
      <c r="A3017" s="1">
        <v>9.375E-2</v>
      </c>
      <c r="B3017" s="2">
        <v>6.2399999999999993</v>
      </c>
      <c r="C3017" s="2">
        <v>3.6599999999999997</v>
      </c>
      <c r="D3017" s="2">
        <v>5.14</v>
      </c>
      <c r="E3017" s="2">
        <v>5.53</v>
      </c>
      <c r="F3017" s="2">
        <v>3.31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</row>
    <row r="3018" spans="1:11" x14ac:dyDescent="0.25">
      <c r="A3018" s="1">
        <v>9.44444444444444E-2</v>
      </c>
      <c r="B3018" s="2">
        <v>6.26</v>
      </c>
      <c r="C3018" s="2">
        <v>3.76</v>
      </c>
      <c r="D3018" s="2">
        <v>5.25</v>
      </c>
      <c r="E3018" s="2">
        <v>5.58</v>
      </c>
      <c r="F3018" s="2">
        <v>3.35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</row>
    <row r="3019" spans="1:11" x14ac:dyDescent="0.25">
      <c r="A3019" s="1">
        <v>9.5138888888888898E-2</v>
      </c>
      <c r="B3019" s="2">
        <v>6.2399999999999993</v>
      </c>
      <c r="C3019" s="2">
        <v>3.67</v>
      </c>
      <c r="D3019" s="2">
        <v>5.18</v>
      </c>
      <c r="E3019" s="2">
        <v>5.36</v>
      </c>
      <c r="F3019" s="2">
        <v>2.97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</row>
    <row r="3020" spans="1:11" x14ac:dyDescent="0.25">
      <c r="A3020" s="1">
        <v>9.5833333333333298E-2</v>
      </c>
      <c r="B3020" s="2">
        <v>6.13</v>
      </c>
      <c r="C3020" s="2">
        <v>3.7199999999999998</v>
      </c>
      <c r="D3020" s="2">
        <v>4.9499999999999993</v>
      </c>
      <c r="E3020" s="2">
        <v>5.37</v>
      </c>
      <c r="F3020" s="2">
        <v>3.38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</row>
    <row r="3021" spans="1:11" x14ac:dyDescent="0.25">
      <c r="A3021" s="1">
        <v>9.6527777777777796E-2</v>
      </c>
      <c r="B3021" s="2">
        <v>6.1599999999999993</v>
      </c>
      <c r="C3021" s="2">
        <v>3.86</v>
      </c>
      <c r="D3021" s="2">
        <v>5.3699999999999992</v>
      </c>
      <c r="E3021" s="2">
        <v>5.23</v>
      </c>
      <c r="F3021" s="2">
        <v>2.98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</row>
    <row r="3022" spans="1:11" x14ac:dyDescent="0.25">
      <c r="A3022" s="1">
        <v>9.7222222222222196E-2</v>
      </c>
      <c r="B3022" s="2">
        <v>6.2299999999999995</v>
      </c>
      <c r="C3022" s="2">
        <v>3.88</v>
      </c>
      <c r="D3022" s="2">
        <v>4.9899999999999993</v>
      </c>
      <c r="E3022" s="2">
        <v>5.38</v>
      </c>
      <c r="F3022" s="2">
        <v>3.1100000000000003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</row>
    <row r="3023" spans="1:11" x14ac:dyDescent="0.25">
      <c r="A3023" s="1">
        <v>9.7916666666666693E-2</v>
      </c>
      <c r="B3023" s="2">
        <v>6.27</v>
      </c>
      <c r="C3023" s="2">
        <v>3.81</v>
      </c>
      <c r="D3023" s="2">
        <v>5.2799999999999994</v>
      </c>
      <c r="E3023" s="2">
        <v>5.3100000000000005</v>
      </c>
      <c r="F3023" s="2">
        <v>3.24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</row>
    <row r="3024" spans="1:11" x14ac:dyDescent="0.25">
      <c r="A3024" s="1">
        <v>9.8611111111111094E-2</v>
      </c>
      <c r="B3024" s="2">
        <v>6.3</v>
      </c>
      <c r="C3024" s="2">
        <v>3.82</v>
      </c>
      <c r="D3024" s="2">
        <v>5.27</v>
      </c>
      <c r="E3024" s="2">
        <v>5.57</v>
      </c>
      <c r="F3024" s="2">
        <v>2.94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</row>
    <row r="3025" spans="1:11" x14ac:dyDescent="0.25">
      <c r="A3025" s="1">
        <v>9.9305555555555605E-2</v>
      </c>
      <c r="B3025" s="2">
        <v>6.1499999999999995</v>
      </c>
      <c r="C3025" s="2">
        <v>3.5999999999999996</v>
      </c>
      <c r="D3025" s="2">
        <v>5.2299999999999995</v>
      </c>
      <c r="E3025" s="2">
        <v>5.34</v>
      </c>
      <c r="F3025" s="2">
        <v>3.2800000000000002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</row>
    <row r="3026" spans="1:11" x14ac:dyDescent="0.25">
      <c r="A3026" s="1">
        <v>0.1</v>
      </c>
      <c r="B3026" s="2">
        <v>6.31</v>
      </c>
      <c r="C3026" s="2">
        <v>3.86</v>
      </c>
      <c r="D3026" s="2">
        <v>5.14</v>
      </c>
      <c r="E3026" s="2">
        <v>5.15</v>
      </c>
      <c r="F3026" s="2">
        <v>3.2800000000000002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</row>
    <row r="3027" spans="1:11" x14ac:dyDescent="0.25">
      <c r="A3027" s="1">
        <v>0.100694444444444</v>
      </c>
      <c r="B3027" s="2">
        <v>6.29</v>
      </c>
      <c r="C3027" s="2">
        <v>3.75</v>
      </c>
      <c r="D3027" s="2">
        <v>5.25</v>
      </c>
      <c r="E3027" s="2">
        <v>5.22</v>
      </c>
      <c r="F3027" s="2">
        <v>3.38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</row>
    <row r="3028" spans="1:11" x14ac:dyDescent="0.25">
      <c r="A3028" s="1">
        <v>0.101388888888889</v>
      </c>
      <c r="B3028" s="2">
        <v>6.1</v>
      </c>
      <c r="C3028" s="2">
        <v>3.87</v>
      </c>
      <c r="D3028" s="2">
        <v>5.2399999999999993</v>
      </c>
      <c r="E3028" s="2">
        <v>5.6400000000000006</v>
      </c>
      <c r="F3028" s="2">
        <v>2.92</v>
      </c>
      <c r="G3028" s="6">
        <v>0</v>
      </c>
      <c r="H3028" s="6">
        <v>0</v>
      </c>
      <c r="I3028" s="6">
        <v>0</v>
      </c>
      <c r="J3028" s="6">
        <v>0</v>
      </c>
      <c r="K3028" s="6">
        <v>0</v>
      </c>
    </row>
    <row r="3029" spans="1:11" x14ac:dyDescent="0.25">
      <c r="A3029" s="1">
        <v>0.102083333333333</v>
      </c>
      <c r="B3029" s="2">
        <v>6.2799999999999994</v>
      </c>
      <c r="C3029" s="2">
        <v>3.69</v>
      </c>
      <c r="D3029" s="2">
        <v>5.33</v>
      </c>
      <c r="E3029" s="2">
        <v>5.21</v>
      </c>
      <c r="F3029" s="2">
        <v>3.39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</row>
    <row r="3030" spans="1:11" x14ac:dyDescent="0.25">
      <c r="A3030" s="1">
        <v>0.102777777777778</v>
      </c>
      <c r="B3030" s="2">
        <v>6.18</v>
      </c>
      <c r="C3030" s="2">
        <v>3.6599999999999997</v>
      </c>
      <c r="D3030" s="2">
        <v>4.8999999999999995</v>
      </c>
      <c r="E3030" s="2">
        <v>5.5</v>
      </c>
      <c r="F3030" s="2">
        <v>2.92</v>
      </c>
      <c r="G3030" s="6">
        <v>0</v>
      </c>
      <c r="H3030" s="6">
        <v>0</v>
      </c>
      <c r="I3030" s="6">
        <v>0</v>
      </c>
      <c r="J3030" s="6">
        <v>0</v>
      </c>
      <c r="K3030" s="6">
        <v>0</v>
      </c>
    </row>
    <row r="3031" spans="1:11" x14ac:dyDescent="0.25">
      <c r="A3031" s="1">
        <v>0.10347222222222199</v>
      </c>
      <c r="B3031" s="2">
        <v>6.25</v>
      </c>
      <c r="C3031" s="2">
        <v>3.9</v>
      </c>
      <c r="D3031" s="2">
        <v>5.3599999999999994</v>
      </c>
      <c r="E3031" s="2">
        <v>5.16</v>
      </c>
      <c r="F3031" s="2">
        <v>3.12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</row>
    <row r="3032" spans="1:11" x14ac:dyDescent="0.25">
      <c r="A3032" s="1">
        <v>0.104166666666667</v>
      </c>
      <c r="B3032" s="2">
        <v>6.13</v>
      </c>
      <c r="C3032" s="2">
        <v>3.78</v>
      </c>
      <c r="D3032" s="2">
        <v>5.3199999999999994</v>
      </c>
      <c r="E3032" s="2">
        <v>5.75</v>
      </c>
      <c r="F3032" s="2">
        <v>3.04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</row>
    <row r="3033" spans="1:11" x14ac:dyDescent="0.25">
      <c r="A3033" s="1">
        <v>0.104861111111111</v>
      </c>
      <c r="B3033" s="2">
        <v>6.2799999999999994</v>
      </c>
      <c r="C3033" s="2">
        <v>3.87</v>
      </c>
      <c r="D3033" s="2">
        <v>5</v>
      </c>
      <c r="E3033" s="2">
        <v>5.2</v>
      </c>
      <c r="F3033" s="2">
        <v>3.02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</row>
    <row r="3034" spans="1:11" x14ac:dyDescent="0.25">
      <c r="A3034" s="1">
        <v>0.105555555555556</v>
      </c>
      <c r="B3034" s="2">
        <v>6.33</v>
      </c>
      <c r="C3034" s="2">
        <v>3.81</v>
      </c>
      <c r="D3034" s="2">
        <v>5.33</v>
      </c>
      <c r="E3034" s="2">
        <v>5.39</v>
      </c>
      <c r="F3034" s="2">
        <v>3.14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</row>
    <row r="3035" spans="1:11" x14ac:dyDescent="0.25">
      <c r="A3035" s="1">
        <v>0.10625</v>
      </c>
      <c r="B3035" s="2">
        <v>6.3</v>
      </c>
      <c r="C3035" s="2">
        <v>3.7399999999999998</v>
      </c>
      <c r="D3035" s="2">
        <v>5.39</v>
      </c>
      <c r="E3035" s="2">
        <v>5.39</v>
      </c>
      <c r="F3035" s="2">
        <v>3.0500000000000003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</row>
    <row r="3036" spans="1:11" x14ac:dyDescent="0.25">
      <c r="A3036" s="1">
        <v>0.106944444444444</v>
      </c>
      <c r="B3036" s="2">
        <v>6.29</v>
      </c>
      <c r="C3036" s="2">
        <v>3.83</v>
      </c>
      <c r="D3036" s="2">
        <v>4.96</v>
      </c>
      <c r="E3036" s="2">
        <v>5.55</v>
      </c>
      <c r="F3036" s="2">
        <v>3.19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</row>
    <row r="3037" spans="1:11" x14ac:dyDescent="0.25">
      <c r="A3037" s="1">
        <v>0.10763888888888901</v>
      </c>
      <c r="B3037" s="2">
        <v>6.1099999999999994</v>
      </c>
      <c r="C3037" s="2">
        <v>3.81</v>
      </c>
      <c r="D3037" s="2">
        <v>4.9899999999999993</v>
      </c>
      <c r="E3037" s="2">
        <v>5.24</v>
      </c>
      <c r="F3037" s="2">
        <v>2.9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</row>
    <row r="3038" spans="1:11" x14ac:dyDescent="0.25">
      <c r="A3038" s="1">
        <v>0.108333333333333</v>
      </c>
      <c r="B3038" s="2">
        <v>6.2399999999999993</v>
      </c>
      <c r="C3038" s="2">
        <v>3.78</v>
      </c>
      <c r="D3038" s="2">
        <v>5.21</v>
      </c>
      <c r="E3038" s="2">
        <v>5.09</v>
      </c>
      <c r="F3038" s="2">
        <v>3.2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</row>
    <row r="3039" spans="1:11" x14ac:dyDescent="0.25">
      <c r="A3039" s="1">
        <v>0.109027777777778</v>
      </c>
      <c r="B3039" s="2">
        <v>6.14</v>
      </c>
      <c r="C3039" s="2">
        <v>3.86</v>
      </c>
      <c r="D3039" s="2">
        <v>5.35</v>
      </c>
      <c r="E3039" s="2">
        <v>5.65</v>
      </c>
      <c r="F3039" s="2">
        <v>2.9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</row>
    <row r="3040" spans="1:11" x14ac:dyDescent="0.25">
      <c r="A3040" s="1">
        <v>0.109722222222222</v>
      </c>
      <c r="B3040" s="2">
        <v>6.1099999999999994</v>
      </c>
      <c r="C3040" s="2">
        <v>3.77</v>
      </c>
      <c r="D3040" s="2">
        <v>4.8999999999999995</v>
      </c>
      <c r="E3040" s="2">
        <v>5.47</v>
      </c>
      <c r="F3040" s="2">
        <v>3.14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</row>
    <row r="3041" spans="1:11" x14ac:dyDescent="0.25">
      <c r="A3041" s="1">
        <v>0.110416666666667</v>
      </c>
      <c r="B3041" s="2">
        <v>6.3599999999999994</v>
      </c>
      <c r="C3041" s="2">
        <v>3.81</v>
      </c>
      <c r="D3041" s="2">
        <v>5.2799999999999994</v>
      </c>
      <c r="E3041" s="2">
        <v>5.59</v>
      </c>
      <c r="F3041" s="2">
        <v>3.0900000000000003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</row>
    <row r="3042" spans="1:11" x14ac:dyDescent="0.25">
      <c r="A3042" s="1">
        <v>0.11111111111111099</v>
      </c>
      <c r="B3042" s="2">
        <v>6.1099999999999994</v>
      </c>
      <c r="C3042" s="2">
        <v>3.77</v>
      </c>
      <c r="D3042" s="2">
        <v>5.13</v>
      </c>
      <c r="E3042" s="2">
        <v>5.2</v>
      </c>
      <c r="F3042" s="2">
        <v>3.1500000000000004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</row>
    <row r="3043" spans="1:11" x14ac:dyDescent="0.25">
      <c r="A3043" s="1">
        <v>0.111805555555556</v>
      </c>
      <c r="B3043" s="2">
        <v>6.18</v>
      </c>
      <c r="C3043" s="2">
        <v>3.6999999999999997</v>
      </c>
      <c r="D3043" s="2">
        <v>4.8899999999999997</v>
      </c>
      <c r="E3043" s="2">
        <v>5.38</v>
      </c>
      <c r="F3043" s="2">
        <v>3.23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</row>
    <row r="3044" spans="1:11" x14ac:dyDescent="0.25">
      <c r="A3044" s="1">
        <v>0.1125</v>
      </c>
      <c r="B3044" s="2">
        <v>6.21</v>
      </c>
      <c r="C3044" s="2">
        <v>3.63</v>
      </c>
      <c r="D3044" s="2">
        <v>4.97</v>
      </c>
      <c r="E3044" s="2">
        <v>5.5200000000000005</v>
      </c>
      <c r="F3044" s="2">
        <v>3.3400000000000003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</row>
    <row r="3045" spans="1:11" x14ac:dyDescent="0.25">
      <c r="A3045" s="1">
        <v>0.113194444444444</v>
      </c>
      <c r="B3045" s="2">
        <v>6.38</v>
      </c>
      <c r="C3045" s="2">
        <v>3.63</v>
      </c>
      <c r="D3045" s="2">
        <v>5.0199999999999996</v>
      </c>
      <c r="E3045" s="2">
        <v>5.09</v>
      </c>
      <c r="F3045" s="2">
        <v>3.21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</row>
    <row r="3046" spans="1:11" x14ac:dyDescent="0.25">
      <c r="A3046" s="1">
        <v>0.113888888888889</v>
      </c>
      <c r="B3046" s="2">
        <v>6.1</v>
      </c>
      <c r="C3046" s="2">
        <v>3.61</v>
      </c>
      <c r="D3046" s="2">
        <v>5.12</v>
      </c>
      <c r="E3046" s="2">
        <v>5.17</v>
      </c>
      <c r="F3046" s="2">
        <v>3.38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</row>
    <row r="3047" spans="1:11" x14ac:dyDescent="0.25">
      <c r="A3047" s="1">
        <v>0.114583333333333</v>
      </c>
      <c r="B3047" s="2">
        <v>6.14</v>
      </c>
      <c r="C3047" s="2">
        <v>3.8</v>
      </c>
      <c r="D3047" s="2">
        <v>5.33</v>
      </c>
      <c r="E3047" s="2">
        <v>5.45</v>
      </c>
      <c r="F3047" s="2">
        <v>3.0100000000000002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</row>
    <row r="3048" spans="1:11" x14ac:dyDescent="0.25">
      <c r="A3048" s="1">
        <v>0.11527777777777801</v>
      </c>
      <c r="B3048" s="2">
        <v>6.35</v>
      </c>
      <c r="C3048" s="2">
        <v>3.6399999999999997</v>
      </c>
      <c r="D3048" s="2">
        <v>5.09</v>
      </c>
      <c r="E3048" s="2">
        <v>5.59</v>
      </c>
      <c r="F3048" s="2">
        <v>3.25</v>
      </c>
      <c r="G3048" s="6">
        <v>0</v>
      </c>
      <c r="H3048" s="6">
        <v>0</v>
      </c>
      <c r="I3048" s="6">
        <v>0</v>
      </c>
      <c r="J3048" s="6">
        <v>0</v>
      </c>
      <c r="K3048" s="6">
        <v>0</v>
      </c>
    </row>
    <row r="3049" spans="1:11" x14ac:dyDescent="0.25">
      <c r="A3049" s="1">
        <v>0.115972222222222</v>
      </c>
      <c r="B3049" s="2">
        <v>6.26</v>
      </c>
      <c r="C3049" s="2">
        <v>3.7199999999999998</v>
      </c>
      <c r="D3049" s="2">
        <v>5.1499999999999995</v>
      </c>
      <c r="E3049" s="2">
        <v>5.68</v>
      </c>
      <c r="F3049" s="2">
        <v>3.2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</row>
    <row r="3050" spans="1:11" x14ac:dyDescent="0.25">
      <c r="A3050" s="1">
        <v>0.116666666666667</v>
      </c>
      <c r="B3050" s="2">
        <v>6.1499999999999995</v>
      </c>
      <c r="C3050" s="2">
        <v>3.67</v>
      </c>
      <c r="D3050" s="2">
        <v>4.97</v>
      </c>
      <c r="E3050" s="2">
        <v>5.4</v>
      </c>
      <c r="F3050" s="2">
        <v>3.31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</row>
    <row r="3051" spans="1:11" x14ac:dyDescent="0.25">
      <c r="A3051" s="1">
        <v>0.117361111111111</v>
      </c>
      <c r="B3051" s="2">
        <v>6.33</v>
      </c>
      <c r="C3051" s="2">
        <v>3.6599999999999997</v>
      </c>
      <c r="D3051" s="2">
        <v>5.18</v>
      </c>
      <c r="E3051" s="2">
        <v>5.2</v>
      </c>
      <c r="F3051" s="2">
        <v>3.1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</row>
    <row r="3052" spans="1:11" x14ac:dyDescent="0.25">
      <c r="A3052" s="1">
        <v>0.118055555555556</v>
      </c>
      <c r="B3052" s="2">
        <v>6.26</v>
      </c>
      <c r="C3052" s="2">
        <v>3.6199999999999997</v>
      </c>
      <c r="D3052" s="2">
        <v>5.35</v>
      </c>
      <c r="E3052" s="2">
        <v>5.22</v>
      </c>
      <c r="F3052" s="2">
        <v>2.96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</row>
    <row r="3053" spans="1:11" x14ac:dyDescent="0.25">
      <c r="A3053" s="1">
        <v>0.11874999999999999</v>
      </c>
      <c r="B3053" s="2">
        <v>6.3</v>
      </c>
      <c r="C3053" s="2">
        <v>3.88</v>
      </c>
      <c r="D3053" s="2">
        <v>5.01</v>
      </c>
      <c r="E3053" s="2">
        <v>5.46</v>
      </c>
      <c r="F3053" s="2">
        <v>3.22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</row>
    <row r="3054" spans="1:11" x14ac:dyDescent="0.25">
      <c r="A3054" s="1">
        <v>0.11944444444444401</v>
      </c>
      <c r="B3054" s="2">
        <v>6.2399999999999993</v>
      </c>
      <c r="C3054" s="2">
        <v>3.67</v>
      </c>
      <c r="D3054" s="2">
        <v>5.13</v>
      </c>
      <c r="E3054" s="2">
        <v>5.39</v>
      </c>
      <c r="F3054" s="2">
        <v>3.3200000000000003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</row>
    <row r="3055" spans="1:11" x14ac:dyDescent="0.25">
      <c r="A3055" s="1">
        <v>0.120138888888889</v>
      </c>
      <c r="B3055" s="2">
        <v>6.14</v>
      </c>
      <c r="C3055" s="2">
        <v>3.8899999999999997</v>
      </c>
      <c r="D3055" s="2">
        <v>5.0699999999999994</v>
      </c>
      <c r="E3055" s="2">
        <v>5.28</v>
      </c>
      <c r="F3055" s="2">
        <v>3.0300000000000002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</row>
    <row r="3056" spans="1:11" x14ac:dyDescent="0.25">
      <c r="A3056" s="1">
        <v>0.120833333333333</v>
      </c>
      <c r="B3056" s="2">
        <v>6.14</v>
      </c>
      <c r="C3056" s="2">
        <v>3.6399999999999997</v>
      </c>
      <c r="D3056" s="2">
        <v>5.2399999999999993</v>
      </c>
      <c r="E3056" s="2">
        <v>5.67</v>
      </c>
      <c r="F3056" s="2">
        <v>3.38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</row>
    <row r="3057" spans="1:11" x14ac:dyDescent="0.25">
      <c r="A3057" s="1">
        <v>0.121527777777778</v>
      </c>
      <c r="B3057" s="2">
        <v>6.18</v>
      </c>
      <c r="C3057" s="2">
        <v>3.69</v>
      </c>
      <c r="D3057" s="2">
        <v>5.26</v>
      </c>
      <c r="E3057" s="2">
        <v>5.7</v>
      </c>
      <c r="F3057" s="2">
        <v>3.08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</row>
    <row r="3058" spans="1:11" x14ac:dyDescent="0.25">
      <c r="A3058" s="1">
        <v>0.122222222222222</v>
      </c>
      <c r="B3058" s="2">
        <v>6.35</v>
      </c>
      <c r="C3058" s="2">
        <v>3.71</v>
      </c>
      <c r="D3058" s="2">
        <v>5.22</v>
      </c>
      <c r="E3058" s="2">
        <v>5.58</v>
      </c>
      <c r="F3058" s="2">
        <v>3.17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</row>
    <row r="3059" spans="1:11" x14ac:dyDescent="0.25">
      <c r="A3059" s="1">
        <v>0.12291666666666699</v>
      </c>
      <c r="B3059" s="2">
        <v>6.3199999999999994</v>
      </c>
      <c r="C3059" s="2">
        <v>3.8499999999999996</v>
      </c>
      <c r="D3059" s="2">
        <v>4.9899999999999993</v>
      </c>
      <c r="E3059" s="2">
        <v>5.68</v>
      </c>
      <c r="F3059" s="2">
        <v>3.19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</row>
    <row r="3060" spans="1:11" x14ac:dyDescent="0.25">
      <c r="A3060" s="1">
        <v>0.12361111111111101</v>
      </c>
      <c r="B3060" s="2">
        <v>6.1499999999999995</v>
      </c>
      <c r="C3060" s="2">
        <v>3.63</v>
      </c>
      <c r="D3060" s="2">
        <v>5.05</v>
      </c>
      <c r="E3060" s="2">
        <v>5.23</v>
      </c>
      <c r="F3060" s="2">
        <v>3.35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</row>
    <row r="3061" spans="1:11" x14ac:dyDescent="0.25">
      <c r="A3061" s="1">
        <v>0.124305555555556</v>
      </c>
      <c r="B3061" s="2">
        <v>6.34</v>
      </c>
      <c r="C3061" s="2">
        <v>3.9</v>
      </c>
      <c r="D3061" s="2">
        <v>5.22</v>
      </c>
      <c r="E3061" s="2">
        <v>5.54</v>
      </c>
      <c r="F3061" s="2">
        <v>2.97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</row>
    <row r="3062" spans="1:11" x14ac:dyDescent="0.25">
      <c r="A3062" s="3">
        <v>0.125</v>
      </c>
      <c r="B3062" s="2">
        <v>6.23</v>
      </c>
      <c r="C3062" s="2">
        <v>3.78</v>
      </c>
      <c r="D3062" s="2">
        <v>5.12</v>
      </c>
      <c r="E3062" s="2">
        <v>5.36</v>
      </c>
      <c r="F3062" s="2">
        <v>3.19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</row>
    <row r="3063" spans="1:11" x14ac:dyDescent="0.25">
      <c r="A3063" s="1">
        <v>0.125694444444444</v>
      </c>
      <c r="B3063" s="2">
        <v>6.31</v>
      </c>
      <c r="C3063" s="2">
        <v>3.86</v>
      </c>
      <c r="D3063" s="2">
        <v>4.93</v>
      </c>
      <c r="E3063" s="2">
        <v>5.23</v>
      </c>
      <c r="F3063" s="2">
        <v>3.24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</row>
    <row r="3064" spans="1:11" x14ac:dyDescent="0.25">
      <c r="A3064" s="1">
        <v>0.12638888888888899</v>
      </c>
      <c r="B3064" s="2">
        <v>6.1999999999999993</v>
      </c>
      <c r="C3064" s="2">
        <v>3.81</v>
      </c>
      <c r="D3064" s="2">
        <v>5.31</v>
      </c>
      <c r="E3064" s="2">
        <v>5.5600000000000005</v>
      </c>
      <c r="F3064" s="2">
        <v>2.89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</row>
    <row r="3065" spans="1:11" x14ac:dyDescent="0.25">
      <c r="A3065" s="1">
        <v>0.12708333333333299</v>
      </c>
      <c r="B3065" s="2">
        <v>6.1499999999999995</v>
      </c>
      <c r="C3065" s="2">
        <v>3.87</v>
      </c>
      <c r="D3065" s="2">
        <v>5.1999999999999993</v>
      </c>
      <c r="E3065" s="2">
        <v>5.0999999999999996</v>
      </c>
      <c r="F3065" s="2">
        <v>3.1100000000000003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</row>
    <row r="3066" spans="1:11" x14ac:dyDescent="0.25">
      <c r="A3066" s="1">
        <v>0.12777777777777799</v>
      </c>
      <c r="B3066" s="2">
        <v>6.25</v>
      </c>
      <c r="C3066" s="2">
        <v>3.8899999999999997</v>
      </c>
      <c r="D3066" s="2">
        <v>5.17</v>
      </c>
      <c r="E3066" s="2">
        <v>5.49</v>
      </c>
      <c r="F3066" s="2">
        <v>3.04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</row>
    <row r="3067" spans="1:11" x14ac:dyDescent="0.25">
      <c r="A3067" s="1">
        <v>0.12847222222222199</v>
      </c>
      <c r="B3067" s="2">
        <v>6.34</v>
      </c>
      <c r="C3067" s="2">
        <v>3.79</v>
      </c>
      <c r="D3067" s="2">
        <v>5.18</v>
      </c>
      <c r="E3067" s="2">
        <v>5.33</v>
      </c>
      <c r="F3067" s="2">
        <v>2.9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</row>
    <row r="3068" spans="1:11" x14ac:dyDescent="0.25">
      <c r="A3068" s="1">
        <v>0.12916666666666701</v>
      </c>
      <c r="B3068" s="2">
        <v>6.3599999999999994</v>
      </c>
      <c r="C3068" s="2">
        <v>3.6399999999999997</v>
      </c>
      <c r="D3068" s="2">
        <v>5.3699999999999992</v>
      </c>
      <c r="E3068" s="2">
        <v>5.18</v>
      </c>
      <c r="F3068" s="2">
        <v>3.3400000000000003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</row>
    <row r="3069" spans="1:11" x14ac:dyDescent="0.25">
      <c r="A3069" s="1">
        <v>0.12986111111111101</v>
      </c>
      <c r="B3069" s="2">
        <v>6.1999999999999993</v>
      </c>
      <c r="C3069" s="2">
        <v>3.71</v>
      </c>
      <c r="D3069" s="2">
        <v>5.3</v>
      </c>
      <c r="E3069" s="2">
        <v>5.2700000000000005</v>
      </c>
      <c r="F3069" s="2">
        <v>3.1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</row>
    <row r="3070" spans="1:11" x14ac:dyDescent="0.25">
      <c r="A3070" s="1">
        <v>0.13055555555555601</v>
      </c>
      <c r="B3070" s="2">
        <v>6.3199999999999994</v>
      </c>
      <c r="C3070" s="2">
        <v>3.8899999999999997</v>
      </c>
      <c r="D3070" s="2">
        <v>5.25</v>
      </c>
      <c r="E3070" s="2">
        <v>5.3100000000000005</v>
      </c>
      <c r="F3070" s="2">
        <v>2.9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</row>
    <row r="3071" spans="1:11" x14ac:dyDescent="0.25">
      <c r="A3071" s="1">
        <v>0.13125000000000001</v>
      </c>
      <c r="B3071" s="2">
        <v>6.14</v>
      </c>
      <c r="C3071" s="2">
        <v>3.78</v>
      </c>
      <c r="D3071" s="2">
        <v>4.97</v>
      </c>
      <c r="E3071" s="2">
        <v>5.0999999999999996</v>
      </c>
      <c r="F3071" s="2">
        <v>2.93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</row>
    <row r="3072" spans="1:11" x14ac:dyDescent="0.25">
      <c r="A3072" s="1">
        <v>0.131944444444444</v>
      </c>
      <c r="B3072" s="2">
        <v>6.1899999999999995</v>
      </c>
      <c r="C3072" s="2">
        <v>3.82</v>
      </c>
      <c r="D3072" s="2">
        <v>5</v>
      </c>
      <c r="E3072" s="2">
        <v>5.58</v>
      </c>
      <c r="F3072" s="2">
        <v>2.89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</row>
    <row r="3073" spans="1:11" x14ac:dyDescent="0.25">
      <c r="A3073" s="1">
        <v>0.132638888888889</v>
      </c>
      <c r="B3073" s="2">
        <v>6.1599999999999993</v>
      </c>
      <c r="C3073" s="2">
        <v>3.7199999999999998</v>
      </c>
      <c r="D3073" s="2">
        <v>5.38</v>
      </c>
      <c r="E3073" s="2">
        <v>5.74</v>
      </c>
      <c r="F3073" s="2">
        <v>2.99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</row>
    <row r="3074" spans="1:11" x14ac:dyDescent="0.25">
      <c r="A3074" s="1">
        <v>0.133333333333333</v>
      </c>
      <c r="B3074" s="2">
        <v>6.34</v>
      </c>
      <c r="C3074" s="2">
        <v>3.87</v>
      </c>
      <c r="D3074" s="2">
        <v>5.13</v>
      </c>
      <c r="E3074" s="2">
        <v>5.25</v>
      </c>
      <c r="F3074" s="2">
        <v>3.04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</row>
    <row r="3075" spans="1:11" x14ac:dyDescent="0.25">
      <c r="A3075" s="1">
        <v>0.134027777777778</v>
      </c>
      <c r="B3075" s="2">
        <v>6.38</v>
      </c>
      <c r="C3075" s="2">
        <v>3.81</v>
      </c>
      <c r="D3075" s="2">
        <v>5.04</v>
      </c>
      <c r="E3075" s="2">
        <v>5.55</v>
      </c>
      <c r="F3075" s="2">
        <v>3.2600000000000002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</row>
    <row r="3076" spans="1:11" x14ac:dyDescent="0.25">
      <c r="A3076" s="1">
        <v>0.13472222222222199</v>
      </c>
      <c r="B3076" s="2">
        <v>6.34</v>
      </c>
      <c r="C3076" s="2">
        <v>3.82</v>
      </c>
      <c r="D3076" s="2">
        <v>5.25</v>
      </c>
      <c r="E3076" s="2">
        <v>5.71</v>
      </c>
      <c r="F3076" s="2">
        <v>3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</row>
    <row r="3077" spans="1:11" x14ac:dyDescent="0.25">
      <c r="A3077" s="1">
        <v>0.13541666666666699</v>
      </c>
      <c r="B3077" s="2">
        <v>6.1</v>
      </c>
      <c r="C3077" s="2">
        <v>3.81</v>
      </c>
      <c r="D3077" s="2">
        <v>4.8999999999999995</v>
      </c>
      <c r="E3077" s="2">
        <v>5.24</v>
      </c>
      <c r="F3077" s="2">
        <v>3.14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</row>
    <row r="3078" spans="1:11" x14ac:dyDescent="0.25">
      <c r="A3078" s="1">
        <v>0.13611111111111099</v>
      </c>
      <c r="B3078" s="2">
        <v>6.31</v>
      </c>
      <c r="C3078" s="2">
        <v>3.69</v>
      </c>
      <c r="D3078" s="2">
        <v>5.3699999999999992</v>
      </c>
      <c r="E3078" s="2">
        <v>5.23</v>
      </c>
      <c r="F3078" s="2">
        <v>3.3400000000000003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</row>
    <row r="3079" spans="1:11" x14ac:dyDescent="0.25">
      <c r="A3079" s="1">
        <v>0.13680555555555601</v>
      </c>
      <c r="B3079" s="2">
        <v>6.35</v>
      </c>
      <c r="C3079" s="2">
        <v>3.84</v>
      </c>
      <c r="D3079" s="2">
        <v>5.0599999999999996</v>
      </c>
      <c r="E3079" s="2">
        <v>5.5600000000000005</v>
      </c>
      <c r="F3079" s="2">
        <v>2.91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</row>
    <row r="3080" spans="1:11" x14ac:dyDescent="0.25">
      <c r="A3080" s="1">
        <v>0.13750000000000001</v>
      </c>
      <c r="B3080" s="2">
        <v>6.31</v>
      </c>
      <c r="C3080" s="2">
        <v>3.79</v>
      </c>
      <c r="D3080" s="2">
        <v>5.21</v>
      </c>
      <c r="E3080" s="2">
        <v>5.33</v>
      </c>
      <c r="F3080" s="2">
        <v>3.1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</row>
    <row r="3081" spans="1:11" x14ac:dyDescent="0.25">
      <c r="A3081" s="1">
        <v>0.13819444444444401</v>
      </c>
      <c r="B3081" s="2">
        <v>6.2799999999999994</v>
      </c>
      <c r="C3081" s="2">
        <v>3.81</v>
      </c>
      <c r="D3081" s="2">
        <v>5.09</v>
      </c>
      <c r="E3081" s="2">
        <v>5.54</v>
      </c>
      <c r="F3081" s="2">
        <v>3.24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</row>
    <row r="3082" spans="1:11" x14ac:dyDescent="0.25">
      <c r="A3082" s="1">
        <v>0.13888888888888901</v>
      </c>
      <c r="B3082" s="2">
        <v>6.14</v>
      </c>
      <c r="C3082" s="2">
        <v>3.71</v>
      </c>
      <c r="D3082" s="2">
        <v>5.1899999999999995</v>
      </c>
      <c r="E3082" s="2">
        <v>5.63</v>
      </c>
      <c r="F3082" s="2">
        <v>3.04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</row>
    <row r="3083" spans="1:11" x14ac:dyDescent="0.25">
      <c r="A3083" s="1">
        <v>0.139583333333333</v>
      </c>
      <c r="B3083" s="2">
        <v>6.3699999999999992</v>
      </c>
      <c r="C3083" s="2">
        <v>3.78</v>
      </c>
      <c r="D3083" s="2">
        <v>5.04</v>
      </c>
      <c r="E3083" s="2">
        <v>5.41</v>
      </c>
      <c r="F3083" s="2">
        <v>2.87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</row>
    <row r="3084" spans="1:11" x14ac:dyDescent="0.25">
      <c r="A3084" s="1">
        <v>0.140277777777778</v>
      </c>
      <c r="B3084" s="2">
        <v>6.38</v>
      </c>
      <c r="C3084" s="2">
        <v>3.69</v>
      </c>
      <c r="D3084" s="2">
        <v>5.0199999999999996</v>
      </c>
      <c r="E3084" s="2">
        <v>5.55</v>
      </c>
      <c r="F3084" s="2">
        <v>2.97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</row>
    <row r="3085" spans="1:11" x14ac:dyDescent="0.25">
      <c r="A3085" s="1">
        <v>0.140972222222222</v>
      </c>
      <c r="B3085" s="2">
        <v>6.1099999999999994</v>
      </c>
      <c r="C3085" s="2">
        <v>3.79</v>
      </c>
      <c r="D3085" s="2">
        <v>5.0699999999999994</v>
      </c>
      <c r="E3085" s="2">
        <v>5.09</v>
      </c>
      <c r="F3085" s="2">
        <v>2.89</v>
      </c>
      <c r="G3085" s="6">
        <v>0</v>
      </c>
      <c r="H3085" s="6">
        <v>0</v>
      </c>
      <c r="I3085" s="6">
        <v>0</v>
      </c>
      <c r="J3085" s="6">
        <v>0</v>
      </c>
      <c r="K3085" s="6">
        <v>0</v>
      </c>
    </row>
    <row r="3086" spans="1:11" x14ac:dyDescent="0.25">
      <c r="A3086" s="1">
        <v>0.141666666666667</v>
      </c>
      <c r="B3086" s="2">
        <v>6.3599999999999994</v>
      </c>
      <c r="C3086" s="2">
        <v>3.9</v>
      </c>
      <c r="D3086" s="2">
        <v>5.1099999999999994</v>
      </c>
      <c r="E3086" s="2">
        <v>5.15</v>
      </c>
      <c r="F3086" s="2">
        <v>3.23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</row>
    <row r="3087" spans="1:11" x14ac:dyDescent="0.25">
      <c r="A3087" s="1">
        <v>0.14236111111111099</v>
      </c>
      <c r="B3087" s="2">
        <v>6.38</v>
      </c>
      <c r="C3087" s="2">
        <v>3.87</v>
      </c>
      <c r="D3087" s="2">
        <v>5.2799999999999994</v>
      </c>
      <c r="E3087" s="2">
        <v>5.61</v>
      </c>
      <c r="F3087" s="2">
        <v>3.35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</row>
    <row r="3088" spans="1:11" x14ac:dyDescent="0.25">
      <c r="A3088" s="1">
        <v>0.14305555555555599</v>
      </c>
      <c r="B3088" s="2">
        <v>6.1</v>
      </c>
      <c r="C3088" s="2">
        <v>3.78</v>
      </c>
      <c r="D3088" s="2">
        <v>4.8999999999999995</v>
      </c>
      <c r="E3088" s="2">
        <v>5.39</v>
      </c>
      <c r="F3088" s="2">
        <v>3.2600000000000002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</row>
    <row r="3089" spans="1:11" x14ac:dyDescent="0.25">
      <c r="A3089" s="1">
        <v>0.14374999999999999</v>
      </c>
      <c r="B3089" s="2">
        <v>6.2799999999999994</v>
      </c>
      <c r="C3089" s="2">
        <v>3.84</v>
      </c>
      <c r="D3089" s="2">
        <v>5.21</v>
      </c>
      <c r="E3089" s="2">
        <v>5.15</v>
      </c>
      <c r="F3089" s="2">
        <v>3.38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</row>
    <row r="3090" spans="1:11" x14ac:dyDescent="0.25">
      <c r="A3090" s="1">
        <v>0.14444444444444399</v>
      </c>
      <c r="B3090" s="2">
        <v>6.1999999999999993</v>
      </c>
      <c r="C3090" s="2">
        <v>3.8499999999999996</v>
      </c>
      <c r="D3090" s="2">
        <v>4.9799999999999995</v>
      </c>
      <c r="E3090" s="2">
        <v>5.72</v>
      </c>
      <c r="F3090" s="2">
        <v>3.18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</row>
    <row r="3091" spans="1:11" x14ac:dyDescent="0.25">
      <c r="A3091" s="1">
        <v>0.14513888888888901</v>
      </c>
      <c r="B3091" s="2">
        <v>6.1999999999999993</v>
      </c>
      <c r="C3091" s="2">
        <v>3.82</v>
      </c>
      <c r="D3091" s="2">
        <v>5</v>
      </c>
      <c r="E3091" s="2">
        <v>5.24</v>
      </c>
      <c r="F3091" s="2">
        <v>3.16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</row>
    <row r="3092" spans="1:11" x14ac:dyDescent="0.25">
      <c r="A3092" s="1">
        <v>0.14583333333333301</v>
      </c>
      <c r="B3092" s="2">
        <v>6.3599999999999994</v>
      </c>
      <c r="C3092" s="2">
        <v>3.63</v>
      </c>
      <c r="D3092" s="2">
        <v>5.39</v>
      </c>
      <c r="E3092" s="2">
        <v>5.4</v>
      </c>
      <c r="F3092" s="2">
        <v>2.89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</row>
    <row r="3093" spans="1:11" x14ac:dyDescent="0.25">
      <c r="A3093" s="1">
        <v>0.14652777777777801</v>
      </c>
      <c r="B3093" s="2">
        <v>6.1099999999999994</v>
      </c>
      <c r="C3093" s="2">
        <v>3.59</v>
      </c>
      <c r="D3093" s="2">
        <v>4.96</v>
      </c>
      <c r="E3093" s="2">
        <v>5.14</v>
      </c>
      <c r="F3093" s="2">
        <v>3.17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</row>
    <row r="3094" spans="1:11" x14ac:dyDescent="0.25">
      <c r="A3094" s="1">
        <v>0.147222222222222</v>
      </c>
      <c r="B3094" s="2">
        <v>6.1</v>
      </c>
      <c r="C3094" s="2">
        <v>3.8899999999999997</v>
      </c>
      <c r="D3094" s="2">
        <v>5.2799999999999994</v>
      </c>
      <c r="E3094" s="2">
        <v>5.19</v>
      </c>
      <c r="F3094" s="2">
        <v>3.08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</row>
    <row r="3095" spans="1:11" x14ac:dyDescent="0.25">
      <c r="A3095" s="1">
        <v>0.147916666666667</v>
      </c>
      <c r="B3095" s="2">
        <v>6.33</v>
      </c>
      <c r="C3095" s="2">
        <v>3.71</v>
      </c>
      <c r="D3095" s="2">
        <v>5.05</v>
      </c>
      <c r="E3095" s="2">
        <v>5.28</v>
      </c>
      <c r="F3095" s="2">
        <v>3.0500000000000003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</row>
    <row r="3096" spans="1:11" x14ac:dyDescent="0.25">
      <c r="A3096" s="1">
        <v>0.148611111111111</v>
      </c>
      <c r="B3096" s="2">
        <v>6.27</v>
      </c>
      <c r="C3096" s="2">
        <v>3.7399999999999998</v>
      </c>
      <c r="D3096" s="2">
        <v>5.08</v>
      </c>
      <c r="E3096" s="2">
        <v>5.28</v>
      </c>
      <c r="F3096" s="2">
        <v>2.99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</row>
    <row r="3097" spans="1:11" x14ac:dyDescent="0.25">
      <c r="A3097" s="1">
        <v>0.149305555555556</v>
      </c>
      <c r="B3097" s="2">
        <v>6.18</v>
      </c>
      <c r="C3097" s="2">
        <v>3.73</v>
      </c>
      <c r="D3097" s="2">
        <v>4.9799999999999995</v>
      </c>
      <c r="E3097" s="2">
        <v>5.67</v>
      </c>
      <c r="F3097" s="2">
        <v>3.19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</row>
    <row r="3098" spans="1:11" x14ac:dyDescent="0.25">
      <c r="A3098" s="1">
        <v>0.15</v>
      </c>
      <c r="B3098" s="2">
        <v>6.27</v>
      </c>
      <c r="C3098" s="2">
        <v>3.73</v>
      </c>
      <c r="D3098" s="2">
        <v>4.9799999999999995</v>
      </c>
      <c r="E3098" s="2">
        <v>5.35</v>
      </c>
      <c r="F3098" s="2">
        <v>3.3000000000000003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</row>
    <row r="3099" spans="1:11" x14ac:dyDescent="0.25">
      <c r="A3099" s="1">
        <v>0.15069444444444399</v>
      </c>
      <c r="B3099" s="2">
        <v>6.2299999999999995</v>
      </c>
      <c r="C3099" s="2">
        <v>3.87</v>
      </c>
      <c r="D3099" s="2">
        <v>5.2399999999999993</v>
      </c>
      <c r="E3099" s="2">
        <v>5.21</v>
      </c>
      <c r="F3099" s="2">
        <v>3.27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</row>
    <row r="3100" spans="1:11" x14ac:dyDescent="0.25">
      <c r="A3100" s="1">
        <v>0.15138888888888899</v>
      </c>
      <c r="B3100" s="2">
        <v>6.25</v>
      </c>
      <c r="C3100" s="2">
        <v>3.7199999999999998</v>
      </c>
      <c r="D3100" s="2">
        <v>5.1899999999999995</v>
      </c>
      <c r="E3100" s="2">
        <v>5.75</v>
      </c>
      <c r="F3100" s="2">
        <v>2.97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</row>
    <row r="3101" spans="1:11" x14ac:dyDescent="0.25">
      <c r="A3101" s="1">
        <v>0.15208333333333299</v>
      </c>
      <c r="B3101" s="2">
        <v>6.33</v>
      </c>
      <c r="C3101" s="2">
        <v>3.77</v>
      </c>
      <c r="D3101" s="2">
        <v>5.2399999999999993</v>
      </c>
      <c r="E3101" s="2">
        <v>5.62</v>
      </c>
      <c r="F3101" s="2">
        <v>3.08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</row>
    <row r="3102" spans="1:11" x14ac:dyDescent="0.25">
      <c r="A3102" s="1">
        <v>0.15277777777777801</v>
      </c>
      <c r="B3102" s="2">
        <v>6.1499999999999995</v>
      </c>
      <c r="C3102" s="2">
        <v>3.69</v>
      </c>
      <c r="D3102" s="2">
        <v>5.0999999999999996</v>
      </c>
      <c r="E3102" s="2">
        <v>5.67</v>
      </c>
      <c r="F3102" s="2">
        <v>3.21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</row>
    <row r="3103" spans="1:11" x14ac:dyDescent="0.25">
      <c r="A3103" s="1">
        <v>0.15347222222222201</v>
      </c>
      <c r="B3103" s="2">
        <v>6.2399999999999993</v>
      </c>
      <c r="C3103" s="2">
        <v>3.71</v>
      </c>
      <c r="D3103" s="2">
        <v>5.3599999999999994</v>
      </c>
      <c r="E3103" s="2">
        <v>5.32</v>
      </c>
      <c r="F3103" s="2">
        <v>2.88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</row>
    <row r="3104" spans="1:11" x14ac:dyDescent="0.25">
      <c r="A3104" s="1">
        <v>0.15416666666666701</v>
      </c>
      <c r="B3104" s="2">
        <v>6.2399999999999993</v>
      </c>
      <c r="C3104" s="2">
        <v>3.75</v>
      </c>
      <c r="D3104" s="2">
        <v>5.0299999999999994</v>
      </c>
      <c r="E3104" s="2">
        <v>5.17</v>
      </c>
      <c r="F3104" s="2">
        <v>3.1500000000000004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</row>
    <row r="3105" spans="1:11" x14ac:dyDescent="0.25">
      <c r="A3105" s="1">
        <v>0.15486111111111101</v>
      </c>
      <c r="B3105" s="2">
        <v>6.1499999999999995</v>
      </c>
      <c r="C3105" s="2">
        <v>3.77</v>
      </c>
      <c r="D3105" s="2">
        <v>5.31</v>
      </c>
      <c r="E3105" s="2">
        <v>5.5200000000000005</v>
      </c>
      <c r="F3105" s="2">
        <v>3.0100000000000002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</row>
    <row r="3106" spans="1:11" x14ac:dyDescent="0.25">
      <c r="A3106" s="1">
        <v>0.155555555555556</v>
      </c>
      <c r="B3106" s="2">
        <v>6.2799999999999994</v>
      </c>
      <c r="C3106" s="2">
        <v>3.86</v>
      </c>
      <c r="D3106" s="2">
        <v>5.29</v>
      </c>
      <c r="E3106" s="2">
        <v>5.43</v>
      </c>
      <c r="F3106" s="2">
        <v>3.24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</row>
    <row r="3107" spans="1:11" x14ac:dyDescent="0.25">
      <c r="A3107" s="1">
        <v>0.15625</v>
      </c>
      <c r="B3107" s="2">
        <v>6.2399999999999993</v>
      </c>
      <c r="C3107" s="2">
        <v>3.77</v>
      </c>
      <c r="D3107" s="2">
        <v>5.2399999999999993</v>
      </c>
      <c r="E3107" s="2">
        <v>5.71</v>
      </c>
      <c r="F3107" s="2">
        <v>2.93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</row>
    <row r="3108" spans="1:11" x14ac:dyDescent="0.25">
      <c r="A3108" s="1">
        <v>0.156944444444444</v>
      </c>
      <c r="B3108" s="2">
        <v>6.26</v>
      </c>
      <c r="C3108" s="2">
        <v>3.8899999999999997</v>
      </c>
      <c r="D3108" s="2">
        <v>5.2299999999999995</v>
      </c>
      <c r="E3108" s="2">
        <v>5.18</v>
      </c>
      <c r="F3108" s="2">
        <v>3.2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</row>
    <row r="3109" spans="1:11" x14ac:dyDescent="0.25">
      <c r="A3109" s="1">
        <v>0.15763888888888899</v>
      </c>
      <c r="B3109" s="2">
        <v>6.34</v>
      </c>
      <c r="C3109" s="2">
        <v>3.79</v>
      </c>
      <c r="D3109" s="2">
        <v>5.3199999999999994</v>
      </c>
      <c r="E3109" s="2">
        <v>5.66</v>
      </c>
      <c r="F3109" s="2">
        <v>2.9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</row>
    <row r="3110" spans="1:11" x14ac:dyDescent="0.25">
      <c r="A3110" s="1">
        <v>0.15833333333333299</v>
      </c>
      <c r="B3110" s="2">
        <v>6.21</v>
      </c>
      <c r="C3110" s="2">
        <v>3.87</v>
      </c>
      <c r="D3110" s="2">
        <v>5.08</v>
      </c>
      <c r="E3110" s="2">
        <v>5.42</v>
      </c>
      <c r="F3110" s="2">
        <v>2.99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</row>
    <row r="3111" spans="1:11" x14ac:dyDescent="0.25">
      <c r="A3111" s="1">
        <v>0.15902777777777799</v>
      </c>
      <c r="B3111" s="2">
        <v>6.26</v>
      </c>
      <c r="C3111" s="2">
        <v>3.63</v>
      </c>
      <c r="D3111" s="2">
        <v>5.01</v>
      </c>
      <c r="E3111" s="2">
        <v>5.47</v>
      </c>
      <c r="F3111" s="2">
        <v>3.3600000000000003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</row>
    <row r="3112" spans="1:11" x14ac:dyDescent="0.25">
      <c r="A3112" s="1">
        <v>0.15972222222222199</v>
      </c>
      <c r="B3112" s="2">
        <v>6.2799999999999994</v>
      </c>
      <c r="C3112" s="2">
        <v>3.78</v>
      </c>
      <c r="D3112" s="2">
        <v>5.0599999999999996</v>
      </c>
      <c r="E3112" s="2">
        <v>5.57</v>
      </c>
      <c r="F3112" s="2">
        <v>2.92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</row>
    <row r="3113" spans="1:11" x14ac:dyDescent="0.25">
      <c r="A3113" s="1">
        <v>0.16041666666666701</v>
      </c>
      <c r="B3113" s="2">
        <v>6.3699999999999992</v>
      </c>
      <c r="C3113" s="2">
        <v>3.87</v>
      </c>
      <c r="D3113" s="2">
        <v>4.9499999999999993</v>
      </c>
      <c r="E3113" s="2">
        <v>5.66</v>
      </c>
      <c r="F3113" s="2">
        <v>2.89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</row>
    <row r="3114" spans="1:11" x14ac:dyDescent="0.25">
      <c r="A3114" s="1">
        <v>0.16111111111111101</v>
      </c>
      <c r="B3114" s="2">
        <v>6.1899999999999995</v>
      </c>
      <c r="C3114" s="2">
        <v>3.78</v>
      </c>
      <c r="D3114" s="2">
        <v>5.33</v>
      </c>
      <c r="E3114" s="2">
        <v>5.55</v>
      </c>
      <c r="F3114" s="2">
        <v>3.0500000000000003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</row>
    <row r="3115" spans="1:11" x14ac:dyDescent="0.25">
      <c r="A3115" s="1">
        <v>0.16180555555555601</v>
      </c>
      <c r="B3115" s="2">
        <v>6.1999999999999993</v>
      </c>
      <c r="C3115" s="2">
        <v>3.83</v>
      </c>
      <c r="D3115" s="2">
        <v>4.93</v>
      </c>
      <c r="E3115" s="2">
        <v>5.53</v>
      </c>
      <c r="F3115" s="2">
        <v>3.2800000000000002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</row>
    <row r="3116" spans="1:11" x14ac:dyDescent="0.25">
      <c r="A3116" s="1">
        <v>0.16250000000000001</v>
      </c>
      <c r="B3116" s="2">
        <v>6.35</v>
      </c>
      <c r="C3116" s="2">
        <v>3.73</v>
      </c>
      <c r="D3116" s="2">
        <v>4.9099999999999993</v>
      </c>
      <c r="E3116" s="2">
        <v>5.49</v>
      </c>
      <c r="F3116" s="2">
        <v>3.08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</row>
    <row r="3117" spans="1:11" x14ac:dyDescent="0.25">
      <c r="A3117" s="1">
        <v>0.163194444444444</v>
      </c>
      <c r="B3117" s="2">
        <v>6.33</v>
      </c>
      <c r="C3117" s="2">
        <v>3.6999999999999997</v>
      </c>
      <c r="D3117" s="2">
        <v>5.14</v>
      </c>
      <c r="E3117" s="2">
        <v>5.68</v>
      </c>
      <c r="F3117" s="2">
        <v>3.3400000000000003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</row>
    <row r="3118" spans="1:11" x14ac:dyDescent="0.25">
      <c r="A3118" s="1">
        <v>0.163888888888889</v>
      </c>
      <c r="B3118" s="2">
        <v>6.1</v>
      </c>
      <c r="C3118" s="2">
        <v>3.76</v>
      </c>
      <c r="D3118" s="2">
        <v>5.16</v>
      </c>
      <c r="E3118" s="2">
        <v>5.55</v>
      </c>
      <c r="F3118" s="2">
        <v>3.2600000000000002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</row>
    <row r="3119" spans="1:11" x14ac:dyDescent="0.25">
      <c r="A3119" s="1">
        <v>0.164583333333333</v>
      </c>
      <c r="B3119" s="2">
        <v>6.21</v>
      </c>
      <c r="C3119" s="2">
        <v>3.69</v>
      </c>
      <c r="D3119" s="2">
        <v>5.39</v>
      </c>
      <c r="E3119" s="2">
        <v>5.44</v>
      </c>
      <c r="F3119" s="2">
        <v>2.87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</row>
    <row r="3120" spans="1:11" x14ac:dyDescent="0.25">
      <c r="A3120" s="1">
        <v>0.165277777777778</v>
      </c>
      <c r="B3120" s="2">
        <v>6.27</v>
      </c>
      <c r="C3120" s="2">
        <v>3.59</v>
      </c>
      <c r="D3120" s="2">
        <v>5.3199999999999994</v>
      </c>
      <c r="E3120" s="2">
        <v>5.55</v>
      </c>
      <c r="F3120" s="2">
        <v>3.2600000000000002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</row>
    <row r="3121" spans="1:11" x14ac:dyDescent="0.25">
      <c r="A3121" s="1">
        <v>0.16597222222222199</v>
      </c>
      <c r="B3121" s="2">
        <v>6.2299999999999995</v>
      </c>
      <c r="C3121" s="2">
        <v>3.65</v>
      </c>
      <c r="D3121" s="2">
        <v>5.33</v>
      </c>
      <c r="E3121" s="2">
        <v>5.72</v>
      </c>
      <c r="F3121" s="2">
        <v>2.92</v>
      </c>
      <c r="G3121" s="6">
        <v>0</v>
      </c>
      <c r="H3121" s="6">
        <v>0</v>
      </c>
      <c r="I3121" s="6">
        <v>0</v>
      </c>
      <c r="J3121" s="6">
        <v>0</v>
      </c>
      <c r="K3121" s="6">
        <v>0</v>
      </c>
    </row>
    <row r="3122" spans="1:11" x14ac:dyDescent="0.25">
      <c r="A3122" s="3">
        <v>0.16666666666666699</v>
      </c>
      <c r="B3122" s="2">
        <v>6.24</v>
      </c>
      <c r="C3122" s="2">
        <v>3.79</v>
      </c>
      <c r="D3122" s="2">
        <v>5.12</v>
      </c>
      <c r="E3122" s="2">
        <v>5.37</v>
      </c>
      <c r="F3122" s="2">
        <v>3.19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</row>
    <row r="3123" spans="1:11" x14ac:dyDescent="0.25">
      <c r="A3123" s="1">
        <v>0.16736111111111099</v>
      </c>
      <c r="B3123" s="2">
        <v>6.2</v>
      </c>
      <c r="C3123" s="2">
        <v>3.82</v>
      </c>
      <c r="D3123" s="2">
        <v>4.8999999999999995</v>
      </c>
      <c r="E3123" s="2">
        <v>5.14</v>
      </c>
      <c r="F3123" s="2">
        <v>3.2600000000000002</v>
      </c>
      <c r="G3123" s="6">
        <v>0</v>
      </c>
      <c r="H3123" s="6">
        <v>0</v>
      </c>
      <c r="I3123" s="6">
        <v>0</v>
      </c>
      <c r="J3123" s="6">
        <v>0</v>
      </c>
      <c r="K3123" s="6">
        <v>0</v>
      </c>
    </row>
    <row r="3124" spans="1:11" x14ac:dyDescent="0.25">
      <c r="A3124" s="1">
        <v>0.16805555555555601</v>
      </c>
      <c r="B3124" s="2">
        <v>6.32</v>
      </c>
      <c r="C3124" s="2">
        <v>3.59</v>
      </c>
      <c r="D3124" s="2">
        <v>5.1999999999999993</v>
      </c>
      <c r="E3124" s="2">
        <v>5.3</v>
      </c>
      <c r="F3124" s="2">
        <v>3.18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</row>
    <row r="3125" spans="1:11" x14ac:dyDescent="0.25">
      <c r="A3125" s="1">
        <v>0.16875000000000001</v>
      </c>
      <c r="B3125" s="2">
        <v>6.2700000000000005</v>
      </c>
      <c r="C3125" s="2">
        <v>3.69</v>
      </c>
      <c r="D3125" s="2">
        <v>4.92</v>
      </c>
      <c r="E3125" s="2">
        <v>5.54</v>
      </c>
      <c r="F3125" s="2">
        <v>3.1100000000000003</v>
      </c>
      <c r="G3125" s="6">
        <v>0</v>
      </c>
      <c r="H3125" s="6">
        <v>0</v>
      </c>
      <c r="I3125" s="6">
        <v>0</v>
      </c>
      <c r="J3125" s="6">
        <v>0</v>
      </c>
      <c r="K3125" s="6">
        <v>0</v>
      </c>
    </row>
    <row r="3126" spans="1:11" x14ac:dyDescent="0.25">
      <c r="A3126" s="1">
        <v>0.16944444444444401</v>
      </c>
      <c r="B3126" s="2">
        <v>6.28</v>
      </c>
      <c r="C3126" s="2">
        <v>3.69</v>
      </c>
      <c r="D3126" s="2">
        <v>5.27</v>
      </c>
      <c r="E3126" s="2">
        <v>5.18</v>
      </c>
      <c r="F3126" s="2">
        <v>3.24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</row>
    <row r="3127" spans="1:11" x14ac:dyDescent="0.25">
      <c r="A3127" s="1">
        <v>0.17013888888888901</v>
      </c>
      <c r="B3127" s="2">
        <v>6.22</v>
      </c>
      <c r="C3127" s="2">
        <v>3.6199999999999997</v>
      </c>
      <c r="D3127" s="2">
        <v>5.14</v>
      </c>
      <c r="E3127" s="2">
        <v>5.13</v>
      </c>
      <c r="F3127" s="2">
        <v>3.33</v>
      </c>
      <c r="G3127" s="6">
        <v>0</v>
      </c>
      <c r="H3127" s="6">
        <v>0</v>
      </c>
      <c r="I3127" s="6">
        <v>0</v>
      </c>
      <c r="J3127" s="6">
        <v>0</v>
      </c>
      <c r="K3127" s="6">
        <v>0</v>
      </c>
    </row>
    <row r="3128" spans="1:11" x14ac:dyDescent="0.25">
      <c r="A3128" s="1">
        <v>0.170833333333333</v>
      </c>
      <c r="B3128" s="2">
        <v>6.37</v>
      </c>
      <c r="C3128" s="2">
        <v>3.73</v>
      </c>
      <c r="D3128" s="2">
        <v>4.97</v>
      </c>
      <c r="E3128" s="2">
        <v>5.4399999999999995</v>
      </c>
      <c r="F3128" s="2">
        <v>3.0500000000000003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</row>
    <row r="3129" spans="1:11" x14ac:dyDescent="0.25">
      <c r="A3129" s="1">
        <v>0.171527777777778</v>
      </c>
      <c r="B3129" s="2">
        <v>6.17</v>
      </c>
      <c r="C3129" s="2">
        <v>3.82</v>
      </c>
      <c r="D3129" s="2">
        <v>5.33</v>
      </c>
      <c r="E3129" s="2">
        <v>5.64</v>
      </c>
      <c r="F3129" s="2">
        <v>2.9</v>
      </c>
      <c r="G3129" s="6">
        <v>0</v>
      </c>
      <c r="H3129" s="6">
        <v>0</v>
      </c>
      <c r="I3129" s="6">
        <v>0</v>
      </c>
      <c r="J3129" s="6">
        <v>0</v>
      </c>
      <c r="K3129" s="6">
        <v>0</v>
      </c>
    </row>
    <row r="3130" spans="1:11" x14ac:dyDescent="0.25">
      <c r="A3130" s="1">
        <v>0.172222222222222</v>
      </c>
      <c r="B3130" s="2">
        <v>6.24</v>
      </c>
      <c r="C3130" s="2">
        <v>3.73</v>
      </c>
      <c r="D3130" s="2">
        <v>5.0199999999999996</v>
      </c>
      <c r="E3130" s="2">
        <v>5.49</v>
      </c>
      <c r="F3130" s="2">
        <v>3.19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</row>
    <row r="3131" spans="1:11" x14ac:dyDescent="0.25">
      <c r="A3131" s="1">
        <v>0.172916666666667</v>
      </c>
      <c r="B3131" s="2">
        <v>6.3</v>
      </c>
      <c r="C3131" s="2">
        <v>3.6599999999999997</v>
      </c>
      <c r="D3131" s="2">
        <v>5.1499999999999995</v>
      </c>
      <c r="E3131" s="2">
        <v>5.25</v>
      </c>
      <c r="F3131" s="2">
        <v>2.99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</row>
    <row r="3132" spans="1:11" x14ac:dyDescent="0.25">
      <c r="A3132" s="1">
        <v>0.17361111111111099</v>
      </c>
      <c r="B3132" s="2">
        <v>6.2700000000000005</v>
      </c>
      <c r="C3132" s="2">
        <v>3.5999999999999996</v>
      </c>
      <c r="D3132" s="2">
        <v>5.17</v>
      </c>
      <c r="E3132" s="2">
        <v>5.43</v>
      </c>
      <c r="F3132" s="2">
        <v>3.04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</row>
    <row r="3133" spans="1:11" x14ac:dyDescent="0.25">
      <c r="A3133" s="1">
        <v>0.17430555555555599</v>
      </c>
      <c r="B3133" s="2">
        <v>6.12</v>
      </c>
      <c r="C3133" s="2">
        <v>3.6599999999999997</v>
      </c>
      <c r="D3133" s="2">
        <v>5.16</v>
      </c>
      <c r="E3133" s="2">
        <v>5.49</v>
      </c>
      <c r="F3133" s="2">
        <v>2.92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</row>
    <row r="3134" spans="1:11" x14ac:dyDescent="0.25">
      <c r="A3134" s="1">
        <v>0.17499999999999999</v>
      </c>
      <c r="B3134" s="2">
        <v>6.18</v>
      </c>
      <c r="C3134" s="2">
        <v>3.6399999999999997</v>
      </c>
      <c r="D3134" s="2">
        <v>4.9399999999999995</v>
      </c>
      <c r="E3134" s="2">
        <v>5.38</v>
      </c>
      <c r="F3134" s="2">
        <v>3.33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</row>
    <row r="3135" spans="1:11" x14ac:dyDescent="0.25">
      <c r="A3135" s="1">
        <v>0.17569444444444399</v>
      </c>
      <c r="B3135" s="2">
        <v>6.37</v>
      </c>
      <c r="C3135" s="2">
        <v>3.78</v>
      </c>
      <c r="D3135" s="2">
        <v>5.25</v>
      </c>
      <c r="E3135" s="2">
        <v>5.43</v>
      </c>
      <c r="F3135" s="2">
        <v>3.22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</row>
    <row r="3136" spans="1:11" x14ac:dyDescent="0.25">
      <c r="A3136" s="1">
        <v>0.17638888888888901</v>
      </c>
      <c r="B3136" s="2">
        <v>6.19</v>
      </c>
      <c r="C3136" s="2">
        <v>3.8</v>
      </c>
      <c r="D3136" s="2">
        <v>4.9399999999999995</v>
      </c>
      <c r="E3136" s="2">
        <v>5.53</v>
      </c>
      <c r="F3136" s="2">
        <v>3.22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</row>
    <row r="3137" spans="1:11" x14ac:dyDescent="0.25">
      <c r="A3137" s="1">
        <v>0.17708333333333301</v>
      </c>
      <c r="B3137" s="2">
        <v>6.2700000000000005</v>
      </c>
      <c r="C3137" s="2">
        <v>3.73</v>
      </c>
      <c r="D3137" s="2">
        <v>5.31</v>
      </c>
      <c r="E3137" s="2">
        <v>5.47</v>
      </c>
      <c r="F3137" s="2">
        <v>3.12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</row>
    <row r="3138" spans="1:11" x14ac:dyDescent="0.25">
      <c r="A3138" s="1">
        <v>0.17777777777777801</v>
      </c>
      <c r="B3138" s="2">
        <v>6.2700000000000005</v>
      </c>
      <c r="C3138" s="2">
        <v>3.77</v>
      </c>
      <c r="D3138" s="2">
        <v>5.1899999999999995</v>
      </c>
      <c r="E3138" s="2">
        <v>5.42</v>
      </c>
      <c r="F3138" s="2">
        <v>3.27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</row>
    <row r="3139" spans="1:11" x14ac:dyDescent="0.25">
      <c r="A3139" s="1">
        <v>0.178472222222222</v>
      </c>
      <c r="B3139" s="2">
        <v>6.19</v>
      </c>
      <c r="C3139" s="2">
        <v>3.75</v>
      </c>
      <c r="D3139" s="2">
        <v>5.09</v>
      </c>
      <c r="E3139" s="2">
        <v>5.51</v>
      </c>
      <c r="F3139" s="2">
        <v>2.95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</row>
    <row r="3140" spans="1:11" x14ac:dyDescent="0.25">
      <c r="A3140" s="1">
        <v>0.179166666666667</v>
      </c>
      <c r="B3140" s="2">
        <v>6.26</v>
      </c>
      <c r="C3140" s="2">
        <v>3.82</v>
      </c>
      <c r="D3140" s="2">
        <v>5.29</v>
      </c>
      <c r="E3140" s="2">
        <v>5.59</v>
      </c>
      <c r="F3140" s="2">
        <v>3.3200000000000003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</row>
    <row r="3141" spans="1:11" x14ac:dyDescent="0.25">
      <c r="A3141" s="1">
        <v>0.179861111111111</v>
      </c>
      <c r="B3141" s="2">
        <v>6.18</v>
      </c>
      <c r="C3141" s="2">
        <v>3.6399999999999997</v>
      </c>
      <c r="D3141" s="2">
        <v>5.25</v>
      </c>
      <c r="E3141" s="2">
        <v>5.25</v>
      </c>
      <c r="F3141" s="2">
        <v>2.91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</row>
    <row r="3142" spans="1:11" x14ac:dyDescent="0.25">
      <c r="A3142" s="1">
        <v>0.180555555555556</v>
      </c>
      <c r="B3142" s="2">
        <v>6.3</v>
      </c>
      <c r="C3142" s="2">
        <v>3.59</v>
      </c>
      <c r="D3142" s="2">
        <v>5.09</v>
      </c>
      <c r="E3142" s="2">
        <v>5.67</v>
      </c>
      <c r="F3142" s="2">
        <v>3.25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</row>
    <row r="3143" spans="1:11" x14ac:dyDescent="0.25">
      <c r="A3143" s="1">
        <v>0.18124999999999999</v>
      </c>
      <c r="B3143" s="2">
        <v>6.14</v>
      </c>
      <c r="C3143" s="2">
        <v>3.76</v>
      </c>
      <c r="D3143" s="2">
        <v>5.3599999999999994</v>
      </c>
      <c r="E3143" s="2">
        <v>5.5</v>
      </c>
      <c r="F3143" s="2">
        <v>3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</row>
    <row r="3144" spans="1:11" x14ac:dyDescent="0.25">
      <c r="A3144" s="1">
        <v>0.18194444444444399</v>
      </c>
      <c r="B3144" s="2">
        <v>6.37</v>
      </c>
      <c r="C3144" s="2">
        <v>3.8499999999999996</v>
      </c>
      <c r="D3144" s="2">
        <v>5.25</v>
      </c>
      <c r="E3144" s="2">
        <v>5.59</v>
      </c>
      <c r="F3144" s="2">
        <v>3.35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</row>
    <row r="3145" spans="1:11" x14ac:dyDescent="0.25">
      <c r="A3145" s="1">
        <v>0.18263888888888899</v>
      </c>
      <c r="B3145" s="2">
        <v>6.2700000000000005</v>
      </c>
      <c r="C3145" s="2">
        <v>3.77</v>
      </c>
      <c r="D3145" s="2">
        <v>5.21</v>
      </c>
      <c r="E3145" s="2">
        <v>5.45</v>
      </c>
      <c r="F3145" s="2">
        <v>2.92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</row>
    <row r="3146" spans="1:11" x14ac:dyDescent="0.25">
      <c r="A3146" s="1">
        <v>0.18333333333333299</v>
      </c>
      <c r="B3146" s="2">
        <v>6.38</v>
      </c>
      <c r="C3146" s="2">
        <v>3.86</v>
      </c>
      <c r="D3146" s="2">
        <v>5.25</v>
      </c>
      <c r="E3146" s="2">
        <v>5.3</v>
      </c>
      <c r="F3146" s="2">
        <v>2.96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</row>
    <row r="3147" spans="1:11" x14ac:dyDescent="0.25">
      <c r="A3147" s="1">
        <v>0.18402777777777801</v>
      </c>
      <c r="B3147" s="2">
        <v>6.15</v>
      </c>
      <c r="C3147" s="2">
        <v>3.6399999999999997</v>
      </c>
      <c r="D3147" s="2">
        <v>5.3599999999999994</v>
      </c>
      <c r="E3147" s="2">
        <v>5.38</v>
      </c>
      <c r="F3147" s="2">
        <v>3.1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</row>
    <row r="3148" spans="1:11" x14ac:dyDescent="0.25">
      <c r="A3148" s="1">
        <v>0.18472222222222201</v>
      </c>
      <c r="B3148" s="2">
        <v>6.17</v>
      </c>
      <c r="C3148" s="2">
        <v>3.83</v>
      </c>
      <c r="D3148" s="2">
        <v>4.8999999999999995</v>
      </c>
      <c r="E3148" s="2">
        <v>5.6899999999999995</v>
      </c>
      <c r="F3148" s="2">
        <v>3.35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</row>
    <row r="3149" spans="1:11" x14ac:dyDescent="0.25">
      <c r="A3149" s="1">
        <v>0.18541666666666701</v>
      </c>
      <c r="B3149" s="2">
        <v>6.18</v>
      </c>
      <c r="C3149" s="2">
        <v>3.7399999999999998</v>
      </c>
      <c r="D3149" s="2">
        <v>4.8999999999999995</v>
      </c>
      <c r="E3149" s="2">
        <v>5.47</v>
      </c>
      <c r="F3149" s="2">
        <v>3.27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</row>
    <row r="3150" spans="1:11" x14ac:dyDescent="0.25">
      <c r="A3150" s="1">
        <v>0.18611111111111101</v>
      </c>
      <c r="B3150" s="2">
        <v>6.14</v>
      </c>
      <c r="C3150" s="2">
        <v>3.7199999999999998</v>
      </c>
      <c r="D3150" s="2">
        <v>5.3</v>
      </c>
      <c r="E3150" s="2">
        <v>5.14</v>
      </c>
      <c r="F3150" s="2">
        <v>3.22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</row>
    <row r="3151" spans="1:11" x14ac:dyDescent="0.25">
      <c r="A3151" s="1">
        <v>0.186805555555556</v>
      </c>
      <c r="B3151" s="2">
        <v>6.3100000000000005</v>
      </c>
      <c r="C3151" s="2">
        <v>3.87</v>
      </c>
      <c r="D3151" s="2">
        <v>4.8999999999999995</v>
      </c>
      <c r="E3151" s="2">
        <v>5.65</v>
      </c>
      <c r="F3151" s="2">
        <v>3.39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</row>
    <row r="3152" spans="1:11" x14ac:dyDescent="0.25">
      <c r="A3152" s="1">
        <v>0.1875</v>
      </c>
      <c r="B3152" s="2">
        <v>6.37</v>
      </c>
      <c r="C3152" s="2">
        <v>3.7399999999999998</v>
      </c>
      <c r="D3152" s="2">
        <v>5.35</v>
      </c>
      <c r="E3152" s="2">
        <v>5.76</v>
      </c>
      <c r="F3152" s="2">
        <v>3.17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</row>
    <row r="3153" spans="1:11" x14ac:dyDescent="0.25">
      <c r="A3153" s="1">
        <v>0.188194444444444</v>
      </c>
      <c r="B3153" s="2">
        <v>6.3100000000000005</v>
      </c>
      <c r="C3153" s="2">
        <v>3.88</v>
      </c>
      <c r="D3153" s="2">
        <v>4.9499999999999993</v>
      </c>
      <c r="E3153" s="2">
        <v>5.56</v>
      </c>
      <c r="F3153" s="2">
        <v>2.9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</row>
    <row r="3154" spans="1:11" x14ac:dyDescent="0.25">
      <c r="A3154" s="1">
        <v>0.18888888888888899</v>
      </c>
      <c r="B3154" s="2">
        <v>6.33</v>
      </c>
      <c r="C3154" s="2">
        <v>3.73</v>
      </c>
      <c r="D3154" s="2">
        <v>5.1899999999999995</v>
      </c>
      <c r="E3154" s="2">
        <v>5.54</v>
      </c>
      <c r="F3154" s="2">
        <v>2.9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</row>
    <row r="3155" spans="1:11" x14ac:dyDescent="0.25">
      <c r="A3155" s="1">
        <v>0.18958333333333299</v>
      </c>
      <c r="B3155" s="2">
        <v>6.24</v>
      </c>
      <c r="C3155" s="2">
        <v>3.65</v>
      </c>
      <c r="D3155" s="2">
        <v>5.25</v>
      </c>
      <c r="E3155" s="2">
        <v>5.41</v>
      </c>
      <c r="F3155" s="2">
        <v>3.37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</row>
    <row r="3156" spans="1:11" x14ac:dyDescent="0.25">
      <c r="A3156" s="1">
        <v>0.19027777777777799</v>
      </c>
      <c r="B3156" s="2">
        <v>6.17</v>
      </c>
      <c r="C3156" s="2">
        <v>3.81</v>
      </c>
      <c r="D3156" s="2">
        <v>5.38</v>
      </c>
      <c r="E3156" s="2">
        <v>5.12</v>
      </c>
      <c r="F3156" s="2">
        <v>3.04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</row>
    <row r="3157" spans="1:11" x14ac:dyDescent="0.25">
      <c r="A3157" s="1">
        <v>0.19097222222222199</v>
      </c>
      <c r="B3157" s="2">
        <v>6.28</v>
      </c>
      <c r="C3157" s="2">
        <v>3.9</v>
      </c>
      <c r="D3157" s="2">
        <v>5.34</v>
      </c>
      <c r="E3157" s="2">
        <v>5.57</v>
      </c>
      <c r="F3157" s="2">
        <v>2.92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</row>
    <row r="3158" spans="1:11" x14ac:dyDescent="0.25">
      <c r="A3158" s="1">
        <v>0.19166666666666701</v>
      </c>
      <c r="B3158" s="2">
        <v>6.2700000000000005</v>
      </c>
      <c r="C3158" s="2">
        <v>3.6999999999999997</v>
      </c>
      <c r="D3158" s="2">
        <v>5.2399999999999993</v>
      </c>
      <c r="E3158" s="2">
        <v>5.21</v>
      </c>
      <c r="F3158" s="2">
        <v>3.04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</row>
    <row r="3159" spans="1:11" x14ac:dyDescent="0.25">
      <c r="A3159" s="1">
        <v>0.19236111111111101</v>
      </c>
      <c r="B3159" s="2">
        <v>6.14</v>
      </c>
      <c r="C3159" s="2">
        <v>3.6799999999999997</v>
      </c>
      <c r="D3159" s="2">
        <v>5.12</v>
      </c>
      <c r="E3159" s="2">
        <v>5.3599999999999994</v>
      </c>
      <c r="F3159" s="2">
        <v>3.0900000000000003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</row>
    <row r="3160" spans="1:11" x14ac:dyDescent="0.25">
      <c r="A3160" s="1">
        <v>0.19305555555555601</v>
      </c>
      <c r="B3160" s="2">
        <v>6.3100000000000005</v>
      </c>
      <c r="C3160" s="2">
        <v>3.69</v>
      </c>
      <c r="D3160" s="2">
        <v>5.3</v>
      </c>
      <c r="E3160" s="2">
        <v>5.14</v>
      </c>
      <c r="F3160" s="2">
        <v>3.1100000000000003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</row>
    <row r="3161" spans="1:11" x14ac:dyDescent="0.25">
      <c r="A3161" s="1">
        <v>0.19375000000000001</v>
      </c>
      <c r="B3161" s="2">
        <v>6.14</v>
      </c>
      <c r="C3161" s="2">
        <v>3.8899999999999997</v>
      </c>
      <c r="D3161" s="2">
        <v>5.0699999999999994</v>
      </c>
      <c r="E3161" s="2">
        <v>5.3999999999999995</v>
      </c>
      <c r="F3161" s="2">
        <v>3.02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</row>
    <row r="3162" spans="1:11" x14ac:dyDescent="0.25">
      <c r="A3162" s="1">
        <v>0.194444444444444</v>
      </c>
      <c r="B3162" s="2">
        <v>6.16</v>
      </c>
      <c r="C3162" s="2">
        <v>3.6599999999999997</v>
      </c>
      <c r="D3162" s="2">
        <v>5.1899999999999995</v>
      </c>
      <c r="E3162" s="2">
        <v>5.58</v>
      </c>
      <c r="F3162" s="2">
        <v>2.95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</row>
    <row r="3163" spans="1:11" x14ac:dyDescent="0.25">
      <c r="A3163" s="1">
        <v>0.195138888888889</v>
      </c>
      <c r="B3163" s="2">
        <v>6.22</v>
      </c>
      <c r="C3163" s="2">
        <v>3.7399999999999998</v>
      </c>
      <c r="D3163" s="2">
        <v>4.97</v>
      </c>
      <c r="E3163" s="2">
        <v>5.5</v>
      </c>
      <c r="F3163" s="2">
        <v>2.89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</row>
    <row r="3164" spans="1:11" x14ac:dyDescent="0.25">
      <c r="A3164" s="1">
        <v>0.195833333333333</v>
      </c>
      <c r="B3164" s="2">
        <v>6.3500000000000005</v>
      </c>
      <c r="C3164" s="2">
        <v>3.73</v>
      </c>
      <c r="D3164" s="2">
        <v>5.31</v>
      </c>
      <c r="E3164" s="2">
        <v>5.18</v>
      </c>
      <c r="F3164" s="2">
        <v>3.19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</row>
    <row r="3165" spans="1:11" x14ac:dyDescent="0.25">
      <c r="A3165" s="1">
        <v>0.196527777777778</v>
      </c>
      <c r="B3165" s="2">
        <v>6.29</v>
      </c>
      <c r="C3165" s="2">
        <v>3.76</v>
      </c>
      <c r="D3165" s="2">
        <v>4.9499999999999993</v>
      </c>
      <c r="E3165" s="2">
        <v>5.4399999999999995</v>
      </c>
      <c r="F3165" s="2">
        <v>2.93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</row>
    <row r="3166" spans="1:11" x14ac:dyDescent="0.25">
      <c r="A3166" s="1">
        <v>0.19722222222222199</v>
      </c>
      <c r="B3166" s="2">
        <v>6.25</v>
      </c>
      <c r="C3166" s="2">
        <v>3.81</v>
      </c>
      <c r="D3166" s="2">
        <v>4.92</v>
      </c>
      <c r="E3166" s="2">
        <v>5.18</v>
      </c>
      <c r="F3166" s="2">
        <v>2.94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</row>
    <row r="3167" spans="1:11" x14ac:dyDescent="0.25">
      <c r="A3167" s="1">
        <v>0.19791666666666699</v>
      </c>
      <c r="B3167" s="2">
        <v>6.29</v>
      </c>
      <c r="C3167" s="2">
        <v>3.73</v>
      </c>
      <c r="D3167" s="2">
        <v>5.26</v>
      </c>
      <c r="E3167" s="2">
        <v>5.7299999999999995</v>
      </c>
      <c r="F3167" s="2">
        <v>3.29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</row>
    <row r="3168" spans="1:11" x14ac:dyDescent="0.25">
      <c r="A3168" s="1">
        <v>0.19861111111111099</v>
      </c>
      <c r="B3168" s="2">
        <v>6.3</v>
      </c>
      <c r="C3168" s="2">
        <v>3.75</v>
      </c>
      <c r="D3168" s="2">
        <v>5.0599999999999996</v>
      </c>
      <c r="E3168" s="2">
        <v>5.57</v>
      </c>
      <c r="F3168" s="2">
        <v>3.06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</row>
    <row r="3169" spans="1:11" x14ac:dyDescent="0.25">
      <c r="A3169" s="1">
        <v>0.19930555555555601</v>
      </c>
      <c r="B3169" s="2">
        <v>6.38</v>
      </c>
      <c r="C3169" s="2">
        <v>3.76</v>
      </c>
      <c r="D3169" s="2">
        <v>4.93</v>
      </c>
      <c r="E3169" s="2">
        <v>5.25</v>
      </c>
      <c r="F3169" s="2">
        <v>2.87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</row>
    <row r="3170" spans="1:11" x14ac:dyDescent="0.25">
      <c r="A3170" s="1">
        <v>0.2</v>
      </c>
      <c r="B3170" s="2">
        <v>6.34</v>
      </c>
      <c r="C3170" s="2">
        <v>3.6799999999999997</v>
      </c>
      <c r="D3170" s="2">
        <v>5.3699999999999992</v>
      </c>
      <c r="E3170" s="2">
        <v>5.68</v>
      </c>
      <c r="F3170" s="2">
        <v>2.95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</row>
    <row r="3171" spans="1:11" x14ac:dyDescent="0.25">
      <c r="A3171" s="1">
        <v>0.20069444444444401</v>
      </c>
      <c r="B3171" s="2">
        <v>6.16</v>
      </c>
      <c r="C3171" s="2">
        <v>3.67</v>
      </c>
      <c r="D3171" s="2">
        <v>4.9099999999999993</v>
      </c>
      <c r="E3171" s="2">
        <v>5.28</v>
      </c>
      <c r="F3171" s="2">
        <v>3.39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</row>
    <row r="3172" spans="1:11" x14ac:dyDescent="0.25">
      <c r="A3172" s="1">
        <v>0.20138888888888901</v>
      </c>
      <c r="B3172" s="2">
        <v>6.3500000000000005</v>
      </c>
      <c r="C3172" s="2">
        <v>3.81</v>
      </c>
      <c r="D3172" s="2">
        <v>5.3199999999999994</v>
      </c>
      <c r="E3172" s="2">
        <v>5.28</v>
      </c>
      <c r="F3172" s="2">
        <v>3.0700000000000003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</row>
    <row r="3173" spans="1:11" x14ac:dyDescent="0.25">
      <c r="A3173" s="1">
        <v>0.202083333333333</v>
      </c>
      <c r="B3173" s="2">
        <v>6.16</v>
      </c>
      <c r="C3173" s="2">
        <v>3.77</v>
      </c>
      <c r="D3173" s="2">
        <v>5.14</v>
      </c>
      <c r="E3173" s="2">
        <v>5.1099999999999994</v>
      </c>
      <c r="F3173" s="2">
        <v>3.1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</row>
    <row r="3174" spans="1:11" x14ac:dyDescent="0.25">
      <c r="A3174" s="1">
        <v>0.202777777777778</v>
      </c>
      <c r="B3174" s="2">
        <v>6.13</v>
      </c>
      <c r="C3174" s="2">
        <v>3.86</v>
      </c>
      <c r="D3174" s="2">
        <v>4.8999999999999995</v>
      </c>
      <c r="E3174" s="2">
        <v>5.29</v>
      </c>
      <c r="F3174" s="2">
        <v>3.29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</row>
    <row r="3175" spans="1:11" x14ac:dyDescent="0.25">
      <c r="A3175" s="1">
        <v>0.203472222222222</v>
      </c>
      <c r="B3175" s="2">
        <v>6.17</v>
      </c>
      <c r="C3175" s="2">
        <v>3.8499999999999996</v>
      </c>
      <c r="D3175" s="2">
        <v>5.39</v>
      </c>
      <c r="E3175" s="2">
        <v>5.6899999999999995</v>
      </c>
      <c r="F3175" s="2">
        <v>3.16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</row>
    <row r="3176" spans="1:11" x14ac:dyDescent="0.25">
      <c r="A3176" s="1">
        <v>0.204166666666667</v>
      </c>
      <c r="B3176" s="2">
        <v>6.3</v>
      </c>
      <c r="C3176" s="2">
        <v>3.7199999999999998</v>
      </c>
      <c r="D3176" s="2">
        <v>5.2399999999999993</v>
      </c>
      <c r="E3176" s="2">
        <v>5.16</v>
      </c>
      <c r="F3176" s="2">
        <v>3.0900000000000003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</row>
    <row r="3177" spans="1:11" x14ac:dyDescent="0.25">
      <c r="A3177" s="1">
        <v>0.20486111111111099</v>
      </c>
      <c r="B3177" s="2">
        <v>6.18</v>
      </c>
      <c r="C3177" s="2">
        <v>3.67</v>
      </c>
      <c r="D3177" s="2">
        <v>5.01</v>
      </c>
      <c r="E3177" s="2">
        <v>5.67</v>
      </c>
      <c r="F3177" s="2">
        <v>3.04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</row>
    <row r="3178" spans="1:11" x14ac:dyDescent="0.25">
      <c r="A3178" s="1">
        <v>0.20555555555555599</v>
      </c>
      <c r="B3178" s="2">
        <v>6.26</v>
      </c>
      <c r="C3178" s="2">
        <v>3.7199999999999998</v>
      </c>
      <c r="D3178" s="2">
        <v>5.04</v>
      </c>
      <c r="E3178" s="2">
        <v>5.14</v>
      </c>
      <c r="F3178" s="2">
        <v>3.04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</row>
    <row r="3179" spans="1:11" x14ac:dyDescent="0.25">
      <c r="A3179" s="1">
        <v>0.20624999999999999</v>
      </c>
      <c r="B3179" s="2">
        <v>6.36</v>
      </c>
      <c r="C3179" s="2">
        <v>3.81</v>
      </c>
      <c r="D3179" s="2">
        <v>5.3699999999999992</v>
      </c>
      <c r="E3179" s="2">
        <v>5.12</v>
      </c>
      <c r="F3179" s="2">
        <v>3.16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</row>
    <row r="3180" spans="1:11" x14ac:dyDescent="0.25">
      <c r="A3180" s="1">
        <v>0.20694444444444399</v>
      </c>
      <c r="B3180" s="2">
        <v>6.23</v>
      </c>
      <c r="C3180" s="2">
        <v>3.7399999999999998</v>
      </c>
      <c r="D3180" s="2">
        <v>5.29</v>
      </c>
      <c r="E3180" s="2">
        <v>5.3599999999999994</v>
      </c>
      <c r="F3180" s="2">
        <v>3.35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</row>
    <row r="3181" spans="1:11" x14ac:dyDescent="0.25">
      <c r="A3181" s="1">
        <v>0.20763888888888901</v>
      </c>
      <c r="B3181" s="2">
        <v>6.33</v>
      </c>
      <c r="C3181" s="2">
        <v>3.73</v>
      </c>
      <c r="D3181" s="2">
        <v>5.0299999999999994</v>
      </c>
      <c r="E3181" s="2">
        <v>5.76</v>
      </c>
      <c r="F3181" s="2">
        <v>3.25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</row>
    <row r="3182" spans="1:11" x14ac:dyDescent="0.25">
      <c r="A3182" s="3">
        <v>0.20833333333333301</v>
      </c>
      <c r="B3182" s="2">
        <v>6.24</v>
      </c>
      <c r="C3182" s="2">
        <v>3.79</v>
      </c>
      <c r="D3182" s="2">
        <v>5.12</v>
      </c>
      <c r="E3182" s="2">
        <v>5.37</v>
      </c>
      <c r="F3182" s="2">
        <v>3.19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</row>
    <row r="3183" spans="1:11" x14ac:dyDescent="0.25">
      <c r="A3183" s="1">
        <v>0.20902777777777801</v>
      </c>
      <c r="B3183" s="2">
        <v>6.16</v>
      </c>
      <c r="C3183" s="2">
        <v>3.61</v>
      </c>
      <c r="D3183" s="2">
        <v>5.0699999999999994</v>
      </c>
      <c r="E3183" s="2">
        <v>5.4799999999999995</v>
      </c>
      <c r="F3183" s="2">
        <v>3.12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</row>
    <row r="3184" spans="1:11" x14ac:dyDescent="0.25">
      <c r="A3184" s="1">
        <v>0.209722222222222</v>
      </c>
      <c r="B3184" s="2">
        <v>6.3</v>
      </c>
      <c r="C3184" s="2">
        <v>3.72</v>
      </c>
      <c r="D3184" s="2">
        <v>5.09</v>
      </c>
      <c r="E3184" s="2">
        <v>5.66</v>
      </c>
      <c r="F3184" s="2">
        <v>2.97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</row>
    <row r="3185" spans="1:11" x14ac:dyDescent="0.25">
      <c r="A3185" s="1">
        <v>0.210416666666667</v>
      </c>
      <c r="B3185" s="2">
        <v>6.34</v>
      </c>
      <c r="C3185" s="2">
        <v>3.8000000000000003</v>
      </c>
      <c r="D3185" s="2">
        <v>5.09</v>
      </c>
      <c r="E3185" s="2">
        <v>5.3</v>
      </c>
      <c r="F3185" s="2">
        <v>3.38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</row>
    <row r="3186" spans="1:11" x14ac:dyDescent="0.25">
      <c r="A3186" s="1">
        <v>0.211111111111111</v>
      </c>
      <c r="B3186" s="2">
        <v>6.22</v>
      </c>
      <c r="C3186" s="2">
        <v>3.6</v>
      </c>
      <c r="D3186" s="2">
        <v>5.35</v>
      </c>
      <c r="E3186" s="2">
        <v>5.5</v>
      </c>
      <c r="F3186" s="2">
        <v>3.31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</row>
    <row r="3187" spans="1:11" x14ac:dyDescent="0.25">
      <c r="A3187" s="1">
        <v>0.211805555555556</v>
      </c>
      <c r="B3187" s="2">
        <v>6.12</v>
      </c>
      <c r="C3187" s="2">
        <v>3.61</v>
      </c>
      <c r="D3187" s="2">
        <v>5.3699999999999992</v>
      </c>
      <c r="E3187" s="2">
        <v>5.3</v>
      </c>
      <c r="F3187" s="2">
        <v>3.2800000000000002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</row>
    <row r="3188" spans="1:11" x14ac:dyDescent="0.25">
      <c r="A3188" s="1">
        <v>0.21249999999999999</v>
      </c>
      <c r="B3188" s="2">
        <v>6.37</v>
      </c>
      <c r="C3188" s="2">
        <v>3.74</v>
      </c>
      <c r="D3188" s="2">
        <v>5.1999999999999993</v>
      </c>
      <c r="E3188" s="2">
        <v>5.33</v>
      </c>
      <c r="F3188" s="2">
        <v>3.29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</row>
    <row r="3189" spans="1:11" x14ac:dyDescent="0.25">
      <c r="A3189" s="1">
        <v>0.21319444444444399</v>
      </c>
      <c r="B3189" s="2">
        <v>6.29</v>
      </c>
      <c r="C3189" s="2">
        <v>3.81</v>
      </c>
      <c r="D3189" s="2">
        <v>4.8999999999999995</v>
      </c>
      <c r="E3189" s="2">
        <v>5.71</v>
      </c>
      <c r="F3189" s="2">
        <v>3.39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</row>
    <row r="3190" spans="1:11" x14ac:dyDescent="0.25">
      <c r="A3190" s="1">
        <v>0.21388888888888899</v>
      </c>
      <c r="B3190" s="2">
        <v>6.16</v>
      </c>
      <c r="C3190" s="2">
        <v>3.7600000000000002</v>
      </c>
      <c r="D3190" s="2">
        <v>5.12</v>
      </c>
      <c r="E3190" s="2">
        <v>5.43</v>
      </c>
      <c r="F3190" s="2">
        <v>3.22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</row>
    <row r="3191" spans="1:11" x14ac:dyDescent="0.25">
      <c r="A3191" s="1">
        <v>0.21458333333333299</v>
      </c>
      <c r="B3191" s="2">
        <v>6.15</v>
      </c>
      <c r="C3191" s="2">
        <v>3.8600000000000003</v>
      </c>
      <c r="D3191" s="2">
        <v>5.0699999999999994</v>
      </c>
      <c r="E3191" s="2">
        <v>5.4799999999999995</v>
      </c>
      <c r="F3191" s="2">
        <v>2.9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</row>
    <row r="3192" spans="1:11" x14ac:dyDescent="0.25">
      <c r="A3192" s="1">
        <v>0.21527777777777801</v>
      </c>
      <c r="B3192" s="2">
        <v>6.26</v>
      </c>
      <c r="C3192" s="2">
        <v>3.88</v>
      </c>
      <c r="D3192" s="2">
        <v>5.16</v>
      </c>
      <c r="E3192" s="2">
        <v>5.62</v>
      </c>
      <c r="F3192" s="2">
        <v>3.3600000000000003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</row>
    <row r="3193" spans="1:11" x14ac:dyDescent="0.25">
      <c r="A3193" s="1">
        <v>0.21597222222222201</v>
      </c>
      <c r="B3193" s="2">
        <v>6.2</v>
      </c>
      <c r="C3193" s="2">
        <v>3.8000000000000003</v>
      </c>
      <c r="D3193" s="2">
        <v>4.9099999999999993</v>
      </c>
      <c r="E3193" s="2">
        <v>5.16</v>
      </c>
      <c r="F3193" s="2">
        <v>3.27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</row>
    <row r="3194" spans="1:11" x14ac:dyDescent="0.25">
      <c r="A3194" s="1">
        <v>0.21666666666666701</v>
      </c>
      <c r="B3194" s="2">
        <v>6.18</v>
      </c>
      <c r="C3194" s="2">
        <v>3.85</v>
      </c>
      <c r="D3194" s="2">
        <v>5.01</v>
      </c>
      <c r="E3194" s="2">
        <v>5.64</v>
      </c>
      <c r="F3194" s="2">
        <v>3.37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</row>
    <row r="3195" spans="1:11" x14ac:dyDescent="0.25">
      <c r="A3195" s="1">
        <v>0.21736111111111101</v>
      </c>
      <c r="B3195" s="2">
        <v>6.14</v>
      </c>
      <c r="C3195" s="2">
        <v>3.77</v>
      </c>
      <c r="D3195" s="2">
        <v>5.2399999999999993</v>
      </c>
      <c r="E3195" s="2">
        <v>5.3599999999999994</v>
      </c>
      <c r="F3195" s="2">
        <v>3.1100000000000003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</row>
    <row r="3196" spans="1:11" x14ac:dyDescent="0.25">
      <c r="A3196" s="1">
        <v>0.218055555555556</v>
      </c>
      <c r="B3196" s="2">
        <v>6.19</v>
      </c>
      <c r="C3196" s="2">
        <v>3.67</v>
      </c>
      <c r="D3196" s="2">
        <v>5.21</v>
      </c>
      <c r="E3196" s="2">
        <v>5.41</v>
      </c>
      <c r="F3196" s="2">
        <v>2.92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</row>
    <row r="3197" spans="1:11" x14ac:dyDescent="0.25">
      <c r="A3197" s="1">
        <v>0.21875</v>
      </c>
      <c r="B3197" s="2">
        <v>6.26</v>
      </c>
      <c r="C3197" s="2">
        <v>3.75</v>
      </c>
      <c r="D3197" s="2">
        <v>5.2299999999999995</v>
      </c>
      <c r="E3197" s="2">
        <v>5.6899999999999995</v>
      </c>
      <c r="F3197" s="2">
        <v>3.0700000000000003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</row>
    <row r="3198" spans="1:11" x14ac:dyDescent="0.25">
      <c r="A3198" s="1">
        <v>0.219444444444444</v>
      </c>
      <c r="B3198" s="2">
        <v>6.23</v>
      </c>
      <c r="C3198" s="2">
        <v>3.67</v>
      </c>
      <c r="D3198" s="2">
        <v>5.3699999999999992</v>
      </c>
      <c r="E3198" s="2">
        <v>5.25</v>
      </c>
      <c r="F3198" s="2">
        <v>3.3400000000000003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</row>
    <row r="3199" spans="1:11" x14ac:dyDescent="0.25">
      <c r="A3199" s="1">
        <v>0.22013888888888899</v>
      </c>
      <c r="B3199" s="2">
        <v>6.23</v>
      </c>
      <c r="C3199" s="2">
        <v>3.88</v>
      </c>
      <c r="D3199" s="2">
        <v>4.8999999999999995</v>
      </c>
      <c r="E3199" s="2">
        <v>5.1499999999999995</v>
      </c>
      <c r="F3199" s="2">
        <v>3.17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</row>
    <row r="3200" spans="1:11" x14ac:dyDescent="0.25">
      <c r="A3200" s="1">
        <v>0.22083333333333299</v>
      </c>
      <c r="B3200" s="2">
        <v>6.13</v>
      </c>
      <c r="C3200" s="2">
        <v>3.8200000000000003</v>
      </c>
      <c r="D3200" s="2">
        <v>5.17</v>
      </c>
      <c r="E3200" s="2">
        <v>5.6</v>
      </c>
      <c r="F3200" s="2">
        <v>3.02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</row>
    <row r="3201" spans="1:11" x14ac:dyDescent="0.25">
      <c r="A3201" s="1">
        <v>0.22152777777777799</v>
      </c>
      <c r="B3201" s="2">
        <v>6.13</v>
      </c>
      <c r="C3201" s="2">
        <v>3.7600000000000002</v>
      </c>
      <c r="D3201" s="2">
        <v>5.1099999999999994</v>
      </c>
      <c r="E3201" s="2">
        <v>5.3</v>
      </c>
      <c r="F3201" s="2">
        <v>3.1500000000000004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</row>
    <row r="3202" spans="1:11" x14ac:dyDescent="0.25">
      <c r="A3202" s="1">
        <v>0.22222222222222199</v>
      </c>
      <c r="B3202" s="2">
        <v>6.24</v>
      </c>
      <c r="C3202" s="2">
        <v>3.83</v>
      </c>
      <c r="D3202" s="2">
        <v>5.0599999999999996</v>
      </c>
      <c r="E3202" s="2">
        <v>5.39</v>
      </c>
      <c r="F3202" s="2">
        <v>3.21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</row>
    <row r="3203" spans="1:11" x14ac:dyDescent="0.25">
      <c r="A3203" s="1">
        <v>0.22291666666666701</v>
      </c>
      <c r="B3203" s="2">
        <v>6.25</v>
      </c>
      <c r="C3203" s="2">
        <v>3.8000000000000003</v>
      </c>
      <c r="D3203" s="2">
        <v>4.9499999999999993</v>
      </c>
      <c r="E3203" s="2">
        <v>5.26</v>
      </c>
      <c r="F3203" s="2">
        <v>3.3400000000000003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</row>
    <row r="3204" spans="1:11" x14ac:dyDescent="0.25">
      <c r="A3204" s="1">
        <v>0.22361111111111101</v>
      </c>
      <c r="B3204" s="2">
        <v>6.23</v>
      </c>
      <c r="C3204" s="2">
        <v>3.84</v>
      </c>
      <c r="D3204" s="2">
        <v>5.26</v>
      </c>
      <c r="E3204" s="2">
        <v>5.14</v>
      </c>
      <c r="F3204" s="2">
        <v>3.33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</row>
    <row r="3205" spans="1:11" x14ac:dyDescent="0.25">
      <c r="A3205" s="1">
        <v>0.22430555555555601</v>
      </c>
      <c r="B3205" s="2">
        <v>6.26</v>
      </c>
      <c r="C3205" s="2">
        <v>3.88</v>
      </c>
      <c r="D3205" s="2">
        <v>5.1999999999999993</v>
      </c>
      <c r="E3205" s="2">
        <v>5.1099999999999994</v>
      </c>
      <c r="F3205" s="2">
        <v>3.1500000000000004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</row>
    <row r="3206" spans="1:11" x14ac:dyDescent="0.25">
      <c r="A3206" s="1">
        <v>0.22500000000000001</v>
      </c>
      <c r="B3206" s="2">
        <v>6.29</v>
      </c>
      <c r="C3206" s="2">
        <v>3.6</v>
      </c>
      <c r="D3206" s="2">
        <v>5.33</v>
      </c>
      <c r="E3206" s="2">
        <v>5.27</v>
      </c>
      <c r="F3206" s="2">
        <v>3.2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</row>
    <row r="3207" spans="1:11" x14ac:dyDescent="0.25">
      <c r="A3207" s="1">
        <v>0.225694444444444</v>
      </c>
      <c r="B3207" s="2">
        <v>6.22</v>
      </c>
      <c r="C3207" s="2">
        <v>3.89</v>
      </c>
      <c r="D3207" s="2">
        <v>5.21</v>
      </c>
      <c r="E3207" s="2">
        <v>5.09</v>
      </c>
      <c r="F3207" s="2">
        <v>3.0100000000000002</v>
      </c>
      <c r="G3207" s="6">
        <v>0</v>
      </c>
      <c r="H3207" s="6">
        <v>0</v>
      </c>
      <c r="I3207" s="6">
        <v>0</v>
      </c>
      <c r="J3207" s="6">
        <v>0</v>
      </c>
      <c r="K3207" s="6">
        <v>0</v>
      </c>
    </row>
    <row r="3208" spans="1:11" x14ac:dyDescent="0.25">
      <c r="A3208" s="1">
        <v>0.226388888888889</v>
      </c>
      <c r="B3208" s="2">
        <v>6.28</v>
      </c>
      <c r="C3208" s="2">
        <v>3.7</v>
      </c>
      <c r="D3208" s="2">
        <v>4.9499999999999993</v>
      </c>
      <c r="E3208" s="2">
        <v>5.3999999999999995</v>
      </c>
      <c r="F3208" s="2">
        <v>2.88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</row>
    <row r="3209" spans="1:11" x14ac:dyDescent="0.25">
      <c r="A3209" s="1">
        <v>0.227083333333333</v>
      </c>
      <c r="B3209" s="2">
        <v>6.26</v>
      </c>
      <c r="C3209" s="2">
        <v>3.71</v>
      </c>
      <c r="D3209" s="2">
        <v>5.3599999999999994</v>
      </c>
      <c r="E3209" s="2">
        <v>5.22</v>
      </c>
      <c r="F3209" s="2">
        <v>3.12</v>
      </c>
      <c r="G3209" s="6">
        <v>0</v>
      </c>
      <c r="H3209" s="6">
        <v>0</v>
      </c>
      <c r="I3209" s="6">
        <v>0</v>
      </c>
      <c r="J3209" s="6">
        <v>0</v>
      </c>
      <c r="K3209" s="6">
        <v>0</v>
      </c>
    </row>
    <row r="3210" spans="1:11" x14ac:dyDescent="0.25">
      <c r="A3210" s="1">
        <v>0.227777777777778</v>
      </c>
      <c r="B3210" s="2">
        <v>6.16</v>
      </c>
      <c r="C3210" s="2">
        <v>3.6</v>
      </c>
      <c r="D3210" s="2">
        <v>5.22</v>
      </c>
      <c r="E3210" s="2">
        <v>5.21</v>
      </c>
      <c r="F3210" s="2">
        <v>3.3000000000000003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</row>
    <row r="3211" spans="1:11" x14ac:dyDescent="0.25">
      <c r="A3211" s="1">
        <v>0.22847222222222199</v>
      </c>
      <c r="B3211" s="2">
        <v>6.19</v>
      </c>
      <c r="C3211" s="2">
        <v>3.7</v>
      </c>
      <c r="D3211" s="2">
        <v>5.05</v>
      </c>
      <c r="E3211" s="2">
        <v>5.37</v>
      </c>
      <c r="F3211" s="2">
        <v>3.3200000000000003</v>
      </c>
      <c r="G3211" s="6">
        <v>0</v>
      </c>
      <c r="H3211" s="6">
        <v>0</v>
      </c>
      <c r="I3211" s="6">
        <v>0</v>
      </c>
      <c r="J3211" s="6">
        <v>0</v>
      </c>
      <c r="K3211" s="6">
        <v>0</v>
      </c>
    </row>
    <row r="3212" spans="1:11" x14ac:dyDescent="0.25">
      <c r="A3212" s="1">
        <v>0.22916666666666699</v>
      </c>
      <c r="B3212" s="2">
        <v>6.3</v>
      </c>
      <c r="C3212" s="2">
        <v>3.72</v>
      </c>
      <c r="D3212" s="2">
        <v>4.9899999999999993</v>
      </c>
      <c r="E3212" s="2">
        <v>5.12</v>
      </c>
      <c r="F3212" s="2">
        <v>2.93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</row>
    <row r="3213" spans="1:11" x14ac:dyDescent="0.25">
      <c r="A3213" s="1">
        <v>0.22986111111111099</v>
      </c>
      <c r="B3213" s="2">
        <v>6.15</v>
      </c>
      <c r="C3213" s="2">
        <v>3.85</v>
      </c>
      <c r="D3213" s="2">
        <v>5.17</v>
      </c>
      <c r="E3213" s="2">
        <v>5.34</v>
      </c>
      <c r="F3213" s="2">
        <v>3.27</v>
      </c>
      <c r="G3213" s="6">
        <v>0</v>
      </c>
      <c r="H3213" s="6">
        <v>0</v>
      </c>
      <c r="I3213" s="6">
        <v>0</v>
      </c>
      <c r="J3213" s="6">
        <v>0</v>
      </c>
      <c r="K3213" s="6">
        <v>0</v>
      </c>
    </row>
    <row r="3214" spans="1:11" x14ac:dyDescent="0.25">
      <c r="A3214" s="1">
        <v>0.23055555555555601</v>
      </c>
      <c r="B3214" s="2">
        <v>6.14</v>
      </c>
      <c r="C3214" s="2">
        <v>3.83</v>
      </c>
      <c r="D3214" s="2">
        <v>5.16</v>
      </c>
      <c r="E3214" s="2">
        <v>5.1899999999999995</v>
      </c>
      <c r="F3214" s="2">
        <v>3.0700000000000003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</row>
    <row r="3215" spans="1:11" x14ac:dyDescent="0.25">
      <c r="A3215" s="1">
        <v>0.23125000000000001</v>
      </c>
      <c r="B3215" s="2">
        <v>6.36</v>
      </c>
      <c r="C3215" s="2">
        <v>3.7600000000000002</v>
      </c>
      <c r="D3215" s="2">
        <v>5.25</v>
      </c>
      <c r="E3215" s="2">
        <v>5.2</v>
      </c>
      <c r="F3215" s="2">
        <v>2.93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</row>
    <row r="3216" spans="1:11" x14ac:dyDescent="0.25">
      <c r="A3216" s="1">
        <v>0.23194444444444401</v>
      </c>
      <c r="B3216" s="2">
        <v>6.15</v>
      </c>
      <c r="C3216" s="2">
        <v>3.68</v>
      </c>
      <c r="D3216" s="2">
        <v>5</v>
      </c>
      <c r="E3216" s="2">
        <v>5.09</v>
      </c>
      <c r="F3216" s="2">
        <v>3.19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</row>
    <row r="3217" spans="1:27" x14ac:dyDescent="0.25">
      <c r="A3217" s="1">
        <v>0.23263888888888901</v>
      </c>
      <c r="B3217" s="2">
        <v>6.2</v>
      </c>
      <c r="C3217" s="2">
        <v>3.87</v>
      </c>
      <c r="D3217" s="2">
        <v>5.01</v>
      </c>
      <c r="E3217" s="2">
        <v>5.12</v>
      </c>
      <c r="F3217" s="2">
        <v>3.25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</row>
    <row r="3218" spans="1:27" x14ac:dyDescent="0.25">
      <c r="A3218" s="1">
        <v>0.233333333333333</v>
      </c>
      <c r="B3218" s="2">
        <v>6.2</v>
      </c>
      <c r="C3218" s="2">
        <v>3.8600000000000003</v>
      </c>
      <c r="D3218" s="2">
        <v>5.14</v>
      </c>
      <c r="E3218" s="2">
        <v>5.5</v>
      </c>
      <c r="F3218" s="2">
        <v>3.22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</row>
    <row r="3219" spans="1:27" x14ac:dyDescent="0.25">
      <c r="A3219" s="1">
        <v>0.234027777777778</v>
      </c>
      <c r="B3219" s="2">
        <v>6.18</v>
      </c>
      <c r="C3219" s="2">
        <v>3.87</v>
      </c>
      <c r="D3219" s="2">
        <v>5.34</v>
      </c>
      <c r="E3219" s="2">
        <v>5.4799999999999995</v>
      </c>
      <c r="F3219" s="2">
        <v>2.97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</row>
    <row r="3220" spans="1:27" x14ac:dyDescent="0.25">
      <c r="A3220" s="1">
        <v>0.234722222222222</v>
      </c>
      <c r="B3220" s="2">
        <v>6.21</v>
      </c>
      <c r="C3220" s="2">
        <v>3.7800000000000002</v>
      </c>
      <c r="D3220" s="2">
        <v>5.26</v>
      </c>
      <c r="E3220" s="2">
        <v>5.6</v>
      </c>
      <c r="F3220" s="2">
        <v>3.3400000000000003</v>
      </c>
      <c r="G3220" s="6">
        <v>14</v>
      </c>
      <c r="H3220" s="6">
        <v>12</v>
      </c>
      <c r="I3220" s="6">
        <v>10</v>
      </c>
      <c r="J3220" s="6">
        <v>16</v>
      </c>
      <c r="K3220" s="6">
        <v>16</v>
      </c>
    </row>
    <row r="3221" spans="1:27" x14ac:dyDescent="0.25">
      <c r="A3221" s="1">
        <v>0.235416666666667</v>
      </c>
      <c r="B3221" s="2">
        <v>6.13</v>
      </c>
      <c r="C3221" s="2">
        <v>3.87</v>
      </c>
      <c r="D3221" s="2">
        <v>5.3199999999999994</v>
      </c>
      <c r="E3221" s="2">
        <v>5.17</v>
      </c>
      <c r="F3221" s="2">
        <v>3.17</v>
      </c>
      <c r="G3221" s="6">
        <v>35</v>
      </c>
      <c r="H3221" s="6">
        <v>34</v>
      </c>
      <c r="I3221" s="6">
        <v>20</v>
      </c>
      <c r="J3221" s="6">
        <v>35</v>
      </c>
      <c r="K3221" s="6">
        <v>36</v>
      </c>
    </row>
    <row r="3222" spans="1:27" x14ac:dyDescent="0.25">
      <c r="A3222" s="1">
        <v>0.23611111111111099</v>
      </c>
      <c r="B3222" s="2">
        <v>6.38</v>
      </c>
      <c r="C3222" s="2">
        <v>3.61</v>
      </c>
      <c r="D3222" s="2">
        <v>5.0599999999999996</v>
      </c>
      <c r="E3222" s="2">
        <v>5.55</v>
      </c>
      <c r="F3222" s="2">
        <v>2.98</v>
      </c>
      <c r="G3222" s="6">
        <v>44</v>
      </c>
      <c r="H3222" s="6">
        <v>51</v>
      </c>
      <c r="I3222" s="6">
        <v>31</v>
      </c>
      <c r="J3222" s="6">
        <v>41</v>
      </c>
      <c r="K3222" s="6">
        <v>41</v>
      </c>
      <c r="W3222" s="2"/>
      <c r="X3222" s="2"/>
      <c r="Y3222" s="2"/>
      <c r="Z3222" s="2"/>
      <c r="AA3222" s="2"/>
    </row>
    <row r="3223" spans="1:27" x14ac:dyDescent="0.25">
      <c r="A3223" s="1">
        <v>0.23680555555555599</v>
      </c>
      <c r="B3223" s="2">
        <v>6.3100000000000005</v>
      </c>
      <c r="C3223" s="2">
        <v>3.84</v>
      </c>
      <c r="D3223" s="2">
        <v>5.16</v>
      </c>
      <c r="E3223" s="2">
        <v>5.6</v>
      </c>
      <c r="F3223" s="2">
        <v>3.1</v>
      </c>
      <c r="G3223" s="6">
        <v>50.426327787991212</v>
      </c>
      <c r="H3223" s="6">
        <v>59.892651187032968</v>
      </c>
      <c r="I3223" s="6">
        <v>73.247242458550843</v>
      </c>
      <c r="J3223" s="6">
        <v>66.33033120134607</v>
      </c>
      <c r="K3223" s="6">
        <v>72.796415233135491</v>
      </c>
      <c r="W3223" s="2"/>
      <c r="X3223" s="2"/>
      <c r="Y3223" s="2"/>
      <c r="Z3223" s="2"/>
      <c r="AA3223" s="2"/>
    </row>
    <row r="3224" spans="1:27" x14ac:dyDescent="0.25">
      <c r="A3224" s="1">
        <v>0.23749999999999999</v>
      </c>
      <c r="B3224" s="2">
        <v>6.33</v>
      </c>
      <c r="C3224" s="2">
        <v>3.84</v>
      </c>
      <c r="D3224" s="2">
        <v>5.0999999999999996</v>
      </c>
      <c r="E3224" s="2">
        <v>5.27</v>
      </c>
      <c r="F3224" s="2">
        <v>3.25</v>
      </c>
      <c r="G3224" s="6">
        <v>64.712657763513732</v>
      </c>
      <c r="H3224" s="6">
        <v>71.242995874474801</v>
      </c>
      <c r="I3224" s="6">
        <v>87.342465491835725</v>
      </c>
      <c r="J3224" s="6">
        <v>79.448813730182877</v>
      </c>
      <c r="K3224" s="6">
        <v>85.345935785864427</v>
      </c>
      <c r="W3224" s="2"/>
      <c r="X3224" s="2"/>
      <c r="Y3224" s="2"/>
      <c r="Z3224" s="2"/>
      <c r="AA3224" s="2"/>
    </row>
    <row r="3225" spans="1:27" x14ac:dyDescent="0.25">
      <c r="A3225" s="1">
        <v>0.23819444444444399</v>
      </c>
      <c r="B3225" s="2">
        <v>6.23</v>
      </c>
      <c r="C3225" s="2">
        <v>3.8600000000000003</v>
      </c>
      <c r="D3225" s="2">
        <v>4.8899999999999997</v>
      </c>
      <c r="E3225" s="2">
        <v>5.58</v>
      </c>
      <c r="F3225" s="2">
        <v>3.24</v>
      </c>
      <c r="G3225" s="6">
        <v>65.391607270096785</v>
      </c>
      <c r="H3225" s="6">
        <v>70.912874489298275</v>
      </c>
      <c r="I3225" s="6">
        <v>85.146885533745177</v>
      </c>
      <c r="J3225" s="6">
        <v>76.989958267487566</v>
      </c>
      <c r="K3225" s="6">
        <v>86.432205667253612</v>
      </c>
      <c r="U3225" s="2"/>
      <c r="V3225" s="2"/>
      <c r="W3225" s="2"/>
      <c r="X3225" s="2"/>
      <c r="Y3225" s="2"/>
      <c r="Z3225" s="2"/>
      <c r="AA3225" s="2"/>
    </row>
    <row r="3226" spans="1:27" x14ac:dyDescent="0.25">
      <c r="A3226" s="1">
        <v>0.23888888888888901</v>
      </c>
      <c r="B3226" s="2">
        <v>6.12</v>
      </c>
      <c r="C3226" s="2">
        <v>3.77</v>
      </c>
      <c r="D3226" s="2">
        <v>5.1499999999999995</v>
      </c>
      <c r="E3226" s="2">
        <v>5.62</v>
      </c>
      <c r="F3226" s="2">
        <v>3</v>
      </c>
      <c r="G3226" s="6">
        <v>50.414610204593387</v>
      </c>
      <c r="H3226" s="6">
        <v>58.502623516360906</v>
      </c>
      <c r="I3226" s="6">
        <v>74.483532894010736</v>
      </c>
      <c r="J3226" s="6">
        <v>67.024425683771199</v>
      </c>
      <c r="K3226" s="6">
        <v>74.275389253150749</v>
      </c>
      <c r="U3226" s="2"/>
      <c r="V3226" s="2"/>
      <c r="W3226" s="2"/>
      <c r="X3226" s="2"/>
      <c r="Y3226" s="2"/>
      <c r="Z3226" s="2"/>
      <c r="AA3226" s="2"/>
    </row>
    <row r="3227" spans="1:27" x14ac:dyDescent="0.25">
      <c r="A3227" s="1">
        <v>0.23958333333333301</v>
      </c>
      <c r="B3227" s="2">
        <v>6.19</v>
      </c>
      <c r="C3227" s="2">
        <v>3.72</v>
      </c>
      <c r="D3227" s="2">
        <v>5.09</v>
      </c>
      <c r="E3227" s="2">
        <v>5.13</v>
      </c>
      <c r="F3227" s="2">
        <v>3.0100000000000002</v>
      </c>
      <c r="G3227" s="6">
        <v>64.728948524503764</v>
      </c>
      <c r="H3227" s="6">
        <v>74.068401289638302</v>
      </c>
      <c r="I3227" s="6">
        <v>88.9462213616263</v>
      </c>
      <c r="J3227" s="6">
        <v>81.955516681710066</v>
      </c>
      <c r="K3227" s="6">
        <v>87.928249215309506</v>
      </c>
      <c r="U3227" s="2"/>
      <c r="V3227" s="2"/>
      <c r="W3227" s="2"/>
      <c r="X3227" s="2"/>
      <c r="Y3227" s="2"/>
      <c r="Z3227" s="2"/>
      <c r="AA3227" s="2"/>
    </row>
    <row r="3228" spans="1:27" x14ac:dyDescent="0.25">
      <c r="A3228" s="1">
        <v>0.24027777777777801</v>
      </c>
      <c r="B3228" s="2">
        <v>6.13</v>
      </c>
      <c r="C3228" s="2">
        <v>3.87</v>
      </c>
      <c r="D3228" s="2">
        <v>4.8899999999999997</v>
      </c>
      <c r="E3228" s="2">
        <v>5.59</v>
      </c>
      <c r="F3228" s="2">
        <v>3.2</v>
      </c>
      <c r="G3228" s="6">
        <v>87.026203494424195</v>
      </c>
      <c r="H3228" s="6">
        <v>95.922211927407602</v>
      </c>
      <c r="I3228" s="6">
        <v>111.43140053840796</v>
      </c>
      <c r="J3228" s="6">
        <v>101.55214264257549</v>
      </c>
      <c r="K3228" s="6">
        <v>109.03319843060234</v>
      </c>
      <c r="U3228" s="2"/>
      <c r="V3228" s="2"/>
      <c r="W3228" s="2"/>
      <c r="X3228" s="2"/>
      <c r="Y3228" s="2"/>
      <c r="Z3228" s="2"/>
      <c r="AA3228" s="2"/>
    </row>
    <row r="3229" spans="1:27" x14ac:dyDescent="0.25">
      <c r="A3229" s="1">
        <v>0.240972222222222</v>
      </c>
      <c r="B3229" s="2">
        <v>6.36</v>
      </c>
      <c r="C3229" s="2">
        <v>3.64</v>
      </c>
      <c r="D3229" s="2">
        <v>4.9099999999999993</v>
      </c>
      <c r="E3229" s="2">
        <v>5.3</v>
      </c>
      <c r="F3229" s="2">
        <v>2.89</v>
      </c>
      <c r="G3229" s="6">
        <v>91.497761277936576</v>
      </c>
      <c r="H3229" s="6">
        <v>99.964065910307411</v>
      </c>
      <c r="I3229" s="6">
        <v>114.50951762065132</v>
      </c>
      <c r="J3229" s="6">
        <v>105.26212869428886</v>
      </c>
      <c r="K3229" s="6">
        <v>112.95324763224828</v>
      </c>
      <c r="U3229" s="2"/>
      <c r="V3229" s="2"/>
      <c r="W3229" s="2"/>
      <c r="X3229" s="2"/>
      <c r="Y3229" s="2"/>
      <c r="Z3229" s="2"/>
      <c r="AA3229" s="2"/>
    </row>
    <row r="3230" spans="1:27" x14ac:dyDescent="0.25">
      <c r="A3230" s="1">
        <v>0.241666666666667</v>
      </c>
      <c r="B3230" s="2">
        <v>6.13</v>
      </c>
      <c r="C3230" s="2">
        <v>3.69</v>
      </c>
      <c r="D3230" s="2">
        <v>5.0299999999999994</v>
      </c>
      <c r="E3230" s="2">
        <v>5.3</v>
      </c>
      <c r="F3230" s="2">
        <v>3.0100000000000002</v>
      </c>
      <c r="G3230" s="6">
        <v>106.15662990223673</v>
      </c>
      <c r="H3230" s="6">
        <v>113.39538250336398</v>
      </c>
      <c r="I3230" s="6">
        <v>130.64989642060047</v>
      </c>
      <c r="J3230" s="6">
        <v>123.30700439750554</v>
      </c>
      <c r="K3230" s="6">
        <v>131.76004118662061</v>
      </c>
      <c r="U3230" s="2"/>
      <c r="V3230" s="2"/>
      <c r="W3230" s="2"/>
      <c r="Y3230" s="2"/>
    </row>
    <row r="3231" spans="1:27" x14ac:dyDescent="0.25">
      <c r="A3231" s="1">
        <v>0.242361111111111</v>
      </c>
      <c r="B3231" s="2">
        <v>6.14</v>
      </c>
      <c r="C3231" s="2">
        <v>3.8200000000000003</v>
      </c>
      <c r="D3231" s="2">
        <v>5.2399999999999993</v>
      </c>
      <c r="E3231" s="2">
        <v>5.67</v>
      </c>
      <c r="F3231" s="2">
        <v>3</v>
      </c>
      <c r="G3231" s="6">
        <v>71.678083170430526</v>
      </c>
      <c r="H3231" s="6">
        <v>77.912469780610806</v>
      </c>
      <c r="I3231" s="6">
        <v>93.933561354163274</v>
      </c>
      <c r="J3231" s="6">
        <v>83.937190533773389</v>
      </c>
      <c r="K3231" s="6">
        <v>89.824280742452544</v>
      </c>
      <c r="T3231" s="2"/>
      <c r="U3231" s="2"/>
      <c r="V3231" s="2"/>
      <c r="W3231" s="2"/>
      <c r="Y3231" s="2"/>
    </row>
    <row r="3232" spans="1:27" x14ac:dyDescent="0.25">
      <c r="A3232" s="1">
        <v>0.243055555555556</v>
      </c>
      <c r="B3232" s="2">
        <v>6.22</v>
      </c>
      <c r="C3232" s="2">
        <v>3.7</v>
      </c>
      <c r="D3232" s="2">
        <v>5.1899999999999995</v>
      </c>
      <c r="E3232" s="2">
        <v>5.41</v>
      </c>
      <c r="F3232" s="2">
        <v>3.25</v>
      </c>
      <c r="G3232" s="6">
        <v>89.281234970450271</v>
      </c>
      <c r="H3232" s="6">
        <v>96.465109292156924</v>
      </c>
      <c r="I3232" s="6">
        <v>115.10481680390113</v>
      </c>
      <c r="J3232" s="6">
        <v>105.8402766930238</v>
      </c>
      <c r="K3232" s="6">
        <v>115.76767051539767</v>
      </c>
      <c r="T3232" s="2"/>
      <c r="U3232" s="2"/>
      <c r="V3232" s="2"/>
      <c r="Y3232" s="2"/>
    </row>
    <row r="3233" spans="1:25" x14ac:dyDescent="0.25">
      <c r="A3233" s="1">
        <v>0.24374999999999999</v>
      </c>
      <c r="B3233" s="2">
        <v>6.14</v>
      </c>
      <c r="C3233" s="2">
        <v>3.8000000000000003</v>
      </c>
      <c r="D3233" s="2">
        <v>5.01</v>
      </c>
      <c r="E3233" s="2">
        <v>5.09</v>
      </c>
      <c r="F3233" s="2">
        <v>3.3000000000000003</v>
      </c>
      <c r="G3233" s="6">
        <v>75.597020147614728</v>
      </c>
      <c r="H3233" s="6">
        <v>83.786923720898159</v>
      </c>
      <c r="I3233" s="6">
        <v>94.272662837015432</v>
      </c>
      <c r="J3233" s="6">
        <v>88.918595445759664</v>
      </c>
      <c r="K3233" s="6">
        <v>96.41709494426901</v>
      </c>
      <c r="T3233" s="2"/>
      <c r="U3233" s="2"/>
      <c r="V3233" s="2"/>
      <c r="W3233" s="2"/>
      <c r="Y3233" s="2"/>
    </row>
    <row r="3234" spans="1:25" x14ac:dyDescent="0.25">
      <c r="A3234" s="1">
        <v>0.24444444444444399</v>
      </c>
      <c r="B3234" s="2">
        <v>6.19</v>
      </c>
      <c r="C3234" s="2">
        <v>3.75</v>
      </c>
      <c r="D3234" s="2">
        <v>4.96</v>
      </c>
      <c r="E3234" s="2">
        <v>5.57</v>
      </c>
      <c r="F3234" s="2">
        <v>3.38</v>
      </c>
      <c r="G3234" s="6">
        <v>62.156366467456635</v>
      </c>
      <c r="H3234" s="6">
        <v>68.077562592995889</v>
      </c>
      <c r="I3234" s="6">
        <v>82.338584410448505</v>
      </c>
      <c r="J3234" s="6">
        <v>74.817385225443232</v>
      </c>
      <c r="K3234" s="6">
        <v>80.502614452605997</v>
      </c>
      <c r="Y3234" s="2"/>
    </row>
    <row r="3235" spans="1:25" x14ac:dyDescent="0.25">
      <c r="A3235" s="1">
        <v>0.24513888888888899</v>
      </c>
      <c r="B3235" s="2">
        <v>6.14</v>
      </c>
      <c r="C3235" s="2">
        <v>3.6</v>
      </c>
      <c r="D3235" s="2">
        <v>4.8999999999999995</v>
      </c>
      <c r="E3235" s="2">
        <v>5.34</v>
      </c>
      <c r="F3235" s="2">
        <v>3.0900000000000003</v>
      </c>
      <c r="G3235" s="6">
        <v>71.504618712041861</v>
      </c>
      <c r="H3235" s="6">
        <v>77.111159660937062</v>
      </c>
      <c r="I3235" s="6">
        <v>91.645778547738047</v>
      </c>
      <c r="J3235" s="6">
        <v>83.395417674099164</v>
      </c>
      <c r="K3235" s="6">
        <v>92.544329913459194</v>
      </c>
      <c r="Y3235" s="2"/>
    </row>
    <row r="3236" spans="1:25" x14ac:dyDescent="0.25">
      <c r="A3236" s="1">
        <v>0.24583333333333299</v>
      </c>
      <c r="B3236" s="2">
        <v>6.2</v>
      </c>
      <c r="C3236" s="2">
        <v>3.67</v>
      </c>
      <c r="D3236" s="2">
        <v>4.9499999999999993</v>
      </c>
      <c r="E3236" s="2">
        <v>5.12</v>
      </c>
      <c r="F3236" s="2">
        <v>3.2600000000000002</v>
      </c>
      <c r="G3236" s="6">
        <v>97.360800087032018</v>
      </c>
      <c r="H3236" s="6">
        <v>102.68844165591577</v>
      </c>
      <c r="I3236" s="6">
        <v>121.24757119486402</v>
      </c>
      <c r="J3236" s="6">
        <v>112.59664658620977</v>
      </c>
      <c r="K3236" s="6">
        <v>120.67807196160744</v>
      </c>
      <c r="Y3236" s="2"/>
    </row>
    <row r="3237" spans="1:25" x14ac:dyDescent="0.25">
      <c r="A3237" s="1">
        <v>0.24652777777777801</v>
      </c>
      <c r="B3237" s="2">
        <v>6.28</v>
      </c>
      <c r="C3237" s="2">
        <v>3.71</v>
      </c>
      <c r="D3237" s="2">
        <v>5.0199999999999996</v>
      </c>
      <c r="E3237" s="2">
        <v>5.22</v>
      </c>
      <c r="F3237" s="2">
        <v>3.1100000000000003</v>
      </c>
      <c r="G3237" s="6">
        <v>100.99105509001667</v>
      </c>
      <c r="H3237" s="6">
        <v>241.93988103150929</v>
      </c>
      <c r="I3237" s="6">
        <v>252.94456568756465</v>
      </c>
      <c r="J3237" s="6">
        <v>247.28998016885896</v>
      </c>
      <c r="K3237" s="6">
        <v>254.6565866549482</v>
      </c>
      <c r="Y3237" s="2"/>
    </row>
    <row r="3238" spans="1:25" x14ac:dyDescent="0.25">
      <c r="A3238" s="1">
        <v>0.24722222222222201</v>
      </c>
      <c r="B3238" s="2">
        <v>6.14</v>
      </c>
      <c r="C3238" s="2">
        <v>3.7600000000000002</v>
      </c>
      <c r="D3238" s="2">
        <v>5.0999999999999996</v>
      </c>
      <c r="E3238" s="2">
        <v>5.57</v>
      </c>
      <c r="F3238" s="2">
        <v>3.0300000000000002</v>
      </c>
      <c r="G3238" s="6">
        <v>79.070285381790143</v>
      </c>
      <c r="H3238" s="6">
        <v>227.27361768342303</v>
      </c>
      <c r="I3238" s="6">
        <v>128.46795929122035</v>
      </c>
      <c r="J3238" s="6">
        <v>236.51849044423977</v>
      </c>
      <c r="K3238" s="6">
        <v>242.5232478094465</v>
      </c>
      <c r="Y3238" s="2"/>
    </row>
    <row r="3239" spans="1:25" x14ac:dyDescent="0.25">
      <c r="A3239" s="1">
        <v>0.24791666666666701</v>
      </c>
      <c r="B3239" s="2">
        <v>6.17</v>
      </c>
      <c r="C3239" s="2">
        <v>3.8600000000000003</v>
      </c>
      <c r="D3239" s="2">
        <v>5.12</v>
      </c>
      <c r="E3239" s="2">
        <v>5.75</v>
      </c>
      <c r="F3239" s="2">
        <v>3.33</v>
      </c>
      <c r="G3239" s="6">
        <v>261.29254398011051</v>
      </c>
      <c r="H3239" s="6">
        <v>207.44352554008876</v>
      </c>
      <c r="I3239" s="6">
        <v>117.13785159071332</v>
      </c>
      <c r="J3239" s="6">
        <v>213.48468435501533</v>
      </c>
      <c r="K3239" s="6">
        <v>220.8991014078963</v>
      </c>
      <c r="Y3239" s="2"/>
    </row>
    <row r="3240" spans="1:25" x14ac:dyDescent="0.25">
      <c r="A3240" s="1">
        <v>0.24861111111111101</v>
      </c>
      <c r="B3240" s="2">
        <v>6.32</v>
      </c>
      <c r="C3240" s="2">
        <v>3.8600000000000003</v>
      </c>
      <c r="D3240" s="2">
        <v>5.01</v>
      </c>
      <c r="E3240" s="2">
        <v>5.54</v>
      </c>
      <c r="F3240" s="2">
        <v>2.98</v>
      </c>
      <c r="G3240" s="6">
        <v>96.692329212527824</v>
      </c>
      <c r="H3240" s="6">
        <v>353.7172989941667</v>
      </c>
      <c r="I3240" s="6">
        <v>169.85733190088052</v>
      </c>
      <c r="J3240" s="6">
        <v>361.38162952479132</v>
      </c>
      <c r="K3240" s="6">
        <v>368.73641863651721</v>
      </c>
      <c r="Y3240" s="2"/>
    </row>
    <row r="3241" spans="1:25" x14ac:dyDescent="0.25">
      <c r="A3241" s="1">
        <v>0.249305555555556</v>
      </c>
      <c r="B3241" s="2">
        <v>6.14</v>
      </c>
      <c r="C3241" s="2">
        <v>3.81</v>
      </c>
      <c r="D3241" s="2">
        <v>5.3199999999999994</v>
      </c>
      <c r="E3241" s="2">
        <v>5.28</v>
      </c>
      <c r="F3241" s="2">
        <v>3.31</v>
      </c>
      <c r="G3241" s="6">
        <v>112.65006262141381</v>
      </c>
      <c r="H3241" s="6">
        <v>205.48844139162296</v>
      </c>
      <c r="I3241" s="6">
        <v>128.17225290010998</v>
      </c>
      <c r="J3241" s="6">
        <v>213.42880918116219</v>
      </c>
      <c r="K3241" s="6">
        <v>220.53049384150745</v>
      </c>
      <c r="Y3241" s="2"/>
    </row>
    <row r="3242" spans="1:25" x14ac:dyDescent="0.25">
      <c r="A3242" s="3">
        <v>0.25</v>
      </c>
      <c r="B3242" s="2">
        <v>6.24</v>
      </c>
      <c r="C3242" s="2">
        <v>3.79</v>
      </c>
      <c r="D3242" s="2">
        <v>5.12</v>
      </c>
      <c r="E3242" s="2">
        <v>5.37</v>
      </c>
      <c r="F3242" s="2">
        <v>3.19</v>
      </c>
      <c r="G3242" s="6">
        <v>134</v>
      </c>
      <c r="H3242" s="6">
        <v>164</v>
      </c>
      <c r="I3242" s="6">
        <v>134</v>
      </c>
      <c r="J3242" s="6">
        <v>313</v>
      </c>
      <c r="K3242" s="6">
        <v>331</v>
      </c>
    </row>
    <row r="3243" spans="1:25" x14ac:dyDescent="0.25">
      <c r="A3243" s="1">
        <v>0.250694444444444</v>
      </c>
      <c r="B3243" s="2">
        <v>6.16</v>
      </c>
      <c r="C3243" s="2">
        <v>3.65</v>
      </c>
      <c r="D3243" s="2">
        <v>5.17</v>
      </c>
      <c r="E3243" s="2">
        <v>5.4399999999999995</v>
      </c>
      <c r="F3243" s="2">
        <v>3.37</v>
      </c>
      <c r="G3243" s="8">
        <v>236.04601441379168</v>
      </c>
      <c r="H3243" s="8">
        <v>259.34378305248481</v>
      </c>
      <c r="I3243" s="8">
        <v>325.71464506825356</v>
      </c>
      <c r="J3243" s="8">
        <v>560.07356464728207</v>
      </c>
      <c r="K3243" s="8">
        <v>437.14689160019759</v>
      </c>
    </row>
    <row r="3244" spans="1:25" x14ac:dyDescent="0.25">
      <c r="A3244" s="1">
        <v>0.25138888888888899</v>
      </c>
      <c r="B3244" s="2">
        <v>6.3500000000000005</v>
      </c>
      <c r="C3244" s="2">
        <v>3.8600000000000003</v>
      </c>
      <c r="D3244" s="2">
        <v>4.96</v>
      </c>
      <c r="E3244" s="2">
        <v>5.13</v>
      </c>
      <c r="F3244" s="2">
        <v>3.21</v>
      </c>
      <c r="G3244" s="6">
        <v>683.17192021433618</v>
      </c>
      <c r="H3244" s="6">
        <v>617.191115560051</v>
      </c>
      <c r="I3244" s="6">
        <v>833.30306434540444</v>
      </c>
      <c r="J3244" s="6">
        <v>873.81893965633378</v>
      </c>
      <c r="K3244" s="6">
        <v>797.45530316126315</v>
      </c>
    </row>
    <row r="3245" spans="1:25" x14ac:dyDescent="0.25">
      <c r="A3245" s="1">
        <v>0.25208333333333299</v>
      </c>
      <c r="B3245" s="2">
        <v>6.37</v>
      </c>
      <c r="C3245" s="2">
        <v>3.64</v>
      </c>
      <c r="D3245" s="2">
        <v>5.08</v>
      </c>
      <c r="E3245" s="2">
        <v>5.1499999999999995</v>
      </c>
      <c r="F3245" s="2">
        <v>2.91</v>
      </c>
      <c r="G3245" s="6">
        <v>883.76781674716926</v>
      </c>
      <c r="H3245" s="6">
        <v>1001.2474325363527</v>
      </c>
      <c r="I3245" s="6">
        <v>780.66326010402622</v>
      </c>
      <c r="J3245" s="6">
        <v>829.0408762452679</v>
      </c>
      <c r="K3245" s="6">
        <v>1086.3828374419975</v>
      </c>
    </row>
    <row r="3246" spans="1:25" x14ac:dyDescent="0.25">
      <c r="A3246" s="1">
        <v>0.25277777777777799</v>
      </c>
      <c r="B3246" s="2">
        <v>6.25</v>
      </c>
      <c r="C3246" s="2">
        <v>3.65</v>
      </c>
      <c r="D3246" s="2">
        <v>5.33</v>
      </c>
      <c r="E3246" s="2">
        <v>5.17</v>
      </c>
      <c r="F3246" s="2">
        <v>3.35</v>
      </c>
      <c r="G3246" s="6">
        <v>814.88546807788441</v>
      </c>
      <c r="H3246" s="6">
        <v>1253.7125775917602</v>
      </c>
      <c r="I3246" s="6">
        <v>863.52472845050431</v>
      </c>
      <c r="J3246" s="6">
        <v>678.75195492442958</v>
      </c>
      <c r="K3246" s="6">
        <v>1192.1480846803206</v>
      </c>
    </row>
    <row r="3247" spans="1:25" x14ac:dyDescent="0.25">
      <c r="A3247" s="1">
        <v>0.25347222222222199</v>
      </c>
      <c r="B3247" s="2">
        <v>6.21</v>
      </c>
      <c r="C3247" s="2">
        <v>3.69</v>
      </c>
      <c r="D3247" s="2">
        <v>5</v>
      </c>
      <c r="E3247" s="2">
        <v>5.17</v>
      </c>
      <c r="F3247" s="2">
        <v>3.39</v>
      </c>
      <c r="G3247" s="6">
        <v>987.62792543903845</v>
      </c>
      <c r="H3247" s="6">
        <v>881.74692562565531</v>
      </c>
      <c r="I3247" s="6">
        <v>608.60063069336718</v>
      </c>
      <c r="J3247" s="6">
        <v>1090.5746988856124</v>
      </c>
      <c r="K3247" s="6">
        <v>1380.8779971113486</v>
      </c>
    </row>
    <row r="3248" spans="1:25" x14ac:dyDescent="0.25">
      <c r="A3248" s="1">
        <v>0.25416666666666698</v>
      </c>
      <c r="B3248" s="2">
        <v>6.16</v>
      </c>
      <c r="C3248" s="2">
        <v>3.83</v>
      </c>
      <c r="D3248" s="2">
        <v>5.08</v>
      </c>
      <c r="E3248" s="2">
        <v>5.4799999999999995</v>
      </c>
      <c r="F3248" s="2">
        <v>2.97</v>
      </c>
      <c r="G3248" s="6">
        <v>729.2225918843842</v>
      </c>
      <c r="H3248" s="6">
        <v>512.03825766799628</v>
      </c>
      <c r="I3248" s="6">
        <v>712.26685324937262</v>
      </c>
      <c r="J3248" s="6">
        <v>907.21415751739585</v>
      </c>
      <c r="K3248" s="6">
        <v>1305.7359809025306</v>
      </c>
    </row>
    <row r="3249" spans="1:17" x14ac:dyDescent="0.25">
      <c r="A3249" s="1">
        <v>0.25486111111111098</v>
      </c>
      <c r="B3249" s="2">
        <v>6.32</v>
      </c>
      <c r="C3249" s="2">
        <v>3.79</v>
      </c>
      <c r="D3249" s="2">
        <v>4.9899999999999993</v>
      </c>
      <c r="E3249" s="2">
        <v>5.65</v>
      </c>
      <c r="F3249" s="2">
        <v>3.2600000000000002</v>
      </c>
      <c r="G3249" s="6">
        <v>897.82841504026385</v>
      </c>
      <c r="H3249" s="6">
        <v>1162.0282536281402</v>
      </c>
      <c r="I3249" s="6">
        <v>652.66212571401263</v>
      </c>
      <c r="J3249" s="6">
        <v>721.89285756319669</v>
      </c>
      <c r="K3249" s="6">
        <v>1433.6354059728715</v>
      </c>
    </row>
    <row r="3250" spans="1:17" x14ac:dyDescent="0.25">
      <c r="A3250" s="1">
        <v>0.25555555555555598</v>
      </c>
      <c r="B3250" s="2">
        <v>6.17</v>
      </c>
      <c r="C3250" s="2">
        <v>3.74</v>
      </c>
      <c r="D3250" s="2">
        <v>4.8999999999999995</v>
      </c>
      <c r="E3250" s="2">
        <v>5.38</v>
      </c>
      <c r="F3250" s="2">
        <v>2.98</v>
      </c>
      <c r="G3250" s="6">
        <v>1032.7824819354571</v>
      </c>
      <c r="H3250" s="6">
        <v>750.68038882316034</v>
      </c>
      <c r="I3250" s="6">
        <v>1001.7680661595873</v>
      </c>
      <c r="J3250" s="6">
        <v>666.78636454700495</v>
      </c>
      <c r="K3250" s="6">
        <v>1411.4775363064005</v>
      </c>
    </row>
    <row r="3251" spans="1:17" x14ac:dyDescent="0.25">
      <c r="A3251" s="1">
        <v>0.25624999999999998</v>
      </c>
      <c r="B3251" s="2">
        <v>6.13</v>
      </c>
      <c r="C3251" s="2">
        <v>3.77</v>
      </c>
      <c r="D3251" s="2">
        <v>4.9099999999999993</v>
      </c>
      <c r="E3251" s="2">
        <v>5.75</v>
      </c>
      <c r="F3251" s="2">
        <v>3.13</v>
      </c>
      <c r="G3251" s="6">
        <v>1218.363463256457</v>
      </c>
      <c r="H3251" s="6">
        <v>1128.5256280343117</v>
      </c>
      <c r="I3251" s="6">
        <v>985.40495500488396</v>
      </c>
      <c r="J3251" s="6">
        <v>1033.0197200539933</v>
      </c>
      <c r="K3251" s="6">
        <v>1371.1507047122363</v>
      </c>
      <c r="Q3251" s="2"/>
    </row>
    <row r="3252" spans="1:17" x14ac:dyDescent="0.25">
      <c r="A3252" s="1">
        <v>0.25694444444444398</v>
      </c>
      <c r="B3252" s="2">
        <v>6.37</v>
      </c>
      <c r="C3252" s="2">
        <v>3.89</v>
      </c>
      <c r="D3252" s="2">
        <v>4.9899999999999993</v>
      </c>
      <c r="E3252" s="2">
        <v>5.74</v>
      </c>
      <c r="F3252" s="2">
        <v>3.25</v>
      </c>
      <c r="G3252" s="6">
        <v>1007.6822489227043</v>
      </c>
      <c r="H3252" s="6">
        <v>702.90476643482327</v>
      </c>
      <c r="I3252" s="6">
        <v>1019.421962382278</v>
      </c>
      <c r="J3252" s="6">
        <v>906.77467442932016</v>
      </c>
      <c r="K3252" s="6">
        <v>1249.7813975207116</v>
      </c>
    </row>
    <row r="3253" spans="1:17" x14ac:dyDescent="0.25">
      <c r="A3253" s="1">
        <v>0.25763888888888897</v>
      </c>
      <c r="B3253" s="2">
        <v>6.36</v>
      </c>
      <c r="C3253" s="2">
        <v>3.8000000000000003</v>
      </c>
      <c r="D3253" s="2">
        <v>5.38</v>
      </c>
      <c r="E3253" s="2">
        <v>5.22</v>
      </c>
      <c r="F3253" s="2">
        <v>2.98</v>
      </c>
      <c r="G3253" s="6">
        <v>824.62772059248107</v>
      </c>
      <c r="H3253" s="6">
        <v>613.11626175320282</v>
      </c>
      <c r="I3253" s="6">
        <v>1137.0852239033802</v>
      </c>
      <c r="J3253" s="6">
        <v>857.77433407270314</v>
      </c>
      <c r="K3253" s="6">
        <v>1253.2119191264403</v>
      </c>
    </row>
    <row r="3254" spans="1:17" x14ac:dyDescent="0.25">
      <c r="A3254" s="1">
        <v>0.25833333333333303</v>
      </c>
      <c r="B3254" s="2">
        <v>6.25</v>
      </c>
      <c r="C3254" s="2">
        <v>3.91</v>
      </c>
      <c r="D3254" s="2">
        <v>4.93</v>
      </c>
      <c r="E3254" s="2">
        <v>5.13</v>
      </c>
      <c r="F3254" s="2">
        <v>3.35</v>
      </c>
      <c r="G3254" s="6">
        <v>627.52105898844457</v>
      </c>
      <c r="H3254" s="6">
        <v>893.56048486112809</v>
      </c>
      <c r="I3254" s="6">
        <v>971.97917064807439</v>
      </c>
      <c r="J3254" s="6">
        <v>1143.1792632023776</v>
      </c>
      <c r="K3254" s="6">
        <v>667.49269588854781</v>
      </c>
    </row>
    <row r="3255" spans="1:17" x14ac:dyDescent="0.25">
      <c r="A3255" s="1">
        <v>0.25902777777777802</v>
      </c>
      <c r="B3255" s="2">
        <v>6.15</v>
      </c>
      <c r="C3255" s="2">
        <v>3.81</v>
      </c>
      <c r="D3255" s="2">
        <v>5.3699999999999992</v>
      </c>
      <c r="E3255" s="2">
        <v>5.21</v>
      </c>
      <c r="F3255" s="2">
        <v>3.02</v>
      </c>
      <c r="G3255" s="6">
        <v>1169.1894499844432</v>
      </c>
      <c r="H3255" s="6">
        <v>1199.8914166782245</v>
      </c>
      <c r="I3255" s="6">
        <v>678.11545820600304</v>
      </c>
      <c r="J3255" s="6">
        <v>647.88932660040359</v>
      </c>
      <c r="K3255" s="6">
        <v>955.18240354106354</v>
      </c>
    </row>
    <row r="3256" spans="1:17" x14ac:dyDescent="0.25">
      <c r="A3256" s="1">
        <v>0.25972222222222202</v>
      </c>
      <c r="B3256" s="2">
        <v>6.12</v>
      </c>
      <c r="C3256" s="2">
        <v>3.83</v>
      </c>
      <c r="D3256" s="2">
        <v>5.12</v>
      </c>
      <c r="E3256" s="2">
        <v>5.35</v>
      </c>
      <c r="F3256" s="2">
        <v>3.3400000000000003</v>
      </c>
      <c r="G3256" s="6">
        <v>1041.8437895842094</v>
      </c>
      <c r="H3256" s="6">
        <v>767.33255927763241</v>
      </c>
      <c r="I3256" s="6">
        <v>829.85981189479583</v>
      </c>
      <c r="J3256" s="6">
        <v>890.08919323268901</v>
      </c>
      <c r="K3256" s="6">
        <v>786.31010691517827</v>
      </c>
    </row>
    <row r="3257" spans="1:17" x14ac:dyDescent="0.25">
      <c r="A3257" s="1">
        <v>0.26041666666666702</v>
      </c>
      <c r="B3257" s="2">
        <v>6.14</v>
      </c>
      <c r="C3257" s="2">
        <v>3.8200000000000003</v>
      </c>
      <c r="D3257" s="2">
        <v>5.17</v>
      </c>
      <c r="E3257" s="2">
        <v>5.75</v>
      </c>
      <c r="F3257" s="2">
        <v>3</v>
      </c>
      <c r="G3257" s="6">
        <v>1070.8023321814628</v>
      </c>
      <c r="H3257" s="6">
        <v>582.36677361381669</v>
      </c>
      <c r="I3257" s="6">
        <v>758.96929704381307</v>
      </c>
      <c r="J3257" s="6">
        <v>823.91496917460699</v>
      </c>
      <c r="K3257" s="6">
        <v>1388.7378294183495</v>
      </c>
    </row>
    <row r="3258" spans="1:17" x14ac:dyDescent="0.25">
      <c r="A3258" s="1">
        <v>0.26111111111111102</v>
      </c>
      <c r="B3258" s="2">
        <v>6.16</v>
      </c>
      <c r="C3258" s="2">
        <v>3.73</v>
      </c>
      <c r="D3258" s="2">
        <v>5.1499999999999995</v>
      </c>
      <c r="E3258" s="2">
        <v>5.6</v>
      </c>
      <c r="F3258" s="2">
        <v>3.0100000000000002</v>
      </c>
      <c r="G3258" s="6">
        <v>948.55721720922168</v>
      </c>
      <c r="H3258" s="6">
        <v>675.41549400378847</v>
      </c>
      <c r="I3258" s="6">
        <v>753.45957495761832</v>
      </c>
      <c r="J3258" s="6">
        <v>1031.8812437442737</v>
      </c>
      <c r="K3258" s="6">
        <v>959.28173419735708</v>
      </c>
    </row>
    <row r="3259" spans="1:17" x14ac:dyDescent="0.25">
      <c r="A3259" s="1">
        <v>0.26180555555555601</v>
      </c>
      <c r="B3259" s="2">
        <v>6.3500000000000005</v>
      </c>
      <c r="C3259" s="2">
        <v>3.7800000000000002</v>
      </c>
      <c r="D3259" s="2">
        <v>5.0599999999999996</v>
      </c>
      <c r="E3259" s="2">
        <v>5.26</v>
      </c>
      <c r="F3259" s="2">
        <v>3.3600000000000003</v>
      </c>
      <c r="G3259" s="6">
        <v>1213.1535833963644</v>
      </c>
      <c r="H3259" s="6">
        <v>1312.0878978737692</v>
      </c>
      <c r="I3259" s="6">
        <v>656.17157384168763</v>
      </c>
      <c r="J3259" s="6">
        <v>1179.0693533349545</v>
      </c>
      <c r="K3259" s="6">
        <v>766.33565354669861</v>
      </c>
    </row>
    <row r="3260" spans="1:17" x14ac:dyDescent="0.25">
      <c r="A3260" s="1">
        <v>0.26250000000000001</v>
      </c>
      <c r="B3260" s="2">
        <v>6.32</v>
      </c>
      <c r="C3260" s="2">
        <v>3.75</v>
      </c>
      <c r="D3260" s="2">
        <v>5.12</v>
      </c>
      <c r="E3260" s="2">
        <v>5.7299999999999995</v>
      </c>
      <c r="F3260" s="2">
        <v>2.92</v>
      </c>
      <c r="G3260" s="6">
        <v>738.07391052630362</v>
      </c>
      <c r="H3260" s="6">
        <v>583.22870417198692</v>
      </c>
      <c r="I3260" s="6">
        <v>655.04527279761942</v>
      </c>
      <c r="J3260" s="6">
        <v>1188.6829498003872</v>
      </c>
      <c r="K3260" s="6">
        <v>1172.9242286371359</v>
      </c>
    </row>
    <row r="3261" spans="1:17" x14ac:dyDescent="0.25">
      <c r="A3261" s="1">
        <v>0.26319444444444401</v>
      </c>
      <c r="B3261" s="2">
        <v>6.14</v>
      </c>
      <c r="C3261" s="2">
        <v>3.75</v>
      </c>
      <c r="D3261" s="2">
        <v>5.04</v>
      </c>
      <c r="E3261" s="2">
        <v>5.27</v>
      </c>
      <c r="F3261" s="2">
        <v>3.18</v>
      </c>
      <c r="G3261" s="6">
        <v>713.15210105174913</v>
      </c>
      <c r="H3261" s="6">
        <v>911.44683028530562</v>
      </c>
      <c r="I3261" s="6">
        <v>1123.5068776184828</v>
      </c>
      <c r="J3261" s="6">
        <v>1017.9438984660756</v>
      </c>
      <c r="K3261" s="6">
        <v>1010.8414788348126</v>
      </c>
    </row>
    <row r="3262" spans="1:17" x14ac:dyDescent="0.25">
      <c r="A3262" s="1">
        <v>0.26388888888888901</v>
      </c>
      <c r="B3262" s="2">
        <v>6.24</v>
      </c>
      <c r="C3262" s="2">
        <v>3.64</v>
      </c>
      <c r="D3262" s="2">
        <v>5.08</v>
      </c>
      <c r="E3262" s="2">
        <v>5.26</v>
      </c>
      <c r="F3262" s="2">
        <v>3.25</v>
      </c>
      <c r="G3262" s="6">
        <v>642.2204968600571</v>
      </c>
      <c r="H3262" s="6">
        <v>634.22112219136113</v>
      </c>
      <c r="I3262" s="6">
        <v>908.19694755758803</v>
      </c>
      <c r="J3262" s="6">
        <v>961.0521033169756</v>
      </c>
      <c r="K3262" s="6">
        <v>823.54441306649471</v>
      </c>
    </row>
    <row r="3263" spans="1:17" x14ac:dyDescent="0.25">
      <c r="A3263" s="1">
        <v>0.264583333333333</v>
      </c>
      <c r="B3263" s="2">
        <v>6.12</v>
      </c>
      <c r="C3263" s="2">
        <v>3.71</v>
      </c>
      <c r="D3263" s="2">
        <v>5.34</v>
      </c>
      <c r="E3263" s="2">
        <v>5.64</v>
      </c>
      <c r="F3263" s="2">
        <v>3.0700000000000003</v>
      </c>
      <c r="G3263" s="6">
        <v>840.8544933194778</v>
      </c>
      <c r="H3263" s="6">
        <v>852.03360043645307</v>
      </c>
      <c r="I3263" s="6">
        <v>805.35567970752243</v>
      </c>
      <c r="J3263" s="6">
        <v>1204.4251259375033</v>
      </c>
      <c r="K3263" s="6">
        <v>935.1520842794032</v>
      </c>
    </row>
    <row r="3264" spans="1:17" x14ac:dyDescent="0.25">
      <c r="A3264" s="1">
        <v>0.265277777777778</v>
      </c>
      <c r="B3264" s="2">
        <v>6.22</v>
      </c>
      <c r="C3264" s="2">
        <v>3.73</v>
      </c>
      <c r="D3264" s="2">
        <v>5.27</v>
      </c>
      <c r="E3264" s="2">
        <v>5.27</v>
      </c>
      <c r="F3264" s="2">
        <v>3.1100000000000003</v>
      </c>
      <c r="G3264" s="6">
        <v>1060.4072209289009</v>
      </c>
      <c r="H3264" s="6">
        <v>1007.6534305054312</v>
      </c>
      <c r="I3264" s="6">
        <v>954.04542017609151</v>
      </c>
      <c r="J3264" s="6">
        <v>1013.2628414429608</v>
      </c>
      <c r="K3264" s="6">
        <v>1112.6627751069516</v>
      </c>
    </row>
    <row r="3265" spans="1:11" x14ac:dyDescent="0.25">
      <c r="A3265" s="1">
        <v>0.265972222222222</v>
      </c>
      <c r="B3265" s="2">
        <v>6.2700000000000005</v>
      </c>
      <c r="C3265" s="2">
        <v>3.84</v>
      </c>
      <c r="D3265" s="2">
        <v>5.33</v>
      </c>
      <c r="E3265" s="2">
        <v>5.39</v>
      </c>
      <c r="F3265" s="2">
        <v>3.2</v>
      </c>
      <c r="G3265" s="6">
        <v>1153.7422172244399</v>
      </c>
      <c r="H3265" s="6">
        <v>1288.6978230768332</v>
      </c>
      <c r="I3265" s="6">
        <v>842.4417353034753</v>
      </c>
      <c r="J3265" s="6">
        <v>840.71695730344447</v>
      </c>
      <c r="K3265" s="6">
        <v>955.37178939757837</v>
      </c>
    </row>
    <row r="3266" spans="1:11" x14ac:dyDescent="0.25">
      <c r="A3266" s="1">
        <v>0.266666666666667</v>
      </c>
      <c r="B3266" s="2">
        <v>6.26</v>
      </c>
      <c r="C3266" s="2">
        <v>3.63</v>
      </c>
      <c r="D3266" s="2">
        <v>5.1899999999999995</v>
      </c>
      <c r="E3266" s="2">
        <v>5.47</v>
      </c>
      <c r="F3266" s="2">
        <v>3.21</v>
      </c>
      <c r="G3266" s="6">
        <v>1167.5516498164959</v>
      </c>
      <c r="H3266" s="6">
        <v>1032.2426385987396</v>
      </c>
      <c r="I3266" s="6">
        <v>544.45430153558914</v>
      </c>
      <c r="J3266" s="6">
        <v>952.64023497760979</v>
      </c>
      <c r="K3266" s="6">
        <v>1210.9221332867212</v>
      </c>
    </row>
    <row r="3267" spans="1:11" x14ac:dyDescent="0.25">
      <c r="A3267" s="1">
        <v>0.26736111111111099</v>
      </c>
      <c r="B3267" s="2">
        <v>6.34</v>
      </c>
      <c r="C3267" s="2">
        <v>3.66</v>
      </c>
      <c r="D3267" s="2">
        <v>5.17</v>
      </c>
      <c r="E3267" s="2">
        <v>5.55</v>
      </c>
      <c r="F3267" s="2">
        <v>3.3600000000000003</v>
      </c>
      <c r="G3267" s="6">
        <v>794.16181855596585</v>
      </c>
      <c r="H3267" s="6">
        <v>648.29196920071661</v>
      </c>
      <c r="I3267" s="6">
        <v>878.57985513080359</v>
      </c>
      <c r="J3267" s="6">
        <v>1168.3370251024842</v>
      </c>
      <c r="K3267" s="6">
        <v>1448.7372069515282</v>
      </c>
    </row>
    <row r="3268" spans="1:11" x14ac:dyDescent="0.25">
      <c r="A3268" s="1">
        <v>0.26805555555555599</v>
      </c>
      <c r="B3268" s="2">
        <v>6.15</v>
      </c>
      <c r="C3268" s="2">
        <v>3.62</v>
      </c>
      <c r="D3268" s="2">
        <v>4.8899999999999997</v>
      </c>
      <c r="E3268" s="2">
        <v>5.47</v>
      </c>
      <c r="F3268" s="2">
        <v>2.97</v>
      </c>
      <c r="G3268" s="6">
        <v>1020.2534718454172</v>
      </c>
      <c r="H3268" s="6">
        <v>986.44386788378745</v>
      </c>
      <c r="I3268" s="6">
        <v>985.15539247577181</v>
      </c>
      <c r="J3268" s="6">
        <v>1141.669048826426</v>
      </c>
      <c r="K3268" s="6">
        <v>772.61799478997625</v>
      </c>
    </row>
    <row r="3269" spans="1:11" x14ac:dyDescent="0.25">
      <c r="A3269" s="1">
        <v>0.26874999999999999</v>
      </c>
      <c r="B3269" s="2">
        <v>6.28</v>
      </c>
      <c r="C3269" s="2">
        <v>3.81</v>
      </c>
      <c r="D3269" s="2">
        <v>5.1499999999999995</v>
      </c>
      <c r="E3269" s="2">
        <v>5.2299999999999995</v>
      </c>
      <c r="F3269" s="2">
        <v>3.1100000000000003</v>
      </c>
      <c r="G3269" s="6">
        <v>622.45804332133139</v>
      </c>
      <c r="H3269" s="6">
        <v>796.36886983416696</v>
      </c>
      <c r="I3269" s="6">
        <v>649.17834252112038</v>
      </c>
      <c r="J3269" s="6">
        <v>1147.7598567346283</v>
      </c>
      <c r="K3269" s="6">
        <v>967.51248132706178</v>
      </c>
    </row>
    <row r="3270" spans="1:11" x14ac:dyDescent="0.25">
      <c r="A3270" s="1">
        <v>0.26944444444444399</v>
      </c>
      <c r="B3270" s="2">
        <v>6.3</v>
      </c>
      <c r="C3270" s="2">
        <v>3.71</v>
      </c>
      <c r="D3270" s="2">
        <v>5.1999999999999993</v>
      </c>
      <c r="E3270" s="2">
        <v>5.47</v>
      </c>
      <c r="F3270" s="2">
        <v>2.97</v>
      </c>
      <c r="G3270" s="6">
        <v>752.96168854291921</v>
      </c>
      <c r="H3270" s="6">
        <v>969.16852312189906</v>
      </c>
      <c r="I3270" s="6">
        <v>949.28640821692204</v>
      </c>
      <c r="J3270" s="6">
        <v>1044.6131849838459</v>
      </c>
      <c r="K3270" s="6">
        <v>1140.33443542686</v>
      </c>
    </row>
    <row r="3271" spans="1:11" x14ac:dyDescent="0.25">
      <c r="A3271" s="1">
        <v>0.27013888888888898</v>
      </c>
      <c r="B3271" s="2">
        <v>6.34</v>
      </c>
      <c r="C3271" s="2">
        <v>3.9</v>
      </c>
      <c r="D3271" s="2">
        <v>5.3199999999999994</v>
      </c>
      <c r="E3271" s="2">
        <v>5.1099999999999994</v>
      </c>
      <c r="F3271" s="2">
        <v>3.0300000000000002</v>
      </c>
      <c r="G3271" s="6">
        <v>792.09143893799353</v>
      </c>
      <c r="H3271" s="6">
        <v>648.06136687050912</v>
      </c>
      <c r="I3271" s="6">
        <v>865.34623428206237</v>
      </c>
      <c r="J3271" s="6">
        <v>865.03029254582736</v>
      </c>
      <c r="K3271" s="6">
        <v>1206.5058057999106</v>
      </c>
    </row>
    <row r="3272" spans="1:11" x14ac:dyDescent="0.25">
      <c r="A3272" s="1">
        <v>0.27083333333333298</v>
      </c>
      <c r="B3272" s="2">
        <v>6.16</v>
      </c>
      <c r="C3272" s="2">
        <v>3.79</v>
      </c>
      <c r="D3272" s="2">
        <v>5.05</v>
      </c>
      <c r="E3272" s="2">
        <v>5.6</v>
      </c>
      <c r="F3272" s="2">
        <v>2.99</v>
      </c>
      <c r="G3272" s="6">
        <v>838.7037999253015</v>
      </c>
      <c r="H3272" s="6">
        <v>1027.3909544254429</v>
      </c>
      <c r="I3272" s="6">
        <v>1104.8046589039243</v>
      </c>
      <c r="J3272" s="6">
        <v>974.15855687431633</v>
      </c>
      <c r="K3272" s="6">
        <v>1384.7190541446271</v>
      </c>
    </row>
    <row r="3273" spans="1:11" x14ac:dyDescent="0.25">
      <c r="A3273" s="1">
        <v>0.27152777777777798</v>
      </c>
      <c r="B3273" s="2">
        <v>6.38</v>
      </c>
      <c r="C3273" s="2">
        <v>3.91</v>
      </c>
      <c r="D3273" s="2">
        <v>5.0599999999999996</v>
      </c>
      <c r="E3273" s="2">
        <v>5.1499999999999995</v>
      </c>
      <c r="F3273" s="2">
        <v>2.98</v>
      </c>
      <c r="G3273" s="6">
        <v>576.72437136867495</v>
      </c>
      <c r="H3273" s="6">
        <v>959.63810132479216</v>
      </c>
      <c r="I3273" s="6">
        <v>777.82792599967752</v>
      </c>
      <c r="J3273" s="6">
        <v>957.86774528471983</v>
      </c>
      <c r="K3273" s="6">
        <v>1238.5694058156528</v>
      </c>
    </row>
    <row r="3274" spans="1:11" x14ac:dyDescent="0.25">
      <c r="A3274" s="1">
        <v>0.27222222222222198</v>
      </c>
      <c r="B3274" s="2">
        <v>6.22</v>
      </c>
      <c r="C3274" s="2">
        <v>3.8200000000000003</v>
      </c>
      <c r="D3274" s="2">
        <v>4.9899999999999993</v>
      </c>
      <c r="E3274" s="2">
        <v>5.62</v>
      </c>
      <c r="F3274" s="2">
        <v>3.21</v>
      </c>
      <c r="G3274" s="6">
        <v>856.87301959700699</v>
      </c>
      <c r="H3274" s="6">
        <v>793.72359354671619</v>
      </c>
      <c r="I3274" s="6">
        <v>1060.6800924703007</v>
      </c>
      <c r="J3274" s="6">
        <v>941.54167780692171</v>
      </c>
      <c r="K3274" s="6">
        <v>721.35786778696797</v>
      </c>
    </row>
    <row r="3275" spans="1:11" x14ac:dyDescent="0.25">
      <c r="A3275" s="1">
        <v>0.27291666666666697</v>
      </c>
      <c r="B3275" s="2">
        <v>6.14</v>
      </c>
      <c r="C3275" s="2">
        <v>3.68</v>
      </c>
      <c r="D3275" s="2">
        <v>5.04</v>
      </c>
      <c r="E3275" s="2">
        <v>5.1099999999999994</v>
      </c>
      <c r="F3275" s="2">
        <v>2.89</v>
      </c>
      <c r="G3275" s="6">
        <v>868.20131441714034</v>
      </c>
      <c r="H3275" s="6">
        <v>1191.6621080780656</v>
      </c>
      <c r="I3275" s="6">
        <v>999.65033275125188</v>
      </c>
      <c r="J3275" s="6">
        <v>913.11395433933831</v>
      </c>
      <c r="K3275" s="6">
        <v>664.33015076089475</v>
      </c>
    </row>
    <row r="3276" spans="1:11" x14ac:dyDescent="0.25">
      <c r="A3276" s="1">
        <v>0.27361111111111103</v>
      </c>
      <c r="B3276" s="2">
        <v>6.17</v>
      </c>
      <c r="C3276" s="2">
        <v>3.87</v>
      </c>
      <c r="D3276" s="2">
        <v>5.18</v>
      </c>
      <c r="E3276" s="2">
        <v>5.76</v>
      </c>
      <c r="F3276" s="2">
        <v>3.37</v>
      </c>
      <c r="G3276" s="6">
        <v>1146.2078666029809</v>
      </c>
      <c r="H3276" s="6">
        <v>1019.458838627461</v>
      </c>
      <c r="I3276" s="6">
        <v>611.92423240353446</v>
      </c>
      <c r="J3276" s="6">
        <v>1171.4811858434757</v>
      </c>
      <c r="K3276" s="6">
        <v>1255.2476983816396</v>
      </c>
    </row>
    <row r="3277" spans="1:11" x14ac:dyDescent="0.25">
      <c r="A3277" s="1">
        <v>0.27430555555555602</v>
      </c>
      <c r="B3277" s="2">
        <v>6.25</v>
      </c>
      <c r="C3277" s="2">
        <v>3.6</v>
      </c>
      <c r="D3277" s="2">
        <v>5.3699999999999992</v>
      </c>
      <c r="E3277" s="2">
        <v>5.76</v>
      </c>
      <c r="F3277" s="2">
        <v>3.12</v>
      </c>
      <c r="G3277" s="6">
        <v>1021.730596571329</v>
      </c>
      <c r="H3277" s="6">
        <v>1213.0466217401781</v>
      </c>
      <c r="I3277" s="6">
        <v>799.51473742004657</v>
      </c>
      <c r="J3277" s="6">
        <v>1207.9168444934671</v>
      </c>
      <c r="K3277" s="6">
        <v>1411.4142939159699</v>
      </c>
    </row>
    <row r="3278" spans="1:11" x14ac:dyDescent="0.25">
      <c r="A3278" s="1">
        <v>0.27500000000000002</v>
      </c>
      <c r="B3278" s="2">
        <v>6.18</v>
      </c>
      <c r="C3278" s="2">
        <v>3.7800000000000002</v>
      </c>
      <c r="D3278" s="2">
        <v>5.13</v>
      </c>
      <c r="E3278" s="2">
        <v>5.47</v>
      </c>
      <c r="F3278" s="2">
        <v>3.2800000000000002</v>
      </c>
      <c r="G3278" s="6">
        <v>1143.1351100169825</v>
      </c>
      <c r="H3278" s="6">
        <v>1238.9317833088382</v>
      </c>
      <c r="I3278" s="6">
        <v>689.6356963996792</v>
      </c>
      <c r="J3278" s="6">
        <v>710.87740703978045</v>
      </c>
      <c r="K3278" s="6">
        <v>1061.0993675505074</v>
      </c>
    </row>
    <row r="3279" spans="1:11" x14ac:dyDescent="0.25">
      <c r="A3279" s="1">
        <v>0.27569444444444402</v>
      </c>
      <c r="B3279" s="2">
        <v>6.28</v>
      </c>
      <c r="C3279" s="2">
        <v>3.91</v>
      </c>
      <c r="D3279" s="2">
        <v>5.05</v>
      </c>
      <c r="E3279" s="2">
        <v>5.43</v>
      </c>
      <c r="F3279" s="2">
        <v>2.96</v>
      </c>
      <c r="G3279" s="6">
        <v>734.93758681958082</v>
      </c>
      <c r="H3279" s="6">
        <v>733.76563471468057</v>
      </c>
      <c r="I3279" s="6">
        <v>837.43589501705264</v>
      </c>
      <c r="J3279" s="6">
        <v>819.42210081152245</v>
      </c>
      <c r="K3279" s="6">
        <v>1249.4228696743094</v>
      </c>
    </row>
    <row r="3280" spans="1:11" x14ac:dyDescent="0.25">
      <c r="A3280" s="1">
        <v>0.27638888888888902</v>
      </c>
      <c r="B3280" s="2">
        <v>6.34</v>
      </c>
      <c r="C3280" s="2">
        <v>3.61</v>
      </c>
      <c r="D3280" s="2">
        <v>4.9799999999999995</v>
      </c>
      <c r="E3280" s="2">
        <v>5.28</v>
      </c>
      <c r="F3280" s="2">
        <v>3.0500000000000003</v>
      </c>
      <c r="G3280" s="6">
        <v>777.58122541898706</v>
      </c>
      <c r="H3280" s="6">
        <v>1026.2129337815988</v>
      </c>
      <c r="I3280" s="6">
        <v>925.15693285785756</v>
      </c>
      <c r="J3280" s="6">
        <v>1081.1489103807139</v>
      </c>
      <c r="K3280" s="6">
        <v>1434.9470645555011</v>
      </c>
    </row>
    <row r="3281" spans="1:11" x14ac:dyDescent="0.25">
      <c r="A3281" s="1">
        <v>0.27708333333333302</v>
      </c>
      <c r="B3281" s="2">
        <v>6.24</v>
      </c>
      <c r="C3281" s="2">
        <v>3.7600000000000002</v>
      </c>
      <c r="D3281" s="2">
        <v>5.1099999999999994</v>
      </c>
      <c r="E3281" s="2">
        <v>5.16</v>
      </c>
      <c r="F3281" s="2">
        <v>2.93</v>
      </c>
      <c r="G3281" s="6">
        <v>1143.1519439934334</v>
      </c>
      <c r="H3281" s="6">
        <v>620.0113220436449</v>
      </c>
      <c r="I3281" s="6">
        <v>575.62801383673548</v>
      </c>
      <c r="J3281" s="6">
        <v>994.68336435412948</v>
      </c>
      <c r="K3281" s="6">
        <v>1003.5944088808664</v>
      </c>
    </row>
    <row r="3282" spans="1:11" x14ac:dyDescent="0.25">
      <c r="A3282" s="1">
        <v>0.27777777777777801</v>
      </c>
      <c r="B3282" s="2">
        <v>6.15</v>
      </c>
      <c r="C3282" s="2">
        <v>3.62</v>
      </c>
      <c r="D3282" s="2">
        <v>5.0599999999999996</v>
      </c>
      <c r="E3282" s="2">
        <v>5.31</v>
      </c>
      <c r="F3282" s="2">
        <v>3.1500000000000004</v>
      </c>
      <c r="G3282" s="6">
        <v>1049.8943015517686</v>
      </c>
      <c r="H3282" s="6">
        <v>686.56691792698405</v>
      </c>
      <c r="I3282" s="6">
        <v>552.55375824368025</v>
      </c>
      <c r="J3282" s="6">
        <v>1158.409387006124</v>
      </c>
      <c r="K3282" s="6">
        <v>1301.3519198567801</v>
      </c>
    </row>
    <row r="3283" spans="1:11" x14ac:dyDescent="0.25">
      <c r="A3283" s="1">
        <v>0.27847222222222201</v>
      </c>
      <c r="B3283" s="2">
        <v>6.16</v>
      </c>
      <c r="C3283" s="2">
        <v>3.83</v>
      </c>
      <c r="D3283" s="2">
        <v>4.9399999999999995</v>
      </c>
      <c r="E3283" s="2">
        <v>5.1099999999999994</v>
      </c>
      <c r="F3283" s="2">
        <v>2.91</v>
      </c>
      <c r="G3283" s="6">
        <v>1068.9725613837938</v>
      </c>
      <c r="H3283" s="6">
        <v>1018.7419721362215</v>
      </c>
      <c r="I3283" s="6">
        <v>803.40362232761254</v>
      </c>
      <c r="J3283" s="6">
        <v>828.59248765420557</v>
      </c>
      <c r="K3283" s="6">
        <v>1305.6002625550516</v>
      </c>
    </row>
    <row r="3284" spans="1:11" x14ac:dyDescent="0.25">
      <c r="A3284" s="1">
        <v>0.27916666666666701</v>
      </c>
      <c r="B3284" s="2">
        <v>6.3500000000000005</v>
      </c>
      <c r="C3284" s="2">
        <v>3.69</v>
      </c>
      <c r="D3284" s="2">
        <v>4.9099999999999993</v>
      </c>
      <c r="E3284" s="2">
        <v>5.46</v>
      </c>
      <c r="F3284" s="2">
        <v>3.04</v>
      </c>
      <c r="G3284" s="6">
        <v>1176.3822178830505</v>
      </c>
      <c r="H3284" s="6">
        <v>910.04332733289448</v>
      </c>
      <c r="I3284" s="6">
        <v>784.36517690493054</v>
      </c>
      <c r="J3284" s="6">
        <v>678.36760988727974</v>
      </c>
      <c r="K3284" s="6">
        <v>851.92994666375864</v>
      </c>
    </row>
    <row r="3285" spans="1:11" x14ac:dyDescent="0.25">
      <c r="A3285" s="1">
        <v>0.27986111111111101</v>
      </c>
      <c r="B3285" s="2">
        <v>6.25</v>
      </c>
      <c r="C3285" s="2">
        <v>3.85</v>
      </c>
      <c r="D3285" s="2">
        <v>5.0999999999999996</v>
      </c>
      <c r="E3285" s="2">
        <v>5.17</v>
      </c>
      <c r="F3285" s="2">
        <v>3.02</v>
      </c>
      <c r="G3285" s="6">
        <v>701.2865972167757</v>
      </c>
      <c r="H3285" s="6">
        <v>1330.540826861645</v>
      </c>
      <c r="I3285" s="6">
        <v>745.77963532012996</v>
      </c>
      <c r="J3285" s="6">
        <v>1044.4354425457566</v>
      </c>
      <c r="K3285" s="6">
        <v>1061.7362239501999</v>
      </c>
    </row>
    <row r="3286" spans="1:11" x14ac:dyDescent="0.25">
      <c r="A3286" s="1">
        <v>0.280555555555556</v>
      </c>
      <c r="B3286" s="2">
        <v>6.33</v>
      </c>
      <c r="C3286" s="2">
        <v>3.7800000000000002</v>
      </c>
      <c r="D3286" s="2">
        <v>5.35</v>
      </c>
      <c r="E3286" s="2">
        <v>5.2</v>
      </c>
      <c r="F3286" s="2">
        <v>2.89</v>
      </c>
      <c r="G3286" s="6">
        <v>1129.298690707436</v>
      </c>
      <c r="H3286" s="6">
        <v>1227.367049786179</v>
      </c>
      <c r="I3286" s="6">
        <v>956.92097036291443</v>
      </c>
      <c r="J3286" s="6">
        <v>1140.894615092471</v>
      </c>
      <c r="K3286" s="6">
        <v>1327.0317624690194</v>
      </c>
    </row>
    <row r="3287" spans="1:11" x14ac:dyDescent="0.25">
      <c r="A3287" s="1">
        <v>0.28125</v>
      </c>
      <c r="B3287" s="2">
        <v>6.38</v>
      </c>
      <c r="C3287" s="2">
        <v>3.7800000000000002</v>
      </c>
      <c r="D3287" s="2">
        <v>4.8899999999999997</v>
      </c>
      <c r="E3287" s="2">
        <v>5.18</v>
      </c>
      <c r="F3287" s="2">
        <v>3.23</v>
      </c>
      <c r="G3287" s="6">
        <v>1159.1937382833169</v>
      </c>
      <c r="H3287" s="6">
        <v>4898.0425748092393</v>
      </c>
      <c r="I3287" s="6">
        <v>4651.1293094987877</v>
      </c>
      <c r="J3287" s="6">
        <v>3179.2424977417918</v>
      </c>
      <c r="K3287" s="6">
        <v>3816.7819022199692</v>
      </c>
    </row>
    <row r="3288" spans="1:11" x14ac:dyDescent="0.25">
      <c r="A3288" s="1">
        <v>0.281944444444444</v>
      </c>
      <c r="B3288" s="2">
        <v>6.37</v>
      </c>
      <c r="C3288" s="2">
        <v>3.9</v>
      </c>
      <c r="D3288" s="2">
        <v>5.26</v>
      </c>
      <c r="E3288" s="2">
        <v>5.56</v>
      </c>
      <c r="F3288" s="2">
        <v>2.99</v>
      </c>
      <c r="G3288" s="6">
        <v>4265.8416561434651</v>
      </c>
      <c r="H3288" s="6">
        <v>2365.2664793150711</v>
      </c>
      <c r="I3288" s="6">
        <v>4454.0688820908272</v>
      </c>
      <c r="J3288" s="6">
        <v>2778.5668902487414</v>
      </c>
      <c r="K3288" s="6">
        <v>4137.8856031508749</v>
      </c>
    </row>
    <row r="3289" spans="1:11" x14ac:dyDescent="0.25">
      <c r="A3289" s="1">
        <v>0.28263888888888899</v>
      </c>
      <c r="B3289" s="2">
        <v>6.32</v>
      </c>
      <c r="C3289" s="2">
        <v>3.68</v>
      </c>
      <c r="D3289" s="2">
        <v>5.14</v>
      </c>
      <c r="E3289" s="2">
        <v>5.45</v>
      </c>
      <c r="F3289" s="2">
        <v>3.22</v>
      </c>
      <c r="G3289" s="6">
        <v>3753.1270259758835</v>
      </c>
      <c r="H3289" s="6">
        <v>1586.3536716778301</v>
      </c>
      <c r="I3289" s="6">
        <v>3980.5093182046903</v>
      </c>
      <c r="J3289" s="6">
        <v>2619.8303330608501</v>
      </c>
      <c r="K3289" s="6">
        <v>3777.0911147009529</v>
      </c>
    </row>
    <row r="3290" spans="1:11" x14ac:dyDescent="0.25">
      <c r="A3290" s="1">
        <v>0.28333333333333299</v>
      </c>
      <c r="B3290" s="2">
        <v>6.3100000000000005</v>
      </c>
      <c r="C3290" s="2">
        <v>3.63</v>
      </c>
      <c r="D3290" s="2">
        <v>5.14</v>
      </c>
      <c r="E3290" s="2">
        <v>5.53</v>
      </c>
      <c r="F3290" s="2">
        <v>3.3200000000000003</v>
      </c>
      <c r="G3290" s="6">
        <v>2807.4136263086134</v>
      </c>
      <c r="H3290" s="6">
        <v>3592.1418034122153</v>
      </c>
      <c r="I3290" s="6">
        <v>1487.5172688923187</v>
      </c>
      <c r="J3290" s="6">
        <v>3100.6896370562799</v>
      </c>
      <c r="K3290" s="6">
        <v>2718.6090060285901</v>
      </c>
    </row>
    <row r="3291" spans="1:11" x14ac:dyDescent="0.25">
      <c r="A3291" s="1">
        <v>0.28402777777777799</v>
      </c>
      <c r="B3291" s="2">
        <v>6.22</v>
      </c>
      <c r="C3291" s="2">
        <v>3.72</v>
      </c>
      <c r="D3291" s="2">
        <v>5.3699999999999992</v>
      </c>
      <c r="E3291" s="2">
        <v>5.67</v>
      </c>
      <c r="F3291" s="2">
        <v>3.27</v>
      </c>
      <c r="G3291" s="6">
        <v>4250.8194040026838</v>
      </c>
      <c r="H3291" s="6">
        <v>3064.4015392205579</v>
      </c>
      <c r="I3291" s="6">
        <v>1126.8145884826433</v>
      </c>
      <c r="J3291" s="6">
        <v>3855.0914477846914</v>
      </c>
      <c r="K3291" s="6">
        <v>3193.0515142968879</v>
      </c>
    </row>
    <row r="3292" spans="1:11" x14ac:dyDescent="0.25">
      <c r="A3292" s="1">
        <v>0.28472222222222199</v>
      </c>
      <c r="B3292" s="2">
        <v>6.24</v>
      </c>
      <c r="C3292" s="2">
        <v>3.75</v>
      </c>
      <c r="D3292" s="2">
        <v>5.3699999999999992</v>
      </c>
      <c r="E3292" s="2">
        <v>5.22</v>
      </c>
      <c r="F3292" s="2">
        <v>3.2800000000000002</v>
      </c>
      <c r="G3292" s="6">
        <v>1386.7589995337789</v>
      </c>
      <c r="H3292" s="6">
        <v>3397.2549095985123</v>
      </c>
      <c r="I3292" s="6">
        <v>2684.0360958443484</v>
      </c>
      <c r="J3292" s="6">
        <v>3353.4093378192192</v>
      </c>
      <c r="K3292" s="6">
        <v>1980.437616241614</v>
      </c>
    </row>
    <row r="3293" spans="1:11" x14ac:dyDescent="0.25">
      <c r="A3293" s="1">
        <v>0.28541666666666698</v>
      </c>
      <c r="B3293" s="2">
        <v>6.16</v>
      </c>
      <c r="C3293" s="2">
        <v>3.62</v>
      </c>
      <c r="D3293" s="2">
        <v>5.33</v>
      </c>
      <c r="E3293" s="2">
        <v>5.27</v>
      </c>
      <c r="F3293" s="2">
        <v>3.39</v>
      </c>
      <c r="G3293" s="6">
        <v>4114.0613112559631</v>
      </c>
      <c r="H3293" s="6">
        <v>3439.9086507910388</v>
      </c>
      <c r="I3293" s="6">
        <v>1987.8538398225344</v>
      </c>
      <c r="J3293" s="6">
        <v>4129.1947828599632</v>
      </c>
      <c r="K3293" s="6">
        <v>3393.9859862664966</v>
      </c>
    </row>
    <row r="3294" spans="1:11" x14ac:dyDescent="0.25">
      <c r="A3294" s="1">
        <v>0.28611111111111098</v>
      </c>
      <c r="B3294" s="2">
        <v>6.37</v>
      </c>
      <c r="C3294" s="2">
        <v>3.75</v>
      </c>
      <c r="D3294" s="2">
        <v>5.1899999999999995</v>
      </c>
      <c r="E3294" s="2">
        <v>5.75</v>
      </c>
      <c r="F3294" s="2">
        <v>3.0100000000000002</v>
      </c>
      <c r="G3294" s="6">
        <v>3457.2980052304893</v>
      </c>
      <c r="H3294" s="6">
        <v>3565.9578762798001</v>
      </c>
      <c r="I3294" s="6">
        <v>3192.0829595565438</v>
      </c>
      <c r="J3294" s="6">
        <v>4891.4650922432593</v>
      </c>
      <c r="K3294" s="6">
        <v>5531.8613415427844</v>
      </c>
    </row>
    <row r="3295" spans="1:11" x14ac:dyDescent="0.25">
      <c r="A3295" s="1">
        <v>0.28680555555555598</v>
      </c>
      <c r="B3295" s="2">
        <v>6.32</v>
      </c>
      <c r="C3295" s="2">
        <v>3.87</v>
      </c>
      <c r="D3295" s="2">
        <v>5.04</v>
      </c>
      <c r="E3295" s="2">
        <v>5.43</v>
      </c>
      <c r="F3295" s="2">
        <v>3.2</v>
      </c>
      <c r="G3295" s="6">
        <v>3139.8166740737825</v>
      </c>
      <c r="H3295" s="6">
        <v>2172.6605583600322</v>
      </c>
      <c r="I3295" s="6">
        <v>884.21292069104868</v>
      </c>
      <c r="J3295" s="6">
        <v>5325.0608219210844</v>
      </c>
      <c r="K3295" s="6">
        <v>917.93728972979522</v>
      </c>
    </row>
    <row r="3296" spans="1:11" x14ac:dyDescent="0.25">
      <c r="A3296" s="1">
        <v>0.28749999999999998</v>
      </c>
      <c r="B3296" s="2">
        <v>6.3</v>
      </c>
      <c r="C3296" s="2">
        <v>3.74</v>
      </c>
      <c r="D3296" s="2">
        <v>5</v>
      </c>
      <c r="E3296" s="2">
        <v>5.56</v>
      </c>
      <c r="F3296" s="2">
        <v>2.89</v>
      </c>
      <c r="G3296" s="6">
        <v>3367.5741486456495</v>
      </c>
      <c r="H3296" s="6">
        <v>5500.4782360531735</v>
      </c>
      <c r="I3296" s="6">
        <v>3568.4141523402982</v>
      </c>
      <c r="J3296" s="6">
        <v>4069.7978854738108</v>
      </c>
      <c r="K3296" s="6">
        <v>1625.9529108461281</v>
      </c>
    </row>
    <row r="3297" spans="1:24" x14ac:dyDescent="0.25">
      <c r="A3297" s="1">
        <v>0.28819444444444398</v>
      </c>
      <c r="B3297" s="2">
        <v>6.38</v>
      </c>
      <c r="C3297" s="2">
        <v>3.66</v>
      </c>
      <c r="D3297" s="2">
        <v>4.9899999999999993</v>
      </c>
      <c r="E3297" s="2">
        <v>5.55</v>
      </c>
      <c r="F3297" s="2">
        <v>3.3000000000000003</v>
      </c>
      <c r="G3297" s="6">
        <v>3343.9413113239111</v>
      </c>
      <c r="H3297" s="6">
        <v>4919.8358870816492</v>
      </c>
      <c r="I3297" s="6">
        <v>4504.9404910141438</v>
      </c>
      <c r="J3297" s="6">
        <v>2490.2125042369817</v>
      </c>
      <c r="K3297" s="6">
        <v>2465.0140431696195</v>
      </c>
    </row>
    <row r="3298" spans="1:24" x14ac:dyDescent="0.25">
      <c r="A3298" s="1">
        <v>0.28888888888888897</v>
      </c>
      <c r="B3298" s="2">
        <v>6.23</v>
      </c>
      <c r="C3298" s="2">
        <v>3.69</v>
      </c>
      <c r="D3298" s="2">
        <v>5</v>
      </c>
      <c r="E3298" s="2">
        <v>5.22</v>
      </c>
      <c r="F3298" s="2">
        <v>2.95</v>
      </c>
      <c r="G3298" s="6">
        <v>1160.2118612608519</v>
      </c>
      <c r="H3298" s="6">
        <v>828.89527911098696</v>
      </c>
      <c r="I3298" s="6">
        <v>4001.1604312289828</v>
      </c>
      <c r="J3298" s="6">
        <v>4713.5543420953345</v>
      </c>
      <c r="K3298" s="6">
        <v>5702.655663159394</v>
      </c>
    </row>
    <row r="3299" spans="1:24" x14ac:dyDescent="0.25">
      <c r="A3299" s="1">
        <v>0.28958333333333303</v>
      </c>
      <c r="B3299" s="2">
        <v>6.29</v>
      </c>
      <c r="C3299" s="2">
        <v>3.7</v>
      </c>
      <c r="D3299" s="2">
        <v>5.3</v>
      </c>
      <c r="E3299" s="2">
        <v>5.53</v>
      </c>
      <c r="F3299" s="2">
        <v>2.9</v>
      </c>
      <c r="G3299" s="6">
        <v>817.25000621422294</v>
      </c>
      <c r="H3299" s="6">
        <v>1632.0125019612556</v>
      </c>
      <c r="I3299" s="6">
        <v>1685.8618027446798</v>
      </c>
      <c r="J3299" s="6">
        <v>2780.8612049586727</v>
      </c>
      <c r="K3299" s="6">
        <v>4637.4821564775148</v>
      </c>
    </row>
    <row r="3300" spans="1:24" x14ac:dyDescent="0.25">
      <c r="A3300" s="1">
        <v>0.29027777777777802</v>
      </c>
      <c r="B3300" s="2">
        <v>6.14</v>
      </c>
      <c r="C3300" s="2">
        <v>3.85</v>
      </c>
      <c r="D3300" s="2">
        <v>5.3599999999999994</v>
      </c>
      <c r="E3300" s="2">
        <v>5.1099999999999994</v>
      </c>
      <c r="F3300" s="2">
        <v>3.3000000000000003</v>
      </c>
      <c r="G3300" s="6">
        <v>5292.3815590899376</v>
      </c>
      <c r="H3300" s="6">
        <v>1047.3988123168108</v>
      </c>
      <c r="I3300" s="6">
        <v>1646.0995959735023</v>
      </c>
      <c r="J3300" s="6">
        <v>2568.4525246403296</v>
      </c>
      <c r="K3300" s="6">
        <v>3986.8333235550413</v>
      </c>
    </row>
    <row r="3301" spans="1:24" x14ac:dyDescent="0.25">
      <c r="A3301" s="1">
        <v>0.29097222222222202</v>
      </c>
      <c r="B3301" s="2">
        <v>6.29</v>
      </c>
      <c r="C3301" s="2">
        <v>3.73</v>
      </c>
      <c r="D3301" s="2">
        <v>5.31</v>
      </c>
      <c r="E3301" s="2">
        <v>5.5</v>
      </c>
      <c r="F3301" s="2">
        <v>3.18</v>
      </c>
      <c r="G3301" s="6">
        <v>4387.6676177248783</v>
      </c>
      <c r="H3301" s="6">
        <v>4114.423617023388</v>
      </c>
      <c r="I3301" s="6">
        <v>4557.8218958598118</v>
      </c>
      <c r="J3301" s="6">
        <v>5650.0236394190069</v>
      </c>
      <c r="K3301" s="6">
        <v>6448.1154018806019</v>
      </c>
      <c r="T3301" s="2"/>
      <c r="U3301" s="2"/>
      <c r="V3301" s="2"/>
      <c r="W3301" s="2"/>
      <c r="X3301" s="2"/>
    </row>
    <row r="3302" spans="1:24" x14ac:dyDescent="0.25">
      <c r="A3302" s="3">
        <v>0.29166666666666702</v>
      </c>
      <c r="B3302" s="2">
        <v>6.24</v>
      </c>
      <c r="C3302" s="2">
        <v>3.8</v>
      </c>
      <c r="D3302" s="2">
        <v>5.12</v>
      </c>
      <c r="E3302" s="2">
        <v>5.38</v>
      </c>
      <c r="F3302" s="2">
        <v>3.19</v>
      </c>
      <c r="G3302" s="6">
        <v>5034</v>
      </c>
      <c r="H3302" s="6">
        <v>5522</v>
      </c>
      <c r="I3302" s="6">
        <v>6612</v>
      </c>
      <c r="J3302" s="6">
        <v>6423</v>
      </c>
      <c r="K3302" s="6">
        <v>7321</v>
      </c>
    </row>
    <row r="3303" spans="1:24" x14ac:dyDescent="0.25">
      <c r="A3303" s="1">
        <v>0.29236111111111102</v>
      </c>
      <c r="B3303" s="2">
        <v>6.2700000000000005</v>
      </c>
      <c r="C3303" s="2">
        <v>3.83</v>
      </c>
      <c r="D3303" s="2">
        <v>5.3</v>
      </c>
      <c r="E3303" s="2">
        <v>5.18</v>
      </c>
      <c r="F3303" s="2">
        <v>2.8899999999999997</v>
      </c>
      <c r="G3303" s="6">
        <v>5903.9403782349218</v>
      </c>
      <c r="H3303" s="6">
        <v>4726.9795396819227</v>
      </c>
      <c r="I3303" s="6">
        <v>6382.2346813903278</v>
      </c>
      <c r="J3303" s="6">
        <v>4197.4112924103611</v>
      </c>
      <c r="K3303" s="6">
        <v>7058.6103387327812</v>
      </c>
    </row>
    <row r="3304" spans="1:24" x14ac:dyDescent="0.25">
      <c r="A3304" s="1">
        <v>0.29305555555555601</v>
      </c>
      <c r="B3304" s="2">
        <v>6.3100000000000005</v>
      </c>
      <c r="C3304" s="2">
        <v>3.8200000000000003</v>
      </c>
      <c r="D3304" s="2">
        <v>5.27</v>
      </c>
      <c r="E3304" s="2">
        <v>5.3999999999999995</v>
      </c>
      <c r="F3304" s="2">
        <v>3.27</v>
      </c>
      <c r="G3304" s="6">
        <v>3608.9882669677668</v>
      </c>
      <c r="H3304" s="6">
        <v>7292.7862723127055</v>
      </c>
      <c r="I3304" s="6">
        <v>7948.4660042007472</v>
      </c>
      <c r="J3304" s="6">
        <v>5813.3024208546094</v>
      </c>
      <c r="K3304" s="6">
        <v>5666.0769283346508</v>
      </c>
    </row>
    <row r="3305" spans="1:24" x14ac:dyDescent="0.25">
      <c r="A3305" s="1">
        <v>0.29375000000000001</v>
      </c>
      <c r="B3305" s="2">
        <v>6.29</v>
      </c>
      <c r="C3305" s="2">
        <v>3.85</v>
      </c>
      <c r="D3305" s="2">
        <v>5.22</v>
      </c>
      <c r="E3305" s="2">
        <v>5.17</v>
      </c>
      <c r="F3305" s="2">
        <v>3.02</v>
      </c>
      <c r="G3305" s="6">
        <v>5241.8379204630637</v>
      </c>
      <c r="H3305" s="6">
        <v>7800.0530279707946</v>
      </c>
      <c r="I3305" s="6">
        <v>4813.7154407403195</v>
      </c>
      <c r="J3305" s="6">
        <v>3740.04066779402</v>
      </c>
      <c r="K3305" s="6">
        <v>8872.1503001911278</v>
      </c>
    </row>
    <row r="3306" spans="1:24" x14ac:dyDescent="0.25">
      <c r="A3306" s="1">
        <v>0.29444444444444401</v>
      </c>
      <c r="B3306" s="2">
        <v>6.23</v>
      </c>
      <c r="C3306" s="2">
        <v>3.62</v>
      </c>
      <c r="D3306" s="2">
        <v>5.0299999999999994</v>
      </c>
      <c r="E3306" s="2">
        <v>5.1499999999999995</v>
      </c>
      <c r="F3306" s="2">
        <v>2.98</v>
      </c>
      <c r="G3306" s="6">
        <v>8378.6341387008215</v>
      </c>
      <c r="H3306" s="6">
        <v>4986.5177940137601</v>
      </c>
      <c r="I3306" s="6">
        <v>2884.6575171707127</v>
      </c>
      <c r="J3306" s="6">
        <v>4981.8723017357215</v>
      </c>
      <c r="K3306" s="6">
        <v>10139.065063940261</v>
      </c>
    </row>
    <row r="3307" spans="1:24" x14ac:dyDescent="0.25">
      <c r="A3307" s="1">
        <v>0.29513888888888901</v>
      </c>
      <c r="B3307" s="2">
        <v>6.24</v>
      </c>
      <c r="C3307" s="2">
        <v>3.7800000000000002</v>
      </c>
      <c r="D3307" s="2">
        <v>4.9499999999999993</v>
      </c>
      <c r="E3307" s="2">
        <v>5.5</v>
      </c>
      <c r="F3307" s="2">
        <v>3.1</v>
      </c>
      <c r="G3307" s="6">
        <v>7239.7592673944046</v>
      </c>
      <c r="H3307" s="6">
        <v>3909.8900366918961</v>
      </c>
      <c r="I3307" s="6">
        <v>5124.7429514107225</v>
      </c>
      <c r="J3307" s="6">
        <v>7822.0528492309486</v>
      </c>
      <c r="K3307" s="6">
        <v>4626.8972703763493</v>
      </c>
    </row>
    <row r="3308" spans="1:24" x14ac:dyDescent="0.25">
      <c r="A3308" s="1">
        <v>0.295833333333333</v>
      </c>
      <c r="B3308" s="2">
        <v>6.2700000000000005</v>
      </c>
      <c r="C3308" s="2">
        <v>3.65</v>
      </c>
      <c r="D3308" s="2">
        <v>5.0599999999999996</v>
      </c>
      <c r="E3308" s="2">
        <v>5.2399999999999993</v>
      </c>
      <c r="F3308" s="2">
        <v>3.28</v>
      </c>
      <c r="G3308" s="6">
        <v>6071.4944236332167</v>
      </c>
      <c r="H3308" s="6">
        <v>5016.0430555946423</v>
      </c>
      <c r="I3308" s="6">
        <v>6544.8087463511647</v>
      </c>
      <c r="J3308" s="6">
        <v>4040.4140645195762</v>
      </c>
      <c r="K3308" s="6">
        <v>10056.219689282436</v>
      </c>
    </row>
    <row r="3309" spans="1:24" x14ac:dyDescent="0.25">
      <c r="A3309" s="1">
        <v>0.296527777777778</v>
      </c>
      <c r="B3309" s="2">
        <v>6.14</v>
      </c>
      <c r="C3309" s="2">
        <v>3.8000000000000003</v>
      </c>
      <c r="D3309" s="2">
        <v>5.27</v>
      </c>
      <c r="E3309" s="2">
        <v>5.4099999999999993</v>
      </c>
      <c r="F3309" s="2">
        <v>2.92</v>
      </c>
      <c r="G3309" s="6">
        <v>5720.688277645686</v>
      </c>
      <c r="H3309" s="6">
        <v>5238.3452363812903</v>
      </c>
      <c r="I3309" s="6">
        <v>7478.8251737021474</v>
      </c>
      <c r="J3309" s="6">
        <v>8761.9590996887564</v>
      </c>
      <c r="K3309" s="6">
        <v>7437.5882640518757</v>
      </c>
    </row>
    <row r="3310" spans="1:24" x14ac:dyDescent="0.25">
      <c r="A3310" s="1">
        <v>0.297222222222222</v>
      </c>
      <c r="B3310" s="2">
        <v>6.2700000000000005</v>
      </c>
      <c r="C3310" s="2">
        <v>3.65</v>
      </c>
      <c r="D3310" s="2">
        <v>5.2799999999999994</v>
      </c>
      <c r="E3310" s="2">
        <v>5.35</v>
      </c>
      <c r="F3310" s="2">
        <v>3.1399999999999997</v>
      </c>
      <c r="G3310" s="6">
        <v>3867.835338233368</v>
      </c>
      <c r="H3310" s="6">
        <v>4858.7236399797794</v>
      </c>
      <c r="I3310" s="6">
        <v>7098.4934856578766</v>
      </c>
      <c r="J3310" s="6">
        <v>4336.7578951916003</v>
      </c>
      <c r="K3310" s="6">
        <v>8946.6005073844462</v>
      </c>
    </row>
    <row r="3311" spans="1:24" x14ac:dyDescent="0.25">
      <c r="A3311" s="1">
        <v>0.297916666666667</v>
      </c>
      <c r="B3311" s="2">
        <v>6.38</v>
      </c>
      <c r="C3311" s="2">
        <v>3.79</v>
      </c>
      <c r="D3311" s="2">
        <v>5.17</v>
      </c>
      <c r="E3311" s="2">
        <v>5.6499999999999995</v>
      </c>
      <c r="F3311" s="2">
        <v>3.2199999999999998</v>
      </c>
      <c r="G3311" s="6">
        <v>5441.140947656203</v>
      </c>
      <c r="H3311" s="6">
        <v>4183.1514171035897</v>
      </c>
      <c r="I3311" s="6">
        <v>8894.1881260849786</v>
      </c>
      <c r="J3311" s="6">
        <v>3732.0470856730944</v>
      </c>
      <c r="K3311" s="6">
        <v>5597.1107412743249</v>
      </c>
    </row>
    <row r="3312" spans="1:24" x14ac:dyDescent="0.25">
      <c r="A3312" s="1">
        <v>0.29861111111111099</v>
      </c>
      <c r="B3312" s="2">
        <v>6.19</v>
      </c>
      <c r="C3312" s="2">
        <v>3.75</v>
      </c>
      <c r="D3312" s="2">
        <v>5.17</v>
      </c>
      <c r="E3312" s="2">
        <v>5.39</v>
      </c>
      <c r="F3312" s="2">
        <v>2.9299999999999997</v>
      </c>
      <c r="G3312" s="6">
        <v>8579.2753606989027</v>
      </c>
      <c r="H3312" s="6">
        <v>6980.6266891229061</v>
      </c>
      <c r="I3312" s="6">
        <v>4509.2507155482481</v>
      </c>
      <c r="J3312" s="6">
        <v>4179.2587024247068</v>
      </c>
      <c r="K3312" s="6">
        <v>9966.5452788971925</v>
      </c>
    </row>
    <row r="3313" spans="1:24" x14ac:dyDescent="0.25">
      <c r="A3313" s="1">
        <v>0.29930555555555599</v>
      </c>
      <c r="B3313" s="2">
        <v>6.21</v>
      </c>
      <c r="C3313" s="2">
        <v>3.8000000000000003</v>
      </c>
      <c r="D3313" s="2">
        <v>5.2299999999999995</v>
      </c>
      <c r="E3313" s="2">
        <v>5.4099999999999993</v>
      </c>
      <c r="F3313" s="2">
        <v>2.9899999999999998</v>
      </c>
      <c r="G3313" s="6">
        <v>9495.6510384027315</v>
      </c>
      <c r="H3313" s="6">
        <v>5148.3669447165275</v>
      </c>
      <c r="I3313" s="6">
        <v>7144.5424604936525</v>
      </c>
      <c r="J3313" s="6">
        <v>8091.1779596756496</v>
      </c>
      <c r="K3313" s="6">
        <v>7553.0597413052992</v>
      </c>
    </row>
    <row r="3314" spans="1:24" x14ac:dyDescent="0.25">
      <c r="A3314" s="1">
        <v>0.3</v>
      </c>
      <c r="B3314" s="2">
        <v>6.38</v>
      </c>
      <c r="C3314" s="2">
        <v>3.8200000000000003</v>
      </c>
      <c r="D3314" s="2">
        <v>5.08</v>
      </c>
      <c r="E3314" s="2">
        <v>5.5699999999999994</v>
      </c>
      <c r="F3314" s="2">
        <v>3.28</v>
      </c>
      <c r="G3314" s="6">
        <v>4848.9468092243123</v>
      </c>
      <c r="H3314" s="6">
        <v>7206.5659005396101</v>
      </c>
      <c r="I3314" s="6">
        <v>4724.8946545994922</v>
      </c>
      <c r="J3314" s="6">
        <v>6392.6966098867442</v>
      </c>
      <c r="K3314" s="6">
        <v>10639.158647210546</v>
      </c>
    </row>
    <row r="3315" spans="1:24" x14ac:dyDescent="0.25">
      <c r="A3315" s="1">
        <v>0.30069444444444399</v>
      </c>
      <c r="B3315" s="2">
        <v>6.24</v>
      </c>
      <c r="C3315" s="2">
        <v>3.83</v>
      </c>
      <c r="D3315" s="2">
        <v>5.33</v>
      </c>
      <c r="E3315" s="2">
        <v>5.1899999999999995</v>
      </c>
      <c r="F3315" s="2">
        <v>3</v>
      </c>
      <c r="G3315" s="6">
        <v>4487.3077522479743</v>
      </c>
      <c r="H3315" s="6">
        <v>4820.3006083790187</v>
      </c>
      <c r="I3315" s="6">
        <v>8784.5767051302937</v>
      </c>
      <c r="J3315" s="6">
        <v>3977.70629945878</v>
      </c>
      <c r="K3315" s="6">
        <v>10828.765082343883</v>
      </c>
    </row>
    <row r="3316" spans="1:24" x14ac:dyDescent="0.25">
      <c r="A3316" s="1">
        <v>0.30138888888888898</v>
      </c>
      <c r="B3316" s="2">
        <v>6.14</v>
      </c>
      <c r="C3316" s="2">
        <v>3.61</v>
      </c>
      <c r="D3316" s="2">
        <v>5.16</v>
      </c>
      <c r="E3316" s="2">
        <v>5.6499999999999995</v>
      </c>
      <c r="F3316" s="2">
        <v>3.1399999999999997</v>
      </c>
      <c r="G3316" s="6">
        <v>5000.1561929619866</v>
      </c>
      <c r="H3316" s="6">
        <v>9069.5462195403998</v>
      </c>
      <c r="I3316" s="6">
        <v>7673.3197007957924</v>
      </c>
      <c r="J3316" s="6">
        <v>9264.2649392256862</v>
      </c>
      <c r="K3316" s="6">
        <v>7076.3509204398115</v>
      </c>
    </row>
    <row r="3317" spans="1:24" x14ac:dyDescent="0.25">
      <c r="A3317" s="1">
        <v>0.30208333333333298</v>
      </c>
      <c r="B3317" s="2">
        <v>6.24</v>
      </c>
      <c r="C3317" s="2">
        <v>3.71</v>
      </c>
      <c r="D3317" s="2">
        <v>5.0299999999999994</v>
      </c>
      <c r="E3317" s="2">
        <v>5.43</v>
      </c>
      <c r="F3317" s="2">
        <v>3.25</v>
      </c>
      <c r="G3317" s="6">
        <v>8277.0629083943659</v>
      </c>
      <c r="H3317" s="6">
        <v>6932.9306914583767</v>
      </c>
      <c r="I3317" s="6">
        <v>7990.9717904402714</v>
      </c>
      <c r="J3317" s="6">
        <v>6844.1029149186461</v>
      </c>
      <c r="K3317" s="6">
        <v>6940.2067136991236</v>
      </c>
    </row>
    <row r="3318" spans="1:24" x14ac:dyDescent="0.25">
      <c r="A3318" s="1">
        <v>0.30277777777777798</v>
      </c>
      <c r="B3318" s="2">
        <v>6.16</v>
      </c>
      <c r="C3318" s="2">
        <v>3.74</v>
      </c>
      <c r="D3318" s="2">
        <v>5.0699999999999994</v>
      </c>
      <c r="E3318" s="2">
        <v>5.2299999999999995</v>
      </c>
      <c r="F3318" s="2">
        <v>3.25</v>
      </c>
      <c r="G3318" s="6">
        <v>8423.1181721390658</v>
      </c>
      <c r="H3318" s="6">
        <v>5451.9115213799132</v>
      </c>
      <c r="I3318" s="6">
        <v>4238.2374750081226</v>
      </c>
      <c r="J3318" s="6">
        <v>7913.9070549200223</v>
      </c>
      <c r="K3318" s="6">
        <v>7828.1964299568826</v>
      </c>
    </row>
    <row r="3319" spans="1:24" x14ac:dyDescent="0.25">
      <c r="A3319" s="1">
        <v>0.30347222222222198</v>
      </c>
      <c r="B3319" s="2">
        <v>6.28</v>
      </c>
      <c r="C3319" s="2">
        <v>3.62</v>
      </c>
      <c r="D3319" s="2">
        <v>5.29</v>
      </c>
      <c r="E3319" s="2">
        <v>5.2399999999999993</v>
      </c>
      <c r="F3319" s="2">
        <v>3.1799999999999997</v>
      </c>
      <c r="G3319" s="6">
        <v>3721.4908236584538</v>
      </c>
      <c r="H3319" s="6">
        <v>8420.3815964522819</v>
      </c>
      <c r="I3319" s="6">
        <v>5774.7001523014424</v>
      </c>
      <c r="J3319" s="6">
        <v>3779.1194035062954</v>
      </c>
      <c r="K3319" s="6">
        <v>6254.7358634458196</v>
      </c>
      <c r="V3319" s="2"/>
      <c r="W3319" s="2"/>
      <c r="X3319" s="2"/>
    </row>
    <row r="3320" spans="1:24" x14ac:dyDescent="0.25">
      <c r="A3320" s="1">
        <v>0.30416666666666697</v>
      </c>
      <c r="B3320" s="2">
        <v>6.33</v>
      </c>
      <c r="C3320" s="2">
        <v>3.75</v>
      </c>
      <c r="D3320" s="2">
        <v>5.09</v>
      </c>
      <c r="E3320" s="2">
        <v>5.26</v>
      </c>
      <c r="F3320" s="2">
        <v>2.9899999999999998</v>
      </c>
      <c r="G3320" s="6">
        <v>5311.8515419712103</v>
      </c>
      <c r="H3320" s="6">
        <v>4641.5557379262791</v>
      </c>
      <c r="I3320" s="6">
        <v>7361.2920239616242</v>
      </c>
      <c r="J3320" s="6">
        <v>5326.0960637264998</v>
      </c>
      <c r="K3320" s="6">
        <v>6117.5509414822573</v>
      </c>
      <c r="V3320" s="2"/>
      <c r="W3320" s="2"/>
      <c r="X3320" s="2"/>
    </row>
    <row r="3321" spans="1:24" x14ac:dyDescent="0.25">
      <c r="A3321" s="1">
        <v>0.30486111111111103</v>
      </c>
      <c r="B3321" s="2">
        <v>6.38</v>
      </c>
      <c r="C3321" s="2">
        <v>3.8600000000000003</v>
      </c>
      <c r="D3321" s="2">
        <v>4.9099999999999993</v>
      </c>
      <c r="E3321" s="2">
        <v>5.52</v>
      </c>
      <c r="F3321" s="2">
        <v>3.2199999999999998</v>
      </c>
      <c r="G3321" s="6">
        <v>8987.5298629115205</v>
      </c>
      <c r="H3321" s="6">
        <v>10104.541241794455</v>
      </c>
      <c r="I3321" s="6">
        <v>8496.7753834248142</v>
      </c>
      <c r="J3321" s="6">
        <v>9569.6988658796854</v>
      </c>
      <c r="K3321" s="6">
        <v>6889.7212706727814</v>
      </c>
      <c r="V3321" s="2"/>
      <c r="W3321" s="2"/>
      <c r="X3321" s="2"/>
    </row>
    <row r="3322" spans="1:24" x14ac:dyDescent="0.25">
      <c r="A3322" s="1">
        <v>0.30555555555555602</v>
      </c>
      <c r="B3322" s="2">
        <v>6.38</v>
      </c>
      <c r="C3322" s="2">
        <v>3.8600000000000003</v>
      </c>
      <c r="D3322" s="2">
        <v>4.92</v>
      </c>
      <c r="E3322" s="2">
        <v>5.7299999999999995</v>
      </c>
      <c r="F3322" s="2">
        <v>3.29</v>
      </c>
      <c r="G3322" s="6">
        <v>8974.9030682795801</v>
      </c>
      <c r="H3322" s="6">
        <v>10052.092506084226</v>
      </c>
      <c r="I3322" s="6">
        <v>6136.7369321791321</v>
      </c>
      <c r="J3322" s="6">
        <v>4505.8553267530342</v>
      </c>
      <c r="K3322" s="6">
        <v>5260.7356603807448</v>
      </c>
      <c r="V3322" s="2"/>
      <c r="W3322" s="2"/>
      <c r="X3322" s="2"/>
    </row>
    <row r="3323" spans="1:24" x14ac:dyDescent="0.25">
      <c r="A3323" s="1">
        <v>0.30625000000000002</v>
      </c>
      <c r="B3323" s="2">
        <v>6.16</v>
      </c>
      <c r="C3323" s="2">
        <v>3.83</v>
      </c>
      <c r="D3323" s="2">
        <v>5.35</v>
      </c>
      <c r="E3323" s="2">
        <v>5.6499999999999995</v>
      </c>
      <c r="F3323" s="2">
        <v>3.3899999999999997</v>
      </c>
      <c r="G3323" s="6">
        <v>8519.5268284071408</v>
      </c>
      <c r="H3323" s="6">
        <v>5176.2843451234685</v>
      </c>
      <c r="I3323" s="6">
        <v>4668.237780708374</v>
      </c>
      <c r="J3323" s="6">
        <v>6981.8049395419876</v>
      </c>
      <c r="K3323" s="6">
        <v>11019.531055158761</v>
      </c>
      <c r="V3323" s="2"/>
      <c r="W3323" s="2"/>
      <c r="X3323" s="2"/>
    </row>
    <row r="3324" spans="1:24" x14ac:dyDescent="0.25">
      <c r="A3324" s="1">
        <v>0.30694444444444402</v>
      </c>
      <c r="B3324" s="2">
        <v>6.23</v>
      </c>
      <c r="C3324" s="2">
        <v>3.8000000000000003</v>
      </c>
      <c r="D3324" s="2">
        <v>5.22</v>
      </c>
      <c r="E3324" s="2">
        <v>5.18</v>
      </c>
      <c r="F3324" s="2">
        <v>3.1999999999999997</v>
      </c>
      <c r="G3324" s="6">
        <v>5760.7864626806559</v>
      </c>
      <c r="H3324" s="6">
        <v>3758.7475114976214</v>
      </c>
      <c r="I3324" s="6">
        <v>5028.7088720111406</v>
      </c>
      <c r="J3324" s="6">
        <v>7200.4826864013976</v>
      </c>
      <c r="K3324" s="6">
        <v>8611.0249533494607</v>
      </c>
      <c r="V3324" s="2"/>
      <c r="W3324" s="2"/>
      <c r="X3324" s="2"/>
    </row>
    <row r="3325" spans="1:24" x14ac:dyDescent="0.25">
      <c r="A3325" s="1">
        <v>0.30763888888888902</v>
      </c>
      <c r="B3325" s="2">
        <v>6.2700000000000005</v>
      </c>
      <c r="C3325" s="2">
        <v>3.71</v>
      </c>
      <c r="D3325" s="2">
        <v>5.26</v>
      </c>
      <c r="E3325" s="2">
        <v>5.14</v>
      </c>
      <c r="F3325" s="2">
        <v>2.9299999999999997</v>
      </c>
      <c r="G3325" s="6">
        <v>9323.12019784728</v>
      </c>
      <c r="H3325" s="6">
        <v>7559.1854772249353</v>
      </c>
      <c r="I3325" s="6">
        <v>7219.1842746647117</v>
      </c>
      <c r="J3325" s="6">
        <v>8800.4194653026825</v>
      </c>
      <c r="K3325" s="6">
        <v>4931.9930617703767</v>
      </c>
      <c r="V3325" s="2"/>
      <c r="W3325" s="2"/>
      <c r="X3325" s="2"/>
    </row>
    <row r="3326" spans="1:24" x14ac:dyDescent="0.25">
      <c r="A3326" s="1">
        <v>0.30833333333333302</v>
      </c>
      <c r="B3326" s="2">
        <v>6.15</v>
      </c>
      <c r="C3326" s="2">
        <v>3.7800000000000002</v>
      </c>
      <c r="D3326" s="2">
        <v>4.92</v>
      </c>
      <c r="E3326" s="2">
        <v>5.52</v>
      </c>
      <c r="F3326" s="2">
        <v>3.16</v>
      </c>
      <c r="G3326" s="6">
        <v>4705.4402010168169</v>
      </c>
      <c r="H3326" s="6">
        <v>7912.8070571684066</v>
      </c>
      <c r="I3326" s="6">
        <v>3579.8463313073134</v>
      </c>
      <c r="J3326" s="6">
        <v>6315.3006354406853</v>
      </c>
      <c r="K3326" s="6">
        <v>9545.3989760507229</v>
      </c>
      <c r="V3326" s="2"/>
      <c r="W3326" s="2"/>
      <c r="X3326" s="2"/>
    </row>
    <row r="3327" spans="1:24" x14ac:dyDescent="0.25">
      <c r="A3327" s="1">
        <v>0.30902777777777801</v>
      </c>
      <c r="B3327" s="2">
        <v>6.19</v>
      </c>
      <c r="C3327" s="2">
        <v>3.77</v>
      </c>
      <c r="D3327" s="2">
        <v>5.39</v>
      </c>
      <c r="E3327" s="2">
        <v>5.75</v>
      </c>
      <c r="F3327" s="2">
        <v>2.9499999999999997</v>
      </c>
      <c r="G3327" s="6">
        <v>6804.0326652056692</v>
      </c>
      <c r="H3327" s="6">
        <v>4347.6229189017604</v>
      </c>
      <c r="I3327" s="6">
        <v>7097.9450896316212</v>
      </c>
      <c r="J3327" s="6">
        <v>4226.5886313187602</v>
      </c>
      <c r="K3327" s="6">
        <v>10767.719449714534</v>
      </c>
      <c r="V3327" s="2"/>
      <c r="W3327" s="2"/>
      <c r="X3327" s="2"/>
    </row>
    <row r="3328" spans="1:24" x14ac:dyDescent="0.25">
      <c r="A3328" s="1">
        <v>0.30972222222222201</v>
      </c>
      <c r="B3328" s="2">
        <v>6.23</v>
      </c>
      <c r="C3328" s="2">
        <v>3.89</v>
      </c>
      <c r="D3328" s="2">
        <v>5.0599999999999996</v>
      </c>
      <c r="E3328" s="2">
        <v>5.3</v>
      </c>
      <c r="F3328" s="2">
        <v>3.23</v>
      </c>
      <c r="G3328" s="6">
        <v>5096.4416996802393</v>
      </c>
      <c r="H3328" s="6">
        <v>4952.0442183505647</v>
      </c>
      <c r="I3328" s="6">
        <v>8370.2189166891676</v>
      </c>
      <c r="J3328" s="6">
        <v>7629.4264591472001</v>
      </c>
      <c r="K3328" s="6">
        <v>6969.7195449734418</v>
      </c>
      <c r="V3328" s="2"/>
      <c r="W3328" s="2"/>
      <c r="X3328" s="2"/>
    </row>
    <row r="3329" spans="1:24" x14ac:dyDescent="0.25">
      <c r="A3329" s="1">
        <v>0.31041666666666701</v>
      </c>
      <c r="B3329" s="2">
        <v>6.28</v>
      </c>
      <c r="C3329" s="2">
        <v>3.72</v>
      </c>
      <c r="D3329" s="2">
        <v>4.9499999999999993</v>
      </c>
      <c r="E3329" s="2">
        <v>5.68</v>
      </c>
      <c r="F3329" s="2">
        <v>3</v>
      </c>
      <c r="G3329" s="6">
        <v>5102.9996904495129</v>
      </c>
      <c r="H3329" s="6">
        <v>4179.6139007448974</v>
      </c>
      <c r="I3329" s="6">
        <v>4393.9607768169635</v>
      </c>
      <c r="J3329" s="6">
        <v>8258.2538713162521</v>
      </c>
      <c r="K3329" s="6">
        <v>5712.0728474128764</v>
      </c>
      <c r="V3329" s="2"/>
      <c r="W3329" s="2"/>
      <c r="X3329" s="2"/>
    </row>
    <row r="3330" spans="1:24" x14ac:dyDescent="0.25">
      <c r="A3330" s="1">
        <v>0.31111111111111101</v>
      </c>
      <c r="B3330" s="2">
        <v>6.3500000000000005</v>
      </c>
      <c r="C3330" s="2">
        <v>3.9</v>
      </c>
      <c r="D3330" s="2">
        <v>5.3</v>
      </c>
      <c r="E3330" s="2">
        <v>5.39</v>
      </c>
      <c r="F3330" s="2">
        <v>3.1799999999999997</v>
      </c>
      <c r="G3330" s="6">
        <v>5572.0402900945273</v>
      </c>
      <c r="H3330" s="6">
        <v>6726.8517048365729</v>
      </c>
      <c r="I3330" s="6">
        <v>4329.1757473556745</v>
      </c>
      <c r="J3330" s="6">
        <v>6547.7036791664086</v>
      </c>
      <c r="K3330" s="6">
        <v>7938.2412662994884</v>
      </c>
      <c r="V3330" s="2"/>
      <c r="W3330" s="2"/>
      <c r="X3330" s="2"/>
    </row>
    <row r="3331" spans="1:24" x14ac:dyDescent="0.25">
      <c r="A3331" s="1">
        <v>0.311805555555556</v>
      </c>
      <c r="B3331" s="2">
        <v>6.28</v>
      </c>
      <c r="C3331" s="2">
        <v>3.71</v>
      </c>
      <c r="D3331" s="2">
        <v>5.0599999999999996</v>
      </c>
      <c r="E3331" s="2">
        <v>5.22</v>
      </c>
      <c r="F3331" s="2">
        <v>2.92</v>
      </c>
      <c r="G3331" s="6">
        <v>9026.2031366182873</v>
      </c>
      <c r="H3331" s="6">
        <v>9596.0103169897648</v>
      </c>
      <c r="I3331" s="6">
        <v>2933.6383515347816</v>
      </c>
      <c r="J3331" s="6">
        <v>8341.6763209255005</v>
      </c>
      <c r="K3331" s="6">
        <v>8821.8193224591923</v>
      </c>
      <c r="V3331" s="2"/>
      <c r="W3331" s="2"/>
      <c r="X3331" s="2"/>
    </row>
    <row r="3332" spans="1:24" x14ac:dyDescent="0.25">
      <c r="A3332" s="1">
        <v>0.3125</v>
      </c>
      <c r="B3332" s="2">
        <v>6.12</v>
      </c>
      <c r="C3332" s="2">
        <v>3.6</v>
      </c>
      <c r="D3332" s="2">
        <v>5.3199999999999994</v>
      </c>
      <c r="E3332" s="2">
        <v>5.1199999999999992</v>
      </c>
      <c r="F3332" s="2">
        <v>3.38</v>
      </c>
      <c r="G3332" s="6">
        <v>4013.302261756488</v>
      </c>
      <c r="H3332" s="6">
        <v>9502.7081549292689</v>
      </c>
      <c r="I3332" s="6">
        <v>8346.9870248934876</v>
      </c>
      <c r="J3332" s="6">
        <v>6744.366429917558</v>
      </c>
      <c r="K3332" s="6">
        <v>8057.0833618518091</v>
      </c>
      <c r="V3332" s="2"/>
      <c r="W3332" s="2"/>
      <c r="X3332" s="2"/>
    </row>
    <row r="3333" spans="1:24" x14ac:dyDescent="0.25">
      <c r="A3333" s="1">
        <v>0.313194444444444</v>
      </c>
      <c r="B3333" s="2">
        <v>6.23</v>
      </c>
      <c r="C3333" s="2">
        <v>3.87</v>
      </c>
      <c r="D3333" s="2">
        <v>4.96</v>
      </c>
      <c r="E3333" s="2">
        <v>5.67</v>
      </c>
      <c r="F3333" s="2">
        <v>3.11</v>
      </c>
      <c r="G3333" s="6">
        <v>6330.8709060475176</v>
      </c>
      <c r="H3333" s="6">
        <v>6277.6977860488887</v>
      </c>
      <c r="I3333" s="6">
        <v>4879.0992753679384</v>
      </c>
      <c r="J3333" s="6">
        <v>7871.5360642747792</v>
      </c>
      <c r="K3333" s="6">
        <v>10812.616117534293</v>
      </c>
      <c r="V3333" s="2"/>
      <c r="W3333" s="2"/>
      <c r="X3333" s="2"/>
    </row>
    <row r="3334" spans="1:24" x14ac:dyDescent="0.25">
      <c r="A3334" s="1">
        <v>0.31388888888888899</v>
      </c>
      <c r="B3334" s="2">
        <v>6.36</v>
      </c>
      <c r="C3334" s="2">
        <v>3.8000000000000003</v>
      </c>
      <c r="D3334" s="2">
        <v>5.0199999999999996</v>
      </c>
      <c r="E3334" s="2">
        <v>5.21</v>
      </c>
      <c r="F3334" s="2">
        <v>3.08</v>
      </c>
      <c r="G3334" s="6">
        <v>4081.8183300164605</v>
      </c>
      <c r="H3334" s="6">
        <v>5052.2437932338944</v>
      </c>
      <c r="I3334" s="6">
        <v>2958.8779445979994</v>
      </c>
      <c r="J3334" s="6">
        <v>5016.5616478976999</v>
      </c>
      <c r="K3334" s="6">
        <v>9025.9347079283561</v>
      </c>
      <c r="V3334" s="2"/>
      <c r="W3334" s="2"/>
      <c r="X3334" s="2"/>
    </row>
    <row r="3335" spans="1:24" x14ac:dyDescent="0.25">
      <c r="A3335" s="1">
        <v>0.31458333333333299</v>
      </c>
      <c r="B3335" s="2">
        <v>6.2</v>
      </c>
      <c r="C3335" s="2">
        <v>3.69</v>
      </c>
      <c r="D3335" s="2">
        <v>5.17</v>
      </c>
      <c r="E3335" s="2">
        <v>5.1499999999999995</v>
      </c>
      <c r="F3335" s="2">
        <v>3.32</v>
      </c>
      <c r="G3335" s="6">
        <v>8320.0944725309073</v>
      </c>
      <c r="H3335" s="6">
        <v>9093.7673110822161</v>
      </c>
      <c r="I3335" s="6">
        <v>2836.3979701120793</v>
      </c>
      <c r="J3335" s="6">
        <v>4777.9943949052449</v>
      </c>
      <c r="K3335" s="6">
        <v>4755.8748149220901</v>
      </c>
      <c r="V3335" s="2"/>
      <c r="W3335" s="2"/>
      <c r="X3335" s="2"/>
    </row>
    <row r="3336" spans="1:24" x14ac:dyDescent="0.25">
      <c r="A3336" s="1">
        <v>0.31527777777777799</v>
      </c>
      <c r="B3336" s="2">
        <v>6.29</v>
      </c>
      <c r="C3336" s="2">
        <v>3.7600000000000002</v>
      </c>
      <c r="D3336" s="2">
        <v>5.26</v>
      </c>
      <c r="E3336" s="2">
        <v>5.25</v>
      </c>
      <c r="F3336" s="2">
        <v>3.21</v>
      </c>
      <c r="G3336" s="6">
        <v>4850.0686513561714</v>
      </c>
      <c r="H3336" s="6">
        <v>9828.2545979433216</v>
      </c>
      <c r="I3336" s="6">
        <v>4004.1546054560026</v>
      </c>
      <c r="J3336" s="6">
        <v>7434.3022262075965</v>
      </c>
      <c r="K3336" s="6">
        <v>10985.298674614067</v>
      </c>
      <c r="V3336" s="2"/>
      <c r="W3336" s="2"/>
      <c r="X3336" s="2"/>
    </row>
    <row r="3337" spans="1:24" x14ac:dyDescent="0.25">
      <c r="A3337" s="1">
        <v>0.31597222222222199</v>
      </c>
      <c r="B3337" s="2">
        <v>6.22</v>
      </c>
      <c r="C3337" s="2">
        <v>3.83</v>
      </c>
      <c r="D3337" s="2">
        <v>5.01</v>
      </c>
      <c r="E3337" s="2">
        <v>5.68</v>
      </c>
      <c r="F3337" s="2">
        <v>2.8899999999999997</v>
      </c>
      <c r="G3337" s="6">
        <v>4131.8541374963925</v>
      </c>
      <c r="H3337" s="6">
        <v>4768.8873628452502</v>
      </c>
      <c r="I3337" s="6">
        <v>2730.6774537961378</v>
      </c>
      <c r="J3337" s="6">
        <v>6372.7592500004539</v>
      </c>
      <c r="K3337" s="6">
        <v>5102.8519568384309</v>
      </c>
      <c r="V3337" s="2"/>
      <c r="W3337" s="2"/>
      <c r="X3337" s="2"/>
    </row>
    <row r="3338" spans="1:24" x14ac:dyDescent="0.25">
      <c r="A3338" s="1">
        <v>0.31666666666666698</v>
      </c>
      <c r="B3338" s="2">
        <v>6.28</v>
      </c>
      <c r="C3338" s="2">
        <v>3.71</v>
      </c>
      <c r="D3338" s="2">
        <v>4.8999999999999995</v>
      </c>
      <c r="E3338" s="2">
        <v>5.55</v>
      </c>
      <c r="F3338" s="2">
        <v>3.25</v>
      </c>
      <c r="G3338" s="6">
        <v>5126.1764385556708</v>
      </c>
      <c r="H3338" s="6">
        <v>7218.2903128360358</v>
      </c>
      <c r="I3338" s="6">
        <v>5414.8377573802609</v>
      </c>
      <c r="J3338" s="6">
        <v>3766.9062124580009</v>
      </c>
      <c r="K3338" s="6">
        <v>5141.4868695731402</v>
      </c>
      <c r="V3338" s="2"/>
      <c r="W3338" s="2"/>
      <c r="X3338" s="2"/>
    </row>
    <row r="3339" spans="1:24" x14ac:dyDescent="0.25">
      <c r="A3339" s="1">
        <v>0.31736111111111098</v>
      </c>
      <c r="B3339" s="2">
        <v>6.28</v>
      </c>
      <c r="C3339" s="2">
        <v>3.7600000000000002</v>
      </c>
      <c r="D3339" s="2">
        <v>5.1099999999999994</v>
      </c>
      <c r="E3339" s="2">
        <v>5.26</v>
      </c>
      <c r="F3339" s="2">
        <v>3.2199999999999998</v>
      </c>
      <c r="G3339" s="6">
        <v>4283.7839125938763</v>
      </c>
      <c r="H3339" s="6">
        <v>4433.9104003175162</v>
      </c>
      <c r="I3339" s="6">
        <v>8237.3617585019856</v>
      </c>
      <c r="J3339" s="6">
        <v>8262.6588002506305</v>
      </c>
      <c r="K3339" s="6">
        <v>7199.5747443893388</v>
      </c>
      <c r="V3339" s="2"/>
      <c r="W3339" s="2"/>
      <c r="X3339" s="2"/>
    </row>
    <row r="3340" spans="1:24" x14ac:dyDescent="0.25">
      <c r="A3340" s="1">
        <v>0.31805555555555598</v>
      </c>
      <c r="B3340" s="2">
        <v>6.37</v>
      </c>
      <c r="C3340" s="2">
        <v>3.63</v>
      </c>
      <c r="D3340" s="2">
        <v>5.3199999999999994</v>
      </c>
      <c r="E3340" s="2">
        <v>5.75</v>
      </c>
      <c r="F3340" s="2">
        <v>2.9099999999999997</v>
      </c>
      <c r="G3340" s="6">
        <v>8081.3238595879093</v>
      </c>
      <c r="H3340" s="6">
        <v>7041.8541980228547</v>
      </c>
      <c r="I3340" s="6">
        <v>8067.898644598301</v>
      </c>
      <c r="J3340" s="6">
        <v>4495.7776292450044</v>
      </c>
      <c r="K3340" s="6">
        <v>6574.9940461248189</v>
      </c>
      <c r="V3340" s="2"/>
      <c r="W3340" s="2"/>
      <c r="X3340" s="2"/>
    </row>
    <row r="3341" spans="1:24" x14ac:dyDescent="0.25">
      <c r="A3341" s="1">
        <v>0.31874999999999998</v>
      </c>
      <c r="B3341" s="2">
        <v>6.26</v>
      </c>
      <c r="C3341" s="2">
        <v>3.81</v>
      </c>
      <c r="D3341" s="2">
        <v>5.31</v>
      </c>
      <c r="E3341" s="2">
        <v>5.21</v>
      </c>
      <c r="F3341" s="2">
        <v>2.9699999999999998</v>
      </c>
      <c r="G3341" s="6">
        <v>8826.9131794983787</v>
      </c>
      <c r="H3341" s="6">
        <v>6727.6792554875346</v>
      </c>
      <c r="I3341" s="6">
        <v>7718.1380037201388</v>
      </c>
      <c r="J3341" s="6">
        <v>6778.2903666521233</v>
      </c>
      <c r="K3341" s="6">
        <v>4635.0887685316729</v>
      </c>
      <c r="V3341" s="2"/>
      <c r="W3341" s="2"/>
      <c r="X3341" s="2"/>
    </row>
    <row r="3342" spans="1:24" x14ac:dyDescent="0.25">
      <c r="A3342" s="1">
        <v>0.31944444444444398</v>
      </c>
      <c r="B3342" s="2">
        <v>6.25</v>
      </c>
      <c r="C3342" s="2">
        <v>3.7800000000000002</v>
      </c>
      <c r="D3342" s="2">
        <v>5.16</v>
      </c>
      <c r="E3342" s="2">
        <v>5.38</v>
      </c>
      <c r="F3342" s="2">
        <v>2.88</v>
      </c>
      <c r="G3342" s="6">
        <v>6694.2976581539251</v>
      </c>
      <c r="H3342" s="6">
        <v>8852.0243975785488</v>
      </c>
      <c r="I3342" s="6">
        <v>4618.037394948522</v>
      </c>
      <c r="J3342" s="6">
        <v>5197.9544000548931</v>
      </c>
      <c r="K3342" s="6">
        <v>9208.2756228030885</v>
      </c>
      <c r="V3342" s="2"/>
      <c r="W3342" s="2"/>
      <c r="X3342" s="2"/>
    </row>
    <row r="3343" spans="1:24" x14ac:dyDescent="0.25">
      <c r="A3343" s="1">
        <v>0.32013888888888897</v>
      </c>
      <c r="B3343" s="2">
        <v>6.16</v>
      </c>
      <c r="C3343" s="2">
        <v>3.9</v>
      </c>
      <c r="D3343" s="2">
        <v>5</v>
      </c>
      <c r="E3343" s="2">
        <v>5.27</v>
      </c>
      <c r="F3343" s="2">
        <v>3.23</v>
      </c>
      <c r="G3343" s="6">
        <v>5350.5577005277109</v>
      </c>
      <c r="H3343" s="6">
        <v>4221.4985124335381</v>
      </c>
      <c r="I3343" s="6">
        <v>2800.3382160938909</v>
      </c>
      <c r="J3343" s="6">
        <v>3839.2148416639056</v>
      </c>
      <c r="K3343" s="6">
        <v>9160.4513590192</v>
      </c>
      <c r="V3343" s="2"/>
      <c r="W3343" s="2"/>
      <c r="X3343" s="2"/>
    </row>
    <row r="3344" spans="1:24" x14ac:dyDescent="0.25">
      <c r="A3344" s="1">
        <v>0.32083333333333303</v>
      </c>
      <c r="B3344" s="2">
        <v>6.29</v>
      </c>
      <c r="C3344" s="2">
        <v>3.88</v>
      </c>
      <c r="D3344" s="2">
        <v>5.29</v>
      </c>
      <c r="E3344" s="2">
        <v>5.31</v>
      </c>
      <c r="F3344" s="2">
        <v>3.04</v>
      </c>
      <c r="G3344" s="6">
        <v>9108.7763399207888</v>
      </c>
      <c r="H3344" s="6">
        <v>8227.5029853390424</v>
      </c>
      <c r="I3344" s="6">
        <v>4757.5001896493577</v>
      </c>
      <c r="J3344" s="6">
        <v>7609.2128432871605</v>
      </c>
      <c r="K3344" s="6">
        <v>5978.2799769169233</v>
      </c>
      <c r="V3344" s="2"/>
      <c r="W3344" s="2"/>
      <c r="X3344" s="2"/>
    </row>
    <row r="3345" spans="1:24" x14ac:dyDescent="0.25">
      <c r="A3345" s="1">
        <v>0.32152777777777802</v>
      </c>
      <c r="B3345" s="2">
        <v>6.19</v>
      </c>
      <c r="C3345" s="2">
        <v>3.66</v>
      </c>
      <c r="D3345" s="2">
        <v>5.0299999999999994</v>
      </c>
      <c r="E3345" s="2">
        <v>5.22</v>
      </c>
      <c r="F3345" s="2">
        <v>3.31</v>
      </c>
      <c r="G3345" s="6">
        <v>7310.8885735601334</v>
      </c>
      <c r="H3345" s="6">
        <v>9241.392464189812</v>
      </c>
      <c r="I3345" s="6">
        <v>6869.1341033630797</v>
      </c>
      <c r="J3345" s="6">
        <v>4577.9688727365083</v>
      </c>
      <c r="K3345" s="6">
        <v>5165.1755417971926</v>
      </c>
      <c r="V3345" s="2"/>
      <c r="W3345" s="2"/>
      <c r="X3345" s="2"/>
    </row>
    <row r="3346" spans="1:24" x14ac:dyDescent="0.25">
      <c r="A3346" s="1">
        <v>0.32222222222222202</v>
      </c>
      <c r="B3346" s="2">
        <v>6.37</v>
      </c>
      <c r="C3346" s="2">
        <v>3.71</v>
      </c>
      <c r="D3346" s="2">
        <v>5.1899999999999995</v>
      </c>
      <c r="E3346" s="2">
        <v>5.42</v>
      </c>
      <c r="F3346" s="2">
        <v>3.06</v>
      </c>
      <c r="G3346" s="6">
        <v>7363.4021751177615</v>
      </c>
      <c r="H3346" s="6">
        <v>9532.0376287359304</v>
      </c>
      <c r="I3346" s="6">
        <v>8154.3709327560628</v>
      </c>
      <c r="J3346" s="6">
        <v>9406.5117403332097</v>
      </c>
      <c r="K3346" s="6">
        <v>7078.7002365644539</v>
      </c>
      <c r="V3346" s="2"/>
      <c r="W3346" s="2"/>
      <c r="X3346" s="2"/>
    </row>
    <row r="3347" spans="1:24" x14ac:dyDescent="0.25">
      <c r="A3347" s="1">
        <v>0.32291666666666702</v>
      </c>
      <c r="B3347" s="2">
        <v>6.2</v>
      </c>
      <c r="C3347" s="2">
        <v>3.79</v>
      </c>
      <c r="D3347" s="2">
        <v>4.92</v>
      </c>
      <c r="E3347" s="2">
        <v>5.14</v>
      </c>
      <c r="F3347" s="2">
        <v>3.1</v>
      </c>
      <c r="G3347" s="6">
        <v>4137.9514328437181</v>
      </c>
      <c r="H3347" s="6">
        <v>5317.984693385356</v>
      </c>
      <c r="I3347" s="6">
        <v>8729.54659275634</v>
      </c>
      <c r="J3347" s="6">
        <v>6626.1425279593323</v>
      </c>
      <c r="K3347" s="6">
        <v>5271.6096434560732</v>
      </c>
      <c r="V3347" s="2"/>
      <c r="W3347" s="2"/>
      <c r="X3347" s="2"/>
    </row>
    <row r="3348" spans="1:24" x14ac:dyDescent="0.25">
      <c r="A3348" s="1">
        <v>0.32361111111111102</v>
      </c>
      <c r="B3348" s="2">
        <v>6.16</v>
      </c>
      <c r="C3348" s="2">
        <v>3.6</v>
      </c>
      <c r="D3348" s="2">
        <v>5.13</v>
      </c>
      <c r="E3348" s="2">
        <v>5.2799999999999994</v>
      </c>
      <c r="F3348" s="2">
        <v>2.88</v>
      </c>
      <c r="G3348" s="6">
        <v>4127.9637854170369</v>
      </c>
      <c r="H3348" s="6">
        <v>4121.9586728668055</v>
      </c>
      <c r="I3348" s="6">
        <v>3641.4112846186622</v>
      </c>
      <c r="J3348" s="6">
        <v>4286.6256539688238</v>
      </c>
      <c r="K3348" s="6">
        <v>9659.5585289009414</v>
      </c>
      <c r="V3348" s="2"/>
      <c r="W3348" s="2"/>
      <c r="X3348" s="2"/>
    </row>
    <row r="3349" spans="1:24" x14ac:dyDescent="0.25">
      <c r="A3349" s="1">
        <v>0.32430555555555601</v>
      </c>
      <c r="B3349" s="2">
        <v>6.21</v>
      </c>
      <c r="C3349" s="2">
        <v>3.87</v>
      </c>
      <c r="D3349" s="2">
        <v>5.33</v>
      </c>
      <c r="E3349" s="2">
        <v>5.39</v>
      </c>
      <c r="F3349" s="2">
        <v>3.4</v>
      </c>
      <c r="G3349" s="6">
        <v>3980.5689376596997</v>
      </c>
      <c r="H3349" s="6">
        <v>7618.1391637279057</v>
      </c>
      <c r="I3349" s="6">
        <v>7389.9791803697399</v>
      </c>
      <c r="J3349" s="6">
        <v>8075.407600057777</v>
      </c>
      <c r="K3349" s="6">
        <v>6995.1599385418431</v>
      </c>
      <c r="V3349" s="2"/>
      <c r="W3349" s="2"/>
      <c r="X3349" s="2"/>
    </row>
    <row r="3350" spans="1:24" x14ac:dyDescent="0.25">
      <c r="A3350" s="1">
        <v>0.32500000000000001</v>
      </c>
      <c r="B3350" s="2">
        <v>6.14</v>
      </c>
      <c r="C3350" s="2">
        <v>3.83</v>
      </c>
      <c r="D3350" s="2">
        <v>4.96</v>
      </c>
      <c r="E3350" s="2">
        <v>5.4799999999999995</v>
      </c>
      <c r="F3350" s="2">
        <v>2.9899999999999998</v>
      </c>
      <c r="G3350" s="6">
        <v>9799.0346283464296</v>
      </c>
      <c r="H3350" s="6">
        <v>7609.6035374547564</v>
      </c>
      <c r="I3350" s="6">
        <v>4443.9260916262174</v>
      </c>
      <c r="J3350" s="6">
        <v>8723.5029174701813</v>
      </c>
      <c r="K3350" s="6">
        <v>4921.3890942189073</v>
      </c>
      <c r="V3350" s="2"/>
      <c r="W3350" s="2"/>
      <c r="X3350" s="2"/>
    </row>
    <row r="3351" spans="1:24" x14ac:dyDescent="0.25">
      <c r="A3351" s="1">
        <v>0.32569444444444401</v>
      </c>
      <c r="B3351" s="2">
        <v>6.34</v>
      </c>
      <c r="C3351" s="2">
        <v>3.87</v>
      </c>
      <c r="D3351" s="2">
        <v>5.22</v>
      </c>
      <c r="E3351" s="2">
        <v>5.4399999999999995</v>
      </c>
      <c r="F3351" s="2">
        <v>3.36</v>
      </c>
      <c r="G3351" s="6">
        <v>8528.5866651523229</v>
      </c>
      <c r="H3351" s="6">
        <v>8098.26641202473</v>
      </c>
      <c r="I3351" s="6">
        <v>3433.3417211273727</v>
      </c>
      <c r="J3351" s="6">
        <v>6300.2844448269079</v>
      </c>
      <c r="K3351" s="6">
        <v>9519.9274484468951</v>
      </c>
      <c r="V3351" s="2"/>
      <c r="W3351" s="2"/>
      <c r="X3351" s="2"/>
    </row>
    <row r="3352" spans="1:24" x14ac:dyDescent="0.25">
      <c r="A3352" s="1">
        <v>0.32638888888888901</v>
      </c>
      <c r="B3352" s="2">
        <v>6.36</v>
      </c>
      <c r="C3352" s="2">
        <v>3.71</v>
      </c>
      <c r="D3352" s="2">
        <v>4.93</v>
      </c>
      <c r="E3352" s="2">
        <v>5.1599999999999993</v>
      </c>
      <c r="F3352" s="2">
        <v>3.1999999999999997</v>
      </c>
      <c r="G3352" s="6">
        <v>9132.2847247883219</v>
      </c>
      <c r="H3352" s="6">
        <v>5785.7708336717087</v>
      </c>
      <c r="I3352" s="6">
        <v>6611.3934641838996</v>
      </c>
      <c r="J3352" s="6">
        <v>8582.0609973609808</v>
      </c>
      <c r="K3352" s="6">
        <v>5517.5684352077978</v>
      </c>
      <c r="V3352" s="2"/>
      <c r="W3352" s="2"/>
      <c r="X3352" s="2"/>
    </row>
    <row r="3353" spans="1:24" x14ac:dyDescent="0.25">
      <c r="A3353" s="1">
        <v>0.327083333333333</v>
      </c>
      <c r="B3353" s="2">
        <v>6.2</v>
      </c>
      <c r="C3353" s="2">
        <v>3.8200000000000003</v>
      </c>
      <c r="D3353" s="2">
        <v>4.97</v>
      </c>
      <c r="E3353" s="2">
        <v>5.6099999999999994</v>
      </c>
      <c r="F3353" s="2">
        <v>3.16</v>
      </c>
      <c r="G3353" s="6">
        <v>7272.6493628970038</v>
      </c>
      <c r="H3353" s="6">
        <v>5161.1834400862626</v>
      </c>
      <c r="I3353" s="6">
        <v>7368.7465207911609</v>
      </c>
      <c r="J3353" s="6">
        <v>5089.1038391954344</v>
      </c>
      <c r="K3353" s="6">
        <v>7652.7750852159388</v>
      </c>
      <c r="V3353" s="2"/>
      <c r="W3353" s="2"/>
      <c r="X3353" s="2"/>
    </row>
    <row r="3354" spans="1:24" x14ac:dyDescent="0.25">
      <c r="A3354" s="1">
        <v>0.327777777777778</v>
      </c>
      <c r="B3354" s="2">
        <v>6.13</v>
      </c>
      <c r="C3354" s="2">
        <v>3.9</v>
      </c>
      <c r="D3354" s="2">
        <v>5.05</v>
      </c>
      <c r="E3354" s="2">
        <v>5.43</v>
      </c>
      <c r="F3354" s="2">
        <v>3.3899999999999997</v>
      </c>
      <c r="G3354" s="6">
        <v>5159.5407583260976</v>
      </c>
      <c r="H3354" s="6">
        <v>9411.729504435214</v>
      </c>
      <c r="I3354" s="6">
        <v>6417.7449159988346</v>
      </c>
      <c r="J3354" s="6">
        <v>7446.5607478426609</v>
      </c>
      <c r="K3354" s="6">
        <v>11091.376477212523</v>
      </c>
      <c r="V3354" s="2"/>
      <c r="W3354" s="2"/>
      <c r="X3354" s="2"/>
    </row>
    <row r="3355" spans="1:24" x14ac:dyDescent="0.25">
      <c r="A3355" s="1">
        <v>0.328472222222222</v>
      </c>
      <c r="B3355" s="2">
        <v>6.3100000000000005</v>
      </c>
      <c r="C3355" s="2">
        <v>3.65</v>
      </c>
      <c r="D3355" s="2">
        <v>5.0299999999999994</v>
      </c>
      <c r="E3355" s="2">
        <v>5.2399999999999993</v>
      </c>
      <c r="F3355" s="2">
        <v>3.23</v>
      </c>
      <c r="G3355" s="6">
        <v>8031.576644742252</v>
      </c>
      <c r="H3355" s="6">
        <v>8729.2387351978923</v>
      </c>
      <c r="I3355" s="6">
        <v>5819.2264849685025</v>
      </c>
      <c r="J3355" s="6">
        <v>5131.8734638560454</v>
      </c>
      <c r="K3355" s="6">
        <v>9046.7083081434812</v>
      </c>
      <c r="V3355" s="2"/>
      <c r="W3355" s="2"/>
      <c r="X3355" s="2"/>
    </row>
    <row r="3356" spans="1:24" x14ac:dyDescent="0.25">
      <c r="A3356" s="1">
        <v>0.329166666666667</v>
      </c>
      <c r="B3356" s="2">
        <v>6.18</v>
      </c>
      <c r="C3356" s="2">
        <v>3.8200000000000003</v>
      </c>
      <c r="D3356" s="2">
        <v>4.9499999999999993</v>
      </c>
      <c r="E3356" s="2">
        <v>5.6</v>
      </c>
      <c r="F3356" s="2">
        <v>3.19</v>
      </c>
      <c r="G3356" s="6">
        <v>4507.0833158060441</v>
      </c>
      <c r="H3356" s="6">
        <v>7358.8681486851883</v>
      </c>
      <c r="I3356" s="6">
        <v>7289.7302831947818</v>
      </c>
      <c r="J3356" s="6">
        <v>9446.3277185969382</v>
      </c>
      <c r="K3356" s="6">
        <v>9879.6852436057943</v>
      </c>
      <c r="V3356" s="2"/>
      <c r="W3356" s="2"/>
      <c r="X3356" s="2"/>
    </row>
    <row r="3357" spans="1:24" x14ac:dyDescent="0.25">
      <c r="A3357" s="1">
        <v>0.32986111111111099</v>
      </c>
      <c r="B3357" s="2">
        <v>6.32</v>
      </c>
      <c r="C3357" s="2">
        <v>3.64</v>
      </c>
      <c r="D3357" s="2">
        <v>5.1899999999999995</v>
      </c>
      <c r="E3357" s="2">
        <v>5.6</v>
      </c>
      <c r="F3357" s="2">
        <v>3.35</v>
      </c>
      <c r="G3357" s="6">
        <v>3644.0337289128015</v>
      </c>
      <c r="H3357" s="6">
        <v>5187.2994509589143</v>
      </c>
      <c r="I3357" s="6">
        <v>2995.3594333116362</v>
      </c>
      <c r="J3357" s="6">
        <v>4950.1572931325409</v>
      </c>
      <c r="K3357" s="6">
        <v>9197.0157377710566</v>
      </c>
      <c r="V3357" s="2"/>
      <c r="W3357" s="2"/>
      <c r="X3357" s="2"/>
    </row>
    <row r="3358" spans="1:24" x14ac:dyDescent="0.25">
      <c r="A3358" s="1">
        <v>0.33055555555555599</v>
      </c>
      <c r="B3358" s="2">
        <v>6.24</v>
      </c>
      <c r="C3358" s="2">
        <v>3.72</v>
      </c>
      <c r="D3358" s="2">
        <v>5.1999999999999993</v>
      </c>
      <c r="E3358" s="2">
        <v>5.6499999999999995</v>
      </c>
      <c r="F3358" s="2">
        <v>2.9699999999999998</v>
      </c>
      <c r="G3358" s="6">
        <v>5682.5515011521948</v>
      </c>
      <c r="H3358" s="6">
        <v>8256.5640155652436</v>
      </c>
      <c r="I3358" s="6">
        <v>8345.4441469107933</v>
      </c>
      <c r="J3358" s="6">
        <v>7142.014585230685</v>
      </c>
      <c r="K3358" s="6">
        <v>6233.1323458521665</v>
      </c>
      <c r="V3358" s="2"/>
      <c r="W3358" s="2"/>
      <c r="X3358" s="2"/>
    </row>
    <row r="3359" spans="1:24" x14ac:dyDescent="0.25">
      <c r="A3359" s="1">
        <v>0.33124999999999999</v>
      </c>
      <c r="B3359" s="2">
        <v>6.23</v>
      </c>
      <c r="C3359" s="2">
        <v>3.87</v>
      </c>
      <c r="D3359" s="2">
        <v>5.35</v>
      </c>
      <c r="E3359" s="2">
        <v>5.5</v>
      </c>
      <c r="F3359" s="2">
        <v>3.08</v>
      </c>
      <c r="G3359" s="6">
        <v>6709.7866657941586</v>
      </c>
      <c r="H3359" s="6">
        <v>9594.3894571302098</v>
      </c>
      <c r="I3359" s="6">
        <v>8645.9164498957962</v>
      </c>
      <c r="J3359" s="6">
        <v>8637.1581521350745</v>
      </c>
      <c r="K3359" s="6">
        <v>5592.0369869252163</v>
      </c>
      <c r="V3359" s="2"/>
      <c r="W3359" s="2"/>
      <c r="X3359" s="2"/>
    </row>
    <row r="3360" spans="1:24" x14ac:dyDescent="0.25">
      <c r="A3360" s="1">
        <v>0.33194444444444399</v>
      </c>
      <c r="B3360" s="2">
        <v>6.28</v>
      </c>
      <c r="C3360" s="2">
        <v>3.62</v>
      </c>
      <c r="D3360" s="2">
        <v>5.3599999999999994</v>
      </c>
      <c r="E3360" s="2">
        <v>5.6099999999999994</v>
      </c>
      <c r="F3360" s="2">
        <v>3.06</v>
      </c>
      <c r="G3360" s="6">
        <v>9590.2454497940835</v>
      </c>
      <c r="H3360" s="6">
        <v>7455.2084786813966</v>
      </c>
      <c r="I3360" s="6">
        <v>6353.836905820609</v>
      </c>
      <c r="J3360" s="6">
        <v>4847.731476792319</v>
      </c>
      <c r="K3360" s="6">
        <v>6311.2772517580497</v>
      </c>
      <c r="V3360" s="2"/>
      <c r="W3360" s="2"/>
      <c r="X3360" s="2"/>
    </row>
    <row r="3361" spans="1:24" x14ac:dyDescent="0.25">
      <c r="A3361" s="1">
        <v>0.33263888888888898</v>
      </c>
      <c r="B3361" s="2">
        <v>6.21</v>
      </c>
      <c r="C3361" s="2">
        <v>3.9</v>
      </c>
      <c r="D3361" s="2">
        <v>5.0299999999999994</v>
      </c>
      <c r="E3361" s="2">
        <v>5.3999999999999995</v>
      </c>
      <c r="F3361" s="2">
        <v>2.8899999999999997</v>
      </c>
      <c r="G3361" s="6">
        <v>4474.8248554241036</v>
      </c>
      <c r="H3361" s="6">
        <v>5079.1035354386831</v>
      </c>
      <c r="I3361" s="6">
        <v>9943.34</v>
      </c>
      <c r="J3361" s="6">
        <v>8710.1298624580722</v>
      </c>
      <c r="K3361" s="6">
        <v>7333.244350343125</v>
      </c>
      <c r="V3361" s="2"/>
      <c r="W3361" s="2"/>
      <c r="X3361" s="2"/>
    </row>
    <row r="3362" spans="1:24" x14ac:dyDescent="0.25">
      <c r="A3362" s="3">
        <v>0.33333333333333298</v>
      </c>
      <c r="B3362" s="2">
        <v>6.24</v>
      </c>
      <c r="C3362" s="2">
        <v>3.8</v>
      </c>
      <c r="D3362" s="2">
        <v>5.12</v>
      </c>
      <c r="E3362" s="2">
        <v>5.38</v>
      </c>
      <c r="F3362" s="2">
        <v>3.21</v>
      </c>
      <c r="G3362" s="6">
        <v>8233</v>
      </c>
      <c r="H3362" s="6">
        <v>9032</v>
      </c>
      <c r="I3362" s="6">
        <v>10321</v>
      </c>
      <c r="J3362" s="6">
        <v>10332</v>
      </c>
      <c r="K3362" s="6">
        <v>13112</v>
      </c>
    </row>
    <row r="3363" spans="1:24" x14ac:dyDescent="0.25">
      <c r="A3363" s="1">
        <v>0.33402777777777798</v>
      </c>
      <c r="B3363" s="2">
        <v>6.3</v>
      </c>
      <c r="C3363" s="2">
        <v>3.7</v>
      </c>
      <c r="D3363" s="2">
        <v>5.3199999999999994</v>
      </c>
      <c r="E3363" s="2">
        <v>5.3699999999999992</v>
      </c>
      <c r="F3363" s="2">
        <v>3.2399999999999998</v>
      </c>
      <c r="G3363" s="6">
        <v>9678.6599665936901</v>
      </c>
      <c r="H3363" s="6">
        <v>16829.465236855809</v>
      </c>
      <c r="I3363" s="6">
        <v>6168.9820022717931</v>
      </c>
      <c r="J3363" s="6">
        <v>8326.6852736440105</v>
      </c>
      <c r="K3363" s="6">
        <v>10504.691367272479</v>
      </c>
    </row>
    <row r="3364" spans="1:24" x14ac:dyDescent="0.25">
      <c r="A3364" s="1">
        <v>0.33472222222222198</v>
      </c>
      <c r="B3364" s="2">
        <v>6.33</v>
      </c>
      <c r="C3364" s="2">
        <v>3.7600000000000002</v>
      </c>
      <c r="D3364" s="2">
        <v>4.9099999999999993</v>
      </c>
      <c r="E3364" s="2">
        <v>5.7299999999999995</v>
      </c>
      <c r="F3364" s="2">
        <v>3.26</v>
      </c>
      <c r="G3364" s="6">
        <v>9048.3360255573079</v>
      </c>
      <c r="H3364" s="6">
        <v>16132.96637835062</v>
      </c>
      <c r="I3364" s="6">
        <v>13474.505417025461</v>
      </c>
      <c r="J3364" s="6">
        <v>9548.6457883905878</v>
      </c>
      <c r="K3364" s="6">
        <v>12559.376888850362</v>
      </c>
    </row>
    <row r="3365" spans="1:24" x14ac:dyDescent="0.25">
      <c r="A3365" s="1">
        <v>0.33541666666666697</v>
      </c>
      <c r="B3365" s="2">
        <v>6.17</v>
      </c>
      <c r="C3365" s="2">
        <v>3.81</v>
      </c>
      <c r="D3365" s="2">
        <v>5.09</v>
      </c>
      <c r="E3365" s="2">
        <v>5.56</v>
      </c>
      <c r="F3365" s="2">
        <v>3.03</v>
      </c>
      <c r="G3365" s="6">
        <v>10539.366430847684</v>
      </c>
      <c r="H3365" s="6">
        <v>12203.781103174086</v>
      </c>
      <c r="I3365" s="6">
        <v>7112.5699181548971</v>
      </c>
      <c r="J3365" s="6">
        <v>10423.40513758728</v>
      </c>
      <c r="K3365" s="6">
        <v>11384.34191718042</v>
      </c>
    </row>
    <row r="3366" spans="1:24" x14ac:dyDescent="0.25">
      <c r="A3366" s="1">
        <v>0.33611111111111103</v>
      </c>
      <c r="B3366" s="2">
        <v>6.33</v>
      </c>
      <c r="C3366" s="2">
        <v>3.7600000000000002</v>
      </c>
      <c r="D3366" s="2">
        <v>4.9399999999999995</v>
      </c>
      <c r="E3366" s="2">
        <v>5.18</v>
      </c>
      <c r="F3366" s="2">
        <v>3.1999999999999997</v>
      </c>
      <c r="G3366" s="6">
        <v>7067.0674860781182</v>
      </c>
      <c r="H3366" s="6">
        <v>7893.5474595961596</v>
      </c>
      <c r="I3366" s="6">
        <v>8825.6939320646361</v>
      </c>
      <c r="J3366" s="6">
        <v>12244.964257527123</v>
      </c>
      <c r="K3366" s="6">
        <v>13811.406134430572</v>
      </c>
    </row>
    <row r="3367" spans="1:24" x14ac:dyDescent="0.25">
      <c r="A3367" s="1">
        <v>0.33680555555555602</v>
      </c>
      <c r="B3367" s="2">
        <v>6.34</v>
      </c>
      <c r="C3367" s="2">
        <v>3.8600000000000003</v>
      </c>
      <c r="D3367" s="2">
        <v>5.2299999999999995</v>
      </c>
      <c r="E3367" s="2">
        <v>5.6199999999999992</v>
      </c>
      <c r="F3367" s="2">
        <v>3.37</v>
      </c>
      <c r="G3367" s="6">
        <v>6990.5943368810604</v>
      </c>
      <c r="H3367" s="6">
        <v>16847.02104928709</v>
      </c>
      <c r="I3367" s="6">
        <v>10858.171162345607</v>
      </c>
      <c r="J3367" s="6">
        <v>8579.4042177088668</v>
      </c>
      <c r="K3367" s="6">
        <v>11286.380409535654</v>
      </c>
    </row>
    <row r="3368" spans="1:24" x14ac:dyDescent="0.25">
      <c r="A3368" s="1">
        <v>0.33750000000000002</v>
      </c>
      <c r="B3368" s="2">
        <v>6.29</v>
      </c>
      <c r="C3368" s="2">
        <v>3.7</v>
      </c>
      <c r="D3368" s="2">
        <v>4.9399999999999995</v>
      </c>
      <c r="E3368" s="2">
        <v>5.18</v>
      </c>
      <c r="F3368" s="2">
        <v>2.8899999999999997</v>
      </c>
      <c r="G3368" s="6">
        <v>7601.8703217174761</v>
      </c>
      <c r="H3368" s="6">
        <v>14374.256220538595</v>
      </c>
      <c r="I3368" s="6">
        <v>7725.8127936497394</v>
      </c>
      <c r="J3368" s="6">
        <v>8739.3588737913542</v>
      </c>
      <c r="K3368" s="6">
        <v>15604.545994197159</v>
      </c>
    </row>
    <row r="3369" spans="1:24" x14ac:dyDescent="0.25">
      <c r="A3369" s="1">
        <v>0.33819444444444402</v>
      </c>
      <c r="B3369" s="2">
        <v>6.12</v>
      </c>
      <c r="C3369" s="2">
        <v>3.83</v>
      </c>
      <c r="D3369" s="2">
        <v>5.2799999999999994</v>
      </c>
      <c r="E3369" s="2">
        <v>5.4899999999999993</v>
      </c>
      <c r="F3369" s="2">
        <v>3.11</v>
      </c>
      <c r="G3369" s="6">
        <v>10554.273584316279</v>
      </c>
      <c r="H3369" s="6">
        <v>15797.584026992072</v>
      </c>
      <c r="I3369" s="6">
        <v>10151.050221184832</v>
      </c>
      <c r="J3369" s="6">
        <v>9705.2869653873549</v>
      </c>
      <c r="K3369" s="6">
        <v>9939.5737515043511</v>
      </c>
    </row>
    <row r="3370" spans="1:24" x14ac:dyDescent="0.25">
      <c r="A3370" s="1">
        <v>0.33888888888888902</v>
      </c>
      <c r="B3370" s="2">
        <v>6.24</v>
      </c>
      <c r="C3370" s="2">
        <v>3.67</v>
      </c>
      <c r="D3370" s="2">
        <v>5.1499999999999995</v>
      </c>
      <c r="E3370" s="2">
        <v>5.3599999999999994</v>
      </c>
      <c r="F3370" s="2">
        <v>2.8899999999999997</v>
      </c>
      <c r="G3370" s="6">
        <v>13597.970943191518</v>
      </c>
      <c r="H3370" s="6">
        <v>15807.080953320701</v>
      </c>
      <c r="I3370" s="6">
        <v>10505.672714971701</v>
      </c>
      <c r="J3370" s="6">
        <v>11799.337736731753</v>
      </c>
      <c r="K3370" s="6">
        <v>11910.586809735327</v>
      </c>
    </row>
    <row r="3371" spans="1:24" x14ac:dyDescent="0.25">
      <c r="A3371" s="1">
        <v>0.33958333333333302</v>
      </c>
      <c r="B3371" s="2">
        <v>6.3100000000000005</v>
      </c>
      <c r="C3371" s="2">
        <v>3.73</v>
      </c>
      <c r="D3371" s="2">
        <v>4.8999999999999995</v>
      </c>
      <c r="E3371" s="2">
        <v>5.26</v>
      </c>
      <c r="F3371" s="2">
        <v>3.02</v>
      </c>
      <c r="G3371" s="6">
        <v>14061.137775685384</v>
      </c>
      <c r="H3371" s="6">
        <v>12479.70085846061</v>
      </c>
      <c r="I3371" s="6">
        <v>9159.0618110147025</v>
      </c>
      <c r="J3371" s="6">
        <v>10173.269329861987</v>
      </c>
      <c r="K3371" s="6">
        <v>15384.24576208882</v>
      </c>
    </row>
    <row r="3372" spans="1:24" x14ac:dyDescent="0.25">
      <c r="A3372" s="1">
        <v>0.34027777777777801</v>
      </c>
      <c r="B3372" s="2">
        <v>6.26</v>
      </c>
      <c r="C3372" s="2">
        <v>3.8200000000000003</v>
      </c>
      <c r="D3372" s="2">
        <v>5.13</v>
      </c>
      <c r="E3372" s="2">
        <v>5.14</v>
      </c>
      <c r="F3372" s="2">
        <v>2.9499999999999997</v>
      </c>
      <c r="G3372" s="6">
        <v>14071.210609182519</v>
      </c>
      <c r="H3372" s="6">
        <v>13543.614497372026</v>
      </c>
      <c r="I3372" s="6">
        <v>12930.955552329573</v>
      </c>
      <c r="J3372" s="6">
        <v>8556.9224042111637</v>
      </c>
      <c r="K3372" s="6">
        <v>10076.369496023824</v>
      </c>
    </row>
    <row r="3373" spans="1:24" x14ac:dyDescent="0.25">
      <c r="A3373" s="1">
        <v>0.34097222222222201</v>
      </c>
      <c r="B3373" s="2">
        <v>6.12</v>
      </c>
      <c r="C3373" s="2">
        <v>3.73</v>
      </c>
      <c r="D3373" s="2">
        <v>5.2299999999999995</v>
      </c>
      <c r="E3373" s="2">
        <v>5.1199999999999992</v>
      </c>
      <c r="F3373" s="2">
        <v>3.32</v>
      </c>
      <c r="G3373" s="6">
        <v>7029.7914917876924</v>
      </c>
      <c r="H3373" s="6">
        <v>10206.79613096225</v>
      </c>
      <c r="I3373" s="6">
        <v>12202.231490516175</v>
      </c>
      <c r="J3373" s="6">
        <v>10378.40439173131</v>
      </c>
      <c r="K3373" s="6">
        <v>15861.098260045503</v>
      </c>
    </row>
    <row r="3374" spans="1:24" x14ac:dyDescent="0.25">
      <c r="A3374" s="1">
        <v>0.34166666666666701</v>
      </c>
      <c r="B3374" s="2">
        <v>6.26</v>
      </c>
      <c r="C3374" s="2">
        <v>3.88</v>
      </c>
      <c r="D3374" s="2">
        <v>4.96</v>
      </c>
      <c r="E3374" s="2">
        <v>5.43</v>
      </c>
      <c r="F3374" s="2">
        <v>2.9</v>
      </c>
      <c r="G3374" s="6">
        <v>13147.453549793925</v>
      </c>
      <c r="H3374" s="6">
        <v>7147.8017089320574</v>
      </c>
      <c r="I3374" s="6">
        <v>11743.11567958683</v>
      </c>
      <c r="J3374" s="6">
        <v>10439.506200469927</v>
      </c>
      <c r="K3374" s="6">
        <v>13515.406538687252</v>
      </c>
    </row>
    <row r="3375" spans="1:24" x14ac:dyDescent="0.25">
      <c r="A3375" s="1">
        <v>0.34236111111111101</v>
      </c>
      <c r="B3375" s="2">
        <v>6.23</v>
      </c>
      <c r="C3375" s="2">
        <v>3.73</v>
      </c>
      <c r="D3375" s="2">
        <v>5.12</v>
      </c>
      <c r="E3375" s="2">
        <v>5.6899999999999995</v>
      </c>
      <c r="F3375" s="2">
        <v>2.8899999999999997</v>
      </c>
      <c r="G3375" s="6">
        <v>6685.3252208653794</v>
      </c>
      <c r="H3375" s="6">
        <v>12853.866349743252</v>
      </c>
      <c r="I3375" s="6">
        <v>10657.316218013295</v>
      </c>
      <c r="J3375" s="6">
        <v>9240.6833634910472</v>
      </c>
      <c r="K3375" s="6">
        <v>13808.689576846798</v>
      </c>
    </row>
    <row r="3376" spans="1:24" x14ac:dyDescent="0.25">
      <c r="A3376" s="1">
        <v>0.343055555555556</v>
      </c>
      <c r="B3376" s="2">
        <v>6.38</v>
      </c>
      <c r="C3376" s="2">
        <v>3.91</v>
      </c>
      <c r="D3376" s="2">
        <v>5.17</v>
      </c>
      <c r="E3376" s="2">
        <v>5.47</v>
      </c>
      <c r="F3376" s="2">
        <v>3.28</v>
      </c>
      <c r="G3376" s="6">
        <v>11262.225855417108</v>
      </c>
      <c r="H3376" s="6">
        <v>8377.7311095249697</v>
      </c>
      <c r="I3376" s="6">
        <v>11940.04507146608</v>
      </c>
      <c r="J3376" s="6">
        <v>10181.001776839606</v>
      </c>
      <c r="K3376" s="6">
        <v>13635.074478661969</v>
      </c>
    </row>
    <row r="3377" spans="1:11" x14ac:dyDescent="0.25">
      <c r="A3377" s="1">
        <v>0.34375</v>
      </c>
      <c r="B3377" s="2">
        <v>6.21</v>
      </c>
      <c r="C3377" s="2">
        <v>3.8600000000000003</v>
      </c>
      <c r="D3377" s="2">
        <v>5.21</v>
      </c>
      <c r="E3377" s="2">
        <v>5.42</v>
      </c>
      <c r="F3377" s="2">
        <v>3.19</v>
      </c>
      <c r="G3377" s="6">
        <v>13268.180093692485</v>
      </c>
      <c r="H3377" s="6">
        <v>9610.2296310605161</v>
      </c>
      <c r="I3377" s="6">
        <v>6691.4262045199639</v>
      </c>
      <c r="J3377" s="6">
        <v>10447.646566484396</v>
      </c>
      <c r="K3377" s="6">
        <v>9810.3330825250687</v>
      </c>
    </row>
    <row r="3378" spans="1:11" x14ac:dyDescent="0.25">
      <c r="A3378" s="1">
        <v>0.344444444444444</v>
      </c>
      <c r="B3378" s="2">
        <v>6.37</v>
      </c>
      <c r="C3378" s="2">
        <v>3.63</v>
      </c>
      <c r="D3378" s="2">
        <v>5.35</v>
      </c>
      <c r="E3378" s="2">
        <v>5.4899999999999993</v>
      </c>
      <c r="F3378" s="2">
        <v>3.01</v>
      </c>
      <c r="G3378" s="6">
        <v>12375.755188510848</v>
      </c>
      <c r="H3378" s="6">
        <v>7934.8599733810406</v>
      </c>
      <c r="I3378" s="6">
        <v>13750.023584957489</v>
      </c>
      <c r="J3378" s="6">
        <v>9855.3705628008775</v>
      </c>
      <c r="K3378" s="6">
        <v>12082.488223469802</v>
      </c>
    </row>
    <row r="3379" spans="1:11" x14ac:dyDescent="0.25">
      <c r="A3379" s="1">
        <v>0.34513888888888899</v>
      </c>
      <c r="B3379" s="2">
        <v>6.15</v>
      </c>
      <c r="C3379" s="2">
        <v>3.75</v>
      </c>
      <c r="D3379" s="2">
        <v>5.14</v>
      </c>
      <c r="E3379" s="2">
        <v>5.43</v>
      </c>
      <c r="F3379" s="2">
        <v>2.9299999999999997</v>
      </c>
      <c r="G3379" s="6">
        <v>9953.6470155915304</v>
      </c>
      <c r="H3379" s="6">
        <v>16416.340570976943</v>
      </c>
      <c r="I3379" s="6">
        <v>7671.6596871805632</v>
      </c>
      <c r="J3379" s="6">
        <v>8354.8946714592112</v>
      </c>
      <c r="K3379" s="6">
        <v>12181.891479250578</v>
      </c>
    </row>
    <row r="3380" spans="1:11" x14ac:dyDescent="0.25">
      <c r="A3380" s="1">
        <v>0.34583333333333299</v>
      </c>
      <c r="B3380" s="2">
        <v>6.17</v>
      </c>
      <c r="C3380" s="2">
        <v>3.8000000000000003</v>
      </c>
      <c r="D3380" s="2">
        <v>5.27</v>
      </c>
      <c r="E3380" s="2">
        <v>5.33</v>
      </c>
      <c r="F3380" s="2">
        <v>3.23</v>
      </c>
      <c r="G3380" s="6">
        <v>10536.719996638205</v>
      </c>
      <c r="H3380" s="6">
        <v>14108.277835157496</v>
      </c>
      <c r="I3380" s="6">
        <v>13604.263626265067</v>
      </c>
      <c r="J3380" s="6">
        <v>8087.0427507495069</v>
      </c>
      <c r="K3380" s="6">
        <v>16135.875162508137</v>
      </c>
    </row>
    <row r="3381" spans="1:11" x14ac:dyDescent="0.25">
      <c r="A3381" s="1">
        <v>0.34652777777777799</v>
      </c>
      <c r="B3381" s="2">
        <v>6.3100000000000005</v>
      </c>
      <c r="C3381" s="2">
        <v>3.79</v>
      </c>
      <c r="D3381" s="2">
        <v>5.0199999999999996</v>
      </c>
      <c r="E3381" s="2">
        <v>5.43</v>
      </c>
      <c r="F3381" s="2">
        <v>3.2199999999999998</v>
      </c>
      <c r="G3381" s="6">
        <v>8302.3878969038597</v>
      </c>
      <c r="H3381" s="6">
        <v>7876.6883302035585</v>
      </c>
      <c r="I3381" s="6">
        <v>9466.3657706109352</v>
      </c>
      <c r="J3381" s="6">
        <v>10102.58782860756</v>
      </c>
      <c r="K3381" s="6">
        <v>11808.83030070058</v>
      </c>
    </row>
    <row r="3382" spans="1:11" x14ac:dyDescent="0.25">
      <c r="A3382" s="1">
        <v>0.34722222222222199</v>
      </c>
      <c r="B3382" s="2">
        <v>6.37</v>
      </c>
      <c r="C3382" s="2">
        <v>3.85</v>
      </c>
      <c r="D3382" s="2">
        <v>5.18</v>
      </c>
      <c r="E3382" s="2">
        <v>5.4899999999999993</v>
      </c>
      <c r="F3382" s="2">
        <v>2.9099999999999997</v>
      </c>
      <c r="G3382" s="6">
        <v>6925.2352387605388</v>
      </c>
      <c r="H3382" s="6">
        <v>11168.549878290776</v>
      </c>
      <c r="I3382" s="6">
        <v>9973.8756466947325</v>
      </c>
      <c r="J3382" s="6">
        <v>10118.995040119196</v>
      </c>
      <c r="K3382" s="6">
        <v>9055.4924298780152</v>
      </c>
    </row>
    <row r="3383" spans="1:11" x14ac:dyDescent="0.25">
      <c r="A3383" s="1">
        <v>0.34791666666666698</v>
      </c>
      <c r="B3383" s="2">
        <v>6.16</v>
      </c>
      <c r="C3383" s="2">
        <v>3.8200000000000003</v>
      </c>
      <c r="D3383" s="2">
        <v>4.9399999999999995</v>
      </c>
      <c r="E3383" s="2">
        <v>5.5299999999999994</v>
      </c>
      <c r="F3383" s="2">
        <v>2.92</v>
      </c>
      <c r="G3383" s="6">
        <v>10300.314178087261</v>
      </c>
      <c r="H3383" s="6">
        <v>15527.048498092085</v>
      </c>
      <c r="I3383" s="6">
        <v>8500.4023749138796</v>
      </c>
      <c r="J3383" s="6">
        <v>11333.854957762715</v>
      </c>
      <c r="K3383" s="6">
        <v>13949.030112108081</v>
      </c>
    </row>
    <row r="3384" spans="1:11" x14ac:dyDescent="0.25">
      <c r="A3384" s="1">
        <v>0.34861111111111098</v>
      </c>
      <c r="B3384" s="2">
        <v>6.15</v>
      </c>
      <c r="C3384" s="2">
        <v>3.81</v>
      </c>
      <c r="D3384" s="2">
        <v>5.04</v>
      </c>
      <c r="E3384" s="2">
        <v>5.6</v>
      </c>
      <c r="F3384" s="2">
        <v>3.27</v>
      </c>
      <c r="G3384" s="6">
        <v>6685.4081838501652</v>
      </c>
      <c r="H3384" s="6">
        <v>12877.739878102368</v>
      </c>
      <c r="I3384" s="6">
        <v>12216.12850955467</v>
      </c>
      <c r="J3384" s="6">
        <v>10907.856271112376</v>
      </c>
      <c r="K3384" s="6">
        <v>12778.29027729772</v>
      </c>
    </row>
    <row r="3385" spans="1:11" x14ac:dyDescent="0.25">
      <c r="A3385" s="1">
        <v>0.34930555555555598</v>
      </c>
      <c r="B3385" s="2">
        <v>6.13</v>
      </c>
      <c r="C3385" s="2">
        <v>3.88</v>
      </c>
      <c r="D3385" s="2">
        <v>5.2399999999999993</v>
      </c>
      <c r="E3385" s="2">
        <v>5.76</v>
      </c>
      <c r="F3385" s="2">
        <v>3.26</v>
      </c>
      <c r="G3385" s="6">
        <v>12886.910060993798</v>
      </c>
      <c r="H3385" s="6">
        <v>14807.047995920952</v>
      </c>
      <c r="I3385" s="6">
        <v>12867.253815780825</v>
      </c>
      <c r="J3385" s="6">
        <v>10955.80130315757</v>
      </c>
      <c r="K3385" s="6">
        <v>10659.381345628686</v>
      </c>
    </row>
    <row r="3386" spans="1:11" x14ac:dyDescent="0.25">
      <c r="A3386" s="1">
        <v>0.35</v>
      </c>
      <c r="B3386" s="2">
        <v>6.38</v>
      </c>
      <c r="C3386" s="2">
        <v>3.71</v>
      </c>
      <c r="D3386" s="2">
        <v>5.0199999999999996</v>
      </c>
      <c r="E3386" s="2">
        <v>5.31</v>
      </c>
      <c r="F3386" s="2">
        <v>3.02</v>
      </c>
      <c r="G3386" s="6">
        <v>7519.4875776680865</v>
      </c>
      <c r="H3386" s="6">
        <v>13681.967040410618</v>
      </c>
      <c r="I3386" s="6">
        <v>12512.832235838416</v>
      </c>
      <c r="J3386" s="6">
        <v>10685.360561666774</v>
      </c>
      <c r="K3386" s="6">
        <v>11217.809967279789</v>
      </c>
    </row>
    <row r="3387" spans="1:11" x14ac:dyDescent="0.25">
      <c r="A3387" s="1">
        <v>0.35069444444444398</v>
      </c>
      <c r="B3387" s="2">
        <v>6.21</v>
      </c>
      <c r="C3387" s="2">
        <v>3.63</v>
      </c>
      <c r="D3387" s="2">
        <v>5.0299999999999994</v>
      </c>
      <c r="E3387" s="2">
        <v>5.1899999999999995</v>
      </c>
      <c r="F3387" s="2">
        <v>3.12</v>
      </c>
      <c r="G3387" s="6">
        <v>11577.573439723017</v>
      </c>
      <c r="H3387" s="6">
        <v>13291.990038703389</v>
      </c>
      <c r="I3387" s="6">
        <v>14030.173344558159</v>
      </c>
      <c r="J3387" s="6">
        <v>10004.047906883361</v>
      </c>
      <c r="K3387" s="6">
        <v>13928.041013090777</v>
      </c>
    </row>
    <row r="3388" spans="1:11" x14ac:dyDescent="0.25">
      <c r="A3388" s="1">
        <v>0.35138888888888897</v>
      </c>
      <c r="B3388" s="2">
        <v>6.17</v>
      </c>
      <c r="C3388" s="2">
        <v>3.65</v>
      </c>
      <c r="D3388" s="2">
        <v>5.05</v>
      </c>
      <c r="E3388" s="2">
        <v>5.39</v>
      </c>
      <c r="F3388" s="2">
        <v>2.8899999999999997</v>
      </c>
      <c r="G3388" s="6">
        <v>12760.420434332173</v>
      </c>
      <c r="H3388" s="6">
        <v>17052.096517647489</v>
      </c>
      <c r="I3388" s="6">
        <v>7368.0687290515189</v>
      </c>
      <c r="J3388" s="6">
        <v>10622.642876390721</v>
      </c>
      <c r="K3388" s="6">
        <v>10201.152031205111</v>
      </c>
    </row>
    <row r="3389" spans="1:11" x14ac:dyDescent="0.25">
      <c r="A3389" s="1">
        <v>0.35208333333333303</v>
      </c>
      <c r="B3389" s="2">
        <v>6.26</v>
      </c>
      <c r="C3389" s="2">
        <v>3.67</v>
      </c>
      <c r="D3389" s="2">
        <v>5.0999999999999996</v>
      </c>
      <c r="E3389" s="2">
        <v>5.58</v>
      </c>
      <c r="F3389" s="2">
        <v>3.34</v>
      </c>
      <c r="G3389" s="6">
        <v>10206.355216446589</v>
      </c>
      <c r="H3389" s="6">
        <v>12781.991591484912</v>
      </c>
      <c r="I3389" s="6">
        <v>10139.737079572984</v>
      </c>
      <c r="J3389" s="6">
        <v>8267.1495981638818</v>
      </c>
      <c r="K3389" s="6">
        <v>13039.59651731162</v>
      </c>
    </row>
    <row r="3390" spans="1:11" x14ac:dyDescent="0.25">
      <c r="A3390" s="1">
        <v>0.35277777777777802</v>
      </c>
      <c r="B3390" s="2">
        <v>6.32</v>
      </c>
      <c r="C3390" s="2">
        <v>3.8600000000000003</v>
      </c>
      <c r="D3390" s="2">
        <v>4.9499999999999993</v>
      </c>
      <c r="E3390" s="2">
        <v>5.1099999999999994</v>
      </c>
      <c r="F3390" s="2">
        <v>3.32</v>
      </c>
      <c r="G3390" s="6">
        <v>14427.260511108525</v>
      </c>
      <c r="H3390" s="6">
        <v>12118.736454100597</v>
      </c>
      <c r="I3390" s="6">
        <v>7331.681084957746</v>
      </c>
      <c r="J3390" s="6">
        <v>8827.662973950426</v>
      </c>
      <c r="K3390" s="6">
        <v>14913.020608968773</v>
      </c>
    </row>
    <row r="3391" spans="1:11" x14ac:dyDescent="0.25">
      <c r="A3391" s="1">
        <v>0.35347222222222202</v>
      </c>
      <c r="B3391" s="2">
        <v>6.23</v>
      </c>
      <c r="C3391" s="2">
        <v>3.74</v>
      </c>
      <c r="D3391" s="2">
        <v>5.35</v>
      </c>
      <c r="E3391" s="2">
        <v>5.5</v>
      </c>
      <c r="F3391" s="2">
        <v>2.9299999999999997</v>
      </c>
      <c r="G3391" s="6">
        <v>13800.598266865716</v>
      </c>
      <c r="H3391" s="6">
        <v>12086.888202977836</v>
      </c>
      <c r="I3391" s="6">
        <v>13483.923025320417</v>
      </c>
      <c r="J3391" s="6">
        <v>11723.767996164883</v>
      </c>
      <c r="K3391" s="6">
        <v>15795.760761796109</v>
      </c>
    </row>
    <row r="3392" spans="1:11" x14ac:dyDescent="0.25">
      <c r="A3392" s="1">
        <v>0.35416666666666702</v>
      </c>
      <c r="B3392" s="2">
        <v>6.3</v>
      </c>
      <c r="C3392" s="2">
        <v>3.72</v>
      </c>
      <c r="D3392" s="2">
        <v>4.9399999999999995</v>
      </c>
      <c r="E3392" s="2">
        <v>5.4499999999999993</v>
      </c>
      <c r="F3392" s="2">
        <v>3.08</v>
      </c>
      <c r="G3392" s="6">
        <v>9892.4503662857987</v>
      </c>
      <c r="H3392" s="6">
        <v>9760.9828106207897</v>
      </c>
      <c r="I3392" s="6">
        <v>9676.5858126648509</v>
      </c>
      <c r="J3392" s="6">
        <v>9433.359744254758</v>
      </c>
      <c r="K3392" s="6">
        <v>11219.785765842458</v>
      </c>
    </row>
    <row r="3393" spans="1:11" x14ac:dyDescent="0.25">
      <c r="A3393" s="1">
        <v>0.35486111111111102</v>
      </c>
      <c r="B3393" s="2">
        <v>6.33</v>
      </c>
      <c r="C3393" s="2">
        <v>3.65</v>
      </c>
      <c r="D3393" s="2">
        <v>5.01</v>
      </c>
      <c r="E3393" s="2">
        <v>5.17</v>
      </c>
      <c r="F3393" s="2">
        <v>2.88</v>
      </c>
      <c r="G3393" s="6">
        <v>9444.6482115266062</v>
      </c>
      <c r="H3393" s="6">
        <v>8266.6842735034679</v>
      </c>
      <c r="I3393" s="6">
        <v>12173.504934537668</v>
      </c>
      <c r="J3393" s="6">
        <v>9735.0516053088541</v>
      </c>
      <c r="K3393" s="6">
        <v>14156.132106998168</v>
      </c>
    </row>
    <row r="3394" spans="1:11" x14ac:dyDescent="0.25">
      <c r="A3394" s="1">
        <v>0.35555555555555601</v>
      </c>
      <c r="B3394" s="2">
        <v>6.33</v>
      </c>
      <c r="C3394" s="2">
        <v>3.77</v>
      </c>
      <c r="D3394" s="2">
        <v>5.01</v>
      </c>
      <c r="E3394" s="2">
        <v>5.76</v>
      </c>
      <c r="F3394" s="2">
        <v>3.3899999999999997</v>
      </c>
      <c r="G3394" s="6">
        <v>12055.144982334228</v>
      </c>
      <c r="H3394" s="6">
        <v>13696.232356641369</v>
      </c>
      <c r="I3394" s="6">
        <v>9885.2368553469823</v>
      </c>
      <c r="J3394" s="6">
        <v>11897.248039565546</v>
      </c>
      <c r="K3394" s="6">
        <v>15183.56421393567</v>
      </c>
    </row>
    <row r="3395" spans="1:11" x14ac:dyDescent="0.25">
      <c r="A3395" s="1">
        <v>0.35625000000000001</v>
      </c>
      <c r="B3395" s="2">
        <v>6.17</v>
      </c>
      <c r="C3395" s="2">
        <v>3.6</v>
      </c>
      <c r="D3395" s="2">
        <v>5.38</v>
      </c>
      <c r="E3395" s="2">
        <v>5.39</v>
      </c>
      <c r="F3395" s="2">
        <v>2.98</v>
      </c>
      <c r="G3395" s="6">
        <v>11451.407479958574</v>
      </c>
      <c r="H3395" s="6">
        <v>14762.242181617719</v>
      </c>
      <c r="I3395" s="6">
        <v>6397.7353002418859</v>
      </c>
      <c r="J3395" s="6">
        <v>11055.990009827043</v>
      </c>
      <c r="K3395" s="6">
        <v>13533.269867468534</v>
      </c>
    </row>
    <row r="3396" spans="1:11" x14ac:dyDescent="0.25">
      <c r="A3396" s="1">
        <v>0.35694444444444401</v>
      </c>
      <c r="B3396" s="2">
        <v>6.21</v>
      </c>
      <c r="C3396" s="2">
        <v>3.8200000000000003</v>
      </c>
      <c r="D3396" s="2">
        <v>5.31</v>
      </c>
      <c r="E3396" s="2">
        <v>5.7399999999999993</v>
      </c>
      <c r="F3396" s="2">
        <v>3.4</v>
      </c>
      <c r="G3396" s="6">
        <v>13162.724870164329</v>
      </c>
      <c r="H3396" s="6">
        <v>13869.795948597683</v>
      </c>
      <c r="I3396" s="6">
        <v>14209.225676694778</v>
      </c>
      <c r="J3396" s="6">
        <v>8645.4311536513651</v>
      </c>
      <c r="K3396" s="6">
        <v>10075.896684008179</v>
      </c>
    </row>
    <row r="3397" spans="1:11" x14ac:dyDescent="0.25">
      <c r="A3397" s="1">
        <v>0.35763888888888901</v>
      </c>
      <c r="B3397" s="2">
        <v>6.21</v>
      </c>
      <c r="C3397" s="2">
        <v>3.77</v>
      </c>
      <c r="D3397" s="2">
        <v>5.1899999999999995</v>
      </c>
      <c r="E3397" s="2">
        <v>5.26</v>
      </c>
      <c r="F3397" s="2">
        <v>3.38</v>
      </c>
      <c r="G3397" s="6">
        <v>14048.016977286885</v>
      </c>
      <c r="H3397" s="6">
        <v>14234.669571946279</v>
      </c>
      <c r="I3397" s="6">
        <v>8940.8450732076781</v>
      </c>
      <c r="J3397" s="6">
        <v>8237.9446641409977</v>
      </c>
      <c r="K3397" s="6">
        <v>13699.195655125484</v>
      </c>
    </row>
    <row r="3398" spans="1:11" x14ac:dyDescent="0.25">
      <c r="A3398" s="1">
        <v>0.358333333333333</v>
      </c>
      <c r="B3398" s="2">
        <v>6.33</v>
      </c>
      <c r="C3398" s="2">
        <v>3.83</v>
      </c>
      <c r="D3398" s="2">
        <v>5.3599999999999994</v>
      </c>
      <c r="E3398" s="2">
        <v>5.5</v>
      </c>
      <c r="F3398" s="2">
        <v>3.12</v>
      </c>
      <c r="G3398" s="6">
        <v>9871.080126835217</v>
      </c>
      <c r="H3398" s="6">
        <v>16655.226342927395</v>
      </c>
      <c r="I3398" s="6">
        <v>7356.5051478771384</v>
      </c>
      <c r="J3398" s="6">
        <v>11500.126712988837</v>
      </c>
      <c r="K3398" s="6">
        <v>15013.107808783381</v>
      </c>
    </row>
    <row r="3399" spans="1:11" x14ac:dyDescent="0.25">
      <c r="A3399" s="1">
        <v>0.359027777777778</v>
      </c>
      <c r="B3399" s="2">
        <v>6.19</v>
      </c>
      <c r="C3399" s="2">
        <v>3.88</v>
      </c>
      <c r="D3399" s="2">
        <v>5.35</v>
      </c>
      <c r="E3399" s="2">
        <v>5.71</v>
      </c>
      <c r="F3399" s="2">
        <v>2.9099999999999997</v>
      </c>
      <c r="G3399" s="6">
        <v>11500.838375635018</v>
      </c>
      <c r="H3399" s="6">
        <v>8370.6696455567198</v>
      </c>
      <c r="I3399" s="6">
        <v>11151.794367900176</v>
      </c>
      <c r="J3399" s="6">
        <v>10527.526796945074</v>
      </c>
      <c r="K3399" s="6">
        <v>12849.262285363326</v>
      </c>
    </row>
    <row r="3400" spans="1:11" x14ac:dyDescent="0.25">
      <c r="A3400" s="1">
        <v>0.359722222222222</v>
      </c>
      <c r="B3400" s="2">
        <v>6.38</v>
      </c>
      <c r="C3400" s="2">
        <v>3.63</v>
      </c>
      <c r="D3400" s="2">
        <v>5</v>
      </c>
      <c r="E3400" s="2">
        <v>5.76</v>
      </c>
      <c r="F3400" s="2">
        <v>3.05</v>
      </c>
      <c r="G3400" s="6">
        <v>8192.1522393323849</v>
      </c>
      <c r="H3400" s="6">
        <v>17011.475384966958</v>
      </c>
      <c r="I3400" s="6">
        <v>10462.964974363464</v>
      </c>
      <c r="J3400" s="6">
        <v>12033.569429307217</v>
      </c>
      <c r="K3400" s="6">
        <v>10483.097593491777</v>
      </c>
    </row>
    <row r="3401" spans="1:11" x14ac:dyDescent="0.25">
      <c r="A3401" s="1">
        <v>0.360416666666667</v>
      </c>
      <c r="B3401" s="2">
        <v>6.2</v>
      </c>
      <c r="C3401" s="2">
        <v>3.75</v>
      </c>
      <c r="D3401" s="2">
        <v>4.8999999999999995</v>
      </c>
      <c r="E3401" s="2">
        <v>5.1599999999999993</v>
      </c>
      <c r="F3401" s="2">
        <v>3.03</v>
      </c>
      <c r="G3401" s="6">
        <v>10892.544543189468</v>
      </c>
      <c r="H3401" s="6">
        <v>13457.195323288308</v>
      </c>
      <c r="I3401" s="6">
        <v>7317.2660668812732</v>
      </c>
      <c r="J3401" s="6">
        <v>11345.113333189744</v>
      </c>
      <c r="K3401" s="6">
        <v>12031.433190322352</v>
      </c>
    </row>
    <row r="3402" spans="1:11" x14ac:dyDescent="0.25">
      <c r="A3402" s="1">
        <v>0.36111111111111099</v>
      </c>
      <c r="B3402" s="2">
        <v>6.3500000000000005</v>
      </c>
      <c r="C3402" s="2">
        <v>3.83</v>
      </c>
      <c r="D3402" s="2">
        <v>4.9399999999999995</v>
      </c>
      <c r="E3402" s="2">
        <v>5.38</v>
      </c>
      <c r="F3402" s="2">
        <v>3.08</v>
      </c>
      <c r="G3402" s="6">
        <v>15122.312861778484</v>
      </c>
      <c r="H3402" s="6">
        <v>15962.026938565426</v>
      </c>
      <c r="I3402" s="6">
        <v>10750.723192391129</v>
      </c>
      <c r="J3402" s="6">
        <v>11179.21015825269</v>
      </c>
      <c r="K3402" s="6">
        <v>15992.754492677685</v>
      </c>
    </row>
    <row r="3403" spans="1:11" x14ac:dyDescent="0.25">
      <c r="A3403" s="1">
        <v>0.36180555555555599</v>
      </c>
      <c r="B3403" s="2">
        <v>6.28</v>
      </c>
      <c r="C3403" s="2">
        <v>3.75</v>
      </c>
      <c r="D3403" s="2">
        <v>5.0199999999999996</v>
      </c>
      <c r="E3403" s="2">
        <v>5.46</v>
      </c>
      <c r="F3403" s="2">
        <v>3.16</v>
      </c>
      <c r="G3403" s="6">
        <v>10596.492723848234</v>
      </c>
      <c r="H3403" s="6">
        <v>12139.782307153871</v>
      </c>
      <c r="I3403" s="6">
        <v>7794.8539767632737</v>
      </c>
      <c r="J3403" s="6">
        <v>11787.072547402984</v>
      </c>
      <c r="K3403" s="6">
        <v>9344.9003206639791</v>
      </c>
    </row>
    <row r="3404" spans="1:11" x14ac:dyDescent="0.25">
      <c r="A3404" s="1">
        <v>0.36249999999999999</v>
      </c>
      <c r="B3404" s="2">
        <v>6.26</v>
      </c>
      <c r="C3404" s="2">
        <v>3.84</v>
      </c>
      <c r="D3404" s="2">
        <v>5.27</v>
      </c>
      <c r="E3404" s="2">
        <v>5.1599999999999993</v>
      </c>
      <c r="F3404" s="2">
        <v>3.17</v>
      </c>
      <c r="G3404" s="6">
        <v>12353.094015668015</v>
      </c>
      <c r="H3404" s="6">
        <v>14407.686158669958</v>
      </c>
      <c r="I3404" s="6">
        <v>10754.951612400062</v>
      </c>
      <c r="J3404" s="6">
        <v>8045.1739659040077</v>
      </c>
      <c r="K3404" s="6">
        <v>9439.4957578618723</v>
      </c>
    </row>
    <row r="3405" spans="1:11" x14ac:dyDescent="0.25">
      <c r="A3405" s="1">
        <v>0.36319444444444399</v>
      </c>
      <c r="B3405" s="2">
        <v>6.18</v>
      </c>
      <c r="C3405" s="2">
        <v>3.7600000000000002</v>
      </c>
      <c r="D3405" s="2">
        <v>5.3699999999999992</v>
      </c>
      <c r="E3405" s="2">
        <v>5.1599999999999993</v>
      </c>
      <c r="F3405" s="2">
        <v>2.94</v>
      </c>
      <c r="G3405" s="6">
        <v>13489.27471351952</v>
      </c>
      <c r="H3405" s="6">
        <v>8563.9537846562598</v>
      </c>
      <c r="I3405" s="6">
        <v>13252.673324501784</v>
      </c>
      <c r="J3405" s="6">
        <v>11726.489884067289</v>
      </c>
      <c r="K3405" s="6">
        <v>14956.292169129461</v>
      </c>
    </row>
    <row r="3406" spans="1:11" x14ac:dyDescent="0.25">
      <c r="A3406" s="1">
        <v>0.36388888888888898</v>
      </c>
      <c r="B3406" s="2">
        <v>6.23</v>
      </c>
      <c r="C3406" s="2">
        <v>3.91</v>
      </c>
      <c r="D3406" s="2">
        <v>4.9099999999999993</v>
      </c>
      <c r="E3406" s="2">
        <v>5.6</v>
      </c>
      <c r="F3406" s="2">
        <v>3.25</v>
      </c>
      <c r="G3406" s="6">
        <v>7629.4904024390853</v>
      </c>
      <c r="H3406" s="6">
        <v>9567.6484651343508</v>
      </c>
      <c r="I3406" s="6">
        <v>9026.1299132729237</v>
      </c>
      <c r="J3406" s="6">
        <v>11363.794863814155</v>
      </c>
      <c r="K3406" s="6">
        <v>10081.534520584124</v>
      </c>
    </row>
    <row r="3407" spans="1:11" x14ac:dyDescent="0.25">
      <c r="A3407" s="1">
        <v>0.36458333333333298</v>
      </c>
      <c r="B3407" s="2">
        <v>6.38</v>
      </c>
      <c r="C3407" s="2">
        <v>3.63</v>
      </c>
      <c r="D3407" s="2">
        <v>5.16</v>
      </c>
      <c r="E3407" s="2">
        <v>5.6099999999999994</v>
      </c>
      <c r="F3407" s="2">
        <v>3.09</v>
      </c>
      <c r="G3407" s="6">
        <v>8364.2657445091245</v>
      </c>
      <c r="H3407" s="6">
        <v>13919.150623301959</v>
      </c>
      <c r="I3407" s="6">
        <v>8991.6226288398757</v>
      </c>
      <c r="J3407" s="6">
        <v>8500.9347957366135</v>
      </c>
      <c r="K3407" s="6">
        <v>13241.778196744657</v>
      </c>
    </row>
    <row r="3408" spans="1:11" x14ac:dyDescent="0.25">
      <c r="A3408" s="1">
        <v>0.36527777777777798</v>
      </c>
      <c r="B3408" s="2">
        <v>6.23</v>
      </c>
      <c r="C3408" s="2">
        <v>3.91</v>
      </c>
      <c r="D3408" s="2">
        <v>5.34</v>
      </c>
      <c r="E3408" s="2">
        <v>5.76</v>
      </c>
      <c r="F3408" s="2">
        <v>3.27</v>
      </c>
      <c r="G3408" s="6">
        <v>7778.8000480120718</v>
      </c>
      <c r="H3408" s="6">
        <v>11616.439323471739</v>
      </c>
      <c r="I3408" s="6">
        <v>13132.72053713535</v>
      </c>
      <c r="J3408" s="6">
        <v>9718.6470860145309</v>
      </c>
      <c r="K3408" s="6">
        <v>11824.491925934719</v>
      </c>
    </row>
    <row r="3409" spans="1:11" x14ac:dyDescent="0.25">
      <c r="A3409" s="1">
        <v>0.36597222222222198</v>
      </c>
      <c r="B3409" s="2">
        <v>6.2700000000000005</v>
      </c>
      <c r="C3409" s="2">
        <v>3.8200000000000003</v>
      </c>
      <c r="D3409" s="2">
        <v>5.26</v>
      </c>
      <c r="E3409" s="2">
        <v>5.6899999999999995</v>
      </c>
      <c r="F3409" s="2">
        <v>3.1</v>
      </c>
      <c r="G3409" s="6">
        <v>11069.385435446327</v>
      </c>
      <c r="H3409" s="6">
        <v>11481.593859833079</v>
      </c>
      <c r="I3409" s="6">
        <v>7092.1714103084187</v>
      </c>
      <c r="J3409" s="6">
        <v>10573.859784577422</v>
      </c>
      <c r="K3409" s="6">
        <v>11657.252936740409</v>
      </c>
    </row>
    <row r="3410" spans="1:11" x14ac:dyDescent="0.25">
      <c r="A3410" s="1">
        <v>0.36666666666666697</v>
      </c>
      <c r="B3410" s="2">
        <v>6.29</v>
      </c>
      <c r="C3410" s="2">
        <v>3.89</v>
      </c>
      <c r="D3410" s="2">
        <v>5.0299999999999994</v>
      </c>
      <c r="E3410" s="2">
        <v>5.2799999999999994</v>
      </c>
      <c r="F3410" s="2">
        <v>3.1399999999999997</v>
      </c>
      <c r="G3410" s="6">
        <v>13472.570612229021</v>
      </c>
      <c r="H3410" s="6">
        <v>9151.388280276924</v>
      </c>
      <c r="I3410" s="6">
        <v>9118.3949670613656</v>
      </c>
      <c r="J3410" s="6">
        <v>8666.4128940616938</v>
      </c>
      <c r="K3410" s="6">
        <v>9874.6363966564859</v>
      </c>
    </row>
    <row r="3411" spans="1:11" x14ac:dyDescent="0.25">
      <c r="A3411" s="1">
        <v>0.36736111111111103</v>
      </c>
      <c r="B3411" s="2">
        <v>6.37</v>
      </c>
      <c r="C3411" s="2">
        <v>3.6</v>
      </c>
      <c r="D3411" s="2">
        <v>5.0999999999999996</v>
      </c>
      <c r="E3411" s="2">
        <v>5.67</v>
      </c>
      <c r="F3411" s="2">
        <v>3.01</v>
      </c>
      <c r="G3411" s="6">
        <v>14881.575500305849</v>
      </c>
      <c r="H3411" s="6">
        <v>13424.786465595082</v>
      </c>
      <c r="I3411" s="6">
        <v>7024.410125039818</v>
      </c>
      <c r="J3411" s="6">
        <v>9953.4409422573826</v>
      </c>
      <c r="K3411" s="6">
        <v>9133.0964951391215</v>
      </c>
    </row>
    <row r="3412" spans="1:11" x14ac:dyDescent="0.25">
      <c r="A3412" s="1">
        <v>0.36805555555555602</v>
      </c>
      <c r="B3412" s="2">
        <v>6.38</v>
      </c>
      <c r="C3412" s="2">
        <v>3.72</v>
      </c>
      <c r="D3412" s="2">
        <v>5.2799999999999994</v>
      </c>
      <c r="E3412" s="2">
        <v>5.0999999999999996</v>
      </c>
      <c r="F3412" s="2">
        <v>3.26</v>
      </c>
      <c r="G3412" s="6">
        <v>14916.086141740121</v>
      </c>
      <c r="H3412" s="6">
        <v>10469.608006567285</v>
      </c>
      <c r="I3412" s="6">
        <v>9777.4374677703163</v>
      </c>
      <c r="J3412" s="6">
        <v>9025.526351799077</v>
      </c>
      <c r="K3412" s="6">
        <v>10659.227141860601</v>
      </c>
    </row>
    <row r="3413" spans="1:11" x14ac:dyDescent="0.25">
      <c r="A3413" s="1">
        <v>0.36875000000000002</v>
      </c>
      <c r="B3413" s="2">
        <v>6.3500000000000005</v>
      </c>
      <c r="C3413" s="2">
        <v>3.73</v>
      </c>
      <c r="D3413" s="2">
        <v>5.3199999999999994</v>
      </c>
      <c r="E3413" s="2">
        <v>5.2799999999999994</v>
      </c>
      <c r="F3413" s="2">
        <v>2.8899999999999997</v>
      </c>
      <c r="G3413" s="6">
        <v>7875.0229624058638</v>
      </c>
      <c r="H3413" s="6">
        <v>15109.050237451011</v>
      </c>
      <c r="I3413" s="6">
        <v>13654.549558770957</v>
      </c>
      <c r="J3413" s="6">
        <v>11705.595143593297</v>
      </c>
      <c r="K3413" s="6">
        <v>12973.494951747429</v>
      </c>
    </row>
    <row r="3414" spans="1:11" x14ac:dyDescent="0.25">
      <c r="A3414" s="1">
        <v>0.36944444444444402</v>
      </c>
      <c r="B3414" s="2">
        <v>6.15</v>
      </c>
      <c r="C3414" s="2">
        <v>3.68</v>
      </c>
      <c r="D3414" s="2">
        <v>5.33</v>
      </c>
      <c r="E3414" s="2">
        <v>5.1199999999999992</v>
      </c>
      <c r="F3414" s="2">
        <v>3</v>
      </c>
      <c r="G3414" s="6">
        <v>13993.324953362007</v>
      </c>
      <c r="H3414" s="6">
        <v>10634.113716689521</v>
      </c>
      <c r="I3414" s="6">
        <v>10781.869116739976</v>
      </c>
      <c r="J3414" s="6">
        <v>9324.9027827761183</v>
      </c>
      <c r="K3414" s="6">
        <v>14672.528284226872</v>
      </c>
    </row>
    <row r="3415" spans="1:11" x14ac:dyDescent="0.25">
      <c r="A3415" s="1">
        <v>0.37013888888888902</v>
      </c>
      <c r="B3415" s="2">
        <v>6.3100000000000005</v>
      </c>
      <c r="C3415" s="2">
        <v>3.7800000000000002</v>
      </c>
      <c r="D3415" s="2">
        <v>4.9099999999999993</v>
      </c>
      <c r="E3415" s="2">
        <v>5.76</v>
      </c>
      <c r="F3415" s="2">
        <v>3.13</v>
      </c>
      <c r="G3415" s="6">
        <v>7485.2437870031135</v>
      </c>
      <c r="H3415" s="6">
        <v>15676.918260370161</v>
      </c>
      <c r="I3415" s="6">
        <v>7207.9636476110554</v>
      </c>
      <c r="J3415" s="6">
        <v>9691.8961159605515</v>
      </c>
      <c r="K3415" s="6">
        <v>14169.373049362543</v>
      </c>
    </row>
    <row r="3416" spans="1:11" x14ac:dyDescent="0.25">
      <c r="A3416" s="1">
        <v>0.37083333333333302</v>
      </c>
      <c r="B3416" s="2">
        <v>6.18</v>
      </c>
      <c r="C3416" s="2">
        <v>3.64</v>
      </c>
      <c r="D3416" s="2">
        <v>5.3599999999999994</v>
      </c>
      <c r="E3416" s="2">
        <v>5.52</v>
      </c>
      <c r="F3416" s="2">
        <v>3.3899999999999997</v>
      </c>
      <c r="G3416" s="6">
        <v>12614.23197385524</v>
      </c>
      <c r="H3416" s="6">
        <v>17119.794279845344</v>
      </c>
      <c r="I3416" s="6">
        <v>12416.222381930156</v>
      </c>
      <c r="J3416" s="6">
        <v>10136.396954303169</v>
      </c>
      <c r="K3416" s="6">
        <v>12411.248436829461</v>
      </c>
    </row>
    <row r="3417" spans="1:11" x14ac:dyDescent="0.25">
      <c r="A3417" s="1">
        <v>0.37152777777777801</v>
      </c>
      <c r="B3417" s="2">
        <v>6.2700000000000005</v>
      </c>
      <c r="C3417" s="2">
        <v>3.64</v>
      </c>
      <c r="D3417" s="2">
        <v>5.14</v>
      </c>
      <c r="E3417" s="2">
        <v>5.5</v>
      </c>
      <c r="F3417" s="2">
        <v>3.33</v>
      </c>
      <c r="G3417" s="6">
        <v>11562.986764405863</v>
      </c>
      <c r="H3417" s="6">
        <v>9175.6208139965693</v>
      </c>
      <c r="I3417" s="6">
        <v>6138.6371273403247</v>
      </c>
      <c r="J3417" s="6">
        <v>8152.1340305221038</v>
      </c>
      <c r="K3417" s="6">
        <v>10392.536701915917</v>
      </c>
    </row>
    <row r="3418" spans="1:11" x14ac:dyDescent="0.25">
      <c r="A3418" s="1">
        <v>0.37222222222222201</v>
      </c>
      <c r="B3418" s="2">
        <v>6.33</v>
      </c>
      <c r="C3418" s="2">
        <v>3.7800000000000002</v>
      </c>
      <c r="D3418" s="2">
        <v>5.3</v>
      </c>
      <c r="E3418" s="2">
        <v>5.52</v>
      </c>
      <c r="F3418" s="2">
        <v>3.09</v>
      </c>
      <c r="G3418" s="6">
        <v>15260.119308413921</v>
      </c>
      <c r="H3418" s="6">
        <v>9443.1001712045545</v>
      </c>
      <c r="I3418" s="6">
        <v>12567.072205252674</v>
      </c>
      <c r="J3418" s="6">
        <v>12687.330439130033</v>
      </c>
      <c r="K3418" s="6">
        <v>15558.131352039445</v>
      </c>
    </row>
    <row r="3419" spans="1:11" x14ac:dyDescent="0.25">
      <c r="A3419" s="1">
        <v>0.37291666666666701</v>
      </c>
      <c r="B3419" s="2">
        <v>6.3</v>
      </c>
      <c r="C3419" s="2">
        <v>3.83</v>
      </c>
      <c r="D3419" s="2">
        <v>5.2799999999999994</v>
      </c>
      <c r="E3419" s="2">
        <v>5.55</v>
      </c>
      <c r="F3419" s="2">
        <v>3.12</v>
      </c>
      <c r="G3419" s="6">
        <v>15290.429300209586</v>
      </c>
      <c r="H3419" s="6">
        <v>9490.3628990393354</v>
      </c>
      <c r="I3419" s="6">
        <v>12564.384077271287</v>
      </c>
      <c r="J3419" s="6">
        <v>12675.568762868674</v>
      </c>
      <c r="K3419" s="6">
        <v>15521.938175826142</v>
      </c>
    </row>
    <row r="3420" spans="1:11" x14ac:dyDescent="0.25">
      <c r="A3420" s="1">
        <v>0.37361111111111101</v>
      </c>
      <c r="B3420" s="2">
        <v>6.37</v>
      </c>
      <c r="C3420" s="2">
        <v>3.84</v>
      </c>
      <c r="D3420" s="2">
        <v>5.0999999999999996</v>
      </c>
      <c r="E3420" s="2">
        <v>5.35</v>
      </c>
      <c r="F3420" s="2">
        <v>3.32</v>
      </c>
      <c r="G3420" s="6">
        <v>15234.880404370528</v>
      </c>
      <c r="H3420" s="6">
        <v>9464.658468605503</v>
      </c>
      <c r="I3420" s="6">
        <v>12587.575469060501</v>
      </c>
      <c r="J3420" s="6">
        <v>12712.525744154376</v>
      </c>
      <c r="K3420" s="6">
        <v>15551.551444004364</v>
      </c>
    </row>
    <row r="3421" spans="1:11" x14ac:dyDescent="0.25">
      <c r="A3421" s="1">
        <v>0.374305555555556</v>
      </c>
      <c r="B3421" s="2">
        <v>6.13</v>
      </c>
      <c r="C3421" s="2">
        <v>3.71</v>
      </c>
      <c r="D3421" s="2">
        <v>5.0599999999999996</v>
      </c>
      <c r="E3421" s="2">
        <v>5.2299999999999995</v>
      </c>
      <c r="F3421" s="2">
        <v>2.92</v>
      </c>
      <c r="G3421" s="6">
        <v>15218.209866937081</v>
      </c>
      <c r="H3421" s="6">
        <v>9430.6152719107413</v>
      </c>
      <c r="I3421" s="6">
        <v>13546.7515895784</v>
      </c>
      <c r="J3421" s="6">
        <v>13705.030085473642</v>
      </c>
      <c r="K3421" s="6">
        <v>15585.034525548705</v>
      </c>
    </row>
    <row r="3422" spans="1:11" x14ac:dyDescent="0.25">
      <c r="A3422" s="3">
        <v>0.375</v>
      </c>
      <c r="B3422" s="2">
        <v>6.24</v>
      </c>
      <c r="C3422" s="2">
        <v>3.8</v>
      </c>
      <c r="D3422" s="2">
        <v>5.12</v>
      </c>
      <c r="E3422" s="2">
        <v>5.38</v>
      </c>
      <c r="F3422" s="2">
        <v>3.22</v>
      </c>
      <c r="G3422" s="6">
        <v>14131</v>
      </c>
      <c r="H3422" s="6">
        <v>16341</v>
      </c>
      <c r="I3422" s="6">
        <v>14412</v>
      </c>
      <c r="J3422" s="6">
        <v>15312</v>
      </c>
      <c r="K3422" s="6">
        <v>16631</v>
      </c>
    </row>
    <row r="3423" spans="1:11" x14ac:dyDescent="0.25">
      <c r="A3423" s="1">
        <v>0.375694444444444</v>
      </c>
      <c r="B3423" s="2">
        <v>6.23</v>
      </c>
      <c r="C3423" s="2">
        <v>3.7</v>
      </c>
      <c r="D3423" s="2">
        <v>5.3</v>
      </c>
      <c r="E3423" s="2">
        <v>5.74</v>
      </c>
      <c r="F3423" s="2">
        <v>3.25</v>
      </c>
      <c r="G3423" s="6">
        <v>8478.6301743527238</v>
      </c>
      <c r="H3423" s="6">
        <v>9464.9824011725541</v>
      </c>
      <c r="I3423" s="6">
        <v>10445.879868833399</v>
      </c>
      <c r="J3423" s="6">
        <v>10474.786986302548</v>
      </c>
      <c r="K3423" s="6">
        <v>13534.799940608402</v>
      </c>
    </row>
    <row r="3424" spans="1:11" x14ac:dyDescent="0.25">
      <c r="A3424" s="1">
        <v>0.37638888888888899</v>
      </c>
      <c r="B3424" s="2">
        <v>6.21</v>
      </c>
      <c r="C3424" s="2">
        <v>3.71</v>
      </c>
      <c r="D3424" s="2">
        <v>5.38</v>
      </c>
      <c r="E3424" s="2">
        <v>5.36</v>
      </c>
      <c r="F3424" s="2">
        <v>3.2199999999999998</v>
      </c>
      <c r="G3424" s="6">
        <v>10007.569779117805</v>
      </c>
      <c r="H3424" s="6">
        <v>16853.766101804056</v>
      </c>
      <c r="I3424" s="6">
        <v>6230.5642724764139</v>
      </c>
      <c r="J3424" s="6">
        <v>8560.5076871304736</v>
      </c>
      <c r="K3424" s="6">
        <v>10832.096886341824</v>
      </c>
    </row>
    <row r="3425" spans="1:11" x14ac:dyDescent="0.25">
      <c r="A3425" s="1">
        <v>0.37708333333333299</v>
      </c>
      <c r="B3425" s="2">
        <v>6.24</v>
      </c>
      <c r="C3425" s="2">
        <v>3.7</v>
      </c>
      <c r="D3425" s="2">
        <v>4.9499999999999993</v>
      </c>
      <c r="E3425" s="2">
        <v>5.61</v>
      </c>
      <c r="F3425" s="2">
        <v>3.08</v>
      </c>
      <c r="G3425" s="6">
        <v>9119.2057521745573</v>
      </c>
      <c r="H3425" s="6">
        <v>16328.638883866559</v>
      </c>
      <c r="I3425" s="6">
        <v>13900.235075068143</v>
      </c>
      <c r="J3425" s="6">
        <v>9551.9696292469525</v>
      </c>
      <c r="K3425" s="6">
        <v>12800.628183722605</v>
      </c>
    </row>
    <row r="3426" spans="1:11" x14ac:dyDescent="0.25">
      <c r="A3426" s="1">
        <v>0.37777777777777799</v>
      </c>
      <c r="B3426" s="2">
        <v>6.3</v>
      </c>
      <c r="C3426" s="2">
        <v>3.69</v>
      </c>
      <c r="D3426" s="2">
        <v>5.26</v>
      </c>
      <c r="E3426" s="2">
        <v>5.7600000000000007</v>
      </c>
      <c r="F3426" s="2">
        <v>3</v>
      </c>
      <c r="G3426" s="6">
        <v>10795.924868602289</v>
      </c>
      <c r="H3426" s="6">
        <v>12366.622487457882</v>
      </c>
      <c r="I3426" s="6">
        <v>7396.4640318055481</v>
      </c>
      <c r="J3426" s="6">
        <v>10645.853898562238</v>
      </c>
      <c r="K3426" s="6">
        <v>11440.827178354852</v>
      </c>
    </row>
    <row r="3427" spans="1:11" x14ac:dyDescent="0.25">
      <c r="A3427" s="1">
        <v>0.37847222222222199</v>
      </c>
      <c r="B3427" s="2">
        <v>6.26</v>
      </c>
      <c r="C3427" s="2">
        <v>3.67</v>
      </c>
      <c r="D3427" s="2">
        <v>5.3199999999999994</v>
      </c>
      <c r="E3427" s="2">
        <v>5.1800000000000006</v>
      </c>
      <c r="F3427" s="2">
        <v>3.23</v>
      </c>
      <c r="G3427" s="6">
        <v>7349.3889868220076</v>
      </c>
      <c r="H3427" s="6">
        <v>8137.0176510127039</v>
      </c>
      <c r="I3427" s="6">
        <v>8996.6008041220339</v>
      </c>
      <c r="J3427" s="6">
        <v>12511.653273022735</v>
      </c>
      <c r="K3427" s="6">
        <v>14182.518248578059</v>
      </c>
    </row>
    <row r="3428" spans="1:11" x14ac:dyDescent="0.25">
      <c r="A3428" s="1">
        <v>0.37916666666666698</v>
      </c>
      <c r="B3428" s="2">
        <v>6.15</v>
      </c>
      <c r="C3428" s="2">
        <v>3.7600000000000002</v>
      </c>
      <c r="D3428" s="2">
        <v>4.8899999999999997</v>
      </c>
      <c r="E3428" s="2">
        <v>5.19</v>
      </c>
      <c r="F3428" s="2">
        <v>3.41</v>
      </c>
      <c r="G3428" s="6">
        <v>7038.8416184599409</v>
      </c>
      <c r="H3428" s="6">
        <v>17334.236645921403</v>
      </c>
      <c r="I3428" s="6">
        <v>10922.272057321967</v>
      </c>
      <c r="J3428" s="6">
        <v>8959.9327848197299</v>
      </c>
      <c r="K3428" s="6">
        <v>11574.953192626508</v>
      </c>
    </row>
    <row r="3429" spans="1:11" x14ac:dyDescent="0.25">
      <c r="A3429" s="1">
        <v>0.37986111111111098</v>
      </c>
      <c r="B3429" s="2">
        <v>6.36</v>
      </c>
      <c r="C3429" s="2">
        <v>3.72</v>
      </c>
      <c r="D3429" s="2">
        <v>5.26</v>
      </c>
      <c r="E3429" s="2">
        <v>5.6800000000000006</v>
      </c>
      <c r="F3429" s="2">
        <v>3.37</v>
      </c>
      <c r="G3429" s="6">
        <v>8020.3028358757538</v>
      </c>
      <c r="H3429" s="6">
        <v>14785.848431174531</v>
      </c>
      <c r="I3429" s="6">
        <v>7867.9036098338329</v>
      </c>
      <c r="J3429" s="6">
        <v>9193.8808117805984</v>
      </c>
      <c r="K3429" s="6">
        <v>15719.37176571025</v>
      </c>
    </row>
    <row r="3430" spans="1:11" x14ac:dyDescent="0.25">
      <c r="A3430" s="1">
        <v>0.38055555555555598</v>
      </c>
      <c r="B3430" s="2">
        <v>6.18</v>
      </c>
      <c r="C3430" s="2">
        <v>3.87</v>
      </c>
      <c r="D3430" s="2">
        <v>5.34</v>
      </c>
      <c r="E3430" s="2">
        <v>5.66</v>
      </c>
      <c r="F3430" s="2">
        <v>3.06</v>
      </c>
      <c r="G3430" s="6">
        <v>10668.81175899459</v>
      </c>
      <c r="H3430" s="6">
        <v>16060.741467799959</v>
      </c>
      <c r="I3430" s="6">
        <v>10211.871684603559</v>
      </c>
      <c r="J3430" s="6">
        <v>10041.251413235226</v>
      </c>
      <c r="K3430" s="6">
        <v>10096.998035090261</v>
      </c>
    </row>
    <row r="3431" spans="1:11" x14ac:dyDescent="0.25">
      <c r="A3431" s="1">
        <v>0.38124999999999998</v>
      </c>
      <c r="B3431" s="2">
        <v>6.29</v>
      </c>
      <c r="C3431" s="2">
        <v>3.79</v>
      </c>
      <c r="D3431" s="2">
        <v>5.2299999999999995</v>
      </c>
      <c r="E3431" s="2">
        <v>5.24</v>
      </c>
      <c r="F3431" s="2">
        <v>3.1399999999999997</v>
      </c>
      <c r="G3431" s="6">
        <v>13857.266029232567</v>
      </c>
      <c r="H3431" s="6">
        <v>15938.96864991441</v>
      </c>
      <c r="I3431" s="6">
        <v>10963.912360177976</v>
      </c>
      <c r="J3431" s="6">
        <v>11921.911473594293</v>
      </c>
      <c r="K3431" s="6">
        <v>11955.961741794819</v>
      </c>
    </row>
    <row r="3432" spans="1:11" x14ac:dyDescent="0.25">
      <c r="A3432" s="1">
        <v>0.38194444444444398</v>
      </c>
      <c r="B3432" s="2">
        <v>6.36</v>
      </c>
      <c r="C3432" s="2">
        <v>3.74</v>
      </c>
      <c r="D3432" s="2">
        <v>5.3699999999999992</v>
      </c>
      <c r="E3432" s="2">
        <v>5.24</v>
      </c>
      <c r="F3432" s="2">
        <v>2.98</v>
      </c>
      <c r="G3432" s="6">
        <v>14543.410794788124</v>
      </c>
      <c r="H3432" s="6">
        <v>12600.596476625264</v>
      </c>
      <c r="I3432" s="6">
        <v>9584.9989857255277</v>
      </c>
      <c r="J3432" s="6">
        <v>10296.331117012853</v>
      </c>
      <c r="K3432" s="6">
        <v>15422.48695129618</v>
      </c>
    </row>
    <row r="3433" spans="1:11" x14ac:dyDescent="0.25">
      <c r="A3433" s="1">
        <v>0.38263888888888897</v>
      </c>
      <c r="B3433" s="2">
        <v>6.29</v>
      </c>
      <c r="C3433" s="2">
        <v>3.8200000000000003</v>
      </c>
      <c r="D3433" s="2">
        <v>4.8999999999999995</v>
      </c>
      <c r="E3433" s="2">
        <v>5.7700000000000005</v>
      </c>
      <c r="F3433" s="2">
        <v>3.06</v>
      </c>
      <c r="G3433" s="6">
        <v>14204.810641662583</v>
      </c>
      <c r="H3433" s="6">
        <v>13961.338041906611</v>
      </c>
      <c r="I3433" s="6">
        <v>13287.976172780182</v>
      </c>
      <c r="J3433" s="6">
        <v>8870.4380243038449</v>
      </c>
      <c r="K3433" s="6">
        <v>10528.828477569175</v>
      </c>
    </row>
    <row r="3434" spans="1:11" x14ac:dyDescent="0.25">
      <c r="A3434" s="1">
        <v>0.38333333333333303</v>
      </c>
      <c r="B3434" s="2">
        <v>6.36</v>
      </c>
      <c r="C3434" s="2">
        <v>3.91</v>
      </c>
      <c r="D3434" s="2">
        <v>4.8899999999999997</v>
      </c>
      <c r="E3434" s="2">
        <v>5.5500000000000007</v>
      </c>
      <c r="F3434" s="2">
        <v>3.42</v>
      </c>
      <c r="G3434" s="6">
        <v>7437.7151129896438</v>
      </c>
      <c r="H3434" s="6">
        <v>10438.802906577974</v>
      </c>
      <c r="I3434" s="6">
        <v>12663.266863946676</v>
      </c>
      <c r="J3434" s="6">
        <v>10873.069431123595</v>
      </c>
      <c r="K3434" s="6">
        <v>16220.910722400979</v>
      </c>
    </row>
    <row r="3435" spans="1:11" x14ac:dyDescent="0.25">
      <c r="A3435" s="1">
        <v>0.38402777777777802</v>
      </c>
      <c r="B3435" s="2">
        <v>6.17</v>
      </c>
      <c r="C3435" s="2">
        <v>3.74</v>
      </c>
      <c r="D3435" s="2">
        <v>5.1899999999999995</v>
      </c>
      <c r="E3435" s="2">
        <v>5.24</v>
      </c>
      <c r="F3435" s="2">
        <v>3.38</v>
      </c>
      <c r="G3435" s="6">
        <v>13155.008296912249</v>
      </c>
      <c r="H3435" s="6">
        <v>7372.4244480103816</v>
      </c>
      <c r="I3435" s="6">
        <v>12188.778142095038</v>
      </c>
      <c r="J3435" s="6">
        <v>10447.94856273915</v>
      </c>
      <c r="K3435" s="6">
        <v>13893.979598247313</v>
      </c>
    </row>
    <row r="3436" spans="1:11" x14ac:dyDescent="0.25">
      <c r="A3436" s="1">
        <v>0.38472222222222202</v>
      </c>
      <c r="B3436" s="2">
        <v>6.3100000000000005</v>
      </c>
      <c r="C3436" s="2">
        <v>3.8200000000000003</v>
      </c>
      <c r="D3436" s="2">
        <v>5.1899999999999995</v>
      </c>
      <c r="E3436" s="2">
        <v>5.6400000000000006</v>
      </c>
      <c r="F3436" s="2">
        <v>3.34</v>
      </c>
      <c r="G3436" s="6">
        <v>7124.6875859177671</v>
      </c>
      <c r="H3436" s="6">
        <v>13052.463855180156</v>
      </c>
      <c r="I3436" s="6">
        <v>10865.501156677023</v>
      </c>
      <c r="J3436" s="6">
        <v>9406.5746421045405</v>
      </c>
      <c r="K3436" s="6">
        <v>14073.386817530518</v>
      </c>
    </row>
    <row r="3437" spans="1:11" x14ac:dyDescent="0.25">
      <c r="A3437" s="1">
        <v>0.38541666666666702</v>
      </c>
      <c r="B3437" s="2">
        <v>6.13</v>
      </c>
      <c r="C3437" s="2">
        <v>3.87</v>
      </c>
      <c r="D3437" s="2">
        <v>4.93</v>
      </c>
      <c r="E3437" s="2">
        <v>5.5100000000000007</v>
      </c>
      <c r="F3437" s="2">
        <v>3.1999999999999997</v>
      </c>
      <c r="G3437" s="6">
        <v>11612.85317887527</v>
      </c>
      <c r="H3437" s="6">
        <v>8717.2155766644519</v>
      </c>
      <c r="I3437" s="6">
        <v>12409.830922200621</v>
      </c>
      <c r="J3437" s="6">
        <v>10459.933445853138</v>
      </c>
      <c r="K3437" s="6">
        <v>13902.614464383307</v>
      </c>
    </row>
    <row r="3438" spans="1:11" x14ac:dyDescent="0.25">
      <c r="A3438" s="1">
        <v>0.38611111111111102</v>
      </c>
      <c r="B3438" s="2">
        <v>6.3</v>
      </c>
      <c r="C3438" s="2">
        <v>3.87</v>
      </c>
      <c r="D3438" s="2">
        <v>4.96</v>
      </c>
      <c r="E3438" s="2">
        <v>5.71</v>
      </c>
      <c r="F3438" s="2">
        <v>3.29</v>
      </c>
      <c r="G3438" s="6">
        <v>13288.365604587105</v>
      </c>
      <c r="H3438" s="6">
        <v>9791.5314554342622</v>
      </c>
      <c r="I3438" s="6">
        <v>7162.5667639867133</v>
      </c>
      <c r="J3438" s="6">
        <v>10947.06244521647</v>
      </c>
      <c r="K3438" s="6">
        <v>9952.9839915722368</v>
      </c>
    </row>
    <row r="3439" spans="1:11" x14ac:dyDescent="0.25">
      <c r="A3439" s="1">
        <v>0.38680555555555601</v>
      </c>
      <c r="B3439" s="2">
        <v>6.15</v>
      </c>
      <c r="C3439" s="2">
        <v>3.88</v>
      </c>
      <c r="D3439" s="2">
        <v>5.1499999999999995</v>
      </c>
      <c r="E3439" s="2">
        <v>5.45</v>
      </c>
      <c r="F3439" s="2">
        <v>3.07</v>
      </c>
      <c r="G3439" s="6">
        <v>12827.483184633104</v>
      </c>
      <c r="H3439" s="6">
        <v>7966.9512481267275</v>
      </c>
      <c r="I3439" s="6">
        <v>14116.64047679103</v>
      </c>
      <c r="J3439" s="6">
        <v>9984.2291721794536</v>
      </c>
      <c r="K3439" s="6">
        <v>12513.139814443928</v>
      </c>
    </row>
    <row r="3440" spans="1:11" x14ac:dyDescent="0.25">
      <c r="A3440" s="1">
        <v>0.38750000000000001</v>
      </c>
      <c r="B3440" s="2">
        <v>6.24</v>
      </c>
      <c r="C3440" s="2">
        <v>3.74</v>
      </c>
      <c r="D3440" s="2">
        <v>4.92</v>
      </c>
      <c r="E3440" s="2">
        <v>5.2</v>
      </c>
      <c r="F3440" s="2">
        <v>3.2199999999999998</v>
      </c>
      <c r="G3440" s="6">
        <v>10362.763049440064</v>
      </c>
      <c r="H3440" s="6">
        <v>16537.589821181275</v>
      </c>
      <c r="I3440" s="6">
        <v>7867.5890149945553</v>
      </c>
      <c r="J3440" s="6">
        <v>8743.7867108775463</v>
      </c>
      <c r="K3440" s="6">
        <v>12388.540169149905</v>
      </c>
    </row>
    <row r="3441" spans="1:11" x14ac:dyDescent="0.25">
      <c r="A3441" s="1">
        <v>0.38819444444444401</v>
      </c>
      <c r="B3441" s="2">
        <v>6.23</v>
      </c>
      <c r="C3441" s="2">
        <v>3.83</v>
      </c>
      <c r="D3441" s="2">
        <v>4.92</v>
      </c>
      <c r="E3441" s="2">
        <v>5.15</v>
      </c>
      <c r="F3441" s="2">
        <v>2.9899999999999998</v>
      </c>
      <c r="G3441" s="6">
        <v>10609.185704816338</v>
      </c>
      <c r="H3441" s="6">
        <v>14194.023676996994</v>
      </c>
      <c r="I3441" s="6">
        <v>13694.255400757404</v>
      </c>
      <c r="J3441" s="6">
        <v>8554.712062912371</v>
      </c>
      <c r="K3441" s="6">
        <v>16206.197577424742</v>
      </c>
    </row>
    <row r="3442" spans="1:11" x14ac:dyDescent="0.25">
      <c r="A3442" s="1">
        <v>0.38888888888888901</v>
      </c>
      <c r="B3442" s="2">
        <v>6.33</v>
      </c>
      <c r="C3442" s="2">
        <v>3.6</v>
      </c>
      <c r="D3442" s="2">
        <v>4.96</v>
      </c>
      <c r="E3442" s="2">
        <v>5.2700000000000005</v>
      </c>
      <c r="F3442" s="2">
        <v>3.02</v>
      </c>
      <c r="G3442" s="6">
        <v>8430.9077096689907</v>
      </c>
      <c r="H3442" s="6">
        <v>8223.3563852140869</v>
      </c>
      <c r="I3442" s="6">
        <v>9607.9021587777424</v>
      </c>
      <c r="J3442" s="6">
        <v>10121.764912034369</v>
      </c>
      <c r="K3442" s="6">
        <v>12044.978779778854</v>
      </c>
    </row>
    <row r="3443" spans="1:11" x14ac:dyDescent="0.25">
      <c r="A3443" s="1">
        <v>0.389583333333333</v>
      </c>
      <c r="B3443" s="2">
        <v>6.2700000000000005</v>
      </c>
      <c r="C3443" s="2">
        <v>3.66</v>
      </c>
      <c r="D3443" s="2">
        <v>5.39</v>
      </c>
      <c r="E3443" s="2">
        <v>5.4300000000000006</v>
      </c>
      <c r="F3443" s="2">
        <v>3.36</v>
      </c>
      <c r="G3443" s="6">
        <v>6970.5156265854439</v>
      </c>
      <c r="H3443" s="6">
        <v>11590.532231238762</v>
      </c>
      <c r="I3443" s="6">
        <v>10108.82961850207</v>
      </c>
      <c r="J3443" s="6">
        <v>10186.442330523145</v>
      </c>
      <c r="K3443" s="6">
        <v>9072.3611275405292</v>
      </c>
    </row>
    <row r="3444" spans="1:11" x14ac:dyDescent="0.25">
      <c r="A3444" s="1">
        <v>0.390277777777778</v>
      </c>
      <c r="B3444" s="2">
        <v>6.18</v>
      </c>
      <c r="C3444" s="2">
        <v>3.72</v>
      </c>
      <c r="D3444" s="2">
        <v>5.1999999999999993</v>
      </c>
      <c r="E3444" s="2">
        <v>5.37</v>
      </c>
      <c r="F3444" s="2">
        <v>2.92</v>
      </c>
      <c r="G3444" s="6">
        <v>10713.95226582219</v>
      </c>
      <c r="H3444" s="6">
        <v>15584.319649024597</v>
      </c>
      <c r="I3444" s="6">
        <v>8533.8461969844702</v>
      </c>
      <c r="J3444" s="6">
        <v>11515.325675535585</v>
      </c>
      <c r="K3444" s="6">
        <v>14164.217352978732</v>
      </c>
    </row>
    <row r="3445" spans="1:11" x14ac:dyDescent="0.25">
      <c r="A3445" s="1">
        <v>0.390972222222222</v>
      </c>
      <c r="B3445" s="2">
        <v>6.14</v>
      </c>
      <c r="C3445" s="2">
        <v>3.7800000000000002</v>
      </c>
      <c r="D3445" s="2">
        <v>5.34</v>
      </c>
      <c r="E3445" s="2">
        <v>5.7600000000000007</v>
      </c>
      <c r="F3445" s="2">
        <v>2.9299999999999997</v>
      </c>
      <c r="G3445" s="6">
        <v>7030.2259386010737</v>
      </c>
      <c r="H3445" s="6">
        <v>13112.394354450804</v>
      </c>
      <c r="I3445" s="6">
        <v>12274.253475933265</v>
      </c>
      <c r="J3445" s="6">
        <v>11030.797218043492</v>
      </c>
      <c r="K3445" s="6">
        <v>12905.648853362829</v>
      </c>
    </row>
    <row r="3446" spans="1:11" x14ac:dyDescent="0.25">
      <c r="A3446" s="1">
        <v>0.391666666666667</v>
      </c>
      <c r="B3446" s="2">
        <v>6.17</v>
      </c>
      <c r="C3446" s="2">
        <v>3.8600000000000003</v>
      </c>
      <c r="D3446" s="2">
        <v>5.1499999999999995</v>
      </c>
      <c r="E3446" s="2">
        <v>5.6300000000000008</v>
      </c>
      <c r="F3446" s="2">
        <v>2.9899999999999998</v>
      </c>
      <c r="G3446" s="6">
        <v>13037.143529846606</v>
      </c>
      <c r="H3446" s="6">
        <v>15148.392277717272</v>
      </c>
      <c r="I3446" s="6">
        <v>13197.037029196146</v>
      </c>
      <c r="J3446" s="6">
        <v>11263.877737287745</v>
      </c>
      <c r="K3446" s="6">
        <v>10876.472916200502</v>
      </c>
    </row>
    <row r="3447" spans="1:11" x14ac:dyDescent="0.25">
      <c r="A3447" s="1">
        <v>0.39236111111111099</v>
      </c>
      <c r="B3447" s="2">
        <v>6.21</v>
      </c>
      <c r="C3447" s="2">
        <v>3.62</v>
      </c>
      <c r="D3447" s="2">
        <v>5.14</v>
      </c>
      <c r="E3447" s="2">
        <v>5.44</v>
      </c>
      <c r="F3447" s="2">
        <v>3.21</v>
      </c>
      <c r="G3447" s="6">
        <v>7586.0168686653315</v>
      </c>
      <c r="H3447" s="6">
        <v>13821.031925956757</v>
      </c>
      <c r="I3447" s="6">
        <v>12799.533421245049</v>
      </c>
      <c r="J3447" s="6">
        <v>11177.566254327521</v>
      </c>
      <c r="K3447" s="6">
        <v>11421.125369003239</v>
      </c>
    </row>
    <row r="3448" spans="1:11" x14ac:dyDescent="0.25">
      <c r="A3448" s="1">
        <v>0.39305555555555599</v>
      </c>
      <c r="B3448" s="2">
        <v>6.15</v>
      </c>
      <c r="C3448" s="2">
        <v>3.9</v>
      </c>
      <c r="D3448" s="2">
        <v>5.1499999999999995</v>
      </c>
      <c r="E3448" s="2">
        <v>5.65</v>
      </c>
      <c r="F3448" s="2">
        <v>3.23</v>
      </c>
      <c r="G3448" s="6">
        <v>11611.929691079938</v>
      </c>
      <c r="H3448" s="6">
        <v>13598.75876040599</v>
      </c>
      <c r="I3448" s="6">
        <v>14219.893471749869</v>
      </c>
      <c r="J3448" s="6">
        <v>10377.700232892174</v>
      </c>
      <c r="K3448" s="6">
        <v>14099.585211196889</v>
      </c>
    </row>
    <row r="3449" spans="1:11" x14ac:dyDescent="0.25">
      <c r="A3449" s="1">
        <v>0.39374999999999999</v>
      </c>
      <c r="B3449" s="2">
        <v>6.3500000000000005</v>
      </c>
      <c r="C3449" s="2">
        <v>3.71</v>
      </c>
      <c r="D3449" s="2">
        <v>5.01</v>
      </c>
      <c r="E3449" s="2">
        <v>5.5600000000000005</v>
      </c>
      <c r="F3449" s="2">
        <v>3.1</v>
      </c>
      <c r="G3449" s="6">
        <v>12764.60908090683</v>
      </c>
      <c r="H3449" s="6">
        <v>17093.2957512598</v>
      </c>
      <c r="I3449" s="6">
        <v>7853.3888025482165</v>
      </c>
      <c r="J3449" s="6">
        <v>10639.295287656581</v>
      </c>
      <c r="K3449" s="6">
        <v>10276.572661059377</v>
      </c>
    </row>
    <row r="3450" spans="1:11" x14ac:dyDescent="0.25">
      <c r="A3450" s="1">
        <v>0.39444444444444399</v>
      </c>
      <c r="B3450" s="2">
        <v>6.26</v>
      </c>
      <c r="C3450" s="2">
        <v>3.71</v>
      </c>
      <c r="D3450" s="2">
        <v>5.1899999999999995</v>
      </c>
      <c r="E3450" s="2">
        <v>5.21</v>
      </c>
      <c r="F3450" s="2">
        <v>3.05</v>
      </c>
      <c r="G3450" s="6">
        <v>10337.199322360835</v>
      </c>
      <c r="H3450" s="6">
        <v>12853.126701552721</v>
      </c>
      <c r="I3450" s="6">
        <v>10605.603651137379</v>
      </c>
      <c r="J3450" s="6">
        <v>8568.3461774641037</v>
      </c>
      <c r="K3450" s="6">
        <v>13056.491675473786</v>
      </c>
    </row>
    <row r="3451" spans="1:11" x14ac:dyDescent="0.25">
      <c r="A3451" s="1">
        <v>0.39513888888888898</v>
      </c>
      <c r="B3451" s="2">
        <v>6.22</v>
      </c>
      <c r="C3451" s="2">
        <v>3.67</v>
      </c>
      <c r="D3451" s="2">
        <v>4.93</v>
      </c>
      <c r="E3451" s="2">
        <v>5.16</v>
      </c>
      <c r="F3451" s="2">
        <v>3.01</v>
      </c>
      <c r="G3451" s="6">
        <v>14790.193380294264</v>
      </c>
      <c r="H3451" s="6">
        <v>12343.322215491511</v>
      </c>
      <c r="I3451" s="6">
        <v>7723.7119310269618</v>
      </c>
      <c r="J3451" s="6">
        <v>9240.6969886128718</v>
      </c>
      <c r="K3451" s="6">
        <v>14940.781125806225</v>
      </c>
    </row>
    <row r="3452" spans="1:11" x14ac:dyDescent="0.25">
      <c r="A3452" s="1">
        <v>0.39583333333333298</v>
      </c>
      <c r="B3452" s="2">
        <v>6.12</v>
      </c>
      <c r="C3452" s="2">
        <v>3.84</v>
      </c>
      <c r="D3452" s="2">
        <v>5.0999999999999996</v>
      </c>
      <c r="E3452" s="2">
        <v>5.12</v>
      </c>
      <c r="F3452" s="2">
        <v>3.42</v>
      </c>
      <c r="G3452" s="6">
        <v>14100.707326186732</v>
      </c>
      <c r="H3452" s="6">
        <v>12237.888099126671</v>
      </c>
      <c r="I3452" s="6">
        <v>13603.442106097171</v>
      </c>
      <c r="J3452" s="6">
        <v>11963.483588126073</v>
      </c>
      <c r="K3452" s="6">
        <v>16287.251537141714</v>
      </c>
    </row>
    <row r="3453" spans="1:11" x14ac:dyDescent="0.25">
      <c r="A3453" s="1">
        <v>0.39652777777777798</v>
      </c>
      <c r="B3453" s="2">
        <v>6.3</v>
      </c>
      <c r="C3453" s="2">
        <v>3.7600000000000002</v>
      </c>
      <c r="D3453" s="2">
        <v>5.2399999999999993</v>
      </c>
      <c r="E3453" s="2">
        <v>5.23</v>
      </c>
      <c r="F3453" s="2">
        <v>3.34</v>
      </c>
      <c r="G3453" s="6">
        <v>9915.7130331037115</v>
      </c>
      <c r="H3453" s="6">
        <v>10169.240332449663</v>
      </c>
      <c r="I3453" s="6">
        <v>10130.414611715372</v>
      </c>
      <c r="J3453" s="6">
        <v>9698.9569482353163</v>
      </c>
      <c r="K3453" s="6">
        <v>11486.558765546022</v>
      </c>
    </row>
    <row r="3454" spans="1:11" x14ac:dyDescent="0.25">
      <c r="A3454" s="1">
        <v>0.39722222222222198</v>
      </c>
      <c r="B3454" s="2">
        <v>6.17</v>
      </c>
      <c r="C3454" s="2">
        <v>3.72</v>
      </c>
      <c r="D3454" s="2">
        <v>5.3699999999999992</v>
      </c>
      <c r="E3454" s="2">
        <v>5.23</v>
      </c>
      <c r="F3454" s="2">
        <v>3.38</v>
      </c>
      <c r="G3454" s="6">
        <v>9566.3986999809913</v>
      </c>
      <c r="H3454" s="6">
        <v>8338.7211795089534</v>
      </c>
      <c r="I3454" s="6">
        <v>12631.258045542863</v>
      </c>
      <c r="J3454" s="6">
        <v>10015.825839459852</v>
      </c>
      <c r="K3454" s="6">
        <v>14259.433984207404</v>
      </c>
    </row>
    <row r="3455" spans="1:11" x14ac:dyDescent="0.25">
      <c r="A3455" s="1">
        <v>0.39791666666666697</v>
      </c>
      <c r="B3455" s="2">
        <v>6.24</v>
      </c>
      <c r="C3455" s="2">
        <v>3.9</v>
      </c>
      <c r="D3455" s="2">
        <v>4.9799999999999995</v>
      </c>
      <c r="E3455" s="2">
        <v>5.4</v>
      </c>
      <c r="F3455" s="2">
        <v>3.41</v>
      </c>
      <c r="G3455" s="6">
        <v>12244.953629729542</v>
      </c>
      <c r="H3455" s="6">
        <v>14176.53790424334</v>
      </c>
      <c r="I3455" s="6">
        <v>10303.951199143949</v>
      </c>
      <c r="J3455" s="6">
        <v>11992.301289875328</v>
      </c>
      <c r="K3455" s="6">
        <v>15543.321755817346</v>
      </c>
    </row>
    <row r="3456" spans="1:11" x14ac:dyDescent="0.25">
      <c r="A3456" s="1">
        <v>0.39861111111111103</v>
      </c>
      <c r="B3456" s="2">
        <v>6.37</v>
      </c>
      <c r="C3456" s="2">
        <v>3.72</v>
      </c>
      <c r="D3456" s="2">
        <v>5.33</v>
      </c>
      <c r="E3456" s="2">
        <v>5.7</v>
      </c>
      <c r="F3456" s="2">
        <v>3.1</v>
      </c>
      <c r="G3456" s="6">
        <v>11692.820891560812</v>
      </c>
      <c r="H3456" s="6">
        <v>15028.639063748355</v>
      </c>
      <c r="I3456" s="6">
        <v>6601.1677637374551</v>
      </c>
      <c r="J3456" s="6">
        <v>11109.436997280318</v>
      </c>
      <c r="K3456" s="6">
        <v>13990.449282455169</v>
      </c>
    </row>
    <row r="3457" spans="1:11" x14ac:dyDescent="0.25">
      <c r="A3457" s="1">
        <v>0.39930555555555602</v>
      </c>
      <c r="B3457" s="2">
        <v>6.23</v>
      </c>
      <c r="C3457" s="2">
        <v>3.83</v>
      </c>
      <c r="D3457" s="2">
        <v>5</v>
      </c>
      <c r="E3457" s="2">
        <v>5.2600000000000007</v>
      </c>
      <c r="F3457" s="2">
        <v>2.88</v>
      </c>
      <c r="G3457" s="6">
        <v>13538.029311673943</v>
      </c>
      <c r="H3457" s="6">
        <v>13883.871046601264</v>
      </c>
      <c r="I3457" s="6">
        <v>14484.674820704215</v>
      </c>
      <c r="J3457" s="6">
        <v>8949.9852249714932</v>
      </c>
      <c r="K3457" s="6">
        <v>10485.169423003199</v>
      </c>
    </row>
    <row r="3458" spans="1:11" x14ac:dyDescent="0.25">
      <c r="A3458" s="1">
        <v>0.4</v>
      </c>
      <c r="B3458" s="2">
        <v>6.24</v>
      </c>
      <c r="C3458" s="2">
        <v>3.88</v>
      </c>
      <c r="D3458" s="2">
        <v>5.3699999999999992</v>
      </c>
      <c r="E3458" s="2">
        <v>5.49</v>
      </c>
      <c r="F3458" s="2">
        <v>3.13</v>
      </c>
      <c r="G3458" s="6">
        <v>14379.503590751907</v>
      </c>
      <c r="H3458" s="6">
        <v>14402.195395159501</v>
      </c>
      <c r="I3458" s="6">
        <v>9027.1270300836877</v>
      </c>
      <c r="J3458" s="6">
        <v>8485.2514735214809</v>
      </c>
      <c r="K3458" s="6">
        <v>14160.318385234857</v>
      </c>
    </row>
    <row r="3459" spans="1:11" x14ac:dyDescent="0.25">
      <c r="A3459" s="1">
        <v>0.40069444444444402</v>
      </c>
      <c r="B3459" s="2">
        <v>6.21</v>
      </c>
      <c r="C3459" s="2">
        <v>3.69</v>
      </c>
      <c r="D3459" s="2">
        <v>5.2399999999999993</v>
      </c>
      <c r="E3459" s="2">
        <v>5.1400000000000006</v>
      </c>
      <c r="F3459" s="2">
        <v>3.1399999999999997</v>
      </c>
      <c r="G3459" s="6">
        <v>10171.655432193042</v>
      </c>
      <c r="H3459" s="6">
        <v>16967.92408550009</v>
      </c>
      <c r="I3459" s="6">
        <v>7405.2236361462037</v>
      </c>
      <c r="J3459" s="6">
        <v>11958.736891019467</v>
      </c>
      <c r="K3459" s="6">
        <v>15176.012517776555</v>
      </c>
    </row>
    <row r="3460" spans="1:11" x14ac:dyDescent="0.25">
      <c r="A3460" s="1">
        <v>0.40138888888888902</v>
      </c>
      <c r="B3460" s="2">
        <v>6.23</v>
      </c>
      <c r="C3460" s="2">
        <v>3.65</v>
      </c>
      <c r="D3460" s="2">
        <v>4.9099999999999993</v>
      </c>
      <c r="E3460" s="2">
        <v>5.1800000000000006</v>
      </c>
      <c r="F3460" s="2">
        <v>3.2399999999999998</v>
      </c>
      <c r="G3460" s="6">
        <v>11584.368565874756</v>
      </c>
      <c r="H3460" s="6">
        <v>8726.3604866780443</v>
      </c>
      <c r="I3460" s="6">
        <v>11459.239168890741</v>
      </c>
      <c r="J3460" s="6">
        <v>11027.247473656631</v>
      </c>
      <c r="K3460" s="6">
        <v>13220.238705837013</v>
      </c>
    </row>
    <row r="3461" spans="1:11" x14ac:dyDescent="0.25">
      <c r="A3461" s="1">
        <v>0.40208333333333302</v>
      </c>
      <c r="B3461" s="2">
        <v>6.15</v>
      </c>
      <c r="C3461" s="2">
        <v>3.65</v>
      </c>
      <c r="D3461" s="2">
        <v>5.33</v>
      </c>
      <c r="E3461" s="2">
        <v>5.48</v>
      </c>
      <c r="F3461" s="2">
        <v>2.96</v>
      </c>
      <c r="G3461" s="6">
        <v>8413.2200215798912</v>
      </c>
      <c r="H3461" s="6">
        <v>17302.662183152359</v>
      </c>
      <c r="I3461" s="6">
        <v>10819.400326438634</v>
      </c>
      <c r="J3461" s="6">
        <v>12394.140295847608</v>
      </c>
      <c r="K3461" s="6">
        <v>10702.511325542255</v>
      </c>
    </row>
    <row r="3462" spans="1:11" x14ac:dyDescent="0.25">
      <c r="A3462" s="1">
        <v>0.40277777777777801</v>
      </c>
      <c r="B3462" s="2">
        <v>6.22</v>
      </c>
      <c r="C3462" s="2">
        <v>3.72</v>
      </c>
      <c r="D3462" s="2">
        <v>5.26</v>
      </c>
      <c r="E3462" s="2">
        <v>5.6800000000000006</v>
      </c>
      <c r="F3462" s="2">
        <v>3.1399999999999997</v>
      </c>
      <c r="G3462" s="6">
        <v>11033.655842631504</v>
      </c>
      <c r="H3462" s="6">
        <v>13700.537001960411</v>
      </c>
      <c r="I3462" s="6">
        <v>7491.5386272389469</v>
      </c>
      <c r="J3462" s="6">
        <v>11430.387486143727</v>
      </c>
      <c r="K3462" s="6">
        <v>12191.307095207005</v>
      </c>
    </row>
    <row r="3463" spans="1:11" x14ac:dyDescent="0.25">
      <c r="A3463" s="1">
        <v>0.40347222222222201</v>
      </c>
      <c r="B3463" s="2">
        <v>6.3500000000000005</v>
      </c>
      <c r="C3463" s="2">
        <v>3.69</v>
      </c>
      <c r="D3463" s="2">
        <v>5.0299999999999994</v>
      </c>
      <c r="E3463" s="2">
        <v>5.61</v>
      </c>
      <c r="F3463" s="2">
        <v>3.03</v>
      </c>
      <c r="G3463" s="6">
        <v>15171.733599105728</v>
      </c>
      <c r="H3463" s="6">
        <v>16089.37802617578</v>
      </c>
      <c r="I3463" s="6">
        <v>11171.700531915489</v>
      </c>
      <c r="J3463" s="6">
        <v>11364.422604478521</v>
      </c>
      <c r="K3463" s="6">
        <v>16195.438637413843</v>
      </c>
    </row>
    <row r="3464" spans="1:11" x14ac:dyDescent="0.25">
      <c r="A3464" s="1">
        <v>0.40416666666666701</v>
      </c>
      <c r="B3464" s="2">
        <v>6.2</v>
      </c>
      <c r="C3464" s="2">
        <v>3.77</v>
      </c>
      <c r="D3464" s="2">
        <v>5.27</v>
      </c>
      <c r="E3464" s="2">
        <v>5.53</v>
      </c>
      <c r="F3464" s="2">
        <v>3.42</v>
      </c>
      <c r="G3464" s="6">
        <v>10900.64766474341</v>
      </c>
      <c r="H3464" s="6">
        <v>12634.053544002676</v>
      </c>
      <c r="I3464" s="6">
        <v>8022.7251913375239</v>
      </c>
      <c r="J3464" s="6">
        <v>12020.795709340915</v>
      </c>
      <c r="K3464" s="6">
        <v>9479.3871461862</v>
      </c>
    </row>
    <row r="3465" spans="1:11" x14ac:dyDescent="0.25">
      <c r="A3465" s="1">
        <v>0.40486111111111101</v>
      </c>
      <c r="B3465" s="2">
        <v>6.2</v>
      </c>
      <c r="C3465" s="2">
        <v>3.87</v>
      </c>
      <c r="D3465" s="2">
        <v>5.2799999999999994</v>
      </c>
      <c r="E3465" s="2">
        <v>5.4300000000000006</v>
      </c>
      <c r="F3465" s="2">
        <v>2.9699999999999998</v>
      </c>
      <c r="G3465" s="6">
        <v>12360.070720483383</v>
      </c>
      <c r="H3465" s="6">
        <v>14589.866285802846</v>
      </c>
      <c r="I3465" s="6">
        <v>11048.500301562031</v>
      </c>
      <c r="J3465" s="6">
        <v>8443.873271282695</v>
      </c>
      <c r="K3465" s="6">
        <v>9482.0970953552223</v>
      </c>
    </row>
    <row r="3466" spans="1:11" x14ac:dyDescent="0.25">
      <c r="A3466" s="1">
        <v>0.405555555555556</v>
      </c>
      <c r="B3466" s="2">
        <v>6.21</v>
      </c>
      <c r="C3466" s="2">
        <v>3.61</v>
      </c>
      <c r="D3466" s="2">
        <v>5.05</v>
      </c>
      <c r="E3466" s="2">
        <v>5.66</v>
      </c>
      <c r="F3466" s="2">
        <v>3.23</v>
      </c>
      <c r="G3466" s="6">
        <v>13612.500151995524</v>
      </c>
      <c r="H3466" s="6">
        <v>8887.99363510679</v>
      </c>
      <c r="I3466" s="6">
        <v>13272.910196078134</v>
      </c>
      <c r="J3466" s="6">
        <v>12196.177126672672</v>
      </c>
      <c r="K3466" s="6">
        <v>15353.13057976591</v>
      </c>
    </row>
    <row r="3467" spans="1:11" x14ac:dyDescent="0.25">
      <c r="A3467" s="1">
        <v>0.40625</v>
      </c>
      <c r="B3467" s="2">
        <v>6.2700000000000005</v>
      </c>
      <c r="C3467" s="2">
        <v>3.77</v>
      </c>
      <c r="D3467" s="2">
        <v>5.3599999999999994</v>
      </c>
      <c r="E3467" s="2">
        <v>5.65</v>
      </c>
      <c r="F3467" s="2">
        <v>3.06</v>
      </c>
      <c r="G3467" s="6">
        <v>7940.6176818490676</v>
      </c>
      <c r="H3467" s="6">
        <v>9927.3460421321433</v>
      </c>
      <c r="I3467" s="6">
        <v>9200.6526074388075</v>
      </c>
      <c r="J3467" s="6">
        <v>11647.880184334728</v>
      </c>
      <c r="K3467" s="6">
        <v>10516.832861944335</v>
      </c>
    </row>
    <row r="3468" spans="1:11" x14ac:dyDescent="0.25">
      <c r="A3468" s="1">
        <v>0.406944444444444</v>
      </c>
      <c r="B3468" s="2">
        <v>6.26</v>
      </c>
      <c r="C3468" s="2">
        <v>3.7600000000000002</v>
      </c>
      <c r="D3468" s="2">
        <v>5.25</v>
      </c>
      <c r="E3468" s="2">
        <v>5.69</v>
      </c>
      <c r="F3468" s="2">
        <v>3.07</v>
      </c>
      <c r="G3468" s="6">
        <v>8725.5901658989515</v>
      </c>
      <c r="H3468" s="6">
        <v>14206.615239505227</v>
      </c>
      <c r="I3468" s="6">
        <v>8997.3801093442235</v>
      </c>
      <c r="J3468" s="6">
        <v>8991.0256848730805</v>
      </c>
      <c r="K3468" s="6">
        <v>13369.548429283808</v>
      </c>
    </row>
    <row r="3469" spans="1:11" x14ac:dyDescent="0.25">
      <c r="A3469" s="1">
        <v>0.40763888888888899</v>
      </c>
      <c r="B3469" s="2">
        <v>6.3100000000000005</v>
      </c>
      <c r="C3469" s="2">
        <v>3.67</v>
      </c>
      <c r="D3469" s="2">
        <v>5.01</v>
      </c>
      <c r="E3469" s="2">
        <v>5.67</v>
      </c>
      <c r="F3469" s="2">
        <v>3.28</v>
      </c>
      <c r="G3469" s="6">
        <v>8001.3445421240413</v>
      </c>
      <c r="H3469" s="6">
        <v>11681.911079900159</v>
      </c>
      <c r="I3469" s="6">
        <v>13197.64174797152</v>
      </c>
      <c r="J3469" s="6">
        <v>9966.6131243886612</v>
      </c>
      <c r="K3469" s="6">
        <v>11973.935569092555</v>
      </c>
    </row>
    <row r="3470" spans="1:11" x14ac:dyDescent="0.25">
      <c r="A3470" s="1">
        <v>0.40833333333333299</v>
      </c>
      <c r="B3470" s="2">
        <v>6.19</v>
      </c>
      <c r="C3470" s="2">
        <v>3.7600000000000002</v>
      </c>
      <c r="D3470" s="2">
        <v>4.8899999999999997</v>
      </c>
      <c r="E3470" s="2">
        <v>5.71</v>
      </c>
      <c r="F3470" s="2">
        <v>3.03</v>
      </c>
      <c r="G3470" s="6">
        <v>11226.89007334823</v>
      </c>
      <c r="H3470" s="6">
        <v>11763.01570262315</v>
      </c>
      <c r="I3470" s="6">
        <v>7405.4293311670381</v>
      </c>
      <c r="J3470" s="6">
        <v>10876.115504002242</v>
      </c>
      <c r="K3470" s="6">
        <v>11748.919315489538</v>
      </c>
    </row>
    <row r="3471" spans="1:11" x14ac:dyDescent="0.25">
      <c r="A3471" s="1">
        <v>0.40902777777777799</v>
      </c>
      <c r="B3471" s="2">
        <v>6.26</v>
      </c>
      <c r="C3471" s="2">
        <v>3.85</v>
      </c>
      <c r="D3471" s="2">
        <v>5.34</v>
      </c>
      <c r="E3471" s="2">
        <v>5.42</v>
      </c>
      <c r="F3471" s="2">
        <v>3.34</v>
      </c>
      <c r="G3471" s="6">
        <v>13815.777603621285</v>
      </c>
      <c r="H3471" s="6">
        <v>9526.1090947204393</v>
      </c>
      <c r="I3471" s="6">
        <v>9368.6834870317416</v>
      </c>
      <c r="J3471" s="6">
        <v>8797.5414146769472</v>
      </c>
      <c r="K3471" s="6">
        <v>10010.437586436812</v>
      </c>
    </row>
    <row r="3472" spans="1:11" x14ac:dyDescent="0.25">
      <c r="A3472" s="1">
        <v>0.40972222222222199</v>
      </c>
      <c r="B3472" s="2">
        <v>6.2700000000000005</v>
      </c>
      <c r="C3472" s="2">
        <v>3.65</v>
      </c>
      <c r="D3472" s="2">
        <v>4.9499999999999993</v>
      </c>
      <c r="E3472" s="2">
        <v>5.37</v>
      </c>
      <c r="F3472" s="2">
        <v>3.41</v>
      </c>
      <c r="G3472" s="6">
        <v>15047.311085020381</v>
      </c>
      <c r="H3472" s="6">
        <v>13674.429319949477</v>
      </c>
      <c r="I3472" s="6">
        <v>7281.6576031503555</v>
      </c>
      <c r="J3472" s="6">
        <v>9956.2153649002976</v>
      </c>
      <c r="K3472" s="6">
        <v>9332.2561716007986</v>
      </c>
    </row>
    <row r="3473" spans="1:18" x14ac:dyDescent="0.25">
      <c r="A3473" s="1">
        <v>0.41041666666666698</v>
      </c>
      <c r="B3473" s="2">
        <v>6.14</v>
      </c>
      <c r="C3473" s="2">
        <v>3.63</v>
      </c>
      <c r="D3473" s="2">
        <v>5.0599999999999996</v>
      </c>
      <c r="E3473" s="2">
        <v>5.71</v>
      </c>
      <c r="F3473" s="2">
        <v>3.3</v>
      </c>
      <c r="G3473" s="6">
        <v>15060.894572839483</v>
      </c>
      <c r="H3473" s="6">
        <v>10926.413811480339</v>
      </c>
      <c r="I3473" s="6">
        <v>10248.492120278763</v>
      </c>
      <c r="J3473" s="6">
        <v>9425.2504013346934</v>
      </c>
      <c r="K3473" s="6">
        <v>10713.419012435301</v>
      </c>
    </row>
    <row r="3474" spans="1:18" x14ac:dyDescent="0.25">
      <c r="A3474" s="1">
        <v>0.41111111111111098</v>
      </c>
      <c r="B3474" s="2">
        <v>6.38</v>
      </c>
      <c r="C3474" s="2">
        <v>3.7</v>
      </c>
      <c r="D3474" s="2">
        <v>5.3699999999999992</v>
      </c>
      <c r="E3474" s="2">
        <v>5.7700000000000005</v>
      </c>
      <c r="F3474" s="2">
        <v>3.35</v>
      </c>
      <c r="G3474" s="6">
        <v>7989.345202902201</v>
      </c>
      <c r="H3474" s="6">
        <v>15300.1446200521</v>
      </c>
      <c r="I3474" s="6">
        <v>13994.406220347109</v>
      </c>
      <c r="J3474" s="6">
        <v>12088.053642369294</v>
      </c>
      <c r="K3474" s="6">
        <v>13166.798436134697</v>
      </c>
    </row>
    <row r="3475" spans="1:18" x14ac:dyDescent="0.25">
      <c r="A3475" s="1">
        <v>0.41180555555555598</v>
      </c>
      <c r="B3475" s="2">
        <v>6.18</v>
      </c>
      <c r="C3475" s="2">
        <v>3.64</v>
      </c>
      <c r="D3475" s="2">
        <v>5.21</v>
      </c>
      <c r="E3475" s="2">
        <v>5.53</v>
      </c>
      <c r="F3475" s="2">
        <v>3.06</v>
      </c>
      <c r="G3475" s="6">
        <v>14287.212106302035</v>
      </c>
      <c r="H3475" s="6">
        <v>10651.511275058812</v>
      </c>
      <c r="I3475" s="6">
        <v>11033.623590719842</v>
      </c>
      <c r="J3475" s="6">
        <v>9718.0383440110036</v>
      </c>
      <c r="K3475" s="6">
        <v>15141.549892633835</v>
      </c>
    </row>
    <row r="3476" spans="1:18" x14ac:dyDescent="0.25">
      <c r="A3476" s="1">
        <v>0.41249999999999998</v>
      </c>
      <c r="B3476" s="2">
        <v>6.26</v>
      </c>
      <c r="C3476" s="2">
        <v>3.89</v>
      </c>
      <c r="D3476" s="2">
        <v>5.08</v>
      </c>
      <c r="E3476" s="2">
        <v>5.69</v>
      </c>
      <c r="F3476" s="2">
        <v>2.9</v>
      </c>
      <c r="G3476" s="6">
        <v>7530.8965568097801</v>
      </c>
      <c r="H3476" s="6">
        <v>15987.115813855393</v>
      </c>
      <c r="I3476" s="6">
        <v>7681.8609678719777</v>
      </c>
      <c r="J3476" s="6">
        <v>10152.196169078652</v>
      </c>
      <c r="K3476" s="6">
        <v>14383.589994448423</v>
      </c>
    </row>
    <row r="3477" spans="1:18" x14ac:dyDescent="0.25">
      <c r="A3477" s="1">
        <v>0.41319444444444398</v>
      </c>
      <c r="B3477" s="2">
        <v>6.23</v>
      </c>
      <c r="C3477" s="2">
        <v>3.8600000000000003</v>
      </c>
      <c r="D3477" s="2">
        <v>5.13</v>
      </c>
      <c r="E3477" s="2">
        <v>5.66</v>
      </c>
      <c r="F3477" s="2">
        <v>2.96</v>
      </c>
      <c r="G3477" s="6">
        <v>12991.36177121215</v>
      </c>
      <c r="H3477" s="6">
        <v>17354.049626464654</v>
      </c>
      <c r="I3477" s="6">
        <v>12842.036931849632</v>
      </c>
      <c r="J3477" s="6">
        <v>10544.034554817128</v>
      </c>
      <c r="K3477" s="6">
        <v>12811.930013443687</v>
      </c>
    </row>
    <row r="3478" spans="1:18" x14ac:dyDescent="0.25">
      <c r="A3478" s="1">
        <v>0.41388888888888897</v>
      </c>
      <c r="B3478" s="2">
        <v>6.28</v>
      </c>
      <c r="C3478" s="2">
        <v>3.7800000000000002</v>
      </c>
      <c r="D3478" s="2">
        <v>4.9799999999999995</v>
      </c>
      <c r="E3478" s="2">
        <v>5.3900000000000006</v>
      </c>
      <c r="F3478" s="2">
        <v>2.8899999999999997</v>
      </c>
      <c r="G3478" s="6">
        <v>11970.453612192921</v>
      </c>
      <c r="H3478" s="6">
        <v>9429.0160345078348</v>
      </c>
      <c r="I3478" s="6">
        <v>6350.2520297962628</v>
      </c>
      <c r="J3478" s="6">
        <v>8626.5135211653269</v>
      </c>
      <c r="K3478" s="6">
        <v>10825.946558703312</v>
      </c>
    </row>
    <row r="3479" spans="1:18" x14ac:dyDescent="0.25">
      <c r="A3479" s="1">
        <v>0.41458333333333303</v>
      </c>
      <c r="B3479" s="2">
        <v>6.34</v>
      </c>
      <c r="C3479" s="2">
        <v>3.66</v>
      </c>
      <c r="D3479" s="2">
        <v>5</v>
      </c>
      <c r="E3479" s="2">
        <v>5.65</v>
      </c>
      <c r="F3479" s="2">
        <v>3.42</v>
      </c>
      <c r="G3479" s="6">
        <v>15654.39099558924</v>
      </c>
      <c r="H3479" s="6">
        <v>9769.2984426748862</v>
      </c>
      <c r="I3479" s="6">
        <v>12713.087576063534</v>
      </c>
      <c r="J3479" s="6">
        <v>13092.729570756192</v>
      </c>
      <c r="K3479" s="6">
        <v>15754.024226368878</v>
      </c>
    </row>
    <row r="3480" spans="1:18" x14ac:dyDescent="0.25">
      <c r="A3480" s="1">
        <v>0.41527777777777802</v>
      </c>
      <c r="B3480" s="2">
        <v>6.21</v>
      </c>
      <c r="C3480" s="2">
        <v>3.72</v>
      </c>
      <c r="D3480" s="2">
        <v>4.8999999999999995</v>
      </c>
      <c r="E3480" s="2">
        <v>5.16</v>
      </c>
      <c r="F3480" s="2">
        <v>3.34</v>
      </c>
      <c r="G3480" s="6">
        <v>15642.706383378949</v>
      </c>
      <c r="H3480" s="6">
        <v>9948.2076001856421</v>
      </c>
      <c r="I3480" s="6">
        <v>12608.56848549098</v>
      </c>
      <c r="J3480" s="6">
        <v>12811.879184923415</v>
      </c>
      <c r="K3480" s="6">
        <v>15791.89944788918</v>
      </c>
    </row>
    <row r="3481" spans="1:18" x14ac:dyDescent="0.25">
      <c r="A3481" s="1">
        <v>0.41597222222222202</v>
      </c>
      <c r="B3481" s="2">
        <v>6.17</v>
      </c>
      <c r="C3481" s="2">
        <v>3.8000000000000003</v>
      </c>
      <c r="D3481" s="2">
        <v>5.12</v>
      </c>
      <c r="E3481" s="2">
        <v>5.24</v>
      </c>
      <c r="F3481" s="2">
        <v>3.28</v>
      </c>
      <c r="G3481" s="6">
        <v>15710.61804754989</v>
      </c>
      <c r="H3481" s="6">
        <v>9722.2222707129513</v>
      </c>
      <c r="I3481" s="6">
        <v>13062.893082592293</v>
      </c>
      <c r="J3481" s="6">
        <v>12920.568946342795</v>
      </c>
      <c r="K3481" s="6">
        <v>15827.433544730167</v>
      </c>
    </row>
    <row r="3482" spans="1:18" x14ac:dyDescent="0.25">
      <c r="A3482" s="3">
        <v>0.41666666666666702</v>
      </c>
      <c r="B3482" s="2">
        <v>6.24</v>
      </c>
      <c r="C3482" s="2">
        <v>3.81</v>
      </c>
      <c r="D3482" s="2">
        <v>5.12</v>
      </c>
      <c r="E3482" s="2">
        <v>5.39</v>
      </c>
      <c r="F3482" s="2">
        <v>3.22</v>
      </c>
      <c r="G3482" s="6">
        <v>11312</v>
      </c>
      <c r="H3482" s="6">
        <v>13213</v>
      </c>
      <c r="I3482" s="6">
        <v>12113</v>
      </c>
      <c r="J3482" s="6">
        <v>15312</v>
      </c>
      <c r="K3482" s="6">
        <v>15212</v>
      </c>
      <c r="M3482" s="6"/>
      <c r="N3482" s="6"/>
      <c r="O3482" s="6"/>
      <c r="P3482" s="6"/>
      <c r="Q3482" s="6"/>
    </row>
    <row r="3483" spans="1:18" x14ac:dyDescent="0.25">
      <c r="A3483" s="1">
        <v>0.41736111111111102</v>
      </c>
      <c r="B3483" s="2">
        <v>6.21</v>
      </c>
      <c r="C3483" s="2">
        <v>3.76</v>
      </c>
      <c r="D3483" s="2">
        <v>5.2399999999999993</v>
      </c>
      <c r="E3483" s="2">
        <v>5.67</v>
      </c>
      <c r="F3483" s="2">
        <v>3.01</v>
      </c>
      <c r="G3483" s="6">
        <v>12699.849776609983</v>
      </c>
      <c r="H3483" s="6">
        <v>23189.828353538705</v>
      </c>
      <c r="I3483" s="6">
        <v>23187.843162847057</v>
      </c>
      <c r="J3483" s="6">
        <v>21690.646056572255</v>
      </c>
      <c r="K3483" s="6">
        <v>23164.021818452929</v>
      </c>
      <c r="Q3483" s="6"/>
      <c r="R3483" s="6"/>
    </row>
    <row r="3484" spans="1:18" x14ac:dyDescent="0.25">
      <c r="A3484" s="1">
        <v>0.41805555555555601</v>
      </c>
      <c r="B3484" s="2">
        <v>6.12</v>
      </c>
      <c r="C3484" s="2">
        <v>3.73</v>
      </c>
      <c r="D3484" s="2">
        <v>5.2299999999999995</v>
      </c>
      <c r="E3484" s="2">
        <v>5.3000000000000007</v>
      </c>
      <c r="F3484" s="2">
        <v>3.17</v>
      </c>
      <c r="G3484" s="6">
        <v>20480.222721002516</v>
      </c>
      <c r="H3484" s="6">
        <v>26384.003561719084</v>
      </c>
      <c r="I3484" s="6">
        <v>26629.98525382896</v>
      </c>
      <c r="J3484" s="6">
        <v>16237.449947632818</v>
      </c>
      <c r="K3484" s="6">
        <v>26352.039073026473</v>
      </c>
      <c r="Q3484" s="6"/>
      <c r="R3484" s="6"/>
    </row>
    <row r="3485" spans="1:18" x14ac:dyDescent="0.25">
      <c r="A3485" s="1">
        <v>0.41875000000000001</v>
      </c>
      <c r="B3485" s="2">
        <v>6.2700000000000005</v>
      </c>
      <c r="C3485" s="2">
        <v>3.7399999999999998</v>
      </c>
      <c r="D3485" s="2">
        <v>4.96</v>
      </c>
      <c r="E3485" s="2">
        <v>5.67</v>
      </c>
      <c r="F3485" s="2">
        <v>3.36</v>
      </c>
      <c r="G3485" s="6">
        <v>15411.533350824768</v>
      </c>
      <c r="H3485" s="6">
        <v>25632.526380721225</v>
      </c>
      <c r="I3485" s="6">
        <v>25719.353305668439</v>
      </c>
      <c r="J3485" s="6">
        <v>21055.134989738424</v>
      </c>
      <c r="K3485" s="6">
        <v>25505.939043835828</v>
      </c>
      <c r="Q3485" s="6"/>
      <c r="R3485" s="6"/>
    </row>
    <row r="3486" spans="1:18" x14ac:dyDescent="0.25">
      <c r="A3486" s="1">
        <v>0.41944444444444401</v>
      </c>
      <c r="B3486" s="2">
        <v>6.3100000000000005</v>
      </c>
      <c r="C3486" s="2">
        <v>3.6399999999999997</v>
      </c>
      <c r="D3486" s="2">
        <v>5.1999999999999993</v>
      </c>
      <c r="E3486" s="2">
        <v>5.54</v>
      </c>
      <c r="F3486" s="2">
        <v>3.38</v>
      </c>
      <c r="G3486" s="6">
        <v>11256.306984681958</v>
      </c>
      <c r="H3486" s="6">
        <v>26910.890552374251</v>
      </c>
      <c r="I3486" s="6">
        <v>26700.953456620391</v>
      </c>
      <c r="J3486" s="6">
        <v>15638.970093637667</v>
      </c>
      <c r="K3486" s="6">
        <v>26633.974776226471</v>
      </c>
      <c r="Q3486" s="6"/>
      <c r="R3486" s="6"/>
    </row>
    <row r="3487" spans="1:18" x14ac:dyDescent="0.25">
      <c r="A3487" s="1">
        <v>0.42013888888888901</v>
      </c>
      <c r="B3487" s="2">
        <v>6.3100000000000005</v>
      </c>
      <c r="C3487" s="2">
        <v>3.88</v>
      </c>
      <c r="D3487" s="2">
        <v>4.92</v>
      </c>
      <c r="E3487" s="2">
        <v>5.3000000000000007</v>
      </c>
      <c r="F3487" s="2">
        <v>3.1799999999999997</v>
      </c>
      <c r="G3487" s="6">
        <v>18757.598734777672</v>
      </c>
      <c r="H3487" s="6">
        <v>22454.908934250394</v>
      </c>
      <c r="I3487" s="6">
        <v>22569.406957644595</v>
      </c>
      <c r="J3487" s="6">
        <v>11930.260371675027</v>
      </c>
      <c r="K3487" s="6">
        <v>22410.123922365001</v>
      </c>
      <c r="Q3487" s="6"/>
      <c r="R3487" s="6"/>
    </row>
    <row r="3488" spans="1:18" x14ac:dyDescent="0.25">
      <c r="A3488" s="1">
        <v>0.420833333333333</v>
      </c>
      <c r="B3488" s="2">
        <v>6.16</v>
      </c>
      <c r="C3488" s="2">
        <v>3.81</v>
      </c>
      <c r="D3488" s="2">
        <v>5.3</v>
      </c>
      <c r="E3488" s="2">
        <v>5.61</v>
      </c>
      <c r="F3488" s="2">
        <v>3.19</v>
      </c>
      <c r="G3488" s="6">
        <v>23458.126073894538</v>
      </c>
      <c r="H3488" s="6">
        <v>20599.582149588605</v>
      </c>
      <c r="I3488" s="6">
        <v>20574.212322226023</v>
      </c>
      <c r="J3488" s="6">
        <v>14037.634837669468</v>
      </c>
      <c r="K3488" s="6">
        <v>20361.755222072348</v>
      </c>
      <c r="Q3488" s="6"/>
      <c r="R3488" s="6"/>
    </row>
    <row r="3489" spans="1:18" x14ac:dyDescent="0.25">
      <c r="A3489" s="1">
        <v>0.421527777777778</v>
      </c>
      <c r="B3489" s="2">
        <v>6.23</v>
      </c>
      <c r="C3489" s="2">
        <v>3.86</v>
      </c>
      <c r="D3489" s="2">
        <v>4.9899999999999993</v>
      </c>
      <c r="E3489" s="2">
        <v>5.17</v>
      </c>
      <c r="F3489" s="2">
        <v>2.9699999999999998</v>
      </c>
      <c r="G3489" s="6">
        <v>17073.330628074407</v>
      </c>
      <c r="H3489" s="6">
        <v>24132.497496248146</v>
      </c>
      <c r="I3489" s="6">
        <v>24315.851434962122</v>
      </c>
      <c r="J3489" s="6">
        <v>20695.354059342972</v>
      </c>
      <c r="K3489" s="6">
        <v>24074.773530199389</v>
      </c>
      <c r="Q3489" s="6"/>
      <c r="R3489" s="6"/>
    </row>
    <row r="3490" spans="1:18" x14ac:dyDescent="0.25">
      <c r="A3490" s="1">
        <v>0.422222222222222</v>
      </c>
      <c r="B3490" s="2">
        <v>6.2</v>
      </c>
      <c r="C3490" s="2">
        <v>3.87</v>
      </c>
      <c r="D3490" s="2">
        <v>5.0999999999999996</v>
      </c>
      <c r="E3490" s="2">
        <v>5.1400000000000006</v>
      </c>
      <c r="F3490" s="2">
        <v>2.94</v>
      </c>
      <c r="G3490" s="6">
        <v>20956.864191441968</v>
      </c>
      <c r="H3490" s="6">
        <v>28208.500376223707</v>
      </c>
      <c r="I3490" s="6">
        <v>28233.97421740559</v>
      </c>
      <c r="J3490" s="6">
        <v>16533.187758960405</v>
      </c>
      <c r="K3490" s="6">
        <v>28073.786385445484</v>
      </c>
      <c r="Q3490" s="6"/>
      <c r="R3490" s="6"/>
    </row>
    <row r="3491" spans="1:18" x14ac:dyDescent="0.25">
      <c r="A3491" s="1">
        <v>0.422916666666667</v>
      </c>
      <c r="B3491" s="2">
        <v>6.2</v>
      </c>
      <c r="C3491" s="2">
        <v>3.76</v>
      </c>
      <c r="D3491" s="2">
        <v>4.8999999999999995</v>
      </c>
      <c r="E3491" s="2">
        <v>5.5</v>
      </c>
      <c r="F3491" s="2">
        <v>2.88</v>
      </c>
      <c r="G3491" s="6">
        <v>22880.245302233485</v>
      </c>
      <c r="H3491" s="6">
        <v>14823.815075106924</v>
      </c>
      <c r="I3491" s="6">
        <v>14728.051415101008</v>
      </c>
      <c r="J3491" s="6">
        <v>14126.625353221856</v>
      </c>
      <c r="K3491" s="6">
        <v>14553.902493539956</v>
      </c>
      <c r="Q3491" s="6"/>
      <c r="R3491" s="6"/>
    </row>
    <row r="3492" spans="1:18" x14ac:dyDescent="0.25">
      <c r="A3492" s="1">
        <v>0.42361111111111099</v>
      </c>
      <c r="B3492" s="2">
        <v>6.23</v>
      </c>
      <c r="C3492" s="2">
        <v>3.81</v>
      </c>
      <c r="D3492" s="2">
        <v>4.9499999999999993</v>
      </c>
      <c r="E3492" s="2">
        <v>5.45</v>
      </c>
      <c r="F3492" s="2">
        <v>3.01</v>
      </c>
      <c r="G3492" s="6">
        <v>17887.943418601477</v>
      </c>
      <c r="H3492" s="6">
        <v>25836.558101542181</v>
      </c>
      <c r="I3492" s="6">
        <v>25735.0606623163</v>
      </c>
      <c r="J3492" s="6">
        <v>20760.878919386152</v>
      </c>
      <c r="K3492" s="6">
        <v>25559.667497175127</v>
      </c>
      <c r="Q3492" s="6"/>
      <c r="R3492" s="6"/>
    </row>
    <row r="3493" spans="1:18" x14ac:dyDescent="0.25">
      <c r="A3493" s="1">
        <v>0.42430555555555599</v>
      </c>
      <c r="B3493" s="2">
        <v>6.14</v>
      </c>
      <c r="C3493" s="2">
        <v>3.77</v>
      </c>
      <c r="D3493" s="2">
        <v>5.39</v>
      </c>
      <c r="E3493" s="2">
        <v>5.24</v>
      </c>
      <c r="F3493" s="2">
        <v>2.98</v>
      </c>
      <c r="G3493" s="6">
        <v>18751.821467571928</v>
      </c>
      <c r="H3493" s="6">
        <v>19534.62028893366</v>
      </c>
      <c r="I3493" s="6">
        <v>19596.59306786221</v>
      </c>
      <c r="J3493" s="6">
        <v>14536.484008524953</v>
      </c>
      <c r="K3493" s="6">
        <v>19480.459465464814</v>
      </c>
      <c r="Q3493" s="6"/>
      <c r="R3493" s="6"/>
    </row>
    <row r="3494" spans="1:18" x14ac:dyDescent="0.25">
      <c r="A3494" s="1">
        <v>0.42499999999999999</v>
      </c>
      <c r="B3494" s="2">
        <v>6.19</v>
      </c>
      <c r="C3494" s="2">
        <v>3.83</v>
      </c>
      <c r="D3494" s="2">
        <v>4.9099999999999993</v>
      </c>
      <c r="E3494" s="2">
        <v>5.74</v>
      </c>
      <c r="F3494" s="2">
        <v>2.9299999999999997</v>
      </c>
      <c r="G3494" s="6">
        <v>22340.956261626612</v>
      </c>
      <c r="H3494" s="6">
        <v>29081.081898179644</v>
      </c>
      <c r="I3494" s="6">
        <v>29047.273359223225</v>
      </c>
      <c r="J3494" s="6">
        <v>22235.544960344589</v>
      </c>
      <c r="K3494" s="6">
        <v>28921.074264568782</v>
      </c>
      <c r="Q3494" s="6"/>
      <c r="R3494" s="6"/>
    </row>
    <row r="3495" spans="1:18" x14ac:dyDescent="0.25">
      <c r="A3495" s="1">
        <v>0.42569444444444399</v>
      </c>
      <c r="B3495" s="2">
        <v>6.37</v>
      </c>
      <c r="C3495" s="2">
        <v>3.8899999999999997</v>
      </c>
      <c r="D3495" s="2">
        <v>5.0599999999999996</v>
      </c>
      <c r="E3495" s="2">
        <v>5.58</v>
      </c>
      <c r="F3495" s="2">
        <v>2.9099999999999997</v>
      </c>
      <c r="G3495" s="6">
        <v>16460.681545900778</v>
      </c>
      <c r="H3495" s="6">
        <v>21151.367708524518</v>
      </c>
      <c r="I3495" s="6">
        <v>21315.953312179623</v>
      </c>
      <c r="J3495" s="6">
        <v>23725.356989101103</v>
      </c>
      <c r="K3495" s="6">
        <v>21102.302235643787</v>
      </c>
      <c r="Q3495" s="6"/>
      <c r="R3495" s="6"/>
    </row>
    <row r="3496" spans="1:18" x14ac:dyDescent="0.25">
      <c r="A3496" s="1">
        <v>0.42638888888888898</v>
      </c>
      <c r="B3496" s="2">
        <v>6.2</v>
      </c>
      <c r="C3496" s="2">
        <v>3.79</v>
      </c>
      <c r="D3496" s="2">
        <v>5.2799999999999994</v>
      </c>
      <c r="E3496" s="2">
        <v>5.1800000000000006</v>
      </c>
      <c r="F3496" s="2">
        <v>3.06</v>
      </c>
      <c r="G3496" s="6">
        <v>18114.116794755297</v>
      </c>
      <c r="H3496" s="6">
        <v>15260.200917397588</v>
      </c>
      <c r="I3496" s="6">
        <v>15211.648916598015</v>
      </c>
      <c r="J3496" s="6">
        <v>19457.432285779949</v>
      </c>
      <c r="K3496" s="6">
        <v>15181.794605587307</v>
      </c>
      <c r="Q3496" s="6"/>
      <c r="R3496" s="6"/>
    </row>
    <row r="3497" spans="1:18" x14ac:dyDescent="0.25">
      <c r="A3497" s="1">
        <v>0.42708333333333298</v>
      </c>
      <c r="B3497" s="2">
        <v>6.13</v>
      </c>
      <c r="C3497" s="2">
        <v>3.79</v>
      </c>
      <c r="D3497" s="2">
        <v>5.0999999999999996</v>
      </c>
      <c r="E3497" s="2">
        <v>5.61</v>
      </c>
      <c r="F3497" s="2">
        <v>3.11</v>
      </c>
      <c r="G3497" s="6">
        <v>19762.775751432746</v>
      </c>
      <c r="H3497" s="6">
        <v>28005.875687639513</v>
      </c>
      <c r="I3497" s="6">
        <v>28119.061068475039</v>
      </c>
      <c r="J3497" s="6">
        <v>18512.256621628694</v>
      </c>
      <c r="K3497" s="6">
        <v>27828.469082222713</v>
      </c>
      <c r="Q3497" s="6"/>
      <c r="R3497" s="6"/>
    </row>
    <row r="3498" spans="1:18" x14ac:dyDescent="0.25">
      <c r="A3498" s="1">
        <v>0.42777777777777798</v>
      </c>
      <c r="B3498" s="2">
        <v>6.33</v>
      </c>
      <c r="C3498" s="2">
        <v>3.6799999999999997</v>
      </c>
      <c r="D3498" s="2">
        <v>5.34</v>
      </c>
      <c r="E3498" s="2">
        <v>5.42</v>
      </c>
      <c r="F3498" s="2">
        <v>2.9099999999999997</v>
      </c>
      <c r="G3498" s="6">
        <v>15505.05580392167</v>
      </c>
      <c r="H3498" s="6">
        <v>27067.376731699496</v>
      </c>
      <c r="I3498" s="6">
        <v>27179.466502871186</v>
      </c>
      <c r="J3498" s="6">
        <v>13873.377191307833</v>
      </c>
      <c r="K3498" s="6">
        <v>26989.909545099094</v>
      </c>
      <c r="Q3498" s="6"/>
      <c r="R3498" s="6"/>
    </row>
    <row r="3499" spans="1:18" x14ac:dyDescent="0.25">
      <c r="A3499" s="1">
        <v>0.42847222222222198</v>
      </c>
      <c r="B3499" s="2">
        <v>6.22</v>
      </c>
      <c r="C3499" s="2">
        <v>3.83</v>
      </c>
      <c r="D3499" s="2">
        <v>5.2299999999999995</v>
      </c>
      <c r="E3499" s="2">
        <v>5.74</v>
      </c>
      <c r="F3499" s="2">
        <v>3.12</v>
      </c>
      <c r="G3499" s="6">
        <v>22872.167807717731</v>
      </c>
      <c r="H3499" s="6">
        <v>25184.087726021167</v>
      </c>
      <c r="I3499" s="6">
        <v>25211.833323115767</v>
      </c>
      <c r="J3499" s="6">
        <v>17013.824751648881</v>
      </c>
      <c r="K3499" s="6">
        <v>25166.316030677448</v>
      </c>
      <c r="Q3499" s="6"/>
      <c r="R3499" s="6"/>
    </row>
    <row r="3500" spans="1:18" x14ac:dyDescent="0.25">
      <c r="A3500" s="1">
        <v>0.42916666666666697</v>
      </c>
      <c r="B3500" s="2">
        <v>6.16</v>
      </c>
      <c r="C3500" s="2">
        <v>3.6999999999999997</v>
      </c>
      <c r="D3500" s="2">
        <v>5.0999999999999996</v>
      </c>
      <c r="E3500" s="2">
        <v>5.2700000000000005</v>
      </c>
      <c r="F3500" s="2">
        <v>3.26</v>
      </c>
      <c r="G3500" s="6">
        <v>17592.502422191897</v>
      </c>
      <c r="H3500" s="6">
        <v>27796.664507963749</v>
      </c>
      <c r="I3500" s="6">
        <v>27743.8978618113</v>
      </c>
      <c r="J3500" s="6">
        <v>22457.028589002923</v>
      </c>
      <c r="K3500" s="6">
        <v>27578.020260638688</v>
      </c>
      <c r="Q3500" s="6"/>
      <c r="R3500" s="6"/>
    </row>
    <row r="3501" spans="1:18" x14ac:dyDescent="0.25">
      <c r="A3501" s="1">
        <v>0.42986111111111103</v>
      </c>
      <c r="B3501" s="2">
        <v>6.21</v>
      </c>
      <c r="C3501" s="2">
        <v>3.61</v>
      </c>
      <c r="D3501" s="2">
        <v>5.29</v>
      </c>
      <c r="E3501" s="2">
        <v>5.1100000000000003</v>
      </c>
      <c r="F3501" s="2">
        <v>2.98</v>
      </c>
      <c r="G3501" s="6">
        <v>13927.960186790906</v>
      </c>
      <c r="H3501" s="6">
        <v>16835.335994294437</v>
      </c>
      <c r="I3501" s="6">
        <v>16744.556362095223</v>
      </c>
      <c r="J3501" s="6">
        <v>12377.637686501746</v>
      </c>
      <c r="K3501" s="6">
        <v>16638.576508346508</v>
      </c>
      <c r="Q3501" s="6"/>
      <c r="R3501" s="6"/>
    </row>
    <row r="3502" spans="1:18" x14ac:dyDescent="0.25">
      <c r="A3502" s="1">
        <v>0.43055555555555602</v>
      </c>
      <c r="B3502" s="2">
        <v>6.28</v>
      </c>
      <c r="C3502" s="2">
        <v>3.7399999999999998</v>
      </c>
      <c r="D3502" s="2">
        <v>4.92</v>
      </c>
      <c r="E3502" s="2">
        <v>5.6800000000000006</v>
      </c>
      <c r="F3502" s="2">
        <v>3.2199999999999998</v>
      </c>
      <c r="G3502" s="6">
        <v>16171.044590879404</v>
      </c>
      <c r="H3502" s="6">
        <v>20667.63259218058</v>
      </c>
      <c r="I3502" s="6">
        <v>20719.660147511582</v>
      </c>
      <c r="J3502" s="6">
        <v>11629.401744139954</v>
      </c>
      <c r="K3502" s="6">
        <v>20566.881562269667</v>
      </c>
      <c r="Q3502" s="6"/>
      <c r="R3502" s="6"/>
    </row>
    <row r="3503" spans="1:18" x14ac:dyDescent="0.25">
      <c r="A3503" s="1">
        <v>0.43125000000000002</v>
      </c>
      <c r="B3503" s="2">
        <v>6.16</v>
      </c>
      <c r="C3503" s="2">
        <v>3.88</v>
      </c>
      <c r="D3503" s="2">
        <v>5.14</v>
      </c>
      <c r="E3503" s="2">
        <v>5.3800000000000008</v>
      </c>
      <c r="F3503" s="2">
        <v>3.1999999999999997</v>
      </c>
      <c r="G3503" s="6">
        <v>16462.892272040273</v>
      </c>
      <c r="H3503" s="6">
        <v>25034.083128241564</v>
      </c>
      <c r="I3503" s="6">
        <v>25216.547205393166</v>
      </c>
      <c r="J3503" s="6">
        <v>20872.601791843612</v>
      </c>
      <c r="K3503" s="6">
        <v>24953.390865216523</v>
      </c>
      <c r="Q3503" s="6"/>
      <c r="R3503" s="6"/>
    </row>
    <row r="3504" spans="1:18" x14ac:dyDescent="0.25">
      <c r="A3504" s="1">
        <v>0.43194444444444402</v>
      </c>
      <c r="B3504" s="2">
        <v>6.26</v>
      </c>
      <c r="C3504" s="2">
        <v>3.92</v>
      </c>
      <c r="D3504" s="2">
        <v>4.9899999999999993</v>
      </c>
      <c r="E3504" s="2">
        <v>5.2200000000000006</v>
      </c>
      <c r="F3504" s="2">
        <v>2.8899999999999997</v>
      </c>
      <c r="G3504" s="6">
        <v>10148.547184043773</v>
      </c>
      <c r="H3504" s="6">
        <v>26755.985458207047</v>
      </c>
      <c r="I3504" s="6">
        <v>26565.075084034386</v>
      </c>
      <c r="J3504" s="6">
        <v>21907.628555482446</v>
      </c>
      <c r="K3504" s="6">
        <v>26468.209492558657</v>
      </c>
      <c r="Q3504" s="6"/>
      <c r="R3504" s="6"/>
    </row>
    <row r="3505" spans="1:18" x14ac:dyDescent="0.25">
      <c r="A3505" s="1">
        <v>0.43263888888888902</v>
      </c>
      <c r="B3505" s="2">
        <v>6.23</v>
      </c>
      <c r="C3505" s="2">
        <v>3.8499999999999996</v>
      </c>
      <c r="D3505" s="2">
        <v>4.8899999999999997</v>
      </c>
      <c r="E3505" s="2">
        <v>5.49</v>
      </c>
      <c r="F3505" s="2">
        <v>2.9499999999999997</v>
      </c>
      <c r="G3505" s="6">
        <v>19653.849586797092</v>
      </c>
      <c r="H3505" s="6">
        <v>14178.955295412512</v>
      </c>
      <c r="I3505" s="6">
        <v>14051.120358663806</v>
      </c>
      <c r="J3505" s="6">
        <v>12540.321516218792</v>
      </c>
      <c r="K3505" s="6">
        <v>14011.930892670747</v>
      </c>
      <c r="Q3505" s="6"/>
      <c r="R3505" s="6"/>
    </row>
    <row r="3506" spans="1:18" x14ac:dyDescent="0.25">
      <c r="A3506" s="1">
        <v>0.43333333333333302</v>
      </c>
      <c r="B3506" s="2">
        <v>6.17</v>
      </c>
      <c r="C3506" s="2">
        <v>3.87</v>
      </c>
      <c r="D3506" s="2">
        <v>5.39</v>
      </c>
      <c r="E3506" s="2">
        <v>5.44</v>
      </c>
      <c r="F3506" s="2">
        <v>3.03</v>
      </c>
      <c r="G3506" s="6">
        <v>9937.9299926693911</v>
      </c>
      <c r="H3506" s="6">
        <v>17642.669222370467</v>
      </c>
      <c r="I3506" s="6">
        <v>17415.323685411931</v>
      </c>
      <c r="J3506" s="6">
        <v>22250.744040760059</v>
      </c>
      <c r="K3506" s="6">
        <v>17401.949909928549</v>
      </c>
      <c r="Q3506" s="6"/>
      <c r="R3506" s="6"/>
    </row>
    <row r="3507" spans="1:18" x14ac:dyDescent="0.25">
      <c r="A3507" s="1">
        <v>0.43402777777777801</v>
      </c>
      <c r="B3507" s="2">
        <v>6.19</v>
      </c>
      <c r="C3507" s="2">
        <v>3.83</v>
      </c>
      <c r="D3507" s="2">
        <v>5.0699999999999994</v>
      </c>
      <c r="E3507" s="2">
        <v>5.6300000000000008</v>
      </c>
      <c r="F3507" s="2">
        <v>3.05</v>
      </c>
      <c r="G3507" s="6">
        <v>20042.659457289199</v>
      </c>
      <c r="H3507" s="6">
        <v>23040.539078064452</v>
      </c>
      <c r="I3507" s="6">
        <v>22932.627298370069</v>
      </c>
      <c r="J3507" s="6">
        <v>14675.93679593876</v>
      </c>
      <c r="K3507" s="6">
        <v>22849.56732851687</v>
      </c>
      <c r="Q3507" s="6"/>
      <c r="R3507" s="6"/>
    </row>
    <row r="3508" spans="1:18" x14ac:dyDescent="0.25">
      <c r="A3508" s="1">
        <v>0.43472222222222201</v>
      </c>
      <c r="B3508" s="2">
        <v>6.33</v>
      </c>
      <c r="C3508" s="2">
        <v>3.6999999999999997</v>
      </c>
      <c r="D3508" s="2">
        <v>5.3699999999999992</v>
      </c>
      <c r="E3508" s="2">
        <v>5.37</v>
      </c>
      <c r="F3508" s="2">
        <v>3.41</v>
      </c>
      <c r="G3508" s="6">
        <v>18645.189974872937</v>
      </c>
      <c r="H3508" s="6">
        <v>24714.99750048768</v>
      </c>
      <c r="I3508" s="6">
        <v>24758.67987656836</v>
      </c>
      <c r="J3508" s="6">
        <v>20583.793799078001</v>
      </c>
      <c r="K3508" s="6">
        <v>24593.361784524972</v>
      </c>
      <c r="Q3508" s="6"/>
      <c r="R3508" s="6"/>
    </row>
    <row r="3509" spans="1:18" x14ac:dyDescent="0.25">
      <c r="A3509" s="1">
        <v>0.43541666666666701</v>
      </c>
      <c r="B3509" s="2">
        <v>6.15</v>
      </c>
      <c r="C3509" s="2">
        <v>3.78</v>
      </c>
      <c r="D3509" s="2">
        <v>5.34</v>
      </c>
      <c r="E3509" s="2">
        <v>5.2</v>
      </c>
      <c r="F3509" s="2">
        <v>2.94</v>
      </c>
      <c r="G3509" s="6">
        <v>12359.117276199649</v>
      </c>
      <c r="H3509" s="6">
        <v>15546.335009061702</v>
      </c>
      <c r="I3509" s="6">
        <v>15540.308221832076</v>
      </c>
      <c r="J3509" s="6">
        <v>12485.467990989624</v>
      </c>
      <c r="K3509" s="6">
        <v>15370.153231371356</v>
      </c>
      <c r="Q3509" s="6"/>
      <c r="R3509" s="6"/>
    </row>
    <row r="3510" spans="1:18" x14ac:dyDescent="0.25">
      <c r="A3510" s="1">
        <v>0.43611111111111101</v>
      </c>
      <c r="B3510" s="2">
        <v>6.32</v>
      </c>
      <c r="C3510" s="2">
        <v>3.82</v>
      </c>
      <c r="D3510" s="2">
        <v>4.9799999999999995</v>
      </c>
      <c r="E3510" s="2">
        <v>5.2700000000000005</v>
      </c>
      <c r="F3510" s="2">
        <v>2.94</v>
      </c>
      <c r="G3510" s="6">
        <v>10108.226384748878</v>
      </c>
      <c r="H3510" s="6">
        <v>13876.963597735543</v>
      </c>
      <c r="I3510" s="6">
        <v>13714.200420121266</v>
      </c>
      <c r="J3510" s="6">
        <v>24170.499264629336</v>
      </c>
      <c r="K3510" s="6">
        <v>13598.838227466853</v>
      </c>
      <c r="Q3510" s="6"/>
      <c r="R3510" s="6"/>
    </row>
    <row r="3511" spans="1:18" x14ac:dyDescent="0.25">
      <c r="A3511" s="1">
        <v>0.436805555555556</v>
      </c>
      <c r="B3511" s="2">
        <v>6.32</v>
      </c>
      <c r="C3511" s="2">
        <v>3.86</v>
      </c>
      <c r="D3511" s="2">
        <v>5.14</v>
      </c>
      <c r="E3511" s="2">
        <v>5.32</v>
      </c>
      <c r="F3511" s="2">
        <v>3.2399999999999998</v>
      </c>
      <c r="G3511" s="6">
        <v>17204.813083153149</v>
      </c>
      <c r="H3511" s="6">
        <v>22253.178561672928</v>
      </c>
      <c r="I3511" s="6">
        <v>22427.321065801658</v>
      </c>
      <c r="J3511" s="6">
        <v>19410.063179982677</v>
      </c>
      <c r="K3511" s="6">
        <v>22159.998221179612</v>
      </c>
      <c r="Q3511" s="6"/>
      <c r="R3511" s="6"/>
    </row>
    <row r="3512" spans="1:18" x14ac:dyDescent="0.25">
      <c r="A3512" s="1">
        <v>0.4375</v>
      </c>
      <c r="B3512" s="2">
        <v>6.15</v>
      </c>
      <c r="C3512" s="2">
        <v>3.76</v>
      </c>
      <c r="D3512" s="2">
        <v>5.21</v>
      </c>
      <c r="E3512" s="2">
        <v>5.5600000000000005</v>
      </c>
      <c r="F3512" s="2">
        <v>3.1399999999999997</v>
      </c>
      <c r="G3512" s="6">
        <v>10078.413876334653</v>
      </c>
      <c r="H3512" s="6">
        <v>18002.078646573555</v>
      </c>
      <c r="I3512" s="6">
        <v>18043.562334678802</v>
      </c>
      <c r="J3512" s="6">
        <v>16698.438931929628</v>
      </c>
      <c r="K3512" s="6">
        <v>17885.197948099194</v>
      </c>
      <c r="Q3512" s="6"/>
      <c r="R3512" s="6"/>
    </row>
    <row r="3513" spans="1:18" x14ac:dyDescent="0.25">
      <c r="A3513" s="1">
        <v>0.438194444444444</v>
      </c>
      <c r="B3513" s="2">
        <v>6.16</v>
      </c>
      <c r="C3513" s="2">
        <v>3.63</v>
      </c>
      <c r="D3513" s="2">
        <v>5.34</v>
      </c>
      <c r="E3513" s="2">
        <v>5.65</v>
      </c>
      <c r="F3513" s="2">
        <v>2.9299999999999997</v>
      </c>
      <c r="G3513" s="6">
        <v>19865.589491203322</v>
      </c>
      <c r="H3513" s="6">
        <v>18561.734388853118</v>
      </c>
      <c r="I3513" s="6">
        <v>18605.587183019634</v>
      </c>
      <c r="J3513" s="6">
        <v>22624.735467740546</v>
      </c>
      <c r="K3513" s="6">
        <v>18548.28299790341</v>
      </c>
      <c r="Q3513" s="6"/>
      <c r="R3513" s="6"/>
    </row>
    <row r="3514" spans="1:18" x14ac:dyDescent="0.25">
      <c r="A3514" s="1">
        <v>0.43888888888888899</v>
      </c>
      <c r="B3514" s="2">
        <v>6.14</v>
      </c>
      <c r="C3514" s="2">
        <v>3.6599999999999997</v>
      </c>
      <c r="D3514" s="2">
        <v>5.09</v>
      </c>
      <c r="E3514" s="2">
        <v>5.7700000000000005</v>
      </c>
      <c r="F3514" s="2">
        <v>3.31</v>
      </c>
      <c r="G3514" s="6">
        <v>17079.15845811259</v>
      </c>
      <c r="H3514" s="6">
        <v>27975.581518180195</v>
      </c>
      <c r="I3514" s="6">
        <v>28005.019320680622</v>
      </c>
      <c r="J3514" s="6">
        <v>13780.310259537404</v>
      </c>
      <c r="K3514" s="6">
        <v>27769.46096323452</v>
      </c>
      <c r="Q3514" s="6"/>
      <c r="R3514" s="6"/>
    </row>
    <row r="3515" spans="1:18" x14ac:dyDescent="0.25">
      <c r="A3515" s="1">
        <v>0.43958333333333299</v>
      </c>
      <c r="B3515" s="2">
        <v>6.3100000000000005</v>
      </c>
      <c r="C3515" s="2">
        <v>3.77</v>
      </c>
      <c r="D3515" s="2">
        <v>5.13</v>
      </c>
      <c r="E3515" s="2">
        <v>5.2200000000000006</v>
      </c>
      <c r="F3515" s="2">
        <v>2.9099999999999997</v>
      </c>
      <c r="G3515" s="6">
        <v>13075.179747407214</v>
      </c>
      <c r="H3515" s="6">
        <v>25693.025650878411</v>
      </c>
      <c r="I3515" s="6">
        <v>25853.755639573908</v>
      </c>
      <c r="J3515" s="6">
        <v>18288.460046501255</v>
      </c>
      <c r="K3515" s="6">
        <v>25574.902260184506</v>
      </c>
      <c r="Q3515" s="6"/>
      <c r="R3515" s="6"/>
    </row>
    <row r="3516" spans="1:18" x14ac:dyDescent="0.25">
      <c r="A3516" s="1">
        <v>0.44027777777777799</v>
      </c>
      <c r="B3516" s="2">
        <v>6.24</v>
      </c>
      <c r="C3516" s="2">
        <v>3.61</v>
      </c>
      <c r="D3516" s="2">
        <v>4.8899999999999997</v>
      </c>
      <c r="E3516" s="2">
        <v>5.24</v>
      </c>
      <c r="F3516" s="2">
        <v>3.09</v>
      </c>
      <c r="G3516" s="6">
        <v>16793.201540114067</v>
      </c>
      <c r="H3516" s="6">
        <v>18900.830214155681</v>
      </c>
      <c r="I3516" s="6">
        <v>18912.574563315757</v>
      </c>
      <c r="J3516" s="6">
        <v>15047.758460512749</v>
      </c>
      <c r="K3516" s="6">
        <v>18653.205936635579</v>
      </c>
      <c r="Q3516" s="6"/>
      <c r="R3516" s="6"/>
    </row>
    <row r="3517" spans="1:18" x14ac:dyDescent="0.25">
      <c r="A3517" s="1">
        <v>0.44097222222222199</v>
      </c>
      <c r="B3517" s="2">
        <v>6.26</v>
      </c>
      <c r="C3517" s="2">
        <v>3.75</v>
      </c>
      <c r="D3517" s="2">
        <v>5.3599999999999994</v>
      </c>
      <c r="E3517" s="2">
        <v>5.32</v>
      </c>
      <c r="F3517" s="2">
        <v>3.1399999999999997</v>
      </c>
      <c r="G3517" s="6">
        <v>17890.145673666655</v>
      </c>
      <c r="H3517" s="6">
        <v>18860.410640719587</v>
      </c>
      <c r="I3517" s="6">
        <v>19069.028329363005</v>
      </c>
      <c r="J3517" s="6">
        <v>19394.132283695581</v>
      </c>
      <c r="K3517" s="6">
        <v>18777.467961267015</v>
      </c>
      <c r="Q3517" s="6"/>
      <c r="R3517" s="6"/>
    </row>
    <row r="3518" spans="1:18" x14ac:dyDescent="0.25">
      <c r="A3518" s="1">
        <v>0.44166666666666698</v>
      </c>
      <c r="B3518" s="2">
        <v>6.37</v>
      </c>
      <c r="C3518" s="2">
        <v>3.65</v>
      </c>
      <c r="D3518" s="2">
        <v>5.35</v>
      </c>
      <c r="E3518" s="2">
        <v>5.44</v>
      </c>
      <c r="F3518" s="2">
        <v>3.2399999999999998</v>
      </c>
      <c r="G3518" s="6">
        <v>13271.168453616363</v>
      </c>
      <c r="H3518" s="6">
        <v>23300.538175898131</v>
      </c>
      <c r="I3518" s="6">
        <v>23330.892881213127</v>
      </c>
      <c r="J3518" s="6">
        <v>24640.683184134083</v>
      </c>
      <c r="K3518" s="6">
        <v>23256.899214667443</v>
      </c>
      <c r="Q3518" s="6"/>
      <c r="R3518" s="6"/>
    </row>
    <row r="3519" spans="1:18" x14ac:dyDescent="0.25">
      <c r="A3519" s="1">
        <v>0.44236111111111098</v>
      </c>
      <c r="B3519" s="2">
        <v>6.26</v>
      </c>
      <c r="C3519" s="2">
        <v>3.7199999999999998</v>
      </c>
      <c r="D3519" s="2">
        <v>5.05</v>
      </c>
      <c r="E3519" s="2">
        <v>5.65</v>
      </c>
      <c r="F3519" s="2">
        <v>3.2399999999999998</v>
      </c>
      <c r="G3519" s="6">
        <v>12558.399902497977</v>
      </c>
      <c r="H3519" s="6">
        <v>22722.232330820199</v>
      </c>
      <c r="I3519" s="6">
        <v>22765.979560621177</v>
      </c>
      <c r="J3519" s="6">
        <v>12952.115214005225</v>
      </c>
      <c r="K3519" s="6">
        <v>22682.065536876202</v>
      </c>
      <c r="Q3519" s="6"/>
      <c r="R3519" s="6"/>
    </row>
    <row r="3520" spans="1:18" x14ac:dyDescent="0.25">
      <c r="A3520" s="1">
        <v>0.44305555555555598</v>
      </c>
      <c r="B3520" s="2">
        <v>6.16</v>
      </c>
      <c r="C3520" s="2">
        <v>3.7199999999999998</v>
      </c>
      <c r="D3520" s="2">
        <v>5.25</v>
      </c>
      <c r="E3520" s="2">
        <v>5.12</v>
      </c>
      <c r="F3520" s="2">
        <v>2.96</v>
      </c>
      <c r="G3520" s="6">
        <v>15931.662464352057</v>
      </c>
      <c r="H3520" s="6">
        <v>15133.203401968716</v>
      </c>
      <c r="I3520" s="6">
        <v>15122.148878189395</v>
      </c>
      <c r="J3520" s="6">
        <v>17708.51029229465</v>
      </c>
      <c r="K3520" s="6">
        <v>15025.420513867475</v>
      </c>
      <c r="Q3520" s="6"/>
      <c r="R3520" s="6"/>
    </row>
    <row r="3521" spans="1:18" x14ac:dyDescent="0.25">
      <c r="A3521" s="1">
        <v>0.44374999999999998</v>
      </c>
      <c r="B3521" s="2">
        <v>6.23</v>
      </c>
      <c r="C3521" s="2">
        <v>3.6199999999999997</v>
      </c>
      <c r="D3521" s="2">
        <v>5.18</v>
      </c>
      <c r="E3521" s="2">
        <v>5.6400000000000006</v>
      </c>
      <c r="F3521" s="2">
        <v>3.1999999999999997</v>
      </c>
      <c r="G3521" s="6">
        <v>19515.523274381409</v>
      </c>
      <c r="H3521" s="6">
        <v>21036.36091580808</v>
      </c>
      <c r="I3521" s="6">
        <v>21211.515444092875</v>
      </c>
      <c r="J3521" s="6">
        <v>14512.002358530264</v>
      </c>
      <c r="K3521" s="6">
        <v>20937.64553353667</v>
      </c>
      <c r="Q3521" s="6"/>
      <c r="R3521" s="6"/>
    </row>
    <row r="3522" spans="1:18" x14ac:dyDescent="0.25">
      <c r="A3522" s="1">
        <v>0.44444444444444398</v>
      </c>
      <c r="B3522" s="2">
        <v>6.25</v>
      </c>
      <c r="C3522" s="2">
        <v>3.61</v>
      </c>
      <c r="D3522" s="2">
        <v>4.93</v>
      </c>
      <c r="E3522" s="2">
        <v>5.4300000000000006</v>
      </c>
      <c r="F3522" s="2">
        <v>3.04</v>
      </c>
      <c r="G3522" s="6">
        <v>16005.034672843265</v>
      </c>
      <c r="H3522" s="6">
        <v>14084.109003130772</v>
      </c>
      <c r="I3522" s="6">
        <v>14115.07309061563</v>
      </c>
      <c r="J3522" s="6">
        <v>20464.496727336205</v>
      </c>
      <c r="K3522" s="6">
        <v>13997.311369032783</v>
      </c>
      <c r="Q3522" s="6"/>
      <c r="R3522" s="6"/>
    </row>
    <row r="3523" spans="1:18" x14ac:dyDescent="0.25">
      <c r="A3523" s="1">
        <v>0.44513888888888897</v>
      </c>
      <c r="B3523" s="2">
        <v>6.17</v>
      </c>
      <c r="C3523" s="2">
        <v>3.6599999999999997</v>
      </c>
      <c r="D3523" s="2">
        <v>5.22</v>
      </c>
      <c r="E3523" s="2">
        <v>5.71</v>
      </c>
      <c r="F3523" s="2">
        <v>2.9299999999999997</v>
      </c>
      <c r="G3523" s="6">
        <v>14152.034249829596</v>
      </c>
      <c r="H3523" s="6">
        <v>13837.907599626145</v>
      </c>
      <c r="I3523" s="6">
        <v>13925.229568713334</v>
      </c>
      <c r="J3523" s="6">
        <v>18050.707289378519</v>
      </c>
      <c r="K3523" s="6">
        <v>13749.19680875138</v>
      </c>
      <c r="Q3523" s="6"/>
      <c r="R3523" s="6"/>
    </row>
    <row r="3524" spans="1:18" x14ac:dyDescent="0.25">
      <c r="A3524" s="1">
        <v>0.44583333333333303</v>
      </c>
      <c r="B3524" s="2">
        <v>6.22</v>
      </c>
      <c r="C3524" s="2">
        <v>3.88</v>
      </c>
      <c r="D3524" s="2">
        <v>5.0199999999999996</v>
      </c>
      <c r="E3524" s="2">
        <v>5.66</v>
      </c>
      <c r="F3524" s="2">
        <v>2.9099999999999997</v>
      </c>
      <c r="G3524" s="6">
        <v>13473.13149891568</v>
      </c>
      <c r="H3524" s="6">
        <v>28785.637839623163</v>
      </c>
      <c r="I3524" s="6">
        <v>28842.232453182707</v>
      </c>
      <c r="J3524" s="6">
        <v>15145.777457777038</v>
      </c>
      <c r="K3524" s="6">
        <v>28690.905326991975</v>
      </c>
      <c r="Q3524" s="6"/>
      <c r="R3524" s="6"/>
    </row>
    <row r="3525" spans="1:18" x14ac:dyDescent="0.25">
      <c r="A3525" s="1">
        <v>0.44652777777777802</v>
      </c>
      <c r="B3525" s="2">
        <v>6.22</v>
      </c>
      <c r="C3525" s="2">
        <v>3.6599999999999997</v>
      </c>
      <c r="D3525" s="2">
        <v>5.09</v>
      </c>
      <c r="E3525" s="2">
        <v>5.48</v>
      </c>
      <c r="F3525" s="2">
        <v>3.13</v>
      </c>
      <c r="G3525" s="6">
        <v>20529.914131313701</v>
      </c>
      <c r="H3525" s="6">
        <v>25718.862780683259</v>
      </c>
      <c r="I3525" s="6">
        <v>25715.691059422334</v>
      </c>
      <c r="J3525" s="6">
        <v>13222.941395412359</v>
      </c>
      <c r="K3525" s="6">
        <v>25532.445559850381</v>
      </c>
      <c r="Q3525" s="6"/>
      <c r="R3525" s="6"/>
    </row>
    <row r="3526" spans="1:18" x14ac:dyDescent="0.25">
      <c r="A3526" s="1">
        <v>0.44722222222222202</v>
      </c>
      <c r="B3526" s="2">
        <v>6.15</v>
      </c>
      <c r="C3526" s="2">
        <v>3.9099999999999997</v>
      </c>
      <c r="D3526" s="2">
        <v>5.0199999999999996</v>
      </c>
      <c r="E3526" s="2">
        <v>5.7700000000000005</v>
      </c>
      <c r="F3526" s="2">
        <v>2.9699999999999998</v>
      </c>
      <c r="G3526" s="6">
        <v>20222.615322763693</v>
      </c>
      <c r="H3526" s="6">
        <v>27999.867880175818</v>
      </c>
      <c r="I3526" s="6">
        <v>28158.348393784439</v>
      </c>
      <c r="J3526" s="6">
        <v>14453.80020032209</v>
      </c>
      <c r="K3526" s="6">
        <v>27918.809087204252</v>
      </c>
      <c r="Q3526" s="6"/>
      <c r="R3526" s="6"/>
    </row>
    <row r="3527" spans="1:18" x14ac:dyDescent="0.25">
      <c r="A3527" s="1">
        <v>0.44791666666666702</v>
      </c>
      <c r="B3527" s="2">
        <v>6.16</v>
      </c>
      <c r="C3527" s="2">
        <v>3.8</v>
      </c>
      <c r="D3527" s="2">
        <v>5.0599999999999996</v>
      </c>
      <c r="E3527" s="2">
        <v>5.24</v>
      </c>
      <c r="F3527" s="2">
        <v>3.03</v>
      </c>
      <c r="G3527" s="6">
        <v>12282.668119030361</v>
      </c>
      <c r="H3527" s="6">
        <v>19601.16432950629</v>
      </c>
      <c r="I3527" s="6">
        <v>19526.345922371063</v>
      </c>
      <c r="J3527" s="6">
        <v>17278.407275166486</v>
      </c>
      <c r="K3527" s="6">
        <v>19454.73063427307</v>
      </c>
      <c r="Q3527" s="6"/>
      <c r="R3527" s="6"/>
    </row>
    <row r="3528" spans="1:18" x14ac:dyDescent="0.25">
      <c r="A3528" s="1">
        <v>0.44861111111111102</v>
      </c>
      <c r="B3528" s="2">
        <v>6.15</v>
      </c>
      <c r="C3528" s="2">
        <v>3.65</v>
      </c>
      <c r="D3528" s="2">
        <v>5.26</v>
      </c>
      <c r="E3528" s="2">
        <v>5.62</v>
      </c>
      <c r="F3528" s="2">
        <v>3.13</v>
      </c>
      <c r="G3528" s="6">
        <v>19078.569840869248</v>
      </c>
      <c r="H3528" s="6">
        <v>16617.686000349469</v>
      </c>
      <c r="I3528" s="6">
        <v>16709.974754769017</v>
      </c>
      <c r="J3528" s="6">
        <v>23881.325577128617</v>
      </c>
      <c r="K3528" s="6">
        <v>16557.997618525493</v>
      </c>
      <c r="Q3528" s="6"/>
      <c r="R3528" s="6"/>
    </row>
    <row r="3529" spans="1:18" x14ac:dyDescent="0.25">
      <c r="A3529" s="1">
        <v>0.44930555555555601</v>
      </c>
      <c r="B3529" s="2">
        <v>6.23</v>
      </c>
      <c r="C3529" s="2">
        <v>3.8</v>
      </c>
      <c r="D3529" s="2">
        <v>5.22</v>
      </c>
      <c r="E3529" s="2">
        <v>5.36</v>
      </c>
      <c r="F3529" s="2">
        <v>3.34</v>
      </c>
      <c r="G3529" s="6">
        <v>22946.9238026325</v>
      </c>
      <c r="H3529" s="6">
        <v>17734.673066802399</v>
      </c>
      <c r="I3529" s="6">
        <v>17728.136051665133</v>
      </c>
      <c r="J3529" s="6">
        <v>23468.491699876387</v>
      </c>
      <c r="K3529" s="6">
        <v>17693.764350185542</v>
      </c>
      <c r="Q3529" s="6"/>
      <c r="R3529" s="6"/>
    </row>
    <row r="3530" spans="1:18" x14ac:dyDescent="0.25">
      <c r="A3530" s="1">
        <v>0.45</v>
      </c>
      <c r="B3530" s="2">
        <v>6.23</v>
      </c>
      <c r="C3530" s="2">
        <v>3.63</v>
      </c>
      <c r="D3530" s="2">
        <v>5.29</v>
      </c>
      <c r="E3530" s="2">
        <v>5.6800000000000006</v>
      </c>
      <c r="F3530" s="2">
        <v>3.21</v>
      </c>
      <c r="G3530" s="6">
        <v>17454.672415456098</v>
      </c>
      <c r="H3530" s="6">
        <v>27795.885528063354</v>
      </c>
      <c r="I3530" s="6">
        <v>27735.095869826437</v>
      </c>
      <c r="J3530" s="6">
        <v>21246.820996838622</v>
      </c>
      <c r="K3530" s="6">
        <v>27633.446506432912</v>
      </c>
      <c r="Q3530" s="6"/>
      <c r="R3530" s="6"/>
    </row>
    <row r="3531" spans="1:18" x14ac:dyDescent="0.25">
      <c r="A3531" s="1">
        <v>0.45069444444444401</v>
      </c>
      <c r="B3531" s="2">
        <v>6.18</v>
      </c>
      <c r="C3531" s="2">
        <v>3.6799999999999997</v>
      </c>
      <c r="D3531" s="2">
        <v>4.9799999999999995</v>
      </c>
      <c r="E3531" s="2">
        <v>5.74</v>
      </c>
      <c r="F3531" s="2">
        <v>3.16</v>
      </c>
      <c r="G3531" s="6">
        <v>11627.312730092082</v>
      </c>
      <c r="H3531" s="6">
        <v>18163.449289382679</v>
      </c>
      <c r="I3531" s="6">
        <v>18093.2487528733</v>
      </c>
      <c r="J3531" s="6">
        <v>17148.596225069126</v>
      </c>
      <c r="K3531" s="6">
        <v>17949.073697154523</v>
      </c>
      <c r="Q3531" s="6"/>
      <c r="R3531" s="6"/>
    </row>
    <row r="3532" spans="1:18" x14ac:dyDescent="0.25">
      <c r="A3532" s="1">
        <v>0.45138888888888901</v>
      </c>
      <c r="B3532" s="2">
        <v>6.2</v>
      </c>
      <c r="C3532" s="2">
        <v>3.79</v>
      </c>
      <c r="D3532" s="2">
        <v>5.0299999999999994</v>
      </c>
      <c r="E3532" s="2">
        <v>5.6400000000000006</v>
      </c>
      <c r="F3532" s="2">
        <v>3.08</v>
      </c>
      <c r="G3532" s="6">
        <v>21368.984085349686</v>
      </c>
      <c r="H3532" s="6">
        <v>18638.196874714122</v>
      </c>
      <c r="I3532" s="6">
        <v>18756.266488564899</v>
      </c>
      <c r="J3532" s="6">
        <v>18558.987535801498</v>
      </c>
      <c r="K3532" s="6">
        <v>18565.691484571464</v>
      </c>
      <c r="Q3532" s="6"/>
      <c r="R3532" s="6"/>
    </row>
    <row r="3533" spans="1:18" x14ac:dyDescent="0.25">
      <c r="A3533" s="1">
        <v>0.452083333333333</v>
      </c>
      <c r="B3533" s="2">
        <v>6.34</v>
      </c>
      <c r="C3533" s="2">
        <v>3.86</v>
      </c>
      <c r="D3533" s="2">
        <v>4.9499999999999993</v>
      </c>
      <c r="E3533" s="2">
        <v>5.6000000000000005</v>
      </c>
      <c r="F3533" s="2">
        <v>3.13</v>
      </c>
      <c r="G3533" s="6">
        <v>17706.948383243976</v>
      </c>
      <c r="H3533" s="6">
        <v>23793.296289399219</v>
      </c>
      <c r="I3533" s="6">
        <v>23855.434179627791</v>
      </c>
      <c r="J3533" s="6">
        <v>20812.013819937616</v>
      </c>
      <c r="K3533" s="6">
        <v>23696.931426700001</v>
      </c>
      <c r="Q3533" s="6"/>
      <c r="R3533" s="6"/>
    </row>
    <row r="3534" spans="1:18" x14ac:dyDescent="0.25">
      <c r="A3534" s="1">
        <v>0.452777777777778</v>
      </c>
      <c r="B3534" s="2">
        <v>6.24</v>
      </c>
      <c r="C3534" s="2">
        <v>3.71</v>
      </c>
      <c r="D3534" s="2">
        <v>5.0599999999999996</v>
      </c>
      <c r="E3534" s="2">
        <v>5.53</v>
      </c>
      <c r="F3534" s="2">
        <v>3.41</v>
      </c>
      <c r="G3534" s="6">
        <v>17284.473517614635</v>
      </c>
      <c r="H3534" s="6">
        <v>25739.552607599533</v>
      </c>
      <c r="I3534" s="6">
        <v>25976.091566490675</v>
      </c>
      <c r="J3534" s="6">
        <v>11701.249568319134</v>
      </c>
      <c r="K3534" s="6">
        <v>25710.265876661797</v>
      </c>
      <c r="Q3534" s="6"/>
      <c r="R3534" s="6"/>
    </row>
    <row r="3535" spans="1:18" x14ac:dyDescent="0.25">
      <c r="A3535" s="1">
        <v>0.453472222222222</v>
      </c>
      <c r="B3535" s="2">
        <v>6.32</v>
      </c>
      <c r="C3535" s="2">
        <v>3.6999999999999997</v>
      </c>
      <c r="D3535" s="2">
        <v>5.3599999999999994</v>
      </c>
      <c r="E3535" s="2">
        <v>5.28</v>
      </c>
      <c r="F3535" s="2">
        <v>2.88</v>
      </c>
      <c r="G3535" s="6">
        <v>21529.10615304159</v>
      </c>
      <c r="H3535" s="6">
        <v>27118.502558106749</v>
      </c>
      <c r="I3535" s="6">
        <v>26878.428361992897</v>
      </c>
      <c r="J3535" s="6">
        <v>24115.610143100756</v>
      </c>
      <c r="K3535" s="6">
        <v>26855.224274254757</v>
      </c>
      <c r="Q3535" s="6"/>
      <c r="R3535" s="6"/>
    </row>
    <row r="3536" spans="1:18" x14ac:dyDescent="0.25">
      <c r="A3536" s="1">
        <v>0.454166666666667</v>
      </c>
      <c r="B3536" s="2">
        <v>6.18</v>
      </c>
      <c r="C3536" s="2">
        <v>3.6199999999999997</v>
      </c>
      <c r="D3536" s="2">
        <v>4.97</v>
      </c>
      <c r="E3536" s="2">
        <v>5.1400000000000006</v>
      </c>
      <c r="F3536" s="2">
        <v>3.05</v>
      </c>
      <c r="G3536" s="6">
        <v>12586.888880317445</v>
      </c>
      <c r="H3536" s="6">
        <v>18490.677392336875</v>
      </c>
      <c r="I3536" s="6">
        <v>18614.114966091645</v>
      </c>
      <c r="J3536" s="6">
        <v>13490.51772848345</v>
      </c>
      <c r="K3536" s="6">
        <v>18370.650428113011</v>
      </c>
      <c r="Q3536" s="6"/>
      <c r="R3536" s="6"/>
    </row>
    <row r="3537" spans="1:18" x14ac:dyDescent="0.25">
      <c r="A3537" s="1">
        <v>0.45486111111111099</v>
      </c>
      <c r="B3537" s="2">
        <v>6.34</v>
      </c>
      <c r="C3537" s="2">
        <v>3.81</v>
      </c>
      <c r="D3537" s="2">
        <v>5.04</v>
      </c>
      <c r="E3537" s="2">
        <v>5.4700000000000006</v>
      </c>
      <c r="F3537" s="2">
        <v>3.17</v>
      </c>
      <c r="G3537" s="6">
        <v>15049.060465004883</v>
      </c>
      <c r="H3537" s="6">
        <v>29604.510101701129</v>
      </c>
      <c r="I3537" s="6">
        <v>29719.914351266896</v>
      </c>
      <c r="J3537" s="6">
        <v>17087.829063487548</v>
      </c>
      <c r="K3537" s="6">
        <v>29596.063090995431</v>
      </c>
      <c r="Q3537" s="6"/>
      <c r="R3537" s="6"/>
    </row>
    <row r="3538" spans="1:18" x14ac:dyDescent="0.25">
      <c r="A3538" s="1">
        <v>0.45555555555555599</v>
      </c>
      <c r="B3538" s="2">
        <v>6.19</v>
      </c>
      <c r="C3538" s="2">
        <v>3.69</v>
      </c>
      <c r="D3538" s="2">
        <v>5.14</v>
      </c>
      <c r="E3538" s="2">
        <v>5.5500000000000007</v>
      </c>
      <c r="F3538" s="2">
        <v>2.9699999999999998</v>
      </c>
      <c r="G3538" s="6">
        <v>14184.327559305339</v>
      </c>
      <c r="H3538" s="6">
        <v>14510.385906918491</v>
      </c>
      <c r="I3538" s="6">
        <v>14636.928652216751</v>
      </c>
      <c r="J3538" s="6">
        <v>15789.061440442212</v>
      </c>
      <c r="K3538" s="6">
        <v>14376.218778826889</v>
      </c>
      <c r="Q3538" s="6"/>
      <c r="R3538" s="6"/>
    </row>
    <row r="3539" spans="1:18" x14ac:dyDescent="0.25">
      <c r="A3539" s="1">
        <v>0.45624999999999999</v>
      </c>
      <c r="B3539" s="2">
        <v>6.13</v>
      </c>
      <c r="C3539" s="2">
        <v>3.6999999999999997</v>
      </c>
      <c r="D3539" s="2">
        <v>5.18</v>
      </c>
      <c r="E3539" s="2">
        <v>5.78</v>
      </c>
      <c r="F3539" s="2">
        <v>3.1</v>
      </c>
      <c r="G3539" s="6">
        <v>21349.998010132509</v>
      </c>
      <c r="H3539" s="6">
        <v>15170.479006574958</v>
      </c>
      <c r="I3539" s="6">
        <v>15287.528699510493</v>
      </c>
      <c r="J3539" s="6">
        <v>24604.473570797585</v>
      </c>
      <c r="K3539" s="6">
        <v>15111.082328687145</v>
      </c>
      <c r="Q3539" s="6"/>
      <c r="R3539" s="6"/>
    </row>
    <row r="3540" spans="1:18" x14ac:dyDescent="0.25">
      <c r="A3540" s="1">
        <v>0.45694444444444399</v>
      </c>
      <c r="B3540" s="2">
        <v>6.16</v>
      </c>
      <c r="C3540" s="2">
        <v>3.9099999999999997</v>
      </c>
      <c r="D3540" s="2">
        <v>5.39</v>
      </c>
      <c r="E3540" s="2">
        <v>5.49</v>
      </c>
      <c r="F3540" s="2">
        <v>3.11</v>
      </c>
      <c r="G3540" s="6">
        <v>15195.114600166229</v>
      </c>
      <c r="H3540" s="6">
        <v>18097.387851538719</v>
      </c>
      <c r="I3540" s="6">
        <v>18190.597632172277</v>
      </c>
      <c r="J3540" s="6">
        <v>17702.412121021287</v>
      </c>
      <c r="K3540" s="6">
        <v>17945.890642848706</v>
      </c>
      <c r="Q3540" s="6"/>
      <c r="R3540" s="6"/>
    </row>
    <row r="3541" spans="1:18" x14ac:dyDescent="0.25">
      <c r="A3541" s="1">
        <v>0.45763888888888898</v>
      </c>
      <c r="B3541" s="2">
        <v>6.32</v>
      </c>
      <c r="C3541" s="2">
        <v>3.77</v>
      </c>
      <c r="D3541" s="2">
        <v>5.27</v>
      </c>
      <c r="E3541" s="2">
        <v>5.12</v>
      </c>
      <c r="F3541" s="2">
        <v>3.1799999999999997</v>
      </c>
      <c r="G3541" s="6">
        <v>20935.434549210833</v>
      </c>
      <c r="H3541" s="6">
        <v>28878.331333318758</v>
      </c>
      <c r="I3541" s="6">
        <v>29022.12361409243</v>
      </c>
      <c r="J3541" s="6">
        <v>17581.957570601637</v>
      </c>
      <c r="K3541" s="6">
        <v>28760.578588160541</v>
      </c>
      <c r="Q3541" s="6"/>
      <c r="R3541" s="6"/>
    </row>
    <row r="3542" spans="1:18" x14ac:dyDescent="0.25">
      <c r="A3542" s="3">
        <v>0.45833333333333298</v>
      </c>
      <c r="B3542" s="2">
        <v>6.24</v>
      </c>
      <c r="C3542" s="2">
        <v>3.82</v>
      </c>
      <c r="D3542" s="2">
        <v>5.12</v>
      </c>
      <c r="E3542" s="2">
        <v>5.41</v>
      </c>
      <c r="F3542" s="2">
        <v>3.22</v>
      </c>
      <c r="G3542" s="6">
        <v>21520</v>
      </c>
      <c r="H3542" s="6">
        <v>28140</v>
      </c>
      <c r="I3542" s="6">
        <v>28630</v>
      </c>
      <c r="J3542" s="6">
        <v>21240</v>
      </c>
      <c r="K3542" s="6">
        <v>29660</v>
      </c>
    </row>
    <row r="3543" spans="1:18" x14ac:dyDescent="0.25">
      <c r="A3543" s="1">
        <v>0.45902777777777798</v>
      </c>
      <c r="B3543" s="2">
        <v>6.23</v>
      </c>
      <c r="C3543" s="2">
        <v>3.9099999999999997</v>
      </c>
      <c r="D3543" s="2">
        <v>5.09</v>
      </c>
      <c r="E3543" s="2">
        <v>5.17</v>
      </c>
      <c r="F3543" s="2">
        <v>3.3899999999999997</v>
      </c>
      <c r="G3543" s="6">
        <v>19069.73696933399</v>
      </c>
      <c r="H3543" s="6">
        <v>25960.953520601503</v>
      </c>
      <c r="I3543" s="6">
        <v>23375.051876169091</v>
      </c>
      <c r="J3543" s="6">
        <v>20126.158200307622</v>
      </c>
      <c r="K3543" s="6">
        <v>26372.718417741322</v>
      </c>
    </row>
    <row r="3544" spans="1:18" x14ac:dyDescent="0.25">
      <c r="A3544" s="1">
        <v>0.45972222222222198</v>
      </c>
      <c r="B3544" s="2">
        <v>6.38</v>
      </c>
      <c r="C3544" s="2">
        <v>3.87</v>
      </c>
      <c r="D3544" s="2">
        <v>5.1999999999999993</v>
      </c>
      <c r="E3544" s="2">
        <v>5.7</v>
      </c>
      <c r="F3544" s="2">
        <v>3.41</v>
      </c>
      <c r="G3544" s="6">
        <v>27428.552854614678</v>
      </c>
      <c r="H3544" s="6">
        <v>25395.475914612216</v>
      </c>
      <c r="I3544" s="6">
        <v>27299.874972855665</v>
      </c>
      <c r="J3544" s="6">
        <v>23737.071292325672</v>
      </c>
      <c r="K3544" s="6">
        <v>24736.719852700338</v>
      </c>
    </row>
    <row r="3545" spans="1:18" x14ac:dyDescent="0.25">
      <c r="A3545" s="1">
        <v>0.46041666666666697</v>
      </c>
      <c r="B3545" s="2">
        <v>6.32</v>
      </c>
      <c r="C3545" s="2">
        <v>3.8</v>
      </c>
      <c r="D3545" s="2">
        <v>5.14</v>
      </c>
      <c r="E3545" s="2">
        <v>5.77</v>
      </c>
      <c r="F3545" s="2">
        <v>3.13</v>
      </c>
      <c r="G3545" s="6">
        <v>20187.8821221457</v>
      </c>
      <c r="H3545" s="6">
        <v>30868.38109686313</v>
      </c>
      <c r="I3545" s="6">
        <v>25044.722987135621</v>
      </c>
      <c r="J3545" s="6">
        <v>25074.124512510793</v>
      </c>
      <c r="K3545" s="6">
        <v>24109.463191691346</v>
      </c>
    </row>
    <row r="3546" spans="1:18" x14ac:dyDescent="0.25">
      <c r="A3546" s="1">
        <v>0.46111111111111103</v>
      </c>
      <c r="B3546" s="2">
        <v>6.36</v>
      </c>
      <c r="C3546" s="2">
        <v>3.8899999999999997</v>
      </c>
      <c r="D3546" s="2">
        <v>5.25</v>
      </c>
      <c r="E3546" s="2">
        <v>5.2299999999999995</v>
      </c>
      <c r="F3546" s="2">
        <v>3.21</v>
      </c>
      <c r="G3546" s="6">
        <v>23874.1394272611</v>
      </c>
      <c r="H3546" s="6">
        <v>26600.740433348394</v>
      </c>
      <c r="I3546" s="6">
        <v>26936.201198849416</v>
      </c>
      <c r="J3546" s="6">
        <v>20214.690149898201</v>
      </c>
      <c r="K3546" s="6">
        <v>21740.269082131294</v>
      </c>
    </row>
    <row r="3547" spans="1:18" x14ac:dyDescent="0.25">
      <c r="A3547" s="1">
        <v>0.46180555555555602</v>
      </c>
      <c r="B3547" s="2">
        <v>6.33</v>
      </c>
      <c r="C3547" s="2">
        <v>3.67</v>
      </c>
      <c r="D3547" s="2">
        <v>5.01</v>
      </c>
      <c r="E3547" s="2">
        <v>5.28</v>
      </c>
      <c r="F3547" s="2">
        <v>2.8899999999999997</v>
      </c>
      <c r="G3547" s="6">
        <v>28960.725229649641</v>
      </c>
      <c r="H3547" s="6">
        <v>29701.149293942821</v>
      </c>
      <c r="I3547" s="6">
        <v>24950.937760695215</v>
      </c>
      <c r="J3547" s="6">
        <v>23337.48145802589</v>
      </c>
      <c r="K3547" s="6">
        <v>22604.012384926871</v>
      </c>
    </row>
    <row r="3548" spans="1:18" x14ac:dyDescent="0.25">
      <c r="A3548" s="1">
        <v>0.46250000000000002</v>
      </c>
      <c r="B3548" s="2">
        <v>6.18</v>
      </c>
      <c r="C3548" s="2">
        <v>3.92</v>
      </c>
      <c r="D3548" s="2">
        <v>4.8899999999999997</v>
      </c>
      <c r="E3548" s="2">
        <v>5.43</v>
      </c>
      <c r="F3548" s="2">
        <v>2.92</v>
      </c>
      <c r="G3548" s="6">
        <v>28268.232501648239</v>
      </c>
      <c r="H3548" s="6">
        <v>30613.341567323765</v>
      </c>
      <c r="I3548" s="6">
        <v>21714.554356973877</v>
      </c>
      <c r="J3548" s="6">
        <v>28533.342596737457</v>
      </c>
      <c r="K3548" s="6">
        <v>27113.398386922207</v>
      </c>
    </row>
    <row r="3549" spans="1:18" x14ac:dyDescent="0.25">
      <c r="A3549" s="1">
        <v>0.46319444444444402</v>
      </c>
      <c r="B3549" s="2">
        <v>6.13</v>
      </c>
      <c r="C3549" s="2">
        <v>3.9</v>
      </c>
      <c r="D3549" s="2">
        <v>5.29</v>
      </c>
      <c r="E3549" s="2">
        <v>5.2299999999999995</v>
      </c>
      <c r="F3549" s="2">
        <v>2.9299999999999997</v>
      </c>
      <c r="G3549" s="6">
        <v>28872.162282323858</v>
      </c>
      <c r="H3549" s="6">
        <v>30772.296338806969</v>
      </c>
      <c r="I3549" s="6">
        <v>27802.62185515037</v>
      </c>
      <c r="J3549" s="6">
        <v>28426.244189437592</v>
      </c>
      <c r="K3549" s="6">
        <v>25983.742629559762</v>
      </c>
    </row>
    <row r="3550" spans="1:18" x14ac:dyDescent="0.25">
      <c r="A3550" s="1">
        <v>0.46388888888888902</v>
      </c>
      <c r="B3550" s="2">
        <v>6.38</v>
      </c>
      <c r="C3550" s="2">
        <v>3.88</v>
      </c>
      <c r="D3550" s="2">
        <v>5.2399999999999993</v>
      </c>
      <c r="E3550" s="2">
        <v>5.74</v>
      </c>
      <c r="F3550" s="2">
        <v>2.9</v>
      </c>
      <c r="G3550" s="6">
        <v>24139.742212660378</v>
      </c>
      <c r="H3550" s="6">
        <v>21986.994057653959</v>
      </c>
      <c r="I3550" s="6">
        <v>26248.980839133768</v>
      </c>
      <c r="J3550" s="6">
        <v>27057.773953952397</v>
      </c>
      <c r="K3550" s="6">
        <v>25768.000086716016</v>
      </c>
    </row>
    <row r="3551" spans="1:18" x14ac:dyDescent="0.25">
      <c r="A3551" s="1">
        <v>0.46458333333333302</v>
      </c>
      <c r="B3551" s="2">
        <v>6.17</v>
      </c>
      <c r="C3551" s="2">
        <v>3.84</v>
      </c>
      <c r="D3551" s="2">
        <v>5.3199999999999994</v>
      </c>
      <c r="E3551" s="2">
        <v>5.22</v>
      </c>
      <c r="F3551" s="2">
        <v>3.34</v>
      </c>
      <c r="G3551" s="6">
        <v>20600.822862576621</v>
      </c>
      <c r="H3551" s="6">
        <v>27251.374576738861</v>
      </c>
      <c r="I3551" s="6">
        <v>26740.281153408279</v>
      </c>
      <c r="J3551" s="6">
        <v>21764.103450205213</v>
      </c>
      <c r="K3551" s="6">
        <v>23939.823654234708</v>
      </c>
    </row>
    <row r="3552" spans="1:18" x14ac:dyDescent="0.25">
      <c r="A3552" s="1">
        <v>0.46527777777777801</v>
      </c>
      <c r="B3552" s="2">
        <v>6.2700000000000005</v>
      </c>
      <c r="C3552" s="2">
        <v>3.6999999999999997</v>
      </c>
      <c r="D3552" s="2">
        <v>5.27</v>
      </c>
      <c r="E3552" s="2">
        <v>5.43</v>
      </c>
      <c r="F3552" s="2">
        <v>3.09</v>
      </c>
      <c r="G3552" s="6">
        <v>25457.961022261832</v>
      </c>
      <c r="H3552" s="6">
        <v>29396.386832415963</v>
      </c>
      <c r="I3552" s="6">
        <v>21136.248788841582</v>
      </c>
      <c r="J3552" s="6">
        <v>21594.71216011449</v>
      </c>
      <c r="K3552" s="6">
        <v>26617.93026139764</v>
      </c>
    </row>
    <row r="3553" spans="1:11" x14ac:dyDescent="0.25">
      <c r="A3553" s="1">
        <v>0.46597222222222201</v>
      </c>
      <c r="B3553" s="2">
        <v>6.3</v>
      </c>
      <c r="C3553" s="2">
        <v>3.75</v>
      </c>
      <c r="D3553" s="2">
        <v>4.9399999999999995</v>
      </c>
      <c r="E3553" s="2">
        <v>5.35</v>
      </c>
      <c r="F3553" s="2">
        <v>2.98</v>
      </c>
      <c r="G3553" s="6">
        <v>27155.051478388537</v>
      </c>
      <c r="H3553" s="6">
        <v>26304.878945206845</v>
      </c>
      <c r="I3553" s="6">
        <v>26184.843948983693</v>
      </c>
      <c r="J3553" s="6">
        <v>20577.306288635235</v>
      </c>
      <c r="K3553" s="6">
        <v>24170.027939110754</v>
      </c>
    </row>
    <row r="3554" spans="1:11" x14ac:dyDescent="0.25">
      <c r="A3554" s="1">
        <v>0.46666666666666701</v>
      </c>
      <c r="B3554" s="2">
        <v>6.26</v>
      </c>
      <c r="C3554" s="2">
        <v>3.6799999999999997</v>
      </c>
      <c r="D3554" s="2">
        <v>5.05</v>
      </c>
      <c r="E3554" s="2">
        <v>5.21</v>
      </c>
      <c r="F3554" s="2">
        <v>3.4</v>
      </c>
      <c r="G3554" s="6">
        <v>19267.556043224973</v>
      </c>
      <c r="H3554" s="6">
        <v>26497.061658874631</v>
      </c>
      <c r="I3554" s="6">
        <v>24544.514175730594</v>
      </c>
      <c r="J3554" s="6">
        <v>21817.70938569148</v>
      </c>
      <c r="K3554" s="6">
        <v>22195.349273968219</v>
      </c>
    </row>
    <row r="3555" spans="1:11" x14ac:dyDescent="0.25">
      <c r="A3555" s="1">
        <v>0.46736111111111101</v>
      </c>
      <c r="B3555" s="2">
        <v>6.22</v>
      </c>
      <c r="C3555" s="2">
        <v>3.61</v>
      </c>
      <c r="D3555" s="2">
        <v>5.17</v>
      </c>
      <c r="E3555" s="2">
        <v>5.5</v>
      </c>
      <c r="F3555" s="2">
        <v>3.29</v>
      </c>
      <c r="G3555" s="6">
        <v>22634.389908311572</v>
      </c>
      <c r="H3555" s="6">
        <v>30594.117600717265</v>
      </c>
      <c r="I3555" s="6">
        <v>25007.158190516162</v>
      </c>
      <c r="J3555" s="6">
        <v>27782.122092526595</v>
      </c>
      <c r="K3555" s="6">
        <v>22936.090665176362</v>
      </c>
    </row>
    <row r="3556" spans="1:11" x14ac:dyDescent="0.25">
      <c r="A3556" s="1">
        <v>0.468055555555556</v>
      </c>
      <c r="B3556" s="2">
        <v>6.36</v>
      </c>
      <c r="C3556" s="2">
        <v>3.8</v>
      </c>
      <c r="D3556" s="2">
        <v>4.9799999999999995</v>
      </c>
      <c r="E3556" s="2">
        <v>5.31</v>
      </c>
      <c r="F3556" s="2">
        <v>2.8899999999999997</v>
      </c>
      <c r="G3556" s="6">
        <v>25585.975309082191</v>
      </c>
      <c r="H3556" s="6">
        <v>32763.42719008624</v>
      </c>
      <c r="I3556" s="6">
        <v>27717.513287904425</v>
      </c>
      <c r="J3556" s="6">
        <v>20285.945449605155</v>
      </c>
      <c r="K3556" s="6">
        <v>24598.43992880841</v>
      </c>
    </row>
    <row r="3557" spans="1:11" x14ac:dyDescent="0.25">
      <c r="A3557" s="1">
        <v>0.46875</v>
      </c>
      <c r="B3557" s="2">
        <v>6.2700000000000005</v>
      </c>
      <c r="C3557" s="2">
        <v>3.7199999999999998</v>
      </c>
      <c r="D3557" s="2">
        <v>5.18</v>
      </c>
      <c r="E3557" s="2">
        <v>5.65</v>
      </c>
      <c r="F3557" s="2">
        <v>3.1</v>
      </c>
      <c r="G3557" s="6">
        <v>20306.509989325525</v>
      </c>
      <c r="H3557" s="6">
        <v>27706.434749596498</v>
      </c>
      <c r="I3557" s="6">
        <v>20700.374962684025</v>
      </c>
      <c r="J3557" s="6">
        <v>27923.15371385013</v>
      </c>
      <c r="K3557" s="6">
        <v>25428.401360689502</v>
      </c>
    </row>
    <row r="3558" spans="1:11" x14ac:dyDescent="0.25">
      <c r="A3558" s="1">
        <v>0.469444444444444</v>
      </c>
      <c r="B3558" s="2">
        <v>6.24</v>
      </c>
      <c r="C3558" s="2">
        <v>3.6199999999999997</v>
      </c>
      <c r="D3558" s="2">
        <v>5.3599999999999994</v>
      </c>
      <c r="E3558" s="2">
        <v>5.29</v>
      </c>
      <c r="F3558" s="2">
        <v>2.98</v>
      </c>
      <c r="G3558" s="6">
        <v>28326.467784937158</v>
      </c>
      <c r="H3558" s="6">
        <v>26324.138778955745</v>
      </c>
      <c r="I3558" s="6">
        <v>25804.086539761385</v>
      </c>
      <c r="J3558" s="6">
        <v>25323.040165440583</v>
      </c>
      <c r="K3558" s="6">
        <v>25847.506432367725</v>
      </c>
    </row>
    <row r="3559" spans="1:11" x14ac:dyDescent="0.25">
      <c r="A3559" s="1">
        <v>0.47013888888888899</v>
      </c>
      <c r="B3559" s="2">
        <v>6.36</v>
      </c>
      <c r="C3559" s="2">
        <v>3.67</v>
      </c>
      <c r="D3559" s="2">
        <v>5.34</v>
      </c>
      <c r="E3559" s="2">
        <v>5.27</v>
      </c>
      <c r="F3559" s="2">
        <v>3.25</v>
      </c>
      <c r="G3559" s="6">
        <v>20977.744697100625</v>
      </c>
      <c r="H3559" s="6">
        <v>20985.793772461027</v>
      </c>
      <c r="I3559" s="6">
        <v>22760.417187259118</v>
      </c>
      <c r="J3559" s="6">
        <v>26114.920526229209</v>
      </c>
      <c r="K3559" s="6">
        <v>24607.91780079282</v>
      </c>
    </row>
    <row r="3560" spans="1:11" x14ac:dyDescent="0.25">
      <c r="A3560" s="1">
        <v>0.47083333333333299</v>
      </c>
      <c r="B3560" s="2">
        <v>6.21</v>
      </c>
      <c r="C3560" s="2">
        <v>3.73</v>
      </c>
      <c r="D3560" s="2">
        <v>5.34</v>
      </c>
      <c r="E3560" s="2">
        <v>5.56</v>
      </c>
      <c r="F3560" s="2">
        <v>3.1799999999999997</v>
      </c>
      <c r="G3560" s="6">
        <v>24222.865613962622</v>
      </c>
      <c r="H3560" s="6">
        <v>21514.733497843637</v>
      </c>
      <c r="I3560" s="6">
        <v>24981.042146335039</v>
      </c>
      <c r="J3560" s="6">
        <v>24321.772192060107</v>
      </c>
      <c r="K3560" s="6">
        <v>25224.182278064811</v>
      </c>
    </row>
    <row r="3561" spans="1:11" x14ac:dyDescent="0.25">
      <c r="A3561" s="1">
        <v>0.47152777777777799</v>
      </c>
      <c r="B3561" s="2">
        <v>6.18</v>
      </c>
      <c r="C3561" s="2">
        <v>3.6599999999999997</v>
      </c>
      <c r="D3561" s="2">
        <v>5.1099999999999994</v>
      </c>
      <c r="E3561" s="2">
        <v>5.75</v>
      </c>
      <c r="F3561" s="2">
        <v>2.92</v>
      </c>
      <c r="G3561" s="6">
        <v>25808.614013135128</v>
      </c>
      <c r="H3561" s="6">
        <v>26674.450961693015</v>
      </c>
      <c r="I3561" s="6">
        <v>23708.944864911937</v>
      </c>
      <c r="J3561" s="6">
        <v>27888.700064159395</v>
      </c>
      <c r="K3561" s="6">
        <v>22279.377353127446</v>
      </c>
    </row>
    <row r="3562" spans="1:11" x14ac:dyDescent="0.25">
      <c r="A3562" s="1">
        <v>0.47222222222222199</v>
      </c>
      <c r="B3562" s="2">
        <v>6.34</v>
      </c>
      <c r="C3562" s="2">
        <v>3.69</v>
      </c>
      <c r="D3562" s="2">
        <v>5.2399999999999993</v>
      </c>
      <c r="E3562" s="2">
        <v>5.26</v>
      </c>
      <c r="F3562" s="2">
        <v>3.15</v>
      </c>
      <c r="G3562" s="6">
        <v>22184.165488590505</v>
      </c>
      <c r="H3562" s="6">
        <v>25750.285184775268</v>
      </c>
      <c r="I3562" s="6">
        <v>26164.594847100368</v>
      </c>
      <c r="J3562" s="6">
        <v>21909.890176011206</v>
      </c>
      <c r="K3562" s="6">
        <v>21911.760538904553</v>
      </c>
    </row>
    <row r="3563" spans="1:11" x14ac:dyDescent="0.25">
      <c r="A3563" s="1">
        <v>0.47291666666666698</v>
      </c>
      <c r="B3563" s="2">
        <v>6.15</v>
      </c>
      <c r="C3563" s="2">
        <v>3.84</v>
      </c>
      <c r="D3563" s="2">
        <v>5.34</v>
      </c>
      <c r="E3563" s="2">
        <v>5.31</v>
      </c>
      <c r="F3563" s="2">
        <v>2.88</v>
      </c>
      <c r="G3563" s="6">
        <v>22692.553171120198</v>
      </c>
      <c r="H3563" s="6">
        <v>23264.9779458499</v>
      </c>
      <c r="I3563" s="6">
        <v>23364.049487246415</v>
      </c>
      <c r="J3563" s="6">
        <v>22049.400526136869</v>
      </c>
      <c r="K3563" s="6">
        <v>25310.945971343284</v>
      </c>
    </row>
    <row r="3564" spans="1:11" x14ac:dyDescent="0.25">
      <c r="A3564" s="1">
        <v>0.47361111111111098</v>
      </c>
      <c r="B3564" s="2">
        <v>6.17</v>
      </c>
      <c r="C3564" s="2">
        <v>3.75</v>
      </c>
      <c r="D3564" s="2">
        <v>5</v>
      </c>
      <c r="E3564" s="2">
        <v>5.67</v>
      </c>
      <c r="F3564" s="2">
        <v>2.9499999999999997</v>
      </c>
      <c r="G3564" s="6">
        <v>26687.266081230791</v>
      </c>
      <c r="H3564" s="6">
        <v>28498.639327887486</v>
      </c>
      <c r="I3564" s="6">
        <v>21075.518373488329</v>
      </c>
      <c r="J3564" s="6">
        <v>22825.344633366705</v>
      </c>
      <c r="K3564" s="6">
        <v>25112.085983964658</v>
      </c>
    </row>
    <row r="3565" spans="1:11" x14ac:dyDescent="0.25">
      <c r="A3565" s="1">
        <v>0.47430555555555598</v>
      </c>
      <c r="B3565" s="2">
        <v>6.2700000000000005</v>
      </c>
      <c r="C3565" s="2">
        <v>3.71</v>
      </c>
      <c r="D3565" s="2">
        <v>5.26</v>
      </c>
      <c r="E3565" s="2">
        <v>5.54</v>
      </c>
      <c r="F3565" s="2">
        <v>3.37</v>
      </c>
      <c r="G3565" s="6">
        <v>19152.907169770446</v>
      </c>
      <c r="H3565" s="6">
        <v>29960.65269419174</v>
      </c>
      <c r="I3565" s="6">
        <v>26499.532920676578</v>
      </c>
      <c r="J3565" s="6">
        <v>24460.534097129083</v>
      </c>
      <c r="K3565" s="6">
        <v>27906.495691995919</v>
      </c>
    </row>
    <row r="3566" spans="1:11" x14ac:dyDescent="0.25">
      <c r="A3566" s="1">
        <v>0.47499999999999998</v>
      </c>
      <c r="B3566" s="2">
        <v>6.24</v>
      </c>
      <c r="C3566" s="2">
        <v>3.6799999999999997</v>
      </c>
      <c r="D3566" s="2">
        <v>4.9899999999999993</v>
      </c>
      <c r="E3566" s="2">
        <v>5.72</v>
      </c>
      <c r="F3566" s="2">
        <v>3.25</v>
      </c>
      <c r="G3566" s="6">
        <v>18695.874877061775</v>
      </c>
      <c r="H3566" s="6">
        <v>21371.312637827461</v>
      </c>
      <c r="I3566" s="6">
        <v>20157.11690357207</v>
      </c>
      <c r="J3566" s="6">
        <v>27180.825399997415</v>
      </c>
      <c r="K3566" s="6">
        <v>26130.408750618873</v>
      </c>
    </row>
    <row r="3567" spans="1:11" x14ac:dyDescent="0.25">
      <c r="A3567" s="1">
        <v>0.47569444444444398</v>
      </c>
      <c r="B3567" s="2">
        <v>6.3100000000000005</v>
      </c>
      <c r="C3567" s="2">
        <v>3.8899999999999997</v>
      </c>
      <c r="D3567" s="2">
        <v>5.0999999999999996</v>
      </c>
      <c r="E3567" s="2">
        <v>5.3</v>
      </c>
      <c r="F3567" s="2">
        <v>3.33</v>
      </c>
      <c r="G3567" s="6">
        <v>27599.861818182806</v>
      </c>
      <c r="H3567" s="6">
        <v>24433.338135958904</v>
      </c>
      <c r="I3567" s="6">
        <v>27520.006955963927</v>
      </c>
      <c r="J3567" s="6">
        <v>25404.447718762221</v>
      </c>
      <c r="K3567" s="6">
        <v>25849.413593332698</v>
      </c>
    </row>
    <row r="3568" spans="1:11" x14ac:dyDescent="0.25">
      <c r="A3568" s="1">
        <v>0.47638888888888897</v>
      </c>
      <c r="B3568" s="2">
        <v>6.19</v>
      </c>
      <c r="C3568" s="2">
        <v>3.61</v>
      </c>
      <c r="D3568" s="2">
        <v>5.31</v>
      </c>
      <c r="E3568" s="2">
        <v>5.17</v>
      </c>
      <c r="F3568" s="2">
        <v>3.34</v>
      </c>
      <c r="G3568" s="6">
        <v>29102.294292787847</v>
      </c>
      <c r="H3568" s="6">
        <v>28172.308321968219</v>
      </c>
      <c r="I3568" s="6">
        <v>22941.965846432442</v>
      </c>
      <c r="J3568" s="6">
        <v>25716.29753702609</v>
      </c>
      <c r="K3568" s="6">
        <v>25464.257367922084</v>
      </c>
    </row>
    <row r="3569" spans="1:11" x14ac:dyDescent="0.25">
      <c r="A3569" s="1">
        <v>0.47708333333333303</v>
      </c>
      <c r="B3569" s="2">
        <v>6.3500000000000005</v>
      </c>
      <c r="C3569" s="2">
        <v>3.87</v>
      </c>
      <c r="D3569" s="2">
        <v>5.16</v>
      </c>
      <c r="E3569" s="2">
        <v>5.45</v>
      </c>
      <c r="F3569" s="2">
        <v>3.2199999999999998</v>
      </c>
      <c r="G3569" s="6">
        <v>27819.214015649693</v>
      </c>
      <c r="H3569" s="6">
        <v>21805.185534616881</v>
      </c>
      <c r="I3569" s="6">
        <v>24899.295747900294</v>
      </c>
      <c r="J3569" s="6">
        <v>21715.53482218787</v>
      </c>
      <c r="K3569" s="6">
        <v>28045.773876389179</v>
      </c>
    </row>
    <row r="3570" spans="1:11" x14ac:dyDescent="0.25">
      <c r="A3570" s="1">
        <v>0.47777777777777802</v>
      </c>
      <c r="B3570" s="2">
        <v>6.38</v>
      </c>
      <c r="C3570" s="2">
        <v>3.73</v>
      </c>
      <c r="D3570" s="2">
        <v>4.9499999999999993</v>
      </c>
      <c r="E3570" s="2">
        <v>5.57</v>
      </c>
      <c r="F3570" s="2">
        <v>2.9899999999999998</v>
      </c>
      <c r="G3570" s="6">
        <v>25607.194082229809</v>
      </c>
      <c r="H3570" s="6">
        <v>27419.816755248306</v>
      </c>
      <c r="I3570" s="6">
        <v>25317.961246988794</v>
      </c>
      <c r="J3570" s="6">
        <v>27094.479518025986</v>
      </c>
      <c r="K3570" s="6">
        <v>22104.172989349772</v>
      </c>
    </row>
    <row r="3571" spans="1:11" x14ac:dyDescent="0.25">
      <c r="A3571" s="1">
        <v>0.47847222222222202</v>
      </c>
      <c r="B3571" s="2">
        <v>6.14</v>
      </c>
      <c r="C3571" s="2">
        <v>3.81</v>
      </c>
      <c r="D3571" s="2">
        <v>5.3699999999999992</v>
      </c>
      <c r="E3571" s="2">
        <v>5.16</v>
      </c>
      <c r="F3571" s="2">
        <v>3.05</v>
      </c>
      <c r="G3571" s="6">
        <v>22768.710748355668</v>
      </c>
      <c r="H3571" s="6">
        <v>30514.420772807749</v>
      </c>
      <c r="I3571" s="6">
        <v>24037.947058036869</v>
      </c>
      <c r="J3571" s="6">
        <v>26057.25811722155</v>
      </c>
      <c r="K3571" s="6">
        <v>28637.832538934112</v>
      </c>
    </row>
    <row r="3572" spans="1:11" x14ac:dyDescent="0.25">
      <c r="A3572" s="1">
        <v>0.47916666666666702</v>
      </c>
      <c r="B3572" s="2">
        <v>6.2700000000000005</v>
      </c>
      <c r="C3572" s="2">
        <v>3.65</v>
      </c>
      <c r="D3572" s="2">
        <v>5.22</v>
      </c>
      <c r="E3572" s="2">
        <v>5.49</v>
      </c>
      <c r="F3572" s="2">
        <v>3.07</v>
      </c>
      <c r="G3572" s="6">
        <v>22205.173444137145</v>
      </c>
      <c r="H3572" s="6">
        <v>27063.454506805145</v>
      </c>
      <c r="I3572" s="6">
        <v>20659.946898419308</v>
      </c>
      <c r="J3572" s="6">
        <v>25110.063849746726</v>
      </c>
      <c r="K3572" s="6">
        <v>26048.05858841868</v>
      </c>
    </row>
    <row r="3573" spans="1:11" x14ac:dyDescent="0.25">
      <c r="A3573" s="1">
        <v>0.47986111111111102</v>
      </c>
      <c r="B3573" s="2">
        <v>6.14</v>
      </c>
      <c r="C3573" s="2">
        <v>3.73</v>
      </c>
      <c r="D3573" s="2">
        <v>4.96</v>
      </c>
      <c r="E3573" s="2">
        <v>5.59</v>
      </c>
      <c r="F3573" s="2">
        <v>3.03</v>
      </c>
      <c r="G3573" s="6">
        <v>26728.525576512358</v>
      </c>
      <c r="H3573" s="6">
        <v>26724.772954708791</v>
      </c>
      <c r="I3573" s="6">
        <v>19894.137227415184</v>
      </c>
      <c r="J3573" s="6">
        <v>21539.240327400246</v>
      </c>
      <c r="K3573" s="6">
        <v>28271.39464646237</v>
      </c>
    </row>
    <row r="3574" spans="1:11" x14ac:dyDescent="0.25">
      <c r="A3574" s="1">
        <v>0.48055555555555601</v>
      </c>
      <c r="B3574" s="2">
        <v>6.13</v>
      </c>
      <c r="C3574" s="2">
        <v>3.6799999999999997</v>
      </c>
      <c r="D3574" s="2">
        <v>5.05</v>
      </c>
      <c r="E3574" s="2">
        <v>5.36</v>
      </c>
      <c r="F3574" s="2">
        <v>3.38</v>
      </c>
      <c r="G3574" s="6">
        <v>29494.180507724879</v>
      </c>
      <c r="H3574" s="6">
        <v>20893.838443451037</v>
      </c>
      <c r="I3574" s="6">
        <v>25431.652516346589</v>
      </c>
      <c r="J3574" s="6">
        <v>26311.318028913451</v>
      </c>
      <c r="K3574" s="6">
        <v>23750.707900474539</v>
      </c>
    </row>
    <row r="3575" spans="1:11" x14ac:dyDescent="0.25">
      <c r="A3575" s="1">
        <v>0.48125000000000001</v>
      </c>
      <c r="B3575" s="2">
        <v>6.2700000000000005</v>
      </c>
      <c r="C3575" s="2">
        <v>3.9</v>
      </c>
      <c r="D3575" s="2">
        <v>5.13</v>
      </c>
      <c r="E3575" s="2">
        <v>5.31</v>
      </c>
      <c r="F3575" s="2">
        <v>3.1799999999999997</v>
      </c>
      <c r="G3575" s="6">
        <v>23232.376394538293</v>
      </c>
      <c r="H3575" s="6">
        <v>25559.571538457418</v>
      </c>
      <c r="I3575" s="6">
        <v>25832.504528717836</v>
      </c>
      <c r="J3575" s="6">
        <v>24486.907176734698</v>
      </c>
      <c r="K3575" s="6">
        <v>26465.610533902996</v>
      </c>
    </row>
    <row r="3576" spans="1:11" x14ac:dyDescent="0.25">
      <c r="A3576" s="1">
        <v>0.48194444444444401</v>
      </c>
      <c r="B3576" s="2">
        <v>6.38</v>
      </c>
      <c r="C3576" s="2">
        <v>3.67</v>
      </c>
      <c r="D3576" s="2">
        <v>5.38</v>
      </c>
      <c r="E3576" s="2">
        <v>5.28</v>
      </c>
      <c r="F3576" s="2">
        <v>3.36</v>
      </c>
      <c r="G3576" s="6">
        <v>22613.456294508404</v>
      </c>
      <c r="H3576" s="6">
        <v>32014.517582163407</v>
      </c>
      <c r="I3576" s="6">
        <v>19755.604817154148</v>
      </c>
      <c r="J3576" s="6">
        <v>23635.584248812116</v>
      </c>
      <c r="K3576" s="6">
        <v>26543.199534463889</v>
      </c>
    </row>
    <row r="3577" spans="1:11" x14ac:dyDescent="0.25">
      <c r="A3577" s="1">
        <v>0.48263888888888901</v>
      </c>
      <c r="B3577" s="2">
        <v>6.24</v>
      </c>
      <c r="C3577" s="2">
        <v>3.8</v>
      </c>
      <c r="D3577" s="2">
        <v>5.2799999999999994</v>
      </c>
      <c r="E3577" s="2">
        <v>5.72</v>
      </c>
      <c r="F3577" s="2">
        <v>3.07</v>
      </c>
      <c r="G3577" s="6">
        <v>26309.198270427612</v>
      </c>
      <c r="H3577" s="6">
        <v>32096.351771807476</v>
      </c>
      <c r="I3577" s="6">
        <v>28459.582226013939</v>
      </c>
      <c r="J3577" s="6">
        <v>27306.53459289192</v>
      </c>
      <c r="K3577" s="6">
        <v>26939.291222565374</v>
      </c>
    </row>
    <row r="3578" spans="1:11" x14ac:dyDescent="0.25">
      <c r="A3578" s="1">
        <v>0.483333333333333</v>
      </c>
      <c r="B3578" s="2">
        <v>6.33</v>
      </c>
      <c r="C3578" s="2">
        <v>3.75</v>
      </c>
      <c r="D3578" s="2">
        <v>4.92</v>
      </c>
      <c r="E3578" s="2">
        <v>5.36</v>
      </c>
      <c r="F3578" s="2">
        <v>2.9</v>
      </c>
      <c r="G3578" s="6">
        <v>22409.322356141845</v>
      </c>
      <c r="H3578" s="6">
        <v>21975.325127226544</v>
      </c>
      <c r="I3578" s="6">
        <v>19780.017826799794</v>
      </c>
      <c r="J3578" s="6">
        <v>24419.820217391913</v>
      </c>
      <c r="K3578" s="6">
        <v>23222.013413829609</v>
      </c>
    </row>
    <row r="3579" spans="1:11" x14ac:dyDescent="0.25">
      <c r="A3579" s="1">
        <v>0.484027777777778</v>
      </c>
      <c r="B3579" s="2">
        <v>6.2</v>
      </c>
      <c r="C3579" s="2">
        <v>3.8899999999999997</v>
      </c>
      <c r="D3579" s="2">
        <v>5.27</v>
      </c>
      <c r="E3579" s="2">
        <v>5.68</v>
      </c>
      <c r="F3579" s="2">
        <v>3.07</v>
      </c>
      <c r="G3579" s="6">
        <v>27888.987533303345</v>
      </c>
      <c r="H3579" s="6">
        <v>24132.947367177752</v>
      </c>
      <c r="I3579" s="6">
        <v>20620.720412237715</v>
      </c>
      <c r="J3579" s="6">
        <v>22193.793041395085</v>
      </c>
      <c r="K3579" s="6">
        <v>22602.0386608681</v>
      </c>
    </row>
    <row r="3580" spans="1:11" x14ac:dyDescent="0.25">
      <c r="A3580" s="1">
        <v>0.484722222222222</v>
      </c>
      <c r="B3580" s="2">
        <v>6.2</v>
      </c>
      <c r="C3580" s="2">
        <v>3.87</v>
      </c>
      <c r="D3580" s="2">
        <v>5.31</v>
      </c>
      <c r="E3580" s="2">
        <v>5.25</v>
      </c>
      <c r="F3580" s="2">
        <v>2.9899999999999998</v>
      </c>
      <c r="G3580" s="6">
        <v>26186.046959083887</v>
      </c>
      <c r="H3580" s="6">
        <v>23221.272141344052</v>
      </c>
      <c r="I3580" s="6">
        <v>22184.832916660511</v>
      </c>
      <c r="J3580" s="6">
        <v>24006.364765661623</v>
      </c>
      <c r="K3580" s="6">
        <v>22505.092864000002</v>
      </c>
    </row>
    <row r="3581" spans="1:11" x14ac:dyDescent="0.25">
      <c r="A3581" s="1">
        <v>0.485416666666667</v>
      </c>
      <c r="B3581" s="2">
        <v>6.12</v>
      </c>
      <c r="C3581" s="2">
        <v>3.78</v>
      </c>
      <c r="D3581" s="2">
        <v>5.01</v>
      </c>
      <c r="E3581" s="2">
        <v>5.38</v>
      </c>
      <c r="F3581" s="2">
        <v>3.15</v>
      </c>
      <c r="G3581" s="6">
        <v>29073.380063336055</v>
      </c>
      <c r="H3581" s="6">
        <v>30352.543773042424</v>
      </c>
      <c r="I3581" s="6">
        <v>25240.730322253989</v>
      </c>
      <c r="J3581" s="6">
        <v>25567.561330334222</v>
      </c>
      <c r="K3581" s="6">
        <v>26416.138081997688</v>
      </c>
    </row>
    <row r="3582" spans="1:11" x14ac:dyDescent="0.25">
      <c r="A3582" s="1">
        <v>0.48611111111111099</v>
      </c>
      <c r="B3582" s="2">
        <v>6.22</v>
      </c>
      <c r="C3582" s="2">
        <v>3.75</v>
      </c>
      <c r="D3582" s="2">
        <v>5.17</v>
      </c>
      <c r="E3582" s="2">
        <v>5.78</v>
      </c>
      <c r="F3582" s="2">
        <v>3.15</v>
      </c>
      <c r="G3582" s="6">
        <v>19167.823164714955</v>
      </c>
      <c r="H3582" s="6">
        <v>31153.2542551345</v>
      </c>
      <c r="I3582" s="6">
        <v>26136.127337127229</v>
      </c>
      <c r="J3582" s="6">
        <v>26156.295263544489</v>
      </c>
      <c r="K3582" s="6">
        <v>22920.8508827732</v>
      </c>
    </row>
    <row r="3583" spans="1:11" x14ac:dyDescent="0.25">
      <c r="A3583" s="1">
        <v>0.48680555555555599</v>
      </c>
      <c r="B3583" s="2">
        <v>6.3500000000000005</v>
      </c>
      <c r="C3583" s="2">
        <v>3.79</v>
      </c>
      <c r="D3583" s="2">
        <v>5.26</v>
      </c>
      <c r="E3583" s="2">
        <v>5.64</v>
      </c>
      <c r="F3583" s="2">
        <v>3.17</v>
      </c>
      <c r="G3583" s="6">
        <v>24344.876422531797</v>
      </c>
      <c r="H3583" s="6">
        <v>23953.20012912737</v>
      </c>
      <c r="I3583" s="6">
        <v>21314.111607045783</v>
      </c>
      <c r="J3583" s="6">
        <v>28120.278202521986</v>
      </c>
      <c r="K3583" s="6">
        <v>24128.037647671605</v>
      </c>
    </row>
    <row r="3584" spans="1:11" x14ac:dyDescent="0.25">
      <c r="A3584" s="1">
        <v>0.48749999999999999</v>
      </c>
      <c r="B3584" s="2">
        <v>6.36</v>
      </c>
      <c r="C3584" s="2">
        <v>3.88</v>
      </c>
      <c r="D3584" s="2">
        <v>5.27</v>
      </c>
      <c r="E3584" s="2">
        <v>5.21</v>
      </c>
      <c r="F3584" s="2">
        <v>2.9699999999999998</v>
      </c>
      <c r="G3584" s="6">
        <v>23784.188757910684</v>
      </c>
      <c r="H3584" s="6">
        <v>27444.976406197391</v>
      </c>
      <c r="I3584" s="6">
        <v>26896.87400801542</v>
      </c>
      <c r="J3584" s="6">
        <v>27080.507912160283</v>
      </c>
      <c r="K3584" s="6">
        <v>25497.813697419831</v>
      </c>
    </row>
    <row r="3585" spans="1:11" x14ac:dyDescent="0.25">
      <c r="A3585" s="1">
        <v>0.48819444444444399</v>
      </c>
      <c r="B3585" s="2">
        <v>6.3500000000000005</v>
      </c>
      <c r="C3585" s="2">
        <v>3.75</v>
      </c>
      <c r="D3585" s="2">
        <v>5</v>
      </c>
      <c r="E3585" s="2">
        <v>5.56</v>
      </c>
      <c r="F3585" s="2">
        <v>3.03</v>
      </c>
      <c r="G3585" s="6">
        <v>23523.674024035499</v>
      </c>
      <c r="H3585" s="6">
        <v>32163.277422239189</v>
      </c>
      <c r="I3585" s="6">
        <v>22125.963680942241</v>
      </c>
      <c r="J3585" s="6">
        <v>23510.847708252539</v>
      </c>
      <c r="K3585" s="6">
        <v>23571.65276458866</v>
      </c>
    </row>
    <row r="3586" spans="1:11" x14ac:dyDescent="0.25">
      <c r="A3586" s="1">
        <v>0.48888888888888898</v>
      </c>
      <c r="B3586" s="2">
        <v>6.17</v>
      </c>
      <c r="C3586" s="2">
        <v>3.63</v>
      </c>
      <c r="D3586" s="2">
        <v>5.25</v>
      </c>
      <c r="E3586" s="2">
        <v>5.26</v>
      </c>
      <c r="F3586" s="2">
        <v>3.09</v>
      </c>
      <c r="G3586" s="6">
        <v>22187.37251733071</v>
      </c>
      <c r="H3586" s="6">
        <v>32380.785272616376</v>
      </c>
      <c r="I3586" s="6">
        <v>24227.690760934565</v>
      </c>
      <c r="J3586" s="6">
        <v>21072.948247870936</v>
      </c>
      <c r="K3586" s="6">
        <v>27338.519263408714</v>
      </c>
    </row>
    <row r="3587" spans="1:11" x14ac:dyDescent="0.25">
      <c r="A3587" s="1">
        <v>0.48958333333333298</v>
      </c>
      <c r="B3587" s="2">
        <v>6.25</v>
      </c>
      <c r="C3587" s="2">
        <v>3.8899999999999997</v>
      </c>
      <c r="D3587" s="2">
        <v>5.0199999999999996</v>
      </c>
      <c r="E3587" s="2">
        <v>5.33</v>
      </c>
      <c r="F3587" s="2">
        <v>3.09</v>
      </c>
      <c r="G3587" s="6">
        <v>25560.922628322987</v>
      </c>
      <c r="H3587" s="6">
        <v>27341.875826281012</v>
      </c>
      <c r="I3587" s="6">
        <v>28193.817204060633</v>
      </c>
      <c r="J3587" s="6">
        <v>20533.043587008637</v>
      </c>
      <c r="K3587" s="6">
        <v>23638.592494439807</v>
      </c>
    </row>
    <row r="3588" spans="1:11" x14ac:dyDescent="0.25">
      <c r="A3588" s="1">
        <v>0.49027777777777798</v>
      </c>
      <c r="B3588" s="2">
        <v>6.36</v>
      </c>
      <c r="C3588" s="2">
        <v>3.83</v>
      </c>
      <c r="D3588" s="2">
        <v>5.13</v>
      </c>
      <c r="E3588" s="2">
        <v>5.21</v>
      </c>
      <c r="F3588" s="2">
        <v>3.02</v>
      </c>
      <c r="G3588" s="6">
        <v>26054.237821421855</v>
      </c>
      <c r="H3588" s="6">
        <v>24806.10855546976</v>
      </c>
      <c r="I3588" s="6">
        <v>22825.78197287245</v>
      </c>
      <c r="J3588" s="6">
        <v>27384.82892019982</v>
      </c>
      <c r="K3588" s="6">
        <v>21782.574332043943</v>
      </c>
    </row>
    <row r="3589" spans="1:11" x14ac:dyDescent="0.25">
      <c r="A3589" s="1">
        <v>0.49097222222222198</v>
      </c>
      <c r="B3589" s="2">
        <v>6.2</v>
      </c>
      <c r="C3589" s="2">
        <v>3.86</v>
      </c>
      <c r="D3589" s="2">
        <v>5.0999999999999996</v>
      </c>
      <c r="E3589" s="2">
        <v>5.78</v>
      </c>
      <c r="F3589" s="2">
        <v>3.03</v>
      </c>
      <c r="G3589" s="6">
        <v>24171.843132947288</v>
      </c>
      <c r="H3589" s="6">
        <v>32723.496149683644</v>
      </c>
      <c r="I3589" s="6">
        <v>21799.833415594345</v>
      </c>
      <c r="J3589" s="6">
        <v>24314.128236261517</v>
      </c>
      <c r="K3589" s="6">
        <v>23167.008340377077</v>
      </c>
    </row>
    <row r="3590" spans="1:11" x14ac:dyDescent="0.25">
      <c r="A3590" s="1">
        <v>0.49166666666666697</v>
      </c>
      <c r="B3590" s="2">
        <v>6.3500000000000005</v>
      </c>
      <c r="C3590" s="2">
        <v>3.75</v>
      </c>
      <c r="D3590" s="2">
        <v>4.96</v>
      </c>
      <c r="E3590" s="2">
        <v>5.42</v>
      </c>
      <c r="F3590" s="2">
        <v>3.3</v>
      </c>
      <c r="G3590" s="6">
        <v>21948.686009126086</v>
      </c>
      <c r="H3590" s="6">
        <v>32278.032282338456</v>
      </c>
      <c r="I3590" s="6">
        <v>27071.669847967623</v>
      </c>
      <c r="J3590" s="6">
        <v>24855.514174616055</v>
      </c>
      <c r="K3590" s="6">
        <v>24804.249095322026</v>
      </c>
    </row>
    <row r="3591" spans="1:11" x14ac:dyDescent="0.25">
      <c r="A3591" s="1">
        <v>0.49236111111111103</v>
      </c>
      <c r="B3591" s="2">
        <v>6.29</v>
      </c>
      <c r="C3591" s="2">
        <v>3.8</v>
      </c>
      <c r="D3591" s="2">
        <v>4.8899999999999997</v>
      </c>
      <c r="E3591" s="2">
        <v>5.28</v>
      </c>
      <c r="F3591" s="2">
        <v>3.06</v>
      </c>
      <c r="G3591" s="6">
        <v>23809.566827973449</v>
      </c>
      <c r="H3591" s="6">
        <v>25771.761916027688</v>
      </c>
      <c r="I3591" s="6">
        <v>22649.223704998287</v>
      </c>
      <c r="J3591" s="6">
        <v>26673.616927531755</v>
      </c>
      <c r="K3591" s="6">
        <v>24822.608746436777</v>
      </c>
    </row>
    <row r="3592" spans="1:11" x14ac:dyDescent="0.25">
      <c r="A3592" s="1">
        <v>0.49305555555555602</v>
      </c>
      <c r="B3592" s="2">
        <v>6.17</v>
      </c>
      <c r="C3592" s="2">
        <v>3.6199999999999997</v>
      </c>
      <c r="D3592" s="2">
        <v>5.01</v>
      </c>
      <c r="E3592" s="2">
        <v>5.59</v>
      </c>
      <c r="F3592" s="2">
        <v>3.16</v>
      </c>
      <c r="G3592" s="6">
        <v>28839.970999232075</v>
      </c>
      <c r="H3592" s="6">
        <v>26577.12481762582</v>
      </c>
      <c r="I3592" s="6">
        <v>22482.228605325807</v>
      </c>
      <c r="J3592" s="6">
        <v>23664.061608751294</v>
      </c>
      <c r="K3592" s="6">
        <v>28014.782467477726</v>
      </c>
    </row>
    <row r="3593" spans="1:11" x14ac:dyDescent="0.25">
      <c r="A3593" s="1">
        <v>0.49375000000000002</v>
      </c>
      <c r="B3593" s="2">
        <v>6.23</v>
      </c>
      <c r="C3593" s="2">
        <v>3.78</v>
      </c>
      <c r="D3593" s="2">
        <v>5.0199999999999996</v>
      </c>
      <c r="E3593" s="2">
        <v>5.42</v>
      </c>
      <c r="F3593" s="2">
        <v>3.13</v>
      </c>
      <c r="G3593" s="6">
        <v>25818.181093581246</v>
      </c>
      <c r="H3593" s="6">
        <v>28303.579445434301</v>
      </c>
      <c r="I3593" s="6">
        <v>22347.041074110413</v>
      </c>
      <c r="J3593" s="6">
        <v>24970.706027820739</v>
      </c>
      <c r="K3593" s="6">
        <v>25603.362169696775</v>
      </c>
    </row>
    <row r="3594" spans="1:11" x14ac:dyDescent="0.25">
      <c r="A3594" s="1">
        <v>0.49444444444444402</v>
      </c>
      <c r="B3594" s="2">
        <v>6.34</v>
      </c>
      <c r="C3594" s="2">
        <v>3.7199999999999998</v>
      </c>
      <c r="D3594" s="2">
        <v>5.13</v>
      </c>
      <c r="E3594" s="2">
        <v>5.63</v>
      </c>
      <c r="F3594" s="2">
        <v>3.2199999999999998</v>
      </c>
      <c r="G3594" s="6">
        <v>23676.624846799758</v>
      </c>
      <c r="H3594" s="6">
        <v>21117.324098603782</v>
      </c>
      <c r="I3594" s="6">
        <v>20674.833311459352</v>
      </c>
      <c r="J3594" s="6">
        <v>20917.226171441631</v>
      </c>
      <c r="K3594" s="6">
        <v>22373.023126135395</v>
      </c>
    </row>
    <row r="3595" spans="1:11" x14ac:dyDescent="0.25">
      <c r="A3595" s="1">
        <v>0.49513888888888902</v>
      </c>
      <c r="B3595" s="2">
        <v>6.22</v>
      </c>
      <c r="C3595" s="2">
        <v>3.9</v>
      </c>
      <c r="D3595" s="2">
        <v>5.27</v>
      </c>
      <c r="E3595" s="2">
        <v>5.42</v>
      </c>
      <c r="F3595" s="2">
        <v>3.37</v>
      </c>
      <c r="G3595" s="6">
        <v>24441.978310568305</v>
      </c>
      <c r="H3595" s="6">
        <v>24839.05117030094</v>
      </c>
      <c r="I3595" s="6">
        <v>23344.487208629915</v>
      </c>
      <c r="J3595" s="6">
        <v>28476.192404587691</v>
      </c>
      <c r="K3595" s="6">
        <v>25135.130655320529</v>
      </c>
    </row>
    <row r="3596" spans="1:11" x14ac:dyDescent="0.25">
      <c r="A3596" s="1">
        <v>0.49583333333333302</v>
      </c>
      <c r="B3596" s="2">
        <v>6.2700000000000005</v>
      </c>
      <c r="C3596" s="2">
        <v>3.75</v>
      </c>
      <c r="D3596" s="2">
        <v>4.9399999999999995</v>
      </c>
      <c r="E3596" s="2">
        <v>5.79</v>
      </c>
      <c r="F3596" s="2">
        <v>3.26</v>
      </c>
      <c r="G3596" s="6">
        <v>22548.568988409403</v>
      </c>
      <c r="H3596" s="6">
        <v>24711.8955979485</v>
      </c>
      <c r="I3596" s="6">
        <v>23626.850755628191</v>
      </c>
      <c r="J3596" s="6">
        <v>25927.973831265026</v>
      </c>
      <c r="K3596" s="6">
        <v>28084.556827672288</v>
      </c>
    </row>
    <row r="3597" spans="1:11" x14ac:dyDescent="0.25">
      <c r="A3597" s="1">
        <v>0.49652777777777801</v>
      </c>
      <c r="B3597" s="2">
        <v>6.32</v>
      </c>
      <c r="C3597" s="2">
        <v>3.8</v>
      </c>
      <c r="D3597" s="2">
        <v>5.21</v>
      </c>
      <c r="E3597" s="2">
        <v>5.21</v>
      </c>
      <c r="F3597" s="2">
        <v>3.23</v>
      </c>
      <c r="G3597" s="6">
        <v>27183.244687302889</v>
      </c>
      <c r="H3597" s="6">
        <v>25712.79977906388</v>
      </c>
      <c r="I3597" s="6">
        <v>19630.948471485091</v>
      </c>
      <c r="J3597" s="6">
        <v>24896.112795613131</v>
      </c>
      <c r="K3597" s="6">
        <v>23468.360790983756</v>
      </c>
    </row>
    <row r="3598" spans="1:11" x14ac:dyDescent="0.25">
      <c r="A3598" s="1">
        <v>0.49722222222222201</v>
      </c>
      <c r="B3598" s="2">
        <v>6.3500000000000005</v>
      </c>
      <c r="C3598" s="2">
        <v>3.76</v>
      </c>
      <c r="D3598" s="2">
        <v>5.2799999999999994</v>
      </c>
      <c r="E3598" s="2">
        <v>5.26</v>
      </c>
      <c r="F3598" s="2">
        <v>2.9899999999999998</v>
      </c>
      <c r="G3598" s="6">
        <v>19726.113791742075</v>
      </c>
      <c r="H3598" s="6">
        <v>31866.327602680347</v>
      </c>
      <c r="I3598" s="6">
        <v>20993.386168343262</v>
      </c>
      <c r="J3598" s="6">
        <v>21828.712543999249</v>
      </c>
      <c r="K3598" s="6">
        <v>24542.633224226694</v>
      </c>
    </row>
    <row r="3599" spans="1:11" x14ac:dyDescent="0.25">
      <c r="A3599" s="1">
        <v>0.49791666666666701</v>
      </c>
      <c r="B3599" s="2">
        <v>6.24</v>
      </c>
      <c r="C3599" s="2">
        <v>3.8899999999999997</v>
      </c>
      <c r="D3599" s="2">
        <v>5.2799999999999994</v>
      </c>
      <c r="E3599" s="2">
        <v>5.6099999999999994</v>
      </c>
      <c r="F3599" s="2">
        <v>3.37</v>
      </c>
      <c r="G3599" s="6">
        <v>26719.541219143459</v>
      </c>
      <c r="H3599" s="6">
        <v>25078.175478875848</v>
      </c>
      <c r="I3599" s="6">
        <v>21264.550392182024</v>
      </c>
      <c r="J3599" s="6">
        <v>20105.446404577397</v>
      </c>
      <c r="K3599" s="6">
        <v>26360.396963499545</v>
      </c>
    </row>
    <row r="3600" spans="1:11" x14ac:dyDescent="0.25">
      <c r="A3600" s="1">
        <v>0.49861111111111101</v>
      </c>
      <c r="B3600" s="2">
        <v>6.36</v>
      </c>
      <c r="C3600" s="2">
        <v>3.82</v>
      </c>
      <c r="D3600" s="2">
        <v>5.17</v>
      </c>
      <c r="E3600" s="2">
        <v>5.37</v>
      </c>
      <c r="F3600" s="2">
        <v>3.1999999999999997</v>
      </c>
      <c r="G3600" s="6">
        <v>27483.099258690338</v>
      </c>
      <c r="H3600" s="6">
        <v>28549.067588950216</v>
      </c>
      <c r="I3600" s="6">
        <v>27768.976200925175</v>
      </c>
      <c r="J3600" s="6">
        <v>20203.313535637368</v>
      </c>
      <c r="K3600" s="6">
        <v>23999.333141870306</v>
      </c>
    </row>
    <row r="3601" spans="1:11" x14ac:dyDescent="0.25">
      <c r="A3601" s="1">
        <v>0.499305555555556</v>
      </c>
      <c r="B3601" s="2">
        <v>6.21</v>
      </c>
      <c r="C3601" s="2">
        <v>3.83</v>
      </c>
      <c r="D3601" s="2">
        <v>4.9099999999999993</v>
      </c>
      <c r="E3601" s="2">
        <v>5.5</v>
      </c>
      <c r="F3601" s="2">
        <v>3.13</v>
      </c>
      <c r="G3601" s="6">
        <v>25459.007975356246</v>
      </c>
      <c r="H3601" s="6">
        <v>28724.26439596606</v>
      </c>
      <c r="I3601" s="6">
        <v>25030.561315430015</v>
      </c>
      <c r="J3601" s="6">
        <v>25101.399106102373</v>
      </c>
      <c r="K3601" s="6">
        <v>29311.34</v>
      </c>
    </row>
    <row r="3602" spans="1:11" x14ac:dyDescent="0.25">
      <c r="A3602" s="3">
        <v>0.5</v>
      </c>
      <c r="B3602" s="2">
        <v>6.24</v>
      </c>
      <c r="C3602" s="2">
        <v>3.82</v>
      </c>
      <c r="D3602" s="2">
        <v>5.12</v>
      </c>
      <c r="E3602" s="2">
        <v>5.41</v>
      </c>
      <c r="F3602" s="2">
        <v>3.16</v>
      </c>
      <c r="G3602" s="6">
        <v>25870</v>
      </c>
      <c r="H3602" s="6">
        <v>29250</v>
      </c>
      <c r="I3602" s="6">
        <v>27580</v>
      </c>
      <c r="J3602" s="6">
        <v>28250</v>
      </c>
      <c r="K3602" s="6">
        <v>31400</v>
      </c>
    </row>
    <row r="3603" spans="1:11" x14ac:dyDescent="0.25">
      <c r="A3603" s="1">
        <v>0.500694444444444</v>
      </c>
      <c r="B3603" s="2">
        <v>6.26</v>
      </c>
      <c r="C3603" s="2">
        <v>3.77</v>
      </c>
      <c r="D3603" s="2">
        <v>5.3199999999999994</v>
      </c>
      <c r="E3603" s="2">
        <v>5.3</v>
      </c>
      <c r="F3603" s="2">
        <v>3.4</v>
      </c>
      <c r="G3603" s="6">
        <v>11630.468007735635</v>
      </c>
      <c r="H3603" s="6">
        <v>9222.3274366257647</v>
      </c>
      <c r="I3603" s="6">
        <v>6367.4298262854936</v>
      </c>
      <c r="J3603" s="6">
        <v>7848.2985724125729</v>
      </c>
      <c r="K3603" s="6">
        <v>10188.151651939346</v>
      </c>
    </row>
    <row r="3604" spans="1:11" x14ac:dyDescent="0.25">
      <c r="A3604" s="1">
        <v>0.50138888888888899</v>
      </c>
      <c r="B3604" s="2">
        <v>6.14</v>
      </c>
      <c r="C3604" s="2">
        <v>3.6199999999999997</v>
      </c>
      <c r="D3604" s="2">
        <v>5.09</v>
      </c>
      <c r="E3604" s="2">
        <v>5.14</v>
      </c>
      <c r="F3604" s="2">
        <v>3.29</v>
      </c>
      <c r="G3604" s="6">
        <v>15618.460086107334</v>
      </c>
      <c r="H3604" s="6">
        <v>9457.7638321326667</v>
      </c>
      <c r="I3604" s="6">
        <v>12132.287452889137</v>
      </c>
      <c r="J3604" s="6">
        <v>12530.156124109386</v>
      </c>
      <c r="K3604" s="6">
        <v>15392.353444728322</v>
      </c>
    </row>
    <row r="3605" spans="1:11" x14ac:dyDescent="0.25">
      <c r="A3605" s="1">
        <v>0.50208333333333299</v>
      </c>
      <c r="B3605" s="2">
        <v>6.16</v>
      </c>
      <c r="C3605" s="2">
        <v>3.79</v>
      </c>
      <c r="D3605" s="2">
        <v>5.0999999999999996</v>
      </c>
      <c r="E3605" s="2">
        <v>5.41</v>
      </c>
      <c r="F3605" s="2">
        <v>3.06</v>
      </c>
      <c r="G3605" s="6">
        <v>15684.909134509611</v>
      </c>
      <c r="H3605" s="6">
        <v>9642.9390007013189</v>
      </c>
      <c r="I3605" s="6">
        <v>12628.823458011999</v>
      </c>
      <c r="J3605" s="6">
        <v>12285.310831450302</v>
      </c>
      <c r="K3605" s="6">
        <v>15311.49247160101</v>
      </c>
    </row>
    <row r="3606" spans="1:11" x14ac:dyDescent="0.25">
      <c r="A3606" s="1">
        <v>0.50277777777777799</v>
      </c>
      <c r="B3606" s="2">
        <v>6.28</v>
      </c>
      <c r="C3606" s="2">
        <v>3.67</v>
      </c>
      <c r="D3606" s="2">
        <v>4.93</v>
      </c>
      <c r="E3606" s="2">
        <v>5.6899999999999995</v>
      </c>
      <c r="F3606" s="2">
        <v>2.9099999999999997</v>
      </c>
      <c r="G3606" s="6">
        <v>15586.035839409809</v>
      </c>
      <c r="H3606" s="6">
        <v>9454.1308101457125</v>
      </c>
      <c r="I3606" s="6">
        <v>12609.733876647957</v>
      </c>
      <c r="J3606" s="6">
        <v>12590.020383921923</v>
      </c>
      <c r="K3606" s="6">
        <v>15122.921504846025</v>
      </c>
    </row>
    <row r="3607" spans="1:11" x14ac:dyDescent="0.25">
      <c r="A3607" s="1">
        <v>0.50347222222222199</v>
      </c>
      <c r="B3607" s="2">
        <v>6.23</v>
      </c>
      <c r="C3607" s="2">
        <v>3.7199999999999998</v>
      </c>
      <c r="D3607" s="2">
        <v>5.38</v>
      </c>
      <c r="E3607" s="2">
        <v>5.53</v>
      </c>
      <c r="F3607" s="2">
        <v>2.92</v>
      </c>
      <c r="G3607" s="6">
        <v>15695.306224957003</v>
      </c>
      <c r="H3607" s="6">
        <v>9177.8259655099009</v>
      </c>
      <c r="I3607" s="6">
        <v>13864.784373785486</v>
      </c>
      <c r="J3607" s="6">
        <v>13486.059010001805</v>
      </c>
      <c r="K3607" s="6">
        <v>15553.14321785547</v>
      </c>
    </row>
    <row r="3608" spans="1:11" x14ac:dyDescent="0.25">
      <c r="A3608" s="1">
        <v>0.50416666666666698</v>
      </c>
      <c r="B3608" s="2">
        <v>6.37</v>
      </c>
      <c r="C3608" s="2">
        <v>3.8</v>
      </c>
      <c r="D3608" s="2">
        <v>5.31</v>
      </c>
      <c r="E3608" s="2">
        <v>5.43</v>
      </c>
      <c r="F3608" s="2">
        <v>3.06</v>
      </c>
      <c r="G3608" s="6">
        <v>9996.8996156352932</v>
      </c>
      <c r="H3608" s="6">
        <v>16948.532488155368</v>
      </c>
      <c r="I3608" s="6">
        <v>6104.3141498697742</v>
      </c>
      <c r="J3608" s="6">
        <v>7882.9649969594047</v>
      </c>
      <c r="K3608" s="6">
        <v>10353.12874340758</v>
      </c>
    </row>
    <row r="3609" spans="1:11" x14ac:dyDescent="0.25">
      <c r="A3609" s="1">
        <v>0.50486111111111098</v>
      </c>
      <c r="B3609" s="2">
        <v>6.19</v>
      </c>
      <c r="C3609" s="2">
        <v>3.9099999999999997</v>
      </c>
      <c r="D3609" s="2">
        <v>4.9499999999999993</v>
      </c>
      <c r="E3609" s="2">
        <v>5.79</v>
      </c>
      <c r="F3609" s="2">
        <v>3.35</v>
      </c>
      <c r="G3609" s="6">
        <v>9090.4852034470514</v>
      </c>
      <c r="H3609" s="6">
        <v>16249.957194341632</v>
      </c>
      <c r="I3609" s="6">
        <v>13123.948617974451</v>
      </c>
      <c r="J3609" s="6">
        <v>9103.8453634742145</v>
      </c>
      <c r="K3609" s="6">
        <v>12246.998376124462</v>
      </c>
    </row>
    <row r="3610" spans="1:11" x14ac:dyDescent="0.25">
      <c r="A3610" s="1">
        <v>0.50555555555555598</v>
      </c>
      <c r="B3610" s="2">
        <v>6.2700000000000005</v>
      </c>
      <c r="C3610" s="2">
        <v>3.61</v>
      </c>
      <c r="D3610" s="2">
        <v>4.9899999999999993</v>
      </c>
      <c r="E3610" s="2">
        <v>5.63</v>
      </c>
      <c r="F3610" s="2">
        <v>3.35</v>
      </c>
      <c r="G3610" s="6">
        <v>10624.817195368056</v>
      </c>
      <c r="H3610" s="6">
        <v>11764.607392366481</v>
      </c>
      <c r="I3610" s="6">
        <v>7091.3437610978472</v>
      </c>
      <c r="J3610" s="6">
        <v>10118.588912916339</v>
      </c>
      <c r="K3610" s="6">
        <v>10893.912520966773</v>
      </c>
    </row>
    <row r="3611" spans="1:11" x14ac:dyDescent="0.25">
      <c r="A3611" s="1">
        <v>0.50624999999999998</v>
      </c>
      <c r="B3611" s="2">
        <v>6.12</v>
      </c>
      <c r="C3611" s="2">
        <v>3.69</v>
      </c>
      <c r="D3611" s="2">
        <v>4.8999999999999995</v>
      </c>
      <c r="E3611" s="2">
        <v>5.27</v>
      </c>
      <c r="F3611" s="2">
        <v>3.3</v>
      </c>
      <c r="G3611" s="6">
        <v>7090.7115203637777</v>
      </c>
      <c r="H3611" s="6">
        <v>7766.3904160930779</v>
      </c>
      <c r="I3611" s="6">
        <v>8719.4143428835614</v>
      </c>
      <c r="J3611" s="6">
        <v>12105.275045777906</v>
      </c>
      <c r="K3611" s="6">
        <v>13319.146640826391</v>
      </c>
    </row>
    <row r="3612" spans="1:11" x14ac:dyDescent="0.25">
      <c r="A3612" s="1">
        <v>0.50694444444444398</v>
      </c>
      <c r="B3612" s="2">
        <v>6.12</v>
      </c>
      <c r="C3612" s="2">
        <v>3.6999999999999997</v>
      </c>
      <c r="D3612" s="2">
        <v>5.18</v>
      </c>
      <c r="E3612" s="2">
        <v>5.66</v>
      </c>
      <c r="F3612" s="2">
        <v>3.02</v>
      </c>
      <c r="G3612" s="6">
        <v>7411.8573202269172</v>
      </c>
      <c r="H3612" s="6">
        <v>16634.024658069204</v>
      </c>
      <c r="I3612" s="6">
        <v>10911.863468218044</v>
      </c>
      <c r="J3612" s="6">
        <v>8193.6667498645838</v>
      </c>
      <c r="K3612" s="6">
        <v>11272.550258737207</v>
      </c>
    </row>
    <row r="3613" spans="1:11" x14ac:dyDescent="0.25">
      <c r="A3613" s="1">
        <v>0.50763888888888897</v>
      </c>
      <c r="B3613" s="2">
        <v>6.36</v>
      </c>
      <c r="C3613" s="2">
        <v>3.63</v>
      </c>
      <c r="D3613" s="2">
        <v>5.0599999999999996</v>
      </c>
      <c r="E3613" s="2">
        <v>5.53</v>
      </c>
      <c r="F3613" s="2">
        <v>3.08</v>
      </c>
      <c r="G3613" s="6">
        <v>7997.5809997129427</v>
      </c>
      <c r="H3613" s="6">
        <v>14297.082465237809</v>
      </c>
      <c r="I3613" s="6">
        <v>7543.6394020758344</v>
      </c>
      <c r="J3613" s="6">
        <v>8566.562513307761</v>
      </c>
      <c r="K3613" s="6">
        <v>15239.651622681131</v>
      </c>
    </row>
    <row r="3614" spans="1:11" x14ac:dyDescent="0.25">
      <c r="A3614" s="1">
        <v>0.50833333333333297</v>
      </c>
      <c r="B3614" s="2">
        <v>6.25</v>
      </c>
      <c r="C3614" s="2">
        <v>3.77</v>
      </c>
      <c r="D3614" s="2">
        <v>5.0999999999999996</v>
      </c>
      <c r="E3614" s="2">
        <v>5.26</v>
      </c>
      <c r="F3614" s="2">
        <v>3.29</v>
      </c>
      <c r="G3614" s="6">
        <v>10653.251309708852</v>
      </c>
      <c r="H3614" s="6">
        <v>15507.922650465776</v>
      </c>
      <c r="I3614" s="6">
        <v>10257.873552454832</v>
      </c>
      <c r="J3614" s="6">
        <v>9647.3527077788131</v>
      </c>
      <c r="K3614" s="6">
        <v>9647.6288233769374</v>
      </c>
    </row>
    <row r="3615" spans="1:11" x14ac:dyDescent="0.25">
      <c r="A3615" s="1">
        <v>0.50902777777777797</v>
      </c>
      <c r="B3615" s="2">
        <v>6.38</v>
      </c>
      <c r="C3615" s="2">
        <v>3.77</v>
      </c>
      <c r="D3615" s="2">
        <v>4.92</v>
      </c>
      <c r="E3615" s="2">
        <v>5.32</v>
      </c>
      <c r="F3615" s="2">
        <v>2.9299999999999997</v>
      </c>
      <c r="G3615" s="6">
        <v>13826.166154428314</v>
      </c>
      <c r="H3615" s="6">
        <v>15937.702286977992</v>
      </c>
      <c r="I3615" s="6">
        <v>10373.973245459358</v>
      </c>
      <c r="J3615" s="6">
        <v>11463.825495792673</v>
      </c>
      <c r="K3615" s="6">
        <v>11810.557956959077</v>
      </c>
    </row>
    <row r="3616" spans="1:11" x14ac:dyDescent="0.25">
      <c r="A3616" s="1">
        <v>0.50972222222222197</v>
      </c>
      <c r="B3616" s="2">
        <v>6.37</v>
      </c>
      <c r="C3616" s="2">
        <v>3.76</v>
      </c>
      <c r="D3616" s="2">
        <v>5.1899999999999995</v>
      </c>
      <c r="E3616" s="2">
        <v>5.49</v>
      </c>
      <c r="F3616" s="2">
        <v>3.19</v>
      </c>
      <c r="G3616" s="6">
        <v>14474.711770788728</v>
      </c>
      <c r="H3616" s="6">
        <v>12065.103837685983</v>
      </c>
      <c r="I3616" s="6">
        <v>9237.3363800748102</v>
      </c>
      <c r="J3616" s="6">
        <v>9781.5154058829467</v>
      </c>
      <c r="K3616" s="6">
        <v>15309.877045671859</v>
      </c>
    </row>
    <row r="3617" spans="1:11" x14ac:dyDescent="0.25">
      <c r="A3617" s="1">
        <v>0.51041666666666696</v>
      </c>
      <c r="B3617" s="2">
        <v>6.2700000000000005</v>
      </c>
      <c r="C3617" s="2">
        <v>3.83</v>
      </c>
      <c r="D3617" s="2">
        <v>4.8999999999999995</v>
      </c>
      <c r="E3617" s="2">
        <v>5.54</v>
      </c>
      <c r="F3617" s="2">
        <v>3.3</v>
      </c>
      <c r="G3617" s="6">
        <v>14145.365271814288</v>
      </c>
      <c r="H3617" s="6">
        <v>13692.235379318749</v>
      </c>
      <c r="I3617" s="6">
        <v>12854.568022975614</v>
      </c>
      <c r="J3617" s="6">
        <v>8210.9841635816301</v>
      </c>
      <c r="K3617" s="6">
        <v>9764.5231407522879</v>
      </c>
    </row>
    <row r="3618" spans="1:11" x14ac:dyDescent="0.25">
      <c r="A3618" s="1">
        <v>0.51111111111111096</v>
      </c>
      <c r="B3618" s="2">
        <v>6.17</v>
      </c>
      <c r="C3618" s="2">
        <v>3.6399999999999997</v>
      </c>
      <c r="D3618" s="2">
        <v>5.0599999999999996</v>
      </c>
      <c r="E3618" s="2">
        <v>5.56</v>
      </c>
      <c r="F3618" s="2">
        <v>3.34</v>
      </c>
      <c r="G3618" s="6">
        <v>7047.2283865277841</v>
      </c>
      <c r="H3618" s="6">
        <v>10445.856462203608</v>
      </c>
      <c r="I3618" s="6">
        <v>12289.180540849213</v>
      </c>
      <c r="J3618" s="6">
        <v>10258.238735487705</v>
      </c>
      <c r="K3618" s="6">
        <v>15483.257209877778</v>
      </c>
    </row>
    <row r="3619" spans="1:11" x14ac:dyDescent="0.25">
      <c r="A3619" s="1">
        <v>0.51180555555555596</v>
      </c>
      <c r="B3619" s="2">
        <v>6.13</v>
      </c>
      <c r="C3619" s="2">
        <v>3.76</v>
      </c>
      <c r="D3619" s="2">
        <v>5.1999999999999993</v>
      </c>
      <c r="E3619" s="2">
        <v>5.64</v>
      </c>
      <c r="F3619" s="2">
        <v>3</v>
      </c>
      <c r="G3619" s="6">
        <v>13628.930129818349</v>
      </c>
      <c r="H3619" s="6">
        <v>7450.9290756104911</v>
      </c>
      <c r="I3619" s="6">
        <v>11640.914209185004</v>
      </c>
      <c r="J3619" s="6">
        <v>10198.76845732029</v>
      </c>
      <c r="K3619" s="6">
        <v>13390.200237129744</v>
      </c>
    </row>
    <row r="3620" spans="1:11" x14ac:dyDescent="0.25">
      <c r="A3620" s="1">
        <v>0.51249999999999996</v>
      </c>
      <c r="B3620" s="2">
        <v>6.28</v>
      </c>
      <c r="C3620" s="2">
        <v>3.79</v>
      </c>
      <c r="D3620" s="2">
        <v>5.12</v>
      </c>
      <c r="E3620" s="2">
        <v>5.13</v>
      </c>
      <c r="F3620" s="2">
        <v>2.94</v>
      </c>
      <c r="G3620" s="6">
        <v>6871.0679795310552</v>
      </c>
      <c r="H3620" s="6">
        <v>12697.1195966544</v>
      </c>
      <c r="I3620" s="6">
        <v>10759.131117458383</v>
      </c>
      <c r="J3620" s="6">
        <v>8876.4412630423849</v>
      </c>
      <c r="K3620" s="6">
        <v>13622.643513446654</v>
      </c>
    </row>
    <row r="3621" spans="1:11" x14ac:dyDescent="0.25">
      <c r="A3621" s="1">
        <v>0.51319444444444495</v>
      </c>
      <c r="B3621" s="2">
        <v>6.21</v>
      </c>
      <c r="C3621" s="2">
        <v>3.88</v>
      </c>
      <c r="D3621" s="2">
        <v>5.05</v>
      </c>
      <c r="E3621" s="2">
        <v>5.74</v>
      </c>
      <c r="F3621" s="2">
        <v>3.19</v>
      </c>
      <c r="G3621" s="6">
        <v>11422.780994895225</v>
      </c>
      <c r="H3621" s="6">
        <v>8656.0766630843482</v>
      </c>
      <c r="I3621" s="6">
        <v>11702.548186064701</v>
      </c>
      <c r="J3621" s="6">
        <v>10151.384853543559</v>
      </c>
      <c r="K3621" s="6">
        <v>13420.495988433497</v>
      </c>
    </row>
    <row r="3622" spans="1:11" x14ac:dyDescent="0.25">
      <c r="A3622" s="1">
        <v>0.51388888888888895</v>
      </c>
      <c r="B3622" s="2">
        <v>6.3100000000000005</v>
      </c>
      <c r="C3622" s="2">
        <v>3.79</v>
      </c>
      <c r="D3622" s="2">
        <v>4.97</v>
      </c>
      <c r="E3622" s="2">
        <v>5.13</v>
      </c>
      <c r="F3622" s="2">
        <v>3.09</v>
      </c>
      <c r="G3622" s="6">
        <v>13691.516946388443</v>
      </c>
      <c r="H3622" s="6">
        <v>9662.4109374588152</v>
      </c>
      <c r="I3622" s="6">
        <v>6689.6957090653823</v>
      </c>
      <c r="J3622" s="6">
        <v>10110.738939249261</v>
      </c>
      <c r="K3622" s="6">
        <v>9755.3739186279126</v>
      </c>
    </row>
    <row r="3623" spans="1:11" x14ac:dyDescent="0.25">
      <c r="A3623" s="1">
        <v>0.51458333333333295</v>
      </c>
      <c r="B3623" s="2">
        <v>6.15</v>
      </c>
      <c r="C3623" s="2">
        <v>3.7399999999999998</v>
      </c>
      <c r="D3623" s="2">
        <v>5</v>
      </c>
      <c r="E3623" s="2">
        <v>5.2299999999999995</v>
      </c>
      <c r="F3623" s="2">
        <v>2.9299999999999997</v>
      </c>
      <c r="G3623" s="6">
        <v>12410.121508139506</v>
      </c>
      <c r="H3623" s="6">
        <v>8151.1625715278542</v>
      </c>
      <c r="I3623" s="6">
        <v>14039.673542313581</v>
      </c>
      <c r="J3623" s="6">
        <v>9468.5118158485457</v>
      </c>
      <c r="K3623" s="6">
        <v>11953.932703154158</v>
      </c>
    </row>
    <row r="3624" spans="1:11" x14ac:dyDescent="0.25">
      <c r="A3624" s="1">
        <v>0.51527777777777795</v>
      </c>
      <c r="B3624" s="2">
        <v>6.38</v>
      </c>
      <c r="C3624" s="2">
        <v>3.9099999999999997</v>
      </c>
      <c r="D3624" s="2">
        <v>5.0999999999999996</v>
      </c>
      <c r="E3624" s="2">
        <v>5.55</v>
      </c>
      <c r="F3624" s="2">
        <v>3.1</v>
      </c>
      <c r="G3624" s="6">
        <v>10295.04104901645</v>
      </c>
      <c r="H3624" s="6">
        <v>16381.314943129031</v>
      </c>
      <c r="I3624" s="6">
        <v>7730.115279125087</v>
      </c>
      <c r="J3624" s="6">
        <v>8233.2514613195399</v>
      </c>
      <c r="K3624" s="6">
        <v>11863.644267336513</v>
      </c>
    </row>
    <row r="3625" spans="1:11" x14ac:dyDescent="0.25">
      <c r="A3625" s="1">
        <v>0.51597222222222205</v>
      </c>
      <c r="B3625" s="2">
        <v>6.36</v>
      </c>
      <c r="C3625" s="2">
        <v>3.73</v>
      </c>
      <c r="D3625" s="2">
        <v>4.9899999999999993</v>
      </c>
      <c r="E3625" s="2">
        <v>5.7299999999999995</v>
      </c>
      <c r="F3625" s="2">
        <v>3.03</v>
      </c>
      <c r="G3625" s="6">
        <v>10753.744941966068</v>
      </c>
      <c r="H3625" s="6">
        <v>14346.383871009673</v>
      </c>
      <c r="I3625" s="6">
        <v>13645.058753216021</v>
      </c>
      <c r="J3625" s="6">
        <v>7599.2518446748145</v>
      </c>
      <c r="K3625" s="6">
        <v>15823.500912718084</v>
      </c>
    </row>
    <row r="3626" spans="1:11" x14ac:dyDescent="0.25">
      <c r="A3626" s="1">
        <v>0.51666666666666705</v>
      </c>
      <c r="B3626" s="2">
        <v>6.23</v>
      </c>
      <c r="C3626" s="2">
        <v>3.6999999999999997</v>
      </c>
      <c r="D3626" s="2">
        <v>5.1499999999999995</v>
      </c>
      <c r="E3626" s="2">
        <v>5.56</v>
      </c>
      <c r="F3626" s="2">
        <v>3.23</v>
      </c>
      <c r="G3626" s="6">
        <v>8515.5833043490402</v>
      </c>
      <c r="H3626" s="6">
        <v>8186.7234226992778</v>
      </c>
      <c r="I3626" s="6">
        <v>9611.4188973913569</v>
      </c>
      <c r="J3626" s="6">
        <v>9641.2511859796268</v>
      </c>
      <c r="K3626" s="6">
        <v>11734.707780056733</v>
      </c>
    </row>
    <row r="3627" spans="1:11" x14ac:dyDescent="0.25">
      <c r="A3627" s="1">
        <v>0.51736111111111105</v>
      </c>
      <c r="B3627" s="2">
        <v>6.38</v>
      </c>
      <c r="C3627" s="2">
        <v>3.87</v>
      </c>
      <c r="D3627" s="2">
        <v>5.1499999999999995</v>
      </c>
      <c r="E3627" s="2">
        <v>5.62</v>
      </c>
      <c r="F3627" s="2">
        <v>3.06</v>
      </c>
      <c r="G3627" s="6">
        <v>7154.0484160457054</v>
      </c>
      <c r="H3627" s="6">
        <v>11096.758611603505</v>
      </c>
      <c r="I3627" s="6">
        <v>10269.425761928545</v>
      </c>
      <c r="J3627" s="6">
        <v>9648.1932614354591</v>
      </c>
      <c r="K3627" s="6">
        <v>8648.4541795230925</v>
      </c>
    </row>
    <row r="3628" spans="1:11" x14ac:dyDescent="0.25">
      <c r="A3628" s="1">
        <v>0.51805555555555605</v>
      </c>
      <c r="B3628" s="2">
        <v>6.23</v>
      </c>
      <c r="C3628" s="2">
        <v>3.77</v>
      </c>
      <c r="D3628" s="2">
        <v>5.29</v>
      </c>
      <c r="E3628" s="2">
        <v>5.56</v>
      </c>
      <c r="F3628" s="2">
        <v>3.32</v>
      </c>
      <c r="G3628" s="6">
        <v>10471.773235740136</v>
      </c>
      <c r="H3628" s="6">
        <v>15257.409193885127</v>
      </c>
      <c r="I3628" s="6">
        <v>8810.5642242381473</v>
      </c>
      <c r="J3628" s="6">
        <v>11314.936065438724</v>
      </c>
      <c r="K3628" s="6">
        <v>13938.520097673936</v>
      </c>
    </row>
    <row r="3629" spans="1:11" x14ac:dyDescent="0.25">
      <c r="A3629" s="1">
        <v>0.51875000000000004</v>
      </c>
      <c r="B3629" s="2">
        <v>6.28</v>
      </c>
      <c r="C3629" s="2">
        <v>3.83</v>
      </c>
      <c r="D3629" s="2">
        <v>5.17</v>
      </c>
      <c r="E3629" s="2">
        <v>5.64</v>
      </c>
      <c r="F3629" s="2">
        <v>3.4</v>
      </c>
      <c r="G3629" s="6">
        <v>6884.9227931675296</v>
      </c>
      <c r="H3629" s="6">
        <v>12797.520296075205</v>
      </c>
      <c r="I3629" s="6">
        <v>12362.520391095539</v>
      </c>
      <c r="J3629" s="6">
        <v>10766.028382596274</v>
      </c>
      <c r="K3629" s="6">
        <v>12538.100517737586</v>
      </c>
    </row>
    <row r="3630" spans="1:11" x14ac:dyDescent="0.25">
      <c r="A3630" s="1">
        <v>0.51944444444444404</v>
      </c>
      <c r="B3630" s="2">
        <v>6.2700000000000005</v>
      </c>
      <c r="C3630" s="2">
        <v>3.83</v>
      </c>
      <c r="D3630" s="2">
        <v>5.01</v>
      </c>
      <c r="E3630" s="2">
        <v>5.47</v>
      </c>
      <c r="F3630" s="2">
        <v>3.04</v>
      </c>
      <c r="G3630" s="6">
        <v>13208.380971871966</v>
      </c>
      <c r="H3630" s="6">
        <v>14640.964478100015</v>
      </c>
      <c r="I3630" s="6">
        <v>12986.793702706897</v>
      </c>
      <c r="J3630" s="6">
        <v>10808.559631244832</v>
      </c>
      <c r="K3630" s="6">
        <v>10472.3564815107</v>
      </c>
    </row>
    <row r="3631" spans="1:11" x14ac:dyDescent="0.25">
      <c r="A3631" s="1">
        <v>0.52013888888888904</v>
      </c>
      <c r="B3631" s="2">
        <v>6.16</v>
      </c>
      <c r="C3631" s="2">
        <v>3.86</v>
      </c>
      <c r="D3631" s="2">
        <v>4.9899999999999993</v>
      </c>
      <c r="E3631" s="2">
        <v>5.77</v>
      </c>
      <c r="F3631" s="2">
        <v>3.19</v>
      </c>
      <c r="G3631" s="6">
        <v>7837.0062314586685</v>
      </c>
      <c r="H3631" s="6">
        <v>13524.943931287318</v>
      </c>
      <c r="I3631" s="6">
        <v>12675.694461004154</v>
      </c>
      <c r="J3631" s="6">
        <v>10430.497114308939</v>
      </c>
      <c r="K3631" s="6">
        <v>10923.963258586515</v>
      </c>
    </row>
    <row r="3632" spans="1:11" x14ac:dyDescent="0.25">
      <c r="A3632" s="1">
        <v>0.52083333333333304</v>
      </c>
      <c r="B3632" s="2">
        <v>6.19</v>
      </c>
      <c r="C3632" s="2">
        <v>3.67</v>
      </c>
      <c r="D3632" s="2">
        <v>5.14</v>
      </c>
      <c r="E3632" s="2">
        <v>5.67</v>
      </c>
      <c r="F3632" s="2">
        <v>3.33</v>
      </c>
      <c r="G3632" s="6">
        <v>11922.45883089203</v>
      </c>
      <c r="H3632" s="6">
        <v>13420.609854956494</v>
      </c>
      <c r="I3632" s="6">
        <v>13658.818968290107</v>
      </c>
      <c r="J3632" s="6">
        <v>9849.4310088987349</v>
      </c>
      <c r="K3632" s="6">
        <v>13794.231219724898</v>
      </c>
    </row>
    <row r="3633" spans="1:11" x14ac:dyDescent="0.25">
      <c r="A3633" s="1">
        <v>0.52152777777777803</v>
      </c>
      <c r="B3633" s="2">
        <v>6.12</v>
      </c>
      <c r="C3633" s="2">
        <v>3.9099999999999997</v>
      </c>
      <c r="D3633" s="2">
        <v>5.13</v>
      </c>
      <c r="E3633" s="2">
        <v>5.1499999999999995</v>
      </c>
      <c r="F3633" s="2">
        <v>2.8899999999999997</v>
      </c>
      <c r="G3633" s="6">
        <v>12964.113912379709</v>
      </c>
      <c r="H3633" s="6">
        <v>16984.583046155225</v>
      </c>
      <c r="I3633" s="6">
        <v>7358.6539093858664</v>
      </c>
      <c r="J3633" s="6">
        <v>10195.537717331041</v>
      </c>
      <c r="K3633" s="6">
        <v>9746.4118990055831</v>
      </c>
    </row>
    <row r="3634" spans="1:11" x14ac:dyDescent="0.25">
      <c r="A3634" s="1">
        <v>0.52222222222222203</v>
      </c>
      <c r="B3634" s="2">
        <v>6.3100000000000005</v>
      </c>
      <c r="C3634" s="2">
        <v>3.6599999999999997</v>
      </c>
      <c r="D3634" s="2">
        <v>5.2299999999999995</v>
      </c>
      <c r="E3634" s="2">
        <v>5.55</v>
      </c>
      <c r="F3634" s="2">
        <v>3.36</v>
      </c>
      <c r="G3634" s="6">
        <v>10560.941141179957</v>
      </c>
      <c r="H3634" s="6">
        <v>13056.333142286659</v>
      </c>
      <c r="I3634" s="6">
        <v>9877.1363716259166</v>
      </c>
      <c r="J3634" s="6">
        <v>7949.0457051196645</v>
      </c>
      <c r="K3634" s="6">
        <v>12671.987206622167</v>
      </c>
    </row>
    <row r="3635" spans="1:11" x14ac:dyDescent="0.25">
      <c r="A3635" s="1">
        <v>0.52291666666666703</v>
      </c>
      <c r="B3635" s="2">
        <v>6.37</v>
      </c>
      <c r="C3635" s="2">
        <v>3.86</v>
      </c>
      <c r="D3635" s="2">
        <v>5.1499999999999995</v>
      </c>
      <c r="E3635" s="2">
        <v>5.14</v>
      </c>
      <c r="F3635" s="2">
        <v>3.28</v>
      </c>
      <c r="G3635" s="6">
        <v>14622.405190455022</v>
      </c>
      <c r="H3635" s="6">
        <v>12108.559193593868</v>
      </c>
      <c r="I3635" s="6">
        <v>7549.0496096015022</v>
      </c>
      <c r="J3635" s="6">
        <v>8810.6683876071602</v>
      </c>
      <c r="K3635" s="6">
        <v>14612.231866111326</v>
      </c>
    </row>
    <row r="3636" spans="1:11" x14ac:dyDescent="0.25">
      <c r="A3636" s="1">
        <v>0.52361111111111103</v>
      </c>
      <c r="B3636" s="2">
        <v>6.2700000000000005</v>
      </c>
      <c r="C3636" s="2">
        <v>3.61</v>
      </c>
      <c r="D3636" s="2">
        <v>5.33</v>
      </c>
      <c r="E3636" s="2">
        <v>5.49</v>
      </c>
      <c r="F3636" s="2">
        <v>3.37</v>
      </c>
      <c r="G3636" s="6">
        <v>13909.795488040067</v>
      </c>
      <c r="H3636" s="6">
        <v>12130.474628268641</v>
      </c>
      <c r="I3636" s="6">
        <v>13498.412831852898</v>
      </c>
      <c r="J3636" s="6">
        <v>11575.474270482358</v>
      </c>
      <c r="K3636" s="6">
        <v>15369.410338319474</v>
      </c>
    </row>
    <row r="3637" spans="1:11" x14ac:dyDescent="0.25">
      <c r="A3637" s="1">
        <v>0.52430555555555602</v>
      </c>
      <c r="B3637" s="2">
        <v>6.2700000000000005</v>
      </c>
      <c r="C3637" s="2">
        <v>3.71</v>
      </c>
      <c r="D3637" s="2">
        <v>5.2399999999999993</v>
      </c>
      <c r="E3637" s="2">
        <v>5.33</v>
      </c>
      <c r="F3637" s="2">
        <v>3.08</v>
      </c>
      <c r="G3637" s="6">
        <v>9905.4009222879758</v>
      </c>
      <c r="H3637" s="6">
        <v>9486.1249174392378</v>
      </c>
      <c r="I3637" s="6">
        <v>9330.504123291892</v>
      </c>
      <c r="J3637" s="6">
        <v>9090.3932570745073</v>
      </c>
      <c r="K3637" s="6">
        <v>11170.697491617693</v>
      </c>
    </row>
    <row r="3638" spans="1:11" x14ac:dyDescent="0.25">
      <c r="A3638" s="1">
        <v>0.52500000000000002</v>
      </c>
      <c r="B3638" s="2">
        <v>6.33</v>
      </c>
      <c r="C3638" s="2">
        <v>3.61</v>
      </c>
      <c r="D3638" s="2">
        <v>4.97</v>
      </c>
      <c r="E3638" s="2">
        <v>5.67</v>
      </c>
      <c r="F3638" s="2">
        <v>3.17</v>
      </c>
      <c r="G3638" s="6">
        <v>9599.2756890513156</v>
      </c>
      <c r="H3638" s="6">
        <v>8188.0607079704505</v>
      </c>
      <c r="I3638" s="6">
        <v>12389.113623296356</v>
      </c>
      <c r="J3638" s="6">
        <v>9309.184465629176</v>
      </c>
      <c r="K3638" s="6">
        <v>14050.313473074413</v>
      </c>
    </row>
    <row r="3639" spans="1:11" x14ac:dyDescent="0.25">
      <c r="A3639" s="1">
        <v>0.52569444444444402</v>
      </c>
      <c r="B3639" s="2">
        <v>6.28</v>
      </c>
      <c r="C3639" s="2">
        <v>3.79</v>
      </c>
      <c r="D3639" s="2">
        <v>5.31</v>
      </c>
      <c r="E3639" s="2">
        <v>5.6899999999999995</v>
      </c>
      <c r="F3639" s="2">
        <v>3.38</v>
      </c>
      <c r="G3639" s="6">
        <v>12350.576041963799</v>
      </c>
      <c r="H3639" s="6">
        <v>13467.589233364621</v>
      </c>
      <c r="I3639" s="6">
        <v>9713.4281156908201</v>
      </c>
      <c r="J3639" s="6">
        <v>11560.007873358159</v>
      </c>
      <c r="K3639" s="6">
        <v>14747.360284765931</v>
      </c>
    </row>
    <row r="3640" spans="1:11" x14ac:dyDescent="0.25">
      <c r="A3640" s="1">
        <v>0.52638888888888902</v>
      </c>
      <c r="B3640" s="2">
        <v>6.14</v>
      </c>
      <c r="C3640" s="2">
        <v>3.92</v>
      </c>
      <c r="D3640" s="2">
        <v>5.3</v>
      </c>
      <c r="E3640" s="2">
        <v>5.26</v>
      </c>
      <c r="F3640" s="2">
        <v>2.94</v>
      </c>
      <c r="G3640" s="6">
        <v>11553.461329911079</v>
      </c>
      <c r="H3640" s="6">
        <v>14824.707169350242</v>
      </c>
      <c r="I3640" s="6">
        <v>6075.1046157487572</v>
      </c>
      <c r="J3640" s="6">
        <v>10857.307465385271</v>
      </c>
      <c r="K3640" s="6">
        <v>13071.041371509133</v>
      </c>
    </row>
    <row r="3641" spans="1:11" x14ac:dyDescent="0.25">
      <c r="A3641" s="1">
        <v>0.52708333333333302</v>
      </c>
      <c r="B3641" s="2">
        <v>6.29</v>
      </c>
      <c r="C3641" s="2">
        <v>3.81</v>
      </c>
      <c r="D3641" s="2">
        <v>5.1099999999999994</v>
      </c>
      <c r="E3641" s="2">
        <v>5.27</v>
      </c>
      <c r="F3641" s="2">
        <v>3.2399999999999998</v>
      </c>
      <c r="G3641" s="6">
        <v>13425.143641976232</v>
      </c>
      <c r="H3641" s="6">
        <v>13922.024783251676</v>
      </c>
      <c r="I3641" s="6">
        <v>14068.809842239963</v>
      </c>
      <c r="J3641" s="6">
        <v>8294.6146647487294</v>
      </c>
      <c r="K3641" s="6">
        <v>9623.1852156240057</v>
      </c>
    </row>
    <row r="3642" spans="1:11" x14ac:dyDescent="0.25">
      <c r="A3642" s="1">
        <v>0.52777777777777801</v>
      </c>
      <c r="B3642" s="2">
        <v>6.15</v>
      </c>
      <c r="C3642" s="2">
        <v>3.81</v>
      </c>
      <c r="D3642" s="2">
        <v>5.21</v>
      </c>
      <c r="E3642" s="2">
        <v>5.53</v>
      </c>
      <c r="F3642" s="2">
        <v>2.9299999999999997</v>
      </c>
      <c r="G3642" s="6">
        <v>14201.301302338401</v>
      </c>
      <c r="H3642" s="6">
        <v>14605.345762262365</v>
      </c>
      <c r="I3642" s="6">
        <v>8706.5968385434189</v>
      </c>
      <c r="J3642" s="6">
        <v>8077.7169703754398</v>
      </c>
      <c r="K3642" s="6">
        <v>13272.651611776682</v>
      </c>
    </row>
    <row r="3643" spans="1:11" x14ac:dyDescent="0.25">
      <c r="A3643" s="1">
        <v>0.52847222222222201</v>
      </c>
      <c r="B3643" s="2">
        <v>6.19</v>
      </c>
      <c r="C3643" s="2">
        <v>3.73</v>
      </c>
      <c r="D3643" s="2">
        <v>5.21</v>
      </c>
      <c r="E3643" s="2">
        <v>5.21</v>
      </c>
      <c r="F3643" s="2">
        <v>2.9899999999999998</v>
      </c>
      <c r="G3643" s="6">
        <v>9873.4633339634656</v>
      </c>
      <c r="H3643" s="6">
        <v>16634.439239072919</v>
      </c>
      <c r="I3643" s="6">
        <v>7143.3941320856693</v>
      </c>
      <c r="J3643" s="6">
        <v>11029.760800348562</v>
      </c>
      <c r="K3643" s="6">
        <v>14604.779278669104</v>
      </c>
    </row>
    <row r="3644" spans="1:11" x14ac:dyDescent="0.25">
      <c r="A3644" s="1">
        <v>0.52916666666666701</v>
      </c>
      <c r="B3644" s="2">
        <v>6.25</v>
      </c>
      <c r="C3644" s="2">
        <v>3.8499999999999996</v>
      </c>
      <c r="D3644" s="2">
        <v>5.39</v>
      </c>
      <c r="E3644" s="2">
        <v>5.6099999999999994</v>
      </c>
      <c r="F3644" s="2">
        <v>3.15</v>
      </c>
      <c r="G3644" s="6">
        <v>11531.16696541815</v>
      </c>
      <c r="H3644" s="6">
        <v>8509.1137299558213</v>
      </c>
      <c r="I3644" s="6">
        <v>10954.166395832719</v>
      </c>
      <c r="J3644" s="6">
        <v>10445.850011382121</v>
      </c>
      <c r="K3644" s="6">
        <v>12563.114666451294</v>
      </c>
    </row>
    <row r="3645" spans="1:11" x14ac:dyDescent="0.25">
      <c r="A3645" s="1">
        <v>0.52986111111111101</v>
      </c>
      <c r="B3645" s="2">
        <v>6.2700000000000005</v>
      </c>
      <c r="C3645" s="2">
        <v>3.63</v>
      </c>
      <c r="D3645" s="2">
        <v>5.0599999999999996</v>
      </c>
      <c r="E3645" s="2">
        <v>5.68</v>
      </c>
      <c r="F3645" s="2">
        <v>3.37</v>
      </c>
      <c r="G3645" s="6">
        <v>8297.2812139344787</v>
      </c>
      <c r="H3645" s="6">
        <v>16999.079918608855</v>
      </c>
      <c r="I3645" s="6">
        <v>10339.748834907601</v>
      </c>
      <c r="J3645" s="6">
        <v>11665.598893023698</v>
      </c>
      <c r="K3645" s="6">
        <v>10077.013865946115</v>
      </c>
    </row>
    <row r="3646" spans="1:11" x14ac:dyDescent="0.25">
      <c r="A3646" s="1">
        <v>0.530555555555556</v>
      </c>
      <c r="B3646" s="2">
        <v>6.36</v>
      </c>
      <c r="C3646" s="2">
        <v>3.67</v>
      </c>
      <c r="D3646" s="2">
        <v>5.2299999999999995</v>
      </c>
      <c r="E3646" s="2">
        <v>5.43</v>
      </c>
      <c r="F3646" s="2">
        <v>3.05</v>
      </c>
      <c r="G3646" s="6">
        <v>11195.715849139324</v>
      </c>
      <c r="H3646" s="6">
        <v>13199.71699562649</v>
      </c>
      <c r="I3646" s="6">
        <v>7328.7700721653182</v>
      </c>
      <c r="J3646" s="6">
        <v>11049.674080204242</v>
      </c>
      <c r="K3646" s="6">
        <v>11792.353394393849</v>
      </c>
    </row>
    <row r="3647" spans="1:11" x14ac:dyDescent="0.25">
      <c r="A3647" s="1">
        <v>0.53125</v>
      </c>
      <c r="B3647" s="2">
        <v>6.22</v>
      </c>
      <c r="C3647" s="2">
        <v>3.7199999999999998</v>
      </c>
      <c r="D3647" s="2">
        <v>5.16</v>
      </c>
      <c r="E3647" s="2">
        <v>5.65</v>
      </c>
      <c r="F3647" s="2">
        <v>3.4</v>
      </c>
      <c r="G3647" s="6">
        <v>15301.378062613034</v>
      </c>
      <c r="H3647" s="6">
        <v>15884.789059175757</v>
      </c>
      <c r="I3647" s="6">
        <v>10413.758419804204</v>
      </c>
      <c r="J3647" s="6">
        <v>10993.622002953707</v>
      </c>
      <c r="K3647" s="6">
        <v>15550.151809588919</v>
      </c>
    </row>
    <row r="3648" spans="1:11" x14ac:dyDescent="0.25">
      <c r="A3648" s="1">
        <v>0.531944444444444</v>
      </c>
      <c r="B3648" s="2">
        <v>6.13</v>
      </c>
      <c r="C3648" s="2">
        <v>3.65</v>
      </c>
      <c r="D3648" s="2">
        <v>5.1899999999999995</v>
      </c>
      <c r="E3648" s="2">
        <v>5.41</v>
      </c>
      <c r="F3648" s="2">
        <v>3.07</v>
      </c>
      <c r="G3648" s="6">
        <v>10982.534003093862</v>
      </c>
      <c r="H3648" s="6">
        <v>12287.037470145724</v>
      </c>
      <c r="I3648" s="6">
        <v>7589.6130560643414</v>
      </c>
      <c r="J3648" s="6">
        <v>11541.356017443541</v>
      </c>
      <c r="K3648" s="6">
        <v>8987.468409523879</v>
      </c>
    </row>
    <row r="3649" spans="1:11" x14ac:dyDescent="0.25">
      <c r="A3649" s="1">
        <v>0.53263888888888899</v>
      </c>
      <c r="B3649" s="2">
        <v>6.2</v>
      </c>
      <c r="C3649" s="2">
        <v>3.73</v>
      </c>
      <c r="D3649" s="2">
        <v>5.31</v>
      </c>
      <c r="E3649" s="2">
        <v>5.1499999999999995</v>
      </c>
      <c r="F3649" s="2">
        <v>3.06</v>
      </c>
      <c r="G3649" s="6">
        <v>12842.961806339843</v>
      </c>
      <c r="H3649" s="6">
        <v>14585.246711349439</v>
      </c>
      <c r="I3649" s="6">
        <v>10641.554356911556</v>
      </c>
      <c r="J3649" s="6">
        <v>7984.3253473982668</v>
      </c>
      <c r="K3649" s="6">
        <v>9351.6568365273051</v>
      </c>
    </row>
    <row r="3650" spans="1:11" x14ac:dyDescent="0.25">
      <c r="A3650" s="1">
        <v>0.53333333333333299</v>
      </c>
      <c r="B3650" s="2">
        <v>6.32</v>
      </c>
      <c r="C3650" s="2">
        <v>3.69</v>
      </c>
      <c r="D3650" s="2">
        <v>5.1899999999999995</v>
      </c>
      <c r="E3650" s="2">
        <v>5.26</v>
      </c>
      <c r="F3650" s="2">
        <v>3.07</v>
      </c>
      <c r="G3650" s="6">
        <v>13822.894266281712</v>
      </c>
      <c r="H3650" s="6">
        <v>8577.2976298921367</v>
      </c>
      <c r="I3650" s="6">
        <v>13172.496122090935</v>
      </c>
      <c r="J3650" s="6">
        <v>11320.452588682601</v>
      </c>
      <c r="K3650" s="6">
        <v>14749.865984431784</v>
      </c>
    </row>
    <row r="3651" spans="1:11" x14ac:dyDescent="0.25">
      <c r="A3651" s="1">
        <v>0.53402777777777799</v>
      </c>
      <c r="B3651" s="2">
        <v>6.14</v>
      </c>
      <c r="C3651" s="2">
        <v>3.71</v>
      </c>
      <c r="D3651" s="2">
        <v>5.29</v>
      </c>
      <c r="E3651" s="2">
        <v>5.51</v>
      </c>
      <c r="F3651" s="2">
        <v>2.98</v>
      </c>
      <c r="G3651" s="6">
        <v>7773.8095302672655</v>
      </c>
      <c r="H3651" s="6">
        <v>9521.1811859915724</v>
      </c>
      <c r="I3651" s="6">
        <v>9058.5381206026377</v>
      </c>
      <c r="J3651" s="6">
        <v>11053.351318013427</v>
      </c>
      <c r="K3651" s="6">
        <v>9695.4873068118013</v>
      </c>
    </row>
    <row r="3652" spans="1:11" x14ac:dyDescent="0.25">
      <c r="A3652" s="1">
        <v>0.53472222222222199</v>
      </c>
      <c r="B3652" s="2">
        <v>6.19</v>
      </c>
      <c r="C3652" s="2">
        <v>3.8899999999999997</v>
      </c>
      <c r="D3652" s="2">
        <v>5.39</v>
      </c>
      <c r="E3652" s="2">
        <v>5.1499999999999995</v>
      </c>
      <c r="F3652" s="2">
        <v>3.35</v>
      </c>
      <c r="G3652" s="6">
        <v>8382.0556298585961</v>
      </c>
      <c r="H3652" s="6">
        <v>14205.935415015651</v>
      </c>
      <c r="I3652" s="6">
        <v>8816.4142480026076</v>
      </c>
      <c r="J3652" s="6">
        <v>8178.8038974180763</v>
      </c>
      <c r="K3652" s="6">
        <v>12869.409190304457</v>
      </c>
    </row>
    <row r="3653" spans="1:11" x14ac:dyDescent="0.25">
      <c r="A3653" s="1">
        <v>0.53541666666666698</v>
      </c>
      <c r="B3653" s="2">
        <v>6.3500000000000005</v>
      </c>
      <c r="C3653" s="2">
        <v>3.6599999999999997</v>
      </c>
      <c r="D3653" s="2">
        <v>5.17</v>
      </c>
      <c r="E3653" s="2">
        <v>5.39</v>
      </c>
      <c r="F3653" s="2">
        <v>3.1</v>
      </c>
      <c r="G3653" s="6">
        <v>7853.7531538824542</v>
      </c>
      <c r="H3653" s="6">
        <v>11557.57363967289</v>
      </c>
      <c r="I3653" s="6">
        <v>13357.317851522326</v>
      </c>
      <c r="J3653" s="6">
        <v>9507.7810154681665</v>
      </c>
      <c r="K3653" s="6">
        <v>11439.214180311556</v>
      </c>
    </row>
    <row r="3654" spans="1:11" x14ac:dyDescent="0.25">
      <c r="A3654" s="1">
        <v>0.53611111111111098</v>
      </c>
      <c r="B3654" s="2">
        <v>6.3100000000000005</v>
      </c>
      <c r="C3654" s="2">
        <v>3.8899999999999997</v>
      </c>
      <c r="D3654" s="2">
        <v>4.92</v>
      </c>
      <c r="E3654" s="2">
        <v>5.67</v>
      </c>
      <c r="F3654" s="2">
        <v>3.19</v>
      </c>
      <c r="G3654" s="6">
        <v>11498.32829579108</v>
      </c>
      <c r="H3654" s="6">
        <v>11573.172434226</v>
      </c>
      <c r="I3654" s="6">
        <v>7051.6049004525667</v>
      </c>
      <c r="J3654" s="6">
        <v>10399.09742834666</v>
      </c>
      <c r="K3654" s="6">
        <v>11324.296945212613</v>
      </c>
    </row>
    <row r="3655" spans="1:11" x14ac:dyDescent="0.25">
      <c r="A3655" s="1">
        <v>0.53680555555555598</v>
      </c>
      <c r="B3655" s="2">
        <v>6.23</v>
      </c>
      <c r="C3655" s="2">
        <v>3.8499999999999996</v>
      </c>
      <c r="D3655" s="2">
        <v>5.3</v>
      </c>
      <c r="E3655" s="2">
        <v>5.1499999999999995</v>
      </c>
      <c r="F3655" s="2">
        <v>3.08</v>
      </c>
      <c r="G3655" s="6">
        <v>13748.59902405607</v>
      </c>
      <c r="H3655" s="6">
        <v>8738.4427807137508</v>
      </c>
      <c r="I3655" s="6">
        <v>9416.9524311978839</v>
      </c>
      <c r="J3655" s="6">
        <v>8267.1013842214779</v>
      </c>
      <c r="K3655" s="6">
        <v>9618.3392764326782</v>
      </c>
    </row>
    <row r="3656" spans="1:11" x14ac:dyDescent="0.25">
      <c r="A3656" s="1">
        <v>0.53749999999999998</v>
      </c>
      <c r="B3656" s="2">
        <v>6.3500000000000005</v>
      </c>
      <c r="C3656" s="2">
        <v>3.63</v>
      </c>
      <c r="D3656" s="2">
        <v>5.33</v>
      </c>
      <c r="E3656" s="2">
        <v>5.2</v>
      </c>
      <c r="F3656" s="2">
        <v>2.8899999999999997</v>
      </c>
      <c r="G3656" s="6">
        <v>15247.188052412865</v>
      </c>
      <c r="H3656" s="6">
        <v>13690.251657627976</v>
      </c>
      <c r="I3656" s="6">
        <v>7463.041255025968</v>
      </c>
      <c r="J3656" s="6">
        <v>9784.6371698627208</v>
      </c>
      <c r="K3656" s="6">
        <v>8868.5947545933122</v>
      </c>
    </row>
    <row r="3657" spans="1:11" x14ac:dyDescent="0.25">
      <c r="A3657" s="1">
        <v>0.53819444444444398</v>
      </c>
      <c r="B3657" s="2">
        <v>6.2700000000000005</v>
      </c>
      <c r="C3657" s="2">
        <v>3.76</v>
      </c>
      <c r="D3657" s="2">
        <v>4.96</v>
      </c>
      <c r="E3657" s="2">
        <v>5.18</v>
      </c>
      <c r="F3657" s="2">
        <v>2.9899999999999998</v>
      </c>
      <c r="G3657" s="6">
        <v>15075.389372992971</v>
      </c>
      <c r="H3657" s="6">
        <v>10490.78125719275</v>
      </c>
      <c r="I3657" s="6">
        <v>9395.2966015364782</v>
      </c>
      <c r="J3657" s="6">
        <v>9010.5971169378245</v>
      </c>
      <c r="K3657" s="6">
        <v>10630.170685226338</v>
      </c>
    </row>
    <row r="3658" spans="1:11" x14ac:dyDescent="0.25">
      <c r="A3658" s="1">
        <v>0.53888888888888897</v>
      </c>
      <c r="B3658" s="2">
        <v>6.2</v>
      </c>
      <c r="C3658" s="2">
        <v>3.87</v>
      </c>
      <c r="D3658" s="2">
        <v>5.21</v>
      </c>
      <c r="E3658" s="2">
        <v>5.28</v>
      </c>
      <c r="F3658" s="2">
        <v>3.1999999999999997</v>
      </c>
      <c r="G3658" s="6">
        <v>8059.7590882424147</v>
      </c>
      <c r="H3658" s="6">
        <v>14849.668008109657</v>
      </c>
      <c r="I3658" s="6">
        <v>13824.6808014287</v>
      </c>
      <c r="J3658" s="6">
        <v>11367.484160864011</v>
      </c>
      <c r="K3658" s="6">
        <v>12740.376427636191</v>
      </c>
    </row>
    <row r="3659" spans="1:11" x14ac:dyDescent="0.25">
      <c r="A3659" s="1">
        <v>0.53958333333333297</v>
      </c>
      <c r="B3659" s="2">
        <v>6.3500000000000005</v>
      </c>
      <c r="C3659" s="2">
        <v>3.8899999999999997</v>
      </c>
      <c r="D3659" s="2">
        <v>4.9899999999999993</v>
      </c>
      <c r="E3659" s="2">
        <v>5.4799999999999995</v>
      </c>
      <c r="F3659" s="2">
        <v>3.02</v>
      </c>
      <c r="G3659" s="6">
        <v>14025.971411919596</v>
      </c>
      <c r="H3659" s="6">
        <v>10481.901069614751</v>
      </c>
      <c r="I3659" s="6">
        <v>10632.5320522356</v>
      </c>
      <c r="J3659" s="6">
        <v>9050.4041063997829</v>
      </c>
      <c r="K3659" s="6">
        <v>14226.742305204398</v>
      </c>
    </row>
    <row r="3660" spans="1:11" x14ac:dyDescent="0.25">
      <c r="A3660" s="1">
        <v>0.54027777777777797</v>
      </c>
      <c r="B3660" s="2">
        <v>6.17</v>
      </c>
      <c r="C3660" s="2">
        <v>3.69</v>
      </c>
      <c r="D3660" s="2">
        <v>5.22</v>
      </c>
      <c r="E3660" s="2">
        <v>5.49</v>
      </c>
      <c r="F3660" s="2">
        <v>3.3</v>
      </c>
      <c r="G3660" s="6">
        <v>7924.0616985466868</v>
      </c>
      <c r="H3660" s="6">
        <v>15592.924786666747</v>
      </c>
      <c r="I3660" s="6">
        <v>6767.9245469002317</v>
      </c>
      <c r="J3660" s="6">
        <v>9348.000931829929</v>
      </c>
      <c r="K3660" s="6">
        <v>13945.214940911299</v>
      </c>
    </row>
    <row r="3661" spans="1:11" x14ac:dyDescent="0.25">
      <c r="A3661" s="1">
        <v>0.54097222222222197</v>
      </c>
      <c r="B3661" s="2">
        <v>6.12</v>
      </c>
      <c r="C3661" s="2">
        <v>3.77</v>
      </c>
      <c r="D3661" s="2">
        <v>5.05</v>
      </c>
      <c r="E3661" s="2">
        <v>5.27</v>
      </c>
      <c r="F3661" s="2">
        <v>3.42</v>
      </c>
      <c r="G3661" s="6">
        <v>12862.341981297441</v>
      </c>
      <c r="H3661" s="6">
        <v>17070.781284846096</v>
      </c>
      <c r="I3661" s="6">
        <v>12145.91503519447</v>
      </c>
      <c r="J3661" s="6">
        <v>9699.0775179810644</v>
      </c>
      <c r="K3661" s="6">
        <v>12237.533039776932</v>
      </c>
    </row>
    <row r="3662" spans="1:11" x14ac:dyDescent="0.25">
      <c r="A3662" s="3">
        <v>0.54166666666666696</v>
      </c>
      <c r="B3662" s="2">
        <v>6.24</v>
      </c>
      <c r="C3662" s="2">
        <v>3.82</v>
      </c>
      <c r="D3662" s="2">
        <v>5.12</v>
      </c>
      <c r="E3662" s="2">
        <v>5.41</v>
      </c>
      <c r="F3662" s="2">
        <v>3.22</v>
      </c>
      <c r="G3662" s="6">
        <v>6593</v>
      </c>
      <c r="H3662" s="6">
        <v>8591</v>
      </c>
      <c r="I3662" s="6">
        <v>4563</v>
      </c>
      <c r="J3662" s="6">
        <v>4641</v>
      </c>
      <c r="K3662" s="6">
        <v>5947</v>
      </c>
    </row>
    <row r="3663" spans="1:11" x14ac:dyDescent="0.25">
      <c r="A3663" s="1">
        <v>0.54236111111111096</v>
      </c>
      <c r="B3663" s="2">
        <v>6.29</v>
      </c>
      <c r="C3663" s="2">
        <v>3.79</v>
      </c>
      <c r="D3663" s="2">
        <v>4.93</v>
      </c>
      <c r="E3663" s="2">
        <v>5.2299999999999995</v>
      </c>
      <c r="F3663" s="2">
        <v>3.03</v>
      </c>
      <c r="G3663" s="6">
        <v>5625.997438587473</v>
      </c>
      <c r="H3663" s="6">
        <v>8234.5356250523582</v>
      </c>
      <c r="I3663" s="6">
        <v>4420.4501726786002</v>
      </c>
      <c r="J3663" s="6">
        <v>4933.2415180694916</v>
      </c>
      <c r="K3663" s="6">
        <v>6861.052337271638</v>
      </c>
    </row>
    <row r="3664" spans="1:11" x14ac:dyDescent="0.25">
      <c r="A3664" s="1">
        <v>0.54305555555555596</v>
      </c>
      <c r="B3664" s="2">
        <v>6.21</v>
      </c>
      <c r="C3664" s="2">
        <v>3.7399999999999998</v>
      </c>
      <c r="D3664" s="2">
        <v>5.2299999999999995</v>
      </c>
      <c r="E3664" s="2">
        <v>5.22</v>
      </c>
      <c r="F3664" s="2">
        <v>3.1</v>
      </c>
      <c r="G3664" s="6">
        <v>5082.4548436887981</v>
      </c>
      <c r="H3664" s="6">
        <v>6203.2511159078858</v>
      </c>
      <c r="I3664" s="6">
        <v>5332.3599269081196</v>
      </c>
      <c r="J3664" s="6">
        <v>4647.0366268710359</v>
      </c>
      <c r="K3664" s="6">
        <v>7203.1177158746741</v>
      </c>
    </row>
    <row r="3665" spans="1:11" x14ac:dyDescent="0.25">
      <c r="A3665" s="1">
        <v>0.54374999999999996</v>
      </c>
      <c r="B3665" s="2">
        <v>6.32</v>
      </c>
      <c r="C3665" s="2">
        <v>3.69</v>
      </c>
      <c r="D3665" s="2">
        <v>5.1999999999999993</v>
      </c>
      <c r="E3665" s="2">
        <v>5.74</v>
      </c>
      <c r="F3665" s="2">
        <v>3.42</v>
      </c>
      <c r="G3665" s="6">
        <v>6065.9407687243065</v>
      </c>
      <c r="H3665" s="6">
        <v>6968.1374352858493</v>
      </c>
      <c r="I3665" s="6">
        <v>5248.3984707955196</v>
      </c>
      <c r="J3665" s="6">
        <v>4036.413288461818</v>
      </c>
      <c r="K3665" s="6">
        <v>7107.7355346264667</v>
      </c>
    </row>
    <row r="3666" spans="1:11" x14ac:dyDescent="0.25">
      <c r="A3666" s="1">
        <v>0.54444444444444495</v>
      </c>
      <c r="B3666" s="2">
        <v>6.2</v>
      </c>
      <c r="C3666" s="2">
        <v>3.9</v>
      </c>
      <c r="D3666" s="2">
        <v>5.18</v>
      </c>
      <c r="E3666" s="2">
        <v>5.67</v>
      </c>
      <c r="F3666" s="2">
        <v>3.13</v>
      </c>
      <c r="G3666" s="6">
        <v>6429.1493879997333</v>
      </c>
      <c r="H3666" s="6">
        <v>8278.1744932167421</v>
      </c>
      <c r="I3666" s="6">
        <v>5671.1646939260454</v>
      </c>
      <c r="J3666" s="6">
        <v>4394.284422869775</v>
      </c>
      <c r="K3666" s="6">
        <v>4982.2118538125751</v>
      </c>
    </row>
    <row r="3667" spans="1:11" x14ac:dyDescent="0.25">
      <c r="A3667" s="1">
        <v>0.54513888888888895</v>
      </c>
      <c r="B3667" s="2">
        <v>6.3</v>
      </c>
      <c r="C3667" s="2">
        <v>3.92</v>
      </c>
      <c r="D3667" s="2">
        <v>5.17</v>
      </c>
      <c r="E3667" s="2">
        <v>5.1899999999999995</v>
      </c>
      <c r="F3667" s="2">
        <v>3.35</v>
      </c>
      <c r="G3667" s="6">
        <v>5535.2368443173664</v>
      </c>
      <c r="H3667" s="6">
        <v>7458.6297950153976</v>
      </c>
      <c r="I3667" s="6">
        <v>5540.2718204306302</v>
      </c>
      <c r="J3667" s="6">
        <v>4477.2260567529647</v>
      </c>
      <c r="K3667" s="6">
        <v>5661.768295568505</v>
      </c>
    </row>
    <row r="3668" spans="1:11" x14ac:dyDescent="0.25">
      <c r="A3668" s="1">
        <v>0.54583333333333295</v>
      </c>
      <c r="B3668" s="2">
        <v>6.37</v>
      </c>
      <c r="C3668" s="2">
        <v>3.73</v>
      </c>
      <c r="D3668" s="2">
        <v>5.0999999999999996</v>
      </c>
      <c r="E3668" s="2">
        <v>5.31</v>
      </c>
      <c r="F3668" s="2">
        <v>3.3899999999999997</v>
      </c>
      <c r="G3668" s="6">
        <v>6970.5628758545754</v>
      </c>
      <c r="H3668" s="6">
        <v>6604.8644854054546</v>
      </c>
      <c r="I3668" s="6">
        <v>5244.1061113166297</v>
      </c>
      <c r="J3668" s="6">
        <v>4363.4200912356082</v>
      </c>
      <c r="K3668" s="6">
        <v>5412.1991207002302</v>
      </c>
    </row>
    <row r="3669" spans="1:11" x14ac:dyDescent="0.25">
      <c r="A3669" s="1">
        <v>0.54652777777777795</v>
      </c>
      <c r="B3669" s="2">
        <v>6.37</v>
      </c>
      <c r="C3669" s="2">
        <v>3.69</v>
      </c>
      <c r="D3669" s="2">
        <v>4.9799999999999995</v>
      </c>
      <c r="E3669" s="2">
        <v>5.68</v>
      </c>
      <c r="F3669" s="2">
        <v>3.31</v>
      </c>
      <c r="G3669" s="6">
        <v>5671.8095192934616</v>
      </c>
      <c r="H3669" s="6">
        <v>5182.1554250756526</v>
      </c>
      <c r="I3669" s="6">
        <v>5199.3391677875552</v>
      </c>
      <c r="J3669" s="6">
        <v>4310.9361248254936</v>
      </c>
      <c r="K3669" s="6">
        <v>4029.7762880666119</v>
      </c>
    </row>
    <row r="3670" spans="1:11" x14ac:dyDescent="0.25">
      <c r="A3670" s="1">
        <v>0.54722222222222205</v>
      </c>
      <c r="B3670" s="2">
        <v>6.36</v>
      </c>
      <c r="C3670" s="2">
        <v>3.79</v>
      </c>
      <c r="D3670" s="2">
        <v>5.27</v>
      </c>
      <c r="E3670" s="2">
        <v>5.32</v>
      </c>
      <c r="F3670" s="2">
        <v>3</v>
      </c>
      <c r="G3670" s="6">
        <v>5075.7065240859265</v>
      </c>
      <c r="H3670" s="6">
        <v>6656.6008496566255</v>
      </c>
      <c r="I3670" s="6">
        <v>5340.6181753985766</v>
      </c>
      <c r="J3670" s="6">
        <v>4063.1801614322749</v>
      </c>
      <c r="K3670" s="6">
        <v>5901.7708408219933</v>
      </c>
    </row>
    <row r="3671" spans="1:11" x14ac:dyDescent="0.25">
      <c r="A3671" s="1">
        <v>0.54791666666666705</v>
      </c>
      <c r="B3671" s="2">
        <v>6.26</v>
      </c>
      <c r="C3671" s="2">
        <v>3.6999999999999997</v>
      </c>
      <c r="D3671" s="2">
        <v>5.2299999999999995</v>
      </c>
      <c r="E3671" s="2">
        <v>5.31</v>
      </c>
      <c r="F3671" s="2">
        <v>3.04</v>
      </c>
      <c r="G3671" s="6">
        <v>5160.2839098256936</v>
      </c>
      <c r="H3671" s="6">
        <v>5461.8473560768834</v>
      </c>
      <c r="I3671" s="6">
        <v>5122.8678644127694</v>
      </c>
      <c r="J3671" s="6">
        <v>3910.3568246118557</v>
      </c>
      <c r="K3671" s="6">
        <v>5751.6495365929641</v>
      </c>
    </row>
    <row r="3672" spans="1:11" x14ac:dyDescent="0.25">
      <c r="A3672" s="1">
        <v>0.54861111111111105</v>
      </c>
      <c r="B3672" s="2">
        <v>6.36</v>
      </c>
      <c r="C3672" s="2">
        <v>3.9</v>
      </c>
      <c r="D3672" s="2">
        <v>5.14</v>
      </c>
      <c r="E3672" s="2">
        <v>5.2299999999999995</v>
      </c>
      <c r="F3672" s="2">
        <v>3.25</v>
      </c>
      <c r="G3672" s="6">
        <v>5258.431851276031</v>
      </c>
      <c r="H3672" s="6">
        <v>7903.4138733745158</v>
      </c>
      <c r="I3672" s="6">
        <v>5427.7893935731563</v>
      </c>
      <c r="J3672" s="6">
        <v>4354.2796300871896</v>
      </c>
      <c r="K3672" s="6">
        <v>5328.0411989806207</v>
      </c>
    </row>
    <row r="3673" spans="1:11" x14ac:dyDescent="0.25">
      <c r="A3673" s="1">
        <v>0.54930555555555605</v>
      </c>
      <c r="B3673" s="2">
        <v>6.36</v>
      </c>
      <c r="C3673" s="2">
        <v>3.76</v>
      </c>
      <c r="D3673" s="2">
        <v>5.34</v>
      </c>
      <c r="E3673" s="2">
        <v>5.29</v>
      </c>
      <c r="F3673" s="2">
        <v>3.1999999999999997</v>
      </c>
      <c r="G3673" s="6">
        <v>6400.0075153534435</v>
      </c>
      <c r="H3673" s="6">
        <v>7242.8504822743198</v>
      </c>
      <c r="I3673" s="6">
        <v>5181.577559936748</v>
      </c>
      <c r="J3673" s="6">
        <v>4024.0235001820261</v>
      </c>
      <c r="K3673" s="6">
        <v>5926.7791392056024</v>
      </c>
    </row>
    <row r="3674" spans="1:11" x14ac:dyDescent="0.25">
      <c r="A3674" s="1">
        <v>0.55000000000000004</v>
      </c>
      <c r="B3674" s="2">
        <v>6.29</v>
      </c>
      <c r="C3674" s="2">
        <v>3.78</v>
      </c>
      <c r="D3674" s="2">
        <v>4.93</v>
      </c>
      <c r="E3674" s="2">
        <v>5.28</v>
      </c>
      <c r="F3674" s="2">
        <v>3.4</v>
      </c>
      <c r="G3674" s="6">
        <v>6466.8680170726248</v>
      </c>
      <c r="H3674" s="6">
        <v>6798.0560924618176</v>
      </c>
      <c r="I3674" s="6">
        <v>5190.7597078010349</v>
      </c>
      <c r="J3674" s="6">
        <v>4764.9230314899951</v>
      </c>
      <c r="K3674" s="6">
        <v>3513.7918293133366</v>
      </c>
    </row>
    <row r="3675" spans="1:11" x14ac:dyDescent="0.25">
      <c r="A3675" s="1">
        <v>0.55069444444444404</v>
      </c>
      <c r="B3675" s="2">
        <v>6.33</v>
      </c>
      <c r="C3675" s="2">
        <v>3.82</v>
      </c>
      <c r="D3675" s="2">
        <v>5.17</v>
      </c>
      <c r="E3675" s="2">
        <v>5.24</v>
      </c>
      <c r="F3675" s="2">
        <v>2.92</v>
      </c>
      <c r="G3675" s="6">
        <v>5663.9029732469189</v>
      </c>
      <c r="H3675" s="6">
        <v>5149.9410481362756</v>
      </c>
      <c r="I3675" s="6">
        <v>5559.0660293927258</v>
      </c>
      <c r="J3675" s="6">
        <v>4324.2623299585266</v>
      </c>
      <c r="K3675" s="6">
        <v>4257.6674481443124</v>
      </c>
    </row>
    <row r="3676" spans="1:11" x14ac:dyDescent="0.25">
      <c r="A3676" s="1">
        <v>0.55138888888888904</v>
      </c>
      <c r="B3676" s="2">
        <v>6.33</v>
      </c>
      <c r="C3676" s="2">
        <v>3.65</v>
      </c>
      <c r="D3676" s="2">
        <v>5.08</v>
      </c>
      <c r="E3676" s="2">
        <v>5.54</v>
      </c>
      <c r="F3676" s="2">
        <v>3.3</v>
      </c>
      <c r="G3676" s="6">
        <v>5088.9084249701591</v>
      </c>
      <c r="H3676" s="6">
        <v>7106.9498293984789</v>
      </c>
      <c r="I3676" s="6">
        <v>5096.268103376683</v>
      </c>
      <c r="J3676" s="6">
        <v>3991.4603785094669</v>
      </c>
      <c r="K3676" s="6">
        <v>4310.8974953797133</v>
      </c>
    </row>
    <row r="3677" spans="1:11" x14ac:dyDescent="0.25">
      <c r="A3677" s="1">
        <v>0.55208333333333304</v>
      </c>
      <c r="B3677" s="2">
        <v>6.21</v>
      </c>
      <c r="C3677" s="2">
        <v>3.63</v>
      </c>
      <c r="D3677" s="2">
        <v>5.34</v>
      </c>
      <c r="E3677" s="2">
        <v>5.53</v>
      </c>
      <c r="F3677" s="2">
        <v>3.07</v>
      </c>
      <c r="G3677" s="6">
        <v>4993.362175387545</v>
      </c>
      <c r="H3677" s="6">
        <v>7071.2645412844131</v>
      </c>
      <c r="I3677" s="6">
        <v>5010.6905321291551</v>
      </c>
      <c r="J3677" s="6">
        <v>4331.7992361926181</v>
      </c>
      <c r="K3677" s="6">
        <v>6863.4332556323961</v>
      </c>
    </row>
    <row r="3678" spans="1:11" x14ac:dyDescent="0.25">
      <c r="A3678" s="1">
        <v>0.55277777777777803</v>
      </c>
      <c r="B3678" s="2">
        <v>6.19</v>
      </c>
      <c r="C3678" s="2">
        <v>3.7399999999999998</v>
      </c>
      <c r="D3678" s="2">
        <v>5.1099999999999994</v>
      </c>
      <c r="E3678" s="2">
        <v>5.21</v>
      </c>
      <c r="F3678" s="2">
        <v>3.28</v>
      </c>
      <c r="G3678" s="6">
        <v>5549.4030484891609</v>
      </c>
      <c r="H3678" s="6">
        <v>6957.2702619284291</v>
      </c>
      <c r="I3678" s="6">
        <v>5456.2874461677266</v>
      </c>
      <c r="J3678" s="6">
        <v>3821.579709500113</v>
      </c>
      <c r="K3678" s="6">
        <v>6572.9186855406142</v>
      </c>
    </row>
    <row r="3679" spans="1:11" x14ac:dyDescent="0.25">
      <c r="A3679" s="1">
        <v>0.55347222222222203</v>
      </c>
      <c r="B3679" s="2">
        <v>6.15</v>
      </c>
      <c r="C3679" s="2">
        <v>3.65</v>
      </c>
      <c r="D3679" s="2">
        <v>5.2799999999999994</v>
      </c>
      <c r="E3679" s="2">
        <v>5.68</v>
      </c>
      <c r="F3679" s="2">
        <v>3.26</v>
      </c>
      <c r="G3679" s="6">
        <v>5797.2330643469186</v>
      </c>
      <c r="H3679" s="6">
        <v>7293.0492843130187</v>
      </c>
      <c r="I3679" s="6">
        <v>5356.783477314274</v>
      </c>
      <c r="J3679" s="6">
        <v>3599.5000800752091</v>
      </c>
      <c r="K3679" s="6">
        <v>7369.0161809564506</v>
      </c>
    </row>
    <row r="3680" spans="1:11" x14ac:dyDescent="0.25">
      <c r="A3680" s="1">
        <v>0.55416666666666703</v>
      </c>
      <c r="B3680" s="2">
        <v>6.22</v>
      </c>
      <c r="C3680" s="2">
        <v>3.79</v>
      </c>
      <c r="D3680" s="2">
        <v>4.97</v>
      </c>
      <c r="E3680" s="2">
        <v>5.72</v>
      </c>
      <c r="F3680" s="2">
        <v>2.98</v>
      </c>
      <c r="G3680" s="6">
        <v>6132.9310705746293</v>
      </c>
      <c r="H3680" s="6">
        <v>5297.0326009497039</v>
      </c>
      <c r="I3680" s="6">
        <v>5505.3979992097238</v>
      </c>
      <c r="J3680" s="6">
        <v>4367.0467392712644</v>
      </c>
      <c r="K3680" s="6">
        <v>5341.6502713802729</v>
      </c>
    </row>
    <row r="3681" spans="1:11" x14ac:dyDescent="0.25">
      <c r="A3681" s="1">
        <v>0.55486111111111103</v>
      </c>
      <c r="B3681" s="2">
        <v>6.18</v>
      </c>
      <c r="C3681" s="2">
        <v>3.77</v>
      </c>
      <c r="D3681" s="2">
        <v>5.0999999999999996</v>
      </c>
      <c r="E3681" s="2">
        <v>5.35</v>
      </c>
      <c r="F3681" s="2">
        <v>3.1399999999999997</v>
      </c>
      <c r="G3681" s="6">
        <v>5338.6181030881389</v>
      </c>
      <c r="H3681" s="6">
        <v>6235.9691053586484</v>
      </c>
      <c r="I3681" s="6">
        <v>5245.9472020970252</v>
      </c>
      <c r="J3681" s="6">
        <v>4181.9437591912047</v>
      </c>
      <c r="K3681" s="6">
        <v>4540.9337431567801</v>
      </c>
    </row>
    <row r="3682" spans="1:11" x14ac:dyDescent="0.25">
      <c r="A3682" s="1">
        <v>0.55555555555555602</v>
      </c>
      <c r="B3682" s="2">
        <v>6.16</v>
      </c>
      <c r="C3682" s="2">
        <v>3.61</v>
      </c>
      <c r="D3682" s="2">
        <v>5.0699999999999994</v>
      </c>
      <c r="E3682" s="2">
        <v>5.45</v>
      </c>
      <c r="F3682" s="2">
        <v>3.1399999999999997</v>
      </c>
      <c r="G3682" s="6">
        <v>5485.8704496534319</v>
      </c>
      <c r="H3682" s="6">
        <v>6212.5196572577643</v>
      </c>
      <c r="I3682" s="6">
        <v>5286.4968531553077</v>
      </c>
      <c r="J3682" s="6">
        <v>4728.9027904675841</v>
      </c>
      <c r="K3682" s="6">
        <v>6432.9848508779342</v>
      </c>
    </row>
    <row r="3683" spans="1:11" x14ac:dyDescent="0.25">
      <c r="A3683" s="1">
        <v>0.55625000000000002</v>
      </c>
      <c r="B3683" s="2">
        <v>6.19</v>
      </c>
      <c r="C3683" s="2">
        <v>3.67</v>
      </c>
      <c r="D3683" s="2">
        <v>5.2299999999999995</v>
      </c>
      <c r="E3683" s="2">
        <v>5.31</v>
      </c>
      <c r="F3683" s="2">
        <v>3.03</v>
      </c>
      <c r="G3683" s="6">
        <v>6153.8736681207338</v>
      </c>
      <c r="H3683" s="6">
        <v>5793.0702150827474</v>
      </c>
      <c r="I3683" s="6">
        <v>5394.1482424910382</v>
      </c>
      <c r="J3683" s="6">
        <v>4122.5154822662453</v>
      </c>
      <c r="K3683" s="6">
        <v>6518.8489218717177</v>
      </c>
    </row>
    <row r="3684" spans="1:11" x14ac:dyDescent="0.25">
      <c r="A3684" s="1">
        <v>0.55694444444444402</v>
      </c>
      <c r="B3684" s="2">
        <v>6.37</v>
      </c>
      <c r="C3684" s="2">
        <v>3.6799999999999997</v>
      </c>
      <c r="D3684" s="2">
        <v>5.21</v>
      </c>
      <c r="E3684" s="2">
        <v>5.2299999999999995</v>
      </c>
      <c r="F3684" s="2">
        <v>3</v>
      </c>
      <c r="G3684" s="6">
        <v>5597.489235824778</v>
      </c>
      <c r="H3684" s="6">
        <v>5703.4864753974152</v>
      </c>
      <c r="I3684" s="6">
        <v>5472.5459266102116</v>
      </c>
      <c r="J3684" s="6">
        <v>4281.3087622233015</v>
      </c>
      <c r="K3684" s="6">
        <v>4829.4203256017017</v>
      </c>
    </row>
    <row r="3685" spans="1:11" x14ac:dyDescent="0.25">
      <c r="A3685" s="1">
        <v>0.55763888888888902</v>
      </c>
      <c r="B3685" s="2">
        <v>6.37</v>
      </c>
      <c r="C3685" s="2">
        <v>3.71</v>
      </c>
      <c r="D3685" s="2">
        <v>5.2799999999999994</v>
      </c>
      <c r="E3685" s="2">
        <v>5.77</v>
      </c>
      <c r="F3685" s="2">
        <v>3.09</v>
      </c>
      <c r="G3685" s="6">
        <v>4954.7065130556575</v>
      </c>
      <c r="H3685" s="6">
        <v>5695.2419110599803</v>
      </c>
      <c r="I3685" s="6">
        <v>5256.8470967342228</v>
      </c>
      <c r="J3685" s="6">
        <v>3900.1957051354325</v>
      </c>
      <c r="K3685" s="6">
        <v>4868.2030016686413</v>
      </c>
    </row>
    <row r="3686" spans="1:11" x14ac:dyDescent="0.25">
      <c r="A3686" s="1">
        <v>0.55833333333333302</v>
      </c>
      <c r="B3686" s="2">
        <v>6.14</v>
      </c>
      <c r="C3686" s="2">
        <v>3.76</v>
      </c>
      <c r="D3686" s="2">
        <v>5.05</v>
      </c>
      <c r="E3686" s="2">
        <v>5.52</v>
      </c>
      <c r="F3686" s="2">
        <v>2.88</v>
      </c>
      <c r="G3686" s="6">
        <v>5984.2486888014337</v>
      </c>
      <c r="H3686" s="6">
        <v>8105.8696198703301</v>
      </c>
      <c r="I3686" s="6">
        <v>5025.4207762685719</v>
      </c>
      <c r="J3686" s="6">
        <v>4112.8711319368886</v>
      </c>
      <c r="K3686" s="6">
        <v>5729.4306302793602</v>
      </c>
    </row>
    <row r="3687" spans="1:11" x14ac:dyDescent="0.25">
      <c r="A3687" s="1">
        <v>0.55902777777777801</v>
      </c>
      <c r="B3687" s="2">
        <v>6.29</v>
      </c>
      <c r="C3687" s="2">
        <v>3.61</v>
      </c>
      <c r="D3687" s="2">
        <v>5.39</v>
      </c>
      <c r="E3687" s="2">
        <v>5.31</v>
      </c>
      <c r="F3687" s="2">
        <v>2.9899999999999998</v>
      </c>
      <c r="G3687" s="6">
        <v>5404.1379587825686</v>
      </c>
      <c r="H3687" s="6">
        <v>6556.9492811093605</v>
      </c>
      <c r="I3687" s="6">
        <v>5206.2457025375752</v>
      </c>
      <c r="J3687" s="6">
        <v>4229.6411434905112</v>
      </c>
      <c r="K3687" s="6">
        <v>4344.4492803123703</v>
      </c>
    </row>
    <row r="3688" spans="1:11" x14ac:dyDescent="0.25">
      <c r="A3688" s="1">
        <v>0.55972222222222201</v>
      </c>
      <c r="B3688" s="2">
        <v>6.3100000000000005</v>
      </c>
      <c r="C3688" s="2">
        <v>3.6599999999999997</v>
      </c>
      <c r="D3688" s="2">
        <v>5.1099999999999994</v>
      </c>
      <c r="E3688" s="2">
        <v>5.4399999999999995</v>
      </c>
      <c r="F3688" s="2">
        <v>2.98</v>
      </c>
      <c r="G3688" s="6">
        <v>5166.1930256545793</v>
      </c>
      <c r="H3688" s="6">
        <v>5615.1068548406975</v>
      </c>
      <c r="I3688" s="6">
        <v>5135.5521934712688</v>
      </c>
      <c r="J3688" s="6">
        <v>4100.0943062056376</v>
      </c>
      <c r="K3688" s="6">
        <v>4558.0442029223732</v>
      </c>
    </row>
    <row r="3689" spans="1:11" x14ac:dyDescent="0.25">
      <c r="A3689" s="1">
        <v>0.56041666666666701</v>
      </c>
      <c r="B3689" s="2">
        <v>6.13</v>
      </c>
      <c r="C3689" s="2">
        <v>3.77</v>
      </c>
      <c r="D3689" s="2">
        <v>5.13</v>
      </c>
      <c r="E3689" s="2">
        <v>5.39</v>
      </c>
      <c r="F3689" s="2">
        <v>3.12</v>
      </c>
      <c r="G3689" s="6">
        <v>4688.6716238096842</v>
      </c>
      <c r="H3689" s="6">
        <v>8254.1845103392952</v>
      </c>
      <c r="I3689" s="6">
        <v>5266.9517405346014</v>
      </c>
      <c r="J3689" s="6">
        <v>4501.4985620758744</v>
      </c>
      <c r="K3689" s="6">
        <v>3821.2820979396033</v>
      </c>
    </row>
    <row r="3690" spans="1:11" x14ac:dyDescent="0.25">
      <c r="A3690" s="1">
        <v>0.56111111111111101</v>
      </c>
      <c r="B3690" s="2">
        <v>6.21</v>
      </c>
      <c r="C3690" s="2">
        <v>3.6599999999999997</v>
      </c>
      <c r="D3690" s="2">
        <v>4.9099999999999993</v>
      </c>
      <c r="E3690" s="2">
        <v>5.45</v>
      </c>
      <c r="F3690" s="2">
        <v>3.05</v>
      </c>
      <c r="G3690" s="6">
        <v>5061.23319643581</v>
      </c>
      <c r="H3690" s="6">
        <v>6224.7113917709084</v>
      </c>
      <c r="I3690" s="6">
        <v>5344.789090960373</v>
      </c>
      <c r="J3690" s="6">
        <v>3710.6035246618039</v>
      </c>
      <c r="K3690" s="6">
        <v>3694.9238026932662</v>
      </c>
    </row>
    <row r="3691" spans="1:11" x14ac:dyDescent="0.25">
      <c r="A3691" s="1">
        <v>0.561805555555556</v>
      </c>
      <c r="B3691" s="2">
        <v>6.15</v>
      </c>
      <c r="C3691" s="2">
        <v>3.8</v>
      </c>
      <c r="D3691" s="2">
        <v>5.18</v>
      </c>
      <c r="E3691" s="2">
        <v>5.29</v>
      </c>
      <c r="F3691" s="2">
        <v>3.02</v>
      </c>
      <c r="G3691" s="6">
        <v>6148.7933423997729</v>
      </c>
      <c r="H3691" s="6">
        <v>5774.5954759505639</v>
      </c>
      <c r="I3691" s="6">
        <v>5133.0839125470438</v>
      </c>
      <c r="J3691" s="6">
        <v>4355.3569270857324</v>
      </c>
      <c r="K3691" s="6">
        <v>5695.9832999566452</v>
      </c>
    </row>
    <row r="3692" spans="1:11" x14ac:dyDescent="0.25">
      <c r="A3692" s="1">
        <v>0.5625</v>
      </c>
      <c r="B3692" s="2">
        <v>6.29</v>
      </c>
      <c r="C3692" s="2">
        <v>3.9099999999999997</v>
      </c>
      <c r="D3692" s="2">
        <v>5.25</v>
      </c>
      <c r="E3692" s="2">
        <v>5.7</v>
      </c>
      <c r="F3692" s="2">
        <v>3.09</v>
      </c>
      <c r="G3692" s="6">
        <v>5499.0138056021087</v>
      </c>
      <c r="H3692" s="6">
        <v>6388.4753838743036</v>
      </c>
      <c r="I3692" s="6">
        <v>5306.917876511181</v>
      </c>
      <c r="J3692" s="6">
        <v>4196.0739187697282</v>
      </c>
      <c r="K3692" s="6">
        <v>6124.8172198699294</v>
      </c>
    </row>
    <row r="3693" spans="1:11" x14ac:dyDescent="0.25">
      <c r="A3693" s="1">
        <v>0.563194444444444</v>
      </c>
      <c r="B3693" s="2">
        <v>6.19</v>
      </c>
      <c r="C3693" s="2">
        <v>3.83</v>
      </c>
      <c r="D3693" s="2">
        <v>5.2799999999999994</v>
      </c>
      <c r="E3693" s="2">
        <v>5.5</v>
      </c>
      <c r="F3693" s="2">
        <v>2.8899999999999997</v>
      </c>
      <c r="G3693" s="6">
        <v>5796.2713937947428</v>
      </c>
      <c r="H3693" s="6">
        <v>6334.5332539757783</v>
      </c>
      <c r="I3693" s="6">
        <v>5397.4860936744199</v>
      </c>
      <c r="J3693" s="6">
        <v>3741.0397007376882</v>
      </c>
      <c r="K3693" s="6">
        <v>5268.5272869171022</v>
      </c>
    </row>
    <row r="3694" spans="1:11" x14ac:dyDescent="0.25">
      <c r="A3694" s="1">
        <v>0.56388888888888899</v>
      </c>
      <c r="B3694" s="2">
        <v>6.14</v>
      </c>
      <c r="C3694" s="2">
        <v>3.65</v>
      </c>
      <c r="D3694" s="2">
        <v>4.96</v>
      </c>
      <c r="E3694" s="2">
        <v>5.3</v>
      </c>
      <c r="F3694" s="2">
        <v>3</v>
      </c>
      <c r="G3694" s="6">
        <v>5948.9098720279544</v>
      </c>
      <c r="H3694" s="6">
        <v>7348.5556921628222</v>
      </c>
      <c r="I3694" s="6">
        <v>5039.0960570597535</v>
      </c>
      <c r="J3694" s="6">
        <v>4588.5948659725736</v>
      </c>
      <c r="K3694" s="6">
        <v>6809.6112106161499</v>
      </c>
    </row>
    <row r="3695" spans="1:11" x14ac:dyDescent="0.25">
      <c r="A3695" s="1">
        <v>0.56458333333333299</v>
      </c>
      <c r="B3695" s="2">
        <v>6.15</v>
      </c>
      <c r="C3695" s="2">
        <v>3.71</v>
      </c>
      <c r="D3695" s="2">
        <v>5.21</v>
      </c>
      <c r="E3695" s="2">
        <v>5.4399999999999995</v>
      </c>
      <c r="F3695" s="2">
        <v>3.31</v>
      </c>
      <c r="G3695" s="6">
        <v>5259.1357682455046</v>
      </c>
      <c r="H3695" s="6">
        <v>5742.2017655238451</v>
      </c>
      <c r="I3695" s="6">
        <v>5285.6146489205457</v>
      </c>
      <c r="J3695" s="6">
        <v>4156.4696836205158</v>
      </c>
      <c r="K3695" s="6">
        <v>4621.0612734846209</v>
      </c>
    </row>
    <row r="3696" spans="1:11" x14ac:dyDescent="0.25">
      <c r="A3696" s="1">
        <v>0.56527777777777799</v>
      </c>
      <c r="B3696" s="2">
        <v>6.17</v>
      </c>
      <c r="C3696" s="2">
        <v>3.63</v>
      </c>
      <c r="D3696" s="2">
        <v>5.27</v>
      </c>
      <c r="E3696" s="2">
        <v>5.66</v>
      </c>
      <c r="F3696" s="2">
        <v>3.05</v>
      </c>
      <c r="G3696" s="6">
        <v>6233.1259931800041</v>
      </c>
      <c r="H3696" s="6">
        <v>5506.5350945700657</v>
      </c>
      <c r="I3696" s="6">
        <v>5035.3783451781565</v>
      </c>
      <c r="J3696" s="6">
        <v>4497.315021442696</v>
      </c>
      <c r="K3696" s="6">
        <v>3614.9800297416878</v>
      </c>
    </row>
    <row r="3697" spans="1:11" x14ac:dyDescent="0.25">
      <c r="A3697" s="1">
        <v>0.56597222222222199</v>
      </c>
      <c r="B3697" s="2">
        <v>6.21</v>
      </c>
      <c r="C3697" s="2">
        <v>3.8899999999999997</v>
      </c>
      <c r="D3697" s="2">
        <v>5.0199999999999996</v>
      </c>
      <c r="E3697" s="2">
        <v>5.22</v>
      </c>
      <c r="F3697" s="2">
        <v>2.8899999999999997</v>
      </c>
      <c r="G3697" s="6">
        <v>4882.8747505700503</v>
      </c>
      <c r="H3697" s="6">
        <v>5865.2217431762365</v>
      </c>
      <c r="I3697" s="6">
        <v>5506.7438318159575</v>
      </c>
      <c r="J3697" s="6">
        <v>3912.0069453283668</v>
      </c>
      <c r="K3697" s="6">
        <v>6899.1691767520979</v>
      </c>
    </row>
    <row r="3698" spans="1:11" x14ac:dyDescent="0.25">
      <c r="A3698" s="1">
        <v>0.56666666666666698</v>
      </c>
      <c r="B3698" s="2">
        <v>6.36</v>
      </c>
      <c r="C3698" s="2">
        <v>3.78</v>
      </c>
      <c r="D3698" s="2">
        <v>4.9099999999999993</v>
      </c>
      <c r="E3698" s="2">
        <v>5.5</v>
      </c>
      <c r="F3698" s="2">
        <v>2.9699999999999998</v>
      </c>
      <c r="G3698" s="6">
        <v>4986.537122827689</v>
      </c>
      <c r="H3698" s="6">
        <v>5757.8061337565923</v>
      </c>
      <c r="I3698" s="6">
        <v>5086.6992589500614</v>
      </c>
      <c r="J3698" s="6">
        <v>4433.129772346093</v>
      </c>
      <c r="K3698" s="6">
        <v>4366.975449624897</v>
      </c>
    </row>
    <row r="3699" spans="1:11" x14ac:dyDescent="0.25">
      <c r="A3699" s="1">
        <v>0.56736111111111098</v>
      </c>
      <c r="B3699" s="2">
        <v>6.3</v>
      </c>
      <c r="C3699" s="2">
        <v>3.83</v>
      </c>
      <c r="D3699" s="2">
        <v>5.35</v>
      </c>
      <c r="E3699" s="2">
        <v>5.51</v>
      </c>
      <c r="F3699" s="2">
        <v>3.02</v>
      </c>
      <c r="G3699" s="6">
        <v>6265.6012456100225</v>
      </c>
      <c r="H3699" s="6">
        <v>5564.4218399695101</v>
      </c>
      <c r="I3699" s="6">
        <v>5520.3645146548106</v>
      </c>
      <c r="J3699" s="6">
        <v>4089.6434337710843</v>
      </c>
      <c r="K3699" s="6">
        <v>7230.0881133675548</v>
      </c>
    </row>
    <row r="3700" spans="1:11" x14ac:dyDescent="0.25">
      <c r="A3700" s="1">
        <v>0.56805555555555598</v>
      </c>
      <c r="B3700" s="2">
        <v>6.3</v>
      </c>
      <c r="C3700" s="2">
        <v>3.76</v>
      </c>
      <c r="D3700" s="2">
        <v>4.93</v>
      </c>
      <c r="E3700" s="2">
        <v>5.62</v>
      </c>
      <c r="F3700" s="2">
        <v>2.9099999999999997</v>
      </c>
      <c r="G3700" s="6">
        <v>5154.6259993856229</v>
      </c>
      <c r="H3700" s="6">
        <v>7789.2535610876903</v>
      </c>
      <c r="I3700" s="6">
        <v>5377.6198933686701</v>
      </c>
      <c r="J3700" s="6">
        <v>4521.6784537024678</v>
      </c>
      <c r="K3700" s="6">
        <v>5663.0569240969826</v>
      </c>
    </row>
    <row r="3701" spans="1:11" x14ac:dyDescent="0.25">
      <c r="A3701" s="1">
        <v>0.56874999999999998</v>
      </c>
      <c r="B3701" s="2">
        <v>6.3100000000000005</v>
      </c>
      <c r="C3701" s="2">
        <v>3.6799999999999997</v>
      </c>
      <c r="D3701" s="2">
        <v>5.3699999999999992</v>
      </c>
      <c r="E3701" s="2">
        <v>5.66</v>
      </c>
      <c r="F3701" s="2">
        <v>3.11</v>
      </c>
      <c r="G3701" s="6">
        <v>4837.483013723343</v>
      </c>
      <c r="H3701" s="6">
        <v>6118.3856015408001</v>
      </c>
      <c r="I3701" s="6">
        <v>5138.3386883400726</v>
      </c>
      <c r="J3701" s="6">
        <v>4598.6663530847663</v>
      </c>
      <c r="K3701" s="6">
        <v>3911.6604302034061</v>
      </c>
    </row>
    <row r="3702" spans="1:11" x14ac:dyDescent="0.25">
      <c r="A3702" s="1">
        <v>0.56944444444444398</v>
      </c>
      <c r="B3702" s="2">
        <v>6.29</v>
      </c>
      <c r="C3702" s="2">
        <v>3.84</v>
      </c>
      <c r="D3702" s="2">
        <v>4.97</v>
      </c>
      <c r="E3702" s="2">
        <v>5.37</v>
      </c>
      <c r="F3702" s="2">
        <v>3.05</v>
      </c>
      <c r="G3702" s="6">
        <v>5664.9625951107391</v>
      </c>
      <c r="H3702" s="6">
        <v>6093.1823407730899</v>
      </c>
      <c r="I3702" s="6">
        <v>5551.8658682218793</v>
      </c>
      <c r="J3702" s="6">
        <v>3950.8906446370302</v>
      </c>
      <c r="K3702" s="6">
        <v>4939.8572228433213</v>
      </c>
    </row>
    <row r="3703" spans="1:11" x14ac:dyDescent="0.25">
      <c r="A3703" s="1">
        <v>0.57013888888888897</v>
      </c>
      <c r="B3703" s="2">
        <v>6.16</v>
      </c>
      <c r="C3703" s="2">
        <v>3.73</v>
      </c>
      <c r="D3703" s="2">
        <v>5.0699999999999994</v>
      </c>
      <c r="E3703" s="2">
        <v>5.24</v>
      </c>
      <c r="F3703" s="2">
        <v>2.92</v>
      </c>
      <c r="G3703" s="6">
        <v>4831.6189594850011</v>
      </c>
      <c r="H3703" s="6">
        <v>7824.9919763530361</v>
      </c>
      <c r="I3703" s="6">
        <v>5181.6590377529428</v>
      </c>
      <c r="J3703" s="6">
        <v>3888.981288998807</v>
      </c>
      <c r="K3703" s="6">
        <v>4493.7390045086249</v>
      </c>
    </row>
    <row r="3704" spans="1:11" x14ac:dyDescent="0.25">
      <c r="A3704" s="1">
        <v>0.57083333333333297</v>
      </c>
      <c r="B3704" s="2">
        <v>6.28</v>
      </c>
      <c r="C3704" s="2">
        <v>3.86</v>
      </c>
      <c r="D3704" s="2">
        <v>5.26</v>
      </c>
      <c r="E3704" s="2">
        <v>5.21</v>
      </c>
      <c r="F3704" s="2">
        <v>2.92</v>
      </c>
      <c r="G3704" s="6">
        <v>6846.3231946286242</v>
      </c>
      <c r="H3704" s="6">
        <v>5822.7314957883054</v>
      </c>
      <c r="I3704" s="6">
        <v>5192.7445541515035</v>
      </c>
      <c r="J3704" s="6">
        <v>3942.332525209546</v>
      </c>
      <c r="K3704" s="6">
        <v>5625.7846326863682</v>
      </c>
    </row>
    <row r="3705" spans="1:11" x14ac:dyDescent="0.25">
      <c r="A3705" s="1">
        <v>0.57152777777777797</v>
      </c>
      <c r="B3705" s="2">
        <v>6.13</v>
      </c>
      <c r="C3705" s="2">
        <v>3.7399999999999998</v>
      </c>
      <c r="D3705" s="2">
        <v>5.0699999999999994</v>
      </c>
      <c r="E3705" s="2">
        <v>5.34</v>
      </c>
      <c r="F3705" s="2">
        <v>2.9699999999999998</v>
      </c>
      <c r="G3705" s="6">
        <v>6453.9666470663233</v>
      </c>
      <c r="H3705" s="6">
        <v>6424.7093739585598</v>
      </c>
      <c r="I3705" s="6">
        <v>5310.5207287713365</v>
      </c>
      <c r="J3705" s="6">
        <v>4518.5574710164456</v>
      </c>
      <c r="K3705" s="6">
        <v>5707.7412767853311</v>
      </c>
    </row>
    <row r="3706" spans="1:11" x14ac:dyDescent="0.25">
      <c r="A3706" s="1">
        <v>0.57222222222222197</v>
      </c>
      <c r="B3706" s="2">
        <v>6.22</v>
      </c>
      <c r="C3706" s="2">
        <v>3.92</v>
      </c>
      <c r="D3706" s="2">
        <v>4.97</v>
      </c>
      <c r="E3706" s="2">
        <v>5.79</v>
      </c>
      <c r="F3706" s="2">
        <v>3.34</v>
      </c>
      <c r="G3706" s="6">
        <v>5765.4522844625635</v>
      </c>
      <c r="H3706" s="6">
        <v>6689.9362036418424</v>
      </c>
      <c r="I3706" s="6">
        <v>5580.2132983355159</v>
      </c>
      <c r="J3706" s="6">
        <v>3930.5362719545415</v>
      </c>
      <c r="K3706" s="6">
        <v>7025.5738820453616</v>
      </c>
    </row>
    <row r="3707" spans="1:11" x14ac:dyDescent="0.25">
      <c r="A3707" s="1">
        <v>0.57291666666666696</v>
      </c>
      <c r="B3707" s="2">
        <v>6.3500000000000005</v>
      </c>
      <c r="C3707" s="2">
        <v>3.75</v>
      </c>
      <c r="D3707" s="2">
        <v>5.34</v>
      </c>
      <c r="E3707" s="2">
        <v>5.72</v>
      </c>
      <c r="F3707" s="2">
        <v>3.15</v>
      </c>
      <c r="G3707" s="6">
        <v>5686.8205493570076</v>
      </c>
      <c r="H3707" s="6">
        <v>5097.7982247162272</v>
      </c>
      <c r="I3707" s="6">
        <v>5399.1983884660376</v>
      </c>
      <c r="J3707" s="6">
        <v>3661.0670159540018</v>
      </c>
      <c r="K3707" s="6">
        <v>4114.5851086138327</v>
      </c>
    </row>
    <row r="3708" spans="1:11" x14ac:dyDescent="0.25">
      <c r="A3708" s="1">
        <v>0.57361111111111096</v>
      </c>
      <c r="B3708" s="2">
        <v>6.2700000000000005</v>
      </c>
      <c r="C3708" s="2">
        <v>3.71</v>
      </c>
      <c r="D3708" s="2">
        <v>5.2399999999999993</v>
      </c>
      <c r="E3708" s="2">
        <v>5.4</v>
      </c>
      <c r="F3708" s="2">
        <v>2.9499999999999997</v>
      </c>
      <c r="G3708" s="6">
        <v>6695.1828095313995</v>
      </c>
      <c r="H3708" s="6">
        <v>7312.3027750351876</v>
      </c>
      <c r="I3708" s="6">
        <v>5628.1444355933672</v>
      </c>
      <c r="J3708" s="6">
        <v>4683.4795159041387</v>
      </c>
      <c r="K3708" s="6">
        <v>4033.8998459217828</v>
      </c>
    </row>
    <row r="3709" spans="1:11" x14ac:dyDescent="0.25">
      <c r="A3709" s="1">
        <v>0.57430555555555596</v>
      </c>
      <c r="B3709" s="2">
        <v>6.13</v>
      </c>
      <c r="C3709" s="2">
        <v>3.86</v>
      </c>
      <c r="D3709" s="2">
        <v>4.8999999999999995</v>
      </c>
      <c r="E3709" s="2">
        <v>5.37</v>
      </c>
      <c r="F3709" s="2">
        <v>3.07</v>
      </c>
      <c r="G3709" s="6">
        <v>4671.9580657061688</v>
      </c>
      <c r="H3709" s="6">
        <v>5568.3292763266991</v>
      </c>
      <c r="I3709" s="6">
        <v>5458.0885637403571</v>
      </c>
      <c r="J3709" s="6">
        <v>3805.5933579668917</v>
      </c>
      <c r="K3709" s="6">
        <v>5368.2466850201026</v>
      </c>
    </row>
    <row r="3710" spans="1:11" x14ac:dyDescent="0.25">
      <c r="A3710" s="1">
        <v>0.57499999999999996</v>
      </c>
      <c r="B3710" s="2">
        <v>6.13</v>
      </c>
      <c r="C3710" s="2">
        <v>3.6799999999999997</v>
      </c>
      <c r="D3710" s="2">
        <v>5.27</v>
      </c>
      <c r="E3710" s="2">
        <v>5.37</v>
      </c>
      <c r="F3710" s="2">
        <v>3.17</v>
      </c>
      <c r="G3710" s="6">
        <v>4918.3652344039037</v>
      </c>
      <c r="H3710" s="6">
        <v>7390.1291197255132</v>
      </c>
      <c r="I3710" s="6">
        <v>5629.2825249281923</v>
      </c>
      <c r="J3710" s="6">
        <v>4265.5228127546952</v>
      </c>
      <c r="K3710" s="6">
        <v>5206.0759982015579</v>
      </c>
    </row>
    <row r="3711" spans="1:11" x14ac:dyDescent="0.25">
      <c r="A3711" s="1">
        <v>0.57569444444444495</v>
      </c>
      <c r="B3711" s="2">
        <v>6.18</v>
      </c>
      <c r="C3711" s="2">
        <v>3.9099999999999997</v>
      </c>
      <c r="D3711" s="2">
        <v>5.16</v>
      </c>
      <c r="E3711" s="2">
        <v>5.47</v>
      </c>
      <c r="F3711" s="2">
        <v>3.41</v>
      </c>
      <c r="G3711" s="6">
        <v>5483.9159276257087</v>
      </c>
      <c r="H3711" s="6">
        <v>7715.7478582165841</v>
      </c>
      <c r="I3711" s="6">
        <v>5213.4128575823652</v>
      </c>
      <c r="J3711" s="6">
        <v>3794.1921111961319</v>
      </c>
      <c r="K3711" s="6">
        <v>4890.3754261063059</v>
      </c>
    </row>
    <row r="3712" spans="1:11" x14ac:dyDescent="0.25">
      <c r="A3712" s="1">
        <v>0.57638888888888895</v>
      </c>
      <c r="B3712" s="2">
        <v>6.38</v>
      </c>
      <c r="C3712" s="2">
        <v>3.79</v>
      </c>
      <c r="D3712" s="2">
        <v>5.26</v>
      </c>
      <c r="E3712" s="2">
        <v>5.5</v>
      </c>
      <c r="F3712" s="2">
        <v>3.12</v>
      </c>
      <c r="G3712" s="6">
        <v>5942.0038281866764</v>
      </c>
      <c r="H3712" s="6">
        <v>7305.9905400296311</v>
      </c>
      <c r="I3712" s="6">
        <v>5293.7395400132737</v>
      </c>
      <c r="J3712" s="6">
        <v>4619.2045251613463</v>
      </c>
      <c r="K3712" s="6">
        <v>6746.1967526030257</v>
      </c>
    </row>
    <row r="3713" spans="1:16" x14ac:dyDescent="0.25">
      <c r="A3713" s="1">
        <v>0.57708333333333295</v>
      </c>
      <c r="B3713" s="2">
        <v>6.32</v>
      </c>
      <c r="C3713" s="2">
        <v>3.6599999999999997</v>
      </c>
      <c r="D3713" s="2">
        <v>5</v>
      </c>
      <c r="E3713" s="2">
        <v>5.24</v>
      </c>
      <c r="F3713" s="2">
        <v>3.1999999999999997</v>
      </c>
      <c r="G3713" s="6">
        <v>5146.4664131755799</v>
      </c>
      <c r="H3713" s="6">
        <v>8142.6460145838637</v>
      </c>
      <c r="I3713" s="6">
        <v>5044.0453039052773</v>
      </c>
      <c r="J3713" s="6">
        <v>4334.8335415102083</v>
      </c>
      <c r="K3713" s="6">
        <v>6011.9441279564144</v>
      </c>
    </row>
    <row r="3714" spans="1:16" x14ac:dyDescent="0.25">
      <c r="A3714" s="1">
        <v>0.57777777777777795</v>
      </c>
      <c r="B3714" s="2">
        <v>6.2700000000000005</v>
      </c>
      <c r="C3714" s="2">
        <v>3.65</v>
      </c>
      <c r="D3714" s="2">
        <v>5.13</v>
      </c>
      <c r="E3714" s="2">
        <v>5.4799999999999995</v>
      </c>
      <c r="F3714" s="2">
        <v>3.21</v>
      </c>
      <c r="G3714" s="6">
        <v>6103.5687450428986</v>
      </c>
      <c r="H3714" s="6">
        <v>7355.3889355888059</v>
      </c>
      <c r="I3714" s="6">
        <v>5328.7266008759661</v>
      </c>
      <c r="J3714" s="6">
        <v>3871.1756061722767</v>
      </c>
      <c r="K3714" s="6">
        <v>4130.2052901576753</v>
      </c>
    </row>
    <row r="3715" spans="1:16" x14ac:dyDescent="0.25">
      <c r="A3715" s="1">
        <v>0.57847222222222205</v>
      </c>
      <c r="B3715" s="2">
        <v>6.36</v>
      </c>
      <c r="C3715" s="2">
        <v>3.79</v>
      </c>
      <c r="D3715" s="2">
        <v>5.25</v>
      </c>
      <c r="E3715" s="2">
        <v>5.4399999999999995</v>
      </c>
      <c r="F3715" s="2">
        <v>3.21</v>
      </c>
      <c r="G3715" s="6">
        <v>4705.5072399256505</v>
      </c>
      <c r="H3715" s="6">
        <v>5715.8818210124509</v>
      </c>
      <c r="I3715" s="6">
        <v>4969.165911537114</v>
      </c>
      <c r="J3715" s="6">
        <v>4527.6502627020309</v>
      </c>
      <c r="K3715" s="6">
        <v>4467.8352114768495</v>
      </c>
    </row>
    <row r="3716" spans="1:16" x14ac:dyDescent="0.25">
      <c r="A3716" s="1">
        <v>0.57916666666666705</v>
      </c>
      <c r="B3716" s="2">
        <v>6.21</v>
      </c>
      <c r="C3716" s="2">
        <v>3.9099999999999997</v>
      </c>
      <c r="D3716" s="2">
        <v>5.09</v>
      </c>
      <c r="E3716" s="2">
        <v>5.5</v>
      </c>
      <c r="F3716" s="2">
        <v>2.9699999999999998</v>
      </c>
      <c r="G3716" s="6">
        <v>6782.1893997431162</v>
      </c>
      <c r="H3716" s="6">
        <v>5692.2623978762176</v>
      </c>
      <c r="I3716" s="6">
        <v>5335.2276971348529</v>
      </c>
      <c r="J3716" s="6">
        <v>3807.1148957588875</v>
      </c>
      <c r="K3716" s="6">
        <v>6161.1171889757989</v>
      </c>
    </row>
    <row r="3717" spans="1:16" x14ac:dyDescent="0.25">
      <c r="A3717" s="1">
        <v>0.57986111111111105</v>
      </c>
      <c r="B3717" s="2">
        <v>6.33</v>
      </c>
      <c r="C3717" s="2">
        <v>3.79</v>
      </c>
      <c r="D3717" s="2">
        <v>5.3199999999999994</v>
      </c>
      <c r="E3717" s="2">
        <v>5.6099999999999994</v>
      </c>
      <c r="F3717" s="2">
        <v>3.2399999999999998</v>
      </c>
      <c r="G3717" s="6">
        <v>5458.9824769463185</v>
      </c>
      <c r="H3717" s="6">
        <v>5775.4379662070241</v>
      </c>
      <c r="I3717" s="6">
        <v>5310.1305519242906</v>
      </c>
      <c r="J3717" s="6">
        <v>3820.1549575234289</v>
      </c>
      <c r="K3717" s="6">
        <v>5034.5441877522398</v>
      </c>
    </row>
    <row r="3718" spans="1:16" x14ac:dyDescent="0.25">
      <c r="A3718" s="1">
        <v>0.58055555555555605</v>
      </c>
      <c r="B3718" s="2">
        <v>6.16</v>
      </c>
      <c r="C3718" s="2">
        <v>3.76</v>
      </c>
      <c r="D3718" s="2">
        <v>5.34</v>
      </c>
      <c r="E3718" s="2">
        <v>5.41</v>
      </c>
      <c r="F3718" s="2">
        <v>3.32</v>
      </c>
      <c r="G3718" s="6">
        <v>5754.5483979314677</v>
      </c>
      <c r="H3718" s="6">
        <v>6659.3438001260402</v>
      </c>
      <c r="I3718" s="6">
        <v>5519.8916948800425</v>
      </c>
      <c r="J3718" s="6">
        <v>4147.3266689379534</v>
      </c>
      <c r="K3718" s="6">
        <v>6343.0690476463769</v>
      </c>
    </row>
    <row r="3719" spans="1:16" x14ac:dyDescent="0.25">
      <c r="A3719" s="1">
        <v>0.58125000000000004</v>
      </c>
      <c r="B3719" s="2">
        <v>6.21</v>
      </c>
      <c r="C3719" s="2">
        <v>3.8499999999999996</v>
      </c>
      <c r="D3719" s="2">
        <v>5.31</v>
      </c>
      <c r="E3719" s="2">
        <v>5.4799999999999995</v>
      </c>
      <c r="F3719" s="2">
        <v>3.42</v>
      </c>
      <c r="G3719" s="6">
        <v>6252.2990071065806</v>
      </c>
      <c r="H3719" s="6">
        <v>5487.3728479182737</v>
      </c>
      <c r="I3719" s="6">
        <v>5631.0357676052463</v>
      </c>
      <c r="J3719" s="6">
        <v>4113.5200678803849</v>
      </c>
      <c r="K3719" s="6">
        <v>3773.0847676822495</v>
      </c>
    </row>
    <row r="3720" spans="1:16" x14ac:dyDescent="0.25">
      <c r="A3720" s="1">
        <v>0.58194444444444404</v>
      </c>
      <c r="B3720" s="2">
        <v>6.34</v>
      </c>
      <c r="C3720" s="2">
        <v>3.83</v>
      </c>
      <c r="D3720" s="2">
        <v>5.04</v>
      </c>
      <c r="E3720" s="2">
        <v>5.45</v>
      </c>
      <c r="F3720" s="2">
        <v>2.9699999999999998</v>
      </c>
      <c r="G3720" s="6">
        <v>5631.2967882473422</v>
      </c>
      <c r="H3720" s="6">
        <v>5460.805051023508</v>
      </c>
      <c r="I3720" s="6">
        <v>5109.2446717709518</v>
      </c>
      <c r="J3720" s="6">
        <v>4054.1231787241404</v>
      </c>
      <c r="K3720" s="6">
        <v>5926.0338642279985</v>
      </c>
    </row>
    <row r="3721" spans="1:16" x14ac:dyDescent="0.25">
      <c r="A3721" s="1">
        <v>0.58263888888888904</v>
      </c>
      <c r="B3721" s="2">
        <v>6.15</v>
      </c>
      <c r="C3721" s="2">
        <v>3.8</v>
      </c>
      <c r="D3721" s="2">
        <v>5.25</v>
      </c>
      <c r="E3721" s="2">
        <v>5.78</v>
      </c>
      <c r="F3721" s="2">
        <v>3.08</v>
      </c>
      <c r="G3721" s="6">
        <v>6370.9808033037152</v>
      </c>
      <c r="H3721" s="6">
        <v>7502.4037829341196</v>
      </c>
      <c r="I3721" s="6">
        <v>5449.2830303185729</v>
      </c>
      <c r="J3721" s="6">
        <v>4267.0401251306184</v>
      </c>
      <c r="K3721" s="6">
        <v>5941.2691803680891</v>
      </c>
    </row>
    <row r="3722" spans="1:16" x14ac:dyDescent="0.25">
      <c r="A3722" s="3">
        <v>0.58333333333333304</v>
      </c>
      <c r="B3722" s="2">
        <v>6.24</v>
      </c>
      <c r="C3722" s="2">
        <v>3.82</v>
      </c>
      <c r="D3722" s="2">
        <v>5.12</v>
      </c>
      <c r="E3722" s="2">
        <v>5.41</v>
      </c>
      <c r="F3722" s="2">
        <v>3.22</v>
      </c>
      <c r="G3722" s="6">
        <v>6025</v>
      </c>
      <c r="H3722" s="6">
        <v>7013</v>
      </c>
      <c r="I3722" s="6">
        <v>3958</v>
      </c>
      <c r="J3722" s="6">
        <v>4108</v>
      </c>
      <c r="K3722" s="6">
        <v>5276</v>
      </c>
      <c r="L3722" s="6"/>
      <c r="M3722" s="6"/>
      <c r="N3722" s="6"/>
      <c r="O3722" s="6"/>
      <c r="P3722" s="6"/>
    </row>
    <row r="3723" spans="1:16" x14ac:dyDescent="0.25">
      <c r="A3723" s="1">
        <v>0.58402777777777803</v>
      </c>
      <c r="B3723" s="2">
        <v>6.16</v>
      </c>
      <c r="C3723" s="2">
        <v>3.9</v>
      </c>
      <c r="D3723" s="2">
        <v>4.9899999999999993</v>
      </c>
      <c r="E3723" s="2">
        <v>5.31</v>
      </c>
      <c r="F3723" s="2">
        <v>3.15</v>
      </c>
      <c r="G3723" s="6">
        <v>13770.288571592679</v>
      </c>
      <c r="H3723" s="6">
        <f>(G3723+1554)+466.412364110742</f>
        <v>15790.70093570342</v>
      </c>
      <c r="I3723" s="6">
        <v>8851.8383336878087</v>
      </c>
      <c r="J3723" s="6">
        <f>(I3723-624)+830.552642683978</f>
        <v>9058.3909763717857</v>
      </c>
      <c r="K3723" s="6">
        <v>6149.6607993443122</v>
      </c>
    </row>
    <row r="3724" spans="1:16" x14ac:dyDescent="0.25">
      <c r="A3724" s="1">
        <v>0.58472222222222203</v>
      </c>
      <c r="B3724" s="2">
        <v>6.25</v>
      </c>
      <c r="C3724" s="2">
        <v>3.78</v>
      </c>
      <c r="D3724" s="2">
        <v>5.3599999999999994</v>
      </c>
      <c r="E3724" s="2">
        <v>5.26</v>
      </c>
      <c r="F3724" s="2">
        <v>2.94</v>
      </c>
      <c r="G3724" s="6">
        <v>16596.208709231563</v>
      </c>
      <c r="H3724" s="6">
        <f>(G3724+1554)+1262.91777510482</f>
        <v>19413.126484336382</v>
      </c>
      <c r="I3724" s="6">
        <v>11360.724231412914</v>
      </c>
      <c r="J3724" s="6">
        <f>(I3724-624)+758.482568206708</f>
        <v>11495.206799619622</v>
      </c>
      <c r="K3724" s="6">
        <v>9048.1477484190764</v>
      </c>
    </row>
    <row r="3725" spans="1:16" x14ac:dyDescent="0.25">
      <c r="A3725" s="1">
        <v>0.58541666666666703</v>
      </c>
      <c r="B3725" s="2">
        <v>6.3</v>
      </c>
      <c r="C3725" s="2">
        <v>3.79</v>
      </c>
      <c r="D3725" s="2">
        <v>4.9899999999999993</v>
      </c>
      <c r="E3725" s="2">
        <v>5.75</v>
      </c>
      <c r="F3725" s="2">
        <v>3.2199999999999998</v>
      </c>
      <c r="G3725" s="6">
        <v>15172.509074943828</v>
      </c>
      <c r="H3725" s="6">
        <f>(G3725+1554)+1759.30425194264</f>
        <v>18485.813326886469</v>
      </c>
      <c r="I3725" s="6">
        <v>9376.6163514918189</v>
      </c>
      <c r="J3725" s="6">
        <f>(I3725-624)+1709.91593537431</f>
        <v>10462.532286866126</v>
      </c>
      <c r="K3725" s="6">
        <v>9546.2280556491623</v>
      </c>
    </row>
    <row r="3726" spans="1:16" x14ac:dyDescent="0.25">
      <c r="A3726" s="1">
        <v>0.58611111111111103</v>
      </c>
      <c r="B3726" s="2">
        <v>6.33</v>
      </c>
      <c r="C3726" s="2">
        <v>3.83</v>
      </c>
      <c r="D3726" s="2">
        <v>5.0299999999999994</v>
      </c>
      <c r="E3726" s="2">
        <v>5.42</v>
      </c>
      <c r="F3726" s="2">
        <v>3.38</v>
      </c>
      <c r="G3726" s="6">
        <v>16889.472997649656</v>
      </c>
      <c r="H3726" s="6">
        <f>(G3726+1554)+340.644084138028</f>
        <v>18784.117081787685</v>
      </c>
      <c r="I3726" s="6">
        <v>11698.201867872098</v>
      </c>
      <c r="J3726" s="6">
        <f>(I3726-624)+986.548622486655</f>
        <v>12060.750490358752</v>
      </c>
      <c r="K3726" s="6">
        <v>11341.298124272291</v>
      </c>
    </row>
    <row r="3727" spans="1:16" x14ac:dyDescent="0.25">
      <c r="A3727" s="1">
        <v>0.58680555555555602</v>
      </c>
      <c r="B3727" s="2">
        <v>6.15</v>
      </c>
      <c r="C3727" s="2">
        <v>3.88</v>
      </c>
      <c r="D3727" s="2">
        <v>5.31</v>
      </c>
      <c r="E3727" s="2">
        <v>5.32</v>
      </c>
      <c r="F3727" s="2">
        <v>3.27</v>
      </c>
      <c r="G3727" s="6">
        <v>17214.769900927353</v>
      </c>
      <c r="H3727" s="6">
        <f>(G3727+1554)+1764.79762127052</f>
        <v>20533.567522197874</v>
      </c>
      <c r="I3727" s="6">
        <v>11142.091687507547</v>
      </c>
      <c r="J3727" s="6">
        <f>(I3727-624)+1514.73980694047</f>
        <v>12032.831494448015</v>
      </c>
      <c r="K3727" s="6">
        <v>10835.444646225613</v>
      </c>
    </row>
    <row r="3728" spans="1:16" x14ac:dyDescent="0.25">
      <c r="A3728" s="1">
        <v>0.58750000000000002</v>
      </c>
      <c r="B3728" s="2">
        <v>6.15</v>
      </c>
      <c r="C3728" s="2">
        <v>3.6599999999999997</v>
      </c>
      <c r="D3728" s="2">
        <v>5.0999999999999996</v>
      </c>
      <c r="E3728" s="2">
        <v>5.38</v>
      </c>
      <c r="F3728" s="2">
        <v>3.27</v>
      </c>
      <c r="G3728" s="6">
        <v>20467.829034961374</v>
      </c>
      <c r="H3728" s="6">
        <f>(G3728+1554)+663.423494222047</f>
        <v>22685.252529183421</v>
      </c>
      <c r="I3728" s="6">
        <v>15002.111952008398</v>
      </c>
      <c r="J3728" s="6">
        <f>(I3728-624)+462.992191864348</f>
        <v>14841.104143872746</v>
      </c>
      <c r="K3728" s="6">
        <v>11320.356504627305</v>
      </c>
    </row>
    <row r="3729" spans="1:11" x14ac:dyDescent="0.25">
      <c r="A3729" s="1">
        <v>0.58819444444444402</v>
      </c>
      <c r="B3729" s="2">
        <v>6.22</v>
      </c>
      <c r="C3729" s="2">
        <v>3.81</v>
      </c>
      <c r="D3729" s="2">
        <v>5.33</v>
      </c>
      <c r="E3729" s="2">
        <v>5.1499999999999995</v>
      </c>
      <c r="F3729" s="2">
        <v>3</v>
      </c>
      <c r="G3729" s="6">
        <v>27343.734718484953</v>
      </c>
      <c r="H3729" s="6">
        <f>(G3729+1554)+1211.92226244308</f>
        <v>30109.656980928034</v>
      </c>
      <c r="I3729" s="6">
        <v>21810.581517312839</v>
      </c>
      <c r="J3729" s="6">
        <f>(I3729-624)+702.368861363153</f>
        <v>21888.950378675992</v>
      </c>
      <c r="K3729" s="6">
        <v>18115.639826526261</v>
      </c>
    </row>
    <row r="3730" spans="1:11" x14ac:dyDescent="0.25">
      <c r="A3730" s="1">
        <v>0.58888888888888902</v>
      </c>
      <c r="B3730" s="2">
        <v>6.23</v>
      </c>
      <c r="C3730" s="2">
        <v>3.92</v>
      </c>
      <c r="D3730" s="2">
        <v>4.92</v>
      </c>
      <c r="E3730" s="2">
        <v>5.42</v>
      </c>
      <c r="F3730" s="2">
        <v>2.98</v>
      </c>
      <c r="G3730" s="6">
        <v>22653.953698208265</v>
      </c>
      <c r="H3730" s="6">
        <f>(G3730+1554)+395.687685368705</f>
        <v>24603.641383576971</v>
      </c>
      <c r="I3730" s="6">
        <v>17657.866477002575</v>
      </c>
      <c r="J3730" s="6">
        <f>(I3730-624)+247.594409562754</f>
        <v>17281.460886565328</v>
      </c>
      <c r="K3730" s="6">
        <v>18290.316458063193</v>
      </c>
    </row>
    <row r="3731" spans="1:11" x14ac:dyDescent="0.25">
      <c r="A3731" s="1">
        <v>0.58958333333333302</v>
      </c>
      <c r="B3731" s="2">
        <v>6.22</v>
      </c>
      <c r="C3731" s="2">
        <v>3.87</v>
      </c>
      <c r="D3731" s="2">
        <v>4.9899999999999993</v>
      </c>
      <c r="E3731" s="2">
        <v>5.55</v>
      </c>
      <c r="F3731" s="2">
        <v>2.9</v>
      </c>
      <c r="G3731" s="6">
        <v>13731.285327242234</v>
      </c>
      <c r="H3731" s="6">
        <f>(G3731+1554)+1005.98679545523</f>
        <v>16291.272122697459</v>
      </c>
      <c r="I3731" s="6">
        <v>7562.0200976794313</v>
      </c>
      <c r="J3731" s="6">
        <f>(I3731-624)+1347.40542675105</f>
        <v>8285.4255244304841</v>
      </c>
      <c r="K3731" s="6">
        <v>10539.083423662925</v>
      </c>
    </row>
    <row r="3732" spans="1:11" x14ac:dyDescent="0.25">
      <c r="A3732" s="1">
        <v>0.59027777777777801</v>
      </c>
      <c r="B3732" s="2">
        <v>6.17</v>
      </c>
      <c r="C3732" s="2">
        <v>3.6399999999999997</v>
      </c>
      <c r="D3732" s="2">
        <v>5.0999999999999996</v>
      </c>
      <c r="E3732" s="2">
        <v>5.47</v>
      </c>
      <c r="F3732" s="2">
        <v>3.21</v>
      </c>
      <c r="G3732" s="6">
        <v>30357.962895225755</v>
      </c>
      <c r="H3732" s="6">
        <f>(G3732+1554)+1275.86322501878</f>
        <v>33187.826120244536</v>
      </c>
      <c r="I3732" s="6">
        <v>24285.933446324405</v>
      </c>
      <c r="J3732" s="6">
        <f>(I3732-624)+1363.89917073956</f>
        <v>25025.832617063967</v>
      </c>
      <c r="K3732" s="6">
        <v>7909.5496605966891</v>
      </c>
    </row>
    <row r="3733" spans="1:11" x14ac:dyDescent="0.25">
      <c r="A3733" s="1">
        <v>0.59097222222222201</v>
      </c>
      <c r="B3733" s="2">
        <v>6.15</v>
      </c>
      <c r="C3733" s="2">
        <v>3.7399999999999998</v>
      </c>
      <c r="D3733" s="2">
        <v>5.34</v>
      </c>
      <c r="E3733" s="2">
        <v>5.41</v>
      </c>
      <c r="F3733" s="2">
        <v>2.96</v>
      </c>
      <c r="G3733" s="6">
        <v>32574.766104104892</v>
      </c>
      <c r="H3733" s="6">
        <f>(G3733+1554)+1465.24280451781</f>
        <v>35594.008908622694</v>
      </c>
      <c r="I3733" s="6">
        <v>28364.074506046542</v>
      </c>
      <c r="J3733" s="6">
        <f>(I3733-624)+455.565654614997</f>
        <v>28195.64016066154</v>
      </c>
      <c r="K3733" s="6">
        <v>6586.0424042664781</v>
      </c>
    </row>
    <row r="3734" spans="1:11" x14ac:dyDescent="0.25">
      <c r="A3734" s="1">
        <v>0.59166666666666701</v>
      </c>
      <c r="B3734" s="2">
        <v>6.29</v>
      </c>
      <c r="C3734" s="2">
        <v>3.8499999999999996</v>
      </c>
      <c r="D3734" s="2">
        <v>5</v>
      </c>
      <c r="E3734" s="2">
        <v>5.2299999999999995</v>
      </c>
      <c r="F3734" s="2">
        <v>3.31</v>
      </c>
      <c r="G3734" s="6">
        <v>25837.343461378179</v>
      </c>
      <c r="H3734" s="6">
        <f>(G3734+1554)+938.793862420161</f>
        <v>28330.137323798339</v>
      </c>
      <c r="I3734" s="6">
        <v>20664.183984724383</v>
      </c>
      <c r="J3734" s="6">
        <f>(I3734-624)+462.496586201118</f>
        <v>20502.680570925502</v>
      </c>
      <c r="K3734" s="6">
        <v>10130.284845096676</v>
      </c>
    </row>
    <row r="3735" spans="1:11" x14ac:dyDescent="0.25">
      <c r="A3735" s="1">
        <v>0.59236111111111101</v>
      </c>
      <c r="B3735" s="2">
        <v>6.3</v>
      </c>
      <c r="C3735" s="2">
        <v>3.67</v>
      </c>
      <c r="D3735" s="2">
        <v>5.08</v>
      </c>
      <c r="E3735" s="2">
        <v>5.13</v>
      </c>
      <c r="F3735" s="2">
        <v>2.9899999999999998</v>
      </c>
      <c r="G3735" s="6">
        <v>21852.285060998034</v>
      </c>
      <c r="H3735" s="6">
        <f>(G3735+1554)+997.218595359789</f>
        <v>24403.503656357825</v>
      </c>
      <c r="I3735" s="6">
        <v>17029.558758885451</v>
      </c>
      <c r="J3735" s="6">
        <f>(I3735-624)+1689.90239239123</f>
        <v>18095.461151276686</v>
      </c>
      <c r="K3735" s="6">
        <v>5701.9579345046113</v>
      </c>
    </row>
    <row r="3736" spans="1:11" x14ac:dyDescent="0.25">
      <c r="A3736" s="1">
        <v>0.593055555555556</v>
      </c>
      <c r="B3736" s="2">
        <v>6.24</v>
      </c>
      <c r="C3736" s="2">
        <v>3.63</v>
      </c>
      <c r="D3736" s="2">
        <v>5</v>
      </c>
      <c r="E3736" s="2">
        <v>5.1499999999999995</v>
      </c>
      <c r="F3736" s="2">
        <v>3.12</v>
      </c>
      <c r="G3736" s="6">
        <v>17309.741015220792</v>
      </c>
      <c r="H3736" s="6">
        <f>(G3736+1554)+1900.27329433194</f>
        <v>20764.014309552731</v>
      </c>
      <c r="I3736" s="6">
        <v>10881.198982053927</v>
      </c>
      <c r="J3736" s="6">
        <f>(I3736-624)+353.003590986518</f>
        <v>10610.202573040446</v>
      </c>
      <c r="K3736" s="6">
        <v>12934.007839081722</v>
      </c>
    </row>
    <row r="3737" spans="1:11" x14ac:dyDescent="0.25">
      <c r="A3737" s="1">
        <v>0.59375</v>
      </c>
      <c r="B3737" s="2">
        <v>6.3</v>
      </c>
      <c r="C3737" s="2">
        <v>3.8</v>
      </c>
      <c r="D3737" s="2">
        <v>5.2299999999999995</v>
      </c>
      <c r="E3737" s="2">
        <v>5.18</v>
      </c>
      <c r="F3737" s="2">
        <v>2.8899999999999997</v>
      </c>
      <c r="G3737" s="6">
        <v>20821.540133259128</v>
      </c>
      <c r="H3737" s="6">
        <f>(G3737+1554)+796.452715779233</f>
        <v>23171.992849038361</v>
      </c>
      <c r="I3737" s="6">
        <v>15382.44822301692</v>
      </c>
      <c r="J3737" s="6">
        <f>(I3737-624)+413.987877339851</f>
        <v>15172.43610035677</v>
      </c>
      <c r="K3737" s="6">
        <v>8248.9049150722549</v>
      </c>
    </row>
    <row r="3738" spans="1:11" x14ac:dyDescent="0.25">
      <c r="A3738" s="1">
        <v>0.594444444444444</v>
      </c>
      <c r="B3738" s="2">
        <v>6.37</v>
      </c>
      <c r="C3738" s="2">
        <v>3.75</v>
      </c>
      <c r="D3738" s="2">
        <v>5.1499999999999995</v>
      </c>
      <c r="E3738" s="2">
        <v>5.65</v>
      </c>
      <c r="F3738" s="2">
        <v>3.05</v>
      </c>
      <c r="G3738" s="6">
        <v>22778.680186031597</v>
      </c>
      <c r="H3738" s="6">
        <f>(G3738+1554)+822.613739865941</f>
        <v>25155.293925897538</v>
      </c>
      <c r="I3738" s="6">
        <v>17008.804103308001</v>
      </c>
      <c r="J3738" s="6">
        <f>(I3738-624)+269.653855686545</f>
        <v>16654.457958994546</v>
      </c>
      <c r="K3738" s="6">
        <v>11950.503591095528</v>
      </c>
    </row>
    <row r="3739" spans="1:11" x14ac:dyDescent="0.25">
      <c r="A3739" s="1">
        <v>0.59513888888888899</v>
      </c>
      <c r="B3739" s="2">
        <v>6.17</v>
      </c>
      <c r="C3739" s="2">
        <v>3.88</v>
      </c>
      <c r="D3739" s="2">
        <v>5.33</v>
      </c>
      <c r="E3739" s="2">
        <v>5.53</v>
      </c>
      <c r="F3739" s="2">
        <v>3.1799999999999997</v>
      </c>
      <c r="G3739" s="6">
        <v>26206.240320750421</v>
      </c>
      <c r="H3739" s="6">
        <f>(G3739+1554)+1171.86663264897</f>
        <v>28932.106953399387</v>
      </c>
      <c r="I3739" s="6">
        <v>17052.690461575152</v>
      </c>
      <c r="J3739" s="6">
        <f>(I3739-624)+493.95994111593</f>
        <v>16922.650402691081</v>
      </c>
      <c r="K3739" s="6">
        <v>10679.012302902862</v>
      </c>
    </row>
    <row r="3740" spans="1:11" x14ac:dyDescent="0.25">
      <c r="A3740" s="1">
        <v>0.59583333333333299</v>
      </c>
      <c r="B3740" s="2">
        <v>6.12</v>
      </c>
      <c r="C3740" s="2">
        <v>3.67</v>
      </c>
      <c r="D3740" s="2">
        <v>5.3599999999999994</v>
      </c>
      <c r="E3740" s="2">
        <v>5.14</v>
      </c>
      <c r="F3740" s="2">
        <v>3.38</v>
      </c>
      <c r="G3740" s="6">
        <v>34087.835213123937</v>
      </c>
      <c r="H3740" s="6">
        <f>(G3740+1554)+1298.39638263613</f>
        <v>36940.231595760066</v>
      </c>
      <c r="I3740" s="6">
        <v>18636.433114970772</v>
      </c>
      <c r="J3740" s="6">
        <f>(I3740-624)+620.026107417069</f>
        <v>18632.459222387843</v>
      </c>
      <c r="K3740" s="6">
        <v>7723.4723512049668</v>
      </c>
    </row>
    <row r="3741" spans="1:11" x14ac:dyDescent="0.25">
      <c r="A3741" s="1">
        <v>0.59652777777777799</v>
      </c>
      <c r="B3741" s="2">
        <v>6.12</v>
      </c>
      <c r="C3741" s="2">
        <v>3.65</v>
      </c>
      <c r="D3741" s="2">
        <v>5.0299999999999994</v>
      </c>
      <c r="E3741" s="2">
        <v>5.21</v>
      </c>
      <c r="F3741" s="2">
        <v>3.04</v>
      </c>
      <c r="G3741" s="6">
        <v>28664.645446827522</v>
      </c>
      <c r="H3741" s="6">
        <f>(G3741+1554)+1358.86954430499</f>
        <v>31577.514991132517</v>
      </c>
      <c r="I3741" s="6">
        <v>18615.430917256403</v>
      </c>
      <c r="J3741" s="6">
        <f>(I3741-624)+36.8583921218261</f>
        <v>18028.28930937823</v>
      </c>
      <c r="K3741" s="6">
        <v>11011.696617939469</v>
      </c>
    </row>
    <row r="3742" spans="1:11" x14ac:dyDescent="0.25">
      <c r="A3742" s="1">
        <v>0.59722222222222199</v>
      </c>
      <c r="B3742" s="2">
        <v>6.18</v>
      </c>
      <c r="C3742" s="2">
        <v>3.71</v>
      </c>
      <c r="D3742" s="2">
        <v>5.3</v>
      </c>
      <c r="E3742" s="2">
        <v>5.78</v>
      </c>
      <c r="F3742" s="2">
        <v>3.19</v>
      </c>
      <c r="G3742" s="6">
        <v>23725.260453123032</v>
      </c>
      <c r="H3742" s="6">
        <f>(G3742+1554)+1837.97004117509</f>
        <v>27117.230494298121</v>
      </c>
      <c r="I3742" s="6">
        <v>14904.285178076439</v>
      </c>
      <c r="J3742" s="6">
        <v>13002.309997379502</v>
      </c>
      <c r="K3742" s="6">
        <v>5314.6030768627534</v>
      </c>
    </row>
    <row r="3743" spans="1:11" x14ac:dyDescent="0.25">
      <c r="A3743" s="1">
        <v>0.59791666666666698</v>
      </c>
      <c r="B3743" s="2">
        <v>6.3100000000000005</v>
      </c>
      <c r="C3743" s="2">
        <v>3.92</v>
      </c>
      <c r="D3743" s="2">
        <v>5.31</v>
      </c>
      <c r="E3743" s="2">
        <v>5.33</v>
      </c>
      <c r="F3743" s="2">
        <v>3.26</v>
      </c>
      <c r="G3743" s="6">
        <v>19164.968609744676</v>
      </c>
      <c r="H3743" s="6">
        <f>(G3743+1554)+1209.82994332237</f>
        <v>21928.798553067048</v>
      </c>
      <c r="I3743" s="6">
        <v>11874.457915502497</v>
      </c>
      <c r="J3743" s="6">
        <v>10783.130555746207</v>
      </c>
      <c r="K3743" s="6">
        <v>13227.955438584362</v>
      </c>
    </row>
    <row r="3744" spans="1:11" x14ac:dyDescent="0.25">
      <c r="A3744" s="1">
        <v>0.59861111111111098</v>
      </c>
      <c r="B3744" s="2">
        <v>6.32</v>
      </c>
      <c r="C3744" s="2">
        <v>3.84</v>
      </c>
      <c r="D3744" s="2">
        <v>5.1899999999999995</v>
      </c>
      <c r="E3744" s="2">
        <v>5.33</v>
      </c>
      <c r="F3744" s="2">
        <v>2.88</v>
      </c>
      <c r="G3744" s="6">
        <v>13179.140659729715</v>
      </c>
      <c r="H3744" s="6">
        <f>(G3744+1554)+395.552807280592</f>
        <v>15128.693467010307</v>
      </c>
      <c r="I3744" s="6">
        <v>7924.097218821601</v>
      </c>
      <c r="J3744" s="6">
        <f>(I3744-624)+1314.47157297478</f>
        <v>8614.5687917963805</v>
      </c>
      <c r="K3744" s="6">
        <v>12306.925042538824</v>
      </c>
    </row>
    <row r="3745" spans="1:11" x14ac:dyDescent="0.25">
      <c r="A3745" s="1">
        <v>0.59930555555555598</v>
      </c>
      <c r="B3745" s="2">
        <v>6.21</v>
      </c>
      <c r="C3745" s="2">
        <v>3.8899999999999997</v>
      </c>
      <c r="D3745" s="2">
        <v>5.29</v>
      </c>
      <c r="E3745" s="2">
        <v>5.32</v>
      </c>
      <c r="F3745" s="2">
        <v>3.23</v>
      </c>
      <c r="G3745" s="6">
        <v>24224.17010459556</v>
      </c>
      <c r="H3745" s="6">
        <f>(G3745+1554)+1034.52382993879</f>
        <v>26812.693934534349</v>
      </c>
      <c r="I3745" s="6">
        <v>13456.218999061814</v>
      </c>
      <c r="J3745" s="6">
        <v>9985.5737752115056</v>
      </c>
      <c r="K3745" s="6">
        <v>7489.5765686615787</v>
      </c>
    </row>
    <row r="3746" spans="1:11" x14ac:dyDescent="0.25">
      <c r="A3746" s="1">
        <v>0.6</v>
      </c>
      <c r="B3746" s="2">
        <v>6.29</v>
      </c>
      <c r="C3746" s="2">
        <v>3.67</v>
      </c>
      <c r="D3746" s="2">
        <v>5.38</v>
      </c>
      <c r="E3746" s="2">
        <v>5.54</v>
      </c>
      <c r="F3746" s="2">
        <v>2.88</v>
      </c>
      <c r="G3746" s="6">
        <v>16404.632065864636</v>
      </c>
      <c r="H3746" s="6">
        <f>(G3746+1554)+426.994883318763</f>
        <v>18385.626949183399</v>
      </c>
      <c r="I3746" s="6">
        <v>10740.886077800804</v>
      </c>
      <c r="J3746" s="6">
        <v>8035.277349725201</v>
      </c>
      <c r="K3746" s="6">
        <v>6810.3947304487674</v>
      </c>
    </row>
    <row r="3747" spans="1:11" x14ac:dyDescent="0.25">
      <c r="A3747" s="1">
        <v>0.60069444444444398</v>
      </c>
      <c r="B3747" s="2">
        <v>6.21</v>
      </c>
      <c r="C3747" s="2">
        <v>3.6599999999999997</v>
      </c>
      <c r="D3747" s="2">
        <v>5.1999999999999993</v>
      </c>
      <c r="E3747" s="2">
        <v>5.31</v>
      </c>
      <c r="F3747" s="2">
        <v>3.06</v>
      </c>
      <c r="G3747" s="6">
        <v>23704.265490580339</v>
      </c>
      <c r="H3747" s="6">
        <f>(G3747+1554)+1884.87294275374</f>
        <v>27143.138433334083</v>
      </c>
      <c r="I3747" s="6">
        <v>15291.634174329894</v>
      </c>
      <c r="J3747" s="6">
        <v>12643.322309673962</v>
      </c>
      <c r="K3747" s="6">
        <v>7305.8762022644132</v>
      </c>
    </row>
    <row r="3748" spans="1:11" x14ac:dyDescent="0.25">
      <c r="A3748" s="1">
        <v>0.60138888888888897</v>
      </c>
      <c r="B3748" s="2">
        <v>6.24</v>
      </c>
      <c r="C3748" s="2">
        <v>3.8499999999999996</v>
      </c>
      <c r="D3748" s="2">
        <v>5.2799999999999994</v>
      </c>
      <c r="E3748" s="2">
        <v>5.1499999999999995</v>
      </c>
      <c r="F3748" s="2">
        <v>3.16</v>
      </c>
      <c r="G3748" s="6">
        <v>26288.780701316358</v>
      </c>
      <c r="H3748" s="6">
        <f>(G3748+1554)+1705.64017309014</f>
        <v>29548.420874406493</v>
      </c>
      <c r="I3748" s="6">
        <v>17011.774712650586</v>
      </c>
      <c r="J3748" s="6">
        <v>14160.043581160133</v>
      </c>
      <c r="K3748" s="6">
        <v>7996.0620032484367</v>
      </c>
    </row>
    <row r="3749" spans="1:11" x14ac:dyDescent="0.25">
      <c r="A3749" s="1">
        <v>0.60208333333333297</v>
      </c>
      <c r="B3749" s="2">
        <v>6.26</v>
      </c>
      <c r="C3749" s="2">
        <v>3.6599999999999997</v>
      </c>
      <c r="D3749" s="2">
        <v>5.3699999999999992</v>
      </c>
      <c r="E3749" s="2">
        <v>5.47</v>
      </c>
      <c r="F3749" s="2">
        <v>2.9899999999999998</v>
      </c>
      <c r="G3749" s="6">
        <v>16754.12033133255</v>
      </c>
      <c r="H3749" s="6">
        <f>(G3749+1554)+1288.5266741479</f>
        <v>19596.647005480449</v>
      </c>
      <c r="I3749" s="6">
        <v>10614.352389218384</v>
      </c>
      <c r="J3749" s="6">
        <v>8260.8656547095161</v>
      </c>
      <c r="K3749" s="6">
        <v>14115.425414283878</v>
      </c>
    </row>
    <row r="3750" spans="1:11" x14ac:dyDescent="0.25">
      <c r="A3750" s="1">
        <v>0.60277777777777797</v>
      </c>
      <c r="B3750" s="2">
        <v>6.25</v>
      </c>
      <c r="C3750" s="2">
        <v>3.73</v>
      </c>
      <c r="D3750" s="2">
        <v>5.29</v>
      </c>
      <c r="E3750" s="2">
        <v>5.75</v>
      </c>
      <c r="F3750" s="2">
        <v>3.09</v>
      </c>
      <c r="G3750" s="6">
        <v>25360.398244693697</v>
      </c>
      <c r="H3750" s="6">
        <f>(G3750+1554)+1758.28037505524</f>
        <v>28672.678619748938</v>
      </c>
      <c r="I3750" s="6">
        <v>15923.128115646026</v>
      </c>
      <c r="J3750" s="6">
        <v>13311.539604653135</v>
      </c>
      <c r="K3750" s="6">
        <v>11621.871028926484</v>
      </c>
    </row>
    <row r="3751" spans="1:11" x14ac:dyDescent="0.25">
      <c r="A3751" s="1">
        <v>0.60347222222222197</v>
      </c>
      <c r="B3751" s="2">
        <v>6.3100000000000005</v>
      </c>
      <c r="C3751" s="2">
        <v>3.84</v>
      </c>
      <c r="D3751" s="2">
        <v>5.16</v>
      </c>
      <c r="E3751" s="2">
        <v>5.56</v>
      </c>
      <c r="F3751" s="2">
        <v>3.02</v>
      </c>
      <c r="G3751" s="6">
        <v>20039.748425836035</v>
      </c>
      <c r="H3751" s="6">
        <f>(G3751+1554)+1994.43543121722</f>
        <v>23588.18385705326</v>
      </c>
      <c r="I3751" s="6">
        <v>11605.782915803438</v>
      </c>
      <c r="J3751" s="6">
        <f>(I3751-624)+124.237112268553</f>
        <v>11106.020028071991</v>
      </c>
      <c r="K3751" s="6">
        <v>11986.440724969541</v>
      </c>
    </row>
    <row r="3752" spans="1:11" x14ac:dyDescent="0.25">
      <c r="A3752" s="1">
        <v>0.60416666666666696</v>
      </c>
      <c r="B3752" s="2">
        <v>6.33</v>
      </c>
      <c r="C3752" s="2">
        <v>3.67</v>
      </c>
      <c r="D3752" s="2">
        <v>4.9399999999999995</v>
      </c>
      <c r="E3752" s="2">
        <v>5.32</v>
      </c>
      <c r="F3752" s="2">
        <v>3.31</v>
      </c>
      <c r="G3752" s="6">
        <v>15438.75535870921</v>
      </c>
      <c r="H3752" s="6">
        <f>(G3752+1554)+1293.58599323775</f>
        <v>18286.341351946961</v>
      </c>
      <c r="I3752" s="6">
        <v>10859.546367413028</v>
      </c>
      <c r="J3752" s="6">
        <v>9302.4372865204296</v>
      </c>
      <c r="K3752" s="6">
        <v>12584.264789750547</v>
      </c>
    </row>
    <row r="3753" spans="1:11" x14ac:dyDescent="0.25">
      <c r="A3753" s="1">
        <v>0.60486111111111096</v>
      </c>
      <c r="B3753" s="2">
        <v>6.2700000000000005</v>
      </c>
      <c r="C3753" s="2">
        <v>3.88</v>
      </c>
      <c r="D3753" s="2">
        <v>4.8999999999999995</v>
      </c>
      <c r="E3753" s="2">
        <v>5.71</v>
      </c>
      <c r="F3753" s="2">
        <v>3.12</v>
      </c>
      <c r="G3753" s="6">
        <v>20985.238457330506</v>
      </c>
      <c r="H3753" s="6">
        <f>(G3753+1554)+930.369485504645</f>
        <v>23469.607942835151</v>
      </c>
      <c r="I3753" s="6">
        <v>16413.189435051521</v>
      </c>
      <c r="J3753" s="6">
        <f>(I3753-624)+947.499714374019</f>
        <v>16736.68914942554</v>
      </c>
      <c r="K3753" s="6">
        <v>9260.8523030878168</v>
      </c>
    </row>
    <row r="3754" spans="1:11" x14ac:dyDescent="0.25">
      <c r="A3754" s="1">
        <v>0.60555555555555596</v>
      </c>
      <c r="B3754" s="2">
        <v>6.29</v>
      </c>
      <c r="C3754" s="2">
        <v>3.81</v>
      </c>
      <c r="D3754" s="2">
        <v>5.14</v>
      </c>
      <c r="E3754" s="2">
        <v>5.64</v>
      </c>
      <c r="F3754" s="2">
        <v>3.2199999999999998</v>
      </c>
      <c r="G3754" s="6">
        <v>21779.35318738245</v>
      </c>
      <c r="H3754" s="6">
        <f>(G3754+1554)+1053.98328957467</f>
        <v>24387.33647695712</v>
      </c>
      <c r="I3754" s="6">
        <v>17018.918466263429</v>
      </c>
      <c r="J3754" s="6">
        <f>(I3754-624)+1055.2447562717</f>
        <v>17450.163222535131</v>
      </c>
      <c r="K3754" s="6">
        <v>11544.553865245172</v>
      </c>
    </row>
    <row r="3755" spans="1:11" x14ac:dyDescent="0.25">
      <c r="A3755" s="1">
        <v>0.60624999999999996</v>
      </c>
      <c r="B3755" s="2">
        <v>6.3500000000000005</v>
      </c>
      <c r="C3755" s="2">
        <v>3.6799999999999997</v>
      </c>
      <c r="D3755" s="2">
        <v>5.3</v>
      </c>
      <c r="E3755" s="2">
        <v>5.54</v>
      </c>
      <c r="F3755" s="2">
        <v>3.3</v>
      </c>
      <c r="G3755" s="6">
        <v>22877.822377452329</v>
      </c>
      <c r="H3755" s="6">
        <f>(G3755+1554)+35.8682194214641</f>
        <v>24467.690596873792</v>
      </c>
      <c r="I3755" s="6">
        <v>18299.872751729366</v>
      </c>
      <c r="J3755" s="6">
        <v>15486.613394421329</v>
      </c>
      <c r="K3755" s="6">
        <v>12168.004262040246</v>
      </c>
    </row>
    <row r="3756" spans="1:11" x14ac:dyDescent="0.25">
      <c r="A3756" s="1">
        <v>0.60694444444444495</v>
      </c>
      <c r="B3756" s="2">
        <v>6.33</v>
      </c>
      <c r="C3756" s="2">
        <v>3.6199999999999997</v>
      </c>
      <c r="D3756" s="2">
        <v>5.08</v>
      </c>
      <c r="E3756" s="2">
        <v>5.17</v>
      </c>
      <c r="F3756" s="2">
        <v>3.31</v>
      </c>
      <c r="G3756" s="6">
        <v>26983.877052413365</v>
      </c>
      <c r="H3756" s="6">
        <f>(G3756+1554)+1249.65388541624</f>
        <v>29787.530937829608</v>
      </c>
      <c r="I3756" s="6">
        <v>22542.7478357162</v>
      </c>
      <c r="J3756" s="6">
        <f>(I3756-624)+1065.05181995787</f>
        <v>22983.799655674073</v>
      </c>
      <c r="K3756" s="6">
        <v>13784.263839317626</v>
      </c>
    </row>
    <row r="3757" spans="1:11" x14ac:dyDescent="0.25">
      <c r="A3757" s="1">
        <v>0.60763888888888895</v>
      </c>
      <c r="B3757" s="2">
        <v>6.23</v>
      </c>
      <c r="C3757" s="2">
        <v>3.75</v>
      </c>
      <c r="D3757" s="2">
        <v>4.9099999999999993</v>
      </c>
      <c r="E3757" s="2">
        <v>5.57</v>
      </c>
      <c r="F3757" s="2">
        <v>2.92</v>
      </c>
      <c r="G3757" s="6">
        <v>21715.661851838286</v>
      </c>
      <c r="H3757" s="6">
        <f>(G3757+1554)+1423.72045411096</f>
        <v>24693.382305949242</v>
      </c>
      <c r="I3757" s="6">
        <v>16074.105339204852</v>
      </c>
      <c r="J3757" s="6">
        <v>12575.273916579234</v>
      </c>
      <c r="K3757" s="6">
        <v>9250.044213488567</v>
      </c>
    </row>
    <row r="3758" spans="1:11" x14ac:dyDescent="0.25">
      <c r="A3758" s="1">
        <v>0.60833333333333295</v>
      </c>
      <c r="B3758" s="2">
        <v>6.3500000000000005</v>
      </c>
      <c r="C3758" s="2">
        <v>3.8499999999999996</v>
      </c>
      <c r="D3758" s="2">
        <v>4.97</v>
      </c>
      <c r="E3758" s="2">
        <v>5.3</v>
      </c>
      <c r="F3758" s="2">
        <v>3.42</v>
      </c>
      <c r="G3758" s="6">
        <v>19626.194231655663</v>
      </c>
      <c r="H3758" s="6">
        <f>(G3758+1554)+726.749771078977</f>
        <v>21906.944002734639</v>
      </c>
      <c r="I3758" s="6">
        <v>14246.225134641136</v>
      </c>
      <c r="J3758" s="6">
        <v>10804.065011787632</v>
      </c>
      <c r="K3758" s="6">
        <v>6115.88656465643</v>
      </c>
    </row>
    <row r="3759" spans="1:11" x14ac:dyDescent="0.25">
      <c r="A3759" s="1">
        <v>0.60902777777777795</v>
      </c>
      <c r="B3759" s="2">
        <v>6.38</v>
      </c>
      <c r="C3759" s="2">
        <v>3.75</v>
      </c>
      <c r="D3759" s="2">
        <v>5.38</v>
      </c>
      <c r="E3759" s="2">
        <v>5.59</v>
      </c>
      <c r="F3759" s="2">
        <v>2.98</v>
      </c>
      <c r="G3759" s="6">
        <v>23829.814087880342</v>
      </c>
      <c r="H3759" s="6">
        <f>(G3759+1554)+1303.49654230874</f>
        <v>26687.310630189088</v>
      </c>
      <c r="I3759" s="6">
        <v>18284.69281508978</v>
      </c>
      <c r="J3759" s="6">
        <v>12331.916663672246</v>
      </c>
      <c r="K3759" s="6">
        <v>12830.050711269923</v>
      </c>
    </row>
    <row r="3760" spans="1:11" x14ac:dyDescent="0.25">
      <c r="A3760" s="1">
        <v>0.60972222222222205</v>
      </c>
      <c r="B3760" s="2">
        <v>6.23</v>
      </c>
      <c r="C3760" s="2">
        <v>3.9099999999999997</v>
      </c>
      <c r="D3760" s="2">
        <v>5.2399999999999993</v>
      </c>
      <c r="E3760" s="2">
        <v>5.4399999999999995</v>
      </c>
      <c r="F3760" s="2">
        <v>3.07</v>
      </c>
      <c r="G3760" s="6">
        <v>13320.3531904719</v>
      </c>
      <c r="H3760" s="6">
        <f>(G3760+1554)+717.619915754607</f>
        <v>15591.973106226507</v>
      </c>
      <c r="I3760" s="6">
        <v>8679.8944396729821</v>
      </c>
      <c r="J3760" s="6">
        <v>7169.4253764750601</v>
      </c>
      <c r="K3760" s="6">
        <v>11218.518060793365</v>
      </c>
    </row>
    <row r="3761" spans="1:11" x14ac:dyDescent="0.25">
      <c r="A3761" s="1">
        <v>0.61041666666666705</v>
      </c>
      <c r="B3761" s="2">
        <v>6.17</v>
      </c>
      <c r="C3761" s="2">
        <v>3.79</v>
      </c>
      <c r="D3761" s="2">
        <v>4.9099999999999993</v>
      </c>
      <c r="E3761" s="2">
        <v>5.72</v>
      </c>
      <c r="F3761" s="2">
        <v>3</v>
      </c>
      <c r="G3761" s="6">
        <v>18473.457834594636</v>
      </c>
      <c r="H3761" s="6">
        <f>(G3761+1554)+686.839587504841</f>
        <v>20714.297422099477</v>
      </c>
      <c r="I3761" s="6">
        <v>12011.05829614777</v>
      </c>
      <c r="J3761" s="6">
        <f>(I3761-624)+660.614138885705</f>
        <v>12047.672435033475</v>
      </c>
      <c r="K3761" s="6">
        <v>6463.5113145612577</v>
      </c>
    </row>
    <row r="3762" spans="1:11" x14ac:dyDescent="0.25">
      <c r="A3762" s="1">
        <v>0.61111111111111105</v>
      </c>
      <c r="B3762" s="2">
        <v>6.33</v>
      </c>
      <c r="C3762" s="2">
        <v>3.6599999999999997</v>
      </c>
      <c r="D3762" s="2">
        <v>5.22</v>
      </c>
      <c r="E3762" s="2">
        <v>5.51</v>
      </c>
      <c r="F3762" s="2">
        <v>3.09</v>
      </c>
      <c r="G3762" s="6">
        <v>18070.527037343873</v>
      </c>
      <c r="H3762" s="6">
        <f>(G3762+1554)+1540.95766441119</f>
        <v>21165.48470175506</v>
      </c>
      <c r="I3762" s="6">
        <v>12680.190924256345</v>
      </c>
      <c r="J3762" s="6">
        <v>9326.7125694193001</v>
      </c>
      <c r="K3762" s="6">
        <v>9670.2053979869543</v>
      </c>
    </row>
    <row r="3763" spans="1:11" x14ac:dyDescent="0.25">
      <c r="A3763" s="1">
        <v>0.61180555555555605</v>
      </c>
      <c r="B3763" s="2">
        <v>6.32</v>
      </c>
      <c r="C3763" s="2">
        <v>3.6799999999999997</v>
      </c>
      <c r="D3763" s="2">
        <v>5.01</v>
      </c>
      <c r="E3763" s="2">
        <v>5.22</v>
      </c>
      <c r="F3763" s="2">
        <v>3.27</v>
      </c>
      <c r="G3763" s="6">
        <v>16141.777985518831</v>
      </c>
      <c r="H3763" s="6">
        <f>(G3763+1554)+1028.85915865319</f>
        <v>18724.637144172018</v>
      </c>
      <c r="I3763" s="6">
        <v>11010.768047305546</v>
      </c>
      <c r="J3763" s="6">
        <v>7738.7428761152278</v>
      </c>
      <c r="K3763" s="6">
        <v>8185.8242648645382</v>
      </c>
    </row>
    <row r="3764" spans="1:11" x14ac:dyDescent="0.25">
      <c r="A3764" s="1">
        <v>0.61250000000000004</v>
      </c>
      <c r="B3764" s="2">
        <v>6.2700000000000005</v>
      </c>
      <c r="C3764" s="2">
        <v>3.9</v>
      </c>
      <c r="D3764" s="2">
        <v>5.3199999999999994</v>
      </c>
      <c r="E3764" s="2">
        <v>5.26</v>
      </c>
      <c r="F3764" s="2">
        <v>3.23</v>
      </c>
      <c r="G3764" s="6">
        <v>17776.380596638417</v>
      </c>
      <c r="H3764" s="6">
        <f>(G3764+1554)+1416.56177799174</f>
        <v>20746.942374630158</v>
      </c>
      <c r="I3764" s="6">
        <v>12601.139170818096</v>
      </c>
      <c r="J3764" s="6">
        <v>8655.186745223753</v>
      </c>
      <c r="K3764" s="6">
        <v>10083.046093397612</v>
      </c>
    </row>
    <row r="3765" spans="1:11" x14ac:dyDescent="0.25">
      <c r="A3765" s="1">
        <v>0.61319444444444404</v>
      </c>
      <c r="B3765" s="2">
        <v>6.22</v>
      </c>
      <c r="C3765" s="2">
        <v>3.84</v>
      </c>
      <c r="D3765" s="2">
        <v>5.31</v>
      </c>
      <c r="E3765" s="2">
        <v>5.63</v>
      </c>
      <c r="F3765" s="2">
        <v>3.35</v>
      </c>
      <c r="G3765" s="6">
        <v>12194.917990116242</v>
      </c>
      <c r="H3765" s="6">
        <f>(G3765+1554)+907.910874090978</f>
        <v>14656.82886420722</v>
      </c>
      <c r="I3765" s="6">
        <v>8977.601262163138</v>
      </c>
      <c r="J3765" s="6">
        <f>(I3765-624)+1006.38070134887</f>
        <v>9359.9819635120111</v>
      </c>
      <c r="K3765" s="6">
        <v>9625.7295883538081</v>
      </c>
    </row>
    <row r="3766" spans="1:11" x14ac:dyDescent="0.25">
      <c r="A3766" s="1">
        <v>0.61388888888888904</v>
      </c>
      <c r="B3766" s="2">
        <v>6.32</v>
      </c>
      <c r="C3766" s="2">
        <v>3.82</v>
      </c>
      <c r="D3766" s="2">
        <v>5.2299999999999995</v>
      </c>
      <c r="E3766" s="2">
        <v>5.1499999999999995</v>
      </c>
      <c r="F3766" s="2">
        <v>2.9699999999999998</v>
      </c>
      <c r="G3766" s="6">
        <v>17229.031573239325</v>
      </c>
      <c r="H3766" s="6">
        <f>(G3766+1554)+360.797626617961</f>
        <v>19143.829199857286</v>
      </c>
      <c r="I3766" s="6">
        <v>12325.012725281207</v>
      </c>
      <c r="J3766" s="6">
        <v>9728.6080966635909</v>
      </c>
      <c r="K3766" s="6">
        <v>9302.2511379130883</v>
      </c>
    </row>
    <row r="3767" spans="1:11" x14ac:dyDescent="0.25">
      <c r="A3767" s="1">
        <v>0.61458333333333304</v>
      </c>
      <c r="B3767" s="2">
        <v>6.32</v>
      </c>
      <c r="C3767" s="2">
        <v>3.6399999999999997</v>
      </c>
      <c r="D3767" s="2">
        <v>5.08</v>
      </c>
      <c r="E3767" s="2">
        <v>5.68</v>
      </c>
      <c r="F3767" s="2">
        <v>3.1799999999999997</v>
      </c>
      <c r="G3767" s="6">
        <v>26370.546830119707</v>
      </c>
      <c r="H3767" s="6">
        <f>(G3767+1554)+468.863003308646</f>
        <v>28393.409833428352</v>
      </c>
      <c r="I3767" s="6">
        <v>21612.310067205399</v>
      </c>
      <c r="J3767" s="6">
        <v>17369.232383398801</v>
      </c>
      <c r="K3767" s="6">
        <v>9717.2874800736899</v>
      </c>
    </row>
    <row r="3768" spans="1:11" x14ac:dyDescent="0.25">
      <c r="A3768" s="1">
        <v>0.61527777777777803</v>
      </c>
      <c r="B3768" s="2">
        <v>6.14</v>
      </c>
      <c r="C3768" s="2">
        <v>3.7399999999999998</v>
      </c>
      <c r="D3768" s="2">
        <v>4.9899999999999993</v>
      </c>
      <c r="E3768" s="2">
        <v>5.27</v>
      </c>
      <c r="F3768" s="2">
        <v>3.42</v>
      </c>
      <c r="G3768" s="6">
        <v>20187.58810078277</v>
      </c>
      <c r="H3768" s="6">
        <f>(G3768+1554)+1906.01682456295</f>
        <v>23647.60492534572</v>
      </c>
      <c r="I3768" s="6">
        <v>16784.799828004296</v>
      </c>
      <c r="J3768" s="6">
        <f>(I3768-624)+1675.41682089937</f>
        <v>17836.216648903661</v>
      </c>
      <c r="K3768" s="6">
        <v>13077.631859547009</v>
      </c>
    </row>
    <row r="3769" spans="1:11" x14ac:dyDescent="0.25">
      <c r="A3769" s="1">
        <v>0.61597222222222203</v>
      </c>
      <c r="B3769" s="2">
        <v>6.22</v>
      </c>
      <c r="C3769" s="2">
        <v>3.6599999999999997</v>
      </c>
      <c r="D3769" s="2">
        <v>5.29</v>
      </c>
      <c r="E3769" s="2">
        <v>5.6</v>
      </c>
      <c r="F3769" s="2">
        <v>3.21</v>
      </c>
      <c r="G3769" s="6">
        <v>19763.554264726499</v>
      </c>
      <c r="H3769" s="6">
        <f>(G3769+1554)+1962.700665113</f>
        <v>23280.254929839495</v>
      </c>
      <c r="I3769" s="6">
        <v>11717.115349719896</v>
      </c>
      <c r="J3769" s="6">
        <v>7674.8361534366104</v>
      </c>
      <c r="K3769" s="6">
        <v>9047.5079601005</v>
      </c>
    </row>
    <row r="3770" spans="1:11" x14ac:dyDescent="0.25">
      <c r="A3770" s="1">
        <v>0.61666666666666703</v>
      </c>
      <c r="B3770" s="2">
        <v>6.16</v>
      </c>
      <c r="C3770" s="2">
        <v>3.86</v>
      </c>
      <c r="D3770" s="2">
        <v>4.8999999999999995</v>
      </c>
      <c r="E3770" s="2">
        <v>5.4</v>
      </c>
      <c r="F3770" s="2">
        <v>3.34</v>
      </c>
      <c r="G3770" s="6">
        <v>22939.522220913284</v>
      </c>
      <c r="H3770" s="6">
        <f>(G3770+1554)+1108.33276328905</f>
        <v>25601.854984202335</v>
      </c>
      <c r="I3770" s="6">
        <v>18074.631848440738</v>
      </c>
      <c r="J3770" s="6">
        <v>10594.962711085396</v>
      </c>
      <c r="K3770" s="6">
        <v>12800.37603788251</v>
      </c>
    </row>
    <row r="3771" spans="1:11" x14ac:dyDescent="0.25">
      <c r="A3771" s="1">
        <v>0.61736111111111103</v>
      </c>
      <c r="B3771" s="2">
        <v>6.21</v>
      </c>
      <c r="C3771" s="2">
        <v>3.8</v>
      </c>
      <c r="D3771" s="2">
        <v>5.2299999999999995</v>
      </c>
      <c r="E3771" s="2">
        <v>5.27</v>
      </c>
      <c r="F3771" s="2">
        <v>2.9299999999999997</v>
      </c>
      <c r="G3771" s="6">
        <v>33608.726573837142</v>
      </c>
      <c r="H3771" s="6">
        <f>(G3771+1554)+837.249700258016</f>
        <v>35999.976274095156</v>
      </c>
      <c r="I3771" s="6">
        <v>21921.863477081544</v>
      </c>
      <c r="J3771" s="6">
        <v>11698.312803030289</v>
      </c>
      <c r="K3771" s="6">
        <v>10117.583001005052</v>
      </c>
    </row>
    <row r="3772" spans="1:11" x14ac:dyDescent="0.25">
      <c r="A3772" s="1">
        <v>0.61805555555555602</v>
      </c>
      <c r="B3772" s="2">
        <v>6.18</v>
      </c>
      <c r="C3772" s="2">
        <v>3.78</v>
      </c>
      <c r="D3772" s="2">
        <v>5.0999999999999996</v>
      </c>
      <c r="E3772" s="2">
        <v>5.6</v>
      </c>
      <c r="F3772" s="2">
        <v>3.36</v>
      </c>
      <c r="G3772" s="6">
        <v>22552.079566954479</v>
      </c>
      <c r="H3772" s="6">
        <f>(G3772+1554)+1052.17531320959</f>
        <v>25158.25488016407</v>
      </c>
      <c r="I3772" s="6">
        <v>15831.605234648649</v>
      </c>
      <c r="J3772" s="6">
        <v>11932.285437416573</v>
      </c>
      <c r="K3772" s="6">
        <v>9854.9063147286051</v>
      </c>
    </row>
    <row r="3773" spans="1:11" x14ac:dyDescent="0.25">
      <c r="A3773" s="1">
        <v>0.61875000000000002</v>
      </c>
      <c r="B3773" s="2">
        <v>6.2700000000000005</v>
      </c>
      <c r="C3773" s="2">
        <v>3.6599999999999997</v>
      </c>
      <c r="D3773" s="2">
        <v>4.9499999999999993</v>
      </c>
      <c r="E3773" s="2">
        <v>5.45</v>
      </c>
      <c r="F3773" s="2">
        <v>3.19</v>
      </c>
      <c r="G3773" s="6">
        <v>13837.801670458344</v>
      </c>
      <c r="H3773" s="6">
        <f>(G3773+1554)+351.013904862322</f>
        <v>15742.815575320667</v>
      </c>
      <c r="I3773" s="6">
        <v>10191.39273061506</v>
      </c>
      <c r="J3773" s="6">
        <v>6557.8136335165573</v>
      </c>
      <c r="K3773" s="6">
        <v>6306.0482095217849</v>
      </c>
    </row>
    <row r="3774" spans="1:11" x14ac:dyDescent="0.25">
      <c r="A3774" s="1">
        <v>0.61944444444444402</v>
      </c>
      <c r="B3774" s="2">
        <v>6.38</v>
      </c>
      <c r="C3774" s="2">
        <v>3.6199999999999997</v>
      </c>
      <c r="D3774" s="2">
        <v>5.0599999999999996</v>
      </c>
      <c r="E3774" s="2">
        <v>5.5</v>
      </c>
      <c r="F3774" s="2">
        <v>3.06</v>
      </c>
      <c r="G3774" s="6">
        <v>24207.956187011954</v>
      </c>
      <c r="H3774" s="6">
        <f>(G3774+1554)+871.327357931318</f>
        <v>26633.283544943271</v>
      </c>
      <c r="I3774" s="6">
        <v>16994.136483326834</v>
      </c>
      <c r="J3774" s="6">
        <v>14431.187297875505</v>
      </c>
      <c r="K3774" s="6">
        <v>9703.1749983844002</v>
      </c>
    </row>
    <row r="3775" spans="1:11" x14ac:dyDescent="0.25">
      <c r="A3775" s="1">
        <v>0.62013888888888902</v>
      </c>
      <c r="B3775" s="2">
        <v>6.16</v>
      </c>
      <c r="C3775" s="2">
        <v>3.6999999999999997</v>
      </c>
      <c r="D3775" s="2">
        <v>4.9799999999999995</v>
      </c>
      <c r="E3775" s="2">
        <v>5.54</v>
      </c>
      <c r="F3775" s="2">
        <v>3.25</v>
      </c>
      <c r="G3775" s="6">
        <v>37425.309752951624</v>
      </c>
      <c r="H3775" s="6">
        <f>(G3775+1554)+1393.66993672483</f>
        <v>40372.979689676453</v>
      </c>
      <c r="I3775" s="6">
        <v>21307.688054983642</v>
      </c>
      <c r="J3775" s="6">
        <v>16797.981609022867</v>
      </c>
      <c r="K3775" s="6">
        <v>15109.777553004684</v>
      </c>
    </row>
    <row r="3776" spans="1:11" x14ac:dyDescent="0.25">
      <c r="A3776" s="1">
        <v>0.62083333333333302</v>
      </c>
      <c r="B3776" s="2">
        <v>6.2</v>
      </c>
      <c r="C3776" s="2">
        <v>3.78</v>
      </c>
      <c r="D3776" s="2">
        <v>5.33</v>
      </c>
      <c r="E3776" s="2">
        <v>5.33</v>
      </c>
      <c r="F3776" s="2">
        <v>2.98</v>
      </c>
      <c r="G3776" s="6">
        <v>38061.033399025291</v>
      </c>
      <c r="H3776" s="6">
        <f>(G3776+1554)+1624.32296333004</f>
        <v>41239.356362355335</v>
      </c>
      <c r="I3776" s="6">
        <v>20683.419451550879</v>
      </c>
      <c r="J3776" s="6">
        <v>17696.700638816848</v>
      </c>
      <c r="K3776" s="6">
        <v>15349.104507790747</v>
      </c>
    </row>
    <row r="3777" spans="1:11" x14ac:dyDescent="0.25">
      <c r="A3777" s="1">
        <v>0.62152777777777801</v>
      </c>
      <c r="B3777" s="2">
        <v>6.13</v>
      </c>
      <c r="C3777" s="2">
        <v>3.75</v>
      </c>
      <c r="D3777" s="2">
        <v>4.9399999999999995</v>
      </c>
      <c r="E3777" s="2">
        <v>5.49</v>
      </c>
      <c r="F3777" s="2">
        <v>3.23</v>
      </c>
      <c r="G3777" s="6">
        <v>30029.385729194437</v>
      </c>
      <c r="H3777" s="6">
        <f>(G3777+1554)+179.78645197705</f>
        <v>31763.172181171489</v>
      </c>
      <c r="I3777" s="6">
        <v>12243.889733974638</v>
      </c>
      <c r="J3777" s="6">
        <v>8193.2532252099554</v>
      </c>
      <c r="K3777" s="6">
        <v>12644.604482843806</v>
      </c>
    </row>
    <row r="3778" spans="1:11" x14ac:dyDescent="0.25">
      <c r="A3778" s="1">
        <v>0.62222222222222201</v>
      </c>
      <c r="B3778" s="2">
        <v>6.25</v>
      </c>
      <c r="C3778" s="2">
        <v>3.8</v>
      </c>
      <c r="D3778" s="2">
        <v>5.25</v>
      </c>
      <c r="E3778" s="2">
        <v>5.2299999999999995</v>
      </c>
      <c r="F3778" s="2">
        <v>3.06</v>
      </c>
      <c r="G3778" s="6">
        <v>37195.712606115012</v>
      </c>
      <c r="H3778" s="6">
        <f>(G3778+1554)+681.29517693699</f>
        <v>39431.007783052002</v>
      </c>
      <c r="I3778" s="6">
        <v>15934.890145342388</v>
      </c>
      <c r="J3778" s="6">
        <v>11957.694002532946</v>
      </c>
      <c r="K3778" s="6">
        <v>10182.672625558165</v>
      </c>
    </row>
    <row r="3779" spans="1:11" x14ac:dyDescent="0.25">
      <c r="A3779" s="1">
        <v>0.62291666666666701</v>
      </c>
      <c r="B3779" s="2">
        <v>6.3500000000000005</v>
      </c>
      <c r="C3779" s="2">
        <v>3.81</v>
      </c>
      <c r="D3779" s="2">
        <v>5.04</v>
      </c>
      <c r="E3779" s="2">
        <v>5.6099999999999994</v>
      </c>
      <c r="F3779" s="2">
        <v>3.04</v>
      </c>
      <c r="G3779" s="6">
        <v>27894.671347530653</v>
      </c>
      <c r="H3779" s="6">
        <f>(G3779+1554)+972.693630188161</f>
        <v>30421.364977718815</v>
      </c>
      <c r="I3779" s="6">
        <v>13051.298526198663</v>
      </c>
      <c r="J3779" s="6">
        <v>10218.5225407574</v>
      </c>
      <c r="K3779" s="6">
        <v>8845.4562024818861</v>
      </c>
    </row>
    <row r="3780" spans="1:11" x14ac:dyDescent="0.25">
      <c r="A3780" s="1">
        <v>0.62361111111111101</v>
      </c>
      <c r="B3780" s="2">
        <v>6.2700000000000005</v>
      </c>
      <c r="C3780" s="2">
        <v>3.82</v>
      </c>
      <c r="D3780" s="2">
        <v>5.3599999999999994</v>
      </c>
      <c r="E3780" s="2">
        <v>5.45</v>
      </c>
      <c r="F3780" s="2">
        <v>3.3</v>
      </c>
      <c r="G3780" s="6">
        <v>16871.870054016632</v>
      </c>
      <c r="H3780" s="6">
        <f>(G3780+1554)+1811.65451557916</f>
        <v>20237.524569595796</v>
      </c>
      <c r="I3780" s="6">
        <v>9330.3877211422841</v>
      </c>
      <c r="J3780" s="6">
        <v>8371.2185342773537</v>
      </c>
      <c r="K3780" s="6">
        <v>7726.6217259768146</v>
      </c>
    </row>
    <row r="3781" spans="1:11" x14ac:dyDescent="0.25">
      <c r="A3781" s="1">
        <v>0.624305555555556</v>
      </c>
      <c r="B3781" s="2">
        <v>6.19</v>
      </c>
      <c r="C3781" s="2">
        <v>3.8899999999999997</v>
      </c>
      <c r="D3781" s="2">
        <v>5.31</v>
      </c>
      <c r="E3781" s="2">
        <v>5.58</v>
      </c>
      <c r="F3781" s="2">
        <v>3.37</v>
      </c>
      <c r="G3781" s="6">
        <v>29188.104762691557</v>
      </c>
      <c r="H3781" s="6">
        <f>(G3781+1554)+528.808837861191</f>
        <v>31270.913600552747</v>
      </c>
      <c r="I3781" s="6">
        <v>12036.925987501663</v>
      </c>
      <c r="J3781" s="6">
        <v>9626.883813448072</v>
      </c>
      <c r="K3781" s="6">
        <v>6414.979566704129</v>
      </c>
    </row>
    <row r="3782" spans="1:11" x14ac:dyDescent="0.25">
      <c r="A3782" s="3">
        <v>0.625</v>
      </c>
      <c r="B3782" s="2">
        <v>6.24</v>
      </c>
      <c r="C3782" s="2">
        <v>3.82</v>
      </c>
      <c r="D3782" s="2">
        <v>5.12</v>
      </c>
      <c r="E3782" s="2">
        <v>5.41</v>
      </c>
      <c r="F3782" s="2">
        <v>3.22</v>
      </c>
      <c r="G3782" s="6">
        <v>38530</v>
      </c>
      <c r="H3782" s="6">
        <v>41690</v>
      </c>
      <c r="I3782" s="6">
        <v>10670</v>
      </c>
      <c r="J3782" s="6">
        <v>7495</v>
      </c>
      <c r="K3782" s="6">
        <v>7612</v>
      </c>
    </row>
    <row r="3783" spans="1:11" x14ac:dyDescent="0.25">
      <c r="A3783" s="1">
        <v>0.625694444444444</v>
      </c>
      <c r="B3783" s="2">
        <v>6.26</v>
      </c>
      <c r="C3783" s="2">
        <v>3.6799999999999997</v>
      </c>
      <c r="D3783" s="2">
        <v>5.31</v>
      </c>
      <c r="E3783" s="2">
        <v>5.13</v>
      </c>
      <c r="F3783" s="2">
        <v>3.2600000000000002</v>
      </c>
      <c r="G3783" s="6">
        <v>36243.453716291304</v>
      </c>
      <c r="H3783" s="6">
        <f>(G3783+126)+915.281188825067</f>
        <v>37284.734905116369</v>
      </c>
      <c r="I3783" s="6">
        <f>(I3843+2685)-154.678456787698</f>
        <v>6935.9867713764561</v>
      </c>
      <c r="J3783" s="6">
        <v>8190.6508689100392</v>
      </c>
      <c r="K3783" s="6">
        <v>7525.0424229862529</v>
      </c>
    </row>
    <row r="3784" spans="1:11" x14ac:dyDescent="0.25">
      <c r="A3784" s="1">
        <v>0.62638888888888899</v>
      </c>
      <c r="B3784" s="2">
        <v>6.3</v>
      </c>
      <c r="C3784" s="2">
        <v>3.9</v>
      </c>
      <c r="D3784" s="2">
        <v>5.08</v>
      </c>
      <c r="E3784" s="2">
        <v>5.71</v>
      </c>
      <c r="F3784" s="2">
        <v>2.93</v>
      </c>
      <c r="G3784" s="6">
        <v>28866.639945894316</v>
      </c>
      <c r="H3784" s="6">
        <f>(G3784+126)+202.929995520327</f>
        <v>29195.569941414644</v>
      </c>
      <c r="I3784" s="6">
        <v>9554.2541360793984</v>
      </c>
      <c r="J3784" s="6">
        <v>7404.7938620596651</v>
      </c>
      <c r="K3784" s="6">
        <v>6445.6342906800073</v>
      </c>
    </row>
    <row r="3785" spans="1:11" x14ac:dyDescent="0.25">
      <c r="A3785" s="1">
        <v>0.62708333333333299</v>
      </c>
      <c r="B3785" s="2">
        <v>6.3500000000000005</v>
      </c>
      <c r="C3785" s="2">
        <v>3.73</v>
      </c>
      <c r="D3785" s="2">
        <v>5.04</v>
      </c>
      <c r="E3785" s="2">
        <v>5.29</v>
      </c>
      <c r="F3785" s="2">
        <v>3.38</v>
      </c>
      <c r="G3785" s="6">
        <v>23692.304068563099</v>
      </c>
      <c r="H3785" s="6">
        <v>27552.791086291945</v>
      </c>
      <c r="I3785" s="6">
        <v>8620.0901087529201</v>
      </c>
      <c r="J3785" s="6">
        <v>7981.5750882651637</v>
      </c>
      <c r="K3785" s="6">
        <v>7166.3995766711805</v>
      </c>
    </row>
    <row r="3786" spans="1:11" x14ac:dyDescent="0.25">
      <c r="A3786" s="1">
        <v>0.62777777777777799</v>
      </c>
      <c r="B3786" s="2">
        <v>6.13</v>
      </c>
      <c r="C3786" s="2">
        <v>3.63</v>
      </c>
      <c r="D3786" s="2">
        <v>5.0599999999999996</v>
      </c>
      <c r="E3786" s="2">
        <v>5.25</v>
      </c>
      <c r="F3786" s="2">
        <v>2.99</v>
      </c>
      <c r="G3786" s="6">
        <v>32953.821306111058</v>
      </c>
      <c r="H3786" s="6">
        <f>(G3786+126)+203.82309626213</f>
        <v>33283.644402373189</v>
      </c>
      <c r="I3786" s="6">
        <v>12592.272888163134</v>
      </c>
      <c r="J3786" s="6">
        <v>8953.8907471402399</v>
      </c>
      <c r="K3786" s="6">
        <v>6550.521029351301</v>
      </c>
    </row>
    <row r="3787" spans="1:11" x14ac:dyDescent="0.25">
      <c r="A3787" s="1">
        <v>0.62847222222222199</v>
      </c>
      <c r="B3787" s="2">
        <v>6.12</v>
      </c>
      <c r="C3787" s="2">
        <v>3.83</v>
      </c>
      <c r="D3787" s="2">
        <v>5.08</v>
      </c>
      <c r="E3787" s="2">
        <v>5.33</v>
      </c>
      <c r="F3787" s="2">
        <v>3.33</v>
      </c>
      <c r="G3787" s="6">
        <v>38645.771005391973</v>
      </c>
      <c r="H3787" s="6">
        <f>(G3787+126)+884.983590115847</f>
        <v>39656.754595507817</v>
      </c>
      <c r="I3787" s="6">
        <v>16375.638008727159</v>
      </c>
      <c r="J3787" s="6">
        <v>9921.9375690331963</v>
      </c>
      <c r="K3787" s="6">
        <v>7244.3363996571907</v>
      </c>
    </row>
    <row r="3788" spans="1:11" x14ac:dyDescent="0.25">
      <c r="A3788" s="1">
        <v>0.62916666666666698</v>
      </c>
      <c r="B3788" s="2">
        <v>6.3500000000000005</v>
      </c>
      <c r="C3788" s="2">
        <v>3.61</v>
      </c>
      <c r="D3788" s="2">
        <v>5.2299999999999995</v>
      </c>
      <c r="E3788" s="2">
        <v>5.4799999999999995</v>
      </c>
      <c r="F3788" s="2">
        <v>3.3200000000000003</v>
      </c>
      <c r="G3788" s="6">
        <v>33110.523648840208</v>
      </c>
      <c r="H3788" s="6">
        <v>36175.482133002748</v>
      </c>
      <c r="I3788" s="6">
        <v>13464.097305705589</v>
      </c>
      <c r="J3788" s="6">
        <v>8983.1887774607076</v>
      </c>
      <c r="K3788" s="6">
        <v>8011.9806224649146</v>
      </c>
    </row>
    <row r="3789" spans="1:11" x14ac:dyDescent="0.25">
      <c r="A3789" s="1">
        <v>0.62986111111111098</v>
      </c>
      <c r="B3789" s="2">
        <v>6.3</v>
      </c>
      <c r="C3789" s="2">
        <v>3.6199999999999997</v>
      </c>
      <c r="D3789" s="2">
        <v>5.2799999999999994</v>
      </c>
      <c r="E3789" s="2">
        <v>5.7</v>
      </c>
      <c r="F3789" s="2">
        <v>3.16</v>
      </c>
      <c r="G3789" s="6">
        <v>28951.34645993642</v>
      </c>
      <c r="H3789" s="6">
        <f>(G3789+126)+397.762950136437</f>
        <v>29475.109410072855</v>
      </c>
      <c r="I3789" s="6">
        <v>9573.2866341369772</v>
      </c>
      <c r="J3789" s="6">
        <v>7755.1053687873246</v>
      </c>
      <c r="K3789" s="6">
        <v>6438.0396344826886</v>
      </c>
    </row>
    <row r="3790" spans="1:11" x14ac:dyDescent="0.25">
      <c r="A3790" s="1">
        <v>0.63055555555555598</v>
      </c>
      <c r="B3790" s="2">
        <v>6.34</v>
      </c>
      <c r="C3790" s="2">
        <v>3.8</v>
      </c>
      <c r="D3790" s="2">
        <v>4.8999999999999995</v>
      </c>
      <c r="E3790" s="2">
        <v>5.63</v>
      </c>
      <c r="F3790" s="2">
        <v>3.02</v>
      </c>
      <c r="G3790" s="6">
        <v>22872.743490742814</v>
      </c>
      <c r="H3790" s="6">
        <v>23960.244854930177</v>
      </c>
      <c r="I3790" s="6">
        <v>9398.8541990379163</v>
      </c>
      <c r="J3790" s="6">
        <v>8519.9071125397877</v>
      </c>
      <c r="K3790" s="6">
        <v>6900.5201605399516</v>
      </c>
    </row>
    <row r="3791" spans="1:11" x14ac:dyDescent="0.25">
      <c r="A3791" s="1">
        <v>0.63124999999999998</v>
      </c>
      <c r="B3791" s="2">
        <v>6.23</v>
      </c>
      <c r="C3791" s="2">
        <v>3.84</v>
      </c>
      <c r="D3791" s="2">
        <v>5.09</v>
      </c>
      <c r="E3791" s="2">
        <v>5.59</v>
      </c>
      <c r="F3791" s="2">
        <v>3.1100000000000003</v>
      </c>
      <c r="G3791" s="6">
        <v>26600.331327753727</v>
      </c>
      <c r="H3791" s="6">
        <f>(G3791+126)+817.027489840399</f>
        <v>27543.358817594126</v>
      </c>
      <c r="I3791" s="6">
        <v>11301.342195535559</v>
      </c>
      <c r="J3791" s="6">
        <v>9075.6782971567718</v>
      </c>
      <c r="K3791" s="6">
        <v>7226.3851269994711</v>
      </c>
    </row>
    <row r="3792" spans="1:11" x14ac:dyDescent="0.25">
      <c r="A3792" s="1">
        <v>0.63194444444444398</v>
      </c>
      <c r="B3792" s="2">
        <v>6.33</v>
      </c>
      <c r="C3792" s="2">
        <v>3.6399999999999997</v>
      </c>
      <c r="D3792" s="2">
        <v>5.29</v>
      </c>
      <c r="E3792" s="2">
        <v>5.42</v>
      </c>
      <c r="F3792" s="2">
        <v>3.41</v>
      </c>
      <c r="G3792" s="6">
        <v>23131.015067827138</v>
      </c>
      <c r="H3792" s="6">
        <f>(G3792+126)+227.419991681128</f>
        <v>23484.435059508265</v>
      </c>
      <c r="I3792" s="6">
        <v>8148.7401081852295</v>
      </c>
      <c r="J3792" s="6">
        <v>7288.2249225313808</v>
      </c>
      <c r="K3792" s="6">
        <v>5760.4665485636033</v>
      </c>
    </row>
    <row r="3793" spans="1:11" x14ac:dyDescent="0.25">
      <c r="A3793" s="1">
        <v>0.63263888888888897</v>
      </c>
      <c r="B3793" s="2">
        <v>6.33</v>
      </c>
      <c r="C3793" s="2">
        <v>3.69</v>
      </c>
      <c r="D3793" s="2">
        <v>5</v>
      </c>
      <c r="E3793" s="2">
        <v>5.22</v>
      </c>
      <c r="F3793" s="2">
        <v>3.21</v>
      </c>
      <c r="G3793" s="6">
        <v>23460.602620319409</v>
      </c>
      <c r="H3793" s="6">
        <v>23288.727408442304</v>
      </c>
      <c r="I3793" s="6">
        <v>7570.0491529425999</v>
      </c>
      <c r="J3793" s="6">
        <v>7266.7985181274698</v>
      </c>
      <c r="K3793" s="6">
        <v>6485.2933675695585</v>
      </c>
    </row>
    <row r="3794" spans="1:11" x14ac:dyDescent="0.25">
      <c r="A3794" s="1">
        <v>0.63333333333333297</v>
      </c>
      <c r="B3794" s="2">
        <v>6.13</v>
      </c>
      <c r="C3794" s="2">
        <v>3.82</v>
      </c>
      <c r="D3794" s="2">
        <v>5.0999999999999996</v>
      </c>
      <c r="E3794" s="2">
        <v>5.21</v>
      </c>
      <c r="F3794" s="2">
        <v>3.13</v>
      </c>
      <c r="G3794" s="6">
        <v>26065.555194268294</v>
      </c>
      <c r="H3794" s="6">
        <f>(G3794+126)+464.349694049969</f>
        <v>26655.904888318262</v>
      </c>
      <c r="I3794" s="6">
        <v>10295.032862474609</v>
      </c>
      <c r="J3794" s="6">
        <v>8744.468380297878</v>
      </c>
      <c r="K3794" s="6">
        <v>8094.6518222819341</v>
      </c>
    </row>
    <row r="3795" spans="1:11" x14ac:dyDescent="0.25">
      <c r="A3795" s="1">
        <v>0.63402777777777797</v>
      </c>
      <c r="B3795" s="2">
        <v>6.2</v>
      </c>
      <c r="C3795" s="2">
        <v>3.8</v>
      </c>
      <c r="D3795" s="2">
        <v>4.92</v>
      </c>
      <c r="E3795" s="2">
        <v>5.24</v>
      </c>
      <c r="F3795" s="2">
        <v>3.24</v>
      </c>
      <c r="G3795" s="6">
        <v>22637.674647022584</v>
      </c>
      <c r="H3795" s="6">
        <f>(G3795+126)+12.2261121554753</f>
        <v>22775.900759178061</v>
      </c>
      <c r="I3795" s="6">
        <v>7184.4439147323119</v>
      </c>
      <c r="J3795" s="6">
        <v>6958.1431711529376</v>
      </c>
      <c r="K3795" s="6">
        <v>5493.695082435619</v>
      </c>
    </row>
    <row r="3796" spans="1:11" x14ac:dyDescent="0.25">
      <c r="A3796" s="1">
        <v>0.63472222222222197</v>
      </c>
      <c r="B3796" s="2">
        <v>6.32</v>
      </c>
      <c r="C3796" s="2">
        <v>3.79</v>
      </c>
      <c r="D3796" s="2">
        <v>5.12</v>
      </c>
      <c r="E3796" s="2">
        <v>5.41</v>
      </c>
      <c r="F3796" s="2">
        <v>3.38</v>
      </c>
      <c r="G3796" s="6">
        <v>20383.236008985408</v>
      </c>
      <c r="H3796" s="6">
        <v>20723.468744805723</v>
      </c>
      <c r="I3796" s="6">
        <v>6243.6267623578906</v>
      </c>
      <c r="J3796" s="6">
        <v>5113.4540333383138</v>
      </c>
      <c r="K3796" s="6">
        <v>3420.4293192611658</v>
      </c>
    </row>
    <row r="3797" spans="1:11" x14ac:dyDescent="0.25">
      <c r="A3797" s="1">
        <v>0.63541666666666696</v>
      </c>
      <c r="B3797" s="2">
        <v>6.14</v>
      </c>
      <c r="C3797" s="2">
        <v>3.8499999999999996</v>
      </c>
      <c r="D3797" s="2">
        <v>5.17</v>
      </c>
      <c r="E3797" s="2">
        <v>5.2299999999999995</v>
      </c>
      <c r="F3797" s="2">
        <v>3.41</v>
      </c>
      <c r="G3797" s="6">
        <v>20958.243012824318</v>
      </c>
      <c r="H3797" s="6">
        <f>(G3797+126)+478.404963263307</f>
        <v>21562.647976087625</v>
      </c>
      <c r="I3797" s="6">
        <v>7545.1568916242923</v>
      </c>
      <c r="J3797" s="6">
        <v>5663.664458051574</v>
      </c>
      <c r="K3797" s="6">
        <v>7197.7252508781221</v>
      </c>
    </row>
    <row r="3798" spans="1:11" x14ac:dyDescent="0.25">
      <c r="A3798" s="1">
        <v>0.63611111111111096</v>
      </c>
      <c r="B3798" s="2">
        <v>6.3100000000000005</v>
      </c>
      <c r="C3798" s="2">
        <v>3.84</v>
      </c>
      <c r="D3798" s="2">
        <v>5.2799999999999994</v>
      </c>
      <c r="E3798" s="2">
        <v>5.41</v>
      </c>
      <c r="F3798" s="2">
        <v>3.41</v>
      </c>
      <c r="G3798" s="6">
        <v>19626.85557502172</v>
      </c>
      <c r="H3798" s="6">
        <f>(G3798+126)+534.278067828446</f>
        <v>20287.133642850167</v>
      </c>
      <c r="I3798" s="6">
        <v>5548.6580567624969</v>
      </c>
      <c r="J3798" s="6">
        <v>5541.8378632912782</v>
      </c>
      <c r="K3798" s="6">
        <v>4280.1240509602367</v>
      </c>
    </row>
    <row r="3799" spans="1:11" x14ac:dyDescent="0.25">
      <c r="A3799" s="1">
        <v>0.63680555555555596</v>
      </c>
      <c r="B3799" s="2">
        <v>6.37</v>
      </c>
      <c r="C3799" s="2">
        <v>3.6599999999999997</v>
      </c>
      <c r="D3799" s="2">
        <v>5.05</v>
      </c>
      <c r="E3799" s="2">
        <v>5.46</v>
      </c>
      <c r="F3799" s="2">
        <v>3.0500000000000003</v>
      </c>
      <c r="G3799" s="6">
        <v>20966.829910838554</v>
      </c>
      <c r="H3799" s="6">
        <v>23753.889073044818</v>
      </c>
      <c r="I3799" s="6">
        <v>13255.455339141754</v>
      </c>
      <c r="J3799" s="6">
        <v>8158.3028937870467</v>
      </c>
      <c r="K3799" s="6">
        <v>6923.0590970632247</v>
      </c>
    </row>
    <row r="3800" spans="1:11" x14ac:dyDescent="0.25">
      <c r="A3800" s="1">
        <v>0.63749999999999996</v>
      </c>
      <c r="B3800" s="2">
        <v>6.16</v>
      </c>
      <c r="C3800" s="2">
        <v>3.92</v>
      </c>
      <c r="D3800" s="2">
        <v>4.97</v>
      </c>
      <c r="E3800" s="2">
        <v>5.14</v>
      </c>
      <c r="F3800" s="2">
        <v>3.18</v>
      </c>
      <c r="G3800" s="6">
        <v>16709.819910763428</v>
      </c>
      <c r="H3800" s="6">
        <f>(G3800+126)+457.467981676908</f>
        <v>17293.287892440338</v>
      </c>
      <c r="I3800" s="6">
        <v>7651.9243777504835</v>
      </c>
      <c r="J3800" s="6">
        <v>7074.6051809081409</v>
      </c>
      <c r="K3800" s="6">
        <v>5858.8590461353715</v>
      </c>
    </row>
    <row r="3801" spans="1:11" x14ac:dyDescent="0.25">
      <c r="A3801" s="1">
        <v>0.63819444444444495</v>
      </c>
      <c r="B3801" s="2">
        <v>6.21</v>
      </c>
      <c r="C3801" s="2">
        <v>3.83</v>
      </c>
      <c r="D3801" s="2">
        <v>5.05</v>
      </c>
      <c r="E3801" s="2">
        <v>5.71</v>
      </c>
      <c r="F3801" s="2">
        <v>3.2600000000000002</v>
      </c>
      <c r="G3801" s="6">
        <v>14763.593631722311</v>
      </c>
      <c r="H3801" s="6">
        <v>16499.257598174361</v>
      </c>
      <c r="I3801" s="6">
        <v>8082.9553022699838</v>
      </c>
      <c r="J3801" s="6">
        <v>6615.3171393049179</v>
      </c>
      <c r="K3801" s="6">
        <v>6907.8097692274996</v>
      </c>
    </row>
    <row r="3802" spans="1:11" x14ac:dyDescent="0.25">
      <c r="A3802" s="1">
        <v>0.63888888888888895</v>
      </c>
      <c r="B3802" s="2">
        <v>6.12</v>
      </c>
      <c r="C3802" s="2">
        <v>3.83</v>
      </c>
      <c r="D3802" s="2">
        <v>4.9799999999999995</v>
      </c>
      <c r="E3802" s="2">
        <v>5.1499999999999995</v>
      </c>
      <c r="F3802" s="2">
        <v>3.0300000000000002</v>
      </c>
      <c r="G3802" s="6">
        <v>13155.368526696644</v>
      </c>
      <c r="H3802" s="6">
        <f>(G3802+126)+643.790915469651</f>
        <v>13925.159442166296</v>
      </c>
      <c r="I3802" s="6">
        <v>6062.5046863205316</v>
      </c>
      <c r="J3802" s="6">
        <v>4842.416407390835</v>
      </c>
      <c r="K3802" s="6">
        <v>3452.0417899390259</v>
      </c>
    </row>
    <row r="3803" spans="1:11" x14ac:dyDescent="0.25">
      <c r="A3803" s="1">
        <v>0.63958333333333295</v>
      </c>
      <c r="B3803" s="2">
        <v>6.15</v>
      </c>
      <c r="C3803" s="2">
        <v>3.92</v>
      </c>
      <c r="D3803" s="2">
        <v>5.0299999999999994</v>
      </c>
      <c r="E3803" s="2">
        <v>5.49</v>
      </c>
      <c r="F3803" s="2">
        <v>3.1100000000000003</v>
      </c>
      <c r="G3803" s="6">
        <v>16928.944776121352</v>
      </c>
      <c r="H3803" s="6">
        <f>(G3803+126)+177.762409499306</f>
        <v>17232.707185620657</v>
      </c>
      <c r="I3803" s="6">
        <v>8418.0012593473657</v>
      </c>
      <c r="J3803" s="6">
        <v>6319.3926012066659</v>
      </c>
      <c r="K3803" s="6">
        <v>4707.7914414989909</v>
      </c>
    </row>
    <row r="3804" spans="1:11" x14ac:dyDescent="0.25">
      <c r="A3804" s="1">
        <v>0.64027777777777795</v>
      </c>
      <c r="B3804" s="2">
        <v>6.28</v>
      </c>
      <c r="C3804" s="2">
        <v>3.78</v>
      </c>
      <c r="D3804" s="2">
        <v>5.3</v>
      </c>
      <c r="E3804" s="2">
        <v>5.43</v>
      </c>
      <c r="F3804" s="2">
        <v>3.25</v>
      </c>
      <c r="G3804" s="6">
        <v>19745.108763821445</v>
      </c>
      <c r="H3804" s="6">
        <v>20752.959546671664</v>
      </c>
      <c r="I3804" s="6">
        <v>9573.0086285638081</v>
      </c>
      <c r="J3804" s="6">
        <v>8157.4853861912716</v>
      </c>
      <c r="K3804" s="6">
        <v>6849.1552592329772</v>
      </c>
    </row>
    <row r="3805" spans="1:11" x14ac:dyDescent="0.25">
      <c r="A3805" s="1">
        <v>0.64097222222222205</v>
      </c>
      <c r="B3805" s="2">
        <v>6.2</v>
      </c>
      <c r="C3805" s="2">
        <v>3.65</v>
      </c>
      <c r="D3805" s="2">
        <v>5.3</v>
      </c>
      <c r="E3805" s="2">
        <v>5.21</v>
      </c>
      <c r="F3805" s="2">
        <v>2.94</v>
      </c>
      <c r="G3805" s="6">
        <v>21836.847392751057</v>
      </c>
      <c r="H3805" s="6">
        <f>(G3805+126)+756.835972408123</f>
        <v>22719.683365159181</v>
      </c>
      <c r="I3805" s="6">
        <v>9917.1303535735206</v>
      </c>
      <c r="J3805" s="6">
        <v>9080.97769464062</v>
      </c>
      <c r="K3805" s="6">
        <v>8373.6940127601629</v>
      </c>
    </row>
    <row r="3806" spans="1:11" x14ac:dyDescent="0.25">
      <c r="A3806" s="1">
        <v>0.64166666666666705</v>
      </c>
      <c r="B3806" s="2">
        <v>6.19</v>
      </c>
      <c r="C3806" s="2">
        <v>3.6399999999999997</v>
      </c>
      <c r="D3806" s="2">
        <v>5.1499999999999995</v>
      </c>
      <c r="E3806" s="2">
        <v>5.68</v>
      </c>
      <c r="F3806" s="2">
        <v>3.3400000000000003</v>
      </c>
      <c r="G3806" s="6">
        <v>18829.295600415226</v>
      </c>
      <c r="H3806" s="6">
        <v>20846.242493438313</v>
      </c>
      <c r="I3806" s="6">
        <v>13084.415560635705</v>
      </c>
      <c r="J3806" s="6">
        <v>10307.212195849561</v>
      </c>
      <c r="K3806" s="6">
        <v>8402.9919075803609</v>
      </c>
    </row>
    <row r="3807" spans="1:11" x14ac:dyDescent="0.25">
      <c r="A3807" s="1">
        <v>0.64236111111111105</v>
      </c>
      <c r="B3807" s="2">
        <v>6.19</v>
      </c>
      <c r="C3807" s="2">
        <v>3.87</v>
      </c>
      <c r="D3807" s="2">
        <v>4.8999999999999995</v>
      </c>
      <c r="E3807" s="2">
        <v>5.67</v>
      </c>
      <c r="F3807" s="2">
        <v>3.19</v>
      </c>
      <c r="G3807" s="6">
        <v>19434.129059252027</v>
      </c>
      <c r="H3807" s="6">
        <f>(G3807+126)+729.666996483402</f>
        <v>20289.796055735431</v>
      </c>
      <c r="I3807" s="6">
        <v>10651.080413392006</v>
      </c>
      <c r="J3807" s="6">
        <v>9427.527419105043</v>
      </c>
      <c r="K3807" s="6">
        <v>8063.1900399635442</v>
      </c>
    </row>
    <row r="3808" spans="1:11" x14ac:dyDescent="0.25">
      <c r="A3808" s="1">
        <v>0.64305555555555605</v>
      </c>
      <c r="B3808" s="2">
        <v>6.33</v>
      </c>
      <c r="C3808" s="2">
        <v>3.65</v>
      </c>
      <c r="D3808" s="2">
        <v>5.21</v>
      </c>
      <c r="E3808" s="2">
        <v>5.78</v>
      </c>
      <c r="F3808" s="2">
        <v>3.24</v>
      </c>
      <c r="G3808" s="6">
        <v>20586.882818792688</v>
      </c>
      <c r="H3808" s="6">
        <f>(G3808+126)+706.616827602999</f>
        <v>21419.499646395689</v>
      </c>
      <c r="I3808" s="6">
        <v>11973.028888306259</v>
      </c>
      <c r="J3808" s="6">
        <v>9781.5382619479078</v>
      </c>
      <c r="K3808" s="6">
        <v>7909.1518216519471</v>
      </c>
    </row>
    <row r="3809" spans="1:11" x14ac:dyDescent="0.25">
      <c r="A3809" s="1">
        <v>0.64375000000000004</v>
      </c>
      <c r="B3809" s="2">
        <v>6.12</v>
      </c>
      <c r="C3809" s="2">
        <v>3.73</v>
      </c>
      <c r="D3809" s="2">
        <v>5.13</v>
      </c>
      <c r="E3809" s="2">
        <v>5.65</v>
      </c>
      <c r="F3809" s="2">
        <v>2.91</v>
      </c>
      <c r="G3809" s="6">
        <v>14936.248046727876</v>
      </c>
      <c r="H3809" s="6">
        <v>16287.329669992905</v>
      </c>
      <c r="I3809" s="6">
        <v>8426.9021845586576</v>
      </c>
      <c r="J3809" s="6">
        <v>8041.8177723664103</v>
      </c>
      <c r="K3809" s="6">
        <v>7078.5481539114644</v>
      </c>
    </row>
    <row r="3810" spans="1:11" x14ac:dyDescent="0.25">
      <c r="A3810" s="1">
        <v>0.64444444444444404</v>
      </c>
      <c r="B3810" s="2">
        <v>6.38</v>
      </c>
      <c r="C3810" s="2">
        <v>3.78</v>
      </c>
      <c r="D3810" s="2">
        <v>5.05</v>
      </c>
      <c r="E3810" s="2">
        <v>5.43</v>
      </c>
      <c r="F3810" s="2">
        <v>3.2600000000000002</v>
      </c>
      <c r="G3810" s="6">
        <v>14539.631196161879</v>
      </c>
      <c r="H3810" s="6">
        <f>(G3810+126)+726.525446756996</f>
        <v>15392.156642918875</v>
      </c>
      <c r="I3810" s="6">
        <v>6122.5405442447072</v>
      </c>
      <c r="J3810" s="6">
        <v>7541.1344073208666</v>
      </c>
      <c r="K3810" s="6">
        <v>4657.2950619613894</v>
      </c>
    </row>
    <row r="3811" spans="1:11" x14ac:dyDescent="0.25">
      <c r="A3811" s="1">
        <v>0.64513888888888904</v>
      </c>
      <c r="B3811" s="2">
        <v>6.13</v>
      </c>
      <c r="C3811" s="2">
        <v>3.6599999999999997</v>
      </c>
      <c r="D3811" s="2">
        <v>5.09</v>
      </c>
      <c r="E3811" s="2">
        <v>5.36</v>
      </c>
      <c r="F3811" s="2">
        <v>3.0300000000000002</v>
      </c>
      <c r="G3811" s="6">
        <v>17316.348080190368</v>
      </c>
      <c r="H3811" s="6">
        <v>20447.243178310717</v>
      </c>
      <c r="I3811" s="6">
        <v>8333.9613423404753</v>
      </c>
      <c r="J3811" s="6">
        <v>8498.0008182072761</v>
      </c>
      <c r="K3811" s="6">
        <v>6946.200746944729</v>
      </c>
    </row>
    <row r="3812" spans="1:11" x14ac:dyDescent="0.25">
      <c r="A3812" s="1">
        <v>0.64583333333333304</v>
      </c>
      <c r="B3812" s="2">
        <v>6.38</v>
      </c>
      <c r="C3812" s="2">
        <v>3.67</v>
      </c>
      <c r="D3812" s="2">
        <v>5.04</v>
      </c>
      <c r="E3812" s="2">
        <v>5.33</v>
      </c>
      <c r="F3812" s="2">
        <v>2.94</v>
      </c>
      <c r="G3812" s="6">
        <v>15019.307315975835</v>
      </c>
      <c r="H3812" s="6">
        <f>(G3812+126)+844.533439865728</f>
        <v>15989.840755841564</v>
      </c>
      <c r="I3812" s="6">
        <v>6403.9961657566209</v>
      </c>
      <c r="J3812" s="6">
        <v>7366.8061466559275</v>
      </c>
      <c r="K3812" s="6">
        <v>6207.3958056862466</v>
      </c>
    </row>
    <row r="3813" spans="1:11" x14ac:dyDescent="0.25">
      <c r="A3813" s="1">
        <v>0.64652777777777803</v>
      </c>
      <c r="B3813" s="2">
        <v>6.15</v>
      </c>
      <c r="C3813" s="2">
        <v>3.88</v>
      </c>
      <c r="D3813" s="2">
        <v>5.09</v>
      </c>
      <c r="E3813" s="2">
        <v>5.28</v>
      </c>
      <c r="F3813" s="2">
        <v>3.13</v>
      </c>
      <c r="G3813" s="6">
        <v>20960.195584619112</v>
      </c>
      <c r="H3813" s="6">
        <f>(G3813+126)+279.824127034931</f>
        <v>21366.019711654044</v>
      </c>
      <c r="I3813" s="6">
        <v>9312.7806442728179</v>
      </c>
      <c r="J3813" s="6">
        <v>8542.8647323136593</v>
      </c>
      <c r="K3813" s="6">
        <v>8324.2637874967077</v>
      </c>
    </row>
    <row r="3814" spans="1:11" x14ac:dyDescent="0.25">
      <c r="A3814" s="1">
        <v>0.64722222222222203</v>
      </c>
      <c r="B3814" s="2">
        <v>6.26</v>
      </c>
      <c r="C3814" s="2">
        <v>3.73</v>
      </c>
      <c r="D3814" s="2">
        <v>4.97</v>
      </c>
      <c r="E3814" s="2">
        <v>5.18</v>
      </c>
      <c r="F3814" s="2">
        <v>3.19</v>
      </c>
      <c r="G3814" s="6">
        <v>25955.609988593496</v>
      </c>
      <c r="H3814" s="6">
        <v>25504.81573440741</v>
      </c>
      <c r="I3814" s="6">
        <v>14215.843753185813</v>
      </c>
      <c r="J3814" s="6">
        <v>10316.526413239362</v>
      </c>
      <c r="K3814" s="6">
        <v>11818.77770457636</v>
      </c>
    </row>
    <row r="3815" spans="1:11" x14ac:dyDescent="0.25">
      <c r="A3815" s="1">
        <v>0.64791666666666703</v>
      </c>
      <c r="B3815" s="2">
        <v>6.3</v>
      </c>
      <c r="C3815" s="2">
        <v>3.6999999999999997</v>
      </c>
      <c r="D3815" s="2">
        <v>5.0699999999999994</v>
      </c>
      <c r="E3815" s="2">
        <v>5.64</v>
      </c>
      <c r="F3815" s="2">
        <v>3.16</v>
      </c>
      <c r="G3815" s="6">
        <v>22658.909313296532</v>
      </c>
      <c r="H3815" s="6">
        <f>(G3815+126)+107.280361041266</f>
        <v>22892.189674337798</v>
      </c>
      <c r="I3815" s="6">
        <v>9222.7039523957046</v>
      </c>
      <c r="J3815" s="6">
        <v>5622.5969976499809</v>
      </c>
      <c r="K3815" s="6">
        <v>5284.149320347552</v>
      </c>
    </row>
    <row r="3816" spans="1:11" x14ac:dyDescent="0.25">
      <c r="A3816" s="1">
        <v>0.64861111111111103</v>
      </c>
      <c r="B3816" s="2">
        <v>6.23</v>
      </c>
      <c r="C3816" s="2">
        <v>3.67</v>
      </c>
      <c r="D3816" s="2">
        <v>5.0299999999999994</v>
      </c>
      <c r="E3816" s="2">
        <v>5.4</v>
      </c>
      <c r="F3816" s="2">
        <v>2.89</v>
      </c>
      <c r="G3816" s="6">
        <v>20155.764915265168</v>
      </c>
      <c r="H3816" s="6">
        <v>21412.036057640675</v>
      </c>
      <c r="I3816" s="6">
        <v>8142.7615808457913</v>
      </c>
      <c r="J3816" s="6">
        <v>8902.8522901934321</v>
      </c>
      <c r="K3816" s="6">
        <v>7966.5135772960639</v>
      </c>
    </row>
    <row r="3817" spans="1:11" x14ac:dyDescent="0.25">
      <c r="A3817" s="1">
        <v>0.64930555555555602</v>
      </c>
      <c r="B3817" s="2">
        <v>6.12</v>
      </c>
      <c r="C3817" s="2">
        <v>3.61</v>
      </c>
      <c r="D3817" s="2">
        <v>4.97</v>
      </c>
      <c r="E3817" s="2">
        <v>5.18</v>
      </c>
      <c r="F3817" s="2">
        <v>2.94</v>
      </c>
      <c r="G3817" s="6">
        <v>17722.269492739237</v>
      </c>
      <c r="H3817" s="6">
        <f>(G3817+126)+285.424886721743</f>
        <v>18133.69437946098</v>
      </c>
      <c r="I3817" s="6">
        <v>5814.9207246180213</v>
      </c>
      <c r="J3817" s="6">
        <v>8634.6192562585657</v>
      </c>
      <c r="K3817" s="6">
        <v>7144.0800476860431</v>
      </c>
    </row>
    <row r="3818" spans="1:11" x14ac:dyDescent="0.25">
      <c r="A3818" s="1">
        <v>0.65</v>
      </c>
      <c r="B3818" s="2">
        <v>6.3100000000000005</v>
      </c>
      <c r="C3818" s="2">
        <v>3.84</v>
      </c>
      <c r="D3818" s="2">
        <v>4.9099999999999993</v>
      </c>
      <c r="E3818" s="2">
        <v>5.28</v>
      </c>
      <c r="F3818" s="2">
        <v>3.3000000000000003</v>
      </c>
      <c r="G3818" s="6">
        <v>20333.546720234586</v>
      </c>
      <c r="H3818" s="6">
        <v>30324.962052591003</v>
      </c>
      <c r="I3818" s="6">
        <v>15409.982355234484</v>
      </c>
      <c r="J3818" s="6">
        <v>11144.468722020812</v>
      </c>
      <c r="K3818" s="6">
        <v>11977.745902049121</v>
      </c>
    </row>
    <row r="3819" spans="1:11" x14ac:dyDescent="0.25">
      <c r="A3819" s="1">
        <v>0.65069444444444402</v>
      </c>
      <c r="B3819" s="2">
        <v>6.15</v>
      </c>
      <c r="C3819" s="2">
        <v>3.67</v>
      </c>
      <c r="D3819" s="2">
        <v>5.0699999999999994</v>
      </c>
      <c r="E3819" s="2">
        <v>5.51</v>
      </c>
      <c r="F3819" s="2">
        <v>3.2800000000000002</v>
      </c>
      <c r="G3819" s="6">
        <v>18562.166313898488</v>
      </c>
      <c r="H3819" s="6">
        <f>(G3819+126)+704.40880294648</f>
        <v>19392.575116844968</v>
      </c>
      <c r="I3819" s="6">
        <v>6690.0335339732628</v>
      </c>
      <c r="J3819" s="6">
        <v>7258.5453854206589</v>
      </c>
      <c r="K3819" s="6">
        <v>6386.7739892976133</v>
      </c>
    </row>
    <row r="3820" spans="1:11" x14ac:dyDescent="0.25">
      <c r="A3820" s="1">
        <v>0.65138888888888902</v>
      </c>
      <c r="B3820" s="2">
        <v>6.23</v>
      </c>
      <c r="C3820" s="2">
        <v>3.65</v>
      </c>
      <c r="D3820" s="2">
        <v>5.16</v>
      </c>
      <c r="E3820" s="2">
        <v>5.52</v>
      </c>
      <c r="F3820" s="2">
        <v>2.95</v>
      </c>
      <c r="G3820" s="6">
        <v>15588.073573512309</v>
      </c>
      <c r="H3820" s="6">
        <f>(G3820+126)+190.27666414143</f>
        <v>15904.35023765374</v>
      </c>
      <c r="I3820" s="6">
        <v>5498.1946128339478</v>
      </c>
      <c r="J3820" s="6">
        <v>6704.1248221190863</v>
      </c>
      <c r="K3820" s="6">
        <v>6287.1294087825863</v>
      </c>
    </row>
    <row r="3821" spans="1:11" x14ac:dyDescent="0.25">
      <c r="A3821" s="1">
        <v>0.65208333333333302</v>
      </c>
      <c r="B3821" s="2">
        <v>6.21</v>
      </c>
      <c r="C3821" s="2">
        <v>3.83</v>
      </c>
      <c r="D3821" s="2">
        <v>5.3699999999999992</v>
      </c>
      <c r="E3821" s="2">
        <v>5.18</v>
      </c>
      <c r="F3821" s="2">
        <v>3.2</v>
      </c>
      <c r="G3821" s="6">
        <v>12523.107303267241</v>
      </c>
      <c r="H3821" s="6">
        <v>12654.386642153811</v>
      </c>
      <c r="I3821" s="6">
        <v>5610.0360363695736</v>
      </c>
      <c r="J3821" s="6">
        <v>6935.2591744550591</v>
      </c>
      <c r="K3821" s="6">
        <v>6418.2951261085273</v>
      </c>
    </row>
    <row r="3822" spans="1:11" x14ac:dyDescent="0.25">
      <c r="A3822" s="1">
        <v>0.65277777777777801</v>
      </c>
      <c r="B3822" s="2">
        <v>6.32</v>
      </c>
      <c r="C3822" s="2">
        <v>3.79</v>
      </c>
      <c r="D3822" s="2">
        <v>5.04</v>
      </c>
      <c r="E3822" s="2">
        <v>5.7299999999999995</v>
      </c>
      <c r="F3822" s="2">
        <v>2.92</v>
      </c>
      <c r="G3822" s="6">
        <v>10741.234409408344</v>
      </c>
      <c r="H3822" s="6">
        <f>(G3822+126)+464.983848733645</f>
        <v>11332.218258141989</v>
      </c>
      <c r="I3822" s="6">
        <v>4002.0567416902959</v>
      </c>
      <c r="J3822" s="6">
        <v>4844.8388007371905</v>
      </c>
      <c r="K3822" s="6">
        <v>4296.9310702534167</v>
      </c>
    </row>
    <row r="3823" spans="1:11" x14ac:dyDescent="0.25">
      <c r="A3823" s="1">
        <v>0.65347222222222201</v>
      </c>
      <c r="B3823" s="2">
        <v>6.38</v>
      </c>
      <c r="C3823" s="2">
        <v>3.6399999999999997</v>
      </c>
      <c r="D3823" s="2">
        <v>4.9099999999999993</v>
      </c>
      <c r="E3823" s="2">
        <v>5.63</v>
      </c>
      <c r="F3823" s="2">
        <v>3.4000000000000004</v>
      </c>
      <c r="G3823" s="6">
        <v>13095.173096942901</v>
      </c>
      <c r="H3823" s="6">
        <v>13774.313590730319</v>
      </c>
      <c r="I3823" s="6">
        <v>7073.8430331024365</v>
      </c>
      <c r="J3823" s="6">
        <v>5516.5888622103575</v>
      </c>
      <c r="K3823" s="6">
        <v>4331.0601071289457</v>
      </c>
    </row>
    <row r="3824" spans="1:11" x14ac:dyDescent="0.25">
      <c r="A3824" s="1">
        <v>0.65416666666666701</v>
      </c>
      <c r="B3824" s="2">
        <v>6.14</v>
      </c>
      <c r="C3824" s="2">
        <v>3.71</v>
      </c>
      <c r="D3824" s="2">
        <v>5.09</v>
      </c>
      <c r="E3824" s="2">
        <v>5.55</v>
      </c>
      <c r="F3824" s="2">
        <v>3.1500000000000004</v>
      </c>
      <c r="G3824" s="6">
        <v>17372.741291709575</v>
      </c>
      <c r="H3824" s="6">
        <f>(G3824+126)+99.5051941096252</f>
        <v>17598.2464858192</v>
      </c>
      <c r="I3824" s="6">
        <v>8311.1300786210013</v>
      </c>
      <c r="J3824" s="6">
        <v>6059.1542446375188</v>
      </c>
      <c r="K3824" s="6">
        <v>5480.6568021345256</v>
      </c>
    </row>
    <row r="3825" spans="1:11" x14ac:dyDescent="0.25">
      <c r="A3825" s="1">
        <v>0.65486111111111101</v>
      </c>
      <c r="B3825" s="2">
        <v>6.32</v>
      </c>
      <c r="C3825" s="2">
        <v>3.82</v>
      </c>
      <c r="D3825" s="2">
        <v>5.31</v>
      </c>
      <c r="E3825" s="2">
        <v>5.37</v>
      </c>
      <c r="F3825" s="2">
        <v>3.21</v>
      </c>
      <c r="G3825" s="6">
        <v>20508.820432417906</v>
      </c>
      <c r="H3825" s="6">
        <v>21218.90232939924</v>
      </c>
      <c r="I3825" s="6">
        <v>10317.216701339263</v>
      </c>
      <c r="J3825" s="6">
        <v>8472.7226212294245</v>
      </c>
      <c r="K3825" s="6">
        <v>8385.2954132212908</v>
      </c>
    </row>
    <row r="3826" spans="1:11" x14ac:dyDescent="0.25">
      <c r="A3826" s="1">
        <v>0.655555555555556</v>
      </c>
      <c r="B3826" s="2">
        <v>6.25</v>
      </c>
      <c r="C3826" s="2">
        <v>3.7199999999999998</v>
      </c>
      <c r="D3826" s="2">
        <v>5.14</v>
      </c>
      <c r="E3826" s="2">
        <v>5.14</v>
      </c>
      <c r="F3826" s="2">
        <v>3.35</v>
      </c>
      <c r="G3826" s="6">
        <v>16085.615858326719</v>
      </c>
      <c r="H3826" s="6">
        <f>(G3826+126)+732.449677610899</f>
        <v>16944.065535937618</v>
      </c>
      <c r="I3826" s="6">
        <v>8285.8192785089996</v>
      </c>
      <c r="J3826" s="6">
        <v>7191.6958594153493</v>
      </c>
      <c r="K3826" s="6">
        <v>6026.3506190822873</v>
      </c>
    </row>
    <row r="3827" spans="1:11" x14ac:dyDescent="0.25">
      <c r="A3827" s="1">
        <v>0.65625</v>
      </c>
      <c r="B3827" s="2">
        <v>6.15</v>
      </c>
      <c r="C3827" s="2">
        <v>3.6399999999999997</v>
      </c>
      <c r="D3827" s="2">
        <v>5.01</v>
      </c>
      <c r="E3827" s="2">
        <v>5.56</v>
      </c>
      <c r="F3827" s="2">
        <v>2.97</v>
      </c>
      <c r="G3827" s="6">
        <v>19926.521166026327</v>
      </c>
      <c r="H3827" s="6">
        <v>19622.818287253456</v>
      </c>
      <c r="I3827" s="6">
        <v>8656.7806648225105</v>
      </c>
      <c r="J3827" s="6">
        <v>7809.0677912320207</v>
      </c>
      <c r="K3827" s="6">
        <v>7726.048381739246</v>
      </c>
    </row>
    <row r="3828" spans="1:11" x14ac:dyDescent="0.25">
      <c r="A3828" s="1">
        <v>0.656944444444444</v>
      </c>
      <c r="B3828" s="2">
        <v>6.13</v>
      </c>
      <c r="C3828" s="2">
        <v>3.8</v>
      </c>
      <c r="D3828" s="2">
        <v>5.2399999999999993</v>
      </c>
      <c r="E3828" s="2">
        <v>5.4</v>
      </c>
      <c r="F3828" s="2">
        <v>3.0300000000000002</v>
      </c>
      <c r="G3828" s="6">
        <v>22311.655128810726</v>
      </c>
      <c r="H3828" s="6">
        <f>(G3828+126)+303.619750269826</f>
        <v>22741.274879080553</v>
      </c>
      <c r="I3828" s="6">
        <v>12425.294271275101</v>
      </c>
      <c r="J3828" s="6">
        <v>9964.5662002304289</v>
      </c>
      <c r="K3828" s="6">
        <v>500.0246802780141</v>
      </c>
    </row>
    <row r="3829" spans="1:11" x14ac:dyDescent="0.25">
      <c r="A3829" s="1">
        <v>0.65763888888888899</v>
      </c>
      <c r="B3829" s="2">
        <v>6.15</v>
      </c>
      <c r="C3829" s="2">
        <v>3.6799999999999997</v>
      </c>
      <c r="D3829" s="2">
        <v>5.08</v>
      </c>
      <c r="E3829" s="2">
        <v>5.7299999999999995</v>
      </c>
      <c r="F3829" s="2">
        <v>3.1500000000000004</v>
      </c>
      <c r="G3829" s="6">
        <v>16528.709759915473</v>
      </c>
      <c r="H3829" s="6">
        <v>16467.420283584852</v>
      </c>
      <c r="I3829" s="6">
        <v>8063.8816678051771</v>
      </c>
      <c r="J3829" s="6">
        <v>7691.8455117380827</v>
      </c>
      <c r="K3829" s="6">
        <v>8194.9029121424464</v>
      </c>
    </row>
    <row r="3830" spans="1:11" x14ac:dyDescent="0.25">
      <c r="A3830" s="1">
        <v>0.65833333333333299</v>
      </c>
      <c r="B3830" s="2">
        <v>6.33</v>
      </c>
      <c r="C3830" s="2">
        <v>3.78</v>
      </c>
      <c r="D3830" s="2">
        <v>5.26</v>
      </c>
      <c r="E3830" s="2">
        <v>5.16</v>
      </c>
      <c r="F3830" s="2">
        <v>3.3200000000000003</v>
      </c>
      <c r="G3830" s="6">
        <v>10675.367563259641</v>
      </c>
      <c r="H3830" s="6">
        <f>(G3830+126)+625.601582835725</f>
        <v>11426.969146095365</v>
      </c>
      <c r="I3830" s="6">
        <v>5759.7675349788515</v>
      </c>
      <c r="J3830" s="6">
        <v>5387.4832368014622</v>
      </c>
      <c r="K3830" s="6">
        <v>4619.1938439236819</v>
      </c>
    </row>
    <row r="3831" spans="1:11" x14ac:dyDescent="0.25">
      <c r="A3831" s="1">
        <v>0.65902777777777799</v>
      </c>
      <c r="B3831" s="2">
        <v>6.14</v>
      </c>
      <c r="C3831" s="2">
        <v>3.92</v>
      </c>
      <c r="D3831" s="2">
        <v>4.97</v>
      </c>
      <c r="E3831" s="2">
        <v>5.76</v>
      </c>
      <c r="F3831" s="2">
        <v>3.35</v>
      </c>
      <c r="G3831" s="6">
        <v>12362.826652485213</v>
      </c>
      <c r="H3831" s="6">
        <f>(G3831+126)+514.189238266512</f>
        <v>13003.015890751725</v>
      </c>
      <c r="I3831" s="6">
        <v>6857.0773249607164</v>
      </c>
      <c r="J3831" s="6">
        <v>6121.5476603376446</v>
      </c>
      <c r="K3831" s="6">
        <v>4817.7149623401483</v>
      </c>
    </row>
    <row r="3832" spans="1:11" x14ac:dyDescent="0.25">
      <c r="A3832" s="1">
        <v>0.65972222222222199</v>
      </c>
      <c r="B3832" s="2">
        <v>6.28</v>
      </c>
      <c r="C3832" s="2">
        <v>3.8</v>
      </c>
      <c r="D3832" s="2">
        <v>4.9799999999999995</v>
      </c>
      <c r="E3832" s="2">
        <v>5.55</v>
      </c>
      <c r="F3832" s="2">
        <v>3.33</v>
      </c>
      <c r="G3832" s="6">
        <v>18294.062725262465</v>
      </c>
      <c r="H3832" s="6">
        <v>20196.712150344127</v>
      </c>
      <c r="I3832" s="6">
        <v>9464.4138408370163</v>
      </c>
      <c r="J3832" s="6">
        <v>8259.2583031558734</v>
      </c>
      <c r="K3832" s="6">
        <v>8778.9457886179953</v>
      </c>
    </row>
    <row r="3833" spans="1:11" x14ac:dyDescent="0.25">
      <c r="A3833" s="1">
        <v>0.66041666666666698</v>
      </c>
      <c r="B3833" s="2">
        <v>6.23</v>
      </c>
      <c r="C3833" s="2">
        <v>3.7399999999999998</v>
      </c>
      <c r="D3833" s="2">
        <v>5.1099999999999994</v>
      </c>
      <c r="E3833" s="2">
        <v>5.2299999999999995</v>
      </c>
      <c r="F3833" s="2">
        <v>3.39</v>
      </c>
      <c r="G3833" s="6">
        <v>13823.825682048513</v>
      </c>
      <c r="H3833" s="6">
        <f>(G3833+126)+640.758136231185</f>
        <v>14590.583818279698</v>
      </c>
      <c r="I3833" s="6">
        <v>6841.1396344689447</v>
      </c>
      <c r="J3833" s="6">
        <v>7232.8436757433965</v>
      </c>
      <c r="K3833" s="6">
        <v>6190.9780798765159</v>
      </c>
    </row>
    <row r="3834" spans="1:11" x14ac:dyDescent="0.25">
      <c r="A3834" s="1">
        <v>0.66111111111111098</v>
      </c>
      <c r="B3834" s="2">
        <v>6.23</v>
      </c>
      <c r="C3834" s="2">
        <v>3.84</v>
      </c>
      <c r="D3834" s="2">
        <v>5.01</v>
      </c>
      <c r="E3834" s="2">
        <v>5.7</v>
      </c>
      <c r="F3834" s="2">
        <v>3.0300000000000002</v>
      </c>
      <c r="G3834" s="6">
        <v>10088.735581581708</v>
      </c>
      <c r="H3834" s="6">
        <f>(G3834+126)+267.167925247502</f>
        <v>10481.903506829211</v>
      </c>
      <c r="I3834" s="6">
        <v>5924.5204386344203</v>
      </c>
      <c r="J3834" s="6">
        <v>5210.9920122616604</v>
      </c>
      <c r="K3834" s="6">
        <v>4807.4982315376383</v>
      </c>
    </row>
    <row r="3835" spans="1:11" x14ac:dyDescent="0.25">
      <c r="A3835" s="1">
        <v>0.66180555555555598</v>
      </c>
      <c r="B3835" s="2">
        <v>6.16</v>
      </c>
      <c r="C3835" s="2">
        <v>3.77</v>
      </c>
      <c r="D3835" s="2">
        <v>5.31</v>
      </c>
      <c r="E3835" s="2">
        <v>5.18</v>
      </c>
      <c r="F3835" s="2">
        <v>2.98</v>
      </c>
      <c r="G3835" s="6">
        <v>12359.744017435669</v>
      </c>
      <c r="H3835" s="6">
        <v>12632.398631989614</v>
      </c>
      <c r="I3835" s="6">
        <v>7308.3200313669713</v>
      </c>
      <c r="J3835" s="6">
        <v>7602.1900850563861</v>
      </c>
      <c r="K3835" s="6">
        <v>6489.00250500333</v>
      </c>
    </row>
    <row r="3836" spans="1:11" x14ac:dyDescent="0.25">
      <c r="A3836" s="1">
        <v>0.66249999999999998</v>
      </c>
      <c r="B3836" s="2">
        <v>6.12</v>
      </c>
      <c r="C3836" s="2">
        <v>3.69</v>
      </c>
      <c r="D3836" s="2">
        <v>4.9399999999999995</v>
      </c>
      <c r="E3836" s="2">
        <v>5.67</v>
      </c>
      <c r="F3836" s="2">
        <v>2.92</v>
      </c>
      <c r="G3836" s="6">
        <v>16136.2067352465</v>
      </c>
      <c r="H3836" s="6">
        <f>(G3836+126)+344.075881046301</f>
        <v>16606.282616292803</v>
      </c>
      <c r="I3836" s="6">
        <v>7857.0472793402168</v>
      </c>
      <c r="J3836" s="6">
        <v>7874.2425886484079</v>
      </c>
      <c r="K3836" s="6">
        <v>8070.8251851224477</v>
      </c>
    </row>
    <row r="3837" spans="1:11" x14ac:dyDescent="0.25">
      <c r="A3837" s="1">
        <v>0.66319444444444398</v>
      </c>
      <c r="B3837" s="2">
        <v>6.3</v>
      </c>
      <c r="C3837" s="2">
        <v>3.6599999999999997</v>
      </c>
      <c r="D3837" s="2">
        <v>5.05</v>
      </c>
      <c r="E3837" s="2">
        <v>5.18</v>
      </c>
      <c r="F3837" s="2">
        <v>2.94</v>
      </c>
      <c r="G3837" s="6">
        <v>13277.016412785561</v>
      </c>
      <c r="H3837" s="6">
        <v>13591.38951320116</v>
      </c>
      <c r="I3837" s="6">
        <v>8090.2259818350203</v>
      </c>
      <c r="J3837" s="6">
        <v>7579.9183112221726</v>
      </c>
      <c r="K3837" s="6">
        <v>7433.6134806542377</v>
      </c>
    </row>
    <row r="3838" spans="1:11" x14ac:dyDescent="0.25">
      <c r="A3838" s="1">
        <v>0.66388888888888897</v>
      </c>
      <c r="B3838" s="2">
        <v>6.3</v>
      </c>
      <c r="C3838" s="2">
        <v>3.81</v>
      </c>
      <c r="D3838" s="2">
        <v>5.38</v>
      </c>
      <c r="E3838" s="2">
        <v>5.72</v>
      </c>
      <c r="F3838" s="2">
        <v>3.1500000000000004</v>
      </c>
      <c r="G3838" s="6">
        <v>9698.299036431712</v>
      </c>
      <c r="H3838" s="6">
        <f>(G3838+126)+258.93407907601</f>
        <v>10083.233115507721</v>
      </c>
      <c r="I3838" s="6">
        <v>5130.805244010663</v>
      </c>
      <c r="J3838" s="6">
        <v>3292.4081634517202</v>
      </c>
      <c r="K3838" s="6">
        <v>4186.2420345340333</v>
      </c>
    </row>
    <row r="3839" spans="1:11" x14ac:dyDescent="0.25">
      <c r="A3839" s="1">
        <v>0.66458333333333297</v>
      </c>
      <c r="B3839" s="2">
        <v>6.23</v>
      </c>
      <c r="C3839" s="2">
        <v>3.8</v>
      </c>
      <c r="D3839" s="2">
        <v>5.27</v>
      </c>
      <c r="E3839" s="2">
        <v>5.65</v>
      </c>
      <c r="F3839" s="2">
        <v>3.2800000000000002</v>
      </c>
      <c r="G3839" s="6">
        <v>9769.1734348840037</v>
      </c>
      <c r="H3839" s="6">
        <f>(G3839+126)+35.908217397974</f>
        <v>9931.0816522819769</v>
      </c>
      <c r="I3839" s="6">
        <v>4791.3127982569949</v>
      </c>
      <c r="J3839" s="6">
        <v>3646.1813100828513</v>
      </c>
      <c r="K3839" s="6">
        <v>3572.3622831103607</v>
      </c>
    </row>
    <row r="3840" spans="1:11" x14ac:dyDescent="0.25">
      <c r="A3840" s="1">
        <v>0.66527777777777797</v>
      </c>
      <c r="B3840" s="2">
        <v>6.12</v>
      </c>
      <c r="C3840" s="2">
        <v>3.84</v>
      </c>
      <c r="D3840" s="2">
        <v>4.96</v>
      </c>
      <c r="E3840" s="2">
        <v>5.53</v>
      </c>
      <c r="F3840" s="2">
        <v>3.41</v>
      </c>
      <c r="G3840" s="6">
        <v>12921.778638969652</v>
      </c>
      <c r="H3840" s="6">
        <v>12714.946958425891</v>
      </c>
      <c r="I3840" s="6">
        <v>8409.1621896719043</v>
      </c>
      <c r="J3840" s="6">
        <v>8217.0691660884695</v>
      </c>
      <c r="K3840" s="6">
        <v>8050.2628609647891</v>
      </c>
    </row>
    <row r="3841" spans="1:11" x14ac:dyDescent="0.25">
      <c r="A3841" s="1">
        <v>0.66597222222222197</v>
      </c>
      <c r="B3841" s="2">
        <v>6.2</v>
      </c>
      <c r="C3841" s="2">
        <v>3.87</v>
      </c>
      <c r="D3841" s="2">
        <v>5.39</v>
      </c>
      <c r="E3841" s="2">
        <v>5.34</v>
      </c>
      <c r="F3841" s="2">
        <v>3.2800000000000002</v>
      </c>
      <c r="G3841" s="6">
        <v>10023.706786076327</v>
      </c>
      <c r="H3841" s="6">
        <f>(G3841+126)+418.035524444254</f>
        <v>10567.742310520582</v>
      </c>
      <c r="I3841" s="6">
        <v>5461.42123566791</v>
      </c>
      <c r="J3841" s="6">
        <v>3581.8167005683822</v>
      </c>
      <c r="K3841" s="6">
        <v>4866.958184296599</v>
      </c>
    </row>
    <row r="3842" spans="1:11" x14ac:dyDescent="0.25">
      <c r="A3842" s="3">
        <v>0.66666666666666696</v>
      </c>
      <c r="B3842" s="2">
        <v>6.24</v>
      </c>
      <c r="C3842" s="2">
        <v>3.82</v>
      </c>
      <c r="D3842" s="2">
        <v>5.12</v>
      </c>
      <c r="E3842" s="2">
        <v>5.41</v>
      </c>
      <c r="F3842" s="2">
        <v>3.24</v>
      </c>
      <c r="G3842" s="6">
        <v>5653</v>
      </c>
      <c r="H3842" s="6">
        <v>6534</v>
      </c>
      <c r="I3842" s="6">
        <v>3436</v>
      </c>
      <c r="J3842" s="6">
        <v>3096</v>
      </c>
      <c r="K3842" s="6">
        <v>3796</v>
      </c>
    </row>
    <row r="3843" spans="1:11" x14ac:dyDescent="0.25">
      <c r="A3843" s="1">
        <v>0.66736111111111096</v>
      </c>
      <c r="B3843" s="2">
        <v>6.2700000000000005</v>
      </c>
      <c r="C3843" s="2">
        <v>3.84</v>
      </c>
      <c r="D3843" s="2">
        <v>5.17</v>
      </c>
      <c r="E3843" s="2">
        <v>5.1899999999999995</v>
      </c>
      <c r="F3843" s="2">
        <v>3.02</v>
      </c>
      <c r="G3843" s="6">
        <v>6025.202935690636</v>
      </c>
      <c r="H3843" s="6">
        <f>(G3843+986)-490.340428963284</f>
        <v>6520.8625067273524</v>
      </c>
      <c r="I3843" s="6">
        <v>4405.6652281641536</v>
      </c>
      <c r="J3843" s="6">
        <v>4212.303777044116</v>
      </c>
      <c r="K3843" s="6">
        <v>4555.6029927245463</v>
      </c>
    </row>
    <row r="3844" spans="1:11" x14ac:dyDescent="0.25">
      <c r="A3844" s="1">
        <v>0.66805555555555596</v>
      </c>
      <c r="B3844" s="2">
        <v>6.19</v>
      </c>
      <c r="C3844" s="2">
        <v>3.77</v>
      </c>
      <c r="D3844" s="2">
        <v>5.12</v>
      </c>
      <c r="E3844" s="2">
        <v>5.51</v>
      </c>
      <c r="F3844" s="2">
        <v>3.13</v>
      </c>
      <c r="G3844" s="6">
        <v>4911.6022808787056</v>
      </c>
      <c r="H3844" s="6">
        <v>5535.7537958462044</v>
      </c>
      <c r="I3844" s="6">
        <v>4275.5126248910892</v>
      </c>
      <c r="J3844" s="6">
        <v>4931.8807937355987</v>
      </c>
      <c r="K3844" s="6">
        <v>5626.762457913449</v>
      </c>
    </row>
    <row r="3845" spans="1:11" x14ac:dyDescent="0.25">
      <c r="A3845" s="1">
        <v>0.66874999999999996</v>
      </c>
      <c r="B3845" s="2">
        <v>6.13</v>
      </c>
      <c r="C3845" s="2">
        <v>3.88</v>
      </c>
      <c r="D3845" s="2">
        <v>5.38</v>
      </c>
      <c r="E3845" s="2">
        <v>5.28</v>
      </c>
      <c r="F3845" s="2">
        <v>2.95</v>
      </c>
      <c r="G3845" s="6">
        <v>6718.7439381551385</v>
      </c>
      <c r="H3845" s="6">
        <f>(G3845+986)-465.085977304748</f>
        <v>7239.6579608503907</v>
      </c>
      <c r="I3845" s="6">
        <v>5424.7858490638955</v>
      </c>
      <c r="J3845" s="6">
        <v>8236.6322778916674</v>
      </c>
      <c r="K3845" s="6">
        <v>9144.2431334616358</v>
      </c>
    </row>
    <row r="3846" spans="1:11" x14ac:dyDescent="0.25">
      <c r="A3846" s="1">
        <v>0.66944444444444495</v>
      </c>
      <c r="B3846" s="2">
        <v>6.36</v>
      </c>
      <c r="C3846" s="2">
        <v>3.6799999999999997</v>
      </c>
      <c r="D3846" s="2">
        <v>5.13</v>
      </c>
      <c r="E3846" s="2">
        <v>5.62</v>
      </c>
      <c r="F3846" s="2">
        <v>3.22</v>
      </c>
      <c r="G3846" s="6">
        <v>9061.5053372054845</v>
      </c>
      <c r="H3846" s="6">
        <v>9759.5833823937955</v>
      </c>
      <c r="I3846" s="6">
        <v>7284.1236166542376</v>
      </c>
      <c r="J3846" s="6">
        <v>7617.2637346886449</v>
      </c>
      <c r="K3846" s="6">
        <v>7449.1795624443939</v>
      </c>
    </row>
    <row r="3847" spans="1:11" x14ac:dyDescent="0.25">
      <c r="A3847" s="1">
        <v>0.67013888888888895</v>
      </c>
      <c r="B3847" s="2">
        <v>6.34</v>
      </c>
      <c r="C3847" s="2">
        <v>3.77</v>
      </c>
      <c r="D3847" s="2">
        <v>5.2799999999999994</v>
      </c>
      <c r="E3847" s="2">
        <v>5.6099999999999994</v>
      </c>
      <c r="F3847" s="2">
        <v>3.0500000000000003</v>
      </c>
      <c r="G3847" s="6">
        <v>5355.0513099861691</v>
      </c>
      <c r="H3847" s="6">
        <f>(G3847+986)-439.170640032043</f>
        <v>5901.8806699541256</v>
      </c>
      <c r="I3847" s="6">
        <v>5366.6844518856606</v>
      </c>
      <c r="J3847" s="6">
        <v>4508.8431904170993</v>
      </c>
      <c r="K3847" s="6">
        <v>4851.5736156891771</v>
      </c>
    </row>
    <row r="3848" spans="1:11" x14ac:dyDescent="0.25">
      <c r="A3848" s="1">
        <v>0.67083333333333295</v>
      </c>
      <c r="B3848" s="2">
        <v>6.13</v>
      </c>
      <c r="C3848" s="2">
        <v>3.6999999999999997</v>
      </c>
      <c r="D3848" s="2">
        <v>5.1899999999999995</v>
      </c>
      <c r="E3848" s="2">
        <v>5.41</v>
      </c>
      <c r="F3848" s="2">
        <v>3.24</v>
      </c>
      <c r="G3848" s="6">
        <v>6606.9495941590394</v>
      </c>
      <c r="H3848" s="6">
        <v>7528.2898462813055</v>
      </c>
      <c r="I3848" s="6">
        <v>6446.8804985028346</v>
      </c>
      <c r="J3848" s="6">
        <v>6273.7764281831905</v>
      </c>
      <c r="K3848" s="6">
        <v>6381.0552530234045</v>
      </c>
    </row>
    <row r="3849" spans="1:11" x14ac:dyDescent="0.25">
      <c r="A3849" s="1">
        <v>0.67152777777777795</v>
      </c>
      <c r="B3849" s="2">
        <v>6.18</v>
      </c>
      <c r="C3849" s="2">
        <v>3.6799999999999997</v>
      </c>
      <c r="D3849" s="2">
        <v>5.18</v>
      </c>
      <c r="E3849" s="2">
        <v>5.65</v>
      </c>
      <c r="F3849" s="2">
        <v>3.16</v>
      </c>
      <c r="G3849" s="6">
        <v>5667.561041537916</v>
      </c>
      <c r="H3849" s="6">
        <f>(G3849+986)-365.795377730949</f>
        <v>6287.7656638069675</v>
      </c>
      <c r="I3849" s="6">
        <v>6674.3209508137797</v>
      </c>
      <c r="J3849" s="6">
        <v>5569.5626139157539</v>
      </c>
      <c r="K3849" s="6">
        <v>5652.1853546835409</v>
      </c>
    </row>
    <row r="3850" spans="1:11" x14ac:dyDescent="0.25">
      <c r="A3850" s="1">
        <v>0.67222222222222205</v>
      </c>
      <c r="B3850" s="2">
        <v>6.14</v>
      </c>
      <c r="C3850" s="2">
        <v>3.6199999999999997</v>
      </c>
      <c r="D3850" s="2">
        <v>5.38</v>
      </c>
      <c r="E3850" s="2">
        <v>5.7299999999999995</v>
      </c>
      <c r="F3850" s="2">
        <v>3.21</v>
      </c>
      <c r="G3850" s="6">
        <v>6581.6849703065</v>
      </c>
      <c r="H3850" s="6">
        <v>7154.3359065171853</v>
      </c>
      <c r="I3850" s="6">
        <v>5950.038182992731</v>
      </c>
      <c r="J3850" s="6">
        <v>6337.8376596002799</v>
      </c>
      <c r="K3850" s="6">
        <v>6259.7337657891212</v>
      </c>
    </row>
    <row r="3851" spans="1:11" x14ac:dyDescent="0.25">
      <c r="A3851" s="1">
        <v>0.67291666666666705</v>
      </c>
      <c r="B3851" s="2">
        <v>6.22</v>
      </c>
      <c r="C3851" s="2">
        <v>3.77</v>
      </c>
      <c r="D3851" s="2">
        <v>5.2399999999999993</v>
      </c>
      <c r="E3851" s="2">
        <v>5.76</v>
      </c>
      <c r="F3851" s="2">
        <v>2.97</v>
      </c>
      <c r="G3851" s="6">
        <v>3507.6240742152208</v>
      </c>
      <c r="H3851" s="6">
        <v>5327.3424491097749</v>
      </c>
      <c r="I3851" s="6">
        <v>3333.3515352870168</v>
      </c>
      <c r="J3851" s="6">
        <v>3237.0117364771095</v>
      </c>
      <c r="K3851" s="6">
        <v>4175.5842144763856</v>
      </c>
    </row>
    <row r="3852" spans="1:11" x14ac:dyDescent="0.25">
      <c r="A3852" s="1">
        <v>0.67361111111111105</v>
      </c>
      <c r="B3852" s="2">
        <v>6.2</v>
      </c>
      <c r="C3852" s="2">
        <v>3.67</v>
      </c>
      <c r="D3852" s="2">
        <v>4.93</v>
      </c>
      <c r="E3852" s="2">
        <v>5.71</v>
      </c>
      <c r="F3852" s="2">
        <v>3.4000000000000004</v>
      </c>
      <c r="G3852" s="6">
        <v>4414.3150768700298</v>
      </c>
      <c r="H3852" s="6">
        <f>(G3852+986)-157.260296165392</f>
        <v>5243.0547807046378</v>
      </c>
      <c r="I3852" s="6">
        <v>3316.7966509210482</v>
      </c>
      <c r="J3852" s="6">
        <v>4482.3273673037265</v>
      </c>
      <c r="K3852" s="6">
        <v>5047.1242978929031</v>
      </c>
    </row>
    <row r="3853" spans="1:11" x14ac:dyDescent="0.25">
      <c r="A3853" s="1">
        <v>0.67430555555555605</v>
      </c>
      <c r="B3853" s="2">
        <v>6.36</v>
      </c>
      <c r="C3853" s="2">
        <v>3.92</v>
      </c>
      <c r="D3853" s="2">
        <v>5.21</v>
      </c>
      <c r="E3853" s="2">
        <v>5.35</v>
      </c>
      <c r="F3853" s="2">
        <v>3.08</v>
      </c>
      <c r="G3853" s="6">
        <v>8651.8108389712434</v>
      </c>
      <c r="H3853" s="6">
        <v>10071.713512684561</v>
      </c>
      <c r="I3853" s="6">
        <v>7406.2069637446421</v>
      </c>
      <c r="J3853" s="6">
        <v>7810.8757078644294</v>
      </c>
      <c r="K3853" s="6">
        <v>8216.5928901567222</v>
      </c>
    </row>
    <row r="3854" spans="1:11" x14ac:dyDescent="0.25">
      <c r="A3854" s="1">
        <v>0.67500000000000004</v>
      </c>
      <c r="B3854" s="2">
        <v>6.37</v>
      </c>
      <c r="C3854" s="2">
        <v>3.7399999999999998</v>
      </c>
      <c r="D3854" s="2">
        <v>5.1499999999999995</v>
      </c>
      <c r="E3854" s="2">
        <v>5.77</v>
      </c>
      <c r="F3854" s="2">
        <v>2.99</v>
      </c>
      <c r="G3854" s="6">
        <v>5089.0701481609622</v>
      </c>
      <c r="H3854" s="6">
        <v>6551.4088002069602</v>
      </c>
      <c r="I3854" s="6">
        <v>6108.3560369501702</v>
      </c>
      <c r="J3854" s="6">
        <v>4805.1448648751802</v>
      </c>
      <c r="K3854" s="6">
        <v>5423.0534881797603</v>
      </c>
    </row>
    <row r="3855" spans="1:11" x14ac:dyDescent="0.25">
      <c r="A3855" s="1">
        <v>0.67569444444444404</v>
      </c>
      <c r="B3855" s="2">
        <v>6.28</v>
      </c>
      <c r="C3855" s="2">
        <v>3.75</v>
      </c>
      <c r="D3855" s="2">
        <v>4.9799999999999995</v>
      </c>
      <c r="E3855" s="2">
        <v>5.78</v>
      </c>
      <c r="F3855" s="2">
        <v>3.0300000000000002</v>
      </c>
      <c r="G3855" s="6">
        <v>2142.13080918687</v>
      </c>
      <c r="H3855" s="6">
        <v>2235.0006182217185</v>
      </c>
      <c r="I3855" s="6">
        <v>1782.4227129257984</v>
      </c>
      <c r="J3855" s="6">
        <v>1860.7084650716095</v>
      </c>
      <c r="K3855" s="6">
        <v>2091.1553842468443</v>
      </c>
    </row>
    <row r="3856" spans="1:11" x14ac:dyDescent="0.25">
      <c r="A3856" s="1">
        <v>0.67638888888888904</v>
      </c>
      <c r="B3856" s="2">
        <v>6.3100000000000005</v>
      </c>
      <c r="C3856" s="2">
        <v>3.73</v>
      </c>
      <c r="D3856" s="2">
        <v>5.0999999999999996</v>
      </c>
      <c r="E3856" s="2">
        <v>5.39</v>
      </c>
      <c r="F3856" s="2">
        <v>3.02</v>
      </c>
      <c r="G3856" s="6">
        <v>2196.705368239298</v>
      </c>
      <c r="H3856" s="6">
        <f>(G3856+986)-421.321791330546</f>
        <v>2761.3835769087518</v>
      </c>
      <c r="I3856" s="6">
        <v>1571.697516486998</v>
      </c>
      <c r="J3856" s="6">
        <v>1827.536676626657</v>
      </c>
      <c r="K3856" s="6">
        <v>1954.3389547610082</v>
      </c>
    </row>
    <row r="3857" spans="1:11" x14ac:dyDescent="0.25">
      <c r="A3857" s="1">
        <v>0.67708333333333304</v>
      </c>
      <c r="B3857" s="2">
        <v>6.29</v>
      </c>
      <c r="C3857" s="2">
        <v>3.86</v>
      </c>
      <c r="D3857" s="2">
        <v>5.14</v>
      </c>
      <c r="E3857" s="2">
        <v>5.21</v>
      </c>
      <c r="F3857" s="2">
        <v>3.39</v>
      </c>
      <c r="G3857" s="6">
        <v>2104.1559451648714</v>
      </c>
      <c r="H3857" s="6">
        <v>2575.8493177019909</v>
      </c>
      <c r="I3857" s="6">
        <v>1715.687424497881</v>
      </c>
      <c r="J3857" s="6">
        <v>1881.9122842126208</v>
      </c>
      <c r="K3857" s="6">
        <v>2343.6700665930202</v>
      </c>
    </row>
    <row r="3858" spans="1:11" x14ac:dyDescent="0.25">
      <c r="A3858" s="1">
        <v>0.67777777777777803</v>
      </c>
      <c r="B3858" s="2">
        <v>6.37</v>
      </c>
      <c r="C3858" s="2">
        <v>3.71</v>
      </c>
      <c r="D3858" s="2">
        <v>5.18</v>
      </c>
      <c r="E3858" s="2">
        <v>5.54</v>
      </c>
      <c r="F3858" s="2">
        <v>3.06</v>
      </c>
      <c r="G3858" s="6">
        <v>2776.9477656672011</v>
      </c>
      <c r="H3858" s="6">
        <v>2969.5466875956558</v>
      </c>
      <c r="I3858" s="6">
        <v>2158.6181578369087</v>
      </c>
      <c r="J3858" s="6">
        <v>2776.557720897119</v>
      </c>
      <c r="K3858" s="6">
        <v>2710.851214251848</v>
      </c>
    </row>
    <row r="3859" spans="1:11" x14ac:dyDescent="0.25">
      <c r="A3859" s="1">
        <v>0.67847222222222203</v>
      </c>
      <c r="B3859" s="2">
        <v>6.38</v>
      </c>
      <c r="C3859" s="2">
        <v>3.6199999999999997</v>
      </c>
      <c r="D3859" s="2">
        <v>5.0199999999999996</v>
      </c>
      <c r="E3859" s="2">
        <v>5.13</v>
      </c>
      <c r="F3859" s="2">
        <v>3.0900000000000003</v>
      </c>
      <c r="G3859" s="6">
        <v>3143.1474413265296</v>
      </c>
      <c r="H3859" s="6">
        <v>3273.3920909096109</v>
      </c>
      <c r="I3859" s="6">
        <v>2311.1055869838915</v>
      </c>
      <c r="J3859" s="6">
        <v>2396.5539019099228</v>
      </c>
      <c r="K3859" s="6">
        <v>2575.6327309751437</v>
      </c>
    </row>
    <row r="3860" spans="1:11" x14ac:dyDescent="0.25">
      <c r="A3860" s="1">
        <v>0.67916666666666703</v>
      </c>
      <c r="B3860" s="2">
        <v>6.29</v>
      </c>
      <c r="C3860" s="2">
        <v>3.9</v>
      </c>
      <c r="D3860" s="2">
        <v>5.18</v>
      </c>
      <c r="E3860" s="2">
        <v>5.4399999999999995</v>
      </c>
      <c r="F3860" s="2">
        <v>3.17</v>
      </c>
      <c r="G3860" s="6">
        <v>3459.1858594451719</v>
      </c>
      <c r="H3860" s="6">
        <v>4337.7660935974045</v>
      </c>
      <c r="I3860" s="6">
        <v>2580.7784060845129</v>
      </c>
      <c r="J3860" s="6">
        <v>2789.005797687998</v>
      </c>
      <c r="K3860" s="6">
        <v>2787.2766381979964</v>
      </c>
    </row>
    <row r="3861" spans="1:11" x14ac:dyDescent="0.25">
      <c r="A3861" s="1">
        <v>0.67986111111111103</v>
      </c>
      <c r="B3861" s="2">
        <v>6.37</v>
      </c>
      <c r="C3861" s="2">
        <v>3.71</v>
      </c>
      <c r="D3861" s="2">
        <v>5.39</v>
      </c>
      <c r="E3861" s="2">
        <v>5.58</v>
      </c>
      <c r="F3861" s="2">
        <v>3.06</v>
      </c>
      <c r="G3861" s="6">
        <v>3998.8942093195315</v>
      </c>
      <c r="H3861" s="6">
        <f>(G3861+986)-237.808434732982</f>
        <v>4747.0857745865496</v>
      </c>
      <c r="I3861" s="6">
        <v>2684.0299033415408</v>
      </c>
      <c r="J3861" s="6">
        <v>2755.7240096087303</v>
      </c>
      <c r="K3861" s="6">
        <v>2824.2399743827041</v>
      </c>
    </row>
    <row r="3862" spans="1:11" x14ac:dyDescent="0.25">
      <c r="A3862" s="1">
        <v>0.68055555555555602</v>
      </c>
      <c r="B3862" s="2">
        <v>6.14</v>
      </c>
      <c r="C3862" s="2">
        <v>3.75</v>
      </c>
      <c r="D3862" s="2">
        <v>5.01</v>
      </c>
      <c r="E3862" s="2">
        <v>5.1499999999999995</v>
      </c>
      <c r="F3862" s="2">
        <v>3.25</v>
      </c>
      <c r="G3862" s="6">
        <v>5994.9457611933094</v>
      </c>
      <c r="H3862" s="6">
        <f>(G3862+986)-176.480198881978</f>
        <v>6804.4655623113313</v>
      </c>
      <c r="I3862" s="6">
        <v>4262.8073906125674</v>
      </c>
      <c r="J3862" s="6">
        <v>4418.7207773097925</v>
      </c>
      <c r="K3862" s="6">
        <v>4576.6656335530042</v>
      </c>
    </row>
    <row r="3863" spans="1:11" x14ac:dyDescent="0.25">
      <c r="A3863" s="1">
        <v>0.68125000000000002</v>
      </c>
      <c r="B3863" s="2">
        <v>6.3</v>
      </c>
      <c r="C3863" s="2">
        <v>3.8499999999999996</v>
      </c>
      <c r="D3863" s="2">
        <v>4.8899999999999997</v>
      </c>
      <c r="E3863" s="2">
        <v>5.74</v>
      </c>
      <c r="F3863" s="2">
        <v>2.92</v>
      </c>
      <c r="G3863" s="6">
        <v>4663.0042883272035</v>
      </c>
      <c r="H3863" s="6">
        <v>5571.7298392661987</v>
      </c>
      <c r="I3863" s="6">
        <v>4501.7084843269304</v>
      </c>
      <c r="J3863" s="6">
        <v>5003.0240907073048</v>
      </c>
      <c r="K3863" s="6">
        <v>5273.1156789228071</v>
      </c>
    </row>
    <row r="3864" spans="1:11" x14ac:dyDescent="0.25">
      <c r="A3864" s="1">
        <v>0.68194444444444402</v>
      </c>
      <c r="B3864" s="2">
        <v>6.23</v>
      </c>
      <c r="C3864" s="2">
        <v>3.87</v>
      </c>
      <c r="D3864" s="2">
        <v>5.1099999999999994</v>
      </c>
      <c r="E3864" s="2">
        <v>5.4799999999999995</v>
      </c>
      <c r="F3864" s="2">
        <v>3.18</v>
      </c>
      <c r="G3864" s="6">
        <v>6811.9482279472104</v>
      </c>
      <c r="H3864" s="6">
        <f>(G3864+986)-488.642311589556</f>
        <v>7309.3059163576545</v>
      </c>
      <c r="I3864" s="6">
        <v>5505.4646368492122</v>
      </c>
      <c r="J3864" s="6">
        <v>8305.3149150520221</v>
      </c>
      <c r="K3864" s="6">
        <v>9421.8585059014495</v>
      </c>
    </row>
    <row r="3865" spans="1:11" x14ac:dyDescent="0.25">
      <c r="A3865" s="1">
        <v>0.68263888888888902</v>
      </c>
      <c r="B3865" s="2">
        <v>6.2</v>
      </c>
      <c r="C3865" s="2">
        <v>3.83</v>
      </c>
      <c r="D3865" s="2">
        <v>5.1099999999999994</v>
      </c>
      <c r="E3865" s="2">
        <v>5.37</v>
      </c>
      <c r="F3865" s="2">
        <v>3.0900000000000003</v>
      </c>
      <c r="G3865" s="6">
        <v>8732.9147521975901</v>
      </c>
      <c r="H3865" s="6">
        <v>10025.687948095378</v>
      </c>
      <c r="I3865" s="6">
        <v>7297.1309728066299</v>
      </c>
      <c r="J3865" s="6">
        <v>7631.3670207479572</v>
      </c>
      <c r="K3865" s="6">
        <v>7498.9053426306937</v>
      </c>
    </row>
    <row r="3866" spans="1:11" x14ac:dyDescent="0.25">
      <c r="A3866" s="1">
        <v>0.68333333333333302</v>
      </c>
      <c r="B3866" s="2">
        <v>6.17</v>
      </c>
      <c r="C3866" s="2">
        <v>3.69</v>
      </c>
      <c r="D3866" s="2">
        <v>4.9799999999999995</v>
      </c>
      <c r="E3866" s="2">
        <v>5.46</v>
      </c>
      <c r="F3866" s="2">
        <v>3.13</v>
      </c>
      <c r="G3866" s="6">
        <v>5637.4692709427236</v>
      </c>
      <c r="H3866" s="6">
        <f>(G3866+986)-273.139027127494</f>
        <v>6350.3302438152296</v>
      </c>
      <c r="I3866" s="6">
        <v>5081.5067552927421</v>
      </c>
      <c r="J3866" s="6">
        <v>4530.0895929183571</v>
      </c>
      <c r="K3866" s="6">
        <v>4839.454006321027</v>
      </c>
    </row>
    <row r="3867" spans="1:11" x14ac:dyDescent="0.25">
      <c r="A3867" s="1">
        <v>0.68402777777777801</v>
      </c>
      <c r="B3867" s="2">
        <v>6.2</v>
      </c>
      <c r="C3867" s="2">
        <v>3.83</v>
      </c>
      <c r="D3867" s="2">
        <v>5.2299999999999995</v>
      </c>
      <c r="E3867" s="2">
        <v>5.2</v>
      </c>
      <c r="F3867" s="2">
        <v>3.04</v>
      </c>
      <c r="G3867" s="6">
        <v>6602.4738543163157</v>
      </c>
      <c r="H3867" s="6">
        <v>7268.4240278373818</v>
      </c>
      <c r="I3867" s="6">
        <v>6246.8068240111243</v>
      </c>
      <c r="J3867" s="6">
        <v>6201.3444464775721</v>
      </c>
      <c r="K3867" s="6">
        <v>6307.1275769642307</v>
      </c>
    </row>
    <row r="3868" spans="1:11" x14ac:dyDescent="0.25">
      <c r="A3868" s="1">
        <v>0.68472222222222201</v>
      </c>
      <c r="B3868" s="2">
        <v>6.37</v>
      </c>
      <c r="C3868" s="2">
        <v>3.63</v>
      </c>
      <c r="D3868" s="2">
        <v>5</v>
      </c>
      <c r="E3868" s="2">
        <v>5.4</v>
      </c>
      <c r="F3868" s="2">
        <v>3.23</v>
      </c>
      <c r="G3868" s="6">
        <v>5925.7658837229892</v>
      </c>
      <c r="H3868" s="6">
        <f>(G3868+986)-113.328493158248</f>
        <v>6798.4373905647408</v>
      </c>
      <c r="I3868" s="6">
        <v>6475.5999578240708</v>
      </c>
      <c r="J3868" s="6">
        <v>5367.5098393296121</v>
      </c>
      <c r="K3868" s="6">
        <v>5696.7757194406486</v>
      </c>
    </row>
    <row r="3869" spans="1:11" x14ac:dyDescent="0.25">
      <c r="A3869" s="1">
        <v>0.68541666666666701</v>
      </c>
      <c r="B3869" s="2">
        <v>6.3</v>
      </c>
      <c r="C3869" s="2">
        <v>3.61</v>
      </c>
      <c r="D3869" s="2">
        <v>5.31</v>
      </c>
      <c r="E3869" s="2">
        <v>5.53</v>
      </c>
      <c r="F3869" s="2">
        <v>2.96</v>
      </c>
      <c r="G3869" s="6">
        <v>6950.7967068910921</v>
      </c>
      <c r="H3869" s="6">
        <v>7278.2778650133905</v>
      </c>
      <c r="I3869" s="6">
        <v>5961.2666798898845</v>
      </c>
      <c r="J3869" s="6">
        <v>6245.7211352898485</v>
      </c>
      <c r="K3869" s="6">
        <v>6153.0410468084101</v>
      </c>
    </row>
    <row r="3870" spans="1:11" x14ac:dyDescent="0.25">
      <c r="A3870" s="1">
        <v>0.68611111111111101</v>
      </c>
      <c r="B3870" s="2">
        <v>6.25</v>
      </c>
      <c r="C3870" s="2">
        <v>3.71</v>
      </c>
      <c r="D3870" s="2">
        <v>5.33</v>
      </c>
      <c r="E3870" s="2">
        <v>5.41</v>
      </c>
      <c r="F3870" s="2">
        <v>3.0700000000000003</v>
      </c>
      <c r="G3870" s="6">
        <v>3614.1483383594459</v>
      </c>
      <c r="H3870" s="6">
        <v>5002.1131741501022</v>
      </c>
      <c r="I3870" s="6">
        <v>3160.1370514422451</v>
      </c>
      <c r="J3870" s="6">
        <v>3210.8643052334901</v>
      </c>
      <c r="K3870" s="6">
        <v>4187.7018024594681</v>
      </c>
    </row>
    <row r="3871" spans="1:11" x14ac:dyDescent="0.25">
      <c r="A3871" s="1">
        <v>0.686805555555556</v>
      </c>
      <c r="B3871" s="2">
        <v>6.16</v>
      </c>
      <c r="C3871" s="2">
        <v>3.87</v>
      </c>
      <c r="D3871" s="2">
        <v>4.9499999999999993</v>
      </c>
      <c r="E3871" s="2">
        <v>5.6</v>
      </c>
      <c r="F3871" s="2">
        <v>3.12</v>
      </c>
      <c r="G3871" s="6">
        <v>4228.0395898914148</v>
      </c>
      <c r="H3871" s="6">
        <f>(G3871+986)-439.644433095296</f>
        <v>4774.3951567961185</v>
      </c>
      <c r="I3871" s="6">
        <v>3199.7336772355725</v>
      </c>
      <c r="J3871" s="6">
        <v>4139.5261963855055</v>
      </c>
      <c r="K3871" s="6">
        <v>4938.4455094328414</v>
      </c>
    </row>
    <row r="3872" spans="1:11" x14ac:dyDescent="0.25">
      <c r="A3872" s="1">
        <v>0.6875</v>
      </c>
      <c r="B3872" s="2">
        <v>6.19</v>
      </c>
      <c r="C3872" s="2">
        <v>3.63</v>
      </c>
      <c r="D3872" s="2">
        <v>5.13</v>
      </c>
      <c r="E3872" s="2">
        <v>5.68</v>
      </c>
      <c r="F3872" s="2">
        <v>3.38</v>
      </c>
      <c r="G3872" s="6">
        <v>8937.2170647383373</v>
      </c>
      <c r="H3872" s="6">
        <v>9743.6597421559527</v>
      </c>
      <c r="I3872" s="6">
        <v>7073.537482528789</v>
      </c>
      <c r="J3872" s="6">
        <v>7843.2602852706532</v>
      </c>
      <c r="K3872" s="6">
        <v>8226.5318125448121</v>
      </c>
    </row>
    <row r="3873" spans="1:11" x14ac:dyDescent="0.25">
      <c r="A3873" s="1">
        <v>0.688194444444444</v>
      </c>
      <c r="B3873" s="2">
        <v>6.21</v>
      </c>
      <c r="C3873" s="2">
        <v>3.6599999999999997</v>
      </c>
      <c r="D3873" s="2">
        <v>5.13</v>
      </c>
      <c r="E3873" s="2">
        <v>5.13</v>
      </c>
      <c r="F3873" s="2">
        <v>3.0700000000000003</v>
      </c>
      <c r="G3873" s="6">
        <v>5041.5658203235835</v>
      </c>
      <c r="H3873" s="6">
        <v>6778.1385394000627</v>
      </c>
      <c r="I3873" s="6">
        <v>6128.3673894725334</v>
      </c>
      <c r="J3873" s="6">
        <v>4852.0440517086499</v>
      </c>
      <c r="K3873" s="6">
        <v>5088.9506084581844</v>
      </c>
    </row>
    <row r="3874" spans="1:11" x14ac:dyDescent="0.25">
      <c r="A3874" s="1">
        <v>0.68888888888888899</v>
      </c>
      <c r="B3874" s="2">
        <v>6.3</v>
      </c>
      <c r="C3874" s="2">
        <v>3.83</v>
      </c>
      <c r="D3874" s="2">
        <v>4.92</v>
      </c>
      <c r="E3874" s="2">
        <v>5.46</v>
      </c>
      <c r="F3874" s="2">
        <v>3.35</v>
      </c>
      <c r="G3874" s="6">
        <v>2136.7223846251209</v>
      </c>
      <c r="H3874" s="6">
        <v>2294.8609544766268</v>
      </c>
      <c r="I3874" s="6">
        <v>1769.8193341215174</v>
      </c>
      <c r="J3874" s="6">
        <v>1726.9890641321635</v>
      </c>
      <c r="K3874" s="6">
        <v>2231.3637120291851</v>
      </c>
    </row>
    <row r="3875" spans="1:11" x14ac:dyDescent="0.25">
      <c r="A3875" s="1">
        <v>0.68958333333333299</v>
      </c>
      <c r="B3875" s="2">
        <v>6.2</v>
      </c>
      <c r="C3875" s="2">
        <v>3.75</v>
      </c>
      <c r="D3875" s="2">
        <v>5.1099999999999994</v>
      </c>
      <c r="E3875" s="2">
        <v>5.72</v>
      </c>
      <c r="F3875" s="2">
        <v>3.18</v>
      </c>
      <c r="G3875" s="6">
        <v>1969.7353538532011</v>
      </c>
      <c r="H3875" s="6">
        <f>(G3875+986)-336.97839094614</f>
        <v>2618.7569629070608</v>
      </c>
      <c r="I3875" s="6">
        <v>1821.3606297897218</v>
      </c>
      <c r="J3875" s="6">
        <v>1585.6761990530167</v>
      </c>
      <c r="K3875" s="6">
        <v>2008.6560024740629</v>
      </c>
    </row>
    <row r="3876" spans="1:11" x14ac:dyDescent="0.25">
      <c r="A3876" s="1">
        <v>0.69027777777777799</v>
      </c>
      <c r="B3876" s="2">
        <v>6.3500000000000005</v>
      </c>
      <c r="C3876" s="2">
        <v>3.6799999999999997</v>
      </c>
      <c r="D3876" s="2">
        <v>4.8999999999999995</v>
      </c>
      <c r="E3876" s="2">
        <v>5.31</v>
      </c>
      <c r="F3876" s="2">
        <v>3.21</v>
      </c>
      <c r="G3876" s="6">
        <v>2217.0586226765681</v>
      </c>
      <c r="H3876" s="6">
        <v>2570.8500533842139</v>
      </c>
      <c r="I3876" s="6">
        <v>1563.7864997598319</v>
      </c>
      <c r="J3876" s="6">
        <v>1707.1769981774728</v>
      </c>
      <c r="K3876" s="6">
        <v>2242.9650526713249</v>
      </c>
    </row>
    <row r="3877" spans="1:11" x14ac:dyDescent="0.25">
      <c r="A3877" s="1">
        <v>0.69097222222222199</v>
      </c>
      <c r="B3877" s="2">
        <v>6.3</v>
      </c>
      <c r="C3877" s="2">
        <v>3.92</v>
      </c>
      <c r="D3877" s="2">
        <v>5.21</v>
      </c>
      <c r="E3877" s="2">
        <v>5.75</v>
      </c>
      <c r="F3877" s="2">
        <v>3.0700000000000003</v>
      </c>
      <c r="G3877" s="6">
        <v>2796.7423808839644</v>
      </c>
      <c r="H3877" s="6">
        <v>2870.0151347253277</v>
      </c>
      <c r="I3877" s="6">
        <v>2143.50445763063</v>
      </c>
      <c r="J3877" s="6">
        <v>2756.9790709760291</v>
      </c>
      <c r="K3877" s="6">
        <v>2799.4278305567568</v>
      </c>
    </row>
    <row r="3878" spans="1:11" x14ac:dyDescent="0.25">
      <c r="A3878" s="1">
        <v>0.69166666666666698</v>
      </c>
      <c r="B3878" s="2">
        <v>6.36</v>
      </c>
      <c r="C3878" s="2">
        <v>3.87</v>
      </c>
      <c r="D3878" s="2">
        <v>5.14</v>
      </c>
      <c r="E3878" s="2">
        <v>5.26</v>
      </c>
      <c r="F3878" s="2">
        <v>3.35</v>
      </c>
      <c r="G3878" s="6">
        <v>2964.7472219365241</v>
      </c>
      <c r="H3878" s="6">
        <v>3507.7488387946191</v>
      </c>
      <c r="I3878" s="6">
        <v>2320.0415524184709</v>
      </c>
      <c r="J3878" s="6">
        <v>2262.2823187772879</v>
      </c>
      <c r="K3878" s="6">
        <v>2573.6630289905138</v>
      </c>
    </row>
    <row r="3879" spans="1:11" x14ac:dyDescent="0.25">
      <c r="A3879" s="1">
        <v>0.69236111111111098</v>
      </c>
      <c r="B3879" s="2">
        <v>6.24</v>
      </c>
      <c r="C3879" s="2">
        <v>3.88</v>
      </c>
      <c r="D3879" s="2">
        <v>5.3</v>
      </c>
      <c r="E3879" s="2">
        <v>5.52</v>
      </c>
      <c r="F3879" s="2">
        <v>3.2800000000000002</v>
      </c>
      <c r="G3879" s="6">
        <v>3553.945038790378</v>
      </c>
      <c r="H3879" s="6">
        <v>4337.4139873451786</v>
      </c>
      <c r="I3879" s="6">
        <v>2743.7683104048538</v>
      </c>
      <c r="J3879" s="6">
        <v>2876.9155140490775</v>
      </c>
      <c r="K3879" s="6">
        <v>2785.4418308909235</v>
      </c>
    </row>
    <row r="3880" spans="1:11" x14ac:dyDescent="0.25">
      <c r="A3880" s="1">
        <v>0.69305555555555598</v>
      </c>
      <c r="B3880" s="2">
        <v>6.2700000000000005</v>
      </c>
      <c r="C3880" s="2">
        <v>3.8899999999999997</v>
      </c>
      <c r="D3880" s="2">
        <v>5.0699999999999994</v>
      </c>
      <c r="E3880" s="2">
        <v>5.16</v>
      </c>
      <c r="F3880" s="2">
        <v>3.29</v>
      </c>
      <c r="G3880" s="6">
        <v>3848.3694542979815</v>
      </c>
      <c r="H3880" s="6">
        <f>(G3880+986)-243.152657522095</f>
        <v>4591.216796775886</v>
      </c>
      <c r="I3880" s="6">
        <v>2638.4115932491231</v>
      </c>
      <c r="J3880" s="6">
        <v>2766.7044461176902</v>
      </c>
      <c r="K3880" s="6">
        <v>2585.7170277446658</v>
      </c>
    </row>
    <row r="3881" spans="1:11" x14ac:dyDescent="0.25">
      <c r="A3881" s="1">
        <v>0.69374999999999998</v>
      </c>
      <c r="B3881" s="2">
        <v>6.23</v>
      </c>
      <c r="C3881" s="2">
        <v>3.7399999999999998</v>
      </c>
      <c r="D3881" s="2">
        <v>5.1999999999999993</v>
      </c>
      <c r="E3881" s="2">
        <v>5.3</v>
      </c>
      <c r="F3881" s="2">
        <v>2.95</v>
      </c>
      <c r="G3881" s="6">
        <v>3857.3407328065996</v>
      </c>
      <c r="H3881" s="6">
        <v>4374.4147685456646</v>
      </c>
      <c r="I3881" s="6">
        <v>3081.4758126986617</v>
      </c>
      <c r="J3881" s="6">
        <v>2803.0512162528989</v>
      </c>
      <c r="K3881" s="6">
        <v>3469.7139472192207</v>
      </c>
    </row>
    <row r="3882" spans="1:11" x14ac:dyDescent="0.25">
      <c r="A3882" s="1">
        <v>0.69444444444444398</v>
      </c>
      <c r="B3882" s="2">
        <v>6.15</v>
      </c>
      <c r="C3882" s="2">
        <v>3.7399999999999998</v>
      </c>
      <c r="D3882" s="2">
        <v>5.27</v>
      </c>
      <c r="E3882" s="2">
        <v>5.43</v>
      </c>
      <c r="F3882" s="2">
        <v>3.02</v>
      </c>
      <c r="G3882" s="6">
        <v>3457.3868663030285</v>
      </c>
      <c r="H3882" s="6">
        <v>3085.2425561663295</v>
      </c>
      <c r="I3882" s="6">
        <v>2812.2862450577445</v>
      </c>
      <c r="J3882" s="6">
        <v>2919.3477833663601</v>
      </c>
      <c r="K3882" s="6">
        <v>3342.7581719622813</v>
      </c>
    </row>
    <row r="3883" spans="1:11" x14ac:dyDescent="0.25">
      <c r="A3883" s="1">
        <v>0.69513888888888897</v>
      </c>
      <c r="B3883" s="2">
        <v>6.24</v>
      </c>
      <c r="C3883" s="2">
        <v>3.7399999999999998</v>
      </c>
      <c r="D3883" s="2">
        <v>5.21</v>
      </c>
      <c r="E3883" s="2">
        <v>5.34</v>
      </c>
      <c r="F3883" s="2">
        <v>3.3400000000000003</v>
      </c>
      <c r="G3883" s="6">
        <v>3013.2745292038985</v>
      </c>
      <c r="H3883" s="6">
        <v>3171.4235022630332</v>
      </c>
      <c r="I3883" s="6">
        <v>2371.9057140428044</v>
      </c>
      <c r="J3883" s="6">
        <v>2256.7883415699935</v>
      </c>
      <c r="K3883" s="6">
        <v>2495.076081600605</v>
      </c>
    </row>
    <row r="3884" spans="1:11" x14ac:dyDescent="0.25">
      <c r="A3884" s="1">
        <v>0.69583333333333297</v>
      </c>
      <c r="B3884" s="2">
        <v>6.24</v>
      </c>
      <c r="C3884" s="2">
        <v>3.76</v>
      </c>
      <c r="D3884" s="2">
        <v>5.01</v>
      </c>
      <c r="E3884" s="2">
        <v>5.55</v>
      </c>
      <c r="F3884" s="2">
        <v>2.91</v>
      </c>
      <c r="G3884" s="6">
        <v>3076.0807824272129</v>
      </c>
      <c r="H3884" s="6">
        <v>3482.4552409910752</v>
      </c>
      <c r="I3884" s="6">
        <v>2314.3900682082963</v>
      </c>
      <c r="J3884" s="6">
        <v>2237.1380709780974</v>
      </c>
      <c r="K3884" s="6">
        <v>2683.4067759867849</v>
      </c>
    </row>
    <row r="3885" spans="1:11" x14ac:dyDescent="0.25">
      <c r="A3885" s="1">
        <v>0.69652777777777797</v>
      </c>
      <c r="B3885" s="2">
        <v>6.16</v>
      </c>
      <c r="C3885" s="2">
        <v>3.7199999999999998</v>
      </c>
      <c r="D3885" s="2">
        <v>4.8999999999999995</v>
      </c>
      <c r="E3885" s="2">
        <v>5.4</v>
      </c>
      <c r="F3885" s="2">
        <v>3.21</v>
      </c>
      <c r="G3885" s="6">
        <v>1975.7547103441061</v>
      </c>
      <c r="H3885" s="6">
        <f>(G3885+986)-421.805197812149</f>
        <v>2539.9495125319568</v>
      </c>
      <c r="I3885" s="6">
        <v>1148.0110882561225</v>
      </c>
      <c r="J3885" s="6">
        <v>2469.7064840064918</v>
      </c>
      <c r="K3885" s="6">
        <v>2597.8194798218556</v>
      </c>
    </row>
    <row r="3886" spans="1:11" x14ac:dyDescent="0.25">
      <c r="A3886" s="1">
        <v>0.69722222222222197</v>
      </c>
      <c r="B3886" s="2">
        <v>6.12</v>
      </c>
      <c r="C3886" s="2">
        <v>3.8899999999999997</v>
      </c>
      <c r="D3886" s="2">
        <v>5.1899999999999995</v>
      </c>
      <c r="E3886" s="2">
        <v>5.52</v>
      </c>
      <c r="F3886" s="2">
        <v>3.4000000000000004</v>
      </c>
      <c r="G3886" s="6">
        <v>1698.1861237287931</v>
      </c>
      <c r="H3886" s="6">
        <v>2349.2564916071105</v>
      </c>
      <c r="I3886" s="6">
        <v>994.52728654149951</v>
      </c>
      <c r="J3886" s="6">
        <v>2181.68015529687</v>
      </c>
      <c r="K3886" s="6">
        <v>2537.105937523449</v>
      </c>
    </row>
    <row r="3887" spans="1:11" x14ac:dyDescent="0.25">
      <c r="A3887" s="1">
        <v>0.69791666666666696</v>
      </c>
      <c r="B3887" s="2">
        <v>6.3100000000000005</v>
      </c>
      <c r="C3887" s="2">
        <v>3.78</v>
      </c>
      <c r="D3887" s="2">
        <v>4.92</v>
      </c>
      <c r="E3887" s="2">
        <v>5.38</v>
      </c>
      <c r="F3887" s="2">
        <v>3.1500000000000004</v>
      </c>
      <c r="G3887" s="6">
        <v>3950.6573761846344</v>
      </c>
      <c r="H3887" s="6">
        <v>3109.1759828873633</v>
      </c>
      <c r="I3887" s="6">
        <v>3150.6142649481089</v>
      </c>
      <c r="J3887" s="6">
        <v>3052.7198136799375</v>
      </c>
      <c r="K3887" s="6">
        <v>3459.0546201675529</v>
      </c>
    </row>
    <row r="3888" spans="1:11" x14ac:dyDescent="0.25">
      <c r="A3888" s="1">
        <v>0.69861111111111096</v>
      </c>
      <c r="B3888" s="2">
        <v>6.2</v>
      </c>
      <c r="C3888" s="2">
        <v>3.88</v>
      </c>
      <c r="D3888" s="2">
        <v>5.1099999999999994</v>
      </c>
      <c r="E3888" s="2">
        <v>5.27</v>
      </c>
      <c r="F3888" s="2">
        <v>2.9</v>
      </c>
      <c r="G3888" s="6">
        <v>2694.066503253965</v>
      </c>
      <c r="H3888" s="6">
        <f>(G3888+986)-196.733140789972</f>
        <v>3483.3333624639936</v>
      </c>
      <c r="I3888" s="6">
        <v>2330.0197135808821</v>
      </c>
      <c r="J3888" s="6">
        <v>2005.7153256689271</v>
      </c>
      <c r="K3888" s="6">
        <v>2517.2006533334652</v>
      </c>
    </row>
    <row r="3889" spans="1:16" x14ac:dyDescent="0.25">
      <c r="A3889" s="1">
        <v>0.69930555555555596</v>
      </c>
      <c r="B3889" s="2">
        <v>6.12</v>
      </c>
      <c r="C3889" s="2">
        <v>3.67</v>
      </c>
      <c r="D3889" s="2">
        <v>5.05</v>
      </c>
      <c r="E3889" s="2">
        <v>5.51</v>
      </c>
      <c r="F3889" s="2">
        <v>3.0300000000000002</v>
      </c>
      <c r="G3889" s="6">
        <v>2457.6008990602386</v>
      </c>
      <c r="H3889" s="6">
        <v>2398.1005249165114</v>
      </c>
      <c r="I3889" s="6">
        <v>2355.8733061503358</v>
      </c>
      <c r="J3889" s="6">
        <v>2428.3087673133277</v>
      </c>
      <c r="K3889" s="6">
        <v>2881.5883231837133</v>
      </c>
    </row>
    <row r="3890" spans="1:16" x14ac:dyDescent="0.25">
      <c r="A3890" s="1">
        <v>0.7</v>
      </c>
      <c r="B3890" s="2">
        <v>6.25</v>
      </c>
      <c r="C3890" s="2">
        <v>3.82</v>
      </c>
      <c r="D3890" s="2">
        <v>5.05</v>
      </c>
      <c r="E3890" s="2">
        <v>5.52</v>
      </c>
      <c r="F3890" s="2">
        <v>3.0900000000000003</v>
      </c>
      <c r="G3890" s="6">
        <v>3758.0913407381554</v>
      </c>
      <c r="H3890" s="6">
        <v>4216.038705046607</v>
      </c>
      <c r="I3890" s="6">
        <v>3210.8433292373165</v>
      </c>
      <c r="J3890" s="6">
        <v>2943.7561154625473</v>
      </c>
      <c r="K3890" s="6">
        <v>3290.3017570776292</v>
      </c>
    </row>
    <row r="3891" spans="1:16" x14ac:dyDescent="0.25">
      <c r="A3891" s="1">
        <v>0.70069444444444495</v>
      </c>
      <c r="B3891" s="2">
        <v>6.19</v>
      </c>
      <c r="C3891" s="2">
        <v>3.7199999999999998</v>
      </c>
      <c r="D3891" s="2">
        <v>5.0999999999999996</v>
      </c>
      <c r="E3891" s="2">
        <v>5.26</v>
      </c>
      <c r="F3891" s="2">
        <v>2.98</v>
      </c>
      <c r="G3891" s="6">
        <v>3397.5121693820529</v>
      </c>
      <c r="H3891" s="6">
        <v>3030.0777677438023</v>
      </c>
      <c r="I3891" s="6">
        <v>2596.7233465092486</v>
      </c>
      <c r="J3891" s="6">
        <v>2834.1154281471104</v>
      </c>
      <c r="K3891" s="6">
        <v>3405.2831939284533</v>
      </c>
    </row>
    <row r="3892" spans="1:16" x14ac:dyDescent="0.25">
      <c r="A3892" s="1">
        <v>0.70138888888888895</v>
      </c>
      <c r="B3892" s="2">
        <v>6.33</v>
      </c>
      <c r="C3892" s="2">
        <v>3.92</v>
      </c>
      <c r="D3892" s="2">
        <v>5.3599999999999994</v>
      </c>
      <c r="E3892" s="2">
        <v>5.51</v>
      </c>
      <c r="F3892" s="2">
        <v>3.1100000000000003</v>
      </c>
      <c r="G3892" s="6">
        <v>3250.2962327207665</v>
      </c>
      <c r="H3892" s="6">
        <v>2924.6030616987209</v>
      </c>
      <c r="I3892" s="6">
        <v>2282.2782959799961</v>
      </c>
      <c r="J3892" s="6">
        <v>2438.6417004741343</v>
      </c>
      <c r="K3892" s="6">
        <v>2322.3808770148034</v>
      </c>
    </row>
    <row r="3893" spans="1:16" x14ac:dyDescent="0.25">
      <c r="A3893" s="1">
        <v>0.70208333333333295</v>
      </c>
      <c r="B3893" s="2">
        <v>6.2700000000000005</v>
      </c>
      <c r="C3893" s="2">
        <v>3.65</v>
      </c>
      <c r="D3893" s="2">
        <v>5.1099999999999994</v>
      </c>
      <c r="E3893" s="2">
        <v>5.3</v>
      </c>
      <c r="F3893" s="2">
        <v>2.89</v>
      </c>
      <c r="G3893" s="6">
        <v>3057.3232943200528</v>
      </c>
      <c r="H3893" s="6">
        <v>3566.3036568823286</v>
      </c>
      <c r="I3893" s="6">
        <v>2429.8952891089089</v>
      </c>
      <c r="J3893" s="6">
        <v>2431.6589997424826</v>
      </c>
      <c r="K3893" s="6">
        <v>2744.8271700455784</v>
      </c>
    </row>
    <row r="3894" spans="1:16" x14ac:dyDescent="0.25">
      <c r="A3894" s="1">
        <v>0.70277777777777795</v>
      </c>
      <c r="B3894" s="2">
        <v>6.18</v>
      </c>
      <c r="C3894" s="2">
        <v>3.6599999999999997</v>
      </c>
      <c r="D3894" s="2">
        <v>5.16</v>
      </c>
      <c r="E3894" s="2">
        <v>5.4399999999999995</v>
      </c>
      <c r="F3894" s="2">
        <v>3.2600000000000002</v>
      </c>
      <c r="G3894" s="6">
        <v>1821.3491554652367</v>
      </c>
      <c r="H3894" s="6">
        <f>(G3894+986)-442.252856211512</f>
        <v>2365.0962992537247</v>
      </c>
      <c r="I3894" s="6">
        <v>1370.3985471053581</v>
      </c>
      <c r="J3894" s="6">
        <v>2383.4481930623665</v>
      </c>
      <c r="K3894" s="6">
        <v>2487.7361919269251</v>
      </c>
    </row>
    <row r="3895" spans="1:16" x14ac:dyDescent="0.25">
      <c r="A3895" s="1">
        <v>0.70347222222222205</v>
      </c>
      <c r="B3895" s="2">
        <v>6.23</v>
      </c>
      <c r="C3895" s="2">
        <v>3.7199999999999998</v>
      </c>
      <c r="D3895" s="2">
        <v>5.0299999999999994</v>
      </c>
      <c r="E3895" s="2">
        <v>5.13</v>
      </c>
      <c r="F3895" s="2">
        <v>3.3200000000000003</v>
      </c>
      <c r="G3895" s="6">
        <v>1637.5454948459353</v>
      </c>
      <c r="H3895" s="6">
        <v>2413.3912851009768</v>
      </c>
      <c r="I3895" s="6">
        <v>1244.703902946437</v>
      </c>
      <c r="J3895" s="6">
        <v>2254.8166343642374</v>
      </c>
      <c r="K3895" s="6">
        <v>2765.3705595280298</v>
      </c>
    </row>
    <row r="3896" spans="1:16" x14ac:dyDescent="0.25">
      <c r="A3896" s="1">
        <v>0.70416666666666705</v>
      </c>
      <c r="B3896" s="2">
        <v>6.29</v>
      </c>
      <c r="C3896" s="2">
        <v>3.88</v>
      </c>
      <c r="D3896" s="2">
        <v>4.93</v>
      </c>
      <c r="E3896" s="2">
        <v>5.21</v>
      </c>
      <c r="F3896" s="2">
        <v>3.31</v>
      </c>
      <c r="G3896" s="6">
        <v>3802.6665828302839</v>
      </c>
      <c r="H3896" s="6">
        <v>3112.0023602280939</v>
      </c>
      <c r="I3896" s="6">
        <v>3048.6807339795905</v>
      </c>
      <c r="J3896" s="6">
        <v>3145.344479384114</v>
      </c>
      <c r="K3896" s="6">
        <v>3320.9593273346563</v>
      </c>
    </row>
    <row r="3897" spans="1:16" x14ac:dyDescent="0.25">
      <c r="A3897" s="1">
        <v>0.70486111111111105</v>
      </c>
      <c r="B3897" s="2">
        <v>6.13</v>
      </c>
      <c r="C3897" s="2">
        <v>3.6999999999999997</v>
      </c>
      <c r="D3897" s="2">
        <v>5.39</v>
      </c>
      <c r="E3897" s="2">
        <v>5.16</v>
      </c>
      <c r="F3897" s="2">
        <v>2.95</v>
      </c>
      <c r="G3897" s="6">
        <v>2970.98829224469</v>
      </c>
      <c r="H3897" s="6">
        <f>(G3897+986)-438.835959323511</f>
        <v>3518.1523329211795</v>
      </c>
      <c r="I3897" s="6">
        <v>2334.2160188386815</v>
      </c>
      <c r="J3897" s="6">
        <v>2306.2963844605006</v>
      </c>
      <c r="K3897" s="6">
        <v>2265.7489628436015</v>
      </c>
    </row>
    <row r="3898" spans="1:16" x14ac:dyDescent="0.25">
      <c r="A3898" s="1">
        <v>0.70555555555555605</v>
      </c>
      <c r="B3898" s="2">
        <v>6.29</v>
      </c>
      <c r="C3898" s="2">
        <v>3.81</v>
      </c>
      <c r="D3898" s="2">
        <v>4.9099999999999993</v>
      </c>
      <c r="E3898" s="2">
        <v>5.1499999999999995</v>
      </c>
      <c r="F3898" s="2">
        <v>3.3200000000000003</v>
      </c>
      <c r="G3898" s="6">
        <v>2754.9583171085351</v>
      </c>
      <c r="H3898" s="6">
        <v>2424.2817306324987</v>
      </c>
      <c r="I3898" s="6">
        <v>2224.9186642970258</v>
      </c>
      <c r="J3898" s="6">
        <v>2438.7450764642981</v>
      </c>
      <c r="K3898" s="6">
        <v>2732.0730371933882</v>
      </c>
    </row>
    <row r="3899" spans="1:16" x14ac:dyDescent="0.25">
      <c r="A3899" s="1">
        <v>0.70625000000000004</v>
      </c>
      <c r="B3899" s="2">
        <v>6.3100000000000005</v>
      </c>
      <c r="C3899" s="2">
        <v>3.6799999999999997</v>
      </c>
      <c r="D3899" s="2">
        <v>5.1499999999999995</v>
      </c>
      <c r="E3899" s="2">
        <v>5.57</v>
      </c>
      <c r="F3899" s="2">
        <v>3.1100000000000003</v>
      </c>
      <c r="G3899" s="6">
        <v>1838.8869067520773</v>
      </c>
      <c r="H3899" s="6">
        <v>2162.5982006486156</v>
      </c>
      <c r="I3899" s="6">
        <v>1115.0092600444516</v>
      </c>
      <c r="J3899" s="6">
        <v>2159.5695490578555</v>
      </c>
      <c r="K3899" s="6">
        <v>2722.8108377434951</v>
      </c>
    </row>
    <row r="3900" spans="1:16" x14ac:dyDescent="0.25">
      <c r="A3900" s="1">
        <v>0.70694444444444404</v>
      </c>
      <c r="B3900" s="2">
        <v>6.21</v>
      </c>
      <c r="C3900" s="2">
        <v>3.77</v>
      </c>
      <c r="D3900" s="2">
        <v>5.08</v>
      </c>
      <c r="E3900" s="2">
        <v>5.28</v>
      </c>
      <c r="F3900" s="2">
        <v>3.1500000000000004</v>
      </c>
      <c r="G3900" s="6">
        <v>3691.964001979647</v>
      </c>
      <c r="H3900" s="6">
        <v>3082.5221826734755</v>
      </c>
      <c r="I3900" s="6">
        <v>3209.9073636931325</v>
      </c>
      <c r="J3900" s="6">
        <v>3074.0432547291939</v>
      </c>
      <c r="K3900" s="6">
        <v>3604.9992855213418</v>
      </c>
    </row>
    <row r="3901" spans="1:16" x14ac:dyDescent="0.25">
      <c r="A3901" s="1">
        <v>0.70763888888888904</v>
      </c>
      <c r="B3901" s="2">
        <v>6.3500000000000005</v>
      </c>
      <c r="C3901" s="2">
        <v>3.77</v>
      </c>
      <c r="D3901" s="2">
        <v>5.09</v>
      </c>
      <c r="E3901" s="2">
        <v>5.55</v>
      </c>
      <c r="F3901" s="2">
        <v>3.27</v>
      </c>
      <c r="G3901" s="6">
        <v>2675.2784074232504</v>
      </c>
      <c r="H3901" s="6">
        <f>(G3901+986)-231.94334225941</f>
        <v>3429.3350651638402</v>
      </c>
      <c r="I3901" s="6">
        <v>2372.5777000101812</v>
      </c>
      <c r="J3901" s="6">
        <v>2143.1003971738692</v>
      </c>
      <c r="K3901" s="6">
        <v>2307.5486888594496</v>
      </c>
    </row>
    <row r="3902" spans="1:16" x14ac:dyDescent="0.25">
      <c r="A3902" s="3">
        <v>0.70833333333333304</v>
      </c>
      <c r="B3902" s="2">
        <v>6.24</v>
      </c>
      <c r="C3902" s="2">
        <v>3.82</v>
      </c>
      <c r="D3902" s="2">
        <v>5.12</v>
      </c>
      <c r="E3902" s="2">
        <v>5.41</v>
      </c>
      <c r="F3902" s="2">
        <v>3.24</v>
      </c>
      <c r="G3902" s="6">
        <v>2471</v>
      </c>
      <c r="H3902" s="6">
        <v>2453</v>
      </c>
      <c r="I3902" s="6">
        <v>1358</v>
      </c>
      <c r="J3902" s="6">
        <v>1658</v>
      </c>
      <c r="K3902" s="6">
        <v>1898</v>
      </c>
      <c r="L3902" s="6"/>
      <c r="M3902" s="6"/>
      <c r="N3902" s="6"/>
      <c r="O3902" s="6"/>
      <c r="P3902" s="6"/>
    </row>
    <row r="3903" spans="1:16" x14ac:dyDescent="0.25">
      <c r="A3903" s="1">
        <v>0.70902777777777803</v>
      </c>
      <c r="B3903" s="2">
        <v>6.18</v>
      </c>
      <c r="C3903" s="2">
        <v>3.67</v>
      </c>
      <c r="D3903" s="2">
        <v>5.3</v>
      </c>
      <c r="E3903" s="2">
        <v>5.5</v>
      </c>
      <c r="F3903" s="2">
        <v>3.33</v>
      </c>
      <c r="G3903" s="6">
        <v>2352.4919039230635</v>
      </c>
      <c r="H3903">
        <v>2332.9167328376552</v>
      </c>
      <c r="I3903">
        <v>1689.6564227543431</v>
      </c>
      <c r="J3903">
        <v>2555.7543830044756</v>
      </c>
      <c r="K3903">
        <v>2020.3852454631126</v>
      </c>
    </row>
    <row r="3904" spans="1:16" x14ac:dyDescent="0.25">
      <c r="A3904" s="1">
        <v>0.70972222222222203</v>
      </c>
      <c r="B3904" s="2">
        <v>6.16</v>
      </c>
      <c r="C3904" s="2">
        <v>3.7199999999999998</v>
      </c>
      <c r="D3904" s="2">
        <v>5.25</v>
      </c>
      <c r="E3904" s="2">
        <v>5.42</v>
      </c>
      <c r="F3904" s="2">
        <v>3.25</v>
      </c>
      <c r="G3904" s="6">
        <v>3179.5671284514478</v>
      </c>
      <c r="H3904">
        <v>3064.809743475626</v>
      </c>
      <c r="I3904">
        <v>2713.6574276591523</v>
      </c>
      <c r="J3904">
        <v>2780.7933499849664</v>
      </c>
      <c r="K3904">
        <v>2643.0162519820565</v>
      </c>
    </row>
    <row r="3905" spans="1:11" x14ac:dyDescent="0.25">
      <c r="A3905" s="1">
        <v>0.71041666666666703</v>
      </c>
      <c r="B3905" s="2">
        <v>6.33</v>
      </c>
      <c r="C3905" s="2">
        <v>3.61</v>
      </c>
      <c r="D3905" s="2">
        <v>4.97</v>
      </c>
      <c r="E3905" s="2">
        <v>5.3</v>
      </c>
      <c r="F3905" s="2">
        <v>3.41</v>
      </c>
      <c r="G3905" s="6">
        <v>2208.260468047531</v>
      </c>
      <c r="H3905">
        <v>2564.1745430204378</v>
      </c>
      <c r="I3905">
        <v>2594.3022585291892</v>
      </c>
      <c r="J3905">
        <v>2274.8124474618667</v>
      </c>
      <c r="K3905">
        <v>3099.3402480585087</v>
      </c>
    </row>
    <row r="3906" spans="1:11" x14ac:dyDescent="0.25">
      <c r="A3906" s="1">
        <v>0.71111111111111103</v>
      </c>
      <c r="B3906" s="2">
        <v>6.3100000000000005</v>
      </c>
      <c r="C3906" s="2">
        <v>3.88</v>
      </c>
      <c r="D3906" s="2">
        <v>5.08</v>
      </c>
      <c r="E3906" s="2">
        <v>5.65</v>
      </c>
      <c r="F3906" s="2">
        <v>3.22</v>
      </c>
      <c r="G3906" s="6">
        <v>2224.5536475374547</v>
      </c>
      <c r="H3906">
        <v>2539.667036545698</v>
      </c>
      <c r="I3906">
        <v>1767.266263635524</v>
      </c>
      <c r="J3906">
        <v>2037.9659868494241</v>
      </c>
      <c r="K3906">
        <v>1924.4495722413828</v>
      </c>
    </row>
    <row r="3907" spans="1:11" x14ac:dyDescent="0.25">
      <c r="A3907" s="1">
        <v>0.71180555555555602</v>
      </c>
      <c r="B3907" s="2">
        <v>6.36</v>
      </c>
      <c r="C3907" s="2">
        <v>3.7199999999999998</v>
      </c>
      <c r="D3907" s="2">
        <v>4.9799999999999995</v>
      </c>
      <c r="E3907" s="2">
        <v>5.77</v>
      </c>
      <c r="F3907" s="2">
        <v>3.2</v>
      </c>
      <c r="G3907" s="6">
        <v>2322.2296862141616</v>
      </c>
      <c r="H3907">
        <v>2258.8649593498972</v>
      </c>
      <c r="I3907">
        <v>1813.7209563211618</v>
      </c>
      <c r="J3907">
        <v>2246.2628507823542</v>
      </c>
      <c r="K3907">
        <v>2081.435870103322</v>
      </c>
    </row>
    <row r="3908" spans="1:11" x14ac:dyDescent="0.25">
      <c r="A3908" s="1">
        <v>0.71250000000000002</v>
      </c>
      <c r="B3908" s="2">
        <v>6.2</v>
      </c>
      <c r="C3908" s="2">
        <v>3.6799999999999997</v>
      </c>
      <c r="D3908" s="2">
        <v>5.29</v>
      </c>
      <c r="E3908" s="2">
        <v>5.2299999999999995</v>
      </c>
      <c r="F3908" s="2">
        <v>3.3000000000000003</v>
      </c>
      <c r="G3908" s="6">
        <v>2487.1111539312906</v>
      </c>
      <c r="H3908">
        <v>2602.3862653562583</v>
      </c>
      <c r="I3908">
        <v>1896.436984008219</v>
      </c>
      <c r="J3908">
        <v>2375.2063263344653</v>
      </c>
      <c r="K3908">
        <v>2266.8352902461274</v>
      </c>
    </row>
    <row r="3909" spans="1:11" x14ac:dyDescent="0.25">
      <c r="A3909" s="1">
        <v>0.71319444444444402</v>
      </c>
      <c r="B3909" s="2">
        <v>6.16</v>
      </c>
      <c r="C3909" s="2">
        <v>3.73</v>
      </c>
      <c r="D3909" s="2">
        <v>5.17</v>
      </c>
      <c r="E3909" s="2">
        <v>5.4799999999999995</v>
      </c>
      <c r="F3909" s="2">
        <v>3.33</v>
      </c>
      <c r="G3909" s="6">
        <v>3145.0403909546371</v>
      </c>
      <c r="H3909">
        <v>3173.878487683196</v>
      </c>
      <c r="I3909">
        <v>2684.5148736605765</v>
      </c>
      <c r="J3909">
        <v>2784.6471872023094</v>
      </c>
      <c r="K3909">
        <v>2820.4209243531873</v>
      </c>
    </row>
    <row r="3910" spans="1:11" x14ac:dyDescent="0.25">
      <c r="A3910" s="1">
        <v>0.71388888888888902</v>
      </c>
      <c r="B3910" s="2">
        <v>6.26</v>
      </c>
      <c r="C3910" s="2">
        <v>3.88</v>
      </c>
      <c r="D3910" s="2">
        <v>5.16</v>
      </c>
      <c r="E3910" s="2">
        <v>5.13</v>
      </c>
      <c r="F3910" s="2">
        <v>2.94</v>
      </c>
      <c r="G3910" s="6">
        <v>1442.8019433265313</v>
      </c>
      <c r="H3910">
        <v>1457.8456519604845</v>
      </c>
      <c r="I3910">
        <v>975.30387270298581</v>
      </c>
      <c r="J3910">
        <v>1421.0613918737636</v>
      </c>
      <c r="K3910">
        <v>1407.6302831890755</v>
      </c>
    </row>
    <row r="3911" spans="1:11" x14ac:dyDescent="0.25">
      <c r="A3911" s="1">
        <v>0.71458333333333302</v>
      </c>
      <c r="B3911" s="2">
        <v>6.12</v>
      </c>
      <c r="C3911" s="2">
        <v>3.6599999999999997</v>
      </c>
      <c r="D3911" s="2">
        <v>5.35</v>
      </c>
      <c r="E3911" s="2">
        <v>5.41</v>
      </c>
      <c r="F3911" s="2">
        <v>3.14</v>
      </c>
      <c r="G3911" s="6">
        <v>1922.5123063698029</v>
      </c>
      <c r="H3911">
        <v>1995.0874957729482</v>
      </c>
      <c r="I3911">
        <v>1482.3739860676387</v>
      </c>
      <c r="J3911">
        <v>1862.6315616938261</v>
      </c>
      <c r="K3911">
        <v>1672.6107213479324</v>
      </c>
    </row>
    <row r="3912" spans="1:11" x14ac:dyDescent="0.25">
      <c r="A3912" s="1">
        <v>0.71527777777777801</v>
      </c>
      <c r="B3912" s="2">
        <v>6.28</v>
      </c>
      <c r="C3912" s="2">
        <v>3.8499999999999996</v>
      </c>
      <c r="D3912" s="2">
        <v>4.97</v>
      </c>
      <c r="E3912" s="2">
        <v>5.53</v>
      </c>
      <c r="F3912" s="2">
        <v>3.13</v>
      </c>
      <c r="G3912" s="6">
        <v>1923.4429263403981</v>
      </c>
      <c r="H3912">
        <v>2175.3692584000305</v>
      </c>
      <c r="I3912">
        <v>1635.673322270866</v>
      </c>
      <c r="J3912">
        <v>1834.7644171796246</v>
      </c>
      <c r="K3912">
        <v>2022.1161312853026</v>
      </c>
    </row>
    <row r="3913" spans="1:11" x14ac:dyDescent="0.25">
      <c r="A3913" s="1">
        <v>0.71597222222222201</v>
      </c>
      <c r="B3913" s="2">
        <v>6.24</v>
      </c>
      <c r="C3913" s="2">
        <v>3.69</v>
      </c>
      <c r="D3913" s="2">
        <v>4.8899999999999997</v>
      </c>
      <c r="E3913" s="2">
        <v>5.77</v>
      </c>
      <c r="F3913" s="2">
        <v>3.41</v>
      </c>
      <c r="G3913" s="6">
        <v>3070.9386909983577</v>
      </c>
      <c r="H3913">
        <v>2989.8133004949414</v>
      </c>
      <c r="I3913">
        <v>2819.2023552317082</v>
      </c>
      <c r="J3913">
        <v>3030.8590998518644</v>
      </c>
      <c r="K3913">
        <v>3118.823457685523</v>
      </c>
    </row>
    <row r="3914" spans="1:11" x14ac:dyDescent="0.25">
      <c r="A3914" s="1">
        <v>0.71666666666666701</v>
      </c>
      <c r="B3914" s="2">
        <v>6.19</v>
      </c>
      <c r="C3914" s="2">
        <v>3.6199999999999997</v>
      </c>
      <c r="D3914" s="2">
        <v>5.1999999999999993</v>
      </c>
      <c r="E3914" s="2">
        <v>5.58</v>
      </c>
      <c r="F3914" s="2">
        <v>2.99</v>
      </c>
      <c r="G3914" s="6">
        <v>2704.5799895155933</v>
      </c>
      <c r="H3914">
        <v>3058.5312219013617</v>
      </c>
      <c r="I3914">
        <v>2536.3497053546598</v>
      </c>
      <c r="J3914">
        <v>2620.3861264407301</v>
      </c>
      <c r="K3914">
        <v>2908.4245612743853</v>
      </c>
    </row>
    <row r="3915" spans="1:11" x14ac:dyDescent="0.25">
      <c r="A3915" s="1">
        <v>0.71736111111111101</v>
      </c>
      <c r="B3915" s="2">
        <v>6.19</v>
      </c>
      <c r="C3915" s="2">
        <v>3.71</v>
      </c>
      <c r="D3915" s="2">
        <v>5.16</v>
      </c>
      <c r="E3915" s="2">
        <v>5.66</v>
      </c>
      <c r="F3915" s="2">
        <v>3.21</v>
      </c>
      <c r="G3915" s="6">
        <v>2108.3059749519571</v>
      </c>
      <c r="H3915">
        <v>1997.4177953815797</v>
      </c>
      <c r="I3915">
        <v>1522.7422212353354</v>
      </c>
      <c r="J3915">
        <v>2108.4830301266752</v>
      </c>
      <c r="K3915">
        <v>2090.3407129731718</v>
      </c>
    </row>
    <row r="3916" spans="1:11" x14ac:dyDescent="0.25">
      <c r="A3916" s="1">
        <v>0.718055555555556</v>
      </c>
      <c r="B3916" s="2">
        <v>6.3</v>
      </c>
      <c r="C3916" s="2">
        <v>3.71</v>
      </c>
      <c r="D3916" s="2">
        <v>4.8999999999999995</v>
      </c>
      <c r="E3916" s="2">
        <v>5.45</v>
      </c>
      <c r="F3916" s="2">
        <v>3.38</v>
      </c>
      <c r="G3916" s="6">
        <v>1282.4157720100222</v>
      </c>
      <c r="H3916">
        <v>1047.0190624476795</v>
      </c>
      <c r="I3916">
        <v>927.00052365732495</v>
      </c>
      <c r="J3916">
        <v>1303.7241121933889</v>
      </c>
      <c r="K3916">
        <v>947.48763741058178</v>
      </c>
    </row>
    <row r="3917" spans="1:11" x14ac:dyDescent="0.25">
      <c r="A3917" s="1">
        <v>0.71875</v>
      </c>
      <c r="B3917" s="2">
        <v>6.19</v>
      </c>
      <c r="C3917" s="2">
        <v>3.87</v>
      </c>
      <c r="D3917" s="2">
        <v>5.17</v>
      </c>
      <c r="E3917" s="2">
        <v>5.47</v>
      </c>
      <c r="F3917" s="2">
        <v>3.0100000000000002</v>
      </c>
      <c r="G3917" s="6">
        <v>789.32163516233413</v>
      </c>
      <c r="H3917">
        <v>855.37981206636528</v>
      </c>
      <c r="I3917">
        <v>251.0300503808387</v>
      </c>
      <c r="J3917">
        <v>572.73465508050822</v>
      </c>
      <c r="K3917">
        <v>654.66817993725556</v>
      </c>
    </row>
    <row r="3918" spans="1:11" x14ac:dyDescent="0.25">
      <c r="A3918" s="1">
        <v>0.719444444444444</v>
      </c>
      <c r="B3918" s="2">
        <v>6.15</v>
      </c>
      <c r="C3918" s="2">
        <v>3.9</v>
      </c>
      <c r="D3918" s="2">
        <v>5.35</v>
      </c>
      <c r="E3918" s="2">
        <v>5.59</v>
      </c>
      <c r="F3918" s="2">
        <v>3.3000000000000003</v>
      </c>
      <c r="G3918" s="6">
        <v>1194.2181298583746</v>
      </c>
      <c r="H3918">
        <v>1400.010741280239</v>
      </c>
      <c r="I3918">
        <v>804.09265142510617</v>
      </c>
      <c r="J3918">
        <v>1323.2528388000301</v>
      </c>
      <c r="K3918">
        <v>1148.9931868968813</v>
      </c>
    </row>
    <row r="3919" spans="1:11" x14ac:dyDescent="0.25">
      <c r="A3919" s="1">
        <v>0.72013888888888899</v>
      </c>
      <c r="B3919" s="2">
        <v>6.12</v>
      </c>
      <c r="C3919" s="2">
        <v>3.6999999999999997</v>
      </c>
      <c r="D3919" s="2">
        <v>4.9799999999999995</v>
      </c>
      <c r="E3919" s="2">
        <v>5.14</v>
      </c>
      <c r="F3919" s="2">
        <v>3.06</v>
      </c>
      <c r="G3919" s="6">
        <v>2221.9074441840862</v>
      </c>
      <c r="H3919">
        <v>2245.2004223069603</v>
      </c>
      <c r="I3919">
        <v>1808.9967789672078</v>
      </c>
      <c r="J3919">
        <v>2083.800891539363</v>
      </c>
      <c r="K3919">
        <v>2142.4984352988486</v>
      </c>
    </row>
    <row r="3920" spans="1:11" x14ac:dyDescent="0.25">
      <c r="A3920" s="1">
        <v>0.72083333333333299</v>
      </c>
      <c r="B3920" s="2">
        <v>6.34</v>
      </c>
      <c r="C3920" s="2">
        <v>3.63</v>
      </c>
      <c r="D3920" s="2">
        <v>5.2799999999999994</v>
      </c>
      <c r="E3920" s="2">
        <v>5.37</v>
      </c>
      <c r="F3920" s="2">
        <v>3.2800000000000002</v>
      </c>
      <c r="G3920" s="6">
        <v>2764.5701846765337</v>
      </c>
      <c r="H3920">
        <v>2683.5253144017097</v>
      </c>
      <c r="I3920">
        <v>2320.412182179145</v>
      </c>
      <c r="J3920">
        <v>2820.2317719025591</v>
      </c>
      <c r="K3920">
        <v>2513.3795731740584</v>
      </c>
    </row>
    <row r="3921" spans="1:11" x14ac:dyDescent="0.25">
      <c r="A3921" s="1">
        <v>0.72152777777777799</v>
      </c>
      <c r="B3921" s="2">
        <v>6.3500000000000005</v>
      </c>
      <c r="C3921" s="2">
        <v>3.8899999999999997</v>
      </c>
      <c r="D3921" s="2">
        <v>5.1499999999999995</v>
      </c>
      <c r="E3921" s="2">
        <v>5.4799999999999995</v>
      </c>
      <c r="F3921" s="2">
        <v>3</v>
      </c>
      <c r="G3921" s="6">
        <v>2229.957284255805</v>
      </c>
      <c r="H3921">
        <v>2246.5417673416505</v>
      </c>
      <c r="I3921">
        <v>2005.3471545071791</v>
      </c>
      <c r="J3921">
        <v>2269.1788266038202</v>
      </c>
      <c r="K3921">
        <v>2053.0891053532418</v>
      </c>
    </row>
    <row r="3922" spans="1:11" x14ac:dyDescent="0.25">
      <c r="A3922" s="1">
        <v>0.72222222222222199</v>
      </c>
      <c r="B3922" s="2">
        <v>6.23</v>
      </c>
      <c r="C3922" s="2">
        <v>3.6399999999999997</v>
      </c>
      <c r="D3922" s="2">
        <v>5.2299999999999995</v>
      </c>
      <c r="E3922" s="2">
        <v>5.6899999999999995</v>
      </c>
      <c r="F3922" s="2">
        <v>3.3200000000000003</v>
      </c>
      <c r="G3922" s="6">
        <v>3164.786111206236</v>
      </c>
      <c r="H3922">
        <v>3184.6099376851862</v>
      </c>
      <c r="I3922">
        <v>2779.8716364647457</v>
      </c>
      <c r="J3922">
        <v>2850.8615979668471</v>
      </c>
      <c r="K3922">
        <v>3086.707237933379</v>
      </c>
    </row>
    <row r="3923" spans="1:11" x14ac:dyDescent="0.25">
      <c r="A3923" s="1">
        <v>0.72291666666666698</v>
      </c>
      <c r="B3923" s="2">
        <v>6.37</v>
      </c>
      <c r="C3923" s="2">
        <v>3.86</v>
      </c>
      <c r="D3923" s="2">
        <v>4.97</v>
      </c>
      <c r="E3923" s="2">
        <v>5.27</v>
      </c>
      <c r="F3923" s="2">
        <v>3.12</v>
      </c>
      <c r="G3923" s="6">
        <v>1898.9906586966624</v>
      </c>
      <c r="H3923">
        <v>2087.0416374573292</v>
      </c>
      <c r="I3923">
        <v>1558.1874501763891</v>
      </c>
      <c r="J3923">
        <v>1993.2110969670853</v>
      </c>
      <c r="K3923">
        <v>1806.939583886314</v>
      </c>
    </row>
    <row r="3924" spans="1:11" x14ac:dyDescent="0.25">
      <c r="A3924" s="1">
        <v>0.72361111111111098</v>
      </c>
      <c r="B3924" s="2">
        <v>6.3</v>
      </c>
      <c r="C3924" s="2">
        <v>3.75</v>
      </c>
      <c r="D3924" s="2">
        <v>5.0299999999999994</v>
      </c>
      <c r="E3924" s="2">
        <v>5.2</v>
      </c>
      <c r="F3924" s="2">
        <v>3.41</v>
      </c>
      <c r="G3924" s="6">
        <v>1178.5615675819067</v>
      </c>
      <c r="H3924">
        <v>1390.213822180398</v>
      </c>
      <c r="I3924">
        <v>1018.1407502937906</v>
      </c>
      <c r="J3924">
        <v>1266.3253024521957</v>
      </c>
      <c r="K3924">
        <v>1141.6547252691062</v>
      </c>
    </row>
    <row r="3925" spans="1:11" x14ac:dyDescent="0.25">
      <c r="A3925" s="1">
        <v>0.72430555555555598</v>
      </c>
      <c r="B3925" s="2">
        <v>6.3100000000000005</v>
      </c>
      <c r="C3925" s="2">
        <v>3.75</v>
      </c>
      <c r="D3925" s="2">
        <v>5.31</v>
      </c>
      <c r="E3925" s="2">
        <v>5.49</v>
      </c>
      <c r="F3925" s="2">
        <v>3.41</v>
      </c>
      <c r="G3925" s="6">
        <v>721.70393266582414</v>
      </c>
      <c r="H3925">
        <v>955.54925683894282</v>
      </c>
      <c r="I3925">
        <v>192.22322578333882</v>
      </c>
      <c r="J3925">
        <v>906.02128281702255</v>
      </c>
      <c r="K3925">
        <v>611.67821300609751</v>
      </c>
    </row>
    <row r="3926" spans="1:11" x14ac:dyDescent="0.25">
      <c r="A3926" s="1">
        <v>0.72499999999999998</v>
      </c>
      <c r="B3926" s="2">
        <v>6.37</v>
      </c>
      <c r="C3926" s="2">
        <v>3.84</v>
      </c>
      <c r="D3926" s="2">
        <v>5.13</v>
      </c>
      <c r="E3926" s="2">
        <v>5.36</v>
      </c>
      <c r="F3926" s="2">
        <v>3.0500000000000003</v>
      </c>
      <c r="G3926" s="6">
        <v>521.19265939798481</v>
      </c>
      <c r="H3926">
        <v>822.11276406072398</v>
      </c>
      <c r="I3926">
        <v>186.30592614304231</v>
      </c>
      <c r="J3926">
        <v>740.85856404515334</v>
      </c>
      <c r="K3926">
        <v>752.88551833876363</v>
      </c>
    </row>
    <row r="3927" spans="1:11" x14ac:dyDescent="0.25">
      <c r="A3927" s="1">
        <v>0.72569444444444398</v>
      </c>
      <c r="B3927" s="2">
        <v>6.3</v>
      </c>
      <c r="C3927" s="2">
        <v>3.77</v>
      </c>
      <c r="D3927" s="2">
        <v>5.29</v>
      </c>
      <c r="E3927" s="2">
        <v>5.3</v>
      </c>
      <c r="F3927" s="2">
        <v>3.3000000000000003</v>
      </c>
      <c r="G3927" s="6">
        <v>2231.0339598088381</v>
      </c>
      <c r="H3927">
        <v>2072.8242155076996</v>
      </c>
      <c r="I3927">
        <v>1849.7258906182169</v>
      </c>
      <c r="J3927">
        <v>1855.7472229033167</v>
      </c>
      <c r="K3927">
        <v>2003.2296278316703</v>
      </c>
    </row>
    <row r="3928" spans="1:11" x14ac:dyDescent="0.25">
      <c r="A3928" s="1">
        <v>0.72638888888888897</v>
      </c>
      <c r="B3928" s="2">
        <v>6.3500000000000005</v>
      </c>
      <c r="C3928" s="2">
        <v>3.88</v>
      </c>
      <c r="D3928" s="2">
        <v>5.1099999999999994</v>
      </c>
      <c r="E3928" s="2">
        <v>5.43</v>
      </c>
      <c r="F3928" s="2">
        <v>3.2800000000000002</v>
      </c>
      <c r="G3928" s="6">
        <v>3332.6102222978052</v>
      </c>
      <c r="H3928">
        <v>3484.6690432305186</v>
      </c>
      <c r="I3928">
        <v>2970.7501361064569</v>
      </c>
      <c r="J3928">
        <v>3336.3811218902433</v>
      </c>
      <c r="K3928">
        <v>3293.2204114050019</v>
      </c>
    </row>
    <row r="3929" spans="1:11" x14ac:dyDescent="0.25">
      <c r="A3929" s="1">
        <v>0.72708333333333297</v>
      </c>
      <c r="B3929" s="2">
        <v>6.2</v>
      </c>
      <c r="C3929" s="2">
        <v>3.8</v>
      </c>
      <c r="D3929" s="2">
        <v>5.09</v>
      </c>
      <c r="E3929" s="2">
        <v>5.35</v>
      </c>
      <c r="F3929" s="2">
        <v>3.17</v>
      </c>
      <c r="G3929" s="6">
        <v>2719.0579271173524</v>
      </c>
      <c r="H3929">
        <v>2749.75605600673</v>
      </c>
      <c r="I3929">
        <v>2143.4465598153242</v>
      </c>
      <c r="J3929">
        <v>2491.1759640278692</v>
      </c>
      <c r="K3929">
        <v>2766.3570832547289</v>
      </c>
    </row>
    <row r="3930" spans="1:11" x14ac:dyDescent="0.25">
      <c r="A3930" s="1">
        <v>0.72777777777777797</v>
      </c>
      <c r="B3930" s="2">
        <v>6.13</v>
      </c>
      <c r="C3930" s="2">
        <v>3.73</v>
      </c>
      <c r="D3930" s="2">
        <v>5.34</v>
      </c>
      <c r="E3930" s="2">
        <v>5.58</v>
      </c>
      <c r="F3930" s="2">
        <v>3.06</v>
      </c>
      <c r="G3930" s="6">
        <v>2851.2534065193049</v>
      </c>
      <c r="H3930">
        <v>2789.3049327407134</v>
      </c>
      <c r="I3930">
        <v>2626.1830311900953</v>
      </c>
      <c r="J3930">
        <v>2872.3216941493952</v>
      </c>
      <c r="K3930">
        <v>2646.460038730424</v>
      </c>
    </row>
    <row r="3931" spans="1:11" x14ac:dyDescent="0.25">
      <c r="A3931" s="1">
        <v>0.72847222222222197</v>
      </c>
      <c r="B3931" s="2">
        <v>6.36</v>
      </c>
      <c r="C3931" s="2">
        <v>3.69</v>
      </c>
      <c r="D3931" s="2">
        <v>5.13</v>
      </c>
      <c r="E3931" s="2">
        <v>5.38</v>
      </c>
      <c r="F3931" s="2">
        <v>3.38</v>
      </c>
      <c r="G3931" s="6">
        <v>1339.7127456090807</v>
      </c>
      <c r="H3931">
        <v>1636.4303928452771</v>
      </c>
      <c r="I3931">
        <v>913.33960879904998</v>
      </c>
      <c r="J3931">
        <v>1435.5546215465733</v>
      </c>
      <c r="K3931">
        <v>1245.6797990190953</v>
      </c>
    </row>
    <row r="3932" spans="1:11" x14ac:dyDescent="0.25">
      <c r="A3932" s="1">
        <v>0.72916666666666696</v>
      </c>
      <c r="B3932" s="2">
        <v>6.34</v>
      </c>
      <c r="C3932" s="2">
        <v>3.79</v>
      </c>
      <c r="D3932" s="2">
        <v>5.34</v>
      </c>
      <c r="E3932" s="2">
        <v>5.78</v>
      </c>
      <c r="F3932" s="2">
        <v>3.35</v>
      </c>
      <c r="G3932" s="6">
        <v>1316.61927070764</v>
      </c>
      <c r="H3932">
        <v>1196.4075423759562</v>
      </c>
      <c r="I3932">
        <v>865.411346359915</v>
      </c>
      <c r="J3932">
        <v>1075.7843609940896</v>
      </c>
      <c r="K3932">
        <v>1207.9881335412645</v>
      </c>
    </row>
    <row r="3933" spans="1:11" x14ac:dyDescent="0.25">
      <c r="A3933" s="1">
        <v>0.72986111111111096</v>
      </c>
      <c r="B3933" s="2">
        <v>6.26</v>
      </c>
      <c r="C3933" s="2">
        <v>3.8499999999999996</v>
      </c>
      <c r="D3933" s="2">
        <v>5.3199999999999994</v>
      </c>
      <c r="E3933" s="2">
        <v>5.33</v>
      </c>
      <c r="F3933" s="2">
        <v>3.27</v>
      </c>
      <c r="G3933" s="6">
        <v>2137.7097675509676</v>
      </c>
      <c r="H3933">
        <v>2057.2094292616957</v>
      </c>
      <c r="I3933">
        <v>1720.3409330092393</v>
      </c>
      <c r="J3933">
        <v>2201.1474986380344</v>
      </c>
      <c r="K3933">
        <v>2117.1946521343789</v>
      </c>
    </row>
    <row r="3934" spans="1:11" x14ac:dyDescent="0.25">
      <c r="A3934" s="1">
        <v>0.73055555555555596</v>
      </c>
      <c r="B3934" s="2">
        <v>6.2</v>
      </c>
      <c r="C3934" s="2">
        <v>3.63</v>
      </c>
      <c r="D3934" s="2">
        <v>5.0599999999999996</v>
      </c>
      <c r="E3934" s="2">
        <v>5.4399999999999995</v>
      </c>
      <c r="F3934" s="2">
        <v>3.0900000000000003</v>
      </c>
      <c r="G3934" s="6">
        <v>2006.4245481373039</v>
      </c>
      <c r="H3934">
        <v>1967.0697609694218</v>
      </c>
      <c r="I3934">
        <v>1522.5186032463109</v>
      </c>
      <c r="J3934">
        <v>2166.6759200921242</v>
      </c>
      <c r="K3934">
        <v>2003.364932287124</v>
      </c>
    </row>
    <row r="3935" spans="1:11" x14ac:dyDescent="0.25">
      <c r="A3935" s="1">
        <v>0.73124999999999996</v>
      </c>
      <c r="B3935" s="2">
        <v>6.29</v>
      </c>
      <c r="C3935" s="2">
        <v>3.6199999999999997</v>
      </c>
      <c r="D3935" s="2">
        <v>5.39</v>
      </c>
      <c r="E3935" s="2">
        <v>5.27</v>
      </c>
      <c r="F3935" s="2">
        <v>3.02</v>
      </c>
      <c r="G3935" s="6">
        <v>1435.1877367348009</v>
      </c>
      <c r="H3935">
        <v>1367.1367876294184</v>
      </c>
      <c r="I3935">
        <v>948.70279422843282</v>
      </c>
      <c r="J3935">
        <v>1436.3116245415792</v>
      </c>
      <c r="K3935">
        <v>1400.1398857830241</v>
      </c>
    </row>
    <row r="3936" spans="1:11" x14ac:dyDescent="0.25">
      <c r="A3936" s="1">
        <v>0.73194444444444495</v>
      </c>
      <c r="B3936" s="2">
        <v>6.17</v>
      </c>
      <c r="C3936" s="2">
        <v>3.63</v>
      </c>
      <c r="D3936" s="2">
        <v>4.92</v>
      </c>
      <c r="E3936" s="2">
        <v>5.24</v>
      </c>
      <c r="F3936" s="2">
        <v>3.33</v>
      </c>
      <c r="G3936" s="6">
        <v>1079.1392259770785</v>
      </c>
      <c r="H3936">
        <v>1000.3829860710762</v>
      </c>
      <c r="I3936">
        <v>664.91733595246433</v>
      </c>
      <c r="J3936">
        <v>1156.6555246526509</v>
      </c>
      <c r="K3936">
        <v>942.15138982965902</v>
      </c>
    </row>
    <row r="3937" spans="1:11" x14ac:dyDescent="0.25">
      <c r="A3937" s="1">
        <v>0.73263888888888895</v>
      </c>
      <c r="B3937" s="2">
        <v>6.33</v>
      </c>
      <c r="C3937" s="2">
        <v>3.9099999999999997</v>
      </c>
      <c r="D3937" s="2">
        <v>5.13</v>
      </c>
      <c r="E3937" s="2">
        <v>5.79</v>
      </c>
      <c r="F3937" s="2">
        <v>3.1</v>
      </c>
      <c r="G3937" s="6">
        <v>848.77836026343016</v>
      </c>
      <c r="H3937">
        <v>849.83404164470312</v>
      </c>
      <c r="I3937">
        <v>354.99898666800982</v>
      </c>
      <c r="J3937">
        <v>756.36828852864232</v>
      </c>
      <c r="K3937">
        <v>513.08453790632802</v>
      </c>
    </row>
    <row r="3938" spans="1:11" x14ac:dyDescent="0.25">
      <c r="A3938" s="1">
        <v>0.73333333333333295</v>
      </c>
      <c r="B3938" s="2">
        <v>6.23</v>
      </c>
      <c r="C3938" s="2">
        <v>3.84</v>
      </c>
      <c r="D3938" s="2">
        <v>5.01</v>
      </c>
      <c r="E3938" s="2">
        <v>5.7</v>
      </c>
      <c r="F3938" s="2">
        <v>3.37</v>
      </c>
      <c r="G3938" s="6">
        <v>1293.995865700969</v>
      </c>
      <c r="H3938">
        <v>1451.7406078630884</v>
      </c>
      <c r="I3938">
        <v>1002.2270185658465</v>
      </c>
      <c r="J3938">
        <v>1423.5900075835766</v>
      </c>
      <c r="K3938">
        <v>1253.2090631013266</v>
      </c>
    </row>
    <row r="3939" spans="1:11" x14ac:dyDescent="0.25">
      <c r="A3939" s="1">
        <v>0.73402777777777795</v>
      </c>
      <c r="B3939" s="2">
        <v>6.3</v>
      </c>
      <c r="C3939" s="2">
        <v>3.84</v>
      </c>
      <c r="D3939" s="2">
        <v>4.9399999999999995</v>
      </c>
      <c r="E3939" s="2">
        <v>5.72</v>
      </c>
      <c r="F3939" s="2">
        <v>2.96</v>
      </c>
      <c r="G3939" s="6">
        <v>1515.592304703365</v>
      </c>
      <c r="H3939">
        <v>1634.427509845051</v>
      </c>
      <c r="I3939">
        <v>1352.9366751421835</v>
      </c>
      <c r="J3939">
        <v>1393.9194708697635</v>
      </c>
      <c r="K3939">
        <v>1723.7427853068732</v>
      </c>
    </row>
    <row r="3940" spans="1:11" x14ac:dyDescent="0.25">
      <c r="A3940" s="1">
        <v>0.73472222222222205</v>
      </c>
      <c r="B3940" s="2">
        <v>6.17</v>
      </c>
      <c r="C3940" s="2">
        <v>3.7199999999999998</v>
      </c>
      <c r="D3940" s="2">
        <v>5.0999999999999996</v>
      </c>
      <c r="E3940" s="2">
        <v>5.7</v>
      </c>
      <c r="F3940" s="2">
        <v>3.4000000000000004</v>
      </c>
      <c r="G3940" s="6">
        <v>1815.8474214288726</v>
      </c>
      <c r="H3940">
        <v>1633.5654501133263</v>
      </c>
      <c r="I3940">
        <v>1396.6266273986939</v>
      </c>
      <c r="J3940">
        <v>1583.229861374364</v>
      </c>
      <c r="K3940">
        <v>1393.5384614854242</v>
      </c>
    </row>
    <row r="3941" spans="1:11" x14ac:dyDescent="0.25">
      <c r="A3941" s="1">
        <v>0.73541666666666705</v>
      </c>
      <c r="B3941" s="2">
        <v>6.36</v>
      </c>
      <c r="C3941" s="2">
        <v>3.75</v>
      </c>
      <c r="D3941" s="2">
        <v>5.12</v>
      </c>
      <c r="E3941" s="2">
        <v>5.78</v>
      </c>
      <c r="F3941" s="2">
        <v>3.3400000000000003</v>
      </c>
      <c r="G3941" s="6">
        <v>1563.3418247314319</v>
      </c>
      <c r="H3941">
        <v>1662.5310584884728</v>
      </c>
      <c r="I3941">
        <v>1503.8063309414549</v>
      </c>
      <c r="J3941">
        <v>1566.8295743982524</v>
      </c>
      <c r="K3941">
        <v>1595.3429065092653</v>
      </c>
    </row>
    <row r="3942" spans="1:11" x14ac:dyDescent="0.25">
      <c r="A3942" s="1">
        <v>0.73611111111111105</v>
      </c>
      <c r="B3942" s="2">
        <v>6.18</v>
      </c>
      <c r="C3942" s="2">
        <v>3.76</v>
      </c>
      <c r="D3942" s="2">
        <v>5.0999999999999996</v>
      </c>
      <c r="E3942" s="2">
        <v>5.78</v>
      </c>
      <c r="F3942" s="2">
        <v>3</v>
      </c>
      <c r="G3942" s="6">
        <v>1874.4151104701934</v>
      </c>
      <c r="H3942">
        <v>1972.1206030040883</v>
      </c>
      <c r="I3942">
        <v>1701.668999799843</v>
      </c>
      <c r="J3942">
        <v>1981.41434573374</v>
      </c>
      <c r="K3942">
        <v>1812.115946877773</v>
      </c>
    </row>
    <row r="3943" spans="1:11" x14ac:dyDescent="0.25">
      <c r="A3943" s="1">
        <v>0.73680555555555605</v>
      </c>
      <c r="B3943" s="2">
        <v>6.21</v>
      </c>
      <c r="C3943" s="2">
        <v>3.84</v>
      </c>
      <c r="D3943" s="2">
        <v>5.12</v>
      </c>
      <c r="E3943" s="2">
        <v>5.52</v>
      </c>
      <c r="F3943" s="2">
        <v>3.18</v>
      </c>
      <c r="G3943" s="6">
        <v>3057.6133721520482</v>
      </c>
      <c r="H3943">
        <v>3115.0502059988235</v>
      </c>
      <c r="I3943">
        <v>2536.6599062732234</v>
      </c>
      <c r="J3943">
        <v>3007.9046693977793</v>
      </c>
      <c r="K3943">
        <v>3043.6978701708676</v>
      </c>
    </row>
    <row r="3944" spans="1:11" x14ac:dyDescent="0.25">
      <c r="A3944" s="1">
        <v>0.73750000000000004</v>
      </c>
      <c r="B3944" s="2">
        <v>6.18</v>
      </c>
      <c r="C3944" s="2">
        <v>3.81</v>
      </c>
      <c r="D3944" s="2">
        <v>5.39</v>
      </c>
      <c r="E3944" s="2">
        <v>5.7</v>
      </c>
      <c r="F3944" s="2">
        <v>3.4000000000000004</v>
      </c>
      <c r="G3944" s="6">
        <v>1275.3024190947137</v>
      </c>
      <c r="H3944">
        <v>1425.9490186660241</v>
      </c>
      <c r="I3944">
        <v>900.11386316608025</v>
      </c>
      <c r="J3944">
        <v>1525.1133038476758</v>
      </c>
      <c r="K3944">
        <v>1538.376106330659</v>
      </c>
    </row>
    <row r="3945" spans="1:11" x14ac:dyDescent="0.25">
      <c r="A3945" s="1">
        <v>0.73819444444444404</v>
      </c>
      <c r="B3945" s="2">
        <v>6.3100000000000005</v>
      </c>
      <c r="C3945" s="2">
        <v>3.86</v>
      </c>
      <c r="D3945" s="2">
        <v>5.0199999999999996</v>
      </c>
      <c r="E3945" s="2">
        <v>5.72</v>
      </c>
      <c r="F3945" s="2">
        <v>3.0700000000000003</v>
      </c>
      <c r="G3945" s="6">
        <v>926.36465940100265</v>
      </c>
      <c r="H3945">
        <v>874.81500161990186</v>
      </c>
      <c r="I3945">
        <v>607.828176753246</v>
      </c>
      <c r="J3945">
        <v>745.93536097759295</v>
      </c>
      <c r="K3945">
        <v>800.36528766393872</v>
      </c>
    </row>
    <row r="3946" spans="1:11" x14ac:dyDescent="0.25">
      <c r="A3946" s="1">
        <v>0.73888888888888904</v>
      </c>
      <c r="B3946" s="2">
        <v>6.38</v>
      </c>
      <c r="C3946" s="2">
        <v>3.9099999999999997</v>
      </c>
      <c r="D3946" s="2">
        <v>5.27</v>
      </c>
      <c r="E3946" s="2">
        <v>5.6</v>
      </c>
      <c r="F3946" s="2">
        <v>3.13</v>
      </c>
      <c r="G3946" s="6">
        <v>1079.698746921161</v>
      </c>
      <c r="H3946">
        <v>999.71987750006156</v>
      </c>
      <c r="I3946">
        <v>465.15663235240407</v>
      </c>
      <c r="J3946">
        <v>1151.2050250506622</v>
      </c>
      <c r="K3946">
        <v>962.01264681268253</v>
      </c>
    </row>
    <row r="3947" spans="1:11" x14ac:dyDescent="0.25">
      <c r="A3947" s="1">
        <v>0.73958333333333304</v>
      </c>
      <c r="B3947" s="2">
        <v>6.29</v>
      </c>
      <c r="C3947" s="2">
        <v>3.6399999999999997</v>
      </c>
      <c r="D3947" s="2">
        <v>5.14</v>
      </c>
      <c r="E3947" s="2">
        <v>5.26</v>
      </c>
      <c r="F3947" s="2">
        <v>3.31</v>
      </c>
      <c r="G3947" s="6">
        <v>1305.8015552827683</v>
      </c>
      <c r="H3947">
        <v>1347.2985337387254</v>
      </c>
      <c r="I3947">
        <v>884.9188861263608</v>
      </c>
      <c r="J3947">
        <v>1519.7405264904542</v>
      </c>
      <c r="K3947">
        <v>1259.0985906427409</v>
      </c>
    </row>
    <row r="3948" spans="1:11" x14ac:dyDescent="0.25">
      <c r="A3948" s="1">
        <v>0.74027777777777803</v>
      </c>
      <c r="B3948" s="2">
        <v>6.13</v>
      </c>
      <c r="C3948" s="2">
        <v>3.76</v>
      </c>
      <c r="D3948" s="2">
        <v>4.9399999999999995</v>
      </c>
      <c r="E3948" s="2">
        <v>5.6899999999999995</v>
      </c>
      <c r="F3948" s="2">
        <v>3.17</v>
      </c>
      <c r="G3948" s="6">
        <v>800.41934591902361</v>
      </c>
      <c r="H3948">
        <v>934.70071498112293</v>
      </c>
      <c r="I3948">
        <v>443.06745113955441</v>
      </c>
      <c r="J3948">
        <v>898.48457706848967</v>
      </c>
      <c r="K3948">
        <v>647.01355376232289</v>
      </c>
    </row>
    <row r="3949" spans="1:11" x14ac:dyDescent="0.25">
      <c r="A3949" s="1">
        <v>0.74097222222222203</v>
      </c>
      <c r="B3949" s="2">
        <v>6.26</v>
      </c>
      <c r="C3949" s="2">
        <v>3.8499999999999996</v>
      </c>
      <c r="D3949" s="2">
        <v>5.0999999999999996</v>
      </c>
      <c r="E3949" s="2">
        <v>5.65</v>
      </c>
      <c r="F3949" s="2">
        <v>2.96</v>
      </c>
      <c r="G3949" s="6">
        <v>2154.7516358651696</v>
      </c>
      <c r="H3949">
        <v>2322.8831996765189</v>
      </c>
      <c r="I3949">
        <v>1496.1799977303883</v>
      </c>
      <c r="J3949">
        <v>2025.3879877693234</v>
      </c>
      <c r="K3949">
        <v>2025.9717250603785</v>
      </c>
    </row>
    <row r="3950" spans="1:11" x14ac:dyDescent="0.25">
      <c r="A3950" s="1">
        <v>0.74166666666666703</v>
      </c>
      <c r="B3950" s="2">
        <v>6.12</v>
      </c>
      <c r="C3950" s="2">
        <v>3.86</v>
      </c>
      <c r="D3950" s="2">
        <v>5.39</v>
      </c>
      <c r="E3950" s="2">
        <v>5.62</v>
      </c>
      <c r="F3950" s="2">
        <v>2.92</v>
      </c>
      <c r="G3950" s="6">
        <v>2415.816735414377</v>
      </c>
      <c r="H3950">
        <v>2252.4009079896532</v>
      </c>
      <c r="I3950">
        <v>1960.4794328372814</v>
      </c>
      <c r="J3950">
        <v>2244.1661011969468</v>
      </c>
      <c r="K3950">
        <v>2170.2388670918594</v>
      </c>
    </row>
    <row r="3951" spans="1:11" x14ac:dyDescent="0.25">
      <c r="A3951" s="1">
        <v>0.74236111111111103</v>
      </c>
      <c r="B3951" s="2">
        <v>6.21</v>
      </c>
      <c r="C3951" s="2">
        <v>3.82</v>
      </c>
      <c r="D3951" s="2">
        <v>5.3599999999999994</v>
      </c>
      <c r="E3951" s="2">
        <v>5.29</v>
      </c>
      <c r="F3951" s="2">
        <v>3.14</v>
      </c>
      <c r="G3951" s="6">
        <v>1399.2827821321857</v>
      </c>
      <c r="H3951">
        <v>1503.0044561703319</v>
      </c>
      <c r="I3951">
        <v>1147.7650427147016</v>
      </c>
      <c r="J3951">
        <v>1363.2798005912859</v>
      </c>
      <c r="K3951">
        <v>1346.8125966323619</v>
      </c>
    </row>
    <row r="3952" spans="1:11" x14ac:dyDescent="0.25">
      <c r="A3952" s="1">
        <v>0.74305555555555602</v>
      </c>
      <c r="B3952" s="2">
        <v>6.32</v>
      </c>
      <c r="C3952" s="2">
        <v>3.87</v>
      </c>
      <c r="D3952" s="2">
        <v>5.13</v>
      </c>
      <c r="E3952" s="2">
        <v>5.46</v>
      </c>
      <c r="F3952" s="2">
        <v>3.0500000000000003</v>
      </c>
      <c r="G3952" s="6">
        <v>1077.8937779323542</v>
      </c>
      <c r="H3952">
        <v>1179.8056678002472</v>
      </c>
      <c r="I3952">
        <v>635.3449779985915</v>
      </c>
      <c r="J3952">
        <v>1107.3249889747731</v>
      </c>
      <c r="K3952">
        <v>897.29726325109255</v>
      </c>
    </row>
    <row r="3953" spans="1:11" x14ac:dyDescent="0.25">
      <c r="A3953" s="1">
        <v>0.74375000000000002</v>
      </c>
      <c r="B3953" s="2">
        <v>6.19</v>
      </c>
      <c r="C3953" s="2">
        <v>3.8899999999999997</v>
      </c>
      <c r="D3953" s="2">
        <v>5.08</v>
      </c>
      <c r="E3953" s="2">
        <v>5.58</v>
      </c>
      <c r="F3953" s="2">
        <v>3.14</v>
      </c>
      <c r="G3953" s="6">
        <v>2255.8934172808035</v>
      </c>
      <c r="H3953">
        <v>2218.8055988769938</v>
      </c>
      <c r="I3953">
        <v>1747.2925016716497</v>
      </c>
      <c r="J3953">
        <v>1896.8313779341343</v>
      </c>
      <c r="K3953">
        <v>2042.5429786169739</v>
      </c>
    </row>
    <row r="3954" spans="1:11" x14ac:dyDescent="0.25">
      <c r="A3954" s="1">
        <v>0.74444444444444402</v>
      </c>
      <c r="B3954" s="2">
        <v>6.26</v>
      </c>
      <c r="C3954" s="2">
        <v>3.76</v>
      </c>
      <c r="D3954" s="2">
        <v>4.8899999999999997</v>
      </c>
      <c r="E3954" s="2">
        <v>5.65</v>
      </c>
      <c r="F3954" s="2">
        <v>2.98</v>
      </c>
      <c r="G3954" s="6">
        <v>1572.8092085888381</v>
      </c>
      <c r="H3954">
        <v>1375.1540783603323</v>
      </c>
      <c r="I3954">
        <v>957.84933384589192</v>
      </c>
      <c r="J3954">
        <v>958.27927861416185</v>
      </c>
      <c r="K3954">
        <v>1051.2690964274757</v>
      </c>
    </row>
    <row r="3955" spans="1:11" x14ac:dyDescent="0.25">
      <c r="A3955" s="1">
        <v>0.74513888888888902</v>
      </c>
      <c r="B3955" s="2">
        <v>6.29</v>
      </c>
      <c r="C3955" s="2">
        <v>3.84</v>
      </c>
      <c r="D3955" s="2">
        <v>5.04</v>
      </c>
      <c r="E3955" s="2">
        <v>5.2299999999999995</v>
      </c>
      <c r="F3955" s="2">
        <v>3.3400000000000003</v>
      </c>
      <c r="G3955" s="6">
        <v>1346.707803109168</v>
      </c>
      <c r="H3955">
        <v>1536.5628249086801</v>
      </c>
      <c r="I3955">
        <v>933.82399184833025</v>
      </c>
      <c r="J3955">
        <v>1413.7963493964016</v>
      </c>
      <c r="K3955">
        <v>1143.618485282137</v>
      </c>
    </row>
    <row r="3956" spans="1:11" x14ac:dyDescent="0.25">
      <c r="A3956" s="1">
        <v>0.74583333333333302</v>
      </c>
      <c r="B3956" s="2">
        <v>6.21</v>
      </c>
      <c r="C3956" s="2">
        <v>3.7399999999999998</v>
      </c>
      <c r="D3956" s="2">
        <v>5.09</v>
      </c>
      <c r="E3956" s="2">
        <v>5.71</v>
      </c>
      <c r="F3956" s="2">
        <v>2.98</v>
      </c>
      <c r="G3956" s="6">
        <v>761.91254470447984</v>
      </c>
      <c r="H3956">
        <v>1093.4355620124552</v>
      </c>
      <c r="I3956">
        <v>335.57995909665476</v>
      </c>
      <c r="J3956">
        <v>725.88848617693327</v>
      </c>
      <c r="K3956">
        <v>599.60935243692381</v>
      </c>
    </row>
    <row r="3957" spans="1:11" x14ac:dyDescent="0.25">
      <c r="A3957" s="1">
        <v>0.74652777777777801</v>
      </c>
      <c r="B3957" s="2">
        <v>6.19</v>
      </c>
      <c r="C3957" s="2">
        <v>3.92</v>
      </c>
      <c r="D3957" s="2">
        <v>5.3199999999999994</v>
      </c>
      <c r="E3957" s="2">
        <v>5.41</v>
      </c>
      <c r="F3957" s="2">
        <v>2.96</v>
      </c>
      <c r="G3957" s="6">
        <v>758.86881119202121</v>
      </c>
      <c r="H3957">
        <v>656.87138693980148</v>
      </c>
      <c r="I3957">
        <v>270.84743524800524</v>
      </c>
      <c r="J3957">
        <v>637.54216011683945</v>
      </c>
      <c r="K3957">
        <v>834.77781505870428</v>
      </c>
    </row>
    <row r="3958" spans="1:11" x14ac:dyDescent="0.25">
      <c r="A3958" s="1">
        <v>0.74722222222222201</v>
      </c>
      <c r="B3958" s="2">
        <v>6.32</v>
      </c>
      <c r="C3958" s="2">
        <v>3.78</v>
      </c>
      <c r="D3958" s="2">
        <v>4.9499999999999993</v>
      </c>
      <c r="E3958" s="2">
        <v>5.2</v>
      </c>
      <c r="F3958" s="2">
        <v>3.24</v>
      </c>
      <c r="G3958" s="6">
        <v>992.76964812995789</v>
      </c>
      <c r="H3958">
        <v>1360.8657294812529</v>
      </c>
      <c r="I3958">
        <v>623.05343055949038</v>
      </c>
      <c r="J3958">
        <v>1195.5483640561724</v>
      </c>
      <c r="K3958">
        <v>847.89263787336358</v>
      </c>
    </row>
    <row r="3959" spans="1:11" x14ac:dyDescent="0.25">
      <c r="A3959" s="1">
        <v>0.74791666666666701</v>
      </c>
      <c r="B3959" s="2">
        <v>6.36</v>
      </c>
      <c r="C3959" s="2">
        <v>3.81</v>
      </c>
      <c r="D3959" s="2">
        <v>5.2399999999999993</v>
      </c>
      <c r="E3959" s="2">
        <v>5.57</v>
      </c>
      <c r="F3959" s="2">
        <v>3.0300000000000002</v>
      </c>
      <c r="G3959" s="6">
        <v>594.18890282794518</v>
      </c>
      <c r="H3959">
        <v>786.90258657500317</v>
      </c>
      <c r="I3959">
        <v>481.33698357178861</v>
      </c>
      <c r="J3959">
        <v>412.34631958016018</v>
      </c>
      <c r="K3959">
        <v>766.30933354283195</v>
      </c>
    </row>
    <row r="3960" spans="1:11" x14ac:dyDescent="0.25">
      <c r="A3960" s="1">
        <v>0.74861111111111101</v>
      </c>
      <c r="B3960" s="2">
        <v>6.22</v>
      </c>
      <c r="C3960" s="2">
        <v>3.84</v>
      </c>
      <c r="D3960" s="2">
        <v>5.04</v>
      </c>
      <c r="E3960" s="2">
        <v>5.1899999999999995</v>
      </c>
      <c r="F3960" s="2">
        <v>3.21</v>
      </c>
      <c r="G3960" s="6">
        <v>1026.5623924935105</v>
      </c>
      <c r="H3960">
        <v>730.99354668821343</v>
      </c>
      <c r="I3960">
        <v>348.33210999594957</v>
      </c>
      <c r="J3960">
        <v>821.9011317331184</v>
      </c>
      <c r="K3960">
        <v>672.30456947379707</v>
      </c>
    </row>
    <row r="3961" spans="1:11" x14ac:dyDescent="0.25">
      <c r="A3961" s="1">
        <v>0.749305555555556</v>
      </c>
      <c r="B3961" s="2">
        <v>6.12</v>
      </c>
      <c r="C3961" s="2">
        <v>3.67</v>
      </c>
      <c r="D3961" s="2">
        <v>4.9499999999999993</v>
      </c>
      <c r="E3961" s="2">
        <v>5.64</v>
      </c>
      <c r="F3961" s="2">
        <v>3.4000000000000004</v>
      </c>
      <c r="G3961" s="6">
        <v>469.39692781649262</v>
      </c>
      <c r="H3961">
        <v>810.23655819902638</v>
      </c>
      <c r="I3961">
        <v>148.27389467094071</v>
      </c>
      <c r="J3961">
        <v>483.21766880894961</v>
      </c>
      <c r="K3961">
        <v>537.34938735975584</v>
      </c>
    </row>
    <row r="3962" spans="1:11" x14ac:dyDescent="0.25">
      <c r="A3962" s="3">
        <v>0.75</v>
      </c>
      <c r="B3962" s="2">
        <v>6.24</v>
      </c>
      <c r="C3962" s="2">
        <v>3.82</v>
      </c>
      <c r="D3962" s="2">
        <v>5.12</v>
      </c>
      <c r="E3962" s="2">
        <v>5.41</v>
      </c>
      <c r="F3962" s="2">
        <v>3.24</v>
      </c>
      <c r="G3962" s="6">
        <v>654</v>
      </c>
      <c r="H3962" s="6">
        <v>873</v>
      </c>
      <c r="I3962" s="6">
        <v>375</v>
      </c>
      <c r="J3962" s="6">
        <v>311</v>
      </c>
      <c r="K3962" s="6">
        <v>543</v>
      </c>
    </row>
    <row r="3963" spans="1:11" x14ac:dyDescent="0.25">
      <c r="A3963" s="1">
        <v>0.750694444444444</v>
      </c>
      <c r="B3963" s="2">
        <v>6.21</v>
      </c>
      <c r="C3963" s="2">
        <v>3.7199999999999998</v>
      </c>
      <c r="D3963" s="2">
        <v>5.22</v>
      </c>
      <c r="E3963" s="2">
        <v>5.31</v>
      </c>
      <c r="F3963" s="2">
        <v>3.0900000000000003</v>
      </c>
      <c r="G3963" s="6">
        <v>735.70736675794546</v>
      </c>
      <c r="H3963" s="6">
        <f>(G3963+73)+46.4794434128487</f>
        <v>855.18681017079416</v>
      </c>
      <c r="I3963" s="6">
        <f>(G3963-229)+19.1644565268826</f>
        <v>525.871823284828</v>
      </c>
      <c r="J3963" s="6">
        <f>(I3963-113)-71.1798905622444</f>
        <v>341.6919327225836</v>
      </c>
      <c r="K3963" s="6">
        <f>(J3963-32)+49.9443955138186</f>
        <v>359.63632823640216</v>
      </c>
    </row>
    <row r="3964" spans="1:11" x14ac:dyDescent="0.25">
      <c r="A3964" s="1">
        <v>0.75138888888888899</v>
      </c>
      <c r="B3964" s="2">
        <v>6.29</v>
      </c>
      <c r="C3964" s="2">
        <v>3.73</v>
      </c>
      <c r="D3964" s="2">
        <v>5.18</v>
      </c>
      <c r="E3964" s="2">
        <v>5.6899999999999995</v>
      </c>
      <c r="F3964" s="2">
        <v>3.0900000000000003</v>
      </c>
      <c r="G3964" s="6">
        <v>500.11852795716965</v>
      </c>
      <c r="H3964" s="6">
        <f>(G3964+73)+29.4381053852367</f>
        <v>602.55663334240626</v>
      </c>
      <c r="I3964" s="6">
        <f>(G3964-229)+7.7818090167519</f>
        <v>278.90033697392153</v>
      </c>
      <c r="J3964" s="6">
        <v>155.55680784205083</v>
      </c>
      <c r="K3964" s="6">
        <f>(J3964-32)+67.8111294929622</f>
        <v>191.36793733501307</v>
      </c>
    </row>
    <row r="3965" spans="1:11" x14ac:dyDescent="0.25">
      <c r="A3965" s="1">
        <v>0.75208333333333299</v>
      </c>
      <c r="B3965" s="2">
        <v>6.19</v>
      </c>
      <c r="C3965" s="2">
        <v>3.6799999999999997</v>
      </c>
      <c r="D3965" s="2">
        <v>5.16</v>
      </c>
      <c r="E3965" s="2">
        <v>5.68</v>
      </c>
      <c r="F3965" s="2">
        <v>3.24</v>
      </c>
      <c r="G3965" s="6">
        <v>1047.0091547069594</v>
      </c>
      <c r="H3965" s="6">
        <f>(G3965+73)+59.7175084969489</f>
        <v>1179.7266632039084</v>
      </c>
      <c r="I3965" s="6">
        <v>893.35710227785512</v>
      </c>
      <c r="J3965" s="6">
        <f>(I3965-113)-76.1969395061901</f>
        <v>704.160162771665</v>
      </c>
      <c r="K3965" s="6">
        <v>780.93148549553007</v>
      </c>
    </row>
    <row r="3966" spans="1:11" x14ac:dyDescent="0.25">
      <c r="A3966" s="1">
        <v>0.75277777777777799</v>
      </c>
      <c r="B3966" s="2">
        <v>6.21</v>
      </c>
      <c r="C3966" s="2">
        <v>3.8899999999999997</v>
      </c>
      <c r="D3966" s="2">
        <v>5.22</v>
      </c>
      <c r="E3966" s="2">
        <v>5.14</v>
      </c>
      <c r="F3966" s="2">
        <v>3.37</v>
      </c>
      <c r="G3966" s="6">
        <v>622.81235663090399</v>
      </c>
      <c r="H3966" s="6">
        <f>(G3966+73)+67.2068693186736</f>
        <v>763.0192259495775</v>
      </c>
      <c r="I3966" s="6">
        <v>343.6851123876524</v>
      </c>
      <c r="J3966" s="6">
        <v>250.23000600640722</v>
      </c>
      <c r="K3966" s="6">
        <v>348.37123814068008</v>
      </c>
    </row>
    <row r="3967" spans="1:11" x14ac:dyDescent="0.25">
      <c r="A3967" s="1">
        <v>0.75347222222222199</v>
      </c>
      <c r="B3967" s="2">
        <v>6.3500000000000005</v>
      </c>
      <c r="C3967" s="2">
        <v>3.7399999999999998</v>
      </c>
      <c r="D3967" s="2">
        <v>5.2799999999999994</v>
      </c>
      <c r="E3967" s="2">
        <v>5.4799999999999995</v>
      </c>
      <c r="F3967" s="2">
        <v>2.94</v>
      </c>
      <c r="G3967" s="6">
        <v>585.21798146437675</v>
      </c>
      <c r="H3967" s="6">
        <f>(G3967+73)+48.4952432852925</f>
        <v>706.71322474966917</v>
      </c>
      <c r="I3967" s="6">
        <f>(G3967-229)+75.3493885221995</f>
        <v>431.56736998657624</v>
      </c>
      <c r="J3967" s="6">
        <v>355.54797942015108</v>
      </c>
      <c r="K3967" s="6">
        <f>(J3967-32)+62.8999603711159</f>
        <v>386.447939791267</v>
      </c>
    </row>
    <row r="3968" spans="1:11" x14ac:dyDescent="0.25">
      <c r="A3968" s="1">
        <v>0.75416666666666698</v>
      </c>
      <c r="B3968" s="2">
        <v>6.38</v>
      </c>
      <c r="C3968" s="2">
        <v>3.86</v>
      </c>
      <c r="D3968" s="2">
        <v>5.27</v>
      </c>
      <c r="E3968" s="2">
        <v>5.4399999999999995</v>
      </c>
      <c r="F3968" s="2">
        <v>3</v>
      </c>
      <c r="G3968" s="6">
        <v>831.66973317379905</v>
      </c>
      <c r="H3968" s="6">
        <f>(G3968+73)+27.5724627362537</f>
        <v>932.24219591005271</v>
      </c>
      <c r="I3968" s="6">
        <f>(G3968-229)+76.2837256618573</f>
        <v>678.95345883565642</v>
      </c>
      <c r="J3968" s="6">
        <f>(I3968-113)-10.5886827338356</f>
        <v>555.36477610182078</v>
      </c>
      <c r="K3968" s="6">
        <f>(J3968-32)+69.9965186926412</f>
        <v>593.36129479446197</v>
      </c>
    </row>
    <row r="3969" spans="1:11" x14ac:dyDescent="0.25">
      <c r="A3969" s="1">
        <v>0.75486111111111098</v>
      </c>
      <c r="B3969" s="2">
        <v>6.34</v>
      </c>
      <c r="C3969" s="2">
        <v>3.77</v>
      </c>
      <c r="D3969" s="2">
        <v>5.2299999999999995</v>
      </c>
      <c r="E3969" s="2">
        <v>5.2299999999999995</v>
      </c>
      <c r="F3969" s="2">
        <v>3.14</v>
      </c>
      <c r="G3969" s="6">
        <v>648.22683794212924</v>
      </c>
      <c r="H3969" s="6">
        <f>(G3969+73)+7.89411556059281</f>
        <v>729.12095350272205</v>
      </c>
      <c r="I3969" s="6">
        <v>361.13731050748908</v>
      </c>
      <c r="J3969" s="6">
        <v>261.38496178875766</v>
      </c>
      <c r="K3969" s="6">
        <f>(J3969-32)+53.382734905293</f>
        <v>282.7676966940507</v>
      </c>
    </row>
    <row r="3970" spans="1:11" x14ac:dyDescent="0.25">
      <c r="A3970" s="1">
        <v>0.75555555555555598</v>
      </c>
      <c r="B3970" s="2">
        <v>6.22</v>
      </c>
      <c r="C3970" s="2">
        <v>3.8499999999999996</v>
      </c>
      <c r="D3970" s="2">
        <v>5.16</v>
      </c>
      <c r="E3970" s="2">
        <v>5.6</v>
      </c>
      <c r="F3970" s="2">
        <v>3.3200000000000003</v>
      </c>
      <c r="G3970" s="6">
        <v>358.55838387114835</v>
      </c>
      <c r="H3970" s="6">
        <f>(G3970+73)+46.7705300463789</f>
        <v>478.32891391752719</v>
      </c>
      <c r="I3970" s="6">
        <v>457.39642836559426</v>
      </c>
      <c r="J3970" s="6">
        <v>356.13770609676089</v>
      </c>
      <c r="K3970" s="6">
        <v>417.72503389273629</v>
      </c>
    </row>
    <row r="3971" spans="1:11" x14ac:dyDescent="0.25">
      <c r="A3971" s="1">
        <v>0.75624999999999998</v>
      </c>
      <c r="B3971" s="2">
        <v>6.38</v>
      </c>
      <c r="C3971" s="2">
        <v>3.8899999999999997</v>
      </c>
      <c r="D3971" s="2">
        <v>5.14</v>
      </c>
      <c r="E3971" s="2">
        <v>5.6</v>
      </c>
      <c r="F3971" s="2">
        <v>3.21</v>
      </c>
      <c r="G3971" s="6">
        <v>446.91041117676377</v>
      </c>
      <c r="H3971" s="6">
        <f>(G3971+73)+23.6621845761855</f>
        <v>543.57259575294927</v>
      </c>
      <c r="I3971" s="6">
        <v>457.11229162905613</v>
      </c>
      <c r="J3971" s="6">
        <f>(I3971-113)-68.5854986593884</f>
        <v>275.52679296966778</v>
      </c>
      <c r="K3971" s="6">
        <v>337.61314286601936</v>
      </c>
    </row>
    <row r="3972" spans="1:11" x14ac:dyDescent="0.25">
      <c r="A3972" s="1">
        <v>0.75694444444444398</v>
      </c>
      <c r="B3972" s="2">
        <v>6.21</v>
      </c>
      <c r="C3972" s="2">
        <v>3.6999999999999997</v>
      </c>
      <c r="D3972" s="2">
        <v>5.21</v>
      </c>
      <c r="E3972" s="2">
        <v>5.4</v>
      </c>
      <c r="F3972" s="2">
        <v>3</v>
      </c>
      <c r="G3972" s="6">
        <v>804.10901316023126</v>
      </c>
      <c r="H3972" s="6">
        <f>(G3972+73)+71.8427724247267</f>
        <v>948.95178558495797</v>
      </c>
      <c r="I3972" s="6">
        <v>741.38491710531957</v>
      </c>
      <c r="J3972" s="6">
        <v>492.71208656587942</v>
      </c>
      <c r="K3972" s="6">
        <f>(J3972-32)+99.7214414468835</f>
        <v>560.43352801276296</v>
      </c>
    </row>
    <row r="3973" spans="1:11" x14ac:dyDescent="0.25">
      <c r="A3973" s="1">
        <v>0.75763888888888897</v>
      </c>
      <c r="B3973" s="2">
        <v>6.38</v>
      </c>
      <c r="C3973" s="2">
        <v>3.7399999999999998</v>
      </c>
      <c r="D3973" s="2">
        <v>4.9399999999999995</v>
      </c>
      <c r="E3973" s="2">
        <v>5.2</v>
      </c>
      <c r="F3973" s="2">
        <v>2.97</v>
      </c>
      <c r="G3973" s="6">
        <v>732.85363386482402</v>
      </c>
      <c r="H3973" s="6">
        <f>(G3973+73)+88.3495946394853</f>
        <v>894.20322850430932</v>
      </c>
      <c r="I3973" s="6">
        <v>604.39635748567605</v>
      </c>
      <c r="J3973" s="6">
        <v>447.93310866851493</v>
      </c>
      <c r="K3973" s="6">
        <v>491.7593147423442</v>
      </c>
    </row>
    <row r="3974" spans="1:11" x14ac:dyDescent="0.25">
      <c r="A3974" s="1">
        <v>0.75833333333333297</v>
      </c>
      <c r="B3974" s="2">
        <v>6.22</v>
      </c>
      <c r="C3974" s="2">
        <v>3.9</v>
      </c>
      <c r="D3974" s="2">
        <v>5</v>
      </c>
      <c r="E3974" s="2">
        <v>5.65</v>
      </c>
      <c r="F3974" s="2">
        <v>3.37</v>
      </c>
      <c r="G3974" s="6">
        <v>270.00872959830622</v>
      </c>
      <c r="H3974" s="6">
        <f>(G3974+73)+54.8698023274768</f>
        <v>397.87853192578297</v>
      </c>
      <c r="I3974" s="6">
        <v>311.02708795871695</v>
      </c>
      <c r="J3974" s="6">
        <v>113.28305071700804</v>
      </c>
      <c r="K3974" s="6">
        <v>230.5318334017233</v>
      </c>
    </row>
    <row r="3975" spans="1:11" x14ac:dyDescent="0.25">
      <c r="A3975" s="1">
        <v>0.75902777777777797</v>
      </c>
      <c r="B3975" s="2">
        <v>6.33</v>
      </c>
      <c r="C3975" s="2">
        <v>3.65</v>
      </c>
      <c r="D3975" s="2">
        <v>5.31</v>
      </c>
      <c r="E3975" s="2">
        <v>5.68</v>
      </c>
      <c r="F3975" s="2">
        <v>2.95</v>
      </c>
      <c r="G3975" s="6">
        <v>661.58027487511254</v>
      </c>
      <c r="H3975" s="6">
        <f>(G3975+73)+14.3860292796424</f>
        <v>748.96630415475499</v>
      </c>
      <c r="I3975" s="6">
        <f>(G3975-229)+70.5803022773886</f>
        <v>503.16057715250116</v>
      </c>
      <c r="J3975" s="6">
        <f>(I3975-113)-28.3107846579558</f>
        <v>361.84979249454534</v>
      </c>
      <c r="K3975" s="6">
        <f>(J3975-32)+17.6859690347957</f>
        <v>347.53576152934107</v>
      </c>
    </row>
    <row r="3976" spans="1:11" x14ac:dyDescent="0.25">
      <c r="A3976" s="1">
        <v>0.75972222222222197</v>
      </c>
      <c r="B3976" s="2">
        <v>6.2700000000000005</v>
      </c>
      <c r="C3976" s="2">
        <v>3.8</v>
      </c>
      <c r="D3976" s="2">
        <v>5.2799999999999994</v>
      </c>
      <c r="E3976" s="2">
        <v>5.3</v>
      </c>
      <c r="F3976" s="2">
        <v>3.17</v>
      </c>
      <c r="G3976" s="6">
        <v>467.77384482996825</v>
      </c>
      <c r="H3976" s="6">
        <f>(G3976+73)+92.9677965242153</f>
        <v>633.74164135418368</v>
      </c>
      <c r="I3976" s="6">
        <f>(G3976-229)+85.5136194668977</f>
        <v>324.28746429686589</v>
      </c>
      <c r="J3976" s="6">
        <f>(I3976-113)-92.2938431134519</f>
        <v>118.99362118341404</v>
      </c>
      <c r="K3976" s="6">
        <f>(J3976-32)+33.1153033816615</f>
        <v>120.10892456507553</v>
      </c>
    </row>
    <row r="3977" spans="1:11" x14ac:dyDescent="0.25">
      <c r="A3977" s="1">
        <v>0.76041666666666696</v>
      </c>
      <c r="B3977" s="2">
        <v>6.2</v>
      </c>
      <c r="C3977" s="2">
        <v>3.77</v>
      </c>
      <c r="D3977" s="2">
        <v>5.17</v>
      </c>
      <c r="E3977" s="2">
        <v>5.25</v>
      </c>
      <c r="F3977" s="2">
        <v>3.37</v>
      </c>
      <c r="G3977" s="6">
        <v>900.55012311437304</v>
      </c>
      <c r="H3977" s="6">
        <v>923.60652324561408</v>
      </c>
      <c r="I3977" s="6">
        <v>762.81298869505929</v>
      </c>
      <c r="J3977" s="6">
        <f>(I3977-113)-9.74173623338804</f>
        <v>640.07125246167129</v>
      </c>
      <c r="K3977" s="6">
        <v>669.74168854287291</v>
      </c>
    </row>
    <row r="3978" spans="1:11" x14ac:dyDescent="0.25">
      <c r="A3978" s="1">
        <v>0.76111111111111096</v>
      </c>
      <c r="B3978" s="2">
        <v>6.25</v>
      </c>
      <c r="C3978" s="2">
        <v>3.88</v>
      </c>
      <c r="D3978" s="2">
        <v>5.16</v>
      </c>
      <c r="E3978" s="2">
        <v>5.7299999999999995</v>
      </c>
      <c r="F3978" s="2">
        <v>3.39</v>
      </c>
      <c r="G3978" s="6">
        <v>653.6286694793605</v>
      </c>
      <c r="H3978" s="6">
        <v>619.65084850393418</v>
      </c>
      <c r="I3978" s="6">
        <v>521.63547007396937</v>
      </c>
      <c r="J3978" s="6">
        <f>(I3978-113)-4.7616074725406</f>
        <v>403.87386260142875</v>
      </c>
      <c r="K3978" s="6">
        <f>(J3978-32)+30.3733350843759</f>
        <v>402.24719768580462</v>
      </c>
    </row>
    <row r="3979" spans="1:11" x14ac:dyDescent="0.25">
      <c r="A3979" s="1">
        <v>0.76180555555555596</v>
      </c>
      <c r="B3979" s="2">
        <v>6.26</v>
      </c>
      <c r="C3979" s="2">
        <v>3.83</v>
      </c>
      <c r="D3979" s="2">
        <v>4.8999999999999995</v>
      </c>
      <c r="E3979" s="2">
        <v>5.62</v>
      </c>
      <c r="F3979" s="2">
        <v>3.1</v>
      </c>
      <c r="G3979" s="6">
        <v>533.15069204577435</v>
      </c>
      <c r="H3979" s="6">
        <f>(G3979+73)+78.4760507220369</f>
        <v>684.62674276781127</v>
      </c>
      <c r="I3979" s="6">
        <v>479.00998401537043</v>
      </c>
      <c r="J3979" s="6">
        <v>261.48800754179842</v>
      </c>
      <c r="K3979" s="6">
        <f>(J3979-32)+1.79290169380628</f>
        <v>231.2809092356047</v>
      </c>
    </row>
    <row r="3980" spans="1:11" x14ac:dyDescent="0.25">
      <c r="A3980" s="1">
        <v>0.76249999999999996</v>
      </c>
      <c r="B3980" s="2">
        <v>6.25</v>
      </c>
      <c r="C3980" s="2">
        <v>3.6199999999999997</v>
      </c>
      <c r="D3980" s="2">
        <v>5.38</v>
      </c>
      <c r="E3980" s="2">
        <v>5.79</v>
      </c>
      <c r="F3980" s="2">
        <v>3.2600000000000002</v>
      </c>
      <c r="G3980" s="6">
        <v>383.84409488957021</v>
      </c>
      <c r="H3980" s="6">
        <f>(G3980+73)+98.975186801404</f>
        <v>555.81928169097432</v>
      </c>
      <c r="I3980" s="6">
        <v>291.94144733514241</v>
      </c>
      <c r="J3980" s="6">
        <v>143.47651935497302</v>
      </c>
      <c r="K3980" s="6">
        <f>(J3980-32)+29.5602889356563</f>
        <v>141.03680829062927</v>
      </c>
    </row>
    <row r="3981" spans="1:11" x14ac:dyDescent="0.25">
      <c r="A3981" s="1">
        <v>0.76319444444444495</v>
      </c>
      <c r="B3981" s="2">
        <v>6.23</v>
      </c>
      <c r="C3981" s="2">
        <v>3.6999999999999997</v>
      </c>
      <c r="D3981" s="2">
        <v>5.33</v>
      </c>
      <c r="E3981" s="2">
        <v>5.68</v>
      </c>
      <c r="F3981" s="2">
        <v>3.17</v>
      </c>
      <c r="G3981" s="6">
        <v>467.03212794271019</v>
      </c>
      <c r="H3981" s="6">
        <f>(G3981+73)+28.1838290046667</f>
        <v>568.21595694737687</v>
      </c>
      <c r="I3981" s="6">
        <v>394.60512735585991</v>
      </c>
      <c r="J3981" s="6">
        <v>252.36245082568729</v>
      </c>
      <c r="K3981" s="6">
        <v>324.08117690334694</v>
      </c>
    </row>
    <row r="3982" spans="1:11" x14ac:dyDescent="0.25">
      <c r="A3982" s="1">
        <v>0.76388888888888895</v>
      </c>
      <c r="B3982" s="2">
        <v>6.28</v>
      </c>
      <c r="C3982" s="2">
        <v>3.8</v>
      </c>
      <c r="D3982" s="2">
        <v>4.9399999999999995</v>
      </c>
      <c r="E3982" s="2">
        <v>5.6099999999999994</v>
      </c>
      <c r="F3982" s="2">
        <v>3.3000000000000003</v>
      </c>
      <c r="G3982" s="6">
        <v>820.40410270177063</v>
      </c>
      <c r="H3982" s="6">
        <f>(G3982+73)+68.6552786692366</f>
        <v>962.05938137100725</v>
      </c>
      <c r="I3982" s="6">
        <v>625.1846467803424</v>
      </c>
      <c r="J3982" s="6">
        <f>(I3982-113)-70.6050825257276</f>
        <v>441.57956425461487</v>
      </c>
      <c r="K3982" s="6">
        <v>517.05003572105841</v>
      </c>
    </row>
    <row r="3983" spans="1:11" x14ac:dyDescent="0.25">
      <c r="A3983" s="1">
        <v>0.76458333333333295</v>
      </c>
      <c r="B3983" s="2">
        <v>6.13</v>
      </c>
      <c r="C3983" s="2">
        <v>3.82</v>
      </c>
      <c r="D3983" s="2">
        <v>4.92</v>
      </c>
      <c r="E3983" s="2">
        <v>5.28</v>
      </c>
      <c r="F3983" s="2">
        <v>2.91</v>
      </c>
      <c r="G3983" s="6">
        <v>569.53358365731833</v>
      </c>
      <c r="H3983" s="6">
        <v>632.24634852647978</v>
      </c>
      <c r="I3983" s="6">
        <v>280.01092215549852</v>
      </c>
      <c r="J3983" s="6">
        <v>77.074348507368896</v>
      </c>
      <c r="K3983" s="6">
        <v>166.52412741490281</v>
      </c>
    </row>
    <row r="3984" spans="1:11" x14ac:dyDescent="0.25">
      <c r="A3984" s="1">
        <v>0.76527777777777795</v>
      </c>
      <c r="B3984" s="2">
        <v>6.33</v>
      </c>
      <c r="C3984" s="2">
        <v>3.9099999999999997</v>
      </c>
      <c r="D3984" s="2">
        <v>5.3199999999999994</v>
      </c>
      <c r="E3984" s="2">
        <v>5.68</v>
      </c>
      <c r="F3984" s="2">
        <v>3.31</v>
      </c>
      <c r="G3984" s="6">
        <v>537.90341634084507</v>
      </c>
      <c r="H3984" s="6">
        <v>581.71630341082914</v>
      </c>
      <c r="I3984" s="6">
        <f>(G3984-229)+98.5108551899125</f>
        <v>407.41427153075756</v>
      </c>
      <c r="J3984" s="6">
        <v>142.02105797259958</v>
      </c>
      <c r="K3984" s="6">
        <v>284.21769977778587</v>
      </c>
    </row>
    <row r="3985" spans="1:15" x14ac:dyDescent="0.25">
      <c r="A3985" s="1">
        <v>0.76597222222222205</v>
      </c>
      <c r="B3985" s="2">
        <v>6.22</v>
      </c>
      <c r="C3985" s="2">
        <v>3.6799999999999997</v>
      </c>
      <c r="D3985" s="2">
        <v>5.18</v>
      </c>
      <c r="E3985" s="2">
        <v>5.55</v>
      </c>
      <c r="F3985" s="2">
        <v>3.1500000000000004</v>
      </c>
      <c r="G3985" s="6">
        <v>745.42784242200423</v>
      </c>
      <c r="H3985" s="6">
        <f>(G3985+73)+83.8992698997127</f>
        <v>902.32711232171687</v>
      </c>
      <c r="I3985" s="6">
        <f>(G3985-229)+38.7507944639339</f>
        <v>555.1786368859382</v>
      </c>
      <c r="J3985" s="6">
        <f>(I3985-113)-80.0708875926304</f>
        <v>362.10774929330785</v>
      </c>
      <c r="K3985" s="6">
        <f>(J3985-32)+2.38002367023556</f>
        <v>332.48777296354342</v>
      </c>
    </row>
    <row r="3986" spans="1:15" x14ac:dyDescent="0.25">
      <c r="A3986" s="1">
        <v>0.76666666666666705</v>
      </c>
      <c r="B3986" s="2">
        <v>6.22</v>
      </c>
      <c r="C3986" s="2">
        <v>3.8899999999999997</v>
      </c>
      <c r="D3986" s="2">
        <v>5.08</v>
      </c>
      <c r="E3986" s="2">
        <v>5.5</v>
      </c>
      <c r="F3986" s="2">
        <v>3.0900000000000003</v>
      </c>
      <c r="G3986" s="6">
        <v>443.91519193450313</v>
      </c>
      <c r="H3986" s="6">
        <v>544.45146307869015</v>
      </c>
      <c r="I3986" s="6">
        <f>(G3986-229)+53.1130814898565</f>
        <v>268.02827342435967</v>
      </c>
      <c r="J3986" s="6">
        <v>30.837989002819555</v>
      </c>
      <c r="K3986" s="6">
        <v>184.73961872608328</v>
      </c>
    </row>
    <row r="3987" spans="1:15" x14ac:dyDescent="0.25">
      <c r="A3987" s="1">
        <v>0.76736111111111105</v>
      </c>
      <c r="B3987" s="2">
        <v>6.3500000000000005</v>
      </c>
      <c r="C3987" s="2">
        <v>3.84</v>
      </c>
      <c r="D3987" s="2">
        <v>5.12</v>
      </c>
      <c r="E3987" s="2">
        <v>5.28</v>
      </c>
      <c r="F3987" s="2">
        <v>2.91</v>
      </c>
      <c r="G3987" s="6">
        <v>354.04236553032462</v>
      </c>
      <c r="H3987" s="6">
        <v>519.00786664392911</v>
      </c>
      <c r="I3987" s="6">
        <v>207.65982332098253</v>
      </c>
      <c r="J3987" s="6">
        <v>106.07853673501667</v>
      </c>
      <c r="K3987" s="6">
        <v>165.53383948409356</v>
      </c>
    </row>
    <row r="3988" spans="1:15" x14ac:dyDescent="0.25">
      <c r="A3988" s="1">
        <v>0.76805555555555605</v>
      </c>
      <c r="B3988" s="2">
        <v>6.15</v>
      </c>
      <c r="C3988" s="2">
        <v>3.6799999999999997</v>
      </c>
      <c r="D3988" s="2">
        <v>5.0999999999999996</v>
      </c>
      <c r="E3988" s="2">
        <v>5.4799999999999995</v>
      </c>
      <c r="F3988" s="2">
        <v>3.21</v>
      </c>
      <c r="G3988" s="6">
        <v>612.9513532622899</v>
      </c>
      <c r="H3988" s="6">
        <v>747.74366582273683</v>
      </c>
      <c r="I3988" s="6">
        <f>(G3988-229)+50.3190592350366</f>
        <v>434.27041249732645</v>
      </c>
      <c r="J3988" s="6">
        <v>160.27320059943503</v>
      </c>
      <c r="K3988" s="6">
        <v>164.66711206991812</v>
      </c>
    </row>
    <row r="3989" spans="1:15" x14ac:dyDescent="0.25">
      <c r="A3989" s="1">
        <v>0.76875000000000004</v>
      </c>
      <c r="B3989" s="2">
        <v>6.19</v>
      </c>
      <c r="C3989" s="2">
        <v>3.7199999999999998</v>
      </c>
      <c r="D3989" s="2">
        <v>5.3</v>
      </c>
      <c r="E3989" s="2">
        <v>5.6</v>
      </c>
      <c r="F3989" s="2">
        <v>2.89</v>
      </c>
      <c r="G3989" s="6">
        <v>335.26310977056897</v>
      </c>
      <c r="H3989" s="6">
        <v>426.54419408546835</v>
      </c>
      <c r="I3989" s="6">
        <v>301.55464211362039</v>
      </c>
      <c r="J3989" s="6">
        <v>122.03197991791934</v>
      </c>
      <c r="K3989" s="6">
        <v>217.96400627667191</v>
      </c>
      <c r="O3989" s="6"/>
    </row>
    <row r="3990" spans="1:15" x14ac:dyDescent="0.25">
      <c r="A3990" s="1">
        <v>0.76944444444444404</v>
      </c>
      <c r="B3990" s="2">
        <v>6.26</v>
      </c>
      <c r="C3990" s="2">
        <v>3.61</v>
      </c>
      <c r="D3990" s="2">
        <v>5.35</v>
      </c>
      <c r="E3990" s="2">
        <v>5.22</v>
      </c>
      <c r="F3990" s="2">
        <v>3.0900000000000003</v>
      </c>
      <c r="G3990" s="6">
        <v>304.23088236770843</v>
      </c>
      <c r="H3990" s="6">
        <v>412.9030293693898</v>
      </c>
      <c r="I3990" s="6">
        <v>198.42465936183478</v>
      </c>
      <c r="J3990" s="6">
        <v>82.312707026725136</v>
      </c>
      <c r="K3990" s="6">
        <v>87.880466041908477</v>
      </c>
    </row>
    <row r="3991" spans="1:15" x14ac:dyDescent="0.25">
      <c r="A3991" s="1">
        <v>0.77013888888888904</v>
      </c>
      <c r="B3991" s="2">
        <v>6.23</v>
      </c>
      <c r="C3991" s="2">
        <v>3.6399999999999997</v>
      </c>
      <c r="D3991" s="2">
        <v>5</v>
      </c>
      <c r="E3991" s="2">
        <v>5.38</v>
      </c>
      <c r="F3991" s="2">
        <v>3.24</v>
      </c>
      <c r="G3991" s="6">
        <v>194.66728008880639</v>
      </c>
      <c r="H3991" s="6">
        <v>208.13430144226209</v>
      </c>
      <c r="I3991" s="6">
        <v>125.34944389623391</v>
      </c>
      <c r="J3991" s="6">
        <v>47.829201922047289</v>
      </c>
      <c r="K3991" s="6">
        <v>108.09474916894963</v>
      </c>
    </row>
    <row r="3992" spans="1:15" x14ac:dyDescent="0.25">
      <c r="A3992" s="1">
        <v>0.77083333333333304</v>
      </c>
      <c r="B3992" s="2">
        <v>6.2700000000000005</v>
      </c>
      <c r="C3992" s="2">
        <v>3.9099999999999997</v>
      </c>
      <c r="D3992" s="2">
        <v>4.9799999999999995</v>
      </c>
      <c r="E3992" s="2">
        <v>5.63</v>
      </c>
      <c r="F3992" s="2">
        <v>2.95</v>
      </c>
      <c r="G3992" s="6">
        <v>127</v>
      </c>
      <c r="H3992" s="6">
        <v>126</v>
      </c>
      <c r="I3992" s="6">
        <v>98</v>
      </c>
      <c r="J3992" s="6">
        <v>88</v>
      </c>
      <c r="K3992" s="6">
        <v>84</v>
      </c>
    </row>
    <row r="3993" spans="1:15" x14ac:dyDescent="0.25">
      <c r="A3993" s="1">
        <v>0.77152777777777803</v>
      </c>
      <c r="B3993" s="2">
        <v>6.34</v>
      </c>
      <c r="C3993" s="2">
        <v>3.88</v>
      </c>
      <c r="D3993" s="2">
        <v>5.1499999999999995</v>
      </c>
      <c r="E3993" s="2">
        <v>5.34</v>
      </c>
      <c r="F3993" s="2">
        <v>3.2</v>
      </c>
      <c r="G3993" s="6">
        <v>123.64671982628852</v>
      </c>
      <c r="H3993" s="6">
        <v>78.643753808186801</v>
      </c>
      <c r="I3993" s="6">
        <v>41.221424021974713</v>
      </c>
      <c r="J3993" s="6">
        <v>112.15161747196116</v>
      </c>
      <c r="K3993" s="6">
        <v>40</v>
      </c>
    </row>
    <row r="3994" spans="1:15" x14ac:dyDescent="0.25">
      <c r="A3994" s="1">
        <v>0.77222222222222203</v>
      </c>
      <c r="B3994" s="2">
        <v>6.21</v>
      </c>
      <c r="C3994" s="2">
        <v>3.82</v>
      </c>
      <c r="D3994" s="2">
        <v>4.9099999999999993</v>
      </c>
      <c r="E3994" s="2">
        <v>5.59</v>
      </c>
      <c r="F3994" s="2">
        <v>3.2</v>
      </c>
      <c r="G3994" s="6">
        <v>68.491491600654911</v>
      </c>
      <c r="H3994" s="6">
        <v>59.668123887945598</v>
      </c>
      <c r="I3994" s="6">
        <v>34.808337870327328</v>
      </c>
      <c r="J3994" s="6">
        <v>46.154857516713847</v>
      </c>
      <c r="K3994" s="6">
        <v>30</v>
      </c>
    </row>
    <row r="3995" spans="1:15" x14ac:dyDescent="0.25">
      <c r="A3995" s="1">
        <v>0.77291666666666703</v>
      </c>
      <c r="B3995" s="2">
        <v>6.24</v>
      </c>
      <c r="C3995" s="2">
        <v>3.9</v>
      </c>
      <c r="D3995" s="2">
        <v>4.9899999999999993</v>
      </c>
      <c r="E3995" s="2">
        <v>5.62</v>
      </c>
      <c r="F3995" s="2">
        <v>3.1500000000000004</v>
      </c>
      <c r="G3995" s="6">
        <v>48.806781246695373</v>
      </c>
      <c r="H3995" s="6">
        <v>39.216931738056381</v>
      </c>
      <c r="I3995" s="6">
        <v>32.281536154948597</v>
      </c>
      <c r="J3995" s="6">
        <v>38.248992462807792</v>
      </c>
      <c r="K3995" s="6">
        <v>31.150495750251373</v>
      </c>
    </row>
    <row r="3996" spans="1:15" x14ac:dyDescent="0.25">
      <c r="A3996" s="1">
        <v>0.77361111111111103</v>
      </c>
      <c r="B3996" s="2">
        <v>6.17</v>
      </c>
      <c r="C3996" s="2">
        <v>3.77</v>
      </c>
      <c r="D3996" s="2">
        <v>4.9899999999999993</v>
      </c>
      <c r="E3996" s="2">
        <v>5.68</v>
      </c>
      <c r="F3996" s="2">
        <v>3.0900000000000003</v>
      </c>
      <c r="G3996" s="6">
        <v>29.20877235412441</v>
      </c>
      <c r="H3996" s="6">
        <v>28.465135143184334</v>
      </c>
      <c r="I3996" s="6">
        <v>32.297133931333107</v>
      </c>
      <c r="J3996" s="6">
        <v>36.518068386055958</v>
      </c>
      <c r="K3996" s="6">
        <v>34.529170456220129</v>
      </c>
    </row>
    <row r="3997" spans="1:15" x14ac:dyDescent="0.25">
      <c r="A3997" s="1">
        <v>0.77430555555555602</v>
      </c>
      <c r="B3997" s="2">
        <v>6.36</v>
      </c>
      <c r="C3997" s="2">
        <v>3.6599999999999997</v>
      </c>
      <c r="D3997" s="2">
        <v>5.27</v>
      </c>
      <c r="E3997" s="2">
        <v>5.67</v>
      </c>
      <c r="F3997" s="2">
        <v>3.24</v>
      </c>
      <c r="G3997" s="6">
        <v>31.507544941606607</v>
      </c>
      <c r="H3997" s="6">
        <v>23.416265646509331</v>
      </c>
      <c r="I3997" s="6">
        <v>29.462389313108659</v>
      </c>
      <c r="J3997" s="6">
        <v>26.634375062505658</v>
      </c>
      <c r="K3997" s="6">
        <v>32.144069326443628</v>
      </c>
    </row>
    <row r="3998" spans="1:15" x14ac:dyDescent="0.25">
      <c r="A3998" s="1">
        <v>0.77500000000000002</v>
      </c>
      <c r="B3998" s="2">
        <v>6.23</v>
      </c>
      <c r="C3998" s="2">
        <v>3.9</v>
      </c>
      <c r="D3998" s="2">
        <v>5.2399999999999993</v>
      </c>
      <c r="E3998" s="2">
        <v>5.34</v>
      </c>
      <c r="F3998" s="2">
        <v>3.4000000000000004</v>
      </c>
      <c r="G3998" s="6">
        <v>21.815052247237926</v>
      </c>
      <c r="H3998" s="6">
        <v>17.395482904965903</v>
      </c>
      <c r="I3998" s="6">
        <v>17.348103551905091</v>
      </c>
      <c r="J3998" s="6">
        <v>14.926961707500364</v>
      </c>
      <c r="K3998" s="6">
        <v>21.373104691831301</v>
      </c>
    </row>
    <row r="3999" spans="1:15" x14ac:dyDescent="0.25">
      <c r="A3999" s="1">
        <v>0.77569444444444402</v>
      </c>
      <c r="B3999" s="2">
        <v>6.3100000000000005</v>
      </c>
      <c r="C3999" s="2">
        <v>3.88</v>
      </c>
      <c r="D3999" s="2">
        <v>5.16</v>
      </c>
      <c r="E3999" s="2">
        <v>5.71</v>
      </c>
      <c r="F3999" s="2">
        <v>3.3200000000000003</v>
      </c>
      <c r="G3999" s="6">
        <v>23.519521497208512</v>
      </c>
      <c r="H3999" s="6">
        <v>11.68023205172894</v>
      </c>
      <c r="I3999" s="6">
        <v>6.4400971959565236</v>
      </c>
      <c r="J3999" s="6">
        <v>19.480472173286181</v>
      </c>
      <c r="K3999" s="6">
        <v>14.503838530863241</v>
      </c>
    </row>
    <row r="4000" spans="1:15" x14ac:dyDescent="0.25">
      <c r="A4000" s="1">
        <v>0.77638888888888902</v>
      </c>
      <c r="B4000" s="2">
        <v>6.15</v>
      </c>
      <c r="C4000" s="2">
        <v>3.8899999999999997</v>
      </c>
      <c r="D4000" s="2">
        <v>5.22</v>
      </c>
      <c r="E4000" s="2">
        <v>5.59</v>
      </c>
      <c r="F4000" s="2">
        <v>3.13</v>
      </c>
      <c r="G4000" s="6">
        <v>8</v>
      </c>
      <c r="H4000" s="6">
        <v>11.100324763062977</v>
      </c>
      <c r="I4000" s="6">
        <v>9.1587377262880612</v>
      </c>
      <c r="J4000" s="6">
        <v>17.61331004534869</v>
      </c>
      <c r="K4000" s="6">
        <v>9.28916920444418</v>
      </c>
    </row>
    <row r="4001" spans="1:11" x14ac:dyDescent="0.25">
      <c r="A4001" s="1">
        <v>0.77708333333333302</v>
      </c>
      <c r="B4001" s="2">
        <v>6.22</v>
      </c>
      <c r="C4001" s="2">
        <v>3.61</v>
      </c>
      <c r="D4001" s="2">
        <v>5.0599999999999996</v>
      </c>
      <c r="E4001" s="2">
        <v>5.58</v>
      </c>
      <c r="F4001" s="2">
        <v>3.22</v>
      </c>
      <c r="G4001" s="6">
        <v>4</v>
      </c>
      <c r="H4001">
        <v>1.2214666378566104</v>
      </c>
      <c r="I4001" s="6">
        <v>6.6428184692322914</v>
      </c>
      <c r="J4001" s="6">
        <v>7.0400805388080903</v>
      </c>
      <c r="K4001" s="6">
        <v>5.8667766960016312</v>
      </c>
    </row>
    <row r="4002" spans="1:11" x14ac:dyDescent="0.25">
      <c r="A4002" s="1">
        <v>0.77777777777777801</v>
      </c>
      <c r="B4002" s="2">
        <v>6.3100000000000005</v>
      </c>
      <c r="C4002" s="2">
        <v>3.88</v>
      </c>
      <c r="D4002" s="2">
        <v>5.08</v>
      </c>
      <c r="E4002" s="2">
        <v>5.47</v>
      </c>
      <c r="F4002" s="2">
        <v>3.25</v>
      </c>
      <c r="G4002" s="6">
        <v>0</v>
      </c>
      <c r="H4002" s="6">
        <v>0</v>
      </c>
      <c r="I4002" s="6">
        <v>0</v>
      </c>
      <c r="J4002" s="6">
        <v>0</v>
      </c>
      <c r="K4002" s="6">
        <v>0</v>
      </c>
    </row>
    <row r="4003" spans="1:11" x14ac:dyDescent="0.25">
      <c r="A4003" s="1">
        <v>0.77847222222222201</v>
      </c>
      <c r="B4003" s="2">
        <v>6.37</v>
      </c>
      <c r="C4003" s="2">
        <v>3.86</v>
      </c>
      <c r="D4003" s="2">
        <v>5.0999999999999996</v>
      </c>
      <c r="E4003" s="2">
        <v>5.1499999999999995</v>
      </c>
      <c r="F4003" s="2">
        <v>2.93</v>
      </c>
      <c r="G4003" s="6">
        <v>0</v>
      </c>
      <c r="H4003" s="6">
        <v>0</v>
      </c>
      <c r="I4003" s="6">
        <v>0</v>
      </c>
      <c r="J4003" s="6">
        <v>0</v>
      </c>
      <c r="K4003" s="6">
        <v>0</v>
      </c>
    </row>
    <row r="4004" spans="1:11" x14ac:dyDescent="0.25">
      <c r="A4004" s="1">
        <v>0.77916666666666701</v>
      </c>
      <c r="B4004" s="2">
        <v>6.22</v>
      </c>
      <c r="C4004" s="2">
        <v>3.61</v>
      </c>
      <c r="D4004" s="2">
        <v>5.12</v>
      </c>
      <c r="E4004" s="2">
        <v>5.1899999999999995</v>
      </c>
      <c r="F4004" s="2">
        <v>3.27</v>
      </c>
      <c r="G4004" s="6">
        <v>0</v>
      </c>
      <c r="H4004" s="6">
        <v>0</v>
      </c>
      <c r="I4004" s="6">
        <v>0</v>
      </c>
      <c r="J4004" s="6">
        <v>0</v>
      </c>
      <c r="K4004" s="6">
        <v>0</v>
      </c>
    </row>
    <row r="4005" spans="1:11" x14ac:dyDescent="0.25">
      <c r="A4005" s="1">
        <v>0.77986111111111101</v>
      </c>
      <c r="B4005" s="2">
        <v>6.12</v>
      </c>
      <c r="C4005" s="2">
        <v>3.92</v>
      </c>
      <c r="D4005" s="2">
        <v>5.3</v>
      </c>
      <c r="E4005" s="2">
        <v>5.1499999999999995</v>
      </c>
      <c r="F4005" s="2">
        <v>3.41</v>
      </c>
      <c r="G4005" s="6">
        <v>0</v>
      </c>
      <c r="H4005" s="6">
        <v>0</v>
      </c>
      <c r="I4005" s="6">
        <v>0</v>
      </c>
      <c r="J4005" s="6">
        <v>0</v>
      </c>
      <c r="K4005" s="6">
        <v>0</v>
      </c>
    </row>
    <row r="4006" spans="1:11" x14ac:dyDescent="0.25">
      <c r="A4006" s="1">
        <v>0.780555555555556</v>
      </c>
      <c r="B4006" s="2">
        <v>6.32</v>
      </c>
      <c r="C4006" s="2">
        <v>3.6199999999999997</v>
      </c>
      <c r="D4006" s="2">
        <v>5.1899999999999995</v>
      </c>
      <c r="E4006" s="2">
        <v>5.17</v>
      </c>
      <c r="F4006" s="2">
        <v>3.19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</row>
    <row r="4007" spans="1:11" x14ac:dyDescent="0.25">
      <c r="A4007" s="1">
        <v>0.78125</v>
      </c>
      <c r="B4007" s="2">
        <v>6.13</v>
      </c>
      <c r="C4007" s="2">
        <v>3.63</v>
      </c>
      <c r="D4007" s="2">
        <v>4.97</v>
      </c>
      <c r="E4007" s="2">
        <v>5.64</v>
      </c>
      <c r="F4007" s="2">
        <v>3.33</v>
      </c>
      <c r="G4007" s="6">
        <v>0</v>
      </c>
      <c r="H4007" s="6">
        <v>0</v>
      </c>
      <c r="I4007" s="6">
        <v>0</v>
      </c>
      <c r="J4007" s="6">
        <v>0</v>
      </c>
      <c r="K4007" s="6">
        <v>0</v>
      </c>
    </row>
    <row r="4008" spans="1:11" x14ac:dyDescent="0.25">
      <c r="A4008" s="1">
        <v>0.781944444444444</v>
      </c>
      <c r="B4008" s="2">
        <v>6.26</v>
      </c>
      <c r="C4008" s="2">
        <v>3.84</v>
      </c>
      <c r="D4008" s="2">
        <v>5.0299999999999994</v>
      </c>
      <c r="E4008" s="2">
        <v>5.13</v>
      </c>
      <c r="F4008" s="2">
        <v>3.0500000000000003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</row>
    <row r="4009" spans="1:11" x14ac:dyDescent="0.25">
      <c r="A4009" s="1">
        <v>0.78263888888888899</v>
      </c>
      <c r="B4009" s="2">
        <v>6.18</v>
      </c>
      <c r="C4009" s="2">
        <v>3.67</v>
      </c>
      <c r="D4009" s="2">
        <v>5.13</v>
      </c>
      <c r="E4009" s="2">
        <v>5.26</v>
      </c>
      <c r="F4009" s="2">
        <v>3.29</v>
      </c>
      <c r="G4009" s="6">
        <v>0</v>
      </c>
      <c r="H4009" s="6">
        <v>0</v>
      </c>
      <c r="I4009" s="6">
        <v>0</v>
      </c>
      <c r="J4009" s="6">
        <v>0</v>
      </c>
      <c r="K4009" s="6">
        <v>0</v>
      </c>
    </row>
    <row r="4010" spans="1:11" x14ac:dyDescent="0.25">
      <c r="A4010" s="1">
        <v>0.78333333333333299</v>
      </c>
      <c r="B4010" s="2">
        <v>6.18</v>
      </c>
      <c r="C4010" s="2">
        <v>3.77</v>
      </c>
      <c r="D4010" s="2">
        <v>5.0999999999999996</v>
      </c>
      <c r="E4010" s="2">
        <v>5.16</v>
      </c>
      <c r="F4010" s="2">
        <v>3.3000000000000003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</row>
    <row r="4011" spans="1:11" x14ac:dyDescent="0.25">
      <c r="A4011" s="1">
        <v>0.78402777777777799</v>
      </c>
      <c r="B4011" s="2">
        <v>6.28</v>
      </c>
      <c r="C4011" s="2">
        <v>3.86</v>
      </c>
      <c r="D4011" s="2">
        <v>5.0999999999999996</v>
      </c>
      <c r="E4011" s="2">
        <v>5.53</v>
      </c>
      <c r="F4011" s="2">
        <v>3.31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</row>
    <row r="4012" spans="1:11" x14ac:dyDescent="0.25">
      <c r="A4012" s="1">
        <v>0.78472222222222199</v>
      </c>
      <c r="B4012" s="2">
        <v>6.19</v>
      </c>
      <c r="C4012" s="2">
        <v>3.84</v>
      </c>
      <c r="D4012" s="2">
        <v>5.2399999999999993</v>
      </c>
      <c r="E4012" s="2">
        <v>5.4</v>
      </c>
      <c r="F4012" s="2">
        <v>3.41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</row>
    <row r="4013" spans="1:11" x14ac:dyDescent="0.25">
      <c r="A4013" s="1">
        <v>0.78541666666666698</v>
      </c>
      <c r="B4013" s="2">
        <v>6.14</v>
      </c>
      <c r="C4013" s="2">
        <v>3.67</v>
      </c>
      <c r="D4013" s="2">
        <v>5.3599999999999994</v>
      </c>
      <c r="E4013" s="2">
        <v>5.54</v>
      </c>
      <c r="F4013" s="2">
        <v>3.06</v>
      </c>
      <c r="G4013" s="6">
        <v>0</v>
      </c>
      <c r="H4013" s="6">
        <v>0</v>
      </c>
      <c r="I4013" s="6">
        <v>0</v>
      </c>
      <c r="J4013" s="6">
        <v>0</v>
      </c>
      <c r="K4013" s="6">
        <v>0</v>
      </c>
    </row>
    <row r="4014" spans="1:11" x14ac:dyDescent="0.25">
      <c r="A4014" s="1">
        <v>0.78611111111111098</v>
      </c>
      <c r="B4014" s="2">
        <v>6.3</v>
      </c>
      <c r="C4014" s="2">
        <v>3.86</v>
      </c>
      <c r="D4014" s="2">
        <v>5.01</v>
      </c>
      <c r="E4014" s="2">
        <v>5.28</v>
      </c>
      <c r="F4014" s="2">
        <v>3.2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</row>
    <row r="4015" spans="1:11" x14ac:dyDescent="0.25">
      <c r="A4015" s="1">
        <v>0.78680555555555598</v>
      </c>
      <c r="B4015" s="2">
        <v>6.25</v>
      </c>
      <c r="C4015" s="2">
        <v>3.6799999999999997</v>
      </c>
      <c r="D4015" s="2">
        <v>5.25</v>
      </c>
      <c r="E4015" s="2">
        <v>5.18</v>
      </c>
      <c r="F4015" s="2">
        <v>2.95</v>
      </c>
      <c r="G4015" s="6">
        <v>0</v>
      </c>
      <c r="H4015" s="6">
        <v>0</v>
      </c>
      <c r="I4015" s="6">
        <v>0</v>
      </c>
      <c r="J4015" s="6">
        <v>0</v>
      </c>
      <c r="K4015" s="6">
        <v>0</v>
      </c>
    </row>
    <row r="4016" spans="1:11" x14ac:dyDescent="0.25">
      <c r="A4016" s="1">
        <v>0.78749999999999998</v>
      </c>
      <c r="B4016" s="2">
        <v>6.18</v>
      </c>
      <c r="C4016" s="2">
        <v>3.84</v>
      </c>
      <c r="D4016" s="2">
        <v>5.2399999999999993</v>
      </c>
      <c r="E4016" s="2">
        <v>5.2299999999999995</v>
      </c>
      <c r="F4016" s="2">
        <v>2.92</v>
      </c>
      <c r="G4016" s="6">
        <v>0</v>
      </c>
      <c r="H4016" s="6">
        <v>0</v>
      </c>
      <c r="I4016" s="6">
        <v>0</v>
      </c>
      <c r="J4016" s="6">
        <v>0</v>
      </c>
      <c r="K4016" s="6">
        <v>0</v>
      </c>
    </row>
    <row r="4017" spans="1:11" x14ac:dyDescent="0.25">
      <c r="A4017" s="1">
        <v>0.78819444444444398</v>
      </c>
      <c r="B4017" s="2">
        <v>6.3100000000000005</v>
      </c>
      <c r="C4017" s="2">
        <v>3.6999999999999997</v>
      </c>
      <c r="D4017" s="2">
        <v>5.1499999999999995</v>
      </c>
      <c r="E4017" s="2">
        <v>5.78</v>
      </c>
      <c r="F4017" s="2">
        <v>3.0100000000000002</v>
      </c>
      <c r="G4017" s="6">
        <v>0</v>
      </c>
      <c r="H4017" s="6">
        <v>0</v>
      </c>
      <c r="I4017" s="6">
        <v>0</v>
      </c>
      <c r="J4017" s="6">
        <v>0</v>
      </c>
      <c r="K4017" s="6">
        <v>0</v>
      </c>
    </row>
    <row r="4018" spans="1:11" x14ac:dyDescent="0.25">
      <c r="A4018" s="1">
        <v>0.78888888888888897</v>
      </c>
      <c r="B4018" s="2">
        <v>6.2700000000000005</v>
      </c>
      <c r="C4018" s="2">
        <v>3.7399999999999998</v>
      </c>
      <c r="D4018" s="2">
        <v>5.38</v>
      </c>
      <c r="E4018" s="2">
        <v>5.51</v>
      </c>
      <c r="F4018" s="2">
        <v>3.21</v>
      </c>
      <c r="G4018" s="6">
        <v>0</v>
      </c>
      <c r="H4018" s="6">
        <v>0</v>
      </c>
      <c r="I4018" s="6">
        <v>0</v>
      </c>
      <c r="J4018" s="6">
        <v>0</v>
      </c>
      <c r="K4018" s="6">
        <v>0</v>
      </c>
    </row>
    <row r="4019" spans="1:11" x14ac:dyDescent="0.25">
      <c r="A4019" s="1">
        <v>0.78958333333333297</v>
      </c>
      <c r="B4019" s="2">
        <v>6.3500000000000005</v>
      </c>
      <c r="C4019" s="2">
        <v>3.9</v>
      </c>
      <c r="D4019" s="2">
        <v>5</v>
      </c>
      <c r="E4019" s="2">
        <v>5.18</v>
      </c>
      <c r="F4019" s="2">
        <v>3.41</v>
      </c>
      <c r="G4019" s="6">
        <v>0</v>
      </c>
      <c r="H4019" s="6">
        <v>0</v>
      </c>
      <c r="I4019" s="6">
        <v>0</v>
      </c>
      <c r="J4019" s="6">
        <v>0</v>
      </c>
      <c r="K4019" s="6">
        <v>0</v>
      </c>
    </row>
    <row r="4020" spans="1:11" x14ac:dyDescent="0.25">
      <c r="A4020" s="1">
        <v>0.79027777777777797</v>
      </c>
      <c r="B4020" s="2">
        <v>6.17</v>
      </c>
      <c r="C4020" s="2">
        <v>3.6599999999999997</v>
      </c>
      <c r="D4020" s="2">
        <v>5.05</v>
      </c>
      <c r="E4020" s="2">
        <v>5.3</v>
      </c>
      <c r="F4020" s="2">
        <v>3.29</v>
      </c>
      <c r="G4020" s="6">
        <v>0</v>
      </c>
      <c r="H4020" s="6">
        <v>0</v>
      </c>
      <c r="I4020" s="6">
        <v>0</v>
      </c>
      <c r="J4020" s="6">
        <v>0</v>
      </c>
      <c r="K4020" s="6">
        <v>0</v>
      </c>
    </row>
    <row r="4021" spans="1:11" x14ac:dyDescent="0.25">
      <c r="A4021" s="1">
        <v>0.79097222222222197</v>
      </c>
      <c r="B4021" s="2">
        <v>6.33</v>
      </c>
      <c r="C4021" s="2">
        <v>3.87</v>
      </c>
      <c r="D4021" s="2">
        <v>5.09</v>
      </c>
      <c r="E4021" s="2">
        <v>5.53</v>
      </c>
      <c r="F4021" s="2">
        <v>3.14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</row>
    <row r="4022" spans="1:11" x14ac:dyDescent="0.25">
      <c r="A4022" s="3">
        <v>0.79166666666666696</v>
      </c>
      <c r="B4022" s="2">
        <v>6.24</v>
      </c>
      <c r="C4022" s="2">
        <v>3.82</v>
      </c>
      <c r="D4022" s="2">
        <v>5.12</v>
      </c>
      <c r="E4022" s="2">
        <v>5.41</v>
      </c>
      <c r="F4022" s="2">
        <v>3.24</v>
      </c>
      <c r="G4022" s="6">
        <v>0</v>
      </c>
      <c r="H4022" s="6">
        <v>0</v>
      </c>
      <c r="I4022" s="6">
        <v>0</v>
      </c>
      <c r="J4022" s="6">
        <v>0</v>
      </c>
      <c r="K4022" s="6">
        <v>0</v>
      </c>
    </row>
    <row r="4023" spans="1:11" x14ac:dyDescent="0.25">
      <c r="A4023" s="1">
        <v>0.79236111111111096</v>
      </c>
      <c r="B4023" s="2">
        <v>6.25</v>
      </c>
      <c r="C4023" s="2">
        <v>3.73</v>
      </c>
      <c r="D4023" s="2">
        <v>5.0199999999999996</v>
      </c>
      <c r="E4023" s="2">
        <v>5.4</v>
      </c>
      <c r="F4023" s="2">
        <v>3.21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</row>
    <row r="4024" spans="1:11" x14ac:dyDescent="0.25">
      <c r="A4024" s="1">
        <v>0.79305555555555596</v>
      </c>
      <c r="B4024" s="2">
        <v>6.18</v>
      </c>
      <c r="C4024" s="2">
        <v>3.8</v>
      </c>
      <c r="D4024" s="2">
        <v>4.96</v>
      </c>
      <c r="E4024" s="2">
        <v>5.2</v>
      </c>
      <c r="F4024" s="2">
        <v>3.08</v>
      </c>
      <c r="G4024" s="6">
        <v>0</v>
      </c>
      <c r="H4024" s="6">
        <v>0</v>
      </c>
      <c r="I4024" s="6">
        <v>0</v>
      </c>
      <c r="J4024" s="6">
        <v>0</v>
      </c>
      <c r="K4024" s="6">
        <v>0</v>
      </c>
    </row>
    <row r="4025" spans="1:11" x14ac:dyDescent="0.25">
      <c r="A4025" s="1">
        <v>0.79374999999999996</v>
      </c>
      <c r="B4025" s="2">
        <v>6.12</v>
      </c>
      <c r="C4025" s="2">
        <v>3.83</v>
      </c>
      <c r="D4025" s="2">
        <v>4.92</v>
      </c>
      <c r="E4025" s="2">
        <v>5.74</v>
      </c>
      <c r="F4025" s="2">
        <v>3.3200000000000003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</row>
    <row r="4026" spans="1:11" x14ac:dyDescent="0.25">
      <c r="A4026" s="1">
        <v>0.79444444444444495</v>
      </c>
      <c r="B4026" s="2">
        <v>6.19</v>
      </c>
      <c r="C4026" s="2">
        <v>3.83</v>
      </c>
      <c r="D4026" s="2">
        <v>4.8999999999999995</v>
      </c>
      <c r="E4026" s="2">
        <v>5.59</v>
      </c>
      <c r="F4026" s="2">
        <v>2.91</v>
      </c>
      <c r="G4026" s="6">
        <v>0</v>
      </c>
      <c r="H4026" s="6">
        <v>0</v>
      </c>
      <c r="I4026" s="6">
        <v>0</v>
      </c>
      <c r="J4026" s="6">
        <v>0</v>
      </c>
      <c r="K4026" s="6">
        <v>0</v>
      </c>
    </row>
    <row r="4027" spans="1:11" x14ac:dyDescent="0.25">
      <c r="A4027" s="1">
        <v>0.79513888888888895</v>
      </c>
      <c r="B4027" s="2">
        <v>6.3</v>
      </c>
      <c r="C4027" s="2">
        <v>3.8899999999999997</v>
      </c>
      <c r="D4027" s="2">
        <v>5.27</v>
      </c>
      <c r="E4027" s="2">
        <v>5.77</v>
      </c>
      <c r="F4027" s="2">
        <v>3.22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</row>
    <row r="4028" spans="1:11" x14ac:dyDescent="0.25">
      <c r="A4028" s="1">
        <v>0.79583333333333295</v>
      </c>
      <c r="B4028" s="2">
        <v>6.13</v>
      </c>
      <c r="C4028" s="2">
        <v>3.9099999999999997</v>
      </c>
      <c r="D4028" s="2">
        <v>5.25</v>
      </c>
      <c r="E4028" s="2">
        <v>5.64</v>
      </c>
      <c r="F4028" s="2">
        <v>3</v>
      </c>
      <c r="G4028" s="6">
        <v>0</v>
      </c>
      <c r="H4028" s="6">
        <v>0</v>
      </c>
      <c r="I4028" s="6">
        <v>0</v>
      </c>
      <c r="J4028" s="6">
        <v>0</v>
      </c>
      <c r="K4028" s="6">
        <v>0</v>
      </c>
    </row>
    <row r="4029" spans="1:11" x14ac:dyDescent="0.25">
      <c r="A4029" s="1">
        <v>0.79652777777777795</v>
      </c>
      <c r="B4029" s="2">
        <v>6.25</v>
      </c>
      <c r="C4029" s="2">
        <v>3.6999999999999997</v>
      </c>
      <c r="D4029" s="2">
        <v>5.1499999999999995</v>
      </c>
      <c r="E4029" s="2">
        <v>5.31</v>
      </c>
      <c r="F4029" s="2">
        <v>3.35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</row>
    <row r="4030" spans="1:11" x14ac:dyDescent="0.25">
      <c r="A4030" s="1">
        <v>0.79722222222222205</v>
      </c>
      <c r="B4030" s="2">
        <v>6.19</v>
      </c>
      <c r="C4030" s="2">
        <v>3.7199999999999998</v>
      </c>
      <c r="D4030" s="2">
        <v>5.13</v>
      </c>
      <c r="E4030" s="2">
        <v>5.71</v>
      </c>
      <c r="F4030" s="2">
        <v>3.0900000000000003</v>
      </c>
      <c r="G4030" s="6">
        <v>0</v>
      </c>
      <c r="H4030" s="6">
        <v>0</v>
      </c>
      <c r="I4030" s="6">
        <v>0</v>
      </c>
      <c r="J4030" s="6">
        <v>0</v>
      </c>
      <c r="K4030" s="6">
        <v>0</v>
      </c>
    </row>
    <row r="4031" spans="1:11" x14ac:dyDescent="0.25">
      <c r="A4031" s="1">
        <v>0.79791666666666705</v>
      </c>
      <c r="B4031" s="2">
        <v>6.2</v>
      </c>
      <c r="C4031" s="2">
        <v>3.87</v>
      </c>
      <c r="D4031" s="2">
        <v>4.9899999999999993</v>
      </c>
      <c r="E4031" s="2">
        <v>5.76</v>
      </c>
      <c r="F4031" s="2">
        <v>3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</row>
    <row r="4032" spans="1:11" x14ac:dyDescent="0.25">
      <c r="A4032" s="1">
        <v>0.79861111111111105</v>
      </c>
      <c r="B4032" s="2">
        <v>6.25</v>
      </c>
      <c r="C4032" s="2">
        <v>3.76</v>
      </c>
      <c r="D4032" s="2">
        <v>4.97</v>
      </c>
      <c r="E4032" s="2">
        <v>5.51</v>
      </c>
      <c r="F4032" s="2">
        <v>3.29</v>
      </c>
      <c r="G4032" s="6">
        <v>0</v>
      </c>
      <c r="H4032" s="6">
        <v>0</v>
      </c>
      <c r="I4032" s="6">
        <v>0</v>
      </c>
      <c r="J4032" s="6">
        <v>0</v>
      </c>
      <c r="K4032" s="6">
        <v>0</v>
      </c>
    </row>
    <row r="4033" spans="1:11" x14ac:dyDescent="0.25">
      <c r="A4033" s="1">
        <v>0.79930555555555605</v>
      </c>
      <c r="B4033" s="2">
        <v>6.28</v>
      </c>
      <c r="C4033" s="2">
        <v>3.88</v>
      </c>
      <c r="D4033" s="2">
        <v>4.8999999999999995</v>
      </c>
      <c r="E4033" s="2">
        <v>5.65</v>
      </c>
      <c r="F4033" s="2">
        <v>3.14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</row>
    <row r="4034" spans="1:11" x14ac:dyDescent="0.25">
      <c r="A4034" s="1">
        <v>0.8</v>
      </c>
      <c r="B4034" s="2">
        <v>6.3100000000000005</v>
      </c>
      <c r="C4034" s="2">
        <v>3.75</v>
      </c>
      <c r="D4034" s="2">
        <v>5.1499999999999995</v>
      </c>
      <c r="E4034" s="2">
        <v>5.68</v>
      </c>
      <c r="F4034" s="2">
        <v>3.38</v>
      </c>
      <c r="G4034" s="6">
        <v>0</v>
      </c>
      <c r="H4034" s="6">
        <v>0</v>
      </c>
      <c r="I4034" s="6">
        <v>0</v>
      </c>
      <c r="J4034" s="6">
        <v>0</v>
      </c>
      <c r="K4034" s="6">
        <v>0</v>
      </c>
    </row>
    <row r="4035" spans="1:11" x14ac:dyDescent="0.25">
      <c r="A4035" s="1">
        <v>0.80069444444444404</v>
      </c>
      <c r="B4035" s="2">
        <v>6.12</v>
      </c>
      <c r="C4035" s="2">
        <v>3.7199999999999998</v>
      </c>
      <c r="D4035" s="2">
        <v>5.16</v>
      </c>
      <c r="E4035" s="2">
        <v>5.65</v>
      </c>
      <c r="F4035" s="2">
        <v>3.27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</row>
    <row r="4036" spans="1:11" x14ac:dyDescent="0.25">
      <c r="A4036" s="1">
        <v>0.80138888888888904</v>
      </c>
      <c r="B4036" s="2">
        <v>6.25</v>
      </c>
      <c r="C4036" s="2">
        <v>3.87</v>
      </c>
      <c r="D4036" s="2">
        <v>4.8899999999999997</v>
      </c>
      <c r="E4036" s="2">
        <v>5.22</v>
      </c>
      <c r="F4036" s="2">
        <v>2.91</v>
      </c>
      <c r="G4036" s="6">
        <v>0</v>
      </c>
      <c r="H4036" s="6">
        <v>0</v>
      </c>
      <c r="I4036" s="6">
        <v>0</v>
      </c>
      <c r="J4036" s="6">
        <v>0</v>
      </c>
      <c r="K4036" s="6">
        <v>0</v>
      </c>
    </row>
    <row r="4037" spans="1:11" x14ac:dyDescent="0.25">
      <c r="A4037" s="1">
        <v>0.80208333333333304</v>
      </c>
      <c r="B4037" s="2">
        <v>6.25</v>
      </c>
      <c r="C4037" s="2">
        <v>3.7199999999999998</v>
      </c>
      <c r="D4037" s="2">
        <v>4.9899999999999993</v>
      </c>
      <c r="E4037" s="2">
        <v>5.22</v>
      </c>
      <c r="F4037" s="2">
        <v>3.13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</row>
    <row r="4038" spans="1:11" x14ac:dyDescent="0.25">
      <c r="A4038" s="1">
        <v>0.80277777777777803</v>
      </c>
      <c r="B4038" s="2">
        <v>6.28</v>
      </c>
      <c r="C4038" s="2">
        <v>3.86</v>
      </c>
      <c r="D4038" s="2">
        <v>4.9799999999999995</v>
      </c>
      <c r="E4038" s="2">
        <v>5.7</v>
      </c>
      <c r="F4038" s="2">
        <v>3.2800000000000002</v>
      </c>
      <c r="G4038" s="6">
        <v>0</v>
      </c>
      <c r="H4038" s="6">
        <v>0</v>
      </c>
      <c r="I4038" s="6">
        <v>0</v>
      </c>
      <c r="J4038" s="6">
        <v>0</v>
      </c>
      <c r="K4038" s="6">
        <v>0</v>
      </c>
    </row>
    <row r="4039" spans="1:11" x14ac:dyDescent="0.25">
      <c r="A4039" s="1">
        <v>0.80347222222222203</v>
      </c>
      <c r="B4039" s="2">
        <v>6.16</v>
      </c>
      <c r="C4039" s="2">
        <v>3.69</v>
      </c>
      <c r="D4039" s="2">
        <v>5</v>
      </c>
      <c r="E4039" s="2">
        <v>5.6099999999999994</v>
      </c>
      <c r="F4039" s="2">
        <v>3.04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</row>
    <row r="4040" spans="1:11" x14ac:dyDescent="0.25">
      <c r="A4040" s="1">
        <v>0.80416666666666703</v>
      </c>
      <c r="B4040" s="2">
        <v>6.15</v>
      </c>
      <c r="C4040" s="2">
        <v>3.8</v>
      </c>
      <c r="D4040" s="2">
        <v>4.9799999999999995</v>
      </c>
      <c r="E4040" s="2">
        <v>5.45</v>
      </c>
      <c r="F4040" s="2">
        <v>3.27</v>
      </c>
      <c r="G4040" s="6">
        <v>0</v>
      </c>
      <c r="H4040" s="6">
        <v>0</v>
      </c>
      <c r="I4040" s="6">
        <v>0</v>
      </c>
      <c r="J4040" s="6">
        <v>0</v>
      </c>
      <c r="K4040" s="6">
        <v>0</v>
      </c>
    </row>
    <row r="4041" spans="1:11" x14ac:dyDescent="0.25">
      <c r="A4041" s="1">
        <v>0.80486111111111103</v>
      </c>
      <c r="B4041" s="2">
        <v>6.3500000000000005</v>
      </c>
      <c r="C4041" s="2">
        <v>3.8</v>
      </c>
      <c r="D4041" s="2">
        <v>5</v>
      </c>
      <c r="E4041" s="2">
        <v>5.72</v>
      </c>
      <c r="F4041" s="2">
        <v>3.2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</row>
    <row r="4042" spans="1:11" x14ac:dyDescent="0.25">
      <c r="A4042" s="1">
        <v>0.80555555555555602</v>
      </c>
      <c r="B4042" s="2">
        <v>6.19</v>
      </c>
      <c r="C4042" s="2">
        <v>3.7199999999999998</v>
      </c>
      <c r="D4042" s="2">
        <v>5.2799999999999994</v>
      </c>
      <c r="E4042" s="2">
        <v>5.51</v>
      </c>
      <c r="F4042" s="2">
        <v>2.92</v>
      </c>
      <c r="G4042" s="6">
        <v>0</v>
      </c>
      <c r="H4042" s="6">
        <v>0</v>
      </c>
      <c r="I4042" s="6">
        <v>0</v>
      </c>
      <c r="J4042" s="6">
        <v>0</v>
      </c>
      <c r="K4042" s="6">
        <v>0</v>
      </c>
    </row>
    <row r="4043" spans="1:11" x14ac:dyDescent="0.25">
      <c r="A4043" s="1">
        <v>0.80625000000000002</v>
      </c>
      <c r="B4043" s="2">
        <v>6.34</v>
      </c>
      <c r="C4043" s="2">
        <v>3.9</v>
      </c>
      <c r="D4043" s="2">
        <v>5.35</v>
      </c>
      <c r="E4043" s="2">
        <v>5.79</v>
      </c>
      <c r="F4043" s="2">
        <v>3.1100000000000003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</row>
    <row r="4044" spans="1:11" x14ac:dyDescent="0.25">
      <c r="A4044" s="1">
        <v>0.80694444444444402</v>
      </c>
      <c r="B4044" s="2">
        <v>6.13</v>
      </c>
      <c r="C4044" s="2">
        <v>3.8899999999999997</v>
      </c>
      <c r="D4044" s="2">
        <v>4.9099999999999993</v>
      </c>
      <c r="E4044" s="2">
        <v>5.6099999999999994</v>
      </c>
      <c r="F4044" s="2">
        <v>3.02</v>
      </c>
      <c r="G4044" s="6">
        <v>0</v>
      </c>
      <c r="H4044" s="6">
        <v>0</v>
      </c>
      <c r="I4044" s="6">
        <v>0</v>
      </c>
      <c r="J4044" s="6">
        <v>0</v>
      </c>
      <c r="K4044" s="6">
        <v>0</v>
      </c>
    </row>
    <row r="4045" spans="1:11" x14ac:dyDescent="0.25">
      <c r="A4045" s="1">
        <v>0.80763888888888902</v>
      </c>
      <c r="B4045" s="2">
        <v>6.19</v>
      </c>
      <c r="C4045" s="2">
        <v>3.7399999999999998</v>
      </c>
      <c r="D4045" s="2">
        <v>4.9499999999999993</v>
      </c>
      <c r="E4045" s="2">
        <v>5.25</v>
      </c>
      <c r="F4045" s="2">
        <v>3.0700000000000003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</row>
    <row r="4046" spans="1:11" x14ac:dyDescent="0.25">
      <c r="A4046" s="1">
        <v>0.80833333333333302</v>
      </c>
      <c r="B4046" s="2">
        <v>6.33</v>
      </c>
      <c r="C4046" s="2">
        <v>3.6799999999999997</v>
      </c>
      <c r="D4046" s="2">
        <v>5.3199999999999994</v>
      </c>
      <c r="E4046" s="2">
        <v>5.66</v>
      </c>
      <c r="F4046" s="2">
        <v>2.91</v>
      </c>
      <c r="G4046" s="6">
        <v>0</v>
      </c>
      <c r="H4046" s="6">
        <v>0</v>
      </c>
      <c r="I4046" s="6">
        <v>0</v>
      </c>
      <c r="J4046" s="6">
        <v>0</v>
      </c>
      <c r="K4046" s="6">
        <v>0</v>
      </c>
    </row>
    <row r="4047" spans="1:11" x14ac:dyDescent="0.25">
      <c r="A4047" s="1">
        <v>0.80902777777777801</v>
      </c>
      <c r="B4047" s="2">
        <v>6.21</v>
      </c>
      <c r="C4047" s="2">
        <v>3.7199999999999998</v>
      </c>
      <c r="D4047" s="2">
        <v>5.1099999999999994</v>
      </c>
      <c r="E4047" s="2">
        <v>5.2</v>
      </c>
      <c r="F4047" s="2">
        <v>2.89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</row>
    <row r="4048" spans="1:11" x14ac:dyDescent="0.25">
      <c r="A4048" s="1">
        <v>0.80972222222222201</v>
      </c>
      <c r="B4048" s="2">
        <v>6.28</v>
      </c>
      <c r="C4048" s="2">
        <v>3.77</v>
      </c>
      <c r="D4048" s="2">
        <v>5.09</v>
      </c>
      <c r="E4048" s="2">
        <v>5.2299999999999995</v>
      </c>
      <c r="F4048" s="2">
        <v>2.98</v>
      </c>
      <c r="G4048" s="6">
        <v>0</v>
      </c>
      <c r="H4048" s="6">
        <v>0</v>
      </c>
      <c r="I4048" s="6">
        <v>0</v>
      </c>
      <c r="J4048" s="6">
        <v>0</v>
      </c>
      <c r="K4048" s="6">
        <v>0</v>
      </c>
    </row>
    <row r="4049" spans="1:11" x14ac:dyDescent="0.25">
      <c r="A4049" s="1">
        <v>0.81041666666666701</v>
      </c>
      <c r="B4049" s="2">
        <v>6.26</v>
      </c>
      <c r="C4049" s="2">
        <v>3.8899999999999997</v>
      </c>
      <c r="D4049" s="2">
        <v>5.1499999999999995</v>
      </c>
      <c r="E4049" s="2">
        <v>5.62</v>
      </c>
      <c r="F4049" s="2">
        <v>3.3600000000000003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</row>
    <row r="4050" spans="1:11" x14ac:dyDescent="0.25">
      <c r="A4050" s="1">
        <v>0.81111111111111101</v>
      </c>
      <c r="B4050" s="2">
        <v>6.19</v>
      </c>
      <c r="C4050" s="2">
        <v>3.88</v>
      </c>
      <c r="D4050" s="2">
        <v>5.17</v>
      </c>
      <c r="E4050" s="2">
        <v>5.66</v>
      </c>
      <c r="F4050" s="2">
        <v>3.2600000000000002</v>
      </c>
      <c r="G4050" s="6">
        <v>0</v>
      </c>
      <c r="H4050" s="6">
        <v>0</v>
      </c>
      <c r="I4050" s="6">
        <v>0</v>
      </c>
      <c r="J4050" s="6">
        <v>0</v>
      </c>
      <c r="K4050" s="6">
        <v>0</v>
      </c>
    </row>
    <row r="4051" spans="1:11" x14ac:dyDescent="0.25">
      <c r="A4051" s="1">
        <v>0.811805555555556</v>
      </c>
      <c r="B4051" s="2">
        <v>6.29</v>
      </c>
      <c r="C4051" s="2">
        <v>3.83</v>
      </c>
      <c r="D4051" s="2">
        <v>5.39</v>
      </c>
      <c r="E4051" s="2">
        <v>5.42</v>
      </c>
      <c r="F4051" s="2">
        <v>3.04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</row>
    <row r="4052" spans="1:11" x14ac:dyDescent="0.25">
      <c r="A4052" s="1">
        <v>0.8125</v>
      </c>
      <c r="B4052" s="2">
        <v>6.34</v>
      </c>
      <c r="C4052" s="2">
        <v>3.6799999999999997</v>
      </c>
      <c r="D4052" s="2">
        <v>5.39</v>
      </c>
      <c r="E4052" s="2">
        <v>5.46</v>
      </c>
      <c r="F4052" s="2">
        <v>3.2600000000000002</v>
      </c>
      <c r="G4052" s="6">
        <v>0</v>
      </c>
      <c r="H4052" s="6">
        <v>0</v>
      </c>
      <c r="I4052" s="6">
        <v>0</v>
      </c>
      <c r="J4052" s="6">
        <v>0</v>
      </c>
      <c r="K4052" s="6">
        <v>0</v>
      </c>
    </row>
    <row r="4053" spans="1:11" x14ac:dyDescent="0.25">
      <c r="A4053" s="1">
        <v>0.813194444444444</v>
      </c>
      <c r="B4053" s="2">
        <v>6.25</v>
      </c>
      <c r="C4053" s="2">
        <v>3.87</v>
      </c>
      <c r="D4053" s="2">
        <v>5.01</v>
      </c>
      <c r="E4053" s="2">
        <v>5.78</v>
      </c>
      <c r="F4053" s="2">
        <v>3.1100000000000003</v>
      </c>
      <c r="G4053" s="6">
        <v>0</v>
      </c>
      <c r="H4053" s="6">
        <v>0</v>
      </c>
      <c r="I4053" s="6">
        <v>0</v>
      </c>
      <c r="J4053" s="6">
        <v>0</v>
      </c>
      <c r="K4053" s="6">
        <v>0</v>
      </c>
    </row>
    <row r="4054" spans="1:11" x14ac:dyDescent="0.25">
      <c r="A4054" s="1">
        <v>0.81388888888888899</v>
      </c>
      <c r="B4054" s="2">
        <v>6.25</v>
      </c>
      <c r="C4054" s="2">
        <v>3.71</v>
      </c>
      <c r="D4054" s="2">
        <v>4.92</v>
      </c>
      <c r="E4054" s="2">
        <v>5.49</v>
      </c>
      <c r="F4054" s="2">
        <v>2.95</v>
      </c>
      <c r="G4054" s="6">
        <v>0</v>
      </c>
      <c r="H4054" s="6">
        <v>0</v>
      </c>
      <c r="I4054" s="6">
        <v>0</v>
      </c>
      <c r="J4054" s="6">
        <v>0</v>
      </c>
      <c r="K4054" s="6">
        <v>0</v>
      </c>
    </row>
    <row r="4055" spans="1:11" x14ac:dyDescent="0.25">
      <c r="A4055" s="1">
        <v>0.81458333333333299</v>
      </c>
      <c r="B4055" s="2">
        <v>6.25</v>
      </c>
      <c r="C4055" s="2">
        <v>3.87</v>
      </c>
      <c r="D4055" s="2">
        <v>5.18</v>
      </c>
      <c r="E4055" s="2">
        <v>5.1499999999999995</v>
      </c>
      <c r="F4055" s="2">
        <v>3.1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</row>
    <row r="4056" spans="1:11" x14ac:dyDescent="0.25">
      <c r="A4056" s="1">
        <v>0.81527777777777799</v>
      </c>
      <c r="B4056" s="2">
        <v>6.29</v>
      </c>
      <c r="C4056" s="2">
        <v>3.75</v>
      </c>
      <c r="D4056" s="2">
        <v>4.93</v>
      </c>
      <c r="E4056" s="2">
        <v>5.39</v>
      </c>
      <c r="F4056" s="2">
        <v>3.18</v>
      </c>
      <c r="G4056" s="6">
        <v>0</v>
      </c>
      <c r="H4056" s="6">
        <v>0</v>
      </c>
      <c r="I4056" s="6">
        <v>0</v>
      </c>
      <c r="J4056" s="6">
        <v>0</v>
      </c>
      <c r="K4056" s="6">
        <v>0</v>
      </c>
    </row>
    <row r="4057" spans="1:11" x14ac:dyDescent="0.25">
      <c r="A4057" s="1">
        <v>0.81597222222222199</v>
      </c>
      <c r="B4057" s="2">
        <v>6.18</v>
      </c>
      <c r="C4057" s="2">
        <v>3.77</v>
      </c>
      <c r="D4057" s="2">
        <v>5.1899999999999995</v>
      </c>
      <c r="E4057" s="2">
        <v>5.4799999999999995</v>
      </c>
      <c r="F4057" s="2">
        <v>3.18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</row>
    <row r="4058" spans="1:11" x14ac:dyDescent="0.25">
      <c r="A4058" s="1">
        <v>0.81666666666666698</v>
      </c>
      <c r="B4058" s="2">
        <v>6.16</v>
      </c>
      <c r="C4058" s="2">
        <v>3.69</v>
      </c>
      <c r="D4058" s="2">
        <v>5.08</v>
      </c>
      <c r="E4058" s="2">
        <v>5.4399999999999995</v>
      </c>
      <c r="F4058" s="2">
        <v>3.3400000000000003</v>
      </c>
      <c r="G4058" s="6">
        <v>0</v>
      </c>
      <c r="H4058" s="6">
        <v>0</v>
      </c>
      <c r="I4058" s="6">
        <v>0</v>
      </c>
      <c r="J4058" s="6">
        <v>0</v>
      </c>
      <c r="K4058" s="6">
        <v>0</v>
      </c>
    </row>
    <row r="4059" spans="1:11" x14ac:dyDescent="0.25">
      <c r="A4059" s="1">
        <v>0.81736111111111098</v>
      </c>
      <c r="B4059" s="2">
        <v>6.23</v>
      </c>
      <c r="C4059" s="2">
        <v>3.67</v>
      </c>
      <c r="D4059" s="2">
        <v>5.27</v>
      </c>
      <c r="E4059" s="2">
        <v>5.6099999999999994</v>
      </c>
      <c r="F4059" s="2">
        <v>3.38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</row>
    <row r="4060" spans="1:11" x14ac:dyDescent="0.25">
      <c r="A4060" s="1">
        <v>0.81805555555555598</v>
      </c>
      <c r="B4060" s="2">
        <v>6.26</v>
      </c>
      <c r="C4060" s="2">
        <v>3.9</v>
      </c>
      <c r="D4060" s="2">
        <v>5.08</v>
      </c>
      <c r="E4060" s="2">
        <v>5.24</v>
      </c>
      <c r="F4060" s="2">
        <v>2.9</v>
      </c>
      <c r="G4060" s="6">
        <v>0</v>
      </c>
      <c r="H4060" s="6">
        <v>0</v>
      </c>
      <c r="I4060" s="6">
        <v>0</v>
      </c>
      <c r="J4060" s="6">
        <v>0</v>
      </c>
      <c r="K4060" s="6">
        <v>0</v>
      </c>
    </row>
    <row r="4061" spans="1:11" x14ac:dyDescent="0.25">
      <c r="A4061" s="1">
        <v>0.81874999999999998</v>
      </c>
      <c r="B4061" s="2">
        <v>6.12</v>
      </c>
      <c r="C4061" s="2">
        <v>3.86</v>
      </c>
      <c r="D4061" s="2">
        <v>5.17</v>
      </c>
      <c r="E4061" s="2">
        <v>5.75</v>
      </c>
      <c r="F4061" s="2">
        <v>3.0300000000000002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</row>
    <row r="4062" spans="1:11" x14ac:dyDescent="0.25">
      <c r="A4062" s="1">
        <v>0.81944444444444497</v>
      </c>
      <c r="B4062" s="2">
        <v>6.32</v>
      </c>
      <c r="C4062" s="2">
        <v>3.8499999999999996</v>
      </c>
      <c r="D4062" s="2">
        <v>5.08</v>
      </c>
      <c r="E4062" s="2">
        <v>5.32</v>
      </c>
      <c r="F4062" s="2">
        <v>3.2600000000000002</v>
      </c>
      <c r="G4062" s="6">
        <v>0</v>
      </c>
      <c r="H4062" s="6">
        <v>0</v>
      </c>
      <c r="I4062" s="6">
        <v>0</v>
      </c>
      <c r="J4062" s="6">
        <v>0</v>
      </c>
      <c r="K4062" s="6">
        <v>0</v>
      </c>
    </row>
    <row r="4063" spans="1:11" x14ac:dyDescent="0.25">
      <c r="A4063" s="1">
        <v>0.82013888888888897</v>
      </c>
      <c r="B4063" s="2">
        <v>6.15</v>
      </c>
      <c r="C4063" s="2">
        <v>3.61</v>
      </c>
      <c r="D4063" s="2">
        <v>5.16</v>
      </c>
      <c r="E4063" s="2">
        <v>5.41</v>
      </c>
      <c r="F4063" s="2">
        <v>3.3200000000000003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</row>
    <row r="4064" spans="1:11" x14ac:dyDescent="0.25">
      <c r="A4064" s="1">
        <v>0.82083333333333297</v>
      </c>
      <c r="B4064" s="2">
        <v>6.22</v>
      </c>
      <c r="C4064" s="2">
        <v>3.9099999999999997</v>
      </c>
      <c r="D4064" s="2">
        <v>4.9399999999999995</v>
      </c>
      <c r="E4064" s="2">
        <v>5.72</v>
      </c>
      <c r="F4064" s="2">
        <v>3.0500000000000003</v>
      </c>
      <c r="G4064" s="6">
        <v>0</v>
      </c>
      <c r="H4064" s="6">
        <v>0</v>
      </c>
      <c r="I4064" s="6">
        <v>0</v>
      </c>
      <c r="J4064" s="6">
        <v>0</v>
      </c>
      <c r="K4064" s="6">
        <v>0</v>
      </c>
    </row>
    <row r="4065" spans="1:11" x14ac:dyDescent="0.25">
      <c r="A4065" s="1">
        <v>0.82152777777777797</v>
      </c>
      <c r="B4065" s="2">
        <v>6.14</v>
      </c>
      <c r="C4065" s="2">
        <v>3.71</v>
      </c>
      <c r="D4065" s="2">
        <v>5.09</v>
      </c>
      <c r="E4065" s="2">
        <v>5.51</v>
      </c>
      <c r="F4065" s="2">
        <v>3.27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</row>
    <row r="4066" spans="1:11" x14ac:dyDescent="0.25">
      <c r="A4066" s="1">
        <v>0.82222222222222197</v>
      </c>
      <c r="B4066" s="2">
        <v>6.17</v>
      </c>
      <c r="C4066" s="2">
        <v>3.73</v>
      </c>
      <c r="D4066" s="2">
        <v>5.38</v>
      </c>
      <c r="E4066" s="2">
        <v>5.2299999999999995</v>
      </c>
      <c r="F4066" s="2">
        <v>3.21</v>
      </c>
      <c r="G4066" s="6">
        <v>0</v>
      </c>
      <c r="H4066" s="6">
        <v>0</v>
      </c>
      <c r="I4066" s="6">
        <v>0</v>
      </c>
      <c r="J4066" s="6">
        <v>0</v>
      </c>
      <c r="K4066" s="6">
        <v>0</v>
      </c>
    </row>
    <row r="4067" spans="1:11" x14ac:dyDescent="0.25">
      <c r="A4067" s="1">
        <v>0.82291666666666696</v>
      </c>
      <c r="B4067" s="2">
        <v>6.16</v>
      </c>
      <c r="C4067" s="2">
        <v>3.82</v>
      </c>
      <c r="D4067" s="2">
        <v>5.1999999999999993</v>
      </c>
      <c r="E4067" s="2">
        <v>5.6</v>
      </c>
      <c r="F4067" s="2">
        <v>3.18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</row>
    <row r="4068" spans="1:11" x14ac:dyDescent="0.25">
      <c r="A4068" s="1">
        <v>0.82361111111111096</v>
      </c>
      <c r="B4068" s="2">
        <v>6.24</v>
      </c>
      <c r="C4068" s="2">
        <v>3.78</v>
      </c>
      <c r="D4068" s="2">
        <v>5.14</v>
      </c>
      <c r="E4068" s="2">
        <v>5.53</v>
      </c>
      <c r="F4068" s="2">
        <v>2.94</v>
      </c>
      <c r="G4068" s="6">
        <v>0</v>
      </c>
      <c r="H4068" s="6">
        <v>0</v>
      </c>
      <c r="I4068" s="6">
        <v>0</v>
      </c>
      <c r="J4068" s="6">
        <v>0</v>
      </c>
      <c r="K4068" s="6">
        <v>0</v>
      </c>
    </row>
    <row r="4069" spans="1:11" x14ac:dyDescent="0.25">
      <c r="A4069" s="1">
        <v>0.82430555555555596</v>
      </c>
      <c r="B4069" s="2">
        <v>6.2</v>
      </c>
      <c r="C4069" s="2">
        <v>3.6199999999999997</v>
      </c>
      <c r="D4069" s="2">
        <v>5.16</v>
      </c>
      <c r="E4069" s="2">
        <v>5.7299999999999995</v>
      </c>
      <c r="F4069" s="2">
        <v>3.25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</row>
    <row r="4070" spans="1:11" x14ac:dyDescent="0.25">
      <c r="A4070" s="1">
        <v>0.82499999999999996</v>
      </c>
      <c r="B4070" s="2">
        <v>6.23</v>
      </c>
      <c r="C4070" s="2">
        <v>3.8899999999999997</v>
      </c>
      <c r="D4070" s="2">
        <v>5.27</v>
      </c>
      <c r="E4070" s="2">
        <v>5.16</v>
      </c>
      <c r="F4070" s="2">
        <v>3.3600000000000003</v>
      </c>
      <c r="G4070" s="6">
        <v>0</v>
      </c>
      <c r="H4070" s="6">
        <v>0</v>
      </c>
      <c r="I4070" s="6">
        <v>0</v>
      </c>
      <c r="J4070" s="6">
        <v>0</v>
      </c>
      <c r="K4070" s="6">
        <v>0</v>
      </c>
    </row>
    <row r="4071" spans="1:11" x14ac:dyDescent="0.25">
      <c r="A4071" s="1">
        <v>0.82569444444444495</v>
      </c>
      <c r="B4071" s="2">
        <v>6.36</v>
      </c>
      <c r="C4071" s="2">
        <v>3.71</v>
      </c>
      <c r="D4071" s="2">
        <v>5.31</v>
      </c>
      <c r="E4071" s="2">
        <v>5.59</v>
      </c>
      <c r="F4071" s="2">
        <v>3.12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</row>
    <row r="4072" spans="1:11" x14ac:dyDescent="0.25">
      <c r="A4072" s="1">
        <v>0.82638888888888895</v>
      </c>
      <c r="B4072" s="2">
        <v>6.3500000000000005</v>
      </c>
      <c r="C4072" s="2">
        <v>3.6999999999999997</v>
      </c>
      <c r="D4072" s="2">
        <v>5.08</v>
      </c>
      <c r="E4072" s="2">
        <v>5.7</v>
      </c>
      <c r="F4072" s="2">
        <v>3.1100000000000003</v>
      </c>
      <c r="G4072" s="6">
        <v>0</v>
      </c>
      <c r="H4072" s="6">
        <v>0</v>
      </c>
      <c r="I4072" s="6">
        <v>0</v>
      </c>
      <c r="J4072" s="6">
        <v>0</v>
      </c>
      <c r="K4072" s="6">
        <v>0</v>
      </c>
    </row>
    <row r="4073" spans="1:11" x14ac:dyDescent="0.25">
      <c r="A4073" s="1">
        <v>0.82708333333333295</v>
      </c>
      <c r="B4073" s="2">
        <v>6.16</v>
      </c>
      <c r="C4073" s="2">
        <v>3.92</v>
      </c>
      <c r="D4073" s="2">
        <v>5.1899999999999995</v>
      </c>
      <c r="E4073" s="2">
        <v>5.6899999999999995</v>
      </c>
      <c r="F4073" s="2">
        <v>3.39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</row>
    <row r="4074" spans="1:11" x14ac:dyDescent="0.25">
      <c r="A4074" s="1">
        <v>0.82777777777777795</v>
      </c>
      <c r="B4074" s="2">
        <v>6.2700000000000005</v>
      </c>
      <c r="C4074" s="2">
        <v>3.86</v>
      </c>
      <c r="D4074" s="2">
        <v>5.2399999999999993</v>
      </c>
      <c r="E4074" s="2">
        <v>5.43</v>
      </c>
      <c r="F4074" s="2">
        <v>3.25</v>
      </c>
      <c r="G4074" s="6">
        <v>0</v>
      </c>
      <c r="H4074" s="6">
        <v>0</v>
      </c>
      <c r="I4074" s="6">
        <v>0</v>
      </c>
      <c r="J4074" s="6">
        <v>0</v>
      </c>
      <c r="K4074" s="6">
        <v>0</v>
      </c>
    </row>
    <row r="4075" spans="1:11" x14ac:dyDescent="0.25">
      <c r="A4075" s="1">
        <v>0.82847222222222205</v>
      </c>
      <c r="B4075" s="2">
        <v>6.2700000000000005</v>
      </c>
      <c r="C4075" s="2">
        <v>3.86</v>
      </c>
      <c r="D4075" s="2">
        <v>5.31</v>
      </c>
      <c r="E4075" s="2">
        <v>5.1499999999999995</v>
      </c>
      <c r="F4075" s="2">
        <v>3.1100000000000003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</row>
    <row r="4076" spans="1:11" x14ac:dyDescent="0.25">
      <c r="A4076" s="1">
        <v>0.82916666666666705</v>
      </c>
      <c r="B4076" s="2">
        <v>6.15</v>
      </c>
      <c r="C4076" s="2">
        <v>3.8499999999999996</v>
      </c>
      <c r="D4076" s="2">
        <v>4.9099999999999993</v>
      </c>
      <c r="E4076" s="2">
        <v>5.41</v>
      </c>
      <c r="F4076" s="2">
        <v>3.22</v>
      </c>
      <c r="G4076" s="6">
        <v>0</v>
      </c>
      <c r="H4076" s="6">
        <v>0</v>
      </c>
      <c r="I4076" s="6">
        <v>0</v>
      </c>
      <c r="J4076" s="6">
        <v>0</v>
      </c>
      <c r="K4076" s="6">
        <v>0</v>
      </c>
    </row>
    <row r="4077" spans="1:11" x14ac:dyDescent="0.25">
      <c r="A4077" s="1">
        <v>0.82986111111111105</v>
      </c>
      <c r="B4077" s="2">
        <v>6.15</v>
      </c>
      <c r="C4077" s="2">
        <v>3.69</v>
      </c>
      <c r="D4077" s="2">
        <v>5.26</v>
      </c>
      <c r="E4077" s="2">
        <v>5.51</v>
      </c>
      <c r="F4077" s="2">
        <v>2.98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</row>
    <row r="4078" spans="1:11" x14ac:dyDescent="0.25">
      <c r="A4078" s="1">
        <v>0.83055555555555605</v>
      </c>
      <c r="B4078" s="2">
        <v>6.34</v>
      </c>
      <c r="C4078" s="2">
        <v>3.69</v>
      </c>
      <c r="D4078" s="2">
        <v>4.97</v>
      </c>
      <c r="E4078" s="2">
        <v>5.25</v>
      </c>
      <c r="F4078" s="2">
        <v>3.24</v>
      </c>
      <c r="G4078" s="6">
        <v>0</v>
      </c>
      <c r="H4078" s="6">
        <v>0</v>
      </c>
      <c r="I4078" s="6">
        <v>0</v>
      </c>
      <c r="J4078" s="6">
        <v>0</v>
      </c>
      <c r="K4078" s="6">
        <v>0</v>
      </c>
    </row>
    <row r="4079" spans="1:11" x14ac:dyDescent="0.25">
      <c r="A4079" s="1">
        <v>0.83125000000000004</v>
      </c>
      <c r="B4079" s="2">
        <v>6.2700000000000005</v>
      </c>
      <c r="C4079" s="2">
        <v>3.84</v>
      </c>
      <c r="D4079" s="2">
        <v>4.9399999999999995</v>
      </c>
      <c r="E4079" s="2">
        <v>5.34</v>
      </c>
      <c r="F4079" s="2">
        <v>3.3000000000000003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</row>
    <row r="4080" spans="1:11" x14ac:dyDescent="0.25">
      <c r="A4080" s="1">
        <v>0.83194444444444404</v>
      </c>
      <c r="B4080" s="2">
        <v>6.34</v>
      </c>
      <c r="C4080" s="2">
        <v>3.6199999999999997</v>
      </c>
      <c r="D4080" s="2">
        <v>5.1099999999999994</v>
      </c>
      <c r="E4080" s="2">
        <v>5.39</v>
      </c>
      <c r="F4080" s="2">
        <v>3.35</v>
      </c>
      <c r="G4080" s="6">
        <v>0</v>
      </c>
      <c r="H4080" s="6">
        <v>0</v>
      </c>
      <c r="I4080" s="6">
        <v>0</v>
      </c>
      <c r="J4080" s="6">
        <v>0</v>
      </c>
      <c r="K4080" s="6">
        <v>0</v>
      </c>
    </row>
    <row r="4081" spans="1:11" x14ac:dyDescent="0.25">
      <c r="A4081" s="1">
        <v>0.83263888888888904</v>
      </c>
      <c r="B4081" s="2">
        <v>6.12</v>
      </c>
      <c r="C4081" s="2">
        <v>3.71</v>
      </c>
      <c r="D4081" s="2">
        <v>4.9799999999999995</v>
      </c>
      <c r="E4081" s="2">
        <v>5.41</v>
      </c>
      <c r="F4081" s="2">
        <v>3.3200000000000003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</row>
    <row r="4082" spans="1:11" x14ac:dyDescent="0.25">
      <c r="A4082" s="3">
        <v>0.83333333333333304</v>
      </c>
      <c r="B4082" s="2">
        <v>6.24</v>
      </c>
      <c r="C4082" s="2">
        <v>3.82</v>
      </c>
      <c r="D4082" s="2">
        <v>5.12</v>
      </c>
      <c r="E4082" s="2">
        <v>5.42</v>
      </c>
      <c r="F4082" s="2">
        <v>3.25</v>
      </c>
      <c r="G4082" s="6">
        <v>0</v>
      </c>
      <c r="H4082" s="6">
        <v>0</v>
      </c>
      <c r="I4082" s="6">
        <v>0</v>
      </c>
      <c r="J4082" s="6">
        <v>0</v>
      </c>
      <c r="K4082" s="6">
        <v>0</v>
      </c>
    </row>
    <row r="4083" spans="1:11" x14ac:dyDescent="0.25">
      <c r="A4083" s="1">
        <v>0.83402777777777803</v>
      </c>
      <c r="B4083" s="2">
        <v>6.14</v>
      </c>
      <c r="C4083" s="2">
        <v>3.6399999999999997</v>
      </c>
      <c r="D4083" s="2">
        <v>5.17</v>
      </c>
      <c r="E4083" s="2">
        <v>5.6199999999999992</v>
      </c>
      <c r="F4083" s="2">
        <v>3.1100000000000003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</row>
    <row r="4084" spans="1:11" x14ac:dyDescent="0.25">
      <c r="A4084" s="1">
        <v>0.83472222222222203</v>
      </c>
      <c r="B4084" s="2">
        <v>6.21</v>
      </c>
      <c r="C4084" s="2">
        <v>3.86</v>
      </c>
      <c r="D4084" s="2">
        <v>5.34</v>
      </c>
      <c r="E4084" s="2">
        <v>5.46</v>
      </c>
      <c r="F4084" s="2">
        <v>2.91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</row>
    <row r="4085" spans="1:11" x14ac:dyDescent="0.25">
      <c r="A4085" s="1">
        <v>0.83541666666666703</v>
      </c>
      <c r="B4085" s="2">
        <v>6.34</v>
      </c>
      <c r="C4085" s="2">
        <v>3.75</v>
      </c>
      <c r="D4085" s="2">
        <v>5.2299999999999995</v>
      </c>
      <c r="E4085" s="2">
        <v>5.75</v>
      </c>
      <c r="F4085" s="2">
        <v>3.3000000000000003</v>
      </c>
      <c r="G4085" s="6">
        <v>0</v>
      </c>
      <c r="H4085" s="6">
        <v>0</v>
      </c>
      <c r="I4085" s="6">
        <v>0</v>
      </c>
      <c r="J4085" s="6">
        <v>0</v>
      </c>
      <c r="K4085" s="6">
        <v>0</v>
      </c>
    </row>
    <row r="4086" spans="1:11" x14ac:dyDescent="0.25">
      <c r="A4086" s="1">
        <v>0.83611111111111103</v>
      </c>
      <c r="B4086" s="2">
        <v>6.25</v>
      </c>
      <c r="C4086" s="2">
        <v>3.81</v>
      </c>
      <c r="D4086" s="2">
        <v>5.1899999999999995</v>
      </c>
      <c r="E4086" s="2">
        <v>5.29</v>
      </c>
      <c r="F4086" s="2">
        <v>2.97</v>
      </c>
      <c r="G4086" s="6">
        <v>0</v>
      </c>
      <c r="H4086" s="6">
        <v>0</v>
      </c>
      <c r="I4086" s="6">
        <v>0</v>
      </c>
      <c r="J4086" s="6">
        <v>0</v>
      </c>
      <c r="K4086" s="6">
        <v>0</v>
      </c>
    </row>
    <row r="4087" spans="1:11" x14ac:dyDescent="0.25">
      <c r="A4087" s="1">
        <v>0.83680555555555602</v>
      </c>
      <c r="B4087" s="2">
        <v>6.24</v>
      </c>
      <c r="C4087" s="2">
        <v>3.6799999999999997</v>
      </c>
      <c r="D4087" s="2">
        <v>4.8999999999999995</v>
      </c>
      <c r="E4087" s="2">
        <v>5.3999999999999995</v>
      </c>
      <c r="F4087" s="2">
        <v>2.89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</row>
    <row r="4088" spans="1:11" x14ac:dyDescent="0.25">
      <c r="A4088" s="1">
        <v>0.83750000000000002</v>
      </c>
      <c r="B4088" s="2">
        <v>6.17</v>
      </c>
      <c r="C4088" s="2">
        <v>3.61</v>
      </c>
      <c r="D4088" s="2">
        <v>5.0299999999999994</v>
      </c>
      <c r="E4088" s="2">
        <v>5.63</v>
      </c>
      <c r="F4088" s="2">
        <v>3.1100000000000003</v>
      </c>
      <c r="G4088" s="6">
        <v>0</v>
      </c>
      <c r="H4088" s="6">
        <v>0</v>
      </c>
      <c r="I4088" s="6">
        <v>0</v>
      </c>
      <c r="J4088" s="6">
        <v>0</v>
      </c>
      <c r="K4088" s="6">
        <v>0</v>
      </c>
    </row>
    <row r="4089" spans="1:11" x14ac:dyDescent="0.25">
      <c r="A4089" s="1">
        <v>0.83819444444444402</v>
      </c>
      <c r="B4089" s="2">
        <v>6.32</v>
      </c>
      <c r="C4089" s="2">
        <v>3.7199999999999998</v>
      </c>
      <c r="D4089" s="2">
        <v>5.0599999999999996</v>
      </c>
      <c r="E4089" s="2">
        <v>5.54</v>
      </c>
      <c r="F4089" s="2">
        <v>3.14</v>
      </c>
      <c r="G4089" s="6">
        <v>0</v>
      </c>
      <c r="H4089" s="6">
        <v>0</v>
      </c>
      <c r="I4089" s="6">
        <v>0</v>
      </c>
      <c r="J4089" s="6">
        <v>0</v>
      </c>
      <c r="K4089" s="6">
        <v>0</v>
      </c>
    </row>
    <row r="4090" spans="1:11" x14ac:dyDescent="0.25">
      <c r="A4090" s="1">
        <v>0.83888888888888902</v>
      </c>
      <c r="B4090" s="2">
        <v>6.29</v>
      </c>
      <c r="C4090" s="2">
        <v>3.81</v>
      </c>
      <c r="D4090" s="2">
        <v>5.1499999999999995</v>
      </c>
      <c r="E4090" s="2">
        <v>5.1499999999999995</v>
      </c>
      <c r="F4090" s="2">
        <v>3.29</v>
      </c>
      <c r="G4090" s="6">
        <v>0</v>
      </c>
      <c r="H4090" s="6">
        <v>0</v>
      </c>
      <c r="I4090" s="6">
        <v>0</v>
      </c>
      <c r="J4090" s="6">
        <v>0</v>
      </c>
      <c r="K4090" s="6">
        <v>0</v>
      </c>
    </row>
    <row r="4091" spans="1:11" x14ac:dyDescent="0.25">
      <c r="A4091" s="1">
        <v>0.83958333333333302</v>
      </c>
      <c r="B4091" s="2">
        <v>6.19</v>
      </c>
      <c r="C4091" s="2">
        <v>3.7199999999999998</v>
      </c>
      <c r="D4091" s="2">
        <v>5.31</v>
      </c>
      <c r="E4091" s="2">
        <v>5.56</v>
      </c>
      <c r="F4091" s="2">
        <v>3.0500000000000003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</row>
    <row r="4092" spans="1:11" x14ac:dyDescent="0.25">
      <c r="A4092" s="1">
        <v>0.84027777777777801</v>
      </c>
      <c r="B4092" s="2">
        <v>6.15</v>
      </c>
      <c r="C4092" s="2">
        <v>3.71</v>
      </c>
      <c r="D4092" s="2">
        <v>5.14</v>
      </c>
      <c r="E4092" s="2">
        <v>5.39</v>
      </c>
      <c r="F4092" s="2">
        <v>3.17</v>
      </c>
      <c r="G4092" s="6">
        <v>0</v>
      </c>
      <c r="H4092" s="6">
        <v>0</v>
      </c>
      <c r="I4092" s="6">
        <v>0</v>
      </c>
      <c r="J4092" s="6">
        <v>0</v>
      </c>
      <c r="K4092" s="6">
        <v>0</v>
      </c>
    </row>
    <row r="4093" spans="1:11" x14ac:dyDescent="0.25">
      <c r="A4093" s="1">
        <v>0.84097222222222201</v>
      </c>
      <c r="B4093" s="2">
        <v>6.16</v>
      </c>
      <c r="C4093" s="2">
        <v>3.71</v>
      </c>
      <c r="D4093" s="2">
        <v>4.8899999999999997</v>
      </c>
      <c r="E4093" s="2">
        <v>5.66</v>
      </c>
      <c r="F4093" s="2">
        <v>3.0900000000000003</v>
      </c>
      <c r="G4093" s="6">
        <v>0</v>
      </c>
      <c r="H4093" s="6">
        <v>0</v>
      </c>
      <c r="I4093" s="6">
        <v>0</v>
      </c>
      <c r="J4093" s="6">
        <v>0</v>
      </c>
      <c r="K4093" s="6">
        <v>0</v>
      </c>
    </row>
    <row r="4094" spans="1:11" x14ac:dyDescent="0.25">
      <c r="A4094" s="1">
        <v>0.84166666666666701</v>
      </c>
      <c r="B4094" s="2">
        <v>6.16</v>
      </c>
      <c r="C4094" s="2">
        <v>3.65</v>
      </c>
      <c r="D4094" s="2">
        <v>5.1899999999999995</v>
      </c>
      <c r="E4094" s="2">
        <v>5.3999999999999995</v>
      </c>
      <c r="F4094" s="2">
        <v>3.25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</row>
    <row r="4095" spans="1:11" x14ac:dyDescent="0.25">
      <c r="A4095" s="1">
        <v>0.84236111111111101</v>
      </c>
      <c r="B4095" s="2">
        <v>6.13</v>
      </c>
      <c r="C4095" s="2">
        <v>3.8899999999999997</v>
      </c>
      <c r="D4095" s="2">
        <v>5.1499999999999995</v>
      </c>
      <c r="E4095" s="2">
        <v>5.1899999999999995</v>
      </c>
      <c r="F4095" s="2">
        <v>3.35</v>
      </c>
      <c r="G4095" s="6">
        <v>0</v>
      </c>
      <c r="H4095" s="6">
        <v>0</v>
      </c>
      <c r="I4095" s="6">
        <v>0</v>
      </c>
      <c r="J4095" s="6">
        <v>0</v>
      </c>
      <c r="K4095" s="6">
        <v>0</v>
      </c>
    </row>
    <row r="4096" spans="1:11" x14ac:dyDescent="0.25">
      <c r="A4096" s="1">
        <v>0.843055555555556</v>
      </c>
      <c r="B4096" s="2">
        <v>6.23</v>
      </c>
      <c r="C4096" s="2">
        <v>3.61</v>
      </c>
      <c r="D4096" s="2">
        <v>5.3699999999999992</v>
      </c>
      <c r="E4096" s="2">
        <v>5.54</v>
      </c>
      <c r="F4096" s="2">
        <v>2.9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</row>
    <row r="4097" spans="1:11" x14ac:dyDescent="0.25">
      <c r="A4097" s="1">
        <v>0.84375</v>
      </c>
      <c r="B4097" s="2">
        <v>6.32</v>
      </c>
      <c r="C4097" s="2">
        <v>3.82</v>
      </c>
      <c r="D4097" s="2">
        <v>5.13</v>
      </c>
      <c r="E4097" s="2">
        <v>5.6199999999999992</v>
      </c>
      <c r="F4097" s="2">
        <v>3.16</v>
      </c>
      <c r="G4097" s="6">
        <v>0</v>
      </c>
      <c r="H4097" s="6">
        <v>0</v>
      </c>
      <c r="I4097" s="6">
        <v>0</v>
      </c>
      <c r="J4097" s="6">
        <v>0</v>
      </c>
      <c r="K4097" s="6">
        <v>0</v>
      </c>
    </row>
    <row r="4098" spans="1:11" x14ac:dyDescent="0.25">
      <c r="A4098" s="1">
        <v>0.844444444444444</v>
      </c>
      <c r="B4098" s="2">
        <v>6.37</v>
      </c>
      <c r="C4098" s="2">
        <v>3.6399999999999997</v>
      </c>
      <c r="D4098" s="2">
        <v>4.9099999999999993</v>
      </c>
      <c r="E4098" s="2">
        <v>5.17</v>
      </c>
      <c r="F4098" s="2">
        <v>3.25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</row>
    <row r="4099" spans="1:11" x14ac:dyDescent="0.25">
      <c r="A4099" s="1">
        <v>0.84513888888888899</v>
      </c>
      <c r="B4099" s="2">
        <v>6.3100000000000005</v>
      </c>
      <c r="C4099" s="2">
        <v>3.73</v>
      </c>
      <c r="D4099" s="2">
        <v>5.2799999999999994</v>
      </c>
      <c r="E4099" s="2">
        <v>5.76</v>
      </c>
      <c r="F4099" s="2">
        <v>2.91</v>
      </c>
      <c r="G4099" s="6">
        <v>0</v>
      </c>
      <c r="H4099" s="6">
        <v>0</v>
      </c>
      <c r="I4099" s="6">
        <v>0</v>
      </c>
      <c r="J4099" s="6">
        <v>0</v>
      </c>
      <c r="K4099" s="6">
        <v>0</v>
      </c>
    </row>
    <row r="4100" spans="1:11" x14ac:dyDescent="0.25">
      <c r="A4100" s="1">
        <v>0.84583333333333299</v>
      </c>
      <c r="B4100" s="2">
        <v>6.3500000000000005</v>
      </c>
      <c r="C4100" s="2">
        <v>3.81</v>
      </c>
      <c r="D4100" s="2">
        <v>5.1899999999999995</v>
      </c>
      <c r="E4100" s="2">
        <v>5.71</v>
      </c>
      <c r="F4100" s="2">
        <v>3.02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</row>
    <row r="4101" spans="1:11" x14ac:dyDescent="0.25">
      <c r="A4101" s="1">
        <v>0.84652777777777799</v>
      </c>
      <c r="B4101" s="2">
        <v>6.3100000000000005</v>
      </c>
      <c r="C4101" s="2">
        <v>3.86</v>
      </c>
      <c r="D4101" s="2">
        <v>5.18</v>
      </c>
      <c r="E4101" s="2">
        <v>5.68</v>
      </c>
      <c r="F4101" s="2">
        <v>3.4000000000000004</v>
      </c>
      <c r="G4101" s="6">
        <v>0</v>
      </c>
      <c r="H4101" s="6">
        <v>0</v>
      </c>
      <c r="I4101" s="6">
        <v>0</v>
      </c>
      <c r="J4101" s="6">
        <v>0</v>
      </c>
      <c r="K4101" s="6">
        <v>0</v>
      </c>
    </row>
    <row r="4102" spans="1:11" x14ac:dyDescent="0.25">
      <c r="A4102" s="1">
        <v>0.84722222222222199</v>
      </c>
      <c r="B4102" s="2">
        <v>6.14</v>
      </c>
      <c r="C4102" s="2">
        <v>3.92</v>
      </c>
      <c r="D4102" s="2">
        <v>5.39</v>
      </c>
      <c r="E4102" s="2">
        <v>5.39</v>
      </c>
      <c r="F4102" s="2">
        <v>2.98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</row>
    <row r="4103" spans="1:11" x14ac:dyDescent="0.25">
      <c r="A4103" s="1">
        <v>0.84791666666666698</v>
      </c>
      <c r="B4103" s="2">
        <v>6.3</v>
      </c>
      <c r="C4103" s="2">
        <v>3.65</v>
      </c>
      <c r="D4103" s="2">
        <v>5.16</v>
      </c>
      <c r="E4103" s="2">
        <v>5.35</v>
      </c>
      <c r="F4103" s="2">
        <v>2.95</v>
      </c>
      <c r="G4103" s="6">
        <v>0</v>
      </c>
      <c r="H4103" s="6">
        <v>0</v>
      </c>
      <c r="I4103" s="6">
        <v>0</v>
      </c>
      <c r="J4103" s="6">
        <v>0</v>
      </c>
      <c r="K4103" s="6">
        <v>0</v>
      </c>
    </row>
    <row r="4104" spans="1:11" x14ac:dyDescent="0.25">
      <c r="A4104" s="1">
        <v>0.84861111111111098</v>
      </c>
      <c r="B4104" s="2">
        <v>6.23</v>
      </c>
      <c r="C4104" s="2">
        <v>3.8</v>
      </c>
      <c r="D4104" s="2">
        <v>5.2299999999999995</v>
      </c>
      <c r="E4104" s="2">
        <v>5.64</v>
      </c>
      <c r="F4104" s="2">
        <v>3.16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</row>
    <row r="4105" spans="1:11" x14ac:dyDescent="0.25">
      <c r="A4105" s="1">
        <v>0.84930555555555598</v>
      </c>
      <c r="B4105" s="2">
        <v>6.12</v>
      </c>
      <c r="C4105" s="2">
        <v>3.76</v>
      </c>
      <c r="D4105" s="2">
        <v>5.08</v>
      </c>
      <c r="E4105" s="2">
        <v>5.1899999999999995</v>
      </c>
      <c r="F4105" s="2">
        <v>3.3400000000000003</v>
      </c>
      <c r="G4105" s="6">
        <v>0</v>
      </c>
      <c r="H4105" s="6">
        <v>0</v>
      </c>
      <c r="I4105" s="6">
        <v>0</v>
      </c>
      <c r="J4105" s="6">
        <v>0</v>
      </c>
      <c r="K4105" s="6">
        <v>0</v>
      </c>
    </row>
    <row r="4106" spans="1:11" x14ac:dyDescent="0.25">
      <c r="A4106" s="1">
        <v>0.85</v>
      </c>
      <c r="B4106" s="2">
        <v>6.3500000000000005</v>
      </c>
      <c r="C4106" s="2">
        <v>3.7199999999999998</v>
      </c>
      <c r="D4106" s="2">
        <v>5.2299999999999995</v>
      </c>
      <c r="E4106" s="2">
        <v>5.7399999999999993</v>
      </c>
      <c r="F4106" s="2">
        <v>3.29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</row>
    <row r="4107" spans="1:11" x14ac:dyDescent="0.25">
      <c r="A4107" s="1">
        <v>0.85069444444444497</v>
      </c>
      <c r="B4107" s="2">
        <v>6.29</v>
      </c>
      <c r="C4107" s="2">
        <v>3.87</v>
      </c>
      <c r="D4107" s="2">
        <v>5.0999999999999996</v>
      </c>
      <c r="E4107" s="2">
        <v>5.1499999999999995</v>
      </c>
      <c r="F4107" s="2">
        <v>3.37</v>
      </c>
      <c r="G4107" s="6">
        <v>0</v>
      </c>
      <c r="H4107" s="6">
        <v>0</v>
      </c>
      <c r="I4107" s="6">
        <v>0</v>
      </c>
      <c r="J4107" s="6">
        <v>0</v>
      </c>
      <c r="K4107" s="6">
        <v>0</v>
      </c>
    </row>
    <row r="4108" spans="1:11" x14ac:dyDescent="0.25">
      <c r="A4108" s="1">
        <v>0.85138888888888897</v>
      </c>
      <c r="B4108" s="2">
        <v>6.3100000000000005</v>
      </c>
      <c r="C4108" s="2">
        <v>3.6599999999999997</v>
      </c>
      <c r="D4108" s="2">
        <v>5.13</v>
      </c>
      <c r="E4108" s="2">
        <v>5.21</v>
      </c>
      <c r="F4108" s="2">
        <v>3.31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</row>
    <row r="4109" spans="1:11" x14ac:dyDescent="0.25">
      <c r="A4109" s="1">
        <v>0.85208333333333297</v>
      </c>
      <c r="B4109" s="2">
        <v>6.14</v>
      </c>
      <c r="C4109" s="2">
        <v>3.6199999999999997</v>
      </c>
      <c r="D4109" s="2">
        <v>5.31</v>
      </c>
      <c r="E4109" s="2">
        <v>5.76</v>
      </c>
      <c r="F4109" s="2">
        <v>3.02</v>
      </c>
      <c r="G4109" s="6">
        <v>0</v>
      </c>
      <c r="H4109" s="6">
        <v>0</v>
      </c>
      <c r="I4109" s="6">
        <v>0</v>
      </c>
      <c r="J4109" s="6">
        <v>0</v>
      </c>
      <c r="K4109" s="6">
        <v>0</v>
      </c>
    </row>
    <row r="4110" spans="1:11" x14ac:dyDescent="0.25">
      <c r="A4110" s="1">
        <v>0.85277777777777797</v>
      </c>
      <c r="B4110" s="2">
        <v>6.19</v>
      </c>
      <c r="C4110" s="2">
        <v>3.6399999999999997</v>
      </c>
      <c r="D4110" s="2">
        <v>5.35</v>
      </c>
      <c r="E4110" s="2">
        <v>5.7799999999999994</v>
      </c>
      <c r="F4110" s="2">
        <v>3.4000000000000004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</row>
    <row r="4111" spans="1:11" x14ac:dyDescent="0.25">
      <c r="A4111" s="1">
        <v>0.85347222222222197</v>
      </c>
      <c r="B4111" s="2">
        <v>6.12</v>
      </c>
      <c r="C4111" s="2">
        <v>3.77</v>
      </c>
      <c r="D4111" s="2">
        <v>5.0299999999999994</v>
      </c>
      <c r="E4111" s="2">
        <v>5.3199999999999994</v>
      </c>
      <c r="F4111" s="2">
        <v>3.06</v>
      </c>
      <c r="G4111" s="6">
        <v>0</v>
      </c>
      <c r="H4111" s="6">
        <v>0</v>
      </c>
      <c r="I4111" s="6">
        <v>0</v>
      </c>
      <c r="J4111" s="6">
        <v>0</v>
      </c>
      <c r="K4111" s="6">
        <v>0</v>
      </c>
    </row>
    <row r="4112" spans="1:11" x14ac:dyDescent="0.25">
      <c r="A4112" s="1">
        <v>0.85416666666666696</v>
      </c>
      <c r="B4112" s="2">
        <v>6.19</v>
      </c>
      <c r="C4112" s="2">
        <v>3.78</v>
      </c>
      <c r="D4112" s="2">
        <v>5.13</v>
      </c>
      <c r="E4112" s="2">
        <v>5.29</v>
      </c>
      <c r="F4112" s="2">
        <v>3.25</v>
      </c>
      <c r="G4112" s="6">
        <v>0</v>
      </c>
      <c r="H4112" s="6">
        <v>0</v>
      </c>
      <c r="I4112" s="6">
        <v>0</v>
      </c>
      <c r="J4112" s="6">
        <v>0</v>
      </c>
      <c r="K4112" s="6">
        <v>0</v>
      </c>
    </row>
    <row r="4113" spans="1:11" x14ac:dyDescent="0.25">
      <c r="A4113" s="1">
        <v>0.85486111111111096</v>
      </c>
      <c r="B4113" s="2">
        <v>6.34</v>
      </c>
      <c r="C4113" s="2">
        <v>3.92</v>
      </c>
      <c r="D4113" s="2">
        <v>5.09</v>
      </c>
      <c r="E4113" s="2">
        <v>5.2399999999999993</v>
      </c>
      <c r="F4113" s="2">
        <v>3.2</v>
      </c>
      <c r="G4113" s="6">
        <v>0</v>
      </c>
      <c r="H4113" s="6">
        <v>0</v>
      </c>
      <c r="I4113" s="6">
        <v>0</v>
      </c>
      <c r="J4113" s="6">
        <v>0</v>
      </c>
      <c r="K4113" s="6">
        <v>0</v>
      </c>
    </row>
    <row r="4114" spans="1:11" x14ac:dyDescent="0.25">
      <c r="A4114" s="1">
        <v>0.85555555555555596</v>
      </c>
      <c r="B4114" s="2">
        <v>6.3100000000000005</v>
      </c>
      <c r="C4114" s="2">
        <v>3.78</v>
      </c>
      <c r="D4114" s="2">
        <v>5.29</v>
      </c>
      <c r="E4114" s="2">
        <v>5.63</v>
      </c>
      <c r="F4114" s="2">
        <v>3.06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</row>
    <row r="4115" spans="1:11" x14ac:dyDescent="0.25">
      <c r="A4115" s="1">
        <v>0.85624999999999996</v>
      </c>
      <c r="B4115" s="2">
        <v>6.24</v>
      </c>
      <c r="C4115" s="2">
        <v>3.86</v>
      </c>
      <c r="D4115" s="2">
        <v>4.97</v>
      </c>
      <c r="E4115" s="2">
        <v>5.77</v>
      </c>
      <c r="F4115" s="2">
        <v>3.0900000000000003</v>
      </c>
      <c r="G4115" s="6">
        <v>0</v>
      </c>
      <c r="H4115" s="6">
        <v>0</v>
      </c>
      <c r="I4115" s="6">
        <v>0</v>
      </c>
      <c r="J4115" s="6">
        <v>0</v>
      </c>
      <c r="K4115" s="6">
        <v>0</v>
      </c>
    </row>
    <row r="4116" spans="1:11" x14ac:dyDescent="0.25">
      <c r="A4116" s="1">
        <v>0.85694444444444495</v>
      </c>
      <c r="B4116" s="2">
        <v>6.32</v>
      </c>
      <c r="C4116" s="2">
        <v>3.67</v>
      </c>
      <c r="D4116" s="2">
        <v>5.17</v>
      </c>
      <c r="E4116" s="2">
        <v>5.5299999999999994</v>
      </c>
      <c r="F4116" s="2">
        <v>3.08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</row>
    <row r="4117" spans="1:11" x14ac:dyDescent="0.25">
      <c r="A4117" s="1">
        <v>0.85763888888888895</v>
      </c>
      <c r="B4117" s="2">
        <v>6.13</v>
      </c>
      <c r="C4117" s="2">
        <v>3.8499999999999996</v>
      </c>
      <c r="D4117" s="2">
        <v>4.97</v>
      </c>
      <c r="E4117" s="2">
        <v>5.29</v>
      </c>
      <c r="F4117" s="2">
        <v>3.0100000000000002</v>
      </c>
      <c r="G4117" s="6">
        <v>0</v>
      </c>
      <c r="H4117" s="6">
        <v>0</v>
      </c>
      <c r="I4117" s="6">
        <v>0</v>
      </c>
      <c r="J4117" s="6">
        <v>0</v>
      </c>
      <c r="K4117" s="6">
        <v>0</v>
      </c>
    </row>
    <row r="4118" spans="1:11" x14ac:dyDescent="0.25">
      <c r="A4118" s="1">
        <v>0.85833333333333295</v>
      </c>
      <c r="B4118" s="2">
        <v>6.28</v>
      </c>
      <c r="C4118" s="2">
        <v>3.61</v>
      </c>
      <c r="D4118" s="2">
        <v>5.1999999999999993</v>
      </c>
      <c r="E4118" s="2">
        <v>5.3599999999999994</v>
      </c>
      <c r="F4118" s="2">
        <v>3.2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</row>
    <row r="4119" spans="1:11" x14ac:dyDescent="0.25">
      <c r="A4119" s="1">
        <v>0.85902777777777795</v>
      </c>
      <c r="B4119" s="2">
        <v>6.3500000000000005</v>
      </c>
      <c r="C4119" s="2">
        <v>3.6799999999999997</v>
      </c>
      <c r="D4119" s="2">
        <v>5.1099999999999994</v>
      </c>
      <c r="E4119" s="2">
        <v>5.76</v>
      </c>
      <c r="F4119" s="2">
        <v>3.1</v>
      </c>
      <c r="G4119" s="6">
        <v>0</v>
      </c>
      <c r="H4119" s="6">
        <v>0</v>
      </c>
      <c r="I4119" s="6">
        <v>0</v>
      </c>
      <c r="J4119" s="6">
        <v>0</v>
      </c>
      <c r="K4119" s="6">
        <v>0</v>
      </c>
    </row>
    <row r="4120" spans="1:11" x14ac:dyDescent="0.25">
      <c r="A4120" s="1">
        <v>0.85972222222222205</v>
      </c>
      <c r="B4120" s="2">
        <v>6.23</v>
      </c>
      <c r="C4120" s="2">
        <v>3.83</v>
      </c>
      <c r="D4120" s="2">
        <v>5.2399999999999993</v>
      </c>
      <c r="E4120" s="2">
        <v>5.51</v>
      </c>
      <c r="F4120" s="2">
        <v>2.99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</row>
    <row r="4121" spans="1:11" x14ac:dyDescent="0.25">
      <c r="A4121" s="1">
        <v>0.86041666666666705</v>
      </c>
      <c r="B4121" s="2">
        <v>6.21</v>
      </c>
      <c r="C4121" s="2">
        <v>3.61</v>
      </c>
      <c r="D4121" s="2">
        <v>4.9399999999999995</v>
      </c>
      <c r="E4121" s="2">
        <v>5.68</v>
      </c>
      <c r="F4121" s="2">
        <v>3.0300000000000002</v>
      </c>
      <c r="G4121" s="6">
        <v>0</v>
      </c>
      <c r="H4121" s="6">
        <v>0</v>
      </c>
      <c r="I4121" s="6">
        <v>0</v>
      </c>
      <c r="J4121" s="6">
        <v>0</v>
      </c>
      <c r="K4121" s="6">
        <v>0</v>
      </c>
    </row>
    <row r="4122" spans="1:11" x14ac:dyDescent="0.25">
      <c r="A4122" s="1">
        <v>0.86111111111111105</v>
      </c>
      <c r="B4122" s="2">
        <v>6.37</v>
      </c>
      <c r="C4122" s="2">
        <v>3.78</v>
      </c>
      <c r="D4122" s="2">
        <v>4.9499999999999993</v>
      </c>
      <c r="E4122" s="2">
        <v>5.37</v>
      </c>
      <c r="F4122" s="2">
        <v>3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</row>
    <row r="4123" spans="1:11" x14ac:dyDescent="0.25">
      <c r="A4123" s="1">
        <v>0.86180555555555605</v>
      </c>
      <c r="B4123" s="2">
        <v>6.21</v>
      </c>
      <c r="C4123" s="2">
        <v>3.67</v>
      </c>
      <c r="D4123" s="2">
        <v>4.9899999999999993</v>
      </c>
      <c r="E4123" s="2">
        <v>5.66</v>
      </c>
      <c r="F4123" s="2">
        <v>3.16</v>
      </c>
      <c r="G4123" s="6">
        <v>0</v>
      </c>
      <c r="H4123" s="6">
        <v>0</v>
      </c>
      <c r="I4123" s="6">
        <v>0</v>
      </c>
      <c r="J4123" s="6">
        <v>0</v>
      </c>
      <c r="K4123" s="6">
        <v>0</v>
      </c>
    </row>
    <row r="4124" spans="1:11" x14ac:dyDescent="0.25">
      <c r="A4124" s="1">
        <v>0.86250000000000004</v>
      </c>
      <c r="B4124" s="2">
        <v>6.37</v>
      </c>
      <c r="C4124" s="2">
        <v>3.71</v>
      </c>
      <c r="D4124" s="2">
        <v>5.2399999999999993</v>
      </c>
      <c r="E4124" s="2">
        <v>5.5</v>
      </c>
      <c r="F4124" s="2">
        <v>2.98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</row>
    <row r="4125" spans="1:11" x14ac:dyDescent="0.25">
      <c r="A4125" s="1">
        <v>0.86319444444444404</v>
      </c>
      <c r="B4125" s="2">
        <v>6.22</v>
      </c>
      <c r="C4125" s="2">
        <v>3.82</v>
      </c>
      <c r="D4125" s="2">
        <v>5.14</v>
      </c>
      <c r="E4125" s="2">
        <v>5.4799999999999995</v>
      </c>
      <c r="F4125" s="2">
        <v>3.23</v>
      </c>
      <c r="G4125" s="6">
        <v>0</v>
      </c>
      <c r="H4125" s="6">
        <v>0</v>
      </c>
      <c r="I4125" s="6">
        <v>0</v>
      </c>
      <c r="J4125" s="6">
        <v>0</v>
      </c>
      <c r="K4125" s="6">
        <v>0</v>
      </c>
    </row>
    <row r="4126" spans="1:11" x14ac:dyDescent="0.25">
      <c r="A4126" s="1">
        <v>0.86388888888888904</v>
      </c>
      <c r="B4126" s="2">
        <v>6.18</v>
      </c>
      <c r="C4126" s="2">
        <v>3.61</v>
      </c>
      <c r="D4126" s="2">
        <v>5.38</v>
      </c>
      <c r="E4126" s="2">
        <v>5.4899999999999993</v>
      </c>
      <c r="F4126" s="2">
        <v>3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</row>
    <row r="4127" spans="1:11" x14ac:dyDescent="0.25">
      <c r="A4127" s="1">
        <v>0.86458333333333304</v>
      </c>
      <c r="B4127" s="2">
        <v>6.23</v>
      </c>
      <c r="C4127" s="2">
        <v>3.82</v>
      </c>
      <c r="D4127" s="2">
        <v>5.33</v>
      </c>
      <c r="E4127" s="2">
        <v>5.54</v>
      </c>
      <c r="F4127" s="2">
        <v>3.0100000000000002</v>
      </c>
      <c r="G4127" s="6">
        <v>0</v>
      </c>
      <c r="H4127" s="6">
        <v>0</v>
      </c>
      <c r="I4127" s="6">
        <v>0</v>
      </c>
      <c r="J4127" s="6">
        <v>0</v>
      </c>
      <c r="K4127" s="6">
        <v>0</v>
      </c>
    </row>
    <row r="4128" spans="1:11" x14ac:dyDescent="0.25">
      <c r="A4128" s="1">
        <v>0.86527777777777803</v>
      </c>
      <c r="B4128" s="2">
        <v>6.21</v>
      </c>
      <c r="C4128" s="2">
        <v>3.77</v>
      </c>
      <c r="D4128" s="2">
        <v>5.08</v>
      </c>
      <c r="E4128" s="2">
        <v>5.3199999999999994</v>
      </c>
      <c r="F4128" s="2">
        <v>2.89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</row>
    <row r="4129" spans="1:11" x14ac:dyDescent="0.25">
      <c r="A4129" s="1">
        <v>0.86597222222222203</v>
      </c>
      <c r="B4129" s="2">
        <v>6.28</v>
      </c>
      <c r="C4129" s="2">
        <v>3.83</v>
      </c>
      <c r="D4129" s="2">
        <v>5.29</v>
      </c>
      <c r="E4129" s="2">
        <v>5.76</v>
      </c>
      <c r="F4129" s="2">
        <v>3.14</v>
      </c>
      <c r="G4129" s="6">
        <v>0</v>
      </c>
      <c r="H4129" s="6">
        <v>0</v>
      </c>
      <c r="I4129" s="6">
        <v>0</v>
      </c>
      <c r="J4129" s="6">
        <v>0</v>
      </c>
      <c r="K4129" s="6">
        <v>0</v>
      </c>
    </row>
    <row r="4130" spans="1:11" x14ac:dyDescent="0.25">
      <c r="A4130" s="1">
        <v>0.86666666666666703</v>
      </c>
      <c r="B4130" s="2">
        <v>6.26</v>
      </c>
      <c r="C4130" s="2">
        <v>3.7199999999999998</v>
      </c>
      <c r="D4130" s="2">
        <v>5.0699999999999994</v>
      </c>
      <c r="E4130" s="2">
        <v>5.6</v>
      </c>
      <c r="F4130" s="2">
        <v>2.96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</row>
    <row r="4131" spans="1:11" x14ac:dyDescent="0.25">
      <c r="A4131" s="1">
        <v>0.86736111111111103</v>
      </c>
      <c r="B4131" s="2">
        <v>6.32</v>
      </c>
      <c r="C4131" s="2">
        <v>3.76</v>
      </c>
      <c r="D4131" s="2">
        <v>4.93</v>
      </c>
      <c r="E4131" s="2">
        <v>5.27</v>
      </c>
      <c r="F4131" s="2">
        <v>3.17</v>
      </c>
      <c r="G4131" s="6">
        <v>0</v>
      </c>
      <c r="H4131" s="6">
        <v>0</v>
      </c>
      <c r="I4131" s="6">
        <v>0</v>
      </c>
      <c r="J4131" s="6">
        <v>0</v>
      </c>
      <c r="K4131" s="6">
        <v>0</v>
      </c>
    </row>
    <row r="4132" spans="1:11" x14ac:dyDescent="0.25">
      <c r="A4132" s="1">
        <v>0.86805555555555602</v>
      </c>
      <c r="B4132" s="2">
        <v>6.22</v>
      </c>
      <c r="C4132" s="2">
        <v>3.92</v>
      </c>
      <c r="D4132" s="2">
        <v>5.29</v>
      </c>
      <c r="E4132" s="2">
        <v>5.43</v>
      </c>
      <c r="F4132" s="2">
        <v>2.92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</row>
    <row r="4133" spans="1:11" x14ac:dyDescent="0.25">
      <c r="A4133" s="1">
        <v>0.86875000000000002</v>
      </c>
      <c r="B4133" s="2">
        <v>6.21</v>
      </c>
      <c r="C4133" s="2">
        <v>3.9099999999999997</v>
      </c>
      <c r="D4133" s="2">
        <v>5.1899999999999995</v>
      </c>
      <c r="E4133" s="2">
        <v>5.6899999999999995</v>
      </c>
      <c r="F4133" s="2">
        <v>3.18</v>
      </c>
      <c r="G4133" s="6">
        <v>0</v>
      </c>
      <c r="H4133" s="6">
        <v>0</v>
      </c>
      <c r="I4133" s="6">
        <v>0</v>
      </c>
      <c r="J4133" s="6">
        <v>0</v>
      </c>
      <c r="K4133" s="6">
        <v>0</v>
      </c>
    </row>
    <row r="4134" spans="1:11" x14ac:dyDescent="0.25">
      <c r="A4134" s="1">
        <v>0.86944444444444402</v>
      </c>
      <c r="B4134" s="2">
        <v>6.14</v>
      </c>
      <c r="C4134" s="2">
        <v>3.92</v>
      </c>
      <c r="D4134" s="2">
        <v>4.92</v>
      </c>
      <c r="E4134" s="2">
        <v>5.8</v>
      </c>
      <c r="F4134" s="2">
        <v>3.0500000000000003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</row>
    <row r="4135" spans="1:11" x14ac:dyDescent="0.25">
      <c r="A4135" s="1">
        <v>0.87013888888888902</v>
      </c>
      <c r="B4135" s="2">
        <v>6.15</v>
      </c>
      <c r="C4135" s="2">
        <v>3.86</v>
      </c>
      <c r="D4135" s="2">
        <v>5.35</v>
      </c>
      <c r="E4135" s="2">
        <v>5.43</v>
      </c>
      <c r="F4135" s="2">
        <v>2.9</v>
      </c>
      <c r="G4135" s="6">
        <v>0</v>
      </c>
      <c r="H4135" s="6">
        <v>0</v>
      </c>
      <c r="I4135" s="6">
        <v>0</v>
      </c>
      <c r="J4135" s="6">
        <v>0</v>
      </c>
      <c r="K4135" s="6">
        <v>0</v>
      </c>
    </row>
    <row r="4136" spans="1:11" x14ac:dyDescent="0.25">
      <c r="A4136" s="1">
        <v>0.87083333333333302</v>
      </c>
      <c r="B4136" s="2">
        <v>6.36</v>
      </c>
      <c r="C4136" s="2">
        <v>3.78</v>
      </c>
      <c r="D4136" s="2">
        <v>5.33</v>
      </c>
      <c r="E4136" s="2">
        <v>5.4399999999999995</v>
      </c>
      <c r="F4136" s="2">
        <v>3.38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</row>
    <row r="4137" spans="1:11" x14ac:dyDescent="0.25">
      <c r="A4137" s="1">
        <v>0.87152777777777801</v>
      </c>
      <c r="B4137" s="2">
        <v>6.24</v>
      </c>
      <c r="C4137" s="2">
        <v>3.61</v>
      </c>
      <c r="D4137" s="2">
        <v>5.3699999999999992</v>
      </c>
      <c r="E4137" s="2">
        <v>5.67</v>
      </c>
      <c r="F4137" s="2">
        <v>3.0500000000000003</v>
      </c>
      <c r="G4137" s="6">
        <v>0</v>
      </c>
      <c r="H4137" s="6">
        <v>0</v>
      </c>
      <c r="I4137" s="6">
        <v>0</v>
      </c>
      <c r="J4137" s="6">
        <v>0</v>
      </c>
      <c r="K4137" s="6">
        <v>0</v>
      </c>
    </row>
    <row r="4138" spans="1:11" x14ac:dyDescent="0.25">
      <c r="A4138" s="1">
        <v>0.87222222222222201</v>
      </c>
      <c r="B4138" s="2">
        <v>6.28</v>
      </c>
      <c r="C4138" s="2">
        <v>3.84</v>
      </c>
      <c r="D4138" s="2">
        <v>5.17</v>
      </c>
      <c r="E4138" s="2">
        <v>5.37</v>
      </c>
      <c r="F4138" s="2">
        <v>3.08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</row>
    <row r="4139" spans="1:11" x14ac:dyDescent="0.25">
      <c r="A4139" s="1">
        <v>0.87291666666666701</v>
      </c>
      <c r="B4139" s="2">
        <v>6.12</v>
      </c>
      <c r="C4139" s="2">
        <v>3.86</v>
      </c>
      <c r="D4139" s="2">
        <v>4.96</v>
      </c>
      <c r="E4139" s="2">
        <v>5.77</v>
      </c>
      <c r="F4139" s="2">
        <v>3.06</v>
      </c>
      <c r="G4139" s="6">
        <v>0</v>
      </c>
      <c r="H4139" s="6">
        <v>0</v>
      </c>
      <c r="I4139" s="6">
        <v>0</v>
      </c>
      <c r="J4139" s="6">
        <v>0</v>
      </c>
      <c r="K4139" s="6">
        <v>0</v>
      </c>
    </row>
    <row r="4140" spans="1:11" x14ac:dyDescent="0.25">
      <c r="A4140" s="1">
        <v>0.87361111111111101</v>
      </c>
      <c r="B4140" s="2">
        <v>6.3500000000000005</v>
      </c>
      <c r="C4140" s="2">
        <v>3.9</v>
      </c>
      <c r="D4140" s="2">
        <v>5</v>
      </c>
      <c r="E4140" s="2">
        <v>5.52</v>
      </c>
      <c r="F4140" s="2">
        <v>3.38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</row>
    <row r="4141" spans="1:11" x14ac:dyDescent="0.25">
      <c r="A4141" s="1">
        <v>0.874305555555556</v>
      </c>
      <c r="B4141" s="2">
        <v>6.37</v>
      </c>
      <c r="C4141" s="2">
        <v>3.88</v>
      </c>
      <c r="D4141" s="2">
        <v>5.2799999999999994</v>
      </c>
      <c r="E4141" s="2">
        <v>5.72</v>
      </c>
      <c r="F4141" s="2">
        <v>3.2800000000000002</v>
      </c>
      <c r="G4141" s="6">
        <v>0</v>
      </c>
      <c r="H4141" s="6">
        <v>0</v>
      </c>
      <c r="I4141" s="6">
        <v>0</v>
      </c>
      <c r="J4141" s="6">
        <v>0</v>
      </c>
      <c r="K4141" s="6">
        <v>0</v>
      </c>
    </row>
    <row r="4142" spans="1:11" x14ac:dyDescent="0.25">
      <c r="A4142" s="3">
        <v>0.875</v>
      </c>
      <c r="B4142" s="2">
        <v>6.24</v>
      </c>
      <c r="C4142" s="2">
        <v>3.82</v>
      </c>
      <c r="D4142" s="2">
        <v>5.12</v>
      </c>
      <c r="E4142" s="2">
        <v>5.42</v>
      </c>
      <c r="F4142" s="2">
        <v>3.25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</row>
    <row r="4143" spans="1:11" x14ac:dyDescent="0.25">
      <c r="A4143" s="1">
        <v>0.875694444444444</v>
      </c>
      <c r="B4143" s="2">
        <v>6.17</v>
      </c>
      <c r="C4143" s="2">
        <v>3.78</v>
      </c>
      <c r="D4143" s="2">
        <v>5.1499999999999995</v>
      </c>
      <c r="E4143" s="2">
        <v>5.2299999999999995</v>
      </c>
      <c r="F4143" s="2">
        <v>3.22</v>
      </c>
      <c r="G4143" s="6">
        <v>0</v>
      </c>
      <c r="H4143" s="6">
        <v>0</v>
      </c>
      <c r="I4143" s="6">
        <v>0</v>
      </c>
      <c r="J4143" s="6">
        <v>0</v>
      </c>
      <c r="K4143" s="6">
        <v>0</v>
      </c>
    </row>
    <row r="4144" spans="1:11" x14ac:dyDescent="0.25">
      <c r="A4144" s="1">
        <v>0.87638888888888899</v>
      </c>
      <c r="B4144" s="2">
        <v>6.13</v>
      </c>
      <c r="C4144" s="2">
        <v>3.8899999999999997</v>
      </c>
      <c r="D4144" s="2">
        <v>5.3199999999999994</v>
      </c>
      <c r="E4144" s="2">
        <v>5.4799999999999995</v>
      </c>
      <c r="F4144" s="2">
        <v>3.18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</row>
    <row r="4145" spans="1:11" x14ac:dyDescent="0.25">
      <c r="A4145" s="1">
        <v>0.87708333333333299</v>
      </c>
      <c r="B4145" s="2">
        <v>6.22</v>
      </c>
      <c r="C4145" s="2">
        <v>3.76</v>
      </c>
      <c r="D4145" s="2">
        <v>5</v>
      </c>
      <c r="E4145" s="2">
        <v>5.33</v>
      </c>
      <c r="F4145" s="2">
        <v>3.1</v>
      </c>
      <c r="G4145" s="6">
        <v>0</v>
      </c>
      <c r="H4145" s="6">
        <v>0</v>
      </c>
      <c r="I4145" s="6">
        <v>0</v>
      </c>
      <c r="J4145" s="6">
        <v>0</v>
      </c>
      <c r="K4145" s="6">
        <v>0</v>
      </c>
    </row>
    <row r="4146" spans="1:11" x14ac:dyDescent="0.25">
      <c r="A4146" s="1">
        <v>0.87777777777777799</v>
      </c>
      <c r="B4146" s="2">
        <v>6.33</v>
      </c>
      <c r="C4146" s="2">
        <v>3.6199999999999997</v>
      </c>
      <c r="D4146" s="2">
        <v>5.34</v>
      </c>
      <c r="E4146" s="2">
        <v>5.59</v>
      </c>
      <c r="F4146" s="2">
        <v>2.96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</row>
    <row r="4147" spans="1:11" x14ac:dyDescent="0.25">
      <c r="A4147" s="1">
        <v>0.87847222222222199</v>
      </c>
      <c r="B4147" s="2">
        <v>6.26</v>
      </c>
      <c r="C4147" s="2">
        <v>3.79</v>
      </c>
      <c r="D4147" s="2">
        <v>5.2299999999999995</v>
      </c>
      <c r="E4147" s="2">
        <v>5.18</v>
      </c>
      <c r="F4147" s="2">
        <v>3.18</v>
      </c>
      <c r="G4147" s="6">
        <v>0</v>
      </c>
      <c r="H4147" s="6">
        <v>0</v>
      </c>
      <c r="I4147" s="6">
        <v>0</v>
      </c>
      <c r="J4147" s="6">
        <v>0</v>
      </c>
      <c r="K4147" s="6">
        <v>0</v>
      </c>
    </row>
    <row r="4148" spans="1:11" x14ac:dyDescent="0.25">
      <c r="A4148" s="1">
        <v>0.87916666666666698</v>
      </c>
      <c r="B4148" s="2">
        <v>6.33</v>
      </c>
      <c r="C4148" s="2">
        <v>3.92</v>
      </c>
      <c r="D4148" s="2">
        <v>5.12</v>
      </c>
      <c r="E4148" s="2">
        <v>5.2799999999999994</v>
      </c>
      <c r="F4148" s="2">
        <v>2.91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</row>
    <row r="4149" spans="1:11" x14ac:dyDescent="0.25">
      <c r="A4149" s="1">
        <v>0.87986111111111098</v>
      </c>
      <c r="B4149" s="2">
        <v>6.2700000000000005</v>
      </c>
      <c r="C4149" s="2">
        <v>3.81</v>
      </c>
      <c r="D4149" s="2">
        <v>5.12</v>
      </c>
      <c r="E4149" s="2">
        <v>5.77</v>
      </c>
      <c r="F4149" s="2">
        <v>3.0500000000000003</v>
      </c>
      <c r="G4149" s="6">
        <v>0</v>
      </c>
      <c r="H4149" s="6">
        <v>0</v>
      </c>
      <c r="I4149" s="6">
        <v>0</v>
      </c>
      <c r="J4149" s="6">
        <v>0</v>
      </c>
      <c r="K4149" s="6">
        <v>0</v>
      </c>
    </row>
    <row r="4150" spans="1:11" x14ac:dyDescent="0.25">
      <c r="A4150" s="1">
        <v>0.88055555555555598</v>
      </c>
      <c r="B4150" s="2">
        <v>6.33</v>
      </c>
      <c r="C4150" s="2">
        <v>3.71</v>
      </c>
      <c r="D4150" s="2">
        <v>5.0599999999999996</v>
      </c>
      <c r="E4150" s="2">
        <v>5.56</v>
      </c>
      <c r="F4150" s="2">
        <v>3.17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</row>
    <row r="4151" spans="1:11" x14ac:dyDescent="0.25">
      <c r="A4151" s="1">
        <v>0.88124999999999998</v>
      </c>
      <c r="B4151" s="2">
        <v>6.15</v>
      </c>
      <c r="C4151" s="2">
        <v>3.8899999999999997</v>
      </c>
      <c r="D4151" s="2">
        <v>5.0199999999999996</v>
      </c>
      <c r="E4151" s="2">
        <v>5.58</v>
      </c>
      <c r="F4151" s="2">
        <v>3.0700000000000003</v>
      </c>
      <c r="G4151" s="6">
        <v>0</v>
      </c>
      <c r="H4151" s="6">
        <v>0</v>
      </c>
      <c r="I4151" s="6">
        <v>0</v>
      </c>
      <c r="J4151" s="6">
        <v>0</v>
      </c>
      <c r="K4151" s="6">
        <v>0</v>
      </c>
    </row>
    <row r="4152" spans="1:11" x14ac:dyDescent="0.25">
      <c r="A4152" s="1">
        <v>0.88194444444444497</v>
      </c>
      <c r="B4152" s="2">
        <v>6.37</v>
      </c>
      <c r="C4152" s="2">
        <v>3.61</v>
      </c>
      <c r="D4152" s="2">
        <v>4.96</v>
      </c>
      <c r="E4152" s="2">
        <v>5.3</v>
      </c>
      <c r="F4152" s="2">
        <v>2.97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</row>
    <row r="4153" spans="1:11" x14ac:dyDescent="0.25">
      <c r="A4153" s="1">
        <v>0.88263888888888897</v>
      </c>
      <c r="B4153" s="2">
        <v>6.12</v>
      </c>
      <c r="C4153" s="2">
        <v>3.9099999999999997</v>
      </c>
      <c r="D4153" s="2">
        <v>5</v>
      </c>
      <c r="E4153" s="2">
        <v>5.6</v>
      </c>
      <c r="F4153" s="2">
        <v>3.4000000000000004</v>
      </c>
      <c r="G4153" s="6">
        <v>0</v>
      </c>
      <c r="H4153" s="6">
        <v>0</v>
      </c>
      <c r="I4153" s="6">
        <v>0</v>
      </c>
      <c r="J4153" s="6">
        <v>0</v>
      </c>
      <c r="K4153" s="6">
        <v>0</v>
      </c>
    </row>
    <row r="4154" spans="1:11" x14ac:dyDescent="0.25">
      <c r="A4154" s="1">
        <v>0.88333333333333297</v>
      </c>
      <c r="B4154" s="2">
        <v>6.14</v>
      </c>
      <c r="C4154" s="2">
        <v>3.75</v>
      </c>
      <c r="D4154" s="2">
        <v>5.31</v>
      </c>
      <c r="E4154" s="2">
        <v>5.26</v>
      </c>
      <c r="F4154" s="2">
        <v>3.4000000000000004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</row>
    <row r="4155" spans="1:11" x14ac:dyDescent="0.25">
      <c r="A4155" s="1">
        <v>0.88402777777777797</v>
      </c>
      <c r="B4155" s="2">
        <v>6.26</v>
      </c>
      <c r="C4155" s="2">
        <v>3.78</v>
      </c>
      <c r="D4155" s="2">
        <v>5.1999999999999993</v>
      </c>
      <c r="E4155" s="2">
        <v>5.77</v>
      </c>
      <c r="F4155" s="2">
        <v>2.92</v>
      </c>
      <c r="G4155" s="6">
        <v>0</v>
      </c>
      <c r="H4155" s="6">
        <v>0</v>
      </c>
      <c r="I4155" s="6">
        <v>0</v>
      </c>
      <c r="J4155" s="6">
        <v>0</v>
      </c>
      <c r="K4155" s="6">
        <v>0</v>
      </c>
    </row>
    <row r="4156" spans="1:11" x14ac:dyDescent="0.25">
      <c r="A4156" s="1">
        <v>0.88472222222222197</v>
      </c>
      <c r="B4156" s="2">
        <v>6.3500000000000005</v>
      </c>
      <c r="C4156" s="2">
        <v>3.71</v>
      </c>
      <c r="D4156" s="2">
        <v>5.31</v>
      </c>
      <c r="E4156" s="2">
        <v>5.68</v>
      </c>
      <c r="F4156" s="2">
        <v>2.96</v>
      </c>
      <c r="G4156" s="6">
        <v>0</v>
      </c>
      <c r="H4156" s="6">
        <v>0</v>
      </c>
      <c r="I4156" s="6">
        <v>0</v>
      </c>
      <c r="J4156" s="6">
        <v>0</v>
      </c>
      <c r="K4156" s="6">
        <v>0</v>
      </c>
    </row>
    <row r="4157" spans="1:11" x14ac:dyDescent="0.25">
      <c r="A4157" s="1">
        <v>0.88541666666666696</v>
      </c>
      <c r="B4157" s="2">
        <v>6.32</v>
      </c>
      <c r="C4157" s="2">
        <v>3.8</v>
      </c>
      <c r="D4157" s="2">
        <v>5.05</v>
      </c>
      <c r="E4157" s="2">
        <v>5.75</v>
      </c>
      <c r="F4157" s="2">
        <v>3.3200000000000003</v>
      </c>
      <c r="G4157" s="6">
        <v>0</v>
      </c>
      <c r="H4157" s="6">
        <v>0</v>
      </c>
      <c r="I4157" s="6">
        <v>0</v>
      </c>
      <c r="J4157" s="6">
        <v>0</v>
      </c>
      <c r="K4157" s="6">
        <v>0</v>
      </c>
    </row>
    <row r="4158" spans="1:11" x14ac:dyDescent="0.25">
      <c r="A4158" s="1">
        <v>0.88611111111111096</v>
      </c>
      <c r="B4158" s="2">
        <v>6.28</v>
      </c>
      <c r="C4158" s="2">
        <v>3.6199999999999997</v>
      </c>
      <c r="D4158" s="2">
        <v>5.0599999999999996</v>
      </c>
      <c r="E4158" s="2">
        <v>5.7399999999999993</v>
      </c>
      <c r="F4158" s="2">
        <v>2.97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</row>
    <row r="4159" spans="1:11" x14ac:dyDescent="0.25">
      <c r="A4159" s="1">
        <v>0.88680555555555596</v>
      </c>
      <c r="B4159" s="2">
        <v>6.36</v>
      </c>
      <c r="C4159" s="2">
        <v>3.75</v>
      </c>
      <c r="D4159" s="2">
        <v>5.38</v>
      </c>
      <c r="E4159" s="2">
        <v>5.63</v>
      </c>
      <c r="F4159" s="2">
        <v>3.12</v>
      </c>
      <c r="G4159" s="6">
        <v>0</v>
      </c>
      <c r="H4159" s="6">
        <v>0</v>
      </c>
      <c r="I4159" s="6">
        <v>0</v>
      </c>
      <c r="J4159" s="6">
        <v>0</v>
      </c>
      <c r="K4159" s="6">
        <v>0</v>
      </c>
    </row>
    <row r="4160" spans="1:11" x14ac:dyDescent="0.25">
      <c r="A4160" s="1">
        <v>0.88749999999999996</v>
      </c>
      <c r="B4160" s="2">
        <v>6.13</v>
      </c>
      <c r="C4160" s="2">
        <v>3.8</v>
      </c>
      <c r="D4160" s="2">
        <v>5.13</v>
      </c>
      <c r="E4160" s="2">
        <v>5.68</v>
      </c>
      <c r="F4160" s="2">
        <v>3.0900000000000003</v>
      </c>
      <c r="G4160" s="6">
        <v>0</v>
      </c>
      <c r="H4160" s="6">
        <v>0</v>
      </c>
      <c r="I4160" s="6">
        <v>0</v>
      </c>
      <c r="J4160" s="6">
        <v>0</v>
      </c>
      <c r="K4160" s="6">
        <v>0</v>
      </c>
    </row>
    <row r="4161" spans="1:11" x14ac:dyDescent="0.25">
      <c r="A4161" s="1">
        <v>0.88819444444444495</v>
      </c>
      <c r="B4161" s="2">
        <v>6.32</v>
      </c>
      <c r="C4161" s="2">
        <v>3.87</v>
      </c>
      <c r="D4161" s="2">
        <v>5.0999999999999996</v>
      </c>
      <c r="E4161" s="2">
        <v>5.1599999999999993</v>
      </c>
      <c r="F4161" s="2">
        <v>2.93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</row>
    <row r="4162" spans="1:11" x14ac:dyDescent="0.25">
      <c r="A4162" s="1">
        <v>0.88888888888888895</v>
      </c>
      <c r="B4162" s="2">
        <v>6.2700000000000005</v>
      </c>
      <c r="C4162" s="2">
        <v>3.7199999999999998</v>
      </c>
      <c r="D4162" s="2">
        <v>4.9499999999999993</v>
      </c>
      <c r="E4162" s="2">
        <v>5.46</v>
      </c>
      <c r="F4162" s="2">
        <v>3.19</v>
      </c>
      <c r="G4162" s="6">
        <v>0</v>
      </c>
      <c r="H4162" s="6">
        <v>0</v>
      </c>
      <c r="I4162" s="6">
        <v>0</v>
      </c>
      <c r="J4162" s="6">
        <v>0</v>
      </c>
      <c r="K4162" s="6">
        <v>0</v>
      </c>
    </row>
    <row r="4163" spans="1:11" x14ac:dyDescent="0.25">
      <c r="A4163" s="1">
        <v>0.88958333333333295</v>
      </c>
      <c r="B4163" s="2">
        <v>6.28</v>
      </c>
      <c r="C4163" s="2">
        <v>3.86</v>
      </c>
      <c r="D4163" s="2">
        <v>5.12</v>
      </c>
      <c r="E4163" s="2">
        <v>5.52</v>
      </c>
      <c r="F4163" s="2">
        <v>3.35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</row>
    <row r="4164" spans="1:11" x14ac:dyDescent="0.25">
      <c r="A4164" s="1">
        <v>0.89027777777777795</v>
      </c>
      <c r="B4164" s="2">
        <v>6.33</v>
      </c>
      <c r="C4164" s="2">
        <v>3.6199999999999997</v>
      </c>
      <c r="D4164" s="2">
        <v>5.1899999999999995</v>
      </c>
      <c r="E4164" s="2">
        <v>5.7799999999999994</v>
      </c>
      <c r="F4164" s="2">
        <v>3.06</v>
      </c>
      <c r="G4164" s="6">
        <v>0</v>
      </c>
      <c r="H4164" s="6">
        <v>0</v>
      </c>
      <c r="I4164" s="6">
        <v>0</v>
      </c>
      <c r="J4164" s="6">
        <v>0</v>
      </c>
      <c r="K4164" s="6">
        <v>0</v>
      </c>
    </row>
    <row r="4165" spans="1:11" x14ac:dyDescent="0.25">
      <c r="A4165" s="1">
        <v>0.89097222222222205</v>
      </c>
      <c r="B4165" s="2">
        <v>6.14</v>
      </c>
      <c r="C4165" s="2">
        <v>3.75</v>
      </c>
      <c r="D4165" s="2">
        <v>5.1499999999999995</v>
      </c>
      <c r="E4165" s="2">
        <v>5.77</v>
      </c>
      <c r="F4165" s="2">
        <v>3.3200000000000003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</row>
    <row r="4166" spans="1:11" x14ac:dyDescent="0.25">
      <c r="A4166" s="1">
        <v>0.89166666666666705</v>
      </c>
      <c r="B4166" s="2">
        <v>6.33</v>
      </c>
      <c r="C4166" s="2">
        <v>3.61</v>
      </c>
      <c r="D4166" s="2">
        <v>5.1999999999999993</v>
      </c>
      <c r="E4166" s="2">
        <v>5.76</v>
      </c>
      <c r="F4166" s="2">
        <v>2.91</v>
      </c>
      <c r="G4166" s="6">
        <v>0</v>
      </c>
      <c r="H4166" s="6">
        <v>0</v>
      </c>
      <c r="I4166" s="6">
        <v>0</v>
      </c>
      <c r="J4166" s="6">
        <v>0</v>
      </c>
      <c r="K4166" s="6">
        <v>0</v>
      </c>
    </row>
    <row r="4167" spans="1:11" x14ac:dyDescent="0.25">
      <c r="A4167" s="1">
        <v>0.89236111111111105</v>
      </c>
      <c r="B4167" s="2">
        <v>6.2700000000000005</v>
      </c>
      <c r="C4167" s="2">
        <v>3.73</v>
      </c>
      <c r="D4167" s="2">
        <v>4.9099999999999993</v>
      </c>
      <c r="E4167" s="2">
        <v>5.7399999999999993</v>
      </c>
      <c r="F4167" s="2">
        <v>3.24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</row>
    <row r="4168" spans="1:11" x14ac:dyDescent="0.25">
      <c r="A4168" s="1">
        <v>0.89305555555555605</v>
      </c>
      <c r="B4168" s="2">
        <v>6.3500000000000005</v>
      </c>
      <c r="C4168" s="2">
        <v>3.84</v>
      </c>
      <c r="D4168" s="2">
        <v>4.93</v>
      </c>
      <c r="E4168" s="2">
        <v>5.26</v>
      </c>
      <c r="F4168" s="2">
        <v>3.19</v>
      </c>
      <c r="G4168" s="6">
        <v>0</v>
      </c>
      <c r="H4168" s="6">
        <v>0</v>
      </c>
      <c r="I4168" s="6">
        <v>0</v>
      </c>
      <c r="J4168" s="6">
        <v>0</v>
      </c>
      <c r="K4168" s="6">
        <v>0</v>
      </c>
    </row>
    <row r="4169" spans="1:11" x14ac:dyDescent="0.25">
      <c r="A4169" s="1">
        <v>0.89375000000000004</v>
      </c>
      <c r="B4169" s="2">
        <v>6.16</v>
      </c>
      <c r="C4169" s="2">
        <v>3.7399999999999998</v>
      </c>
      <c r="D4169" s="2">
        <v>5.1999999999999993</v>
      </c>
      <c r="E4169" s="2">
        <v>5.7799999999999994</v>
      </c>
      <c r="F4169" s="2">
        <v>3.0900000000000003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</row>
    <row r="4170" spans="1:11" x14ac:dyDescent="0.25">
      <c r="A4170" s="1">
        <v>0.89444444444444404</v>
      </c>
      <c r="B4170" s="2">
        <v>6.37</v>
      </c>
      <c r="C4170" s="2">
        <v>3.69</v>
      </c>
      <c r="D4170" s="2">
        <v>4.8999999999999995</v>
      </c>
      <c r="E4170" s="2">
        <v>5.25</v>
      </c>
      <c r="F4170" s="2">
        <v>3.2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</row>
    <row r="4171" spans="1:11" x14ac:dyDescent="0.25">
      <c r="A4171" s="1">
        <v>0.89513888888888904</v>
      </c>
      <c r="B4171" s="2">
        <v>6.37</v>
      </c>
      <c r="C4171" s="2">
        <v>3.75</v>
      </c>
      <c r="D4171" s="2">
        <v>5.3699999999999992</v>
      </c>
      <c r="E4171" s="2">
        <v>5.52</v>
      </c>
      <c r="F4171" s="2">
        <v>3.18</v>
      </c>
      <c r="G4171" s="6">
        <v>0</v>
      </c>
      <c r="H4171" s="6">
        <v>0</v>
      </c>
      <c r="I4171" s="6">
        <v>0</v>
      </c>
      <c r="J4171" s="6">
        <v>0</v>
      </c>
      <c r="K4171" s="6">
        <v>0</v>
      </c>
    </row>
    <row r="4172" spans="1:11" x14ac:dyDescent="0.25">
      <c r="A4172" s="1">
        <v>0.89583333333333304</v>
      </c>
      <c r="B4172" s="2">
        <v>6.23</v>
      </c>
      <c r="C4172" s="2">
        <v>3.75</v>
      </c>
      <c r="D4172" s="2">
        <v>4.93</v>
      </c>
      <c r="E4172" s="2">
        <v>5.29</v>
      </c>
      <c r="F4172" s="2">
        <v>3.16</v>
      </c>
      <c r="G4172" s="6">
        <v>0</v>
      </c>
      <c r="H4172" s="6">
        <v>0</v>
      </c>
      <c r="I4172" s="6">
        <v>0</v>
      </c>
      <c r="J4172" s="6">
        <v>0</v>
      </c>
      <c r="K4172" s="6">
        <v>0</v>
      </c>
    </row>
    <row r="4173" spans="1:11" x14ac:dyDescent="0.25">
      <c r="A4173" s="1">
        <v>0.89652777777777803</v>
      </c>
      <c r="B4173" s="2">
        <v>6.29</v>
      </c>
      <c r="C4173" s="2">
        <v>3.8499999999999996</v>
      </c>
      <c r="D4173" s="2">
        <v>5.2299999999999995</v>
      </c>
      <c r="E4173" s="2">
        <v>5.6999999999999993</v>
      </c>
      <c r="F4173" s="2">
        <v>2.89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</row>
    <row r="4174" spans="1:11" x14ac:dyDescent="0.25">
      <c r="A4174" s="1">
        <v>0.89722222222222203</v>
      </c>
      <c r="B4174" s="2">
        <v>6.2</v>
      </c>
      <c r="C4174" s="2">
        <v>3.63</v>
      </c>
      <c r="D4174" s="2">
        <v>5.2799999999999994</v>
      </c>
      <c r="E4174" s="2">
        <v>5.63</v>
      </c>
      <c r="F4174" s="2">
        <v>3.17</v>
      </c>
      <c r="G4174" s="6">
        <v>0</v>
      </c>
      <c r="H4174" s="6">
        <v>0</v>
      </c>
      <c r="I4174" s="6">
        <v>0</v>
      </c>
      <c r="J4174" s="6">
        <v>0</v>
      </c>
      <c r="K4174" s="6">
        <v>0</v>
      </c>
    </row>
    <row r="4175" spans="1:11" x14ac:dyDescent="0.25">
      <c r="A4175" s="1">
        <v>0.89791666666666703</v>
      </c>
      <c r="B4175" s="2">
        <v>6.32</v>
      </c>
      <c r="C4175" s="2">
        <v>3.84</v>
      </c>
      <c r="D4175" s="2">
        <v>4.97</v>
      </c>
      <c r="E4175" s="2">
        <v>5.4899999999999993</v>
      </c>
      <c r="F4175" s="2">
        <v>3.13</v>
      </c>
      <c r="G4175" s="6">
        <v>0</v>
      </c>
      <c r="H4175" s="6">
        <v>0</v>
      </c>
      <c r="I4175" s="6">
        <v>0</v>
      </c>
      <c r="J4175" s="6">
        <v>0</v>
      </c>
      <c r="K4175" s="6">
        <v>0</v>
      </c>
    </row>
    <row r="4176" spans="1:11" x14ac:dyDescent="0.25">
      <c r="A4176" s="1">
        <v>0.89861111111111103</v>
      </c>
      <c r="B4176" s="2">
        <v>6.13</v>
      </c>
      <c r="C4176" s="2">
        <v>3.78</v>
      </c>
      <c r="D4176" s="2">
        <v>5.1099999999999994</v>
      </c>
      <c r="E4176" s="2">
        <v>5.55</v>
      </c>
      <c r="F4176" s="2">
        <v>3.3600000000000003</v>
      </c>
      <c r="G4176" s="6">
        <v>0</v>
      </c>
      <c r="H4176" s="6">
        <v>0</v>
      </c>
      <c r="I4176" s="6">
        <v>0</v>
      </c>
      <c r="J4176" s="6">
        <v>0</v>
      </c>
      <c r="K4176" s="6">
        <v>0</v>
      </c>
    </row>
    <row r="4177" spans="1:11" x14ac:dyDescent="0.25">
      <c r="A4177" s="1">
        <v>0.89930555555555602</v>
      </c>
      <c r="B4177" s="2">
        <v>6.16</v>
      </c>
      <c r="C4177" s="2">
        <v>3.82</v>
      </c>
      <c r="D4177" s="2">
        <v>5.34</v>
      </c>
      <c r="E4177" s="2">
        <v>5.21</v>
      </c>
      <c r="F4177" s="2">
        <v>3.3000000000000003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</row>
    <row r="4178" spans="1:11" x14ac:dyDescent="0.25">
      <c r="A4178" s="1">
        <v>0.9</v>
      </c>
      <c r="B4178" s="2">
        <v>6.14</v>
      </c>
      <c r="C4178" s="2">
        <v>3.9</v>
      </c>
      <c r="D4178" s="2">
        <v>5.1999999999999993</v>
      </c>
      <c r="E4178" s="2">
        <v>5.6899999999999995</v>
      </c>
      <c r="F4178" s="2">
        <v>3.27</v>
      </c>
      <c r="G4178" s="6">
        <v>0</v>
      </c>
      <c r="H4178" s="6">
        <v>0</v>
      </c>
      <c r="I4178" s="6">
        <v>0</v>
      </c>
      <c r="J4178" s="6">
        <v>0</v>
      </c>
      <c r="K4178" s="6">
        <v>0</v>
      </c>
    </row>
    <row r="4179" spans="1:11" x14ac:dyDescent="0.25">
      <c r="A4179" s="1">
        <v>0.90069444444444402</v>
      </c>
      <c r="B4179" s="2">
        <v>6.34</v>
      </c>
      <c r="C4179" s="2">
        <v>3.84</v>
      </c>
      <c r="D4179" s="2">
        <v>5.0599999999999996</v>
      </c>
      <c r="E4179" s="2">
        <v>5.64</v>
      </c>
      <c r="F4179" s="2">
        <v>3.18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</row>
    <row r="4180" spans="1:11" x14ac:dyDescent="0.25">
      <c r="A4180" s="1">
        <v>0.90138888888888902</v>
      </c>
      <c r="B4180" s="2">
        <v>6.2700000000000005</v>
      </c>
      <c r="C4180" s="2">
        <v>3.6799999999999997</v>
      </c>
      <c r="D4180" s="2">
        <v>4.8999999999999995</v>
      </c>
      <c r="E4180" s="2">
        <v>5.63</v>
      </c>
      <c r="F4180" s="2">
        <v>3.3200000000000003</v>
      </c>
      <c r="G4180" s="6">
        <v>0</v>
      </c>
      <c r="H4180" s="6">
        <v>0</v>
      </c>
      <c r="I4180" s="6">
        <v>0</v>
      </c>
      <c r="J4180" s="6">
        <v>0</v>
      </c>
      <c r="K4180" s="6">
        <v>0</v>
      </c>
    </row>
    <row r="4181" spans="1:11" x14ac:dyDescent="0.25">
      <c r="A4181" s="1">
        <v>0.90208333333333302</v>
      </c>
      <c r="B4181" s="2">
        <v>6.21</v>
      </c>
      <c r="C4181" s="2">
        <v>3.9</v>
      </c>
      <c r="D4181" s="2">
        <v>4.92</v>
      </c>
      <c r="E4181" s="2">
        <v>5.6</v>
      </c>
      <c r="F4181" s="2">
        <v>3.2600000000000002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</row>
    <row r="4182" spans="1:11" x14ac:dyDescent="0.25">
      <c r="A4182" s="1">
        <v>0.90277777777777801</v>
      </c>
      <c r="B4182" s="2">
        <v>6.19</v>
      </c>
      <c r="C4182" s="2">
        <v>3.77</v>
      </c>
      <c r="D4182" s="2">
        <v>5.14</v>
      </c>
      <c r="E4182" s="2">
        <v>5.51</v>
      </c>
      <c r="F4182" s="2">
        <v>3.02</v>
      </c>
      <c r="G4182" s="6">
        <v>0</v>
      </c>
      <c r="H4182" s="6">
        <v>0</v>
      </c>
      <c r="I4182" s="6">
        <v>0</v>
      </c>
      <c r="J4182" s="6">
        <v>0</v>
      </c>
      <c r="K4182" s="6">
        <v>0</v>
      </c>
    </row>
    <row r="4183" spans="1:11" x14ac:dyDescent="0.25">
      <c r="A4183" s="1">
        <v>0.90347222222222201</v>
      </c>
      <c r="B4183" s="2">
        <v>6.2</v>
      </c>
      <c r="C4183" s="2">
        <v>3.65</v>
      </c>
      <c r="D4183" s="2">
        <v>5.29</v>
      </c>
      <c r="E4183" s="2">
        <v>5.43</v>
      </c>
      <c r="F4183" s="2">
        <v>3.13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</row>
    <row r="4184" spans="1:11" x14ac:dyDescent="0.25">
      <c r="A4184" s="1">
        <v>0.90416666666666701</v>
      </c>
      <c r="B4184" s="2">
        <v>6.23</v>
      </c>
      <c r="C4184" s="2">
        <v>3.8899999999999997</v>
      </c>
      <c r="D4184" s="2">
        <v>5.2299999999999995</v>
      </c>
      <c r="E4184" s="2">
        <v>5.3</v>
      </c>
      <c r="F4184" s="2">
        <v>3.38</v>
      </c>
      <c r="G4184" s="6">
        <v>0</v>
      </c>
      <c r="H4184" s="6">
        <v>0</v>
      </c>
      <c r="I4184" s="6">
        <v>0</v>
      </c>
      <c r="J4184" s="6">
        <v>0</v>
      </c>
      <c r="K4184" s="6">
        <v>0</v>
      </c>
    </row>
    <row r="4185" spans="1:11" x14ac:dyDescent="0.25">
      <c r="A4185" s="1">
        <v>0.90486111111111101</v>
      </c>
      <c r="B4185" s="2">
        <v>6.24</v>
      </c>
      <c r="C4185" s="2">
        <v>3.79</v>
      </c>
      <c r="D4185" s="2">
        <v>5.05</v>
      </c>
      <c r="E4185" s="2">
        <v>5.5699999999999994</v>
      </c>
      <c r="F4185" s="2">
        <v>2.93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</row>
    <row r="4186" spans="1:11" x14ac:dyDescent="0.25">
      <c r="A4186" s="1">
        <v>0.905555555555556</v>
      </c>
      <c r="B4186" s="2">
        <v>6.18</v>
      </c>
      <c r="C4186" s="2">
        <v>3.88</v>
      </c>
      <c r="D4186" s="2">
        <v>5.0299999999999994</v>
      </c>
      <c r="E4186" s="2">
        <v>5.4499999999999993</v>
      </c>
      <c r="F4186" s="2">
        <v>2.97</v>
      </c>
      <c r="G4186" s="6">
        <v>0</v>
      </c>
      <c r="H4186" s="6">
        <v>0</v>
      </c>
      <c r="I4186" s="6">
        <v>0</v>
      </c>
      <c r="J4186" s="6">
        <v>0</v>
      </c>
      <c r="K4186" s="6">
        <v>0</v>
      </c>
    </row>
    <row r="4187" spans="1:11" x14ac:dyDescent="0.25">
      <c r="A4187" s="1">
        <v>0.90625</v>
      </c>
      <c r="B4187" s="2">
        <v>6.34</v>
      </c>
      <c r="C4187" s="2">
        <v>3.81</v>
      </c>
      <c r="D4187" s="2">
        <v>5.34</v>
      </c>
      <c r="E4187" s="2">
        <v>5.4899999999999993</v>
      </c>
      <c r="F4187" s="2">
        <v>3.3200000000000003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</row>
    <row r="4188" spans="1:11" x14ac:dyDescent="0.25">
      <c r="A4188" s="1">
        <v>0.906944444444444</v>
      </c>
      <c r="B4188" s="2">
        <v>6.3500000000000005</v>
      </c>
      <c r="C4188" s="2">
        <v>3.92</v>
      </c>
      <c r="D4188" s="2">
        <v>4.9399999999999995</v>
      </c>
      <c r="E4188" s="2">
        <v>5.6099999999999994</v>
      </c>
      <c r="F4188" s="2">
        <v>3.37</v>
      </c>
      <c r="G4188" s="6">
        <v>0</v>
      </c>
      <c r="H4188" s="6">
        <v>0</v>
      </c>
      <c r="I4188" s="6">
        <v>0</v>
      </c>
      <c r="J4188" s="6">
        <v>0</v>
      </c>
      <c r="K4188" s="6">
        <v>0</v>
      </c>
    </row>
    <row r="4189" spans="1:11" x14ac:dyDescent="0.25">
      <c r="A4189" s="1">
        <v>0.90763888888888899</v>
      </c>
      <c r="B4189" s="2">
        <v>6.36</v>
      </c>
      <c r="C4189" s="2">
        <v>3.83</v>
      </c>
      <c r="D4189" s="2">
        <v>4.9399999999999995</v>
      </c>
      <c r="E4189" s="2">
        <v>5.37</v>
      </c>
      <c r="F4189" s="2">
        <v>3.02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</row>
    <row r="4190" spans="1:11" x14ac:dyDescent="0.25">
      <c r="A4190" s="1">
        <v>0.90833333333333299</v>
      </c>
      <c r="B4190" s="2">
        <v>6.32</v>
      </c>
      <c r="C4190" s="2">
        <v>3.81</v>
      </c>
      <c r="D4190" s="2">
        <v>4.9099999999999993</v>
      </c>
      <c r="E4190" s="2">
        <v>5.3599999999999994</v>
      </c>
      <c r="F4190" s="2">
        <v>3.19</v>
      </c>
      <c r="G4190" s="6">
        <v>0</v>
      </c>
      <c r="H4190" s="6">
        <v>0</v>
      </c>
      <c r="I4190" s="6">
        <v>0</v>
      </c>
      <c r="J4190" s="6">
        <v>0</v>
      </c>
      <c r="K4190" s="6">
        <v>0</v>
      </c>
    </row>
    <row r="4191" spans="1:11" x14ac:dyDescent="0.25">
      <c r="A4191" s="1">
        <v>0.90902777777777799</v>
      </c>
      <c r="B4191" s="2">
        <v>6.32</v>
      </c>
      <c r="C4191" s="2">
        <v>3.6199999999999997</v>
      </c>
      <c r="D4191" s="2">
        <v>5.1999999999999993</v>
      </c>
      <c r="E4191" s="2">
        <v>5.35</v>
      </c>
      <c r="F4191" s="2">
        <v>2.9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</row>
    <row r="4192" spans="1:11" x14ac:dyDescent="0.25">
      <c r="A4192" s="1">
        <v>0.90972222222222199</v>
      </c>
      <c r="B4192" s="2">
        <v>6.3500000000000005</v>
      </c>
      <c r="C4192" s="2">
        <v>3.8499999999999996</v>
      </c>
      <c r="D4192" s="2">
        <v>4.9799999999999995</v>
      </c>
      <c r="E4192" s="2">
        <v>5.47</v>
      </c>
      <c r="F4192" s="2">
        <v>2.96</v>
      </c>
      <c r="G4192" s="6">
        <v>0</v>
      </c>
      <c r="H4192" s="6">
        <v>0</v>
      </c>
      <c r="I4192" s="6">
        <v>0</v>
      </c>
      <c r="J4192" s="6">
        <v>0</v>
      </c>
      <c r="K4192" s="6">
        <v>0</v>
      </c>
    </row>
    <row r="4193" spans="1:11" x14ac:dyDescent="0.25">
      <c r="A4193" s="1">
        <v>0.91041666666666698</v>
      </c>
      <c r="B4193" s="2">
        <v>6.16</v>
      </c>
      <c r="C4193" s="2">
        <v>3.82</v>
      </c>
      <c r="D4193" s="2">
        <v>5.05</v>
      </c>
      <c r="E4193" s="2">
        <v>5.63</v>
      </c>
      <c r="F4193" s="2">
        <v>3.08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</row>
    <row r="4194" spans="1:11" x14ac:dyDescent="0.25">
      <c r="A4194" s="1">
        <v>0.91111111111111098</v>
      </c>
      <c r="B4194" s="2">
        <v>6.28</v>
      </c>
      <c r="C4194" s="2">
        <v>3.86</v>
      </c>
      <c r="D4194" s="2">
        <v>5.04</v>
      </c>
      <c r="E4194" s="2">
        <v>5.1999999999999993</v>
      </c>
      <c r="F4194" s="2">
        <v>2.93</v>
      </c>
      <c r="G4194" s="6">
        <v>0</v>
      </c>
      <c r="H4194" s="6">
        <v>0</v>
      </c>
      <c r="I4194" s="6">
        <v>0</v>
      </c>
      <c r="J4194" s="6">
        <v>0</v>
      </c>
      <c r="K4194" s="6">
        <v>0</v>
      </c>
    </row>
    <row r="4195" spans="1:11" x14ac:dyDescent="0.25">
      <c r="A4195" s="1">
        <v>0.91180555555555598</v>
      </c>
      <c r="B4195" s="2">
        <v>6.29</v>
      </c>
      <c r="C4195" s="2">
        <v>3.7199999999999998</v>
      </c>
      <c r="D4195" s="2">
        <v>5.08</v>
      </c>
      <c r="E4195" s="2">
        <v>5.46</v>
      </c>
      <c r="F4195" s="2">
        <v>3.0100000000000002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</row>
    <row r="4196" spans="1:11" x14ac:dyDescent="0.25">
      <c r="A4196" s="1">
        <v>0.91249999999999998</v>
      </c>
      <c r="B4196" s="2">
        <v>6.37</v>
      </c>
      <c r="C4196" s="2">
        <v>3.83</v>
      </c>
      <c r="D4196" s="2">
        <v>5.13</v>
      </c>
      <c r="E4196" s="2">
        <v>5.76</v>
      </c>
      <c r="F4196" s="2">
        <v>3.24</v>
      </c>
      <c r="G4196" s="6">
        <v>0</v>
      </c>
      <c r="H4196" s="6">
        <v>0</v>
      </c>
      <c r="I4196" s="6">
        <v>0</v>
      </c>
      <c r="J4196" s="6">
        <v>0</v>
      </c>
      <c r="K4196" s="6">
        <v>0</v>
      </c>
    </row>
    <row r="4197" spans="1:11" x14ac:dyDescent="0.25">
      <c r="A4197" s="1">
        <v>0.91319444444444497</v>
      </c>
      <c r="B4197" s="2">
        <v>6.33</v>
      </c>
      <c r="C4197" s="2">
        <v>3.79</v>
      </c>
      <c r="D4197" s="2">
        <v>5.3199999999999994</v>
      </c>
      <c r="E4197" s="2">
        <v>5.77</v>
      </c>
      <c r="F4197" s="2">
        <v>3.21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</row>
    <row r="4198" spans="1:11" x14ac:dyDescent="0.25">
      <c r="A4198" s="1">
        <v>0.91388888888888897</v>
      </c>
      <c r="B4198" s="2">
        <v>6.37</v>
      </c>
      <c r="C4198" s="2">
        <v>3.71</v>
      </c>
      <c r="D4198" s="2">
        <v>5.2799999999999994</v>
      </c>
      <c r="E4198" s="2">
        <v>5.2799999999999994</v>
      </c>
      <c r="F4198" s="2">
        <v>2.98</v>
      </c>
      <c r="G4198" s="6">
        <v>0</v>
      </c>
      <c r="H4198" s="6">
        <v>0</v>
      </c>
      <c r="I4198" s="6">
        <v>0</v>
      </c>
      <c r="J4198" s="6">
        <v>0</v>
      </c>
      <c r="K4198" s="6">
        <v>0</v>
      </c>
    </row>
    <row r="4199" spans="1:11" x14ac:dyDescent="0.25">
      <c r="A4199" s="1">
        <v>0.91458333333333297</v>
      </c>
      <c r="B4199" s="2">
        <v>6.36</v>
      </c>
      <c r="C4199" s="2">
        <v>3.7399999999999998</v>
      </c>
      <c r="D4199" s="2">
        <v>4.96</v>
      </c>
      <c r="E4199" s="2">
        <v>5.29</v>
      </c>
      <c r="F4199" s="2">
        <v>3.24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</row>
    <row r="4200" spans="1:11" x14ac:dyDescent="0.25">
      <c r="A4200" s="1">
        <v>0.91527777777777797</v>
      </c>
      <c r="B4200" s="2">
        <v>6.26</v>
      </c>
      <c r="C4200" s="2">
        <v>3.8499999999999996</v>
      </c>
      <c r="D4200" s="2">
        <v>4.8899999999999997</v>
      </c>
      <c r="E4200" s="2">
        <v>5.58</v>
      </c>
      <c r="F4200" s="2">
        <v>3.0900000000000003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</row>
    <row r="4201" spans="1:11" x14ac:dyDescent="0.25">
      <c r="A4201" s="1">
        <v>0.91597222222222197</v>
      </c>
      <c r="B4201" s="2">
        <v>6.15</v>
      </c>
      <c r="C4201" s="2">
        <v>3.82</v>
      </c>
      <c r="D4201" s="2">
        <v>4.9799999999999995</v>
      </c>
      <c r="E4201" s="2">
        <v>5.1899999999999995</v>
      </c>
      <c r="F4201" s="2">
        <v>3.19</v>
      </c>
      <c r="G4201" s="6">
        <v>0</v>
      </c>
      <c r="H4201" s="6">
        <v>0</v>
      </c>
      <c r="I4201" s="6">
        <v>0</v>
      </c>
      <c r="J4201" s="6">
        <v>0</v>
      </c>
      <c r="K4201" s="6">
        <v>0</v>
      </c>
    </row>
    <row r="4202" spans="1:11" x14ac:dyDescent="0.25">
      <c r="A4202" s="3">
        <v>0.91666666666666696</v>
      </c>
      <c r="B4202" s="2">
        <v>6.16</v>
      </c>
      <c r="C4202" s="2">
        <v>3.82</v>
      </c>
      <c r="D4202" s="2">
        <v>5.12</v>
      </c>
      <c r="E4202" s="2">
        <v>5.42</v>
      </c>
      <c r="F4202" s="2">
        <v>3.25</v>
      </c>
      <c r="G4202" s="6">
        <v>0</v>
      </c>
      <c r="H4202" s="6">
        <v>0</v>
      </c>
      <c r="I4202" s="6">
        <v>0</v>
      </c>
      <c r="J4202" s="6">
        <v>0</v>
      </c>
      <c r="K4202" s="6">
        <v>0</v>
      </c>
    </row>
    <row r="4203" spans="1:11" x14ac:dyDescent="0.25">
      <c r="A4203" s="1">
        <v>0.91736111111111096</v>
      </c>
      <c r="B4203" s="2">
        <v>6.18</v>
      </c>
      <c r="C4203" s="2">
        <v>3.93</v>
      </c>
      <c r="D4203" s="2">
        <v>5.0999999999999996</v>
      </c>
      <c r="E4203" s="2">
        <v>5.51</v>
      </c>
      <c r="F4203" s="2">
        <v>3.22</v>
      </c>
      <c r="G4203" s="6">
        <v>0</v>
      </c>
      <c r="H4203" s="6">
        <v>0</v>
      </c>
      <c r="I4203" s="6">
        <v>0</v>
      </c>
      <c r="J4203" s="6">
        <v>0</v>
      </c>
      <c r="K4203" s="6">
        <v>0</v>
      </c>
    </row>
    <row r="4204" spans="1:11" x14ac:dyDescent="0.25">
      <c r="A4204" s="1">
        <v>0.91805555555555596</v>
      </c>
      <c r="B4204" s="2">
        <v>6.18</v>
      </c>
      <c r="C4204" s="2">
        <v>3.85</v>
      </c>
      <c r="D4204" s="2">
        <v>5.09</v>
      </c>
      <c r="E4204" s="2">
        <v>5.71</v>
      </c>
      <c r="F4204" s="2">
        <v>3.21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</row>
    <row r="4205" spans="1:11" x14ac:dyDescent="0.25">
      <c r="A4205" s="1">
        <v>0.91874999999999996</v>
      </c>
      <c r="B4205" s="2">
        <v>6.26</v>
      </c>
      <c r="C4205" s="2">
        <v>3.7800000000000002</v>
      </c>
      <c r="D4205" s="2">
        <v>4.9099999999999993</v>
      </c>
      <c r="E4205" s="2">
        <v>5.17</v>
      </c>
      <c r="F4205" s="2">
        <v>3.35</v>
      </c>
      <c r="G4205" s="6">
        <v>0</v>
      </c>
      <c r="H4205" s="6">
        <v>0</v>
      </c>
      <c r="I4205" s="6">
        <v>0</v>
      </c>
      <c r="J4205" s="6">
        <v>0</v>
      </c>
      <c r="K4205" s="6">
        <v>0</v>
      </c>
    </row>
    <row r="4206" spans="1:11" x14ac:dyDescent="0.25">
      <c r="A4206" s="1">
        <v>0.91944444444444495</v>
      </c>
      <c r="B4206" s="2">
        <v>6.36</v>
      </c>
      <c r="C4206" s="2">
        <v>3.81</v>
      </c>
      <c r="D4206" s="2">
        <v>5.08</v>
      </c>
      <c r="E4206" s="2">
        <v>5.34</v>
      </c>
      <c r="F4206" s="2">
        <v>3.14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</row>
    <row r="4207" spans="1:11" x14ac:dyDescent="0.25">
      <c r="A4207" s="1">
        <v>0.92013888888888895</v>
      </c>
      <c r="B4207" s="2">
        <v>6.18</v>
      </c>
      <c r="C4207" s="2">
        <v>3.8000000000000003</v>
      </c>
      <c r="D4207" s="2">
        <v>5.3699999999999992</v>
      </c>
      <c r="E4207" s="2">
        <v>5.4399999999999995</v>
      </c>
      <c r="F4207" s="2">
        <v>3.24</v>
      </c>
      <c r="G4207" s="6">
        <v>0</v>
      </c>
      <c r="H4207" s="6">
        <v>0</v>
      </c>
      <c r="I4207" s="6">
        <v>0</v>
      </c>
      <c r="J4207" s="6">
        <v>0</v>
      </c>
      <c r="K4207" s="6">
        <v>0</v>
      </c>
    </row>
    <row r="4208" spans="1:11" x14ac:dyDescent="0.25">
      <c r="A4208" s="1">
        <v>0.92083333333333295</v>
      </c>
      <c r="B4208" s="2">
        <v>6.2700000000000005</v>
      </c>
      <c r="C4208" s="2">
        <v>3.69</v>
      </c>
      <c r="D4208" s="2">
        <v>5.04</v>
      </c>
      <c r="E4208" s="2">
        <v>5.77</v>
      </c>
      <c r="F4208" s="2">
        <v>3.14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</row>
    <row r="4209" spans="1:11" x14ac:dyDescent="0.25">
      <c r="A4209" s="1">
        <v>0.92152777777777795</v>
      </c>
      <c r="B4209" s="2">
        <v>6.28</v>
      </c>
      <c r="C4209" s="2">
        <v>3.74</v>
      </c>
      <c r="D4209" s="2">
        <v>4.9399999999999995</v>
      </c>
      <c r="E4209" s="2">
        <v>5.5299999999999994</v>
      </c>
      <c r="F4209" s="2">
        <v>3.17</v>
      </c>
      <c r="G4209" s="6">
        <v>0</v>
      </c>
      <c r="H4209" s="6">
        <v>0</v>
      </c>
      <c r="I4209" s="6">
        <v>0</v>
      </c>
      <c r="J4209" s="6">
        <v>0</v>
      </c>
      <c r="K4209" s="6">
        <v>0</v>
      </c>
    </row>
    <row r="4210" spans="1:11" x14ac:dyDescent="0.25">
      <c r="A4210" s="1">
        <v>0.92222222222222205</v>
      </c>
      <c r="B4210" s="2">
        <v>6.28</v>
      </c>
      <c r="C4210" s="2">
        <v>3.8400000000000003</v>
      </c>
      <c r="D4210" s="2">
        <v>5.0199999999999996</v>
      </c>
      <c r="E4210" s="2">
        <v>5.51</v>
      </c>
      <c r="F4210" s="2">
        <v>3.37</v>
      </c>
      <c r="G4210" s="6">
        <v>0</v>
      </c>
      <c r="H4210" s="6">
        <v>0</v>
      </c>
      <c r="I4210" s="6">
        <v>0</v>
      </c>
      <c r="J4210" s="6">
        <v>0</v>
      </c>
      <c r="K4210" s="6">
        <v>0</v>
      </c>
    </row>
    <row r="4211" spans="1:11" x14ac:dyDescent="0.25">
      <c r="A4211" s="1">
        <v>0.92291666666666705</v>
      </c>
      <c r="B4211" s="2">
        <v>6.28</v>
      </c>
      <c r="C4211" s="2">
        <v>3.69</v>
      </c>
      <c r="D4211" s="2">
        <v>5.14</v>
      </c>
      <c r="E4211" s="2">
        <v>5.41</v>
      </c>
      <c r="F4211" s="2">
        <v>3.02</v>
      </c>
      <c r="G4211" s="6">
        <v>0</v>
      </c>
      <c r="H4211" s="6">
        <v>0</v>
      </c>
      <c r="I4211" s="6">
        <v>0</v>
      </c>
      <c r="J4211" s="6">
        <v>0</v>
      </c>
      <c r="K4211" s="6">
        <v>0</v>
      </c>
    </row>
    <row r="4212" spans="1:11" x14ac:dyDescent="0.25">
      <c r="A4212" s="1">
        <v>0.92361111111111105</v>
      </c>
      <c r="B4212" s="2">
        <v>6.14</v>
      </c>
      <c r="C4212" s="2">
        <v>3.8400000000000003</v>
      </c>
      <c r="D4212" s="2">
        <v>5.14</v>
      </c>
      <c r="E4212" s="2">
        <v>5.29</v>
      </c>
      <c r="F4212" s="2">
        <v>2.98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</row>
    <row r="4213" spans="1:11" x14ac:dyDescent="0.25">
      <c r="A4213" s="1">
        <v>0.92430555555555605</v>
      </c>
      <c r="B4213" s="2">
        <v>6.16</v>
      </c>
      <c r="C4213" s="2">
        <v>3.9400000000000004</v>
      </c>
      <c r="D4213" s="2">
        <v>5</v>
      </c>
      <c r="E4213" s="2">
        <v>5.4899999999999993</v>
      </c>
      <c r="F4213" s="2">
        <v>3.02</v>
      </c>
      <c r="G4213" s="6">
        <v>0</v>
      </c>
      <c r="H4213" s="6">
        <v>0</v>
      </c>
      <c r="I4213" s="6">
        <v>0</v>
      </c>
      <c r="J4213" s="6">
        <v>0</v>
      </c>
      <c r="K4213" s="6">
        <v>0</v>
      </c>
    </row>
    <row r="4214" spans="1:11" x14ac:dyDescent="0.25">
      <c r="A4214" s="1">
        <v>0.92500000000000004</v>
      </c>
      <c r="B4214" s="2">
        <v>6.3500000000000005</v>
      </c>
      <c r="C4214" s="2">
        <v>3.89</v>
      </c>
      <c r="D4214" s="2">
        <v>5.3699999999999992</v>
      </c>
      <c r="E4214" s="2">
        <v>5.51</v>
      </c>
      <c r="F4214" s="2">
        <v>3.13</v>
      </c>
      <c r="G4214" s="6">
        <v>0</v>
      </c>
      <c r="H4214" s="6">
        <v>0</v>
      </c>
      <c r="I4214" s="6">
        <v>0</v>
      </c>
      <c r="J4214" s="6">
        <v>0</v>
      </c>
      <c r="K4214" s="6">
        <v>0</v>
      </c>
    </row>
    <row r="4215" spans="1:11" x14ac:dyDescent="0.25">
      <c r="A4215" s="1">
        <v>0.92569444444444404</v>
      </c>
      <c r="B4215" s="2">
        <v>6.22</v>
      </c>
      <c r="C4215" s="2">
        <v>3.9000000000000004</v>
      </c>
      <c r="D4215" s="2">
        <v>5.17</v>
      </c>
      <c r="E4215" s="2">
        <v>5.22</v>
      </c>
      <c r="F4215" s="2">
        <v>3.33</v>
      </c>
      <c r="G4215" s="6">
        <v>0</v>
      </c>
      <c r="H4215" s="6">
        <v>0</v>
      </c>
      <c r="I4215" s="6">
        <v>0</v>
      </c>
      <c r="J4215" s="6">
        <v>0</v>
      </c>
      <c r="K4215" s="6">
        <v>0</v>
      </c>
    </row>
    <row r="4216" spans="1:11" x14ac:dyDescent="0.25">
      <c r="A4216" s="1">
        <v>0.92638888888888904</v>
      </c>
      <c r="B4216" s="2">
        <v>6.23</v>
      </c>
      <c r="C4216" s="2">
        <v>3.9000000000000004</v>
      </c>
      <c r="D4216" s="2">
        <v>4.92</v>
      </c>
      <c r="E4216" s="2">
        <v>5.22</v>
      </c>
      <c r="F4216" s="2">
        <v>3</v>
      </c>
      <c r="G4216" s="6">
        <v>0</v>
      </c>
      <c r="H4216" s="6">
        <v>0</v>
      </c>
      <c r="I4216" s="6">
        <v>0</v>
      </c>
      <c r="J4216" s="6">
        <v>0</v>
      </c>
      <c r="K4216" s="6">
        <v>0</v>
      </c>
    </row>
    <row r="4217" spans="1:11" x14ac:dyDescent="0.25">
      <c r="A4217" s="1">
        <v>0.92708333333333304</v>
      </c>
      <c r="B4217" s="2">
        <v>6.29</v>
      </c>
      <c r="C4217" s="2">
        <v>3.7800000000000002</v>
      </c>
      <c r="D4217" s="2">
        <v>5.1999999999999993</v>
      </c>
      <c r="E4217" s="2">
        <v>5.7799999999999994</v>
      </c>
      <c r="F4217" s="2">
        <v>2.96</v>
      </c>
      <c r="G4217" s="6">
        <v>0</v>
      </c>
      <c r="H4217" s="6">
        <v>0</v>
      </c>
      <c r="I4217" s="6">
        <v>0</v>
      </c>
      <c r="J4217" s="6">
        <v>0</v>
      </c>
      <c r="K4217" s="6">
        <v>0</v>
      </c>
    </row>
    <row r="4218" spans="1:11" x14ac:dyDescent="0.25">
      <c r="A4218" s="1">
        <v>0.92777777777777803</v>
      </c>
      <c r="B4218" s="2">
        <v>6.22</v>
      </c>
      <c r="C4218" s="2">
        <v>3.87</v>
      </c>
      <c r="D4218" s="2">
        <v>5.31</v>
      </c>
      <c r="E4218" s="2">
        <v>5.25</v>
      </c>
      <c r="F4218" s="2">
        <v>2.92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</row>
    <row r="4219" spans="1:11" x14ac:dyDescent="0.25">
      <c r="A4219" s="1">
        <v>0.92847222222222203</v>
      </c>
      <c r="B4219" s="2">
        <v>6.2</v>
      </c>
      <c r="C4219" s="2">
        <v>3.87</v>
      </c>
      <c r="D4219" s="2">
        <v>5.3699999999999992</v>
      </c>
      <c r="E4219" s="2">
        <v>5.7299999999999995</v>
      </c>
      <c r="F4219" s="2">
        <v>3.13</v>
      </c>
      <c r="G4219" s="6">
        <v>0</v>
      </c>
      <c r="H4219" s="6">
        <v>0</v>
      </c>
      <c r="I4219" s="6">
        <v>0</v>
      </c>
      <c r="J4219" s="6">
        <v>0</v>
      </c>
      <c r="K4219" s="6">
        <v>0</v>
      </c>
    </row>
    <row r="4220" spans="1:11" x14ac:dyDescent="0.25">
      <c r="A4220" s="1">
        <v>0.92916666666666703</v>
      </c>
      <c r="B4220" s="2">
        <v>6.3</v>
      </c>
      <c r="C4220" s="2">
        <v>3.77</v>
      </c>
      <c r="D4220" s="2">
        <v>4.9099999999999993</v>
      </c>
      <c r="E4220" s="2">
        <v>5.39</v>
      </c>
      <c r="F4220" s="2">
        <v>2.99</v>
      </c>
      <c r="G4220" s="6">
        <v>0</v>
      </c>
      <c r="H4220" s="6">
        <v>0</v>
      </c>
      <c r="I4220" s="6">
        <v>0</v>
      </c>
      <c r="J4220" s="6">
        <v>0</v>
      </c>
      <c r="K4220" s="6">
        <v>0</v>
      </c>
    </row>
    <row r="4221" spans="1:11" x14ac:dyDescent="0.25">
      <c r="A4221" s="1">
        <v>0.92986111111111103</v>
      </c>
      <c r="B4221" s="2">
        <v>6.33</v>
      </c>
      <c r="C4221" s="2">
        <v>3.68</v>
      </c>
      <c r="D4221" s="2">
        <v>5.0599999999999996</v>
      </c>
      <c r="E4221" s="2">
        <v>5.79</v>
      </c>
      <c r="F4221" s="2">
        <v>3.37</v>
      </c>
      <c r="G4221" s="6">
        <v>0</v>
      </c>
      <c r="H4221" s="6">
        <v>0</v>
      </c>
      <c r="I4221" s="6">
        <v>0</v>
      </c>
      <c r="J4221" s="6">
        <v>0</v>
      </c>
      <c r="K4221" s="6">
        <v>0</v>
      </c>
    </row>
    <row r="4222" spans="1:11" x14ac:dyDescent="0.25">
      <c r="A4222" s="1">
        <v>0.93055555555555602</v>
      </c>
      <c r="B4222" s="2">
        <v>6.36</v>
      </c>
      <c r="C4222" s="2">
        <v>3.74</v>
      </c>
      <c r="D4222" s="2">
        <v>5.3199999999999994</v>
      </c>
      <c r="E4222" s="2">
        <v>5.22</v>
      </c>
      <c r="F4222" s="2">
        <v>3.3400000000000003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</row>
    <row r="4223" spans="1:11" x14ac:dyDescent="0.25">
      <c r="A4223" s="1">
        <v>0.93125000000000002</v>
      </c>
      <c r="B4223" s="2">
        <v>6.32</v>
      </c>
      <c r="C4223" s="2">
        <v>3.71</v>
      </c>
      <c r="D4223" s="2">
        <v>5.1899999999999995</v>
      </c>
      <c r="E4223" s="2">
        <v>5.3199999999999994</v>
      </c>
      <c r="F4223" s="2">
        <v>3.37</v>
      </c>
      <c r="G4223" s="6">
        <v>0</v>
      </c>
      <c r="H4223" s="6">
        <v>0</v>
      </c>
      <c r="I4223" s="6">
        <v>0</v>
      </c>
      <c r="J4223" s="6">
        <v>0</v>
      </c>
      <c r="K4223" s="6">
        <v>0</v>
      </c>
    </row>
    <row r="4224" spans="1:11" x14ac:dyDescent="0.25">
      <c r="A4224" s="1">
        <v>0.93194444444444402</v>
      </c>
      <c r="B4224" s="2">
        <v>6.23</v>
      </c>
      <c r="C4224" s="2">
        <v>3.71</v>
      </c>
      <c r="D4224" s="2">
        <v>5.0599999999999996</v>
      </c>
      <c r="E4224" s="2">
        <v>5.6199999999999992</v>
      </c>
      <c r="F4224" s="2">
        <v>3.21</v>
      </c>
      <c r="G4224" s="6">
        <v>0</v>
      </c>
      <c r="H4224" s="6">
        <v>0</v>
      </c>
      <c r="I4224" s="6">
        <v>0</v>
      </c>
      <c r="J4224" s="6">
        <v>0</v>
      </c>
      <c r="K4224" s="6">
        <v>0</v>
      </c>
    </row>
    <row r="4225" spans="1:11" x14ac:dyDescent="0.25">
      <c r="A4225" s="1">
        <v>0.93263888888888902</v>
      </c>
      <c r="B4225" s="2">
        <v>6.28</v>
      </c>
      <c r="C4225" s="2">
        <v>3.9000000000000004</v>
      </c>
      <c r="D4225" s="2">
        <v>4.9399999999999995</v>
      </c>
      <c r="E4225" s="2">
        <v>5.55</v>
      </c>
      <c r="F4225" s="2">
        <v>3.25</v>
      </c>
      <c r="G4225" s="6">
        <v>0</v>
      </c>
      <c r="H4225" s="6">
        <v>0</v>
      </c>
      <c r="I4225" s="6">
        <v>0</v>
      </c>
      <c r="J4225" s="6">
        <v>0</v>
      </c>
      <c r="K4225" s="6">
        <v>0</v>
      </c>
    </row>
    <row r="4226" spans="1:11" x14ac:dyDescent="0.25">
      <c r="A4226" s="1">
        <v>0.93333333333333302</v>
      </c>
      <c r="B4226" s="2">
        <v>6.32</v>
      </c>
      <c r="C4226" s="2">
        <v>3.8800000000000003</v>
      </c>
      <c r="D4226" s="2">
        <v>5.3699999999999992</v>
      </c>
      <c r="E4226" s="2">
        <v>5.39</v>
      </c>
      <c r="F4226" s="2">
        <v>3.37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</row>
    <row r="4227" spans="1:11" x14ac:dyDescent="0.25">
      <c r="A4227" s="1">
        <v>0.93402777777777801</v>
      </c>
      <c r="B4227" s="2">
        <v>6.3</v>
      </c>
      <c r="C4227" s="2">
        <v>3.74</v>
      </c>
      <c r="D4227" s="2">
        <v>5.12</v>
      </c>
      <c r="E4227" s="2">
        <v>5.3</v>
      </c>
      <c r="F4227" s="2">
        <v>3.41</v>
      </c>
      <c r="G4227" s="6">
        <v>0</v>
      </c>
      <c r="H4227" s="6">
        <v>0</v>
      </c>
      <c r="I4227" s="6">
        <v>0</v>
      </c>
      <c r="J4227" s="6">
        <v>0</v>
      </c>
      <c r="K4227" s="6">
        <v>0</v>
      </c>
    </row>
    <row r="4228" spans="1:11" x14ac:dyDescent="0.25">
      <c r="A4228" s="1">
        <v>0.93472222222222201</v>
      </c>
      <c r="B4228" s="2">
        <v>6.2</v>
      </c>
      <c r="C4228" s="2">
        <v>3.7800000000000002</v>
      </c>
      <c r="D4228" s="2">
        <v>5.1499999999999995</v>
      </c>
      <c r="E4228" s="2">
        <v>5.75</v>
      </c>
      <c r="F4228" s="2">
        <v>3.33</v>
      </c>
      <c r="G4228" s="6">
        <v>0</v>
      </c>
      <c r="H4228" s="6">
        <v>0</v>
      </c>
      <c r="I4228" s="6">
        <v>0</v>
      </c>
      <c r="J4228" s="6">
        <v>0</v>
      </c>
      <c r="K4228" s="6">
        <v>0</v>
      </c>
    </row>
    <row r="4229" spans="1:11" x14ac:dyDescent="0.25">
      <c r="A4229" s="1">
        <v>0.93541666666666701</v>
      </c>
      <c r="B4229" s="2">
        <v>6.19</v>
      </c>
      <c r="C4229" s="2">
        <v>3.83</v>
      </c>
      <c r="D4229" s="2">
        <v>5.0999999999999996</v>
      </c>
      <c r="E4229" s="2">
        <v>5.8</v>
      </c>
      <c r="F4229" s="2">
        <v>3.3000000000000003</v>
      </c>
      <c r="G4229" s="6">
        <v>0</v>
      </c>
      <c r="H4229" s="6">
        <v>0</v>
      </c>
      <c r="I4229" s="6">
        <v>0</v>
      </c>
      <c r="J4229" s="6">
        <v>0</v>
      </c>
      <c r="K4229" s="6">
        <v>0</v>
      </c>
    </row>
    <row r="4230" spans="1:11" x14ac:dyDescent="0.25">
      <c r="A4230" s="1">
        <v>0.93611111111111101</v>
      </c>
      <c r="B4230" s="2">
        <v>6.2</v>
      </c>
      <c r="C4230" s="2">
        <v>3.73</v>
      </c>
      <c r="D4230" s="2">
        <v>5.1999999999999993</v>
      </c>
      <c r="E4230" s="2">
        <v>5.59</v>
      </c>
      <c r="F4230" s="2">
        <v>3.13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</row>
    <row r="4231" spans="1:11" x14ac:dyDescent="0.25">
      <c r="A4231" s="1">
        <v>0.936805555555556</v>
      </c>
      <c r="B4231" s="2">
        <v>6.36</v>
      </c>
      <c r="C4231" s="2">
        <v>3.93</v>
      </c>
      <c r="D4231" s="2">
        <v>5.34</v>
      </c>
      <c r="E4231" s="2">
        <v>5.3599999999999994</v>
      </c>
      <c r="F4231" s="2">
        <v>2.95</v>
      </c>
      <c r="G4231" s="6">
        <v>0</v>
      </c>
      <c r="H4231" s="6">
        <v>0</v>
      </c>
      <c r="I4231" s="6">
        <v>0</v>
      </c>
      <c r="J4231" s="6">
        <v>0</v>
      </c>
      <c r="K4231" s="6">
        <v>0</v>
      </c>
    </row>
    <row r="4232" spans="1:11" x14ac:dyDescent="0.25">
      <c r="A4232" s="1">
        <v>0.9375</v>
      </c>
      <c r="B4232" s="2">
        <v>6.23</v>
      </c>
      <c r="C4232" s="2">
        <v>3.77</v>
      </c>
      <c r="D4232" s="2">
        <v>4.96</v>
      </c>
      <c r="E4232" s="2">
        <v>5.72</v>
      </c>
      <c r="F4232" s="2">
        <v>3.14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</row>
    <row r="4233" spans="1:11" x14ac:dyDescent="0.25">
      <c r="A4233" s="1">
        <v>0.938194444444444</v>
      </c>
      <c r="B4233" s="2">
        <v>6.3100000000000005</v>
      </c>
      <c r="C4233" s="2">
        <v>3.73</v>
      </c>
      <c r="D4233" s="2">
        <v>4.8899999999999997</v>
      </c>
      <c r="E4233" s="2">
        <v>5.5699999999999994</v>
      </c>
      <c r="F4233" s="2">
        <v>2.93</v>
      </c>
      <c r="G4233" s="6">
        <v>0</v>
      </c>
      <c r="H4233" s="6">
        <v>0</v>
      </c>
      <c r="I4233" s="6">
        <v>0</v>
      </c>
      <c r="J4233" s="6">
        <v>0</v>
      </c>
      <c r="K4233" s="6">
        <v>0</v>
      </c>
    </row>
    <row r="4234" spans="1:11" x14ac:dyDescent="0.25">
      <c r="A4234" s="1">
        <v>0.93888888888888899</v>
      </c>
      <c r="B4234" s="2">
        <v>6.3</v>
      </c>
      <c r="C4234" s="2">
        <v>3.72</v>
      </c>
      <c r="D4234" s="2">
        <v>5.25</v>
      </c>
      <c r="E4234" s="2">
        <v>5.41</v>
      </c>
      <c r="F4234" s="2">
        <v>3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</row>
    <row r="4235" spans="1:11" x14ac:dyDescent="0.25">
      <c r="A4235" s="1">
        <v>0.93958333333333299</v>
      </c>
      <c r="B4235" s="2">
        <v>6.29</v>
      </c>
      <c r="C4235" s="2">
        <v>3.89</v>
      </c>
      <c r="D4235" s="2">
        <v>4.9499999999999993</v>
      </c>
      <c r="E4235" s="2">
        <v>5.3</v>
      </c>
      <c r="F4235" s="2">
        <v>2.96</v>
      </c>
      <c r="G4235" s="6">
        <v>0</v>
      </c>
      <c r="H4235" s="6">
        <v>0</v>
      </c>
      <c r="I4235" s="6">
        <v>0</v>
      </c>
      <c r="J4235" s="6">
        <v>0</v>
      </c>
      <c r="K4235" s="6">
        <v>0</v>
      </c>
    </row>
    <row r="4236" spans="1:11" x14ac:dyDescent="0.25">
      <c r="A4236" s="1">
        <v>0.94027777777777799</v>
      </c>
      <c r="B4236" s="2">
        <v>6.33</v>
      </c>
      <c r="C4236" s="2">
        <v>3.92</v>
      </c>
      <c r="D4236" s="2">
        <v>4.93</v>
      </c>
      <c r="E4236" s="2">
        <v>5.22</v>
      </c>
      <c r="F4236" s="2">
        <v>3.29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</row>
    <row r="4237" spans="1:11" x14ac:dyDescent="0.25">
      <c r="A4237" s="1">
        <v>0.94097222222222199</v>
      </c>
      <c r="B4237" s="2">
        <v>6.19</v>
      </c>
      <c r="C4237" s="2">
        <v>3.83</v>
      </c>
      <c r="D4237" s="2">
        <v>5.13</v>
      </c>
      <c r="E4237" s="2">
        <v>5.31</v>
      </c>
      <c r="F4237" s="2">
        <v>3.0900000000000003</v>
      </c>
      <c r="G4237" s="6">
        <v>0</v>
      </c>
      <c r="H4237" s="6">
        <v>0</v>
      </c>
      <c r="I4237" s="6">
        <v>0</v>
      </c>
      <c r="J4237" s="6">
        <v>0</v>
      </c>
      <c r="K4237" s="6">
        <v>0</v>
      </c>
    </row>
    <row r="4238" spans="1:11" x14ac:dyDescent="0.25">
      <c r="A4238" s="1">
        <v>0.94166666666666698</v>
      </c>
      <c r="B4238" s="2">
        <v>6.15</v>
      </c>
      <c r="C4238" s="2">
        <v>3.7800000000000002</v>
      </c>
      <c r="D4238" s="2">
        <v>5.18</v>
      </c>
      <c r="E4238" s="2">
        <v>5.58</v>
      </c>
      <c r="F4238" s="2">
        <v>2.93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</row>
    <row r="4239" spans="1:11" x14ac:dyDescent="0.25">
      <c r="A4239" s="1">
        <v>0.94236111111111098</v>
      </c>
      <c r="B4239" s="2">
        <v>6.16</v>
      </c>
      <c r="C4239" s="2">
        <v>3.8200000000000003</v>
      </c>
      <c r="D4239" s="2">
        <v>5.39</v>
      </c>
      <c r="E4239" s="2">
        <v>5.47</v>
      </c>
      <c r="F4239" s="2">
        <v>3.12</v>
      </c>
      <c r="G4239" s="6">
        <v>0</v>
      </c>
      <c r="H4239" s="6">
        <v>0</v>
      </c>
      <c r="I4239" s="6">
        <v>0</v>
      </c>
      <c r="J4239" s="6">
        <v>0</v>
      </c>
      <c r="K4239" s="6">
        <v>0</v>
      </c>
    </row>
    <row r="4240" spans="1:11" x14ac:dyDescent="0.25">
      <c r="A4240" s="1">
        <v>0.94305555555555598</v>
      </c>
      <c r="B4240" s="2">
        <v>6.13</v>
      </c>
      <c r="C4240" s="2">
        <v>3.85</v>
      </c>
      <c r="D4240" s="2">
        <v>5.08</v>
      </c>
      <c r="E4240" s="2">
        <v>5.5299999999999994</v>
      </c>
      <c r="F4240" s="2">
        <v>3.0900000000000003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</row>
    <row r="4241" spans="1:11" x14ac:dyDescent="0.25">
      <c r="A4241" s="1">
        <v>0.94374999999999998</v>
      </c>
      <c r="B4241" s="2">
        <v>6.25</v>
      </c>
      <c r="C4241" s="2">
        <v>3.77</v>
      </c>
      <c r="D4241" s="2">
        <v>4.96</v>
      </c>
      <c r="E4241" s="2">
        <v>5.4499999999999993</v>
      </c>
      <c r="F4241" s="2">
        <v>2.96</v>
      </c>
      <c r="G4241" s="6">
        <v>0</v>
      </c>
      <c r="H4241" s="6">
        <v>0</v>
      </c>
      <c r="I4241" s="6">
        <v>0</v>
      </c>
      <c r="J4241" s="6">
        <v>0</v>
      </c>
      <c r="K4241" s="6">
        <v>0</v>
      </c>
    </row>
    <row r="4242" spans="1:11" x14ac:dyDescent="0.25">
      <c r="A4242" s="1">
        <v>0.94444444444444497</v>
      </c>
      <c r="B4242" s="2">
        <v>6.13</v>
      </c>
      <c r="C4242" s="2">
        <v>3.69</v>
      </c>
      <c r="D4242" s="2">
        <v>5.0299999999999994</v>
      </c>
      <c r="E4242" s="2">
        <v>5.5</v>
      </c>
      <c r="F4242" s="2">
        <v>2.9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</row>
    <row r="4243" spans="1:11" x14ac:dyDescent="0.25">
      <c r="A4243" s="1">
        <v>0.94513888888888897</v>
      </c>
      <c r="B4243" s="2">
        <v>6.37</v>
      </c>
      <c r="C4243" s="2">
        <v>3.8400000000000003</v>
      </c>
      <c r="D4243" s="2">
        <v>4.8999999999999995</v>
      </c>
      <c r="E4243" s="2">
        <v>5.52</v>
      </c>
      <c r="F4243" s="2">
        <v>3</v>
      </c>
      <c r="G4243" s="6">
        <v>0</v>
      </c>
      <c r="H4243" s="6">
        <v>0</v>
      </c>
      <c r="I4243" s="6">
        <v>0</v>
      </c>
      <c r="J4243" s="6">
        <v>0</v>
      </c>
      <c r="K4243" s="6">
        <v>0</v>
      </c>
    </row>
    <row r="4244" spans="1:11" x14ac:dyDescent="0.25">
      <c r="A4244" s="1">
        <v>0.94583333333333297</v>
      </c>
      <c r="B4244" s="2">
        <v>6.18</v>
      </c>
      <c r="C4244" s="2">
        <v>3.73</v>
      </c>
      <c r="D4244" s="2">
        <v>4.9099999999999993</v>
      </c>
      <c r="E4244" s="2">
        <v>5.42</v>
      </c>
      <c r="F4244" s="2">
        <v>3.18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</row>
    <row r="4245" spans="1:11" x14ac:dyDescent="0.25">
      <c r="A4245" s="1">
        <v>0.94652777777777797</v>
      </c>
      <c r="B4245" s="2">
        <v>6.19</v>
      </c>
      <c r="C4245" s="2">
        <v>3.7600000000000002</v>
      </c>
      <c r="D4245" s="2">
        <v>4.9899999999999993</v>
      </c>
      <c r="E4245" s="2">
        <v>5.17</v>
      </c>
      <c r="F4245" s="2">
        <v>3.1100000000000003</v>
      </c>
      <c r="G4245" s="6">
        <v>0</v>
      </c>
      <c r="H4245" s="6">
        <v>0</v>
      </c>
      <c r="I4245" s="6">
        <v>0</v>
      </c>
      <c r="J4245" s="6">
        <v>0</v>
      </c>
      <c r="K4245" s="6">
        <v>0</v>
      </c>
    </row>
    <row r="4246" spans="1:11" x14ac:dyDescent="0.25">
      <c r="A4246" s="1">
        <v>0.94722222222222197</v>
      </c>
      <c r="B4246" s="2">
        <v>6.3100000000000005</v>
      </c>
      <c r="C4246" s="2">
        <v>3.75</v>
      </c>
      <c r="D4246" s="2">
        <v>5.05</v>
      </c>
      <c r="E4246" s="2">
        <v>5.67</v>
      </c>
      <c r="F4246" s="2">
        <v>2.97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</row>
    <row r="4247" spans="1:11" x14ac:dyDescent="0.25">
      <c r="A4247" s="1">
        <v>0.94791666666666696</v>
      </c>
      <c r="B4247" s="2">
        <v>6.37</v>
      </c>
      <c r="C4247" s="2">
        <v>3.93</v>
      </c>
      <c r="D4247" s="2">
        <v>5.21</v>
      </c>
      <c r="E4247" s="2">
        <v>5.1999999999999993</v>
      </c>
      <c r="F4247" s="2">
        <v>2.95</v>
      </c>
      <c r="G4247" s="6">
        <v>0</v>
      </c>
      <c r="H4247" s="6">
        <v>0</v>
      </c>
      <c r="I4247" s="6">
        <v>0</v>
      </c>
      <c r="J4247" s="6">
        <v>0</v>
      </c>
      <c r="K4247" s="6">
        <v>0</v>
      </c>
    </row>
    <row r="4248" spans="1:11" x14ac:dyDescent="0.25">
      <c r="A4248" s="1">
        <v>0.94861111111111096</v>
      </c>
      <c r="B4248" s="2">
        <v>6.2</v>
      </c>
      <c r="C4248" s="2">
        <v>3.8800000000000003</v>
      </c>
      <c r="D4248" s="2">
        <v>5.0599999999999996</v>
      </c>
      <c r="E4248" s="2">
        <v>5.34</v>
      </c>
      <c r="F4248" s="2">
        <v>2.96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</row>
    <row r="4249" spans="1:11" x14ac:dyDescent="0.25">
      <c r="A4249" s="1">
        <v>0.94930555555555596</v>
      </c>
      <c r="B4249" s="2">
        <v>6.21</v>
      </c>
      <c r="C4249" s="2">
        <v>3.87</v>
      </c>
      <c r="D4249" s="2">
        <v>4.9399999999999995</v>
      </c>
      <c r="E4249" s="2">
        <v>5.34</v>
      </c>
      <c r="F4249" s="2">
        <v>2.93</v>
      </c>
      <c r="G4249" s="6">
        <v>0</v>
      </c>
      <c r="H4249" s="6">
        <v>0</v>
      </c>
      <c r="I4249" s="6">
        <v>0</v>
      </c>
      <c r="J4249" s="6">
        <v>0</v>
      </c>
      <c r="K4249" s="6">
        <v>0</v>
      </c>
    </row>
    <row r="4250" spans="1:11" x14ac:dyDescent="0.25">
      <c r="A4250" s="1">
        <v>0.95</v>
      </c>
      <c r="B4250" s="2">
        <v>6.18</v>
      </c>
      <c r="C4250" s="2">
        <v>3.8200000000000003</v>
      </c>
      <c r="D4250" s="2">
        <v>5.05</v>
      </c>
      <c r="E4250" s="2">
        <v>5.52</v>
      </c>
      <c r="F4250" s="2">
        <v>3.0100000000000002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</row>
    <row r="4251" spans="1:11" x14ac:dyDescent="0.25">
      <c r="A4251" s="1">
        <v>0.95069444444444495</v>
      </c>
      <c r="B4251" s="2">
        <v>6.37</v>
      </c>
      <c r="C4251" s="2">
        <v>3.9400000000000004</v>
      </c>
      <c r="D4251" s="2">
        <v>5.2399999999999993</v>
      </c>
      <c r="E4251" s="2">
        <v>5.39</v>
      </c>
      <c r="F4251" s="2">
        <v>2.9</v>
      </c>
      <c r="G4251" s="6">
        <v>0</v>
      </c>
      <c r="H4251" s="6">
        <v>0</v>
      </c>
      <c r="I4251" s="6">
        <v>0</v>
      </c>
      <c r="J4251" s="6">
        <v>0</v>
      </c>
      <c r="K4251" s="6">
        <v>0</v>
      </c>
    </row>
    <row r="4252" spans="1:11" x14ac:dyDescent="0.25">
      <c r="A4252" s="1">
        <v>0.95138888888888895</v>
      </c>
      <c r="B4252" s="2">
        <v>6.19</v>
      </c>
      <c r="C4252" s="2">
        <v>3.8200000000000003</v>
      </c>
      <c r="D4252" s="2">
        <v>5.0299999999999994</v>
      </c>
      <c r="E4252" s="2">
        <v>5.6999999999999993</v>
      </c>
      <c r="F4252" s="2">
        <v>3.04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</row>
    <row r="4253" spans="1:11" x14ac:dyDescent="0.25">
      <c r="A4253" s="1">
        <v>0.95208333333333295</v>
      </c>
      <c r="B4253" s="2">
        <v>6.3100000000000005</v>
      </c>
      <c r="C4253" s="2">
        <v>3.68</v>
      </c>
      <c r="D4253" s="2">
        <v>5.0199999999999996</v>
      </c>
      <c r="E4253" s="2">
        <v>5.6</v>
      </c>
      <c r="F4253" s="2">
        <v>3.0100000000000002</v>
      </c>
      <c r="G4253" s="6">
        <v>0</v>
      </c>
      <c r="H4253" s="6">
        <v>0</v>
      </c>
      <c r="I4253" s="6">
        <v>0</v>
      </c>
      <c r="J4253" s="6">
        <v>0</v>
      </c>
      <c r="K4253" s="6">
        <v>0</v>
      </c>
    </row>
    <row r="4254" spans="1:11" x14ac:dyDescent="0.25">
      <c r="A4254" s="1">
        <v>0.95277777777777795</v>
      </c>
      <c r="B4254" s="2">
        <v>6.18</v>
      </c>
      <c r="C4254" s="2">
        <v>3.8800000000000003</v>
      </c>
      <c r="D4254" s="2">
        <v>4.9899999999999993</v>
      </c>
      <c r="E4254" s="2">
        <v>5.51</v>
      </c>
      <c r="F4254" s="2">
        <v>2.98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</row>
    <row r="4255" spans="1:11" x14ac:dyDescent="0.25">
      <c r="A4255" s="1">
        <v>0.95347222222222205</v>
      </c>
      <c r="B4255" s="2">
        <v>6.25</v>
      </c>
      <c r="C4255" s="2">
        <v>3.69</v>
      </c>
      <c r="D4255" s="2">
        <v>5.01</v>
      </c>
      <c r="E4255" s="2">
        <v>5.27</v>
      </c>
      <c r="F4255" s="2">
        <v>2.97</v>
      </c>
      <c r="G4255" s="6">
        <v>0</v>
      </c>
      <c r="H4255" s="6">
        <v>0</v>
      </c>
      <c r="I4255" s="6">
        <v>0</v>
      </c>
      <c r="J4255" s="6">
        <v>0</v>
      </c>
      <c r="K4255" s="6">
        <v>0</v>
      </c>
    </row>
    <row r="4256" spans="1:11" x14ac:dyDescent="0.25">
      <c r="A4256" s="1">
        <v>0.95416666666666705</v>
      </c>
      <c r="B4256" s="2">
        <v>6.16</v>
      </c>
      <c r="C4256" s="2">
        <v>3.74</v>
      </c>
      <c r="D4256" s="2">
        <v>5</v>
      </c>
      <c r="E4256" s="2">
        <v>5.35</v>
      </c>
      <c r="F4256" s="2">
        <v>2.97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</row>
    <row r="4257" spans="1:11" x14ac:dyDescent="0.25">
      <c r="A4257" s="1">
        <v>0.95486111111111105</v>
      </c>
      <c r="B4257" s="2">
        <v>6.3500000000000005</v>
      </c>
      <c r="C4257" s="2">
        <v>3.93</v>
      </c>
      <c r="D4257" s="2">
        <v>5.3199999999999994</v>
      </c>
      <c r="E4257" s="2">
        <v>5.63</v>
      </c>
      <c r="F4257" s="2">
        <v>3.4000000000000004</v>
      </c>
      <c r="G4257" s="6">
        <v>0</v>
      </c>
      <c r="H4257" s="6">
        <v>0</v>
      </c>
      <c r="I4257" s="6">
        <v>0</v>
      </c>
      <c r="J4257" s="6">
        <v>0</v>
      </c>
      <c r="K4257" s="6">
        <v>0</v>
      </c>
    </row>
    <row r="4258" spans="1:11" x14ac:dyDescent="0.25">
      <c r="A4258" s="1">
        <v>0.95555555555555605</v>
      </c>
      <c r="B4258" s="2">
        <v>6.29</v>
      </c>
      <c r="C4258" s="2">
        <v>3.75</v>
      </c>
      <c r="D4258" s="2">
        <v>5.13</v>
      </c>
      <c r="E4258" s="2">
        <v>5.3199999999999994</v>
      </c>
      <c r="F4258" s="2">
        <v>2.92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</row>
    <row r="4259" spans="1:11" x14ac:dyDescent="0.25">
      <c r="A4259" s="1">
        <v>0.95625000000000004</v>
      </c>
      <c r="B4259" s="2">
        <v>6.33</v>
      </c>
      <c r="C4259" s="2">
        <v>3.72</v>
      </c>
      <c r="D4259" s="2">
        <v>5.18</v>
      </c>
      <c r="E4259" s="2">
        <v>5.6499999999999995</v>
      </c>
      <c r="F4259" s="2">
        <v>3.1</v>
      </c>
      <c r="G4259" s="6">
        <v>0</v>
      </c>
      <c r="H4259" s="6">
        <v>0</v>
      </c>
      <c r="I4259" s="6">
        <v>0</v>
      </c>
      <c r="J4259" s="6">
        <v>0</v>
      </c>
      <c r="K4259" s="6">
        <v>0</v>
      </c>
    </row>
    <row r="4260" spans="1:11" x14ac:dyDescent="0.25">
      <c r="A4260" s="1">
        <v>0.95694444444444404</v>
      </c>
      <c r="B4260" s="2">
        <v>6.3100000000000005</v>
      </c>
      <c r="C4260" s="2">
        <v>3.69</v>
      </c>
      <c r="D4260" s="2">
        <v>5.35</v>
      </c>
      <c r="E4260" s="2">
        <v>5.54</v>
      </c>
      <c r="F4260" s="2">
        <v>3.4000000000000004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</row>
    <row r="4261" spans="1:11" x14ac:dyDescent="0.25">
      <c r="A4261" s="1">
        <v>0.95763888888888904</v>
      </c>
      <c r="B4261" s="2">
        <v>6.29</v>
      </c>
      <c r="C4261" s="2">
        <v>3.77</v>
      </c>
      <c r="D4261" s="2">
        <v>5.38</v>
      </c>
      <c r="E4261" s="2">
        <v>5.22</v>
      </c>
      <c r="F4261" s="2">
        <v>3.04</v>
      </c>
      <c r="G4261" s="6">
        <v>0</v>
      </c>
      <c r="H4261" s="6">
        <v>0</v>
      </c>
      <c r="I4261" s="6">
        <v>0</v>
      </c>
      <c r="J4261" s="6">
        <v>0</v>
      </c>
      <c r="K4261" s="6">
        <v>0</v>
      </c>
    </row>
    <row r="4262" spans="1:11" x14ac:dyDescent="0.25">
      <c r="A4262" s="3">
        <v>0.95833333333333304</v>
      </c>
      <c r="B4262" s="2">
        <v>6.24</v>
      </c>
      <c r="C4262" s="2">
        <v>3.82</v>
      </c>
      <c r="D4262" s="2">
        <v>5.12</v>
      </c>
      <c r="E4262" s="2">
        <v>5.42</v>
      </c>
      <c r="F4262" s="2">
        <v>3.26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</row>
    <row r="4263" spans="1:11" x14ac:dyDescent="0.25">
      <c r="A4263" s="1">
        <v>0.95902777777777803</v>
      </c>
      <c r="B4263" s="2">
        <v>6.22</v>
      </c>
      <c r="C4263" s="2">
        <v>3.7800000000000002</v>
      </c>
      <c r="D4263" s="2">
        <v>5.33</v>
      </c>
      <c r="E4263" s="2">
        <v>5.68</v>
      </c>
      <c r="F4263" s="2">
        <v>3.02</v>
      </c>
      <c r="G4263" s="6">
        <v>0</v>
      </c>
      <c r="H4263" s="6">
        <v>0</v>
      </c>
      <c r="I4263" s="6">
        <v>0</v>
      </c>
      <c r="J4263" s="6">
        <v>0</v>
      </c>
      <c r="K4263" s="6">
        <v>0</v>
      </c>
    </row>
    <row r="4264" spans="1:11" x14ac:dyDescent="0.25">
      <c r="A4264" s="1">
        <v>0.95972222222222203</v>
      </c>
      <c r="B4264" s="2">
        <v>6.37</v>
      </c>
      <c r="C4264" s="2">
        <v>3.7</v>
      </c>
      <c r="D4264" s="2">
        <v>5.31</v>
      </c>
      <c r="E4264" s="2">
        <v>5.3599999999999994</v>
      </c>
      <c r="F4264" s="2">
        <v>2.99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</row>
    <row r="4265" spans="1:11" x14ac:dyDescent="0.25">
      <c r="A4265" s="1">
        <v>0.96041666666666703</v>
      </c>
      <c r="B4265" s="2">
        <v>6.17</v>
      </c>
      <c r="C4265" s="2">
        <v>3.79</v>
      </c>
      <c r="D4265" s="2">
        <v>5.2299999999999995</v>
      </c>
      <c r="E4265" s="2">
        <v>5.59</v>
      </c>
      <c r="F4265" s="2">
        <v>3.35</v>
      </c>
      <c r="G4265" s="6">
        <v>0</v>
      </c>
      <c r="H4265" s="6">
        <v>0</v>
      </c>
      <c r="I4265" s="6">
        <v>0</v>
      </c>
      <c r="J4265" s="6">
        <v>0</v>
      </c>
      <c r="K4265" s="6">
        <v>0</v>
      </c>
    </row>
    <row r="4266" spans="1:11" x14ac:dyDescent="0.25">
      <c r="A4266" s="1">
        <v>0.96111111111111103</v>
      </c>
      <c r="B4266" s="2">
        <v>6.37</v>
      </c>
      <c r="C4266" s="2">
        <v>3.91</v>
      </c>
      <c r="D4266" s="2">
        <v>5.09</v>
      </c>
      <c r="E4266" s="2">
        <v>5.6999999999999993</v>
      </c>
      <c r="F4266" s="2">
        <v>3.4000000000000004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</row>
    <row r="4267" spans="1:11" x14ac:dyDescent="0.25">
      <c r="A4267" s="1">
        <v>0.96180555555555602</v>
      </c>
      <c r="B4267" s="2">
        <v>6.15</v>
      </c>
      <c r="C4267" s="2">
        <v>3.81</v>
      </c>
      <c r="D4267" s="2">
        <v>5</v>
      </c>
      <c r="E4267" s="2">
        <v>5.1599999999999993</v>
      </c>
      <c r="F4267" s="2">
        <v>3</v>
      </c>
      <c r="G4267" s="6">
        <v>0</v>
      </c>
      <c r="H4267" s="6">
        <v>0</v>
      </c>
      <c r="I4267" s="6">
        <v>0</v>
      </c>
      <c r="J4267" s="6">
        <v>0</v>
      </c>
      <c r="K4267" s="6">
        <v>0</v>
      </c>
    </row>
    <row r="4268" spans="1:11" x14ac:dyDescent="0.25">
      <c r="A4268" s="1">
        <v>0.96250000000000002</v>
      </c>
      <c r="B4268" s="2">
        <v>6.22</v>
      </c>
      <c r="C4268" s="2">
        <v>3.95</v>
      </c>
      <c r="D4268" s="2">
        <v>5.2399999999999993</v>
      </c>
      <c r="E4268" s="2">
        <v>5.67</v>
      </c>
      <c r="F4268" s="2">
        <v>3.41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</row>
    <row r="4269" spans="1:11" x14ac:dyDescent="0.25">
      <c r="A4269" s="1">
        <v>0.96319444444444402</v>
      </c>
      <c r="B4269" s="2">
        <v>6.28</v>
      </c>
      <c r="C4269" s="2">
        <v>3.87</v>
      </c>
      <c r="D4269" s="2">
        <v>5.18</v>
      </c>
      <c r="E4269" s="2">
        <v>5.2399999999999993</v>
      </c>
      <c r="F4269" s="2">
        <v>3.23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</row>
    <row r="4270" spans="1:11" x14ac:dyDescent="0.25">
      <c r="A4270" s="1">
        <v>0.96388888888888902</v>
      </c>
      <c r="B4270" s="2">
        <v>6.19</v>
      </c>
      <c r="C4270" s="2">
        <v>3.8600000000000003</v>
      </c>
      <c r="D4270" s="2">
        <v>5.17</v>
      </c>
      <c r="E4270" s="2">
        <v>5.18</v>
      </c>
      <c r="F4270" s="2">
        <v>3.13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</row>
    <row r="4271" spans="1:11" x14ac:dyDescent="0.25">
      <c r="A4271" s="1">
        <v>0.96458333333333302</v>
      </c>
      <c r="B4271" s="2">
        <v>6.33</v>
      </c>
      <c r="C4271" s="2">
        <v>3.77</v>
      </c>
      <c r="D4271" s="2">
        <v>5.0999999999999996</v>
      </c>
      <c r="E4271" s="2">
        <v>5.52</v>
      </c>
      <c r="F4271" s="2">
        <v>3.21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</row>
    <row r="4272" spans="1:11" x14ac:dyDescent="0.25">
      <c r="A4272" s="1">
        <v>0.96527777777777801</v>
      </c>
      <c r="B4272" s="2">
        <v>6.23</v>
      </c>
      <c r="C4272" s="2">
        <v>3.8800000000000003</v>
      </c>
      <c r="D4272" s="2">
        <v>5.09</v>
      </c>
      <c r="E4272" s="2">
        <v>5.6</v>
      </c>
      <c r="F4272" s="2">
        <v>3.22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</row>
    <row r="4273" spans="1:11" x14ac:dyDescent="0.25">
      <c r="A4273" s="1">
        <v>0.96597222222222201</v>
      </c>
      <c r="B4273" s="2">
        <v>6.16</v>
      </c>
      <c r="C4273" s="2">
        <v>3.89</v>
      </c>
      <c r="D4273" s="2">
        <v>5.39</v>
      </c>
      <c r="E4273" s="2">
        <v>5.1999999999999993</v>
      </c>
      <c r="F4273" s="2">
        <v>3.17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</row>
    <row r="4274" spans="1:11" x14ac:dyDescent="0.25">
      <c r="A4274" s="1">
        <v>0.96666666666666701</v>
      </c>
      <c r="B4274" s="2">
        <v>6.3500000000000005</v>
      </c>
      <c r="C4274" s="2">
        <v>3.87</v>
      </c>
      <c r="D4274" s="2">
        <v>4.8899999999999997</v>
      </c>
      <c r="E4274" s="2">
        <v>5.54</v>
      </c>
      <c r="F4274" s="2">
        <v>3.23</v>
      </c>
      <c r="G4274" s="6">
        <v>0</v>
      </c>
      <c r="H4274" s="6">
        <v>0</v>
      </c>
      <c r="I4274" s="6">
        <v>0</v>
      </c>
      <c r="J4274" s="6">
        <v>0</v>
      </c>
      <c r="K4274" s="6">
        <v>0</v>
      </c>
    </row>
    <row r="4275" spans="1:11" x14ac:dyDescent="0.25">
      <c r="A4275" s="1">
        <v>0.96736111111111101</v>
      </c>
      <c r="B4275" s="2">
        <v>6.32</v>
      </c>
      <c r="C4275" s="2">
        <v>3.9000000000000004</v>
      </c>
      <c r="D4275" s="2">
        <v>4.9799999999999995</v>
      </c>
      <c r="E4275" s="2">
        <v>5.2299999999999995</v>
      </c>
      <c r="F4275" s="2">
        <v>3.3000000000000003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</row>
    <row r="4276" spans="1:11" x14ac:dyDescent="0.25">
      <c r="A4276" s="1">
        <v>0.968055555555556</v>
      </c>
      <c r="B4276" s="2">
        <v>6.3100000000000005</v>
      </c>
      <c r="C4276" s="2">
        <v>3.9000000000000004</v>
      </c>
      <c r="D4276" s="2">
        <v>5.3699999999999992</v>
      </c>
      <c r="E4276" s="2">
        <v>5.66</v>
      </c>
      <c r="F4276" s="2">
        <v>2.94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</row>
    <row r="4277" spans="1:11" x14ac:dyDescent="0.25">
      <c r="A4277" s="1">
        <v>0.96875</v>
      </c>
      <c r="B4277" s="2">
        <v>6.15</v>
      </c>
      <c r="C4277" s="2">
        <v>3.73</v>
      </c>
      <c r="D4277" s="2">
        <v>5.3699999999999992</v>
      </c>
      <c r="E4277" s="2">
        <v>5.68</v>
      </c>
      <c r="F4277" s="2">
        <v>3.1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</row>
    <row r="4278" spans="1:11" x14ac:dyDescent="0.25">
      <c r="A4278" s="1">
        <v>0.969444444444444</v>
      </c>
      <c r="B4278" s="2">
        <v>6.2700000000000005</v>
      </c>
      <c r="C4278" s="2">
        <v>3.8800000000000003</v>
      </c>
      <c r="D4278" s="2">
        <v>5.14</v>
      </c>
      <c r="E4278" s="2">
        <v>5.6899999999999995</v>
      </c>
      <c r="F4278" s="2">
        <v>3.12</v>
      </c>
      <c r="G4278" s="6">
        <v>0</v>
      </c>
      <c r="H4278" s="6">
        <v>0</v>
      </c>
      <c r="I4278" s="6">
        <v>0</v>
      </c>
      <c r="J4278" s="6">
        <v>0</v>
      </c>
      <c r="K4278" s="6">
        <v>0</v>
      </c>
    </row>
    <row r="4279" spans="1:11" x14ac:dyDescent="0.25">
      <c r="A4279" s="1">
        <v>0.97013888888888899</v>
      </c>
      <c r="B4279" s="2">
        <v>6.36</v>
      </c>
      <c r="C4279" s="2">
        <v>3.9000000000000004</v>
      </c>
      <c r="D4279" s="2">
        <v>5.3199999999999994</v>
      </c>
      <c r="E4279" s="2">
        <v>5.56</v>
      </c>
      <c r="F4279" s="2">
        <v>3.1100000000000003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</row>
    <row r="4280" spans="1:11" x14ac:dyDescent="0.25">
      <c r="A4280" s="1">
        <v>0.97083333333333299</v>
      </c>
      <c r="B4280" s="2">
        <v>6.29</v>
      </c>
      <c r="C4280" s="2">
        <v>3.87</v>
      </c>
      <c r="D4280" s="2">
        <v>5.3</v>
      </c>
      <c r="E4280" s="2">
        <v>5.1999999999999993</v>
      </c>
      <c r="F4280" s="2">
        <v>3.1</v>
      </c>
      <c r="G4280" s="6">
        <v>0</v>
      </c>
      <c r="H4280" s="6">
        <v>0</v>
      </c>
      <c r="I4280" s="6">
        <v>0</v>
      </c>
      <c r="J4280" s="6">
        <v>0</v>
      </c>
      <c r="K4280" s="6">
        <v>0</v>
      </c>
    </row>
    <row r="4281" spans="1:11" x14ac:dyDescent="0.25">
      <c r="A4281" s="1">
        <v>0.97152777777777799</v>
      </c>
      <c r="B4281" s="2">
        <v>6.23</v>
      </c>
      <c r="C4281" s="2">
        <v>3.73</v>
      </c>
      <c r="D4281" s="2">
        <v>4.9799999999999995</v>
      </c>
      <c r="E4281" s="2">
        <v>5.6199999999999992</v>
      </c>
      <c r="F4281" s="2">
        <v>2.9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</row>
    <row r="4282" spans="1:11" x14ac:dyDescent="0.25">
      <c r="A4282" s="1">
        <v>0.97222222222222199</v>
      </c>
      <c r="B4282" s="2">
        <v>6.29</v>
      </c>
      <c r="C4282" s="2">
        <v>3.89</v>
      </c>
      <c r="D4282" s="2">
        <v>5.22</v>
      </c>
      <c r="E4282" s="2">
        <v>5.64</v>
      </c>
      <c r="F4282" s="2">
        <v>2.95</v>
      </c>
      <c r="G4282" s="6">
        <v>0</v>
      </c>
      <c r="H4282" s="6">
        <v>0</v>
      </c>
      <c r="I4282" s="6">
        <v>0</v>
      </c>
      <c r="J4282" s="6">
        <v>0</v>
      </c>
      <c r="K4282" s="6">
        <v>0</v>
      </c>
    </row>
    <row r="4283" spans="1:11" x14ac:dyDescent="0.25">
      <c r="A4283" s="1">
        <v>0.97291666666666698</v>
      </c>
      <c r="B4283" s="2">
        <v>6.16</v>
      </c>
      <c r="C4283" s="2">
        <v>3.87</v>
      </c>
      <c r="D4283" s="2">
        <v>4.96</v>
      </c>
      <c r="E4283" s="2">
        <v>5.17</v>
      </c>
      <c r="F4283" s="2">
        <v>3.37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</row>
    <row r="4284" spans="1:11" x14ac:dyDescent="0.25">
      <c r="A4284" s="1">
        <v>0.97361111111111098</v>
      </c>
      <c r="B4284" s="2">
        <v>6.34</v>
      </c>
      <c r="C4284" s="2">
        <v>3.73</v>
      </c>
      <c r="D4284" s="2">
        <v>5.38</v>
      </c>
      <c r="E4284" s="2">
        <v>5.46</v>
      </c>
      <c r="F4284" s="2">
        <v>3.13</v>
      </c>
      <c r="G4284" s="6">
        <v>0</v>
      </c>
      <c r="H4284" s="6">
        <v>0</v>
      </c>
      <c r="I4284" s="6">
        <v>0</v>
      </c>
      <c r="J4284" s="6">
        <v>0</v>
      </c>
      <c r="K4284" s="6">
        <v>0</v>
      </c>
    </row>
    <row r="4285" spans="1:11" x14ac:dyDescent="0.25">
      <c r="A4285" s="1">
        <v>0.97430555555555598</v>
      </c>
      <c r="B4285" s="2">
        <v>6.19</v>
      </c>
      <c r="C4285" s="2">
        <v>3.7800000000000002</v>
      </c>
      <c r="D4285" s="2">
        <v>5.26</v>
      </c>
      <c r="E4285" s="2">
        <v>5.6999999999999993</v>
      </c>
      <c r="F4285" s="2">
        <v>3.16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</row>
    <row r="4286" spans="1:11" x14ac:dyDescent="0.25">
      <c r="A4286" s="1">
        <v>0.97499999999999998</v>
      </c>
      <c r="B4286" s="2">
        <v>6.16</v>
      </c>
      <c r="C4286" s="2">
        <v>3.8400000000000003</v>
      </c>
      <c r="D4286" s="2">
        <v>4.96</v>
      </c>
      <c r="E4286" s="2">
        <v>5.6</v>
      </c>
      <c r="F4286" s="2">
        <v>3.37</v>
      </c>
      <c r="G4286" s="6">
        <v>0</v>
      </c>
      <c r="H4286" s="6">
        <v>0</v>
      </c>
      <c r="I4286" s="6">
        <v>0</v>
      </c>
      <c r="J4286" s="6">
        <v>0</v>
      </c>
      <c r="K4286" s="6">
        <v>0</v>
      </c>
    </row>
    <row r="4287" spans="1:11" x14ac:dyDescent="0.25">
      <c r="A4287" s="1">
        <v>0.97569444444444497</v>
      </c>
      <c r="B4287" s="2">
        <v>6.33</v>
      </c>
      <c r="C4287" s="2">
        <v>3.81</v>
      </c>
      <c r="D4287" s="2">
        <v>5.16</v>
      </c>
      <c r="E4287" s="2">
        <v>5.4799999999999995</v>
      </c>
      <c r="F4287" s="2">
        <v>3.41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</row>
    <row r="4288" spans="1:11" x14ac:dyDescent="0.25">
      <c r="A4288" s="1">
        <v>0.97638888888888897</v>
      </c>
      <c r="B4288" s="2">
        <v>6.3100000000000005</v>
      </c>
      <c r="C4288" s="2">
        <v>3.8200000000000003</v>
      </c>
      <c r="D4288" s="2">
        <v>5.0999999999999996</v>
      </c>
      <c r="E4288" s="2">
        <v>5.3999999999999995</v>
      </c>
      <c r="F4288" s="2">
        <v>2.95</v>
      </c>
      <c r="G4288" s="6">
        <v>0</v>
      </c>
      <c r="H4288" s="6">
        <v>0</v>
      </c>
      <c r="I4288" s="6">
        <v>0</v>
      </c>
      <c r="J4288" s="6">
        <v>0</v>
      </c>
      <c r="K4288" s="6">
        <v>0</v>
      </c>
    </row>
    <row r="4289" spans="1:11" x14ac:dyDescent="0.25">
      <c r="A4289" s="1">
        <v>0.97708333333333297</v>
      </c>
      <c r="B4289" s="2">
        <v>6.21</v>
      </c>
      <c r="C4289" s="2">
        <v>3.8800000000000003</v>
      </c>
      <c r="D4289" s="2">
        <v>5.27</v>
      </c>
      <c r="E4289" s="2">
        <v>5.4399999999999995</v>
      </c>
      <c r="F4289" s="2">
        <v>2.96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</row>
    <row r="4290" spans="1:11" x14ac:dyDescent="0.25">
      <c r="A4290" s="1">
        <v>0.97777777777777797</v>
      </c>
      <c r="B4290" s="2">
        <v>6.33</v>
      </c>
      <c r="C4290" s="2">
        <v>3.89</v>
      </c>
      <c r="D4290" s="2">
        <v>5.04</v>
      </c>
      <c r="E4290" s="2">
        <v>5.2399999999999993</v>
      </c>
      <c r="F4290" s="2">
        <v>3.2</v>
      </c>
      <c r="G4290" s="6">
        <v>0</v>
      </c>
      <c r="H4290" s="6">
        <v>0</v>
      </c>
      <c r="I4290" s="6">
        <v>0</v>
      </c>
      <c r="J4290" s="6">
        <v>0</v>
      </c>
      <c r="K4290" s="6">
        <v>0</v>
      </c>
    </row>
    <row r="4291" spans="1:11" x14ac:dyDescent="0.25">
      <c r="A4291" s="1">
        <v>0.97847222222222197</v>
      </c>
      <c r="B4291" s="2">
        <v>6.18</v>
      </c>
      <c r="C4291" s="2">
        <v>3.8600000000000003</v>
      </c>
      <c r="D4291" s="2">
        <v>5.1999999999999993</v>
      </c>
      <c r="E4291" s="2">
        <v>5.56</v>
      </c>
      <c r="F4291" s="2">
        <v>3.23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</row>
    <row r="4292" spans="1:11" x14ac:dyDescent="0.25">
      <c r="A4292" s="1">
        <v>0.97916666666666696</v>
      </c>
      <c r="B4292" s="2">
        <v>6.26</v>
      </c>
      <c r="C4292" s="2">
        <v>3.7</v>
      </c>
      <c r="D4292" s="2">
        <v>5.2399999999999993</v>
      </c>
      <c r="E4292" s="2">
        <v>5.6999999999999993</v>
      </c>
      <c r="F4292" s="2">
        <v>3.1500000000000004</v>
      </c>
      <c r="G4292" s="6">
        <v>0</v>
      </c>
      <c r="H4292" s="6">
        <v>0</v>
      </c>
      <c r="I4292" s="6">
        <v>0</v>
      </c>
      <c r="J4292" s="6">
        <v>0</v>
      </c>
      <c r="K4292" s="6">
        <v>0</v>
      </c>
    </row>
    <row r="4293" spans="1:11" x14ac:dyDescent="0.25">
      <c r="A4293" s="1">
        <v>0.97986111111111096</v>
      </c>
      <c r="B4293" s="2">
        <v>6.16</v>
      </c>
      <c r="C4293" s="2">
        <v>3.92</v>
      </c>
      <c r="D4293" s="2">
        <v>5.1999999999999993</v>
      </c>
      <c r="E4293" s="2">
        <v>5.1499999999999995</v>
      </c>
      <c r="F4293" s="2">
        <v>3.0500000000000003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</row>
    <row r="4294" spans="1:11" x14ac:dyDescent="0.25">
      <c r="A4294" s="1">
        <v>0.98055555555555596</v>
      </c>
      <c r="B4294" s="2">
        <v>6.13</v>
      </c>
      <c r="C4294" s="2">
        <v>3.92</v>
      </c>
      <c r="D4294" s="2">
        <v>5.33</v>
      </c>
      <c r="E4294" s="2">
        <v>5.76</v>
      </c>
      <c r="F4294" s="2">
        <v>3.12</v>
      </c>
      <c r="G4294" s="6">
        <v>0</v>
      </c>
      <c r="H4294" s="6">
        <v>0</v>
      </c>
      <c r="I4294" s="6">
        <v>0</v>
      </c>
      <c r="J4294" s="6">
        <v>0</v>
      </c>
      <c r="K4294" s="6">
        <v>0</v>
      </c>
    </row>
    <row r="4295" spans="1:11" x14ac:dyDescent="0.25">
      <c r="A4295" s="1">
        <v>0.98124999999999996</v>
      </c>
      <c r="B4295" s="2">
        <v>6.33</v>
      </c>
      <c r="C4295" s="2">
        <v>3.91</v>
      </c>
      <c r="D4295" s="2">
        <v>5.29</v>
      </c>
      <c r="E4295" s="2">
        <v>5.1599999999999993</v>
      </c>
      <c r="F4295" s="2">
        <v>3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</row>
    <row r="4296" spans="1:11" x14ac:dyDescent="0.25">
      <c r="A4296" s="1">
        <v>0.98194444444444495</v>
      </c>
      <c r="B4296" s="2">
        <v>6.2</v>
      </c>
      <c r="C4296" s="2">
        <v>3.74</v>
      </c>
      <c r="D4296" s="2">
        <v>5.33</v>
      </c>
      <c r="E4296" s="2">
        <v>5.6</v>
      </c>
      <c r="F4296" s="2">
        <v>3.2</v>
      </c>
      <c r="G4296" s="6">
        <v>0</v>
      </c>
      <c r="H4296" s="6">
        <v>0</v>
      </c>
      <c r="I4296" s="6">
        <v>0</v>
      </c>
      <c r="J4296" s="6">
        <v>0</v>
      </c>
      <c r="K4296" s="6">
        <v>0</v>
      </c>
    </row>
    <row r="4297" spans="1:11" x14ac:dyDescent="0.25">
      <c r="A4297" s="1">
        <v>0.98263888888888895</v>
      </c>
      <c r="B4297" s="2">
        <v>6.26</v>
      </c>
      <c r="C4297" s="2">
        <v>3.87</v>
      </c>
      <c r="D4297" s="2">
        <v>4.9899999999999993</v>
      </c>
      <c r="E4297" s="2">
        <v>5.4799999999999995</v>
      </c>
      <c r="F4297" s="2">
        <v>3.3400000000000003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</row>
    <row r="4298" spans="1:11" x14ac:dyDescent="0.25">
      <c r="A4298" s="1">
        <v>0.98333333333333295</v>
      </c>
      <c r="B4298" s="2">
        <v>6.15</v>
      </c>
      <c r="C4298" s="2">
        <v>3.9400000000000004</v>
      </c>
      <c r="D4298" s="2">
        <v>5.3599999999999994</v>
      </c>
      <c r="E4298" s="2">
        <v>5.5</v>
      </c>
      <c r="F4298" s="2">
        <v>3.18</v>
      </c>
      <c r="G4298" s="6">
        <v>0</v>
      </c>
      <c r="H4298" s="6">
        <v>0</v>
      </c>
      <c r="I4298" s="6">
        <v>0</v>
      </c>
      <c r="J4298" s="6">
        <v>0</v>
      </c>
      <c r="K4298" s="6">
        <v>0</v>
      </c>
    </row>
    <row r="4299" spans="1:11" x14ac:dyDescent="0.25">
      <c r="A4299" s="1">
        <v>0.98402777777777795</v>
      </c>
      <c r="B4299" s="2">
        <v>6.18</v>
      </c>
      <c r="C4299" s="2">
        <v>3.74</v>
      </c>
      <c r="D4299" s="2">
        <v>5.0299999999999994</v>
      </c>
      <c r="E4299" s="2">
        <v>5.3</v>
      </c>
      <c r="F4299" s="2">
        <v>3.33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</row>
    <row r="4300" spans="1:11" x14ac:dyDescent="0.25">
      <c r="A4300" s="1">
        <v>0.98472222222222205</v>
      </c>
      <c r="B4300" s="2">
        <v>6.22</v>
      </c>
      <c r="C4300" s="2">
        <v>3.75</v>
      </c>
      <c r="D4300" s="2">
        <v>5.21</v>
      </c>
      <c r="E4300" s="2">
        <v>5.2799999999999994</v>
      </c>
      <c r="F4300" s="2">
        <v>2.93</v>
      </c>
      <c r="G4300" s="6">
        <v>0</v>
      </c>
      <c r="H4300" s="6">
        <v>0</v>
      </c>
      <c r="I4300" s="6">
        <v>0</v>
      </c>
      <c r="J4300" s="6">
        <v>0</v>
      </c>
      <c r="K4300" s="6">
        <v>0</v>
      </c>
    </row>
    <row r="4301" spans="1:11" x14ac:dyDescent="0.25">
      <c r="A4301" s="1">
        <v>0.98541666666666705</v>
      </c>
      <c r="B4301" s="2">
        <v>6.25</v>
      </c>
      <c r="C4301" s="2">
        <v>3.95</v>
      </c>
      <c r="D4301" s="2">
        <v>5.17</v>
      </c>
      <c r="E4301" s="2">
        <v>5.63</v>
      </c>
      <c r="F4301" s="2">
        <v>3.18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</row>
    <row r="4302" spans="1:11" x14ac:dyDescent="0.25">
      <c r="A4302" s="1">
        <v>0.98611111111111105</v>
      </c>
      <c r="B4302" s="2">
        <v>6.32</v>
      </c>
      <c r="C4302" s="2">
        <v>3.73</v>
      </c>
      <c r="D4302" s="2">
        <v>5.0299999999999994</v>
      </c>
      <c r="E4302" s="2">
        <v>5.6999999999999993</v>
      </c>
      <c r="F4302" s="2">
        <v>2.98</v>
      </c>
      <c r="G4302" s="6">
        <v>0</v>
      </c>
      <c r="H4302" s="6">
        <v>0</v>
      </c>
      <c r="I4302" s="6">
        <v>0</v>
      </c>
      <c r="J4302" s="6">
        <v>0</v>
      </c>
      <c r="K4302" s="6">
        <v>0</v>
      </c>
    </row>
    <row r="4303" spans="1:11" x14ac:dyDescent="0.25">
      <c r="A4303" s="1">
        <v>0.98680555555555605</v>
      </c>
      <c r="B4303" s="2">
        <v>6.33</v>
      </c>
      <c r="C4303" s="2">
        <v>3.87</v>
      </c>
      <c r="D4303" s="2">
        <v>5.0299999999999994</v>
      </c>
      <c r="E4303" s="2">
        <v>5.64</v>
      </c>
      <c r="F4303" s="2">
        <v>2.91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</row>
    <row r="4304" spans="1:11" x14ac:dyDescent="0.25">
      <c r="A4304" s="1">
        <v>0.98750000000000004</v>
      </c>
      <c r="B4304" s="2">
        <v>6.13</v>
      </c>
      <c r="C4304" s="2">
        <v>3.93</v>
      </c>
      <c r="D4304" s="2">
        <v>5.2299999999999995</v>
      </c>
      <c r="E4304" s="2">
        <v>5.66</v>
      </c>
      <c r="F4304" s="2">
        <v>3.1100000000000003</v>
      </c>
      <c r="G4304" s="6">
        <v>0</v>
      </c>
      <c r="H4304" s="6">
        <v>0</v>
      </c>
      <c r="I4304" s="6">
        <v>0</v>
      </c>
      <c r="J4304" s="6">
        <v>0</v>
      </c>
      <c r="K4304" s="6">
        <v>0</v>
      </c>
    </row>
    <row r="4305" spans="1:11" x14ac:dyDescent="0.25">
      <c r="A4305" s="1">
        <v>0.98819444444444404</v>
      </c>
      <c r="B4305" s="2">
        <v>6.21</v>
      </c>
      <c r="C4305" s="2">
        <v>3.81</v>
      </c>
      <c r="D4305" s="2">
        <v>5.1899999999999995</v>
      </c>
      <c r="E4305" s="2">
        <v>5.1899999999999995</v>
      </c>
      <c r="F4305" s="2">
        <v>3.35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</row>
    <row r="4306" spans="1:11" x14ac:dyDescent="0.25">
      <c r="A4306" s="1">
        <v>0.98888888888888904</v>
      </c>
      <c r="B4306" s="2">
        <v>6.37</v>
      </c>
      <c r="C4306" s="2">
        <v>3.9000000000000004</v>
      </c>
      <c r="D4306" s="2">
        <v>5.35</v>
      </c>
      <c r="E4306" s="2">
        <v>5.76</v>
      </c>
      <c r="F4306" s="2">
        <v>3.14</v>
      </c>
      <c r="G4306" s="6">
        <v>0</v>
      </c>
      <c r="H4306" s="6">
        <v>0</v>
      </c>
      <c r="I4306" s="6">
        <v>0</v>
      </c>
      <c r="J4306" s="6">
        <v>0</v>
      </c>
      <c r="K4306" s="6">
        <v>0</v>
      </c>
    </row>
    <row r="4307" spans="1:11" x14ac:dyDescent="0.25">
      <c r="A4307" s="1">
        <v>0.98958333333333304</v>
      </c>
      <c r="B4307" s="2">
        <v>6.21</v>
      </c>
      <c r="C4307" s="2">
        <v>3.8600000000000003</v>
      </c>
      <c r="D4307" s="2">
        <v>5.0999999999999996</v>
      </c>
      <c r="E4307" s="2">
        <v>5.34</v>
      </c>
      <c r="F4307" s="2">
        <v>3.25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</row>
    <row r="4308" spans="1:11" x14ac:dyDescent="0.25">
      <c r="A4308" s="1">
        <v>0.99027777777777803</v>
      </c>
      <c r="B4308" s="2">
        <v>6.21</v>
      </c>
      <c r="C4308" s="2">
        <v>3.8800000000000003</v>
      </c>
      <c r="D4308" s="2">
        <v>5.08</v>
      </c>
      <c r="E4308" s="2">
        <v>5.75</v>
      </c>
      <c r="F4308" s="2">
        <v>2.97</v>
      </c>
      <c r="G4308" s="6">
        <v>0</v>
      </c>
      <c r="H4308" s="6">
        <v>0</v>
      </c>
      <c r="I4308" s="6">
        <v>0</v>
      </c>
      <c r="J4308" s="6">
        <v>0</v>
      </c>
      <c r="K4308" s="6">
        <v>0</v>
      </c>
    </row>
    <row r="4309" spans="1:11" x14ac:dyDescent="0.25">
      <c r="A4309" s="1">
        <v>0.99097222222222203</v>
      </c>
      <c r="B4309" s="2">
        <v>6.37</v>
      </c>
      <c r="C4309" s="2">
        <v>3.73</v>
      </c>
      <c r="D4309" s="2">
        <v>5.0299999999999994</v>
      </c>
      <c r="E4309" s="2">
        <v>5.4799999999999995</v>
      </c>
      <c r="F4309" s="2">
        <v>3.41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</row>
    <row r="4310" spans="1:11" x14ac:dyDescent="0.25">
      <c r="A4310" s="1">
        <v>0.99166666666666703</v>
      </c>
      <c r="B4310" s="2">
        <v>6.34</v>
      </c>
      <c r="C4310" s="2">
        <v>3.8000000000000003</v>
      </c>
      <c r="D4310" s="2">
        <v>5.26</v>
      </c>
      <c r="E4310" s="2">
        <v>5.33</v>
      </c>
      <c r="F4310" s="2">
        <v>3.13</v>
      </c>
      <c r="G4310" s="6">
        <v>0</v>
      </c>
      <c r="H4310" s="6">
        <v>0</v>
      </c>
      <c r="I4310" s="6">
        <v>0</v>
      </c>
      <c r="J4310" s="6">
        <v>0</v>
      </c>
      <c r="K4310" s="6">
        <v>0</v>
      </c>
    </row>
    <row r="4311" spans="1:11" x14ac:dyDescent="0.25">
      <c r="A4311" s="1">
        <v>0.99236111111111103</v>
      </c>
      <c r="B4311" s="2">
        <v>6.36</v>
      </c>
      <c r="C4311" s="2">
        <v>3.87</v>
      </c>
      <c r="D4311" s="2">
        <v>5.16</v>
      </c>
      <c r="E4311" s="2">
        <v>5.4799999999999995</v>
      </c>
      <c r="F4311" s="2">
        <v>2.9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</row>
    <row r="4312" spans="1:11" x14ac:dyDescent="0.25">
      <c r="A4312" s="1">
        <v>0.99305555555555602</v>
      </c>
      <c r="B4312" s="2">
        <v>6.2</v>
      </c>
      <c r="C4312" s="2">
        <v>3.7</v>
      </c>
      <c r="D4312" s="2">
        <v>5.21</v>
      </c>
      <c r="E4312" s="2">
        <v>5.55</v>
      </c>
      <c r="F4312" s="2">
        <v>3.1500000000000004</v>
      </c>
      <c r="G4312" s="6">
        <v>0</v>
      </c>
      <c r="H4312" s="6">
        <v>0</v>
      </c>
      <c r="I4312" s="6">
        <v>0</v>
      </c>
      <c r="J4312" s="6">
        <v>0</v>
      </c>
      <c r="K4312" s="6">
        <v>0</v>
      </c>
    </row>
    <row r="4313" spans="1:11" x14ac:dyDescent="0.25">
      <c r="A4313" s="1">
        <v>0.99375000000000002</v>
      </c>
      <c r="B4313" s="2">
        <v>6.22</v>
      </c>
      <c r="C4313" s="2">
        <v>3.92</v>
      </c>
      <c r="D4313" s="2">
        <v>5.3699999999999992</v>
      </c>
      <c r="E4313" s="2">
        <v>5.6099999999999994</v>
      </c>
      <c r="F4313" s="2">
        <v>2.92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</row>
    <row r="4314" spans="1:11" x14ac:dyDescent="0.25">
      <c r="A4314" s="1">
        <v>0.99444444444444402</v>
      </c>
      <c r="B4314" s="2">
        <v>6.13</v>
      </c>
      <c r="C4314" s="2">
        <v>3.7800000000000002</v>
      </c>
      <c r="D4314" s="2">
        <v>5.1999999999999993</v>
      </c>
      <c r="E4314" s="2">
        <v>5.26</v>
      </c>
      <c r="F4314" s="2">
        <v>2.99</v>
      </c>
      <c r="G4314" s="6">
        <v>0</v>
      </c>
      <c r="H4314" s="6">
        <v>0</v>
      </c>
      <c r="I4314" s="6">
        <v>0</v>
      </c>
      <c r="J4314" s="6">
        <v>0</v>
      </c>
      <c r="K4314" s="6">
        <v>0</v>
      </c>
    </row>
    <row r="4315" spans="1:11" x14ac:dyDescent="0.25">
      <c r="A4315" s="1">
        <v>0.99513888888888902</v>
      </c>
      <c r="B4315" s="2">
        <v>6.17</v>
      </c>
      <c r="C4315" s="2">
        <v>3.71</v>
      </c>
      <c r="D4315" s="2">
        <v>5.14</v>
      </c>
      <c r="E4315" s="2">
        <v>5.6</v>
      </c>
      <c r="F4315" s="2">
        <v>3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</row>
    <row r="4316" spans="1:11" x14ac:dyDescent="0.25">
      <c r="A4316" s="1">
        <v>0.99583333333333302</v>
      </c>
      <c r="B4316" s="2">
        <v>6.18</v>
      </c>
      <c r="C4316" s="2">
        <v>3.72</v>
      </c>
      <c r="D4316" s="2">
        <v>4.93</v>
      </c>
      <c r="E4316" s="2">
        <v>5.63</v>
      </c>
      <c r="F4316" s="2">
        <v>2.97</v>
      </c>
      <c r="G4316" s="6">
        <v>0</v>
      </c>
      <c r="H4316" s="6">
        <v>0</v>
      </c>
      <c r="I4316" s="6">
        <v>0</v>
      </c>
      <c r="J4316" s="6">
        <v>0</v>
      </c>
      <c r="K4316" s="6">
        <v>0</v>
      </c>
    </row>
    <row r="4317" spans="1:11" x14ac:dyDescent="0.25">
      <c r="A4317" s="1">
        <v>0.99652777777777801</v>
      </c>
      <c r="B4317" s="2">
        <v>6.3</v>
      </c>
      <c r="C4317" s="2">
        <v>3.8800000000000003</v>
      </c>
      <c r="D4317" s="2">
        <v>5.3</v>
      </c>
      <c r="E4317" s="2">
        <v>5.5</v>
      </c>
      <c r="F4317" s="2">
        <v>3.29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</row>
    <row r="4318" spans="1:11" x14ac:dyDescent="0.25">
      <c r="A4318" s="1">
        <v>0.99722222222222201</v>
      </c>
      <c r="B4318" s="2">
        <v>6.16</v>
      </c>
      <c r="C4318" s="2">
        <v>3.81</v>
      </c>
      <c r="D4318" s="2">
        <v>5.2399999999999993</v>
      </c>
      <c r="E4318" s="2">
        <v>5.31</v>
      </c>
      <c r="F4318" s="2">
        <v>3.0100000000000002</v>
      </c>
      <c r="G4318" s="6">
        <v>0</v>
      </c>
      <c r="H4318" s="6">
        <v>0</v>
      </c>
      <c r="I4318" s="6">
        <v>0</v>
      </c>
      <c r="J4318" s="6">
        <v>0</v>
      </c>
      <c r="K4318" s="6">
        <v>0</v>
      </c>
    </row>
    <row r="4319" spans="1:11" x14ac:dyDescent="0.25">
      <c r="A4319" s="1">
        <v>0.99791666666666701</v>
      </c>
      <c r="B4319" s="2">
        <v>6.34</v>
      </c>
      <c r="C4319" s="2">
        <v>3.91</v>
      </c>
      <c r="D4319" s="2">
        <v>5.16</v>
      </c>
      <c r="E4319" s="2">
        <v>5.75</v>
      </c>
      <c r="F4319" s="2">
        <v>3.31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</row>
    <row r="4320" spans="1:11" x14ac:dyDescent="0.25">
      <c r="A4320" s="1">
        <v>0.99861111111111101</v>
      </c>
      <c r="B4320" s="2">
        <v>6.23</v>
      </c>
      <c r="C4320" s="2">
        <v>3.77</v>
      </c>
      <c r="D4320" s="2">
        <v>5.09</v>
      </c>
      <c r="E4320" s="2">
        <v>5.7399999999999993</v>
      </c>
      <c r="F4320" s="2">
        <v>3.1100000000000003</v>
      </c>
      <c r="G4320" s="6">
        <v>0</v>
      </c>
      <c r="H4320" s="6">
        <v>0</v>
      </c>
      <c r="I4320" s="6">
        <v>0</v>
      </c>
      <c r="J4320" s="6">
        <v>0</v>
      </c>
      <c r="K4320" s="6">
        <v>0</v>
      </c>
    </row>
    <row r="4321" spans="1:11" x14ac:dyDescent="0.25">
      <c r="A4321" s="1">
        <v>0.999305555555556</v>
      </c>
      <c r="B4321" s="2">
        <v>6.12</v>
      </c>
      <c r="C4321" s="2">
        <v>3.85</v>
      </c>
      <c r="D4321" s="2">
        <v>5.3199999999999994</v>
      </c>
      <c r="E4321" s="2">
        <v>5.68</v>
      </c>
      <c r="F4321" s="2">
        <v>2.9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</row>
  </sheetData>
  <sortState ref="K2553:K2561">
    <sortCondition descending="1" ref="K2553:K256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2D89-E2BE-44AB-9EF8-4AD1AACE3E39}">
  <dimension ref="B1:AG1441"/>
  <sheetViews>
    <sheetView tabSelected="1" topLeftCell="C1" workbookViewId="0">
      <selection activeCell="AF1" sqref="AF1"/>
    </sheetView>
  </sheetViews>
  <sheetFormatPr defaultRowHeight="13.8" x14ac:dyDescent="0.25"/>
  <sheetData>
    <row r="1" spans="2:33" x14ac:dyDescent="0.25">
      <c r="B1" s="7">
        <v>0</v>
      </c>
      <c r="C1" s="7">
        <v>0</v>
      </c>
      <c r="D1" s="7">
        <v>0</v>
      </c>
      <c r="E1" s="7">
        <v>0</v>
      </c>
      <c r="F1" s="7">
        <v>0</v>
      </c>
      <c r="L1">
        <f t="shared" ref="L1:L64" si="0">B1-C1</f>
        <v>0</v>
      </c>
      <c r="M1">
        <f t="shared" ref="M1:M64" si="1">B1-D1</f>
        <v>0</v>
      </c>
      <c r="N1">
        <f t="shared" ref="N1:N64" si="2">B1-E1</f>
        <v>0</v>
      </c>
      <c r="O1">
        <f t="shared" ref="O1:O64" si="3">B1-F1</f>
        <v>0</v>
      </c>
      <c r="P1">
        <f t="shared" ref="P1:P64" si="4">C1-D1</f>
        <v>0</v>
      </c>
      <c r="Q1">
        <f t="shared" ref="Q1:Q64" si="5">C1-E1</f>
        <v>0</v>
      </c>
      <c r="R1">
        <f t="shared" ref="R1:R64" si="6">C1-F1</f>
        <v>0</v>
      </c>
      <c r="S1">
        <f t="shared" ref="S1:S64" si="7">D1-E1</f>
        <v>0</v>
      </c>
      <c r="T1">
        <f t="shared" ref="T1:T64" si="8">D1-F1</f>
        <v>0</v>
      </c>
      <c r="U1">
        <f t="shared" ref="U1:U64" si="9">E1-F1</f>
        <v>0</v>
      </c>
      <c r="V1" s="9">
        <f>IF(L1&gt;=0,L1,-L1)</f>
        <v>0</v>
      </c>
      <c r="W1" s="9">
        <f t="shared" ref="W1:AE16" si="10">IF(M1&gt;=0,M1,-M1)</f>
        <v>0</v>
      </c>
      <c r="X1" s="9">
        <f t="shared" si="10"/>
        <v>0</v>
      </c>
      <c r="Y1" s="9">
        <f t="shared" si="10"/>
        <v>0</v>
      </c>
      <c r="Z1" s="9">
        <f t="shared" si="10"/>
        <v>0</v>
      </c>
      <c r="AA1" s="9">
        <f t="shared" si="10"/>
        <v>0</v>
      </c>
      <c r="AB1" s="9">
        <f t="shared" si="10"/>
        <v>0</v>
      </c>
      <c r="AC1" s="9">
        <f t="shared" si="10"/>
        <v>0</v>
      </c>
      <c r="AD1" s="9">
        <f t="shared" si="10"/>
        <v>0</v>
      </c>
      <c r="AE1" s="9">
        <f t="shared" si="10"/>
        <v>0</v>
      </c>
      <c r="AF1" s="9">
        <f>MAX(V1:AE1345)</f>
        <v>30188</v>
      </c>
      <c r="AG1" s="9">
        <f>MIN(V1:AE1345)</f>
        <v>0</v>
      </c>
    </row>
    <row r="2" spans="2:33" x14ac:dyDescent="0.25">
      <c r="B2" s="6">
        <v>0</v>
      </c>
      <c r="C2" s="6">
        <v>0</v>
      </c>
      <c r="D2" s="6">
        <v>0</v>
      </c>
      <c r="E2" s="6">
        <v>0</v>
      </c>
      <c r="F2" s="6">
        <v>0</v>
      </c>
      <c r="L2">
        <f t="shared" si="0"/>
        <v>0</v>
      </c>
      <c r="M2">
        <f t="shared" si="1"/>
        <v>0</v>
      </c>
      <c r="N2">
        <f t="shared" si="2"/>
        <v>0</v>
      </c>
      <c r="O2">
        <f t="shared" si="3"/>
        <v>0</v>
      </c>
      <c r="P2">
        <f t="shared" si="4"/>
        <v>0</v>
      </c>
      <c r="Q2">
        <f t="shared" si="5"/>
        <v>0</v>
      </c>
      <c r="R2">
        <f t="shared" si="6"/>
        <v>0</v>
      </c>
      <c r="S2">
        <f t="shared" si="7"/>
        <v>0</v>
      </c>
      <c r="T2">
        <f t="shared" si="8"/>
        <v>0</v>
      </c>
      <c r="U2">
        <f t="shared" si="9"/>
        <v>0</v>
      </c>
      <c r="V2" s="9">
        <f t="shared" ref="V2:AE40" si="11">IF(L2&gt;=0,L2,-L2)</f>
        <v>0</v>
      </c>
      <c r="W2" s="9">
        <f t="shared" si="10"/>
        <v>0</v>
      </c>
      <c r="X2" s="9">
        <f t="shared" si="10"/>
        <v>0</v>
      </c>
      <c r="Y2" s="9">
        <f t="shared" si="10"/>
        <v>0</v>
      </c>
      <c r="Z2" s="9">
        <f t="shared" si="10"/>
        <v>0</v>
      </c>
      <c r="AA2" s="9">
        <f t="shared" si="10"/>
        <v>0</v>
      </c>
      <c r="AB2" s="9">
        <f t="shared" si="10"/>
        <v>0</v>
      </c>
      <c r="AC2" s="9">
        <f t="shared" si="10"/>
        <v>0</v>
      </c>
      <c r="AD2" s="9">
        <f t="shared" si="10"/>
        <v>0</v>
      </c>
      <c r="AE2" s="9">
        <f t="shared" si="10"/>
        <v>0</v>
      </c>
    </row>
    <row r="3" spans="2:33" x14ac:dyDescent="0.25">
      <c r="B3" s="6">
        <v>0</v>
      </c>
      <c r="C3" s="6">
        <v>0</v>
      </c>
      <c r="D3" s="6">
        <v>0</v>
      </c>
      <c r="E3" s="6">
        <v>0</v>
      </c>
      <c r="F3" s="6">
        <v>0</v>
      </c>
      <c r="L3">
        <f t="shared" si="0"/>
        <v>0</v>
      </c>
      <c r="M3">
        <f t="shared" si="1"/>
        <v>0</v>
      </c>
      <c r="N3">
        <f t="shared" si="2"/>
        <v>0</v>
      </c>
      <c r="O3">
        <f t="shared" si="3"/>
        <v>0</v>
      </c>
      <c r="P3">
        <f t="shared" si="4"/>
        <v>0</v>
      </c>
      <c r="Q3">
        <f t="shared" si="5"/>
        <v>0</v>
      </c>
      <c r="R3">
        <f t="shared" si="6"/>
        <v>0</v>
      </c>
      <c r="S3">
        <f t="shared" si="7"/>
        <v>0</v>
      </c>
      <c r="T3">
        <f t="shared" si="8"/>
        <v>0</v>
      </c>
      <c r="U3">
        <f t="shared" si="9"/>
        <v>0</v>
      </c>
      <c r="V3" s="9">
        <f t="shared" si="11"/>
        <v>0</v>
      </c>
      <c r="W3" s="9">
        <f t="shared" si="10"/>
        <v>0</v>
      </c>
      <c r="X3" s="9">
        <f t="shared" si="10"/>
        <v>0</v>
      </c>
      <c r="Y3" s="9">
        <f t="shared" si="10"/>
        <v>0</v>
      </c>
      <c r="Z3" s="9">
        <f t="shared" si="10"/>
        <v>0</v>
      </c>
      <c r="AA3" s="9">
        <f t="shared" si="10"/>
        <v>0</v>
      </c>
      <c r="AB3" s="9">
        <f t="shared" si="10"/>
        <v>0</v>
      </c>
      <c r="AC3" s="9">
        <f t="shared" si="10"/>
        <v>0</v>
      </c>
      <c r="AD3" s="9">
        <f t="shared" si="10"/>
        <v>0</v>
      </c>
      <c r="AE3" s="9">
        <f t="shared" si="10"/>
        <v>0</v>
      </c>
    </row>
    <row r="4" spans="2:33" x14ac:dyDescent="0.25">
      <c r="B4" s="6">
        <v>0</v>
      </c>
      <c r="C4" s="6">
        <v>0</v>
      </c>
      <c r="D4" s="6">
        <v>0</v>
      </c>
      <c r="E4" s="6">
        <v>0</v>
      </c>
      <c r="F4" s="6">
        <v>0</v>
      </c>
      <c r="L4">
        <f t="shared" si="0"/>
        <v>0</v>
      </c>
      <c r="M4">
        <f t="shared" si="1"/>
        <v>0</v>
      </c>
      <c r="N4">
        <f t="shared" si="2"/>
        <v>0</v>
      </c>
      <c r="O4">
        <f t="shared" si="3"/>
        <v>0</v>
      </c>
      <c r="P4">
        <f t="shared" si="4"/>
        <v>0</v>
      </c>
      <c r="Q4">
        <f t="shared" si="5"/>
        <v>0</v>
      </c>
      <c r="R4">
        <f t="shared" si="6"/>
        <v>0</v>
      </c>
      <c r="S4">
        <f t="shared" si="7"/>
        <v>0</v>
      </c>
      <c r="T4">
        <f t="shared" si="8"/>
        <v>0</v>
      </c>
      <c r="U4">
        <f t="shared" si="9"/>
        <v>0</v>
      </c>
      <c r="V4" s="9">
        <f t="shared" si="11"/>
        <v>0</v>
      </c>
      <c r="W4" s="9">
        <f t="shared" si="10"/>
        <v>0</v>
      </c>
      <c r="X4" s="9">
        <f t="shared" si="10"/>
        <v>0</v>
      </c>
      <c r="Y4" s="9">
        <f t="shared" si="10"/>
        <v>0</v>
      </c>
      <c r="Z4" s="9">
        <f t="shared" si="10"/>
        <v>0</v>
      </c>
      <c r="AA4" s="9">
        <f t="shared" si="10"/>
        <v>0</v>
      </c>
      <c r="AB4" s="9">
        <f t="shared" si="10"/>
        <v>0</v>
      </c>
      <c r="AC4" s="9">
        <f t="shared" si="10"/>
        <v>0</v>
      </c>
      <c r="AD4" s="9">
        <f t="shared" si="10"/>
        <v>0</v>
      </c>
      <c r="AE4" s="9">
        <f t="shared" si="10"/>
        <v>0</v>
      </c>
    </row>
    <row r="5" spans="2:33" x14ac:dyDescent="0.25">
      <c r="B5" s="6">
        <v>0</v>
      </c>
      <c r="C5" s="6">
        <v>0</v>
      </c>
      <c r="D5" s="6">
        <v>0</v>
      </c>
      <c r="E5" s="6">
        <v>0</v>
      </c>
      <c r="F5" s="6">
        <v>0</v>
      </c>
      <c r="L5">
        <f t="shared" si="0"/>
        <v>0</v>
      </c>
      <c r="M5">
        <f t="shared" si="1"/>
        <v>0</v>
      </c>
      <c r="N5">
        <f t="shared" si="2"/>
        <v>0</v>
      </c>
      <c r="O5">
        <f t="shared" si="3"/>
        <v>0</v>
      </c>
      <c r="P5">
        <f t="shared" si="4"/>
        <v>0</v>
      </c>
      <c r="Q5">
        <f t="shared" si="5"/>
        <v>0</v>
      </c>
      <c r="R5">
        <f t="shared" si="6"/>
        <v>0</v>
      </c>
      <c r="S5">
        <f t="shared" si="7"/>
        <v>0</v>
      </c>
      <c r="T5">
        <f t="shared" si="8"/>
        <v>0</v>
      </c>
      <c r="U5">
        <f t="shared" si="9"/>
        <v>0</v>
      </c>
      <c r="V5" s="9">
        <f t="shared" si="11"/>
        <v>0</v>
      </c>
      <c r="W5" s="9">
        <f t="shared" si="10"/>
        <v>0</v>
      </c>
      <c r="X5" s="9">
        <f t="shared" si="10"/>
        <v>0</v>
      </c>
      <c r="Y5" s="9">
        <f t="shared" si="10"/>
        <v>0</v>
      </c>
      <c r="Z5" s="9">
        <f t="shared" si="10"/>
        <v>0</v>
      </c>
      <c r="AA5" s="9">
        <f t="shared" si="10"/>
        <v>0</v>
      </c>
      <c r="AB5" s="9">
        <f t="shared" si="10"/>
        <v>0</v>
      </c>
      <c r="AC5" s="9">
        <f t="shared" si="10"/>
        <v>0</v>
      </c>
      <c r="AD5" s="9">
        <f t="shared" si="10"/>
        <v>0</v>
      </c>
      <c r="AE5" s="9">
        <f t="shared" si="10"/>
        <v>0</v>
      </c>
    </row>
    <row r="6" spans="2:33" x14ac:dyDescent="0.25">
      <c r="B6" s="6">
        <v>0</v>
      </c>
      <c r="C6" s="6">
        <v>0</v>
      </c>
      <c r="D6" s="6">
        <v>0</v>
      </c>
      <c r="E6" s="6">
        <v>0</v>
      </c>
      <c r="F6" s="6">
        <v>0</v>
      </c>
      <c r="L6">
        <f t="shared" si="0"/>
        <v>0</v>
      </c>
      <c r="M6">
        <f t="shared" si="1"/>
        <v>0</v>
      </c>
      <c r="N6">
        <f t="shared" si="2"/>
        <v>0</v>
      </c>
      <c r="O6">
        <f t="shared" si="3"/>
        <v>0</v>
      </c>
      <c r="P6">
        <f t="shared" si="4"/>
        <v>0</v>
      </c>
      <c r="Q6">
        <f t="shared" si="5"/>
        <v>0</v>
      </c>
      <c r="R6">
        <f t="shared" si="6"/>
        <v>0</v>
      </c>
      <c r="S6">
        <f t="shared" si="7"/>
        <v>0</v>
      </c>
      <c r="T6">
        <f t="shared" si="8"/>
        <v>0</v>
      </c>
      <c r="U6">
        <f t="shared" si="9"/>
        <v>0</v>
      </c>
      <c r="V6" s="9">
        <f t="shared" si="11"/>
        <v>0</v>
      </c>
      <c r="W6" s="9">
        <f t="shared" si="10"/>
        <v>0</v>
      </c>
      <c r="X6" s="9">
        <f t="shared" si="10"/>
        <v>0</v>
      </c>
      <c r="Y6" s="9">
        <f t="shared" si="10"/>
        <v>0</v>
      </c>
      <c r="Z6" s="9">
        <f t="shared" si="10"/>
        <v>0</v>
      </c>
      <c r="AA6" s="9">
        <f t="shared" si="10"/>
        <v>0</v>
      </c>
      <c r="AB6" s="9">
        <f t="shared" si="10"/>
        <v>0</v>
      </c>
      <c r="AC6" s="9">
        <f t="shared" si="10"/>
        <v>0</v>
      </c>
      <c r="AD6" s="9">
        <f t="shared" si="10"/>
        <v>0</v>
      </c>
      <c r="AE6" s="9">
        <f t="shared" si="10"/>
        <v>0</v>
      </c>
    </row>
    <row r="7" spans="2:33" x14ac:dyDescent="0.25">
      <c r="B7" s="6">
        <v>0</v>
      </c>
      <c r="C7" s="6">
        <v>0</v>
      </c>
      <c r="D7" s="6">
        <v>0</v>
      </c>
      <c r="E7" s="6">
        <v>0</v>
      </c>
      <c r="F7" s="6">
        <v>0</v>
      </c>
      <c r="L7">
        <f t="shared" si="0"/>
        <v>0</v>
      </c>
      <c r="M7">
        <f t="shared" si="1"/>
        <v>0</v>
      </c>
      <c r="N7">
        <f t="shared" si="2"/>
        <v>0</v>
      </c>
      <c r="O7">
        <f t="shared" si="3"/>
        <v>0</v>
      </c>
      <c r="P7">
        <f t="shared" si="4"/>
        <v>0</v>
      </c>
      <c r="Q7">
        <f t="shared" si="5"/>
        <v>0</v>
      </c>
      <c r="R7">
        <f t="shared" si="6"/>
        <v>0</v>
      </c>
      <c r="S7">
        <f t="shared" si="7"/>
        <v>0</v>
      </c>
      <c r="T7">
        <f t="shared" si="8"/>
        <v>0</v>
      </c>
      <c r="U7">
        <f t="shared" si="9"/>
        <v>0</v>
      </c>
      <c r="V7" s="9">
        <f t="shared" si="11"/>
        <v>0</v>
      </c>
      <c r="W7" s="9">
        <f t="shared" si="10"/>
        <v>0</v>
      </c>
      <c r="X7" s="9">
        <f t="shared" si="10"/>
        <v>0</v>
      </c>
      <c r="Y7" s="9">
        <f t="shared" si="10"/>
        <v>0</v>
      </c>
      <c r="Z7" s="9">
        <f t="shared" si="10"/>
        <v>0</v>
      </c>
      <c r="AA7" s="9">
        <f t="shared" si="10"/>
        <v>0</v>
      </c>
      <c r="AB7" s="9">
        <f t="shared" si="10"/>
        <v>0</v>
      </c>
      <c r="AC7" s="9">
        <f t="shared" si="10"/>
        <v>0</v>
      </c>
      <c r="AD7" s="9">
        <f t="shared" si="10"/>
        <v>0</v>
      </c>
      <c r="AE7" s="9">
        <f t="shared" si="10"/>
        <v>0</v>
      </c>
    </row>
    <row r="8" spans="2:33" x14ac:dyDescent="0.25">
      <c r="B8" s="6">
        <v>0</v>
      </c>
      <c r="C8" s="6">
        <v>0</v>
      </c>
      <c r="D8" s="6">
        <v>0</v>
      </c>
      <c r="E8" s="6">
        <v>0</v>
      </c>
      <c r="F8" s="6">
        <v>0</v>
      </c>
      <c r="L8">
        <f t="shared" si="0"/>
        <v>0</v>
      </c>
      <c r="M8">
        <f t="shared" si="1"/>
        <v>0</v>
      </c>
      <c r="N8">
        <f t="shared" si="2"/>
        <v>0</v>
      </c>
      <c r="O8">
        <f t="shared" si="3"/>
        <v>0</v>
      </c>
      <c r="P8">
        <f t="shared" si="4"/>
        <v>0</v>
      </c>
      <c r="Q8">
        <f t="shared" si="5"/>
        <v>0</v>
      </c>
      <c r="R8">
        <f t="shared" si="6"/>
        <v>0</v>
      </c>
      <c r="S8">
        <f t="shared" si="7"/>
        <v>0</v>
      </c>
      <c r="T8">
        <f t="shared" si="8"/>
        <v>0</v>
      </c>
      <c r="U8">
        <f t="shared" si="9"/>
        <v>0</v>
      </c>
      <c r="V8" s="9">
        <f t="shared" si="11"/>
        <v>0</v>
      </c>
      <c r="W8" s="9">
        <f t="shared" si="10"/>
        <v>0</v>
      </c>
      <c r="X8" s="9">
        <f t="shared" si="10"/>
        <v>0</v>
      </c>
      <c r="Y8" s="9">
        <f t="shared" si="10"/>
        <v>0</v>
      </c>
      <c r="Z8" s="9">
        <f t="shared" si="10"/>
        <v>0</v>
      </c>
      <c r="AA8" s="9">
        <f t="shared" si="10"/>
        <v>0</v>
      </c>
      <c r="AB8" s="9">
        <f t="shared" si="10"/>
        <v>0</v>
      </c>
      <c r="AC8" s="9">
        <f t="shared" si="10"/>
        <v>0</v>
      </c>
      <c r="AD8" s="9">
        <f t="shared" si="10"/>
        <v>0</v>
      </c>
      <c r="AE8" s="9">
        <f t="shared" si="10"/>
        <v>0</v>
      </c>
    </row>
    <row r="9" spans="2:33" x14ac:dyDescent="0.25">
      <c r="B9" s="6">
        <v>0</v>
      </c>
      <c r="C9" s="6">
        <v>0</v>
      </c>
      <c r="D9" s="6">
        <v>0</v>
      </c>
      <c r="E9" s="6">
        <v>0</v>
      </c>
      <c r="F9" s="6">
        <v>0</v>
      </c>
      <c r="L9">
        <f t="shared" si="0"/>
        <v>0</v>
      </c>
      <c r="M9">
        <f t="shared" si="1"/>
        <v>0</v>
      </c>
      <c r="N9">
        <f t="shared" si="2"/>
        <v>0</v>
      </c>
      <c r="O9">
        <f t="shared" si="3"/>
        <v>0</v>
      </c>
      <c r="P9">
        <f t="shared" si="4"/>
        <v>0</v>
      </c>
      <c r="Q9">
        <f t="shared" si="5"/>
        <v>0</v>
      </c>
      <c r="R9">
        <f t="shared" si="6"/>
        <v>0</v>
      </c>
      <c r="S9">
        <f t="shared" si="7"/>
        <v>0</v>
      </c>
      <c r="T9">
        <f t="shared" si="8"/>
        <v>0</v>
      </c>
      <c r="U9">
        <f t="shared" si="9"/>
        <v>0</v>
      </c>
      <c r="V9" s="9">
        <f t="shared" si="11"/>
        <v>0</v>
      </c>
      <c r="W9" s="9">
        <f t="shared" si="10"/>
        <v>0</v>
      </c>
      <c r="X9" s="9">
        <f t="shared" si="10"/>
        <v>0</v>
      </c>
      <c r="Y9" s="9">
        <f t="shared" si="10"/>
        <v>0</v>
      </c>
      <c r="Z9" s="9">
        <f t="shared" si="10"/>
        <v>0</v>
      </c>
      <c r="AA9" s="9">
        <f t="shared" si="10"/>
        <v>0</v>
      </c>
      <c r="AB9" s="9">
        <f t="shared" si="10"/>
        <v>0</v>
      </c>
      <c r="AC9" s="9">
        <f t="shared" si="10"/>
        <v>0</v>
      </c>
      <c r="AD9" s="9">
        <f t="shared" si="10"/>
        <v>0</v>
      </c>
      <c r="AE9" s="9">
        <f t="shared" si="10"/>
        <v>0</v>
      </c>
    </row>
    <row r="10" spans="2:33" x14ac:dyDescent="0.25">
      <c r="B10" s="6">
        <v>0</v>
      </c>
      <c r="C10" s="6">
        <v>0</v>
      </c>
      <c r="D10" s="6">
        <v>0</v>
      </c>
      <c r="E10" s="6">
        <v>0</v>
      </c>
      <c r="F10" s="6">
        <v>0</v>
      </c>
      <c r="L10">
        <f t="shared" si="0"/>
        <v>0</v>
      </c>
      <c r="M10">
        <f t="shared" si="1"/>
        <v>0</v>
      </c>
      <c r="N10">
        <f t="shared" si="2"/>
        <v>0</v>
      </c>
      <c r="O10">
        <f t="shared" si="3"/>
        <v>0</v>
      </c>
      <c r="P10">
        <f t="shared" si="4"/>
        <v>0</v>
      </c>
      <c r="Q10">
        <f t="shared" si="5"/>
        <v>0</v>
      </c>
      <c r="R10">
        <f t="shared" si="6"/>
        <v>0</v>
      </c>
      <c r="S10">
        <f t="shared" si="7"/>
        <v>0</v>
      </c>
      <c r="T10">
        <f t="shared" si="8"/>
        <v>0</v>
      </c>
      <c r="U10">
        <f t="shared" si="9"/>
        <v>0</v>
      </c>
      <c r="V10" s="9">
        <f t="shared" si="11"/>
        <v>0</v>
      </c>
      <c r="W10" s="9">
        <f t="shared" si="10"/>
        <v>0</v>
      </c>
      <c r="X10" s="9">
        <f t="shared" si="10"/>
        <v>0</v>
      </c>
      <c r="Y10" s="9">
        <f t="shared" si="10"/>
        <v>0</v>
      </c>
      <c r="Z10" s="9">
        <f t="shared" si="10"/>
        <v>0</v>
      </c>
      <c r="AA10" s="9">
        <f t="shared" si="10"/>
        <v>0</v>
      </c>
      <c r="AB10" s="9">
        <f t="shared" si="10"/>
        <v>0</v>
      </c>
      <c r="AC10" s="9">
        <f t="shared" si="10"/>
        <v>0</v>
      </c>
      <c r="AD10" s="9">
        <f t="shared" si="10"/>
        <v>0</v>
      </c>
      <c r="AE10" s="9">
        <f t="shared" si="10"/>
        <v>0</v>
      </c>
    </row>
    <row r="11" spans="2:33" x14ac:dyDescent="0.25">
      <c r="B11" s="6">
        <v>0</v>
      </c>
      <c r="C11" s="6">
        <v>0</v>
      </c>
      <c r="D11" s="6">
        <v>0</v>
      </c>
      <c r="E11" s="6">
        <v>0</v>
      </c>
      <c r="F11" s="6">
        <v>0</v>
      </c>
      <c r="L11">
        <f t="shared" si="0"/>
        <v>0</v>
      </c>
      <c r="M11">
        <f t="shared" si="1"/>
        <v>0</v>
      </c>
      <c r="N11">
        <f t="shared" si="2"/>
        <v>0</v>
      </c>
      <c r="O11">
        <f t="shared" si="3"/>
        <v>0</v>
      </c>
      <c r="P11">
        <f t="shared" si="4"/>
        <v>0</v>
      </c>
      <c r="Q11">
        <f t="shared" si="5"/>
        <v>0</v>
      </c>
      <c r="R11">
        <f t="shared" si="6"/>
        <v>0</v>
      </c>
      <c r="S11">
        <f t="shared" si="7"/>
        <v>0</v>
      </c>
      <c r="T11">
        <f t="shared" si="8"/>
        <v>0</v>
      </c>
      <c r="U11">
        <f t="shared" si="9"/>
        <v>0</v>
      </c>
      <c r="V11" s="9">
        <f t="shared" si="11"/>
        <v>0</v>
      </c>
      <c r="W11" s="9">
        <f t="shared" si="10"/>
        <v>0</v>
      </c>
      <c r="X11" s="9">
        <f t="shared" si="10"/>
        <v>0</v>
      </c>
      <c r="Y11" s="9">
        <f t="shared" si="10"/>
        <v>0</v>
      </c>
      <c r="Z11" s="9">
        <f t="shared" si="10"/>
        <v>0</v>
      </c>
      <c r="AA11" s="9">
        <f t="shared" si="10"/>
        <v>0</v>
      </c>
      <c r="AB11" s="9">
        <f t="shared" si="10"/>
        <v>0</v>
      </c>
      <c r="AC11" s="9">
        <f t="shared" si="10"/>
        <v>0</v>
      </c>
      <c r="AD11" s="9">
        <f t="shared" si="10"/>
        <v>0</v>
      </c>
      <c r="AE11" s="9">
        <f t="shared" si="10"/>
        <v>0</v>
      </c>
    </row>
    <row r="12" spans="2:33" x14ac:dyDescent="0.25">
      <c r="B12" s="6">
        <v>0</v>
      </c>
      <c r="C12" s="6">
        <v>0</v>
      </c>
      <c r="D12" s="6">
        <v>0</v>
      </c>
      <c r="E12" s="6">
        <v>0</v>
      </c>
      <c r="F12" s="6">
        <v>0</v>
      </c>
      <c r="L12">
        <f t="shared" si="0"/>
        <v>0</v>
      </c>
      <c r="M12">
        <f t="shared" si="1"/>
        <v>0</v>
      </c>
      <c r="N12">
        <f t="shared" si="2"/>
        <v>0</v>
      </c>
      <c r="O12">
        <f t="shared" si="3"/>
        <v>0</v>
      </c>
      <c r="P12">
        <f t="shared" si="4"/>
        <v>0</v>
      </c>
      <c r="Q12">
        <f t="shared" si="5"/>
        <v>0</v>
      </c>
      <c r="R12">
        <f t="shared" si="6"/>
        <v>0</v>
      </c>
      <c r="S12">
        <f t="shared" si="7"/>
        <v>0</v>
      </c>
      <c r="T12">
        <f t="shared" si="8"/>
        <v>0</v>
      </c>
      <c r="U12">
        <f t="shared" si="9"/>
        <v>0</v>
      </c>
      <c r="V12" s="9">
        <f t="shared" si="11"/>
        <v>0</v>
      </c>
      <c r="W12" s="9">
        <f t="shared" si="10"/>
        <v>0</v>
      </c>
      <c r="X12" s="9">
        <f t="shared" si="10"/>
        <v>0</v>
      </c>
      <c r="Y12" s="9">
        <f t="shared" si="10"/>
        <v>0</v>
      </c>
      <c r="Z12" s="9">
        <f t="shared" si="10"/>
        <v>0</v>
      </c>
      <c r="AA12" s="9">
        <f t="shared" si="10"/>
        <v>0</v>
      </c>
      <c r="AB12" s="9">
        <f t="shared" si="10"/>
        <v>0</v>
      </c>
      <c r="AC12" s="9">
        <f t="shared" si="10"/>
        <v>0</v>
      </c>
      <c r="AD12" s="9">
        <f t="shared" si="10"/>
        <v>0</v>
      </c>
      <c r="AE12" s="9">
        <f t="shared" si="10"/>
        <v>0</v>
      </c>
    </row>
    <row r="13" spans="2:33" x14ac:dyDescent="0.25">
      <c r="B13" s="6">
        <v>0</v>
      </c>
      <c r="C13" s="6">
        <v>0</v>
      </c>
      <c r="D13" s="6">
        <v>0</v>
      </c>
      <c r="E13" s="6">
        <v>0</v>
      </c>
      <c r="F13" s="6">
        <v>0</v>
      </c>
      <c r="L13">
        <f t="shared" si="0"/>
        <v>0</v>
      </c>
      <c r="M13">
        <f t="shared" si="1"/>
        <v>0</v>
      </c>
      <c r="N13">
        <f t="shared" si="2"/>
        <v>0</v>
      </c>
      <c r="O13">
        <f t="shared" si="3"/>
        <v>0</v>
      </c>
      <c r="P13">
        <f t="shared" si="4"/>
        <v>0</v>
      </c>
      <c r="Q13">
        <f t="shared" si="5"/>
        <v>0</v>
      </c>
      <c r="R13">
        <f t="shared" si="6"/>
        <v>0</v>
      </c>
      <c r="S13">
        <f t="shared" si="7"/>
        <v>0</v>
      </c>
      <c r="T13">
        <f t="shared" si="8"/>
        <v>0</v>
      </c>
      <c r="U13">
        <f t="shared" si="9"/>
        <v>0</v>
      </c>
      <c r="V13" s="9">
        <f t="shared" si="11"/>
        <v>0</v>
      </c>
      <c r="W13" s="9">
        <f t="shared" si="10"/>
        <v>0</v>
      </c>
      <c r="X13" s="9">
        <f t="shared" si="10"/>
        <v>0</v>
      </c>
      <c r="Y13" s="9">
        <f t="shared" si="10"/>
        <v>0</v>
      </c>
      <c r="Z13" s="9">
        <f t="shared" si="10"/>
        <v>0</v>
      </c>
      <c r="AA13" s="9">
        <f t="shared" si="10"/>
        <v>0</v>
      </c>
      <c r="AB13" s="9">
        <f t="shared" si="10"/>
        <v>0</v>
      </c>
      <c r="AC13" s="9">
        <f t="shared" si="10"/>
        <v>0</v>
      </c>
      <c r="AD13" s="9">
        <f t="shared" si="10"/>
        <v>0</v>
      </c>
      <c r="AE13" s="9">
        <f t="shared" si="10"/>
        <v>0</v>
      </c>
    </row>
    <row r="14" spans="2:33" x14ac:dyDescent="0.25">
      <c r="B14" s="6">
        <v>0</v>
      </c>
      <c r="C14" s="6">
        <v>0</v>
      </c>
      <c r="D14" s="6">
        <v>0</v>
      </c>
      <c r="E14" s="6">
        <v>0</v>
      </c>
      <c r="F14" s="6">
        <v>0</v>
      </c>
      <c r="L14">
        <f t="shared" si="0"/>
        <v>0</v>
      </c>
      <c r="M14">
        <f t="shared" si="1"/>
        <v>0</v>
      </c>
      <c r="N14">
        <f t="shared" si="2"/>
        <v>0</v>
      </c>
      <c r="O14">
        <f t="shared" si="3"/>
        <v>0</v>
      </c>
      <c r="P14">
        <f t="shared" si="4"/>
        <v>0</v>
      </c>
      <c r="Q14">
        <f t="shared" si="5"/>
        <v>0</v>
      </c>
      <c r="R14">
        <f t="shared" si="6"/>
        <v>0</v>
      </c>
      <c r="S14">
        <f t="shared" si="7"/>
        <v>0</v>
      </c>
      <c r="T14">
        <f t="shared" si="8"/>
        <v>0</v>
      </c>
      <c r="U14">
        <f t="shared" si="9"/>
        <v>0</v>
      </c>
      <c r="V14" s="9">
        <f t="shared" si="11"/>
        <v>0</v>
      </c>
      <c r="W14" s="9">
        <f t="shared" si="10"/>
        <v>0</v>
      </c>
      <c r="X14" s="9">
        <f t="shared" si="10"/>
        <v>0</v>
      </c>
      <c r="Y14" s="9">
        <f t="shared" si="10"/>
        <v>0</v>
      </c>
      <c r="Z14" s="9">
        <f t="shared" si="10"/>
        <v>0</v>
      </c>
      <c r="AA14" s="9">
        <f t="shared" si="10"/>
        <v>0</v>
      </c>
      <c r="AB14" s="9">
        <f t="shared" si="10"/>
        <v>0</v>
      </c>
      <c r="AC14" s="9">
        <f t="shared" si="10"/>
        <v>0</v>
      </c>
      <c r="AD14" s="9">
        <f t="shared" si="10"/>
        <v>0</v>
      </c>
      <c r="AE14" s="9">
        <f t="shared" si="10"/>
        <v>0</v>
      </c>
    </row>
    <row r="15" spans="2:33" x14ac:dyDescent="0.25">
      <c r="B15" s="6">
        <v>0</v>
      </c>
      <c r="C15" s="6">
        <v>0</v>
      </c>
      <c r="D15" s="6">
        <v>0</v>
      </c>
      <c r="E15" s="6">
        <v>0</v>
      </c>
      <c r="F15" s="6">
        <v>0</v>
      </c>
      <c r="L15">
        <f t="shared" si="0"/>
        <v>0</v>
      </c>
      <c r="M15">
        <f t="shared" si="1"/>
        <v>0</v>
      </c>
      <c r="N15">
        <f t="shared" si="2"/>
        <v>0</v>
      </c>
      <c r="O15">
        <f t="shared" si="3"/>
        <v>0</v>
      </c>
      <c r="P15">
        <f t="shared" si="4"/>
        <v>0</v>
      </c>
      <c r="Q15">
        <f t="shared" si="5"/>
        <v>0</v>
      </c>
      <c r="R15">
        <f t="shared" si="6"/>
        <v>0</v>
      </c>
      <c r="S15">
        <f t="shared" si="7"/>
        <v>0</v>
      </c>
      <c r="T15">
        <f t="shared" si="8"/>
        <v>0</v>
      </c>
      <c r="U15">
        <f t="shared" si="9"/>
        <v>0</v>
      </c>
      <c r="V15" s="9">
        <f t="shared" si="11"/>
        <v>0</v>
      </c>
      <c r="W15" s="9">
        <f t="shared" si="10"/>
        <v>0</v>
      </c>
      <c r="X15" s="9">
        <f t="shared" si="10"/>
        <v>0</v>
      </c>
      <c r="Y15" s="9">
        <f t="shared" si="10"/>
        <v>0</v>
      </c>
      <c r="Z15" s="9">
        <f t="shared" si="10"/>
        <v>0</v>
      </c>
      <c r="AA15" s="9">
        <f t="shared" si="10"/>
        <v>0</v>
      </c>
      <c r="AB15" s="9">
        <f t="shared" si="10"/>
        <v>0</v>
      </c>
      <c r="AC15" s="9">
        <f t="shared" si="10"/>
        <v>0</v>
      </c>
      <c r="AD15" s="9">
        <f t="shared" si="10"/>
        <v>0</v>
      </c>
      <c r="AE15" s="9">
        <f t="shared" si="10"/>
        <v>0</v>
      </c>
    </row>
    <row r="16" spans="2:33" x14ac:dyDescent="0.25">
      <c r="B16" s="6">
        <v>0</v>
      </c>
      <c r="C16" s="6">
        <v>0</v>
      </c>
      <c r="D16" s="6">
        <v>0</v>
      </c>
      <c r="E16" s="6">
        <v>0</v>
      </c>
      <c r="F16" s="6">
        <v>0</v>
      </c>
      <c r="L16">
        <f t="shared" si="0"/>
        <v>0</v>
      </c>
      <c r="M16">
        <f t="shared" si="1"/>
        <v>0</v>
      </c>
      <c r="N16">
        <f t="shared" si="2"/>
        <v>0</v>
      </c>
      <c r="O16">
        <f t="shared" si="3"/>
        <v>0</v>
      </c>
      <c r="P16">
        <f t="shared" si="4"/>
        <v>0</v>
      </c>
      <c r="Q16">
        <f t="shared" si="5"/>
        <v>0</v>
      </c>
      <c r="R16">
        <f t="shared" si="6"/>
        <v>0</v>
      </c>
      <c r="S16">
        <f t="shared" si="7"/>
        <v>0</v>
      </c>
      <c r="T16">
        <f t="shared" si="8"/>
        <v>0</v>
      </c>
      <c r="U16">
        <f t="shared" si="9"/>
        <v>0</v>
      </c>
      <c r="V16" s="9">
        <f t="shared" si="11"/>
        <v>0</v>
      </c>
      <c r="W16" s="9">
        <f t="shared" si="10"/>
        <v>0</v>
      </c>
      <c r="X16" s="9">
        <f t="shared" si="10"/>
        <v>0</v>
      </c>
      <c r="Y16" s="9">
        <f t="shared" si="10"/>
        <v>0</v>
      </c>
      <c r="Z16" s="9">
        <f t="shared" si="10"/>
        <v>0</v>
      </c>
      <c r="AA16" s="9">
        <f t="shared" si="10"/>
        <v>0</v>
      </c>
      <c r="AB16" s="9">
        <f t="shared" si="10"/>
        <v>0</v>
      </c>
      <c r="AC16" s="9">
        <f t="shared" si="10"/>
        <v>0</v>
      </c>
      <c r="AD16" s="9">
        <f t="shared" si="10"/>
        <v>0</v>
      </c>
      <c r="AE16" s="9">
        <f t="shared" si="10"/>
        <v>0</v>
      </c>
    </row>
    <row r="17" spans="2:31" x14ac:dyDescent="0.25">
      <c r="B17" s="6">
        <v>0</v>
      </c>
      <c r="C17" s="6">
        <v>0</v>
      </c>
      <c r="D17" s="6">
        <v>0</v>
      </c>
      <c r="E17" s="6">
        <v>0</v>
      </c>
      <c r="F17" s="6">
        <v>0</v>
      </c>
      <c r="L17">
        <f t="shared" si="0"/>
        <v>0</v>
      </c>
      <c r="M17">
        <f t="shared" si="1"/>
        <v>0</v>
      </c>
      <c r="N17">
        <f t="shared" si="2"/>
        <v>0</v>
      </c>
      <c r="O17">
        <f t="shared" si="3"/>
        <v>0</v>
      </c>
      <c r="P17">
        <f t="shared" si="4"/>
        <v>0</v>
      </c>
      <c r="Q17">
        <f t="shared" si="5"/>
        <v>0</v>
      </c>
      <c r="R17">
        <f t="shared" si="6"/>
        <v>0</v>
      </c>
      <c r="S17">
        <f t="shared" si="7"/>
        <v>0</v>
      </c>
      <c r="T17">
        <f t="shared" si="8"/>
        <v>0</v>
      </c>
      <c r="U17">
        <f t="shared" si="9"/>
        <v>0</v>
      </c>
      <c r="V17" s="9">
        <f t="shared" si="11"/>
        <v>0</v>
      </c>
      <c r="W17" s="9">
        <f t="shared" si="11"/>
        <v>0</v>
      </c>
      <c r="X17" s="9">
        <f t="shared" si="11"/>
        <v>0</v>
      </c>
      <c r="Y17" s="9">
        <f t="shared" si="11"/>
        <v>0</v>
      </c>
      <c r="Z17" s="9">
        <f t="shared" si="11"/>
        <v>0</v>
      </c>
      <c r="AA17" s="9">
        <f t="shared" si="11"/>
        <v>0</v>
      </c>
      <c r="AB17" s="9">
        <f t="shared" si="11"/>
        <v>0</v>
      </c>
      <c r="AC17" s="9">
        <f t="shared" si="11"/>
        <v>0</v>
      </c>
      <c r="AD17" s="9">
        <f t="shared" si="11"/>
        <v>0</v>
      </c>
      <c r="AE17" s="9">
        <f t="shared" si="11"/>
        <v>0</v>
      </c>
    </row>
    <row r="18" spans="2:31" x14ac:dyDescent="0.25">
      <c r="B18" s="6">
        <v>0</v>
      </c>
      <c r="C18" s="6">
        <v>0</v>
      </c>
      <c r="D18" s="6">
        <v>0</v>
      </c>
      <c r="E18" s="6">
        <v>0</v>
      </c>
      <c r="F18" s="6">
        <v>0</v>
      </c>
      <c r="L18">
        <f t="shared" si="0"/>
        <v>0</v>
      </c>
      <c r="M18">
        <f t="shared" si="1"/>
        <v>0</v>
      </c>
      <c r="N18">
        <f t="shared" si="2"/>
        <v>0</v>
      </c>
      <c r="O18">
        <f t="shared" si="3"/>
        <v>0</v>
      </c>
      <c r="P18">
        <f t="shared" si="4"/>
        <v>0</v>
      </c>
      <c r="Q18">
        <f t="shared" si="5"/>
        <v>0</v>
      </c>
      <c r="R18">
        <f t="shared" si="6"/>
        <v>0</v>
      </c>
      <c r="S18">
        <f t="shared" si="7"/>
        <v>0</v>
      </c>
      <c r="T18">
        <f t="shared" si="8"/>
        <v>0</v>
      </c>
      <c r="U18">
        <f t="shared" si="9"/>
        <v>0</v>
      </c>
      <c r="V18" s="9">
        <f t="shared" si="11"/>
        <v>0</v>
      </c>
      <c r="W18" s="9">
        <f t="shared" si="11"/>
        <v>0</v>
      </c>
      <c r="X18" s="9">
        <f t="shared" si="11"/>
        <v>0</v>
      </c>
      <c r="Y18" s="9">
        <f t="shared" si="11"/>
        <v>0</v>
      </c>
      <c r="Z18" s="9">
        <f t="shared" si="11"/>
        <v>0</v>
      </c>
      <c r="AA18" s="9">
        <f t="shared" si="11"/>
        <v>0</v>
      </c>
      <c r="AB18" s="9">
        <f t="shared" si="11"/>
        <v>0</v>
      </c>
      <c r="AC18" s="9">
        <f t="shared" si="11"/>
        <v>0</v>
      </c>
      <c r="AD18" s="9">
        <f t="shared" si="11"/>
        <v>0</v>
      </c>
      <c r="AE18" s="9">
        <f t="shared" si="11"/>
        <v>0</v>
      </c>
    </row>
    <row r="19" spans="2:31" x14ac:dyDescent="0.25">
      <c r="B19" s="6">
        <v>0</v>
      </c>
      <c r="C19" s="6">
        <v>0</v>
      </c>
      <c r="D19" s="6">
        <v>0</v>
      </c>
      <c r="E19" s="6">
        <v>0</v>
      </c>
      <c r="F19" s="6">
        <v>0</v>
      </c>
      <c r="L19">
        <f t="shared" si="0"/>
        <v>0</v>
      </c>
      <c r="M19">
        <f t="shared" si="1"/>
        <v>0</v>
      </c>
      <c r="N19">
        <f t="shared" si="2"/>
        <v>0</v>
      </c>
      <c r="O19">
        <f t="shared" si="3"/>
        <v>0</v>
      </c>
      <c r="P19">
        <f t="shared" si="4"/>
        <v>0</v>
      </c>
      <c r="Q19">
        <f t="shared" si="5"/>
        <v>0</v>
      </c>
      <c r="R19">
        <f t="shared" si="6"/>
        <v>0</v>
      </c>
      <c r="S19">
        <f t="shared" si="7"/>
        <v>0</v>
      </c>
      <c r="T19">
        <f t="shared" si="8"/>
        <v>0</v>
      </c>
      <c r="U19">
        <f t="shared" si="9"/>
        <v>0</v>
      </c>
      <c r="V19" s="9">
        <f t="shared" si="11"/>
        <v>0</v>
      </c>
      <c r="W19" s="9">
        <f t="shared" si="11"/>
        <v>0</v>
      </c>
      <c r="X19" s="9">
        <f t="shared" si="11"/>
        <v>0</v>
      </c>
      <c r="Y19" s="9">
        <f t="shared" si="11"/>
        <v>0</v>
      </c>
      <c r="Z19" s="9">
        <f t="shared" si="11"/>
        <v>0</v>
      </c>
      <c r="AA19" s="9">
        <f t="shared" si="11"/>
        <v>0</v>
      </c>
      <c r="AB19" s="9">
        <f t="shared" si="11"/>
        <v>0</v>
      </c>
      <c r="AC19" s="9">
        <f t="shared" si="11"/>
        <v>0</v>
      </c>
      <c r="AD19" s="9">
        <f t="shared" si="11"/>
        <v>0</v>
      </c>
      <c r="AE19" s="9">
        <f t="shared" si="11"/>
        <v>0</v>
      </c>
    </row>
    <row r="20" spans="2:31" x14ac:dyDescent="0.25">
      <c r="B20" s="6">
        <v>0</v>
      </c>
      <c r="C20" s="6">
        <v>0</v>
      </c>
      <c r="D20" s="6">
        <v>0</v>
      </c>
      <c r="E20" s="6">
        <v>0</v>
      </c>
      <c r="F20" s="6">
        <v>0</v>
      </c>
      <c r="L20">
        <f t="shared" si="0"/>
        <v>0</v>
      </c>
      <c r="M20">
        <f t="shared" si="1"/>
        <v>0</v>
      </c>
      <c r="N20">
        <f t="shared" si="2"/>
        <v>0</v>
      </c>
      <c r="O20">
        <f t="shared" si="3"/>
        <v>0</v>
      </c>
      <c r="P20">
        <f t="shared" si="4"/>
        <v>0</v>
      </c>
      <c r="Q20">
        <f t="shared" si="5"/>
        <v>0</v>
      </c>
      <c r="R20">
        <f t="shared" si="6"/>
        <v>0</v>
      </c>
      <c r="S20">
        <f t="shared" si="7"/>
        <v>0</v>
      </c>
      <c r="T20">
        <f t="shared" si="8"/>
        <v>0</v>
      </c>
      <c r="U20">
        <f t="shared" si="9"/>
        <v>0</v>
      </c>
      <c r="V20" s="9">
        <f t="shared" si="11"/>
        <v>0</v>
      </c>
      <c r="W20" s="9">
        <f t="shared" si="11"/>
        <v>0</v>
      </c>
      <c r="X20" s="9">
        <f t="shared" si="11"/>
        <v>0</v>
      </c>
      <c r="Y20" s="9">
        <f t="shared" si="11"/>
        <v>0</v>
      </c>
      <c r="Z20" s="9">
        <f t="shared" si="11"/>
        <v>0</v>
      </c>
      <c r="AA20" s="9">
        <f t="shared" si="11"/>
        <v>0</v>
      </c>
      <c r="AB20" s="9">
        <f t="shared" si="11"/>
        <v>0</v>
      </c>
      <c r="AC20" s="9">
        <f t="shared" si="11"/>
        <v>0</v>
      </c>
      <c r="AD20" s="9">
        <f t="shared" si="11"/>
        <v>0</v>
      </c>
      <c r="AE20" s="9">
        <f t="shared" si="11"/>
        <v>0</v>
      </c>
    </row>
    <row r="21" spans="2:31" x14ac:dyDescent="0.25">
      <c r="B21" s="6">
        <v>0</v>
      </c>
      <c r="C21" s="6">
        <v>0</v>
      </c>
      <c r="D21" s="6">
        <v>0</v>
      </c>
      <c r="E21" s="6">
        <v>0</v>
      </c>
      <c r="F21" s="6">
        <v>0</v>
      </c>
      <c r="L21">
        <f t="shared" si="0"/>
        <v>0</v>
      </c>
      <c r="M21">
        <f t="shared" si="1"/>
        <v>0</v>
      </c>
      <c r="N21">
        <f t="shared" si="2"/>
        <v>0</v>
      </c>
      <c r="O21">
        <f t="shared" si="3"/>
        <v>0</v>
      </c>
      <c r="P21">
        <f t="shared" si="4"/>
        <v>0</v>
      </c>
      <c r="Q21">
        <f t="shared" si="5"/>
        <v>0</v>
      </c>
      <c r="R21">
        <f t="shared" si="6"/>
        <v>0</v>
      </c>
      <c r="S21">
        <f t="shared" si="7"/>
        <v>0</v>
      </c>
      <c r="T21">
        <f t="shared" si="8"/>
        <v>0</v>
      </c>
      <c r="U21">
        <f t="shared" si="9"/>
        <v>0</v>
      </c>
      <c r="V21" s="9">
        <f t="shared" si="11"/>
        <v>0</v>
      </c>
      <c r="W21" s="9">
        <f t="shared" si="11"/>
        <v>0</v>
      </c>
      <c r="X21" s="9">
        <f t="shared" si="11"/>
        <v>0</v>
      </c>
      <c r="Y21" s="9">
        <f t="shared" si="11"/>
        <v>0</v>
      </c>
      <c r="Z21" s="9">
        <f t="shared" si="11"/>
        <v>0</v>
      </c>
      <c r="AA21" s="9">
        <f t="shared" si="11"/>
        <v>0</v>
      </c>
      <c r="AB21" s="9">
        <f t="shared" si="11"/>
        <v>0</v>
      </c>
      <c r="AC21" s="9">
        <f t="shared" si="11"/>
        <v>0</v>
      </c>
      <c r="AD21" s="9">
        <f t="shared" si="11"/>
        <v>0</v>
      </c>
      <c r="AE21" s="9">
        <f t="shared" si="11"/>
        <v>0</v>
      </c>
    </row>
    <row r="22" spans="2:31" x14ac:dyDescent="0.25">
      <c r="B22" s="6">
        <v>0</v>
      </c>
      <c r="C22" s="6">
        <v>0</v>
      </c>
      <c r="D22" s="6">
        <v>0</v>
      </c>
      <c r="E22" s="6">
        <v>0</v>
      </c>
      <c r="F22" s="6">
        <v>0</v>
      </c>
      <c r="L22">
        <f t="shared" si="0"/>
        <v>0</v>
      </c>
      <c r="M22">
        <f t="shared" si="1"/>
        <v>0</v>
      </c>
      <c r="N22">
        <f t="shared" si="2"/>
        <v>0</v>
      </c>
      <c r="O22">
        <f t="shared" si="3"/>
        <v>0</v>
      </c>
      <c r="P22">
        <f t="shared" si="4"/>
        <v>0</v>
      </c>
      <c r="Q22">
        <f t="shared" si="5"/>
        <v>0</v>
      </c>
      <c r="R22">
        <f t="shared" si="6"/>
        <v>0</v>
      </c>
      <c r="S22">
        <f t="shared" si="7"/>
        <v>0</v>
      </c>
      <c r="T22">
        <f t="shared" si="8"/>
        <v>0</v>
      </c>
      <c r="U22">
        <f t="shared" si="9"/>
        <v>0</v>
      </c>
      <c r="V22" s="9">
        <f t="shared" si="11"/>
        <v>0</v>
      </c>
      <c r="W22" s="9">
        <f t="shared" si="11"/>
        <v>0</v>
      </c>
      <c r="X22" s="9">
        <f t="shared" si="11"/>
        <v>0</v>
      </c>
      <c r="Y22" s="9">
        <f t="shared" si="11"/>
        <v>0</v>
      </c>
      <c r="Z22" s="9">
        <f t="shared" si="11"/>
        <v>0</v>
      </c>
      <c r="AA22" s="9">
        <f t="shared" si="11"/>
        <v>0</v>
      </c>
      <c r="AB22" s="9">
        <f t="shared" si="11"/>
        <v>0</v>
      </c>
      <c r="AC22" s="9">
        <f t="shared" si="11"/>
        <v>0</v>
      </c>
      <c r="AD22" s="9">
        <f t="shared" si="11"/>
        <v>0</v>
      </c>
      <c r="AE22" s="9">
        <f t="shared" si="11"/>
        <v>0</v>
      </c>
    </row>
    <row r="23" spans="2:31" x14ac:dyDescent="0.25">
      <c r="B23" s="6">
        <v>0</v>
      </c>
      <c r="C23" s="6">
        <v>0</v>
      </c>
      <c r="D23" s="6">
        <v>0</v>
      </c>
      <c r="E23" s="6">
        <v>0</v>
      </c>
      <c r="F23" s="6">
        <v>0</v>
      </c>
      <c r="L23">
        <f t="shared" si="0"/>
        <v>0</v>
      </c>
      <c r="M23">
        <f t="shared" si="1"/>
        <v>0</v>
      </c>
      <c r="N23">
        <f t="shared" si="2"/>
        <v>0</v>
      </c>
      <c r="O23">
        <f t="shared" si="3"/>
        <v>0</v>
      </c>
      <c r="P23">
        <f t="shared" si="4"/>
        <v>0</v>
      </c>
      <c r="Q23">
        <f t="shared" si="5"/>
        <v>0</v>
      </c>
      <c r="R23">
        <f t="shared" si="6"/>
        <v>0</v>
      </c>
      <c r="S23">
        <f t="shared" si="7"/>
        <v>0</v>
      </c>
      <c r="T23">
        <f t="shared" si="8"/>
        <v>0</v>
      </c>
      <c r="U23">
        <f t="shared" si="9"/>
        <v>0</v>
      </c>
      <c r="V23" s="9">
        <f t="shared" si="11"/>
        <v>0</v>
      </c>
      <c r="W23" s="9">
        <f t="shared" si="11"/>
        <v>0</v>
      </c>
      <c r="X23" s="9">
        <f t="shared" si="11"/>
        <v>0</v>
      </c>
      <c r="Y23" s="9">
        <f t="shared" si="11"/>
        <v>0</v>
      </c>
      <c r="Z23" s="9">
        <f t="shared" si="11"/>
        <v>0</v>
      </c>
      <c r="AA23" s="9">
        <f t="shared" si="11"/>
        <v>0</v>
      </c>
      <c r="AB23" s="9">
        <f t="shared" si="11"/>
        <v>0</v>
      </c>
      <c r="AC23" s="9">
        <f t="shared" si="11"/>
        <v>0</v>
      </c>
      <c r="AD23" s="9">
        <f t="shared" si="11"/>
        <v>0</v>
      </c>
      <c r="AE23" s="9">
        <f t="shared" si="11"/>
        <v>0</v>
      </c>
    </row>
    <row r="24" spans="2:31" x14ac:dyDescent="0.25">
      <c r="B24" s="6">
        <v>0</v>
      </c>
      <c r="C24" s="6">
        <v>0</v>
      </c>
      <c r="D24" s="6">
        <v>0</v>
      </c>
      <c r="E24" s="6">
        <v>0</v>
      </c>
      <c r="F24" s="6">
        <v>0</v>
      </c>
      <c r="L24">
        <f t="shared" si="0"/>
        <v>0</v>
      </c>
      <c r="M24">
        <f t="shared" si="1"/>
        <v>0</v>
      </c>
      <c r="N24">
        <f t="shared" si="2"/>
        <v>0</v>
      </c>
      <c r="O24">
        <f t="shared" si="3"/>
        <v>0</v>
      </c>
      <c r="P24">
        <f t="shared" si="4"/>
        <v>0</v>
      </c>
      <c r="Q24">
        <f t="shared" si="5"/>
        <v>0</v>
      </c>
      <c r="R24">
        <f t="shared" si="6"/>
        <v>0</v>
      </c>
      <c r="S24">
        <f t="shared" si="7"/>
        <v>0</v>
      </c>
      <c r="T24">
        <f t="shared" si="8"/>
        <v>0</v>
      </c>
      <c r="U24">
        <f t="shared" si="9"/>
        <v>0</v>
      </c>
      <c r="V24" s="9">
        <f t="shared" si="11"/>
        <v>0</v>
      </c>
      <c r="W24" s="9">
        <f t="shared" si="11"/>
        <v>0</v>
      </c>
      <c r="X24" s="9">
        <f t="shared" si="11"/>
        <v>0</v>
      </c>
      <c r="Y24" s="9">
        <f t="shared" si="11"/>
        <v>0</v>
      </c>
      <c r="Z24" s="9">
        <f t="shared" si="11"/>
        <v>0</v>
      </c>
      <c r="AA24" s="9">
        <f t="shared" si="11"/>
        <v>0</v>
      </c>
      <c r="AB24" s="9">
        <f t="shared" si="11"/>
        <v>0</v>
      </c>
      <c r="AC24" s="9">
        <f t="shared" si="11"/>
        <v>0</v>
      </c>
      <c r="AD24" s="9">
        <f t="shared" si="11"/>
        <v>0</v>
      </c>
      <c r="AE24" s="9">
        <f t="shared" si="11"/>
        <v>0</v>
      </c>
    </row>
    <row r="25" spans="2:31" x14ac:dyDescent="0.25">
      <c r="B25" s="6">
        <v>0</v>
      </c>
      <c r="C25" s="6">
        <v>0</v>
      </c>
      <c r="D25" s="6">
        <v>0</v>
      </c>
      <c r="E25" s="6">
        <v>0</v>
      </c>
      <c r="F25" s="6">
        <v>0</v>
      </c>
      <c r="L25">
        <f t="shared" si="0"/>
        <v>0</v>
      </c>
      <c r="M25">
        <f t="shared" si="1"/>
        <v>0</v>
      </c>
      <c r="N25">
        <f t="shared" si="2"/>
        <v>0</v>
      </c>
      <c r="O25">
        <f t="shared" si="3"/>
        <v>0</v>
      </c>
      <c r="P25">
        <f t="shared" si="4"/>
        <v>0</v>
      </c>
      <c r="Q25">
        <f t="shared" si="5"/>
        <v>0</v>
      </c>
      <c r="R25">
        <f t="shared" si="6"/>
        <v>0</v>
      </c>
      <c r="S25">
        <f t="shared" si="7"/>
        <v>0</v>
      </c>
      <c r="T25">
        <f t="shared" si="8"/>
        <v>0</v>
      </c>
      <c r="U25">
        <f t="shared" si="9"/>
        <v>0</v>
      </c>
      <c r="V25" s="9">
        <f t="shared" si="11"/>
        <v>0</v>
      </c>
      <c r="W25" s="9">
        <f t="shared" si="11"/>
        <v>0</v>
      </c>
      <c r="X25" s="9">
        <f t="shared" si="11"/>
        <v>0</v>
      </c>
      <c r="Y25" s="9">
        <f t="shared" si="11"/>
        <v>0</v>
      </c>
      <c r="Z25" s="9">
        <f t="shared" si="11"/>
        <v>0</v>
      </c>
      <c r="AA25" s="9">
        <f t="shared" si="11"/>
        <v>0</v>
      </c>
      <c r="AB25" s="9">
        <f t="shared" si="11"/>
        <v>0</v>
      </c>
      <c r="AC25" s="9">
        <f t="shared" si="11"/>
        <v>0</v>
      </c>
      <c r="AD25" s="9">
        <f t="shared" si="11"/>
        <v>0</v>
      </c>
      <c r="AE25" s="9">
        <f t="shared" si="11"/>
        <v>0</v>
      </c>
    </row>
    <row r="26" spans="2:31" x14ac:dyDescent="0.25">
      <c r="B26" s="6">
        <v>0</v>
      </c>
      <c r="C26" s="6">
        <v>0</v>
      </c>
      <c r="D26" s="6">
        <v>0</v>
      </c>
      <c r="E26" s="6">
        <v>0</v>
      </c>
      <c r="F26" s="6">
        <v>0</v>
      </c>
      <c r="L26">
        <f t="shared" si="0"/>
        <v>0</v>
      </c>
      <c r="M26">
        <f t="shared" si="1"/>
        <v>0</v>
      </c>
      <c r="N26">
        <f t="shared" si="2"/>
        <v>0</v>
      </c>
      <c r="O26">
        <f t="shared" si="3"/>
        <v>0</v>
      </c>
      <c r="P26">
        <f t="shared" si="4"/>
        <v>0</v>
      </c>
      <c r="Q26">
        <f t="shared" si="5"/>
        <v>0</v>
      </c>
      <c r="R26">
        <f t="shared" si="6"/>
        <v>0</v>
      </c>
      <c r="S26">
        <f t="shared" si="7"/>
        <v>0</v>
      </c>
      <c r="T26">
        <f t="shared" si="8"/>
        <v>0</v>
      </c>
      <c r="U26">
        <f t="shared" si="9"/>
        <v>0</v>
      </c>
      <c r="V26" s="9">
        <f t="shared" si="11"/>
        <v>0</v>
      </c>
      <c r="W26" s="9">
        <f t="shared" si="11"/>
        <v>0</v>
      </c>
      <c r="X26" s="9">
        <f t="shared" si="11"/>
        <v>0</v>
      </c>
      <c r="Y26" s="9">
        <f t="shared" si="11"/>
        <v>0</v>
      </c>
      <c r="Z26" s="9">
        <f t="shared" si="11"/>
        <v>0</v>
      </c>
      <c r="AA26" s="9">
        <f t="shared" si="11"/>
        <v>0</v>
      </c>
      <c r="AB26" s="9">
        <f t="shared" si="11"/>
        <v>0</v>
      </c>
      <c r="AC26" s="9">
        <f t="shared" si="11"/>
        <v>0</v>
      </c>
      <c r="AD26" s="9">
        <f t="shared" si="11"/>
        <v>0</v>
      </c>
      <c r="AE26" s="9">
        <f t="shared" si="11"/>
        <v>0</v>
      </c>
    </row>
    <row r="27" spans="2:31" x14ac:dyDescent="0.25">
      <c r="B27" s="6">
        <v>0</v>
      </c>
      <c r="C27" s="6">
        <v>0</v>
      </c>
      <c r="D27" s="6">
        <v>0</v>
      </c>
      <c r="E27" s="6">
        <v>0</v>
      </c>
      <c r="F27" s="6">
        <v>0</v>
      </c>
      <c r="L27">
        <f t="shared" si="0"/>
        <v>0</v>
      </c>
      <c r="M27">
        <f t="shared" si="1"/>
        <v>0</v>
      </c>
      <c r="N27">
        <f t="shared" si="2"/>
        <v>0</v>
      </c>
      <c r="O27">
        <f t="shared" si="3"/>
        <v>0</v>
      </c>
      <c r="P27">
        <f t="shared" si="4"/>
        <v>0</v>
      </c>
      <c r="Q27">
        <f t="shared" si="5"/>
        <v>0</v>
      </c>
      <c r="R27">
        <f t="shared" si="6"/>
        <v>0</v>
      </c>
      <c r="S27">
        <f t="shared" si="7"/>
        <v>0</v>
      </c>
      <c r="T27">
        <f t="shared" si="8"/>
        <v>0</v>
      </c>
      <c r="U27">
        <f t="shared" si="9"/>
        <v>0</v>
      </c>
      <c r="V27" s="9">
        <f t="shared" si="11"/>
        <v>0</v>
      </c>
      <c r="W27" s="9">
        <f t="shared" si="11"/>
        <v>0</v>
      </c>
      <c r="X27" s="9">
        <f t="shared" si="11"/>
        <v>0</v>
      </c>
      <c r="Y27" s="9">
        <f t="shared" si="11"/>
        <v>0</v>
      </c>
      <c r="Z27" s="9">
        <f t="shared" si="11"/>
        <v>0</v>
      </c>
      <c r="AA27" s="9">
        <f t="shared" si="11"/>
        <v>0</v>
      </c>
      <c r="AB27" s="9">
        <f t="shared" si="11"/>
        <v>0</v>
      </c>
      <c r="AC27" s="9">
        <f t="shared" si="11"/>
        <v>0</v>
      </c>
      <c r="AD27" s="9">
        <f t="shared" si="11"/>
        <v>0</v>
      </c>
      <c r="AE27" s="9">
        <f t="shared" si="11"/>
        <v>0</v>
      </c>
    </row>
    <row r="28" spans="2:31" x14ac:dyDescent="0.25">
      <c r="B28" s="6">
        <v>0</v>
      </c>
      <c r="C28" s="6">
        <v>0</v>
      </c>
      <c r="D28" s="6">
        <v>0</v>
      </c>
      <c r="E28" s="6">
        <v>0</v>
      </c>
      <c r="F28" s="6">
        <v>0</v>
      </c>
      <c r="L28">
        <f t="shared" si="0"/>
        <v>0</v>
      </c>
      <c r="M28">
        <f t="shared" si="1"/>
        <v>0</v>
      </c>
      <c r="N28">
        <f t="shared" si="2"/>
        <v>0</v>
      </c>
      <c r="O28">
        <f t="shared" si="3"/>
        <v>0</v>
      </c>
      <c r="P28">
        <f t="shared" si="4"/>
        <v>0</v>
      </c>
      <c r="Q28">
        <f t="shared" si="5"/>
        <v>0</v>
      </c>
      <c r="R28">
        <f t="shared" si="6"/>
        <v>0</v>
      </c>
      <c r="S28">
        <f t="shared" si="7"/>
        <v>0</v>
      </c>
      <c r="T28">
        <f t="shared" si="8"/>
        <v>0</v>
      </c>
      <c r="U28">
        <f t="shared" si="9"/>
        <v>0</v>
      </c>
      <c r="V28" s="9">
        <f t="shared" si="11"/>
        <v>0</v>
      </c>
      <c r="W28" s="9">
        <f t="shared" si="11"/>
        <v>0</v>
      </c>
      <c r="X28" s="9">
        <f t="shared" si="11"/>
        <v>0</v>
      </c>
      <c r="Y28" s="9">
        <f t="shared" si="11"/>
        <v>0</v>
      </c>
      <c r="Z28" s="9">
        <f t="shared" si="11"/>
        <v>0</v>
      </c>
      <c r="AA28" s="9">
        <f t="shared" si="11"/>
        <v>0</v>
      </c>
      <c r="AB28" s="9">
        <f t="shared" si="11"/>
        <v>0</v>
      </c>
      <c r="AC28" s="9">
        <f t="shared" si="11"/>
        <v>0</v>
      </c>
      <c r="AD28" s="9">
        <f t="shared" si="11"/>
        <v>0</v>
      </c>
      <c r="AE28" s="9">
        <f t="shared" si="11"/>
        <v>0</v>
      </c>
    </row>
    <row r="29" spans="2:31" x14ac:dyDescent="0.25">
      <c r="B29" s="6">
        <v>0</v>
      </c>
      <c r="C29" s="6">
        <v>0</v>
      </c>
      <c r="D29" s="6">
        <v>0</v>
      </c>
      <c r="E29" s="6">
        <v>0</v>
      </c>
      <c r="F29" s="6">
        <v>0</v>
      </c>
      <c r="L29">
        <f t="shared" si="0"/>
        <v>0</v>
      </c>
      <c r="M29">
        <f t="shared" si="1"/>
        <v>0</v>
      </c>
      <c r="N29">
        <f t="shared" si="2"/>
        <v>0</v>
      </c>
      <c r="O29">
        <f t="shared" si="3"/>
        <v>0</v>
      </c>
      <c r="P29">
        <f t="shared" si="4"/>
        <v>0</v>
      </c>
      <c r="Q29">
        <f t="shared" si="5"/>
        <v>0</v>
      </c>
      <c r="R29">
        <f t="shared" si="6"/>
        <v>0</v>
      </c>
      <c r="S29">
        <f t="shared" si="7"/>
        <v>0</v>
      </c>
      <c r="T29">
        <f t="shared" si="8"/>
        <v>0</v>
      </c>
      <c r="U29">
        <f t="shared" si="9"/>
        <v>0</v>
      </c>
      <c r="V29" s="9">
        <f t="shared" si="11"/>
        <v>0</v>
      </c>
      <c r="W29" s="9">
        <f t="shared" si="11"/>
        <v>0</v>
      </c>
      <c r="X29" s="9">
        <f t="shared" si="11"/>
        <v>0</v>
      </c>
      <c r="Y29" s="9">
        <f t="shared" si="11"/>
        <v>0</v>
      </c>
      <c r="Z29" s="9">
        <f t="shared" si="11"/>
        <v>0</v>
      </c>
      <c r="AA29" s="9">
        <f t="shared" si="11"/>
        <v>0</v>
      </c>
      <c r="AB29" s="9">
        <f t="shared" si="11"/>
        <v>0</v>
      </c>
      <c r="AC29" s="9">
        <f t="shared" si="11"/>
        <v>0</v>
      </c>
      <c r="AD29" s="9">
        <f t="shared" si="11"/>
        <v>0</v>
      </c>
      <c r="AE29" s="9">
        <f t="shared" si="11"/>
        <v>0</v>
      </c>
    </row>
    <row r="30" spans="2:31" x14ac:dyDescent="0.25">
      <c r="B30" s="6">
        <v>0</v>
      </c>
      <c r="C30" s="6">
        <v>0</v>
      </c>
      <c r="D30" s="6">
        <v>0</v>
      </c>
      <c r="E30" s="6">
        <v>0</v>
      </c>
      <c r="F30" s="6">
        <v>0</v>
      </c>
      <c r="L30">
        <f t="shared" si="0"/>
        <v>0</v>
      </c>
      <c r="M30">
        <f t="shared" si="1"/>
        <v>0</v>
      </c>
      <c r="N30">
        <f t="shared" si="2"/>
        <v>0</v>
      </c>
      <c r="O30">
        <f t="shared" si="3"/>
        <v>0</v>
      </c>
      <c r="P30">
        <f t="shared" si="4"/>
        <v>0</v>
      </c>
      <c r="Q30">
        <f t="shared" si="5"/>
        <v>0</v>
      </c>
      <c r="R30">
        <f t="shared" si="6"/>
        <v>0</v>
      </c>
      <c r="S30">
        <f t="shared" si="7"/>
        <v>0</v>
      </c>
      <c r="T30">
        <f t="shared" si="8"/>
        <v>0</v>
      </c>
      <c r="U30">
        <f t="shared" si="9"/>
        <v>0</v>
      </c>
      <c r="V30" s="9">
        <f t="shared" si="11"/>
        <v>0</v>
      </c>
      <c r="W30" s="9">
        <f t="shared" si="11"/>
        <v>0</v>
      </c>
      <c r="X30" s="9">
        <f t="shared" si="11"/>
        <v>0</v>
      </c>
      <c r="Y30" s="9">
        <f t="shared" si="11"/>
        <v>0</v>
      </c>
      <c r="Z30" s="9">
        <f t="shared" si="11"/>
        <v>0</v>
      </c>
      <c r="AA30" s="9">
        <f t="shared" si="11"/>
        <v>0</v>
      </c>
      <c r="AB30" s="9">
        <f t="shared" si="11"/>
        <v>0</v>
      </c>
      <c r="AC30" s="9">
        <f t="shared" si="11"/>
        <v>0</v>
      </c>
      <c r="AD30" s="9">
        <f t="shared" si="11"/>
        <v>0</v>
      </c>
      <c r="AE30" s="9">
        <f t="shared" si="11"/>
        <v>0</v>
      </c>
    </row>
    <row r="31" spans="2:31" x14ac:dyDescent="0.25">
      <c r="B31" s="6">
        <v>0</v>
      </c>
      <c r="C31" s="6">
        <v>0</v>
      </c>
      <c r="D31" s="6">
        <v>0</v>
      </c>
      <c r="E31" s="6">
        <v>0</v>
      </c>
      <c r="F31" s="6">
        <v>0</v>
      </c>
      <c r="L31">
        <f t="shared" si="0"/>
        <v>0</v>
      </c>
      <c r="M31">
        <f t="shared" si="1"/>
        <v>0</v>
      </c>
      <c r="N31">
        <f t="shared" si="2"/>
        <v>0</v>
      </c>
      <c r="O31">
        <f t="shared" si="3"/>
        <v>0</v>
      </c>
      <c r="P31">
        <f t="shared" si="4"/>
        <v>0</v>
      </c>
      <c r="Q31">
        <f t="shared" si="5"/>
        <v>0</v>
      </c>
      <c r="R31">
        <f t="shared" si="6"/>
        <v>0</v>
      </c>
      <c r="S31">
        <f t="shared" si="7"/>
        <v>0</v>
      </c>
      <c r="T31">
        <f t="shared" si="8"/>
        <v>0</v>
      </c>
      <c r="U31">
        <f t="shared" si="9"/>
        <v>0</v>
      </c>
      <c r="V31" s="9">
        <f t="shared" si="11"/>
        <v>0</v>
      </c>
      <c r="W31" s="9">
        <f t="shared" si="11"/>
        <v>0</v>
      </c>
      <c r="X31" s="9">
        <f t="shared" si="11"/>
        <v>0</v>
      </c>
      <c r="Y31" s="9">
        <f t="shared" si="11"/>
        <v>0</v>
      </c>
      <c r="Z31" s="9">
        <f t="shared" si="11"/>
        <v>0</v>
      </c>
      <c r="AA31" s="9">
        <f t="shared" si="11"/>
        <v>0</v>
      </c>
      <c r="AB31" s="9">
        <f t="shared" si="11"/>
        <v>0</v>
      </c>
      <c r="AC31" s="9">
        <f t="shared" si="11"/>
        <v>0</v>
      </c>
      <c r="AD31" s="9">
        <f t="shared" si="11"/>
        <v>0</v>
      </c>
      <c r="AE31" s="9">
        <f t="shared" si="11"/>
        <v>0</v>
      </c>
    </row>
    <row r="32" spans="2:31" x14ac:dyDescent="0.25">
      <c r="B32" s="6">
        <v>0</v>
      </c>
      <c r="C32" s="6">
        <v>0</v>
      </c>
      <c r="D32" s="6">
        <v>0</v>
      </c>
      <c r="E32" s="6">
        <v>0</v>
      </c>
      <c r="F32" s="6">
        <v>0</v>
      </c>
      <c r="L32">
        <f t="shared" si="0"/>
        <v>0</v>
      </c>
      <c r="M32">
        <f t="shared" si="1"/>
        <v>0</v>
      </c>
      <c r="N32">
        <f t="shared" si="2"/>
        <v>0</v>
      </c>
      <c r="O32">
        <f t="shared" si="3"/>
        <v>0</v>
      </c>
      <c r="P32">
        <f t="shared" si="4"/>
        <v>0</v>
      </c>
      <c r="Q32">
        <f t="shared" si="5"/>
        <v>0</v>
      </c>
      <c r="R32">
        <f t="shared" si="6"/>
        <v>0</v>
      </c>
      <c r="S32">
        <f t="shared" si="7"/>
        <v>0</v>
      </c>
      <c r="T32">
        <f t="shared" si="8"/>
        <v>0</v>
      </c>
      <c r="U32">
        <f t="shared" si="9"/>
        <v>0</v>
      </c>
      <c r="V32" s="9">
        <f t="shared" si="11"/>
        <v>0</v>
      </c>
      <c r="W32" s="9">
        <f t="shared" si="11"/>
        <v>0</v>
      </c>
      <c r="X32" s="9">
        <f t="shared" si="11"/>
        <v>0</v>
      </c>
      <c r="Y32" s="9">
        <f t="shared" si="11"/>
        <v>0</v>
      </c>
      <c r="Z32" s="9">
        <f t="shared" si="11"/>
        <v>0</v>
      </c>
      <c r="AA32" s="9">
        <f t="shared" si="11"/>
        <v>0</v>
      </c>
      <c r="AB32" s="9">
        <f t="shared" si="11"/>
        <v>0</v>
      </c>
      <c r="AC32" s="9">
        <f t="shared" si="11"/>
        <v>0</v>
      </c>
      <c r="AD32" s="9">
        <f t="shared" si="11"/>
        <v>0</v>
      </c>
      <c r="AE32" s="9">
        <f t="shared" si="11"/>
        <v>0</v>
      </c>
    </row>
    <row r="33" spans="2:31" x14ac:dyDescent="0.25">
      <c r="B33" s="6">
        <v>0</v>
      </c>
      <c r="C33" s="6">
        <v>0</v>
      </c>
      <c r="D33" s="6">
        <v>0</v>
      </c>
      <c r="E33" s="6">
        <v>0</v>
      </c>
      <c r="F33" s="6">
        <v>0</v>
      </c>
      <c r="L33">
        <f t="shared" si="0"/>
        <v>0</v>
      </c>
      <c r="M33">
        <f t="shared" si="1"/>
        <v>0</v>
      </c>
      <c r="N33">
        <f t="shared" si="2"/>
        <v>0</v>
      </c>
      <c r="O33">
        <f t="shared" si="3"/>
        <v>0</v>
      </c>
      <c r="P33">
        <f t="shared" si="4"/>
        <v>0</v>
      </c>
      <c r="Q33">
        <f t="shared" si="5"/>
        <v>0</v>
      </c>
      <c r="R33">
        <f t="shared" si="6"/>
        <v>0</v>
      </c>
      <c r="S33">
        <f t="shared" si="7"/>
        <v>0</v>
      </c>
      <c r="T33">
        <f t="shared" si="8"/>
        <v>0</v>
      </c>
      <c r="U33">
        <f t="shared" si="9"/>
        <v>0</v>
      </c>
      <c r="V33" s="9">
        <f t="shared" si="11"/>
        <v>0</v>
      </c>
      <c r="W33" s="9">
        <f t="shared" si="11"/>
        <v>0</v>
      </c>
      <c r="X33" s="9">
        <f t="shared" si="11"/>
        <v>0</v>
      </c>
      <c r="Y33" s="9">
        <f t="shared" si="11"/>
        <v>0</v>
      </c>
      <c r="Z33" s="9">
        <f t="shared" si="11"/>
        <v>0</v>
      </c>
      <c r="AA33" s="9">
        <f t="shared" si="11"/>
        <v>0</v>
      </c>
      <c r="AB33" s="9">
        <f t="shared" si="11"/>
        <v>0</v>
      </c>
      <c r="AC33" s="9">
        <f t="shared" si="11"/>
        <v>0</v>
      </c>
      <c r="AD33" s="9">
        <f t="shared" si="11"/>
        <v>0</v>
      </c>
      <c r="AE33" s="9">
        <f t="shared" si="11"/>
        <v>0</v>
      </c>
    </row>
    <row r="34" spans="2:31" x14ac:dyDescent="0.25">
      <c r="B34" s="6">
        <v>0</v>
      </c>
      <c r="C34" s="6">
        <v>0</v>
      </c>
      <c r="D34" s="6">
        <v>0</v>
      </c>
      <c r="E34" s="6">
        <v>0</v>
      </c>
      <c r="F34" s="6">
        <v>0</v>
      </c>
      <c r="L34">
        <f t="shared" si="0"/>
        <v>0</v>
      </c>
      <c r="M34">
        <f t="shared" si="1"/>
        <v>0</v>
      </c>
      <c r="N34">
        <f t="shared" si="2"/>
        <v>0</v>
      </c>
      <c r="O34">
        <f t="shared" si="3"/>
        <v>0</v>
      </c>
      <c r="P34">
        <f t="shared" si="4"/>
        <v>0</v>
      </c>
      <c r="Q34">
        <f t="shared" si="5"/>
        <v>0</v>
      </c>
      <c r="R34">
        <f t="shared" si="6"/>
        <v>0</v>
      </c>
      <c r="S34">
        <f t="shared" si="7"/>
        <v>0</v>
      </c>
      <c r="T34">
        <f t="shared" si="8"/>
        <v>0</v>
      </c>
      <c r="U34">
        <f t="shared" si="9"/>
        <v>0</v>
      </c>
      <c r="V34" s="9">
        <f t="shared" si="11"/>
        <v>0</v>
      </c>
      <c r="W34" s="9">
        <f t="shared" si="11"/>
        <v>0</v>
      </c>
      <c r="X34" s="9">
        <f t="shared" si="11"/>
        <v>0</v>
      </c>
      <c r="Y34" s="9">
        <f t="shared" si="11"/>
        <v>0</v>
      </c>
      <c r="Z34" s="9">
        <f t="shared" si="11"/>
        <v>0</v>
      </c>
      <c r="AA34" s="9">
        <f t="shared" si="11"/>
        <v>0</v>
      </c>
      <c r="AB34" s="9">
        <f t="shared" si="11"/>
        <v>0</v>
      </c>
      <c r="AC34" s="9">
        <f t="shared" si="11"/>
        <v>0</v>
      </c>
      <c r="AD34" s="9">
        <f t="shared" si="11"/>
        <v>0</v>
      </c>
      <c r="AE34" s="9">
        <f t="shared" si="11"/>
        <v>0</v>
      </c>
    </row>
    <row r="35" spans="2:31" x14ac:dyDescent="0.25">
      <c r="B35" s="6">
        <v>0</v>
      </c>
      <c r="C35" s="6">
        <v>0</v>
      </c>
      <c r="D35" s="6">
        <v>0</v>
      </c>
      <c r="E35" s="6">
        <v>0</v>
      </c>
      <c r="F35" s="6">
        <v>0</v>
      </c>
      <c r="L35">
        <f t="shared" si="0"/>
        <v>0</v>
      </c>
      <c r="M35">
        <f t="shared" si="1"/>
        <v>0</v>
      </c>
      <c r="N35">
        <f t="shared" si="2"/>
        <v>0</v>
      </c>
      <c r="O35">
        <f t="shared" si="3"/>
        <v>0</v>
      </c>
      <c r="P35">
        <f t="shared" si="4"/>
        <v>0</v>
      </c>
      <c r="Q35">
        <f t="shared" si="5"/>
        <v>0</v>
      </c>
      <c r="R35">
        <f t="shared" si="6"/>
        <v>0</v>
      </c>
      <c r="S35">
        <f t="shared" si="7"/>
        <v>0</v>
      </c>
      <c r="T35">
        <f t="shared" si="8"/>
        <v>0</v>
      </c>
      <c r="U35">
        <f t="shared" si="9"/>
        <v>0</v>
      </c>
      <c r="V35" s="9">
        <f t="shared" si="11"/>
        <v>0</v>
      </c>
      <c r="W35" s="9">
        <f t="shared" si="11"/>
        <v>0</v>
      </c>
      <c r="X35" s="9">
        <f t="shared" si="11"/>
        <v>0</v>
      </c>
      <c r="Y35" s="9">
        <f t="shared" si="11"/>
        <v>0</v>
      </c>
      <c r="Z35" s="9">
        <f t="shared" si="11"/>
        <v>0</v>
      </c>
      <c r="AA35" s="9">
        <f t="shared" si="11"/>
        <v>0</v>
      </c>
      <c r="AB35" s="9">
        <f t="shared" si="11"/>
        <v>0</v>
      </c>
      <c r="AC35" s="9">
        <f t="shared" si="11"/>
        <v>0</v>
      </c>
      <c r="AD35" s="9">
        <f t="shared" si="11"/>
        <v>0</v>
      </c>
      <c r="AE35" s="9">
        <f t="shared" si="11"/>
        <v>0</v>
      </c>
    </row>
    <row r="36" spans="2:31" x14ac:dyDescent="0.25">
      <c r="B36" s="6">
        <v>0</v>
      </c>
      <c r="C36" s="6">
        <v>0</v>
      </c>
      <c r="D36" s="6">
        <v>0</v>
      </c>
      <c r="E36" s="6">
        <v>0</v>
      </c>
      <c r="F36" s="6">
        <v>0</v>
      </c>
      <c r="L36">
        <f t="shared" si="0"/>
        <v>0</v>
      </c>
      <c r="M36">
        <f t="shared" si="1"/>
        <v>0</v>
      </c>
      <c r="N36">
        <f t="shared" si="2"/>
        <v>0</v>
      </c>
      <c r="O36">
        <f t="shared" si="3"/>
        <v>0</v>
      </c>
      <c r="P36">
        <f t="shared" si="4"/>
        <v>0</v>
      </c>
      <c r="Q36">
        <f t="shared" si="5"/>
        <v>0</v>
      </c>
      <c r="R36">
        <f t="shared" si="6"/>
        <v>0</v>
      </c>
      <c r="S36">
        <f t="shared" si="7"/>
        <v>0</v>
      </c>
      <c r="T36">
        <f t="shared" si="8"/>
        <v>0</v>
      </c>
      <c r="U36">
        <f t="shared" si="9"/>
        <v>0</v>
      </c>
      <c r="V36" s="9">
        <f t="shared" si="11"/>
        <v>0</v>
      </c>
      <c r="W36" s="9">
        <f t="shared" si="11"/>
        <v>0</v>
      </c>
      <c r="X36" s="9">
        <f t="shared" si="11"/>
        <v>0</v>
      </c>
      <c r="Y36" s="9">
        <f t="shared" si="11"/>
        <v>0</v>
      </c>
      <c r="Z36" s="9">
        <f t="shared" si="11"/>
        <v>0</v>
      </c>
      <c r="AA36" s="9">
        <f t="shared" si="11"/>
        <v>0</v>
      </c>
      <c r="AB36" s="9">
        <f t="shared" si="11"/>
        <v>0</v>
      </c>
      <c r="AC36" s="9">
        <f t="shared" si="11"/>
        <v>0</v>
      </c>
      <c r="AD36" s="9">
        <f t="shared" si="11"/>
        <v>0</v>
      </c>
      <c r="AE36" s="9">
        <f t="shared" si="11"/>
        <v>0</v>
      </c>
    </row>
    <row r="37" spans="2:31" x14ac:dyDescent="0.25">
      <c r="B37" s="6">
        <v>0</v>
      </c>
      <c r="C37" s="6">
        <v>0</v>
      </c>
      <c r="D37" s="6">
        <v>0</v>
      </c>
      <c r="E37" s="6">
        <v>0</v>
      </c>
      <c r="F37" s="6">
        <v>0</v>
      </c>
      <c r="L37">
        <f t="shared" si="0"/>
        <v>0</v>
      </c>
      <c r="M37">
        <f t="shared" si="1"/>
        <v>0</v>
      </c>
      <c r="N37">
        <f t="shared" si="2"/>
        <v>0</v>
      </c>
      <c r="O37">
        <f t="shared" si="3"/>
        <v>0</v>
      </c>
      <c r="P37">
        <f t="shared" si="4"/>
        <v>0</v>
      </c>
      <c r="Q37">
        <f t="shared" si="5"/>
        <v>0</v>
      </c>
      <c r="R37">
        <f t="shared" si="6"/>
        <v>0</v>
      </c>
      <c r="S37">
        <f t="shared" si="7"/>
        <v>0</v>
      </c>
      <c r="T37">
        <f t="shared" si="8"/>
        <v>0</v>
      </c>
      <c r="U37">
        <f t="shared" si="9"/>
        <v>0</v>
      </c>
      <c r="V37" s="9">
        <f t="shared" si="11"/>
        <v>0</v>
      </c>
      <c r="W37" s="9">
        <f t="shared" si="11"/>
        <v>0</v>
      </c>
      <c r="X37" s="9">
        <f t="shared" si="11"/>
        <v>0</v>
      </c>
      <c r="Y37" s="9">
        <f t="shared" si="11"/>
        <v>0</v>
      </c>
      <c r="Z37" s="9">
        <f t="shared" si="11"/>
        <v>0</v>
      </c>
      <c r="AA37" s="9">
        <f t="shared" si="11"/>
        <v>0</v>
      </c>
      <c r="AB37" s="9">
        <f t="shared" si="11"/>
        <v>0</v>
      </c>
      <c r="AC37" s="9">
        <f t="shared" si="11"/>
        <v>0</v>
      </c>
      <c r="AD37" s="9">
        <f t="shared" si="11"/>
        <v>0</v>
      </c>
      <c r="AE37" s="9">
        <f t="shared" si="11"/>
        <v>0</v>
      </c>
    </row>
    <row r="38" spans="2:31" x14ac:dyDescent="0.25">
      <c r="B38" s="6">
        <v>0</v>
      </c>
      <c r="C38" s="6">
        <v>0</v>
      </c>
      <c r="D38" s="6">
        <v>0</v>
      </c>
      <c r="E38" s="6">
        <v>0</v>
      </c>
      <c r="F38" s="6">
        <v>0</v>
      </c>
      <c r="L38">
        <f t="shared" si="0"/>
        <v>0</v>
      </c>
      <c r="M38">
        <f t="shared" si="1"/>
        <v>0</v>
      </c>
      <c r="N38">
        <f t="shared" si="2"/>
        <v>0</v>
      </c>
      <c r="O38">
        <f t="shared" si="3"/>
        <v>0</v>
      </c>
      <c r="P38">
        <f t="shared" si="4"/>
        <v>0</v>
      </c>
      <c r="Q38">
        <f t="shared" si="5"/>
        <v>0</v>
      </c>
      <c r="R38">
        <f t="shared" si="6"/>
        <v>0</v>
      </c>
      <c r="S38">
        <f t="shared" si="7"/>
        <v>0</v>
      </c>
      <c r="T38">
        <f t="shared" si="8"/>
        <v>0</v>
      </c>
      <c r="U38">
        <f t="shared" si="9"/>
        <v>0</v>
      </c>
      <c r="V38" s="9">
        <f t="shared" si="11"/>
        <v>0</v>
      </c>
      <c r="W38" s="9">
        <f t="shared" si="11"/>
        <v>0</v>
      </c>
      <c r="X38" s="9">
        <f t="shared" si="11"/>
        <v>0</v>
      </c>
      <c r="Y38" s="9">
        <f t="shared" si="11"/>
        <v>0</v>
      </c>
      <c r="Z38" s="9">
        <f t="shared" si="11"/>
        <v>0</v>
      </c>
      <c r="AA38" s="9">
        <f t="shared" si="11"/>
        <v>0</v>
      </c>
      <c r="AB38" s="9">
        <f t="shared" si="11"/>
        <v>0</v>
      </c>
      <c r="AC38" s="9">
        <f t="shared" si="11"/>
        <v>0</v>
      </c>
      <c r="AD38" s="9">
        <f t="shared" si="11"/>
        <v>0</v>
      </c>
      <c r="AE38" s="9">
        <f t="shared" si="11"/>
        <v>0</v>
      </c>
    </row>
    <row r="39" spans="2:31" x14ac:dyDescent="0.25">
      <c r="B39" s="6">
        <v>0</v>
      </c>
      <c r="C39" s="6">
        <v>0</v>
      </c>
      <c r="D39" s="6">
        <v>0</v>
      </c>
      <c r="E39" s="6">
        <v>0</v>
      </c>
      <c r="F39" s="6">
        <v>0</v>
      </c>
      <c r="L39">
        <f t="shared" si="0"/>
        <v>0</v>
      </c>
      <c r="M39">
        <f t="shared" si="1"/>
        <v>0</v>
      </c>
      <c r="N39">
        <f t="shared" si="2"/>
        <v>0</v>
      </c>
      <c r="O39">
        <f t="shared" si="3"/>
        <v>0</v>
      </c>
      <c r="P39">
        <f t="shared" si="4"/>
        <v>0</v>
      </c>
      <c r="Q39">
        <f t="shared" si="5"/>
        <v>0</v>
      </c>
      <c r="R39">
        <f t="shared" si="6"/>
        <v>0</v>
      </c>
      <c r="S39">
        <f t="shared" si="7"/>
        <v>0</v>
      </c>
      <c r="T39">
        <f t="shared" si="8"/>
        <v>0</v>
      </c>
      <c r="U39">
        <f t="shared" si="9"/>
        <v>0</v>
      </c>
      <c r="V39" s="9">
        <f t="shared" si="11"/>
        <v>0</v>
      </c>
      <c r="W39" s="9">
        <f t="shared" si="11"/>
        <v>0</v>
      </c>
      <c r="X39" s="9">
        <f t="shared" si="11"/>
        <v>0</v>
      </c>
      <c r="Y39" s="9">
        <f t="shared" si="11"/>
        <v>0</v>
      </c>
      <c r="Z39" s="9">
        <f t="shared" si="11"/>
        <v>0</v>
      </c>
      <c r="AA39" s="9">
        <f t="shared" si="11"/>
        <v>0</v>
      </c>
      <c r="AB39" s="9">
        <f t="shared" si="11"/>
        <v>0</v>
      </c>
      <c r="AC39" s="9">
        <f t="shared" si="11"/>
        <v>0</v>
      </c>
      <c r="AD39" s="9">
        <f t="shared" si="11"/>
        <v>0</v>
      </c>
      <c r="AE39" s="9">
        <f t="shared" si="11"/>
        <v>0</v>
      </c>
    </row>
    <row r="40" spans="2:31" x14ac:dyDescent="0.25">
      <c r="B40" s="6">
        <v>0</v>
      </c>
      <c r="C40" s="6">
        <v>0</v>
      </c>
      <c r="D40" s="6">
        <v>0</v>
      </c>
      <c r="E40" s="6">
        <v>0</v>
      </c>
      <c r="F40" s="6">
        <v>0</v>
      </c>
      <c r="L40">
        <f t="shared" si="0"/>
        <v>0</v>
      </c>
      <c r="M40">
        <f t="shared" si="1"/>
        <v>0</v>
      </c>
      <c r="N40">
        <f t="shared" si="2"/>
        <v>0</v>
      </c>
      <c r="O40">
        <f t="shared" si="3"/>
        <v>0</v>
      </c>
      <c r="P40">
        <f t="shared" si="4"/>
        <v>0</v>
      </c>
      <c r="Q40">
        <f t="shared" si="5"/>
        <v>0</v>
      </c>
      <c r="R40">
        <f t="shared" si="6"/>
        <v>0</v>
      </c>
      <c r="S40">
        <f t="shared" si="7"/>
        <v>0</v>
      </c>
      <c r="T40">
        <f t="shared" si="8"/>
        <v>0</v>
      </c>
      <c r="U40">
        <f t="shared" si="9"/>
        <v>0</v>
      </c>
      <c r="V40" s="9">
        <f t="shared" si="11"/>
        <v>0</v>
      </c>
      <c r="W40" s="9">
        <f t="shared" si="11"/>
        <v>0</v>
      </c>
      <c r="X40" s="9">
        <f t="shared" si="11"/>
        <v>0</v>
      </c>
      <c r="Y40" s="9">
        <f t="shared" si="11"/>
        <v>0</v>
      </c>
      <c r="Z40" s="9">
        <f t="shared" si="11"/>
        <v>0</v>
      </c>
      <c r="AA40" s="9">
        <f t="shared" si="11"/>
        <v>0</v>
      </c>
      <c r="AB40" s="9">
        <f t="shared" si="11"/>
        <v>0</v>
      </c>
      <c r="AC40" s="9">
        <f t="shared" si="11"/>
        <v>0</v>
      </c>
      <c r="AD40" s="9">
        <f t="shared" si="11"/>
        <v>0</v>
      </c>
      <c r="AE40" s="9">
        <f t="shared" si="11"/>
        <v>0</v>
      </c>
    </row>
    <row r="41" spans="2:31" x14ac:dyDescent="0.25">
      <c r="B41" s="6">
        <v>0</v>
      </c>
      <c r="C41" s="6">
        <v>0</v>
      </c>
      <c r="D41" s="6">
        <v>0</v>
      </c>
      <c r="E41" s="6">
        <v>0</v>
      </c>
      <c r="F41" s="6">
        <v>0</v>
      </c>
      <c r="L41">
        <f t="shared" si="0"/>
        <v>0</v>
      </c>
      <c r="M41">
        <f t="shared" si="1"/>
        <v>0</v>
      </c>
      <c r="N41">
        <f t="shared" si="2"/>
        <v>0</v>
      </c>
      <c r="O41">
        <f t="shared" si="3"/>
        <v>0</v>
      </c>
      <c r="P41">
        <f t="shared" si="4"/>
        <v>0</v>
      </c>
      <c r="Q41">
        <f t="shared" si="5"/>
        <v>0</v>
      </c>
      <c r="R41">
        <f t="shared" si="6"/>
        <v>0</v>
      </c>
      <c r="S41">
        <f t="shared" si="7"/>
        <v>0</v>
      </c>
      <c r="T41">
        <f t="shared" si="8"/>
        <v>0</v>
      </c>
      <c r="U41">
        <f t="shared" si="9"/>
        <v>0</v>
      </c>
      <c r="V41" s="9">
        <f t="shared" ref="V41:AE66" si="12">IF(L41&gt;=0,L41,-L41)</f>
        <v>0</v>
      </c>
      <c r="W41" s="9">
        <f t="shared" si="12"/>
        <v>0</v>
      </c>
      <c r="X41" s="9">
        <f t="shared" si="12"/>
        <v>0</v>
      </c>
      <c r="Y41" s="9">
        <f t="shared" si="12"/>
        <v>0</v>
      </c>
      <c r="Z41" s="9">
        <f t="shared" si="12"/>
        <v>0</v>
      </c>
      <c r="AA41" s="9">
        <f t="shared" si="12"/>
        <v>0</v>
      </c>
      <c r="AB41" s="9">
        <f t="shared" si="12"/>
        <v>0</v>
      </c>
      <c r="AC41" s="9">
        <f t="shared" si="12"/>
        <v>0</v>
      </c>
      <c r="AD41" s="9">
        <f t="shared" si="12"/>
        <v>0</v>
      </c>
      <c r="AE41" s="9">
        <f t="shared" si="12"/>
        <v>0</v>
      </c>
    </row>
    <row r="42" spans="2:31" x14ac:dyDescent="0.25">
      <c r="B42" s="6">
        <v>0</v>
      </c>
      <c r="C42" s="6">
        <v>0</v>
      </c>
      <c r="D42" s="6">
        <v>0</v>
      </c>
      <c r="E42" s="6">
        <v>0</v>
      </c>
      <c r="F42" s="6">
        <v>0</v>
      </c>
      <c r="L42">
        <f t="shared" si="0"/>
        <v>0</v>
      </c>
      <c r="M42">
        <f t="shared" si="1"/>
        <v>0</v>
      </c>
      <c r="N42">
        <f t="shared" si="2"/>
        <v>0</v>
      </c>
      <c r="O42">
        <f t="shared" si="3"/>
        <v>0</v>
      </c>
      <c r="P42">
        <f t="shared" si="4"/>
        <v>0</v>
      </c>
      <c r="Q42">
        <f t="shared" si="5"/>
        <v>0</v>
      </c>
      <c r="R42">
        <f t="shared" si="6"/>
        <v>0</v>
      </c>
      <c r="S42">
        <f t="shared" si="7"/>
        <v>0</v>
      </c>
      <c r="T42">
        <f t="shared" si="8"/>
        <v>0</v>
      </c>
      <c r="U42">
        <f t="shared" si="9"/>
        <v>0</v>
      </c>
      <c r="V42" s="9">
        <f t="shared" si="12"/>
        <v>0</v>
      </c>
      <c r="W42" s="9">
        <f t="shared" si="12"/>
        <v>0</v>
      </c>
      <c r="X42" s="9">
        <f t="shared" si="12"/>
        <v>0</v>
      </c>
      <c r="Y42" s="9">
        <f t="shared" si="12"/>
        <v>0</v>
      </c>
      <c r="Z42" s="9">
        <f t="shared" si="12"/>
        <v>0</v>
      </c>
      <c r="AA42" s="9">
        <f t="shared" si="12"/>
        <v>0</v>
      </c>
      <c r="AB42" s="9">
        <f t="shared" si="12"/>
        <v>0</v>
      </c>
      <c r="AC42" s="9">
        <f t="shared" si="12"/>
        <v>0</v>
      </c>
      <c r="AD42" s="9">
        <f t="shared" si="12"/>
        <v>0</v>
      </c>
      <c r="AE42" s="9">
        <f t="shared" si="12"/>
        <v>0</v>
      </c>
    </row>
    <row r="43" spans="2:31" x14ac:dyDescent="0.25">
      <c r="B43" s="6">
        <v>0</v>
      </c>
      <c r="C43" s="6">
        <v>0</v>
      </c>
      <c r="D43" s="6">
        <v>0</v>
      </c>
      <c r="E43" s="6">
        <v>0</v>
      </c>
      <c r="F43" s="6">
        <v>0</v>
      </c>
      <c r="L43">
        <f t="shared" si="0"/>
        <v>0</v>
      </c>
      <c r="M43">
        <f t="shared" si="1"/>
        <v>0</v>
      </c>
      <c r="N43">
        <f t="shared" si="2"/>
        <v>0</v>
      </c>
      <c r="O43">
        <f t="shared" si="3"/>
        <v>0</v>
      </c>
      <c r="P43">
        <f t="shared" si="4"/>
        <v>0</v>
      </c>
      <c r="Q43">
        <f t="shared" si="5"/>
        <v>0</v>
      </c>
      <c r="R43">
        <f t="shared" si="6"/>
        <v>0</v>
      </c>
      <c r="S43">
        <f t="shared" si="7"/>
        <v>0</v>
      </c>
      <c r="T43">
        <f t="shared" si="8"/>
        <v>0</v>
      </c>
      <c r="U43">
        <f t="shared" si="9"/>
        <v>0</v>
      </c>
      <c r="V43" s="9">
        <f t="shared" si="12"/>
        <v>0</v>
      </c>
      <c r="W43" s="9">
        <f t="shared" si="12"/>
        <v>0</v>
      </c>
      <c r="X43" s="9">
        <f t="shared" si="12"/>
        <v>0</v>
      </c>
      <c r="Y43" s="9">
        <f t="shared" si="12"/>
        <v>0</v>
      </c>
      <c r="Z43" s="9">
        <f t="shared" si="12"/>
        <v>0</v>
      </c>
      <c r="AA43" s="9">
        <f t="shared" si="12"/>
        <v>0</v>
      </c>
      <c r="AB43" s="9">
        <f t="shared" si="12"/>
        <v>0</v>
      </c>
      <c r="AC43" s="9">
        <f t="shared" si="12"/>
        <v>0</v>
      </c>
      <c r="AD43" s="9">
        <f t="shared" si="12"/>
        <v>0</v>
      </c>
      <c r="AE43" s="9">
        <f t="shared" si="12"/>
        <v>0</v>
      </c>
    </row>
    <row r="44" spans="2:31" x14ac:dyDescent="0.25">
      <c r="B44" s="6">
        <v>0</v>
      </c>
      <c r="C44" s="6">
        <v>0</v>
      </c>
      <c r="D44" s="6">
        <v>0</v>
      </c>
      <c r="E44" s="6">
        <v>0</v>
      </c>
      <c r="F44" s="6">
        <v>0</v>
      </c>
      <c r="L44">
        <f t="shared" si="0"/>
        <v>0</v>
      </c>
      <c r="M44">
        <f t="shared" si="1"/>
        <v>0</v>
      </c>
      <c r="N44">
        <f t="shared" si="2"/>
        <v>0</v>
      </c>
      <c r="O44">
        <f t="shared" si="3"/>
        <v>0</v>
      </c>
      <c r="P44">
        <f t="shared" si="4"/>
        <v>0</v>
      </c>
      <c r="Q44">
        <f t="shared" si="5"/>
        <v>0</v>
      </c>
      <c r="R44">
        <f t="shared" si="6"/>
        <v>0</v>
      </c>
      <c r="S44">
        <f t="shared" si="7"/>
        <v>0</v>
      </c>
      <c r="T44">
        <f t="shared" si="8"/>
        <v>0</v>
      </c>
      <c r="U44">
        <f t="shared" si="9"/>
        <v>0</v>
      </c>
      <c r="V44" s="9">
        <f t="shared" si="12"/>
        <v>0</v>
      </c>
      <c r="W44" s="9">
        <f t="shared" si="12"/>
        <v>0</v>
      </c>
      <c r="X44" s="9">
        <f t="shared" si="12"/>
        <v>0</v>
      </c>
      <c r="Y44" s="9">
        <f t="shared" si="12"/>
        <v>0</v>
      </c>
      <c r="Z44" s="9">
        <f t="shared" si="12"/>
        <v>0</v>
      </c>
      <c r="AA44" s="9">
        <f t="shared" si="12"/>
        <v>0</v>
      </c>
      <c r="AB44" s="9">
        <f t="shared" si="12"/>
        <v>0</v>
      </c>
      <c r="AC44" s="9">
        <f t="shared" si="12"/>
        <v>0</v>
      </c>
      <c r="AD44" s="9">
        <f t="shared" si="12"/>
        <v>0</v>
      </c>
      <c r="AE44" s="9">
        <f t="shared" si="12"/>
        <v>0</v>
      </c>
    </row>
    <row r="45" spans="2:31" x14ac:dyDescent="0.25">
      <c r="B45" s="6">
        <v>0</v>
      </c>
      <c r="C45" s="6">
        <v>0</v>
      </c>
      <c r="D45" s="6">
        <v>0</v>
      </c>
      <c r="E45" s="6">
        <v>0</v>
      </c>
      <c r="F45" s="6">
        <v>0</v>
      </c>
      <c r="L45">
        <f t="shared" si="0"/>
        <v>0</v>
      </c>
      <c r="M45">
        <f t="shared" si="1"/>
        <v>0</v>
      </c>
      <c r="N45">
        <f t="shared" si="2"/>
        <v>0</v>
      </c>
      <c r="O45">
        <f t="shared" si="3"/>
        <v>0</v>
      </c>
      <c r="P45">
        <f t="shared" si="4"/>
        <v>0</v>
      </c>
      <c r="Q45">
        <f t="shared" si="5"/>
        <v>0</v>
      </c>
      <c r="R45">
        <f t="shared" si="6"/>
        <v>0</v>
      </c>
      <c r="S45">
        <f t="shared" si="7"/>
        <v>0</v>
      </c>
      <c r="T45">
        <f t="shared" si="8"/>
        <v>0</v>
      </c>
      <c r="U45">
        <f t="shared" si="9"/>
        <v>0</v>
      </c>
      <c r="V45" s="9">
        <f t="shared" si="12"/>
        <v>0</v>
      </c>
      <c r="W45" s="9">
        <f t="shared" si="12"/>
        <v>0</v>
      </c>
      <c r="X45" s="9">
        <f t="shared" si="12"/>
        <v>0</v>
      </c>
      <c r="Y45" s="9">
        <f t="shared" si="12"/>
        <v>0</v>
      </c>
      <c r="Z45" s="9">
        <f t="shared" si="12"/>
        <v>0</v>
      </c>
      <c r="AA45" s="9">
        <f t="shared" si="12"/>
        <v>0</v>
      </c>
      <c r="AB45" s="9">
        <f t="shared" si="12"/>
        <v>0</v>
      </c>
      <c r="AC45" s="9">
        <f t="shared" si="12"/>
        <v>0</v>
      </c>
      <c r="AD45" s="9">
        <f t="shared" si="12"/>
        <v>0</v>
      </c>
      <c r="AE45" s="9">
        <f t="shared" si="12"/>
        <v>0</v>
      </c>
    </row>
    <row r="46" spans="2:31" x14ac:dyDescent="0.25">
      <c r="B46" s="6">
        <v>0</v>
      </c>
      <c r="C46" s="6">
        <v>0</v>
      </c>
      <c r="D46" s="6">
        <v>0</v>
      </c>
      <c r="E46" s="6">
        <v>0</v>
      </c>
      <c r="F46" s="6">
        <v>0</v>
      </c>
      <c r="L46">
        <f t="shared" si="0"/>
        <v>0</v>
      </c>
      <c r="M46">
        <f t="shared" si="1"/>
        <v>0</v>
      </c>
      <c r="N46">
        <f t="shared" si="2"/>
        <v>0</v>
      </c>
      <c r="O46">
        <f t="shared" si="3"/>
        <v>0</v>
      </c>
      <c r="P46">
        <f t="shared" si="4"/>
        <v>0</v>
      </c>
      <c r="Q46">
        <f t="shared" si="5"/>
        <v>0</v>
      </c>
      <c r="R46">
        <f t="shared" si="6"/>
        <v>0</v>
      </c>
      <c r="S46">
        <f t="shared" si="7"/>
        <v>0</v>
      </c>
      <c r="T46">
        <f t="shared" si="8"/>
        <v>0</v>
      </c>
      <c r="U46">
        <f t="shared" si="9"/>
        <v>0</v>
      </c>
      <c r="V46" s="9">
        <f t="shared" si="12"/>
        <v>0</v>
      </c>
      <c r="W46" s="9">
        <f t="shared" si="12"/>
        <v>0</v>
      </c>
      <c r="X46" s="9">
        <f t="shared" si="12"/>
        <v>0</v>
      </c>
      <c r="Y46" s="9">
        <f t="shared" si="12"/>
        <v>0</v>
      </c>
      <c r="Z46" s="9">
        <f t="shared" si="12"/>
        <v>0</v>
      </c>
      <c r="AA46" s="9">
        <f t="shared" si="12"/>
        <v>0</v>
      </c>
      <c r="AB46" s="9">
        <f t="shared" si="12"/>
        <v>0</v>
      </c>
      <c r="AC46" s="9">
        <f t="shared" si="12"/>
        <v>0</v>
      </c>
      <c r="AD46" s="9">
        <f t="shared" si="12"/>
        <v>0</v>
      </c>
      <c r="AE46" s="9">
        <f t="shared" si="12"/>
        <v>0</v>
      </c>
    </row>
    <row r="47" spans="2:31" x14ac:dyDescent="0.25">
      <c r="B47" s="6">
        <v>0</v>
      </c>
      <c r="C47" s="6">
        <v>0</v>
      </c>
      <c r="D47" s="6">
        <v>0</v>
      </c>
      <c r="E47" s="6">
        <v>0</v>
      </c>
      <c r="F47" s="6">
        <v>0</v>
      </c>
      <c r="L47">
        <f t="shared" si="0"/>
        <v>0</v>
      </c>
      <c r="M47">
        <f t="shared" si="1"/>
        <v>0</v>
      </c>
      <c r="N47">
        <f t="shared" si="2"/>
        <v>0</v>
      </c>
      <c r="O47">
        <f t="shared" si="3"/>
        <v>0</v>
      </c>
      <c r="P47">
        <f t="shared" si="4"/>
        <v>0</v>
      </c>
      <c r="Q47">
        <f t="shared" si="5"/>
        <v>0</v>
      </c>
      <c r="R47">
        <f t="shared" si="6"/>
        <v>0</v>
      </c>
      <c r="S47">
        <f t="shared" si="7"/>
        <v>0</v>
      </c>
      <c r="T47">
        <f t="shared" si="8"/>
        <v>0</v>
      </c>
      <c r="U47">
        <f t="shared" si="9"/>
        <v>0</v>
      </c>
      <c r="V47" s="9">
        <f t="shared" si="12"/>
        <v>0</v>
      </c>
      <c r="W47" s="9">
        <f t="shared" si="12"/>
        <v>0</v>
      </c>
      <c r="X47" s="9">
        <f t="shared" si="12"/>
        <v>0</v>
      </c>
      <c r="Y47" s="9">
        <f t="shared" si="12"/>
        <v>0</v>
      </c>
      <c r="Z47" s="9">
        <f t="shared" si="12"/>
        <v>0</v>
      </c>
      <c r="AA47" s="9">
        <f t="shared" si="12"/>
        <v>0</v>
      </c>
      <c r="AB47" s="9">
        <f t="shared" si="12"/>
        <v>0</v>
      </c>
      <c r="AC47" s="9">
        <f t="shared" si="12"/>
        <v>0</v>
      </c>
      <c r="AD47" s="9">
        <f t="shared" si="12"/>
        <v>0</v>
      </c>
      <c r="AE47" s="9">
        <f t="shared" si="12"/>
        <v>0</v>
      </c>
    </row>
    <row r="48" spans="2:31" x14ac:dyDescent="0.25">
      <c r="B48" s="6">
        <v>0</v>
      </c>
      <c r="C48" s="6">
        <v>0</v>
      </c>
      <c r="D48" s="6">
        <v>0</v>
      </c>
      <c r="E48" s="6">
        <v>0</v>
      </c>
      <c r="F48" s="6">
        <v>0</v>
      </c>
      <c r="L48">
        <f t="shared" si="0"/>
        <v>0</v>
      </c>
      <c r="M48">
        <f t="shared" si="1"/>
        <v>0</v>
      </c>
      <c r="N48">
        <f t="shared" si="2"/>
        <v>0</v>
      </c>
      <c r="O48">
        <f t="shared" si="3"/>
        <v>0</v>
      </c>
      <c r="P48">
        <f t="shared" si="4"/>
        <v>0</v>
      </c>
      <c r="Q48">
        <f t="shared" si="5"/>
        <v>0</v>
      </c>
      <c r="R48">
        <f t="shared" si="6"/>
        <v>0</v>
      </c>
      <c r="S48">
        <f t="shared" si="7"/>
        <v>0</v>
      </c>
      <c r="T48">
        <f t="shared" si="8"/>
        <v>0</v>
      </c>
      <c r="U48">
        <f t="shared" si="9"/>
        <v>0</v>
      </c>
      <c r="V48" s="9">
        <f t="shared" si="12"/>
        <v>0</v>
      </c>
      <c r="W48" s="9">
        <f t="shared" si="12"/>
        <v>0</v>
      </c>
      <c r="X48" s="9">
        <f t="shared" si="12"/>
        <v>0</v>
      </c>
      <c r="Y48" s="9">
        <f t="shared" si="12"/>
        <v>0</v>
      </c>
      <c r="Z48" s="9">
        <f t="shared" si="12"/>
        <v>0</v>
      </c>
      <c r="AA48" s="9">
        <f t="shared" si="12"/>
        <v>0</v>
      </c>
      <c r="AB48" s="9">
        <f t="shared" si="12"/>
        <v>0</v>
      </c>
      <c r="AC48" s="9">
        <f t="shared" si="12"/>
        <v>0</v>
      </c>
      <c r="AD48" s="9">
        <f t="shared" si="12"/>
        <v>0</v>
      </c>
      <c r="AE48" s="9">
        <f t="shared" si="12"/>
        <v>0</v>
      </c>
    </row>
    <row r="49" spans="2:31" x14ac:dyDescent="0.25">
      <c r="B49" s="6">
        <v>0</v>
      </c>
      <c r="C49" s="6">
        <v>0</v>
      </c>
      <c r="D49" s="6">
        <v>0</v>
      </c>
      <c r="E49" s="6">
        <v>0</v>
      </c>
      <c r="F49" s="6">
        <v>0</v>
      </c>
      <c r="L49">
        <f t="shared" si="0"/>
        <v>0</v>
      </c>
      <c r="M49">
        <f t="shared" si="1"/>
        <v>0</v>
      </c>
      <c r="N49">
        <f t="shared" si="2"/>
        <v>0</v>
      </c>
      <c r="O49">
        <f t="shared" si="3"/>
        <v>0</v>
      </c>
      <c r="P49">
        <f t="shared" si="4"/>
        <v>0</v>
      </c>
      <c r="Q49">
        <f t="shared" si="5"/>
        <v>0</v>
      </c>
      <c r="R49">
        <f t="shared" si="6"/>
        <v>0</v>
      </c>
      <c r="S49">
        <f t="shared" si="7"/>
        <v>0</v>
      </c>
      <c r="T49">
        <f t="shared" si="8"/>
        <v>0</v>
      </c>
      <c r="U49">
        <f t="shared" si="9"/>
        <v>0</v>
      </c>
      <c r="V49" s="9">
        <f t="shared" si="12"/>
        <v>0</v>
      </c>
      <c r="W49" s="9">
        <f t="shared" si="12"/>
        <v>0</v>
      </c>
      <c r="X49" s="9">
        <f t="shared" si="12"/>
        <v>0</v>
      </c>
      <c r="Y49" s="9">
        <f t="shared" si="12"/>
        <v>0</v>
      </c>
      <c r="Z49" s="9">
        <f t="shared" si="12"/>
        <v>0</v>
      </c>
      <c r="AA49" s="9">
        <f t="shared" si="12"/>
        <v>0</v>
      </c>
      <c r="AB49" s="9">
        <f t="shared" si="12"/>
        <v>0</v>
      </c>
      <c r="AC49" s="9">
        <f t="shared" si="12"/>
        <v>0</v>
      </c>
      <c r="AD49" s="9">
        <f t="shared" si="12"/>
        <v>0</v>
      </c>
      <c r="AE49" s="9">
        <f t="shared" si="12"/>
        <v>0</v>
      </c>
    </row>
    <row r="50" spans="2:31" x14ac:dyDescent="0.25">
      <c r="B50" s="6">
        <v>0</v>
      </c>
      <c r="C50" s="6">
        <v>0</v>
      </c>
      <c r="D50" s="6">
        <v>0</v>
      </c>
      <c r="E50" s="6">
        <v>0</v>
      </c>
      <c r="F50" s="6">
        <v>0</v>
      </c>
      <c r="L50">
        <f t="shared" si="0"/>
        <v>0</v>
      </c>
      <c r="M50">
        <f t="shared" si="1"/>
        <v>0</v>
      </c>
      <c r="N50">
        <f t="shared" si="2"/>
        <v>0</v>
      </c>
      <c r="O50">
        <f t="shared" si="3"/>
        <v>0</v>
      </c>
      <c r="P50">
        <f t="shared" si="4"/>
        <v>0</v>
      </c>
      <c r="Q50">
        <f t="shared" si="5"/>
        <v>0</v>
      </c>
      <c r="R50">
        <f t="shared" si="6"/>
        <v>0</v>
      </c>
      <c r="S50">
        <f t="shared" si="7"/>
        <v>0</v>
      </c>
      <c r="T50">
        <f t="shared" si="8"/>
        <v>0</v>
      </c>
      <c r="U50">
        <f t="shared" si="9"/>
        <v>0</v>
      </c>
      <c r="V50" s="9">
        <f t="shared" si="12"/>
        <v>0</v>
      </c>
      <c r="W50" s="9">
        <f t="shared" si="12"/>
        <v>0</v>
      </c>
      <c r="X50" s="9">
        <f t="shared" si="12"/>
        <v>0</v>
      </c>
      <c r="Y50" s="9">
        <f t="shared" si="12"/>
        <v>0</v>
      </c>
      <c r="Z50" s="9">
        <f t="shared" si="12"/>
        <v>0</v>
      </c>
      <c r="AA50" s="9">
        <f t="shared" si="12"/>
        <v>0</v>
      </c>
      <c r="AB50" s="9">
        <f t="shared" si="12"/>
        <v>0</v>
      </c>
      <c r="AC50" s="9">
        <f t="shared" si="12"/>
        <v>0</v>
      </c>
      <c r="AD50" s="9">
        <f t="shared" si="12"/>
        <v>0</v>
      </c>
      <c r="AE50" s="9">
        <f t="shared" si="12"/>
        <v>0</v>
      </c>
    </row>
    <row r="51" spans="2:31" x14ac:dyDescent="0.25">
      <c r="B51" s="6">
        <v>0</v>
      </c>
      <c r="C51" s="6">
        <v>0</v>
      </c>
      <c r="D51" s="6">
        <v>0</v>
      </c>
      <c r="E51" s="6">
        <v>0</v>
      </c>
      <c r="F51" s="6">
        <v>0</v>
      </c>
      <c r="L51">
        <f t="shared" si="0"/>
        <v>0</v>
      </c>
      <c r="M51">
        <f t="shared" si="1"/>
        <v>0</v>
      </c>
      <c r="N51">
        <f t="shared" si="2"/>
        <v>0</v>
      </c>
      <c r="O51">
        <f t="shared" si="3"/>
        <v>0</v>
      </c>
      <c r="P51">
        <f t="shared" si="4"/>
        <v>0</v>
      </c>
      <c r="Q51">
        <f t="shared" si="5"/>
        <v>0</v>
      </c>
      <c r="R51">
        <f t="shared" si="6"/>
        <v>0</v>
      </c>
      <c r="S51">
        <f t="shared" si="7"/>
        <v>0</v>
      </c>
      <c r="T51">
        <f t="shared" si="8"/>
        <v>0</v>
      </c>
      <c r="U51">
        <f t="shared" si="9"/>
        <v>0</v>
      </c>
      <c r="V51" s="9">
        <f t="shared" si="12"/>
        <v>0</v>
      </c>
      <c r="W51" s="9">
        <f t="shared" si="12"/>
        <v>0</v>
      </c>
      <c r="X51" s="9">
        <f t="shared" si="12"/>
        <v>0</v>
      </c>
      <c r="Y51" s="9">
        <f t="shared" si="12"/>
        <v>0</v>
      </c>
      <c r="Z51" s="9">
        <f t="shared" si="12"/>
        <v>0</v>
      </c>
      <c r="AA51" s="9">
        <f t="shared" si="12"/>
        <v>0</v>
      </c>
      <c r="AB51" s="9">
        <f t="shared" si="12"/>
        <v>0</v>
      </c>
      <c r="AC51" s="9">
        <f t="shared" si="12"/>
        <v>0</v>
      </c>
      <c r="AD51" s="9">
        <f t="shared" si="12"/>
        <v>0</v>
      </c>
      <c r="AE51" s="9">
        <f t="shared" si="12"/>
        <v>0</v>
      </c>
    </row>
    <row r="52" spans="2:31" x14ac:dyDescent="0.25">
      <c r="B52" s="6">
        <v>0</v>
      </c>
      <c r="C52" s="6">
        <v>0</v>
      </c>
      <c r="D52" s="6">
        <v>0</v>
      </c>
      <c r="E52" s="6">
        <v>0</v>
      </c>
      <c r="F52" s="6">
        <v>0</v>
      </c>
      <c r="L52">
        <f t="shared" si="0"/>
        <v>0</v>
      </c>
      <c r="M52">
        <f t="shared" si="1"/>
        <v>0</v>
      </c>
      <c r="N52">
        <f t="shared" si="2"/>
        <v>0</v>
      </c>
      <c r="O52">
        <f t="shared" si="3"/>
        <v>0</v>
      </c>
      <c r="P52">
        <f t="shared" si="4"/>
        <v>0</v>
      </c>
      <c r="Q52">
        <f t="shared" si="5"/>
        <v>0</v>
      </c>
      <c r="R52">
        <f t="shared" si="6"/>
        <v>0</v>
      </c>
      <c r="S52">
        <f t="shared" si="7"/>
        <v>0</v>
      </c>
      <c r="T52">
        <f t="shared" si="8"/>
        <v>0</v>
      </c>
      <c r="U52">
        <f t="shared" si="9"/>
        <v>0</v>
      </c>
      <c r="V52" s="9">
        <f t="shared" si="12"/>
        <v>0</v>
      </c>
      <c r="W52" s="9">
        <f t="shared" si="12"/>
        <v>0</v>
      </c>
      <c r="X52" s="9">
        <f t="shared" si="12"/>
        <v>0</v>
      </c>
      <c r="Y52" s="9">
        <f t="shared" si="12"/>
        <v>0</v>
      </c>
      <c r="Z52" s="9">
        <f t="shared" si="12"/>
        <v>0</v>
      </c>
      <c r="AA52" s="9">
        <f t="shared" si="12"/>
        <v>0</v>
      </c>
      <c r="AB52" s="9">
        <f t="shared" si="12"/>
        <v>0</v>
      </c>
      <c r="AC52" s="9">
        <f t="shared" si="12"/>
        <v>0</v>
      </c>
      <c r="AD52" s="9">
        <f t="shared" si="12"/>
        <v>0</v>
      </c>
      <c r="AE52" s="9">
        <f t="shared" si="12"/>
        <v>0</v>
      </c>
    </row>
    <row r="53" spans="2:31" x14ac:dyDescent="0.25">
      <c r="B53" s="6">
        <v>0</v>
      </c>
      <c r="C53" s="6">
        <v>0</v>
      </c>
      <c r="D53" s="6">
        <v>0</v>
      </c>
      <c r="E53" s="6">
        <v>0</v>
      </c>
      <c r="F53" s="6">
        <v>0</v>
      </c>
      <c r="L53">
        <f t="shared" si="0"/>
        <v>0</v>
      </c>
      <c r="M53">
        <f t="shared" si="1"/>
        <v>0</v>
      </c>
      <c r="N53">
        <f t="shared" si="2"/>
        <v>0</v>
      </c>
      <c r="O53">
        <f t="shared" si="3"/>
        <v>0</v>
      </c>
      <c r="P53">
        <f t="shared" si="4"/>
        <v>0</v>
      </c>
      <c r="Q53">
        <f t="shared" si="5"/>
        <v>0</v>
      </c>
      <c r="R53">
        <f t="shared" si="6"/>
        <v>0</v>
      </c>
      <c r="S53">
        <f t="shared" si="7"/>
        <v>0</v>
      </c>
      <c r="T53">
        <f t="shared" si="8"/>
        <v>0</v>
      </c>
      <c r="U53">
        <f t="shared" si="9"/>
        <v>0</v>
      </c>
      <c r="V53" s="9">
        <f t="shared" si="12"/>
        <v>0</v>
      </c>
      <c r="W53" s="9">
        <f t="shared" si="12"/>
        <v>0</v>
      </c>
      <c r="X53" s="9">
        <f t="shared" si="12"/>
        <v>0</v>
      </c>
      <c r="Y53" s="9">
        <f t="shared" si="12"/>
        <v>0</v>
      </c>
      <c r="Z53" s="9">
        <f t="shared" si="12"/>
        <v>0</v>
      </c>
      <c r="AA53" s="9">
        <f t="shared" si="12"/>
        <v>0</v>
      </c>
      <c r="AB53" s="9">
        <f t="shared" si="12"/>
        <v>0</v>
      </c>
      <c r="AC53" s="9">
        <f t="shared" si="12"/>
        <v>0</v>
      </c>
      <c r="AD53" s="9">
        <f t="shared" si="12"/>
        <v>0</v>
      </c>
      <c r="AE53" s="9">
        <f t="shared" si="12"/>
        <v>0</v>
      </c>
    </row>
    <row r="54" spans="2:31" x14ac:dyDescent="0.25">
      <c r="B54" s="6">
        <v>0</v>
      </c>
      <c r="C54" s="6">
        <v>0</v>
      </c>
      <c r="D54" s="6">
        <v>0</v>
      </c>
      <c r="E54" s="6">
        <v>0</v>
      </c>
      <c r="F54" s="6">
        <v>0</v>
      </c>
      <c r="L54">
        <f t="shared" si="0"/>
        <v>0</v>
      </c>
      <c r="M54">
        <f t="shared" si="1"/>
        <v>0</v>
      </c>
      <c r="N54">
        <f t="shared" si="2"/>
        <v>0</v>
      </c>
      <c r="O54">
        <f t="shared" si="3"/>
        <v>0</v>
      </c>
      <c r="P54">
        <f t="shared" si="4"/>
        <v>0</v>
      </c>
      <c r="Q54">
        <f t="shared" si="5"/>
        <v>0</v>
      </c>
      <c r="R54">
        <f t="shared" si="6"/>
        <v>0</v>
      </c>
      <c r="S54">
        <f t="shared" si="7"/>
        <v>0</v>
      </c>
      <c r="T54">
        <f t="shared" si="8"/>
        <v>0</v>
      </c>
      <c r="U54">
        <f t="shared" si="9"/>
        <v>0</v>
      </c>
      <c r="V54" s="9">
        <f t="shared" si="12"/>
        <v>0</v>
      </c>
      <c r="W54" s="9">
        <f t="shared" si="12"/>
        <v>0</v>
      </c>
      <c r="X54" s="9">
        <f t="shared" si="12"/>
        <v>0</v>
      </c>
      <c r="Y54" s="9">
        <f t="shared" si="12"/>
        <v>0</v>
      </c>
      <c r="Z54" s="9">
        <f t="shared" si="12"/>
        <v>0</v>
      </c>
      <c r="AA54" s="9">
        <f t="shared" si="12"/>
        <v>0</v>
      </c>
      <c r="AB54" s="9">
        <f t="shared" si="12"/>
        <v>0</v>
      </c>
      <c r="AC54" s="9">
        <f t="shared" si="12"/>
        <v>0</v>
      </c>
      <c r="AD54" s="9">
        <f t="shared" si="12"/>
        <v>0</v>
      </c>
      <c r="AE54" s="9">
        <f t="shared" si="12"/>
        <v>0</v>
      </c>
    </row>
    <row r="55" spans="2:31" x14ac:dyDescent="0.25">
      <c r="B55" s="6">
        <v>0</v>
      </c>
      <c r="C55" s="6">
        <v>0</v>
      </c>
      <c r="D55" s="6">
        <v>0</v>
      </c>
      <c r="E55" s="6">
        <v>0</v>
      </c>
      <c r="F55" s="6">
        <v>0</v>
      </c>
      <c r="L55">
        <f t="shared" si="0"/>
        <v>0</v>
      </c>
      <c r="M55">
        <f t="shared" si="1"/>
        <v>0</v>
      </c>
      <c r="N55">
        <f t="shared" si="2"/>
        <v>0</v>
      </c>
      <c r="O55">
        <f t="shared" si="3"/>
        <v>0</v>
      </c>
      <c r="P55">
        <f t="shared" si="4"/>
        <v>0</v>
      </c>
      <c r="Q55">
        <f t="shared" si="5"/>
        <v>0</v>
      </c>
      <c r="R55">
        <f t="shared" si="6"/>
        <v>0</v>
      </c>
      <c r="S55">
        <f t="shared" si="7"/>
        <v>0</v>
      </c>
      <c r="T55">
        <f t="shared" si="8"/>
        <v>0</v>
      </c>
      <c r="U55">
        <f t="shared" si="9"/>
        <v>0</v>
      </c>
      <c r="V55" s="9">
        <f t="shared" si="12"/>
        <v>0</v>
      </c>
      <c r="W55" s="9">
        <f t="shared" si="12"/>
        <v>0</v>
      </c>
      <c r="X55" s="9">
        <f t="shared" si="12"/>
        <v>0</v>
      </c>
      <c r="Y55" s="9">
        <f t="shared" si="12"/>
        <v>0</v>
      </c>
      <c r="Z55" s="9">
        <f t="shared" si="12"/>
        <v>0</v>
      </c>
      <c r="AA55" s="9">
        <f t="shared" si="12"/>
        <v>0</v>
      </c>
      <c r="AB55" s="9">
        <f t="shared" si="12"/>
        <v>0</v>
      </c>
      <c r="AC55" s="9">
        <f t="shared" si="12"/>
        <v>0</v>
      </c>
      <c r="AD55" s="9">
        <f t="shared" si="12"/>
        <v>0</v>
      </c>
      <c r="AE55" s="9">
        <f t="shared" si="12"/>
        <v>0</v>
      </c>
    </row>
    <row r="56" spans="2:31" x14ac:dyDescent="0.25">
      <c r="B56" s="6">
        <v>0</v>
      </c>
      <c r="C56" s="6">
        <v>0</v>
      </c>
      <c r="D56" s="6">
        <v>0</v>
      </c>
      <c r="E56" s="6">
        <v>0</v>
      </c>
      <c r="F56" s="6">
        <v>0</v>
      </c>
      <c r="L56">
        <f t="shared" si="0"/>
        <v>0</v>
      </c>
      <c r="M56">
        <f t="shared" si="1"/>
        <v>0</v>
      </c>
      <c r="N56">
        <f t="shared" si="2"/>
        <v>0</v>
      </c>
      <c r="O56">
        <f t="shared" si="3"/>
        <v>0</v>
      </c>
      <c r="P56">
        <f t="shared" si="4"/>
        <v>0</v>
      </c>
      <c r="Q56">
        <f t="shared" si="5"/>
        <v>0</v>
      </c>
      <c r="R56">
        <f t="shared" si="6"/>
        <v>0</v>
      </c>
      <c r="S56">
        <f t="shared" si="7"/>
        <v>0</v>
      </c>
      <c r="T56">
        <f t="shared" si="8"/>
        <v>0</v>
      </c>
      <c r="U56">
        <f t="shared" si="9"/>
        <v>0</v>
      </c>
      <c r="V56" s="9">
        <f t="shared" si="12"/>
        <v>0</v>
      </c>
      <c r="W56" s="9">
        <f t="shared" si="12"/>
        <v>0</v>
      </c>
      <c r="X56" s="9">
        <f t="shared" si="12"/>
        <v>0</v>
      </c>
      <c r="Y56" s="9">
        <f t="shared" si="12"/>
        <v>0</v>
      </c>
      <c r="Z56" s="9">
        <f t="shared" si="12"/>
        <v>0</v>
      </c>
      <c r="AA56" s="9">
        <f t="shared" si="12"/>
        <v>0</v>
      </c>
      <c r="AB56" s="9">
        <f t="shared" si="12"/>
        <v>0</v>
      </c>
      <c r="AC56" s="9">
        <f t="shared" si="12"/>
        <v>0</v>
      </c>
      <c r="AD56" s="9">
        <f t="shared" si="12"/>
        <v>0</v>
      </c>
      <c r="AE56" s="9">
        <f t="shared" si="12"/>
        <v>0</v>
      </c>
    </row>
    <row r="57" spans="2:31" x14ac:dyDescent="0.25">
      <c r="B57" s="6">
        <v>0</v>
      </c>
      <c r="C57" s="6">
        <v>0</v>
      </c>
      <c r="D57" s="6">
        <v>0</v>
      </c>
      <c r="E57" s="6">
        <v>0</v>
      </c>
      <c r="F57" s="6">
        <v>0</v>
      </c>
      <c r="L57">
        <f t="shared" si="0"/>
        <v>0</v>
      </c>
      <c r="M57">
        <f t="shared" si="1"/>
        <v>0</v>
      </c>
      <c r="N57">
        <f t="shared" si="2"/>
        <v>0</v>
      </c>
      <c r="O57">
        <f t="shared" si="3"/>
        <v>0</v>
      </c>
      <c r="P57">
        <f t="shared" si="4"/>
        <v>0</v>
      </c>
      <c r="Q57">
        <f t="shared" si="5"/>
        <v>0</v>
      </c>
      <c r="R57">
        <f t="shared" si="6"/>
        <v>0</v>
      </c>
      <c r="S57">
        <f t="shared" si="7"/>
        <v>0</v>
      </c>
      <c r="T57">
        <f t="shared" si="8"/>
        <v>0</v>
      </c>
      <c r="U57">
        <f t="shared" si="9"/>
        <v>0</v>
      </c>
      <c r="V57" s="9">
        <f t="shared" si="12"/>
        <v>0</v>
      </c>
      <c r="W57" s="9">
        <f t="shared" si="12"/>
        <v>0</v>
      </c>
      <c r="X57" s="9">
        <f t="shared" si="12"/>
        <v>0</v>
      </c>
      <c r="Y57" s="9">
        <f t="shared" si="12"/>
        <v>0</v>
      </c>
      <c r="Z57" s="9">
        <f t="shared" si="12"/>
        <v>0</v>
      </c>
      <c r="AA57" s="9">
        <f t="shared" si="12"/>
        <v>0</v>
      </c>
      <c r="AB57" s="9">
        <f t="shared" si="12"/>
        <v>0</v>
      </c>
      <c r="AC57" s="9">
        <f t="shared" si="12"/>
        <v>0</v>
      </c>
      <c r="AD57" s="9">
        <f t="shared" si="12"/>
        <v>0</v>
      </c>
      <c r="AE57" s="9">
        <f t="shared" si="12"/>
        <v>0</v>
      </c>
    </row>
    <row r="58" spans="2:31" x14ac:dyDescent="0.25">
      <c r="B58" s="6">
        <v>0</v>
      </c>
      <c r="C58" s="6">
        <v>0</v>
      </c>
      <c r="D58" s="6">
        <v>0</v>
      </c>
      <c r="E58" s="6">
        <v>0</v>
      </c>
      <c r="F58" s="6">
        <v>0</v>
      </c>
      <c r="L58">
        <f t="shared" si="0"/>
        <v>0</v>
      </c>
      <c r="M58">
        <f t="shared" si="1"/>
        <v>0</v>
      </c>
      <c r="N58">
        <f t="shared" si="2"/>
        <v>0</v>
      </c>
      <c r="O58">
        <f t="shared" si="3"/>
        <v>0</v>
      </c>
      <c r="P58">
        <f t="shared" si="4"/>
        <v>0</v>
      </c>
      <c r="Q58">
        <f t="shared" si="5"/>
        <v>0</v>
      </c>
      <c r="R58">
        <f t="shared" si="6"/>
        <v>0</v>
      </c>
      <c r="S58">
        <f t="shared" si="7"/>
        <v>0</v>
      </c>
      <c r="T58">
        <f t="shared" si="8"/>
        <v>0</v>
      </c>
      <c r="U58">
        <f t="shared" si="9"/>
        <v>0</v>
      </c>
      <c r="V58" s="9">
        <f t="shared" si="12"/>
        <v>0</v>
      </c>
      <c r="W58" s="9">
        <f t="shared" si="12"/>
        <v>0</v>
      </c>
      <c r="X58" s="9">
        <f t="shared" si="12"/>
        <v>0</v>
      </c>
      <c r="Y58" s="9">
        <f t="shared" si="12"/>
        <v>0</v>
      </c>
      <c r="Z58" s="9">
        <f t="shared" si="12"/>
        <v>0</v>
      </c>
      <c r="AA58" s="9">
        <f t="shared" si="12"/>
        <v>0</v>
      </c>
      <c r="AB58" s="9">
        <f t="shared" si="12"/>
        <v>0</v>
      </c>
      <c r="AC58" s="9">
        <f t="shared" si="12"/>
        <v>0</v>
      </c>
      <c r="AD58" s="9">
        <f t="shared" si="12"/>
        <v>0</v>
      </c>
      <c r="AE58" s="9">
        <f t="shared" si="12"/>
        <v>0</v>
      </c>
    </row>
    <row r="59" spans="2:31" x14ac:dyDescent="0.25">
      <c r="B59" s="6">
        <v>0</v>
      </c>
      <c r="C59" s="6">
        <v>0</v>
      </c>
      <c r="D59" s="6">
        <v>0</v>
      </c>
      <c r="E59" s="6">
        <v>0</v>
      </c>
      <c r="F59" s="6">
        <v>0</v>
      </c>
      <c r="L59">
        <f t="shared" si="0"/>
        <v>0</v>
      </c>
      <c r="M59">
        <f t="shared" si="1"/>
        <v>0</v>
      </c>
      <c r="N59">
        <f t="shared" si="2"/>
        <v>0</v>
      </c>
      <c r="O59">
        <f t="shared" si="3"/>
        <v>0</v>
      </c>
      <c r="P59">
        <f t="shared" si="4"/>
        <v>0</v>
      </c>
      <c r="Q59">
        <f t="shared" si="5"/>
        <v>0</v>
      </c>
      <c r="R59">
        <f t="shared" si="6"/>
        <v>0</v>
      </c>
      <c r="S59">
        <f t="shared" si="7"/>
        <v>0</v>
      </c>
      <c r="T59">
        <f t="shared" si="8"/>
        <v>0</v>
      </c>
      <c r="U59">
        <f t="shared" si="9"/>
        <v>0</v>
      </c>
      <c r="V59" s="9">
        <f t="shared" si="12"/>
        <v>0</v>
      </c>
      <c r="W59" s="9">
        <f t="shared" si="12"/>
        <v>0</v>
      </c>
      <c r="X59" s="9">
        <f t="shared" si="12"/>
        <v>0</v>
      </c>
      <c r="Y59" s="9">
        <f t="shared" si="12"/>
        <v>0</v>
      </c>
      <c r="Z59" s="9">
        <f t="shared" si="12"/>
        <v>0</v>
      </c>
      <c r="AA59" s="9">
        <f t="shared" si="12"/>
        <v>0</v>
      </c>
      <c r="AB59" s="9">
        <f t="shared" si="12"/>
        <v>0</v>
      </c>
      <c r="AC59" s="9">
        <f t="shared" si="12"/>
        <v>0</v>
      </c>
      <c r="AD59" s="9">
        <f t="shared" si="12"/>
        <v>0</v>
      </c>
      <c r="AE59" s="9">
        <f t="shared" si="12"/>
        <v>0</v>
      </c>
    </row>
    <row r="60" spans="2:31" x14ac:dyDescent="0.25">
      <c r="B60" s="6">
        <v>0</v>
      </c>
      <c r="C60" s="6">
        <v>0</v>
      </c>
      <c r="D60" s="6">
        <v>0</v>
      </c>
      <c r="E60" s="6">
        <v>0</v>
      </c>
      <c r="F60" s="6">
        <v>0</v>
      </c>
      <c r="L60">
        <f t="shared" si="0"/>
        <v>0</v>
      </c>
      <c r="M60">
        <f t="shared" si="1"/>
        <v>0</v>
      </c>
      <c r="N60">
        <f t="shared" si="2"/>
        <v>0</v>
      </c>
      <c r="O60">
        <f t="shared" si="3"/>
        <v>0</v>
      </c>
      <c r="P60">
        <f t="shared" si="4"/>
        <v>0</v>
      </c>
      <c r="Q60">
        <f t="shared" si="5"/>
        <v>0</v>
      </c>
      <c r="R60">
        <f t="shared" si="6"/>
        <v>0</v>
      </c>
      <c r="S60">
        <f t="shared" si="7"/>
        <v>0</v>
      </c>
      <c r="T60">
        <f t="shared" si="8"/>
        <v>0</v>
      </c>
      <c r="U60">
        <f t="shared" si="9"/>
        <v>0</v>
      </c>
      <c r="V60" s="9">
        <f t="shared" si="12"/>
        <v>0</v>
      </c>
      <c r="W60" s="9">
        <f t="shared" si="12"/>
        <v>0</v>
      </c>
      <c r="X60" s="9">
        <f t="shared" si="12"/>
        <v>0</v>
      </c>
      <c r="Y60" s="9">
        <f t="shared" si="12"/>
        <v>0</v>
      </c>
      <c r="Z60" s="9">
        <f t="shared" si="12"/>
        <v>0</v>
      </c>
      <c r="AA60" s="9">
        <f t="shared" si="12"/>
        <v>0</v>
      </c>
      <c r="AB60" s="9">
        <f t="shared" si="12"/>
        <v>0</v>
      </c>
      <c r="AC60" s="9">
        <f t="shared" si="12"/>
        <v>0</v>
      </c>
      <c r="AD60" s="9">
        <f t="shared" si="12"/>
        <v>0</v>
      </c>
      <c r="AE60" s="9">
        <f t="shared" si="12"/>
        <v>0</v>
      </c>
    </row>
    <row r="61" spans="2:31" x14ac:dyDescent="0.25">
      <c r="B61" s="6">
        <v>0</v>
      </c>
      <c r="C61" s="6">
        <v>0</v>
      </c>
      <c r="D61" s="6">
        <v>0</v>
      </c>
      <c r="E61" s="6">
        <v>0</v>
      </c>
      <c r="F61" s="6">
        <v>0</v>
      </c>
      <c r="L61">
        <f t="shared" si="0"/>
        <v>0</v>
      </c>
      <c r="M61">
        <f t="shared" si="1"/>
        <v>0</v>
      </c>
      <c r="N61">
        <f t="shared" si="2"/>
        <v>0</v>
      </c>
      <c r="O61">
        <f t="shared" si="3"/>
        <v>0</v>
      </c>
      <c r="P61">
        <f t="shared" si="4"/>
        <v>0</v>
      </c>
      <c r="Q61">
        <f t="shared" si="5"/>
        <v>0</v>
      </c>
      <c r="R61">
        <f t="shared" si="6"/>
        <v>0</v>
      </c>
      <c r="S61">
        <f t="shared" si="7"/>
        <v>0</v>
      </c>
      <c r="T61">
        <f t="shared" si="8"/>
        <v>0</v>
      </c>
      <c r="U61">
        <f t="shared" si="9"/>
        <v>0</v>
      </c>
      <c r="V61" s="9">
        <f t="shared" si="12"/>
        <v>0</v>
      </c>
      <c r="W61" s="9">
        <f t="shared" si="12"/>
        <v>0</v>
      </c>
      <c r="X61" s="9">
        <f t="shared" si="12"/>
        <v>0</v>
      </c>
      <c r="Y61" s="9">
        <f t="shared" si="12"/>
        <v>0</v>
      </c>
      <c r="Z61" s="9">
        <f t="shared" si="12"/>
        <v>0</v>
      </c>
      <c r="AA61" s="9">
        <f t="shared" si="12"/>
        <v>0</v>
      </c>
      <c r="AB61" s="9">
        <f t="shared" si="12"/>
        <v>0</v>
      </c>
      <c r="AC61" s="9">
        <f t="shared" si="12"/>
        <v>0</v>
      </c>
      <c r="AD61" s="9">
        <f t="shared" si="12"/>
        <v>0</v>
      </c>
      <c r="AE61" s="9">
        <f t="shared" si="12"/>
        <v>0</v>
      </c>
    </row>
    <row r="62" spans="2:31" x14ac:dyDescent="0.25">
      <c r="B62" s="6">
        <v>0</v>
      </c>
      <c r="C62" s="6">
        <v>0</v>
      </c>
      <c r="D62" s="6">
        <v>0</v>
      </c>
      <c r="E62" s="6">
        <v>0</v>
      </c>
      <c r="F62" s="6">
        <v>0</v>
      </c>
      <c r="L62">
        <f t="shared" si="0"/>
        <v>0</v>
      </c>
      <c r="M62">
        <f t="shared" si="1"/>
        <v>0</v>
      </c>
      <c r="N62">
        <f t="shared" si="2"/>
        <v>0</v>
      </c>
      <c r="O62">
        <f t="shared" si="3"/>
        <v>0</v>
      </c>
      <c r="P62">
        <f t="shared" si="4"/>
        <v>0</v>
      </c>
      <c r="Q62">
        <f t="shared" si="5"/>
        <v>0</v>
      </c>
      <c r="R62">
        <f t="shared" si="6"/>
        <v>0</v>
      </c>
      <c r="S62">
        <f t="shared" si="7"/>
        <v>0</v>
      </c>
      <c r="T62">
        <f t="shared" si="8"/>
        <v>0</v>
      </c>
      <c r="U62">
        <f t="shared" si="9"/>
        <v>0</v>
      </c>
      <c r="V62" s="9">
        <f t="shared" si="12"/>
        <v>0</v>
      </c>
      <c r="W62" s="9">
        <f t="shared" si="12"/>
        <v>0</v>
      </c>
      <c r="X62" s="9">
        <f t="shared" si="12"/>
        <v>0</v>
      </c>
      <c r="Y62" s="9">
        <f t="shared" si="12"/>
        <v>0</v>
      </c>
      <c r="Z62" s="9">
        <f t="shared" si="12"/>
        <v>0</v>
      </c>
      <c r="AA62" s="9">
        <f t="shared" si="12"/>
        <v>0</v>
      </c>
      <c r="AB62" s="9">
        <f t="shared" si="12"/>
        <v>0</v>
      </c>
      <c r="AC62" s="9">
        <f t="shared" si="12"/>
        <v>0</v>
      </c>
      <c r="AD62" s="9">
        <f t="shared" si="12"/>
        <v>0</v>
      </c>
      <c r="AE62" s="9">
        <f t="shared" si="12"/>
        <v>0</v>
      </c>
    </row>
    <row r="63" spans="2:31" x14ac:dyDescent="0.25">
      <c r="B63" s="6">
        <v>0</v>
      </c>
      <c r="C63" s="6">
        <v>0</v>
      </c>
      <c r="D63" s="6">
        <v>0</v>
      </c>
      <c r="E63" s="6">
        <v>0</v>
      </c>
      <c r="F63" s="6">
        <v>0</v>
      </c>
      <c r="L63">
        <f t="shared" si="0"/>
        <v>0</v>
      </c>
      <c r="M63">
        <f t="shared" si="1"/>
        <v>0</v>
      </c>
      <c r="N63">
        <f t="shared" si="2"/>
        <v>0</v>
      </c>
      <c r="O63">
        <f t="shared" si="3"/>
        <v>0</v>
      </c>
      <c r="P63">
        <f t="shared" si="4"/>
        <v>0</v>
      </c>
      <c r="Q63">
        <f t="shared" si="5"/>
        <v>0</v>
      </c>
      <c r="R63">
        <f t="shared" si="6"/>
        <v>0</v>
      </c>
      <c r="S63">
        <f t="shared" si="7"/>
        <v>0</v>
      </c>
      <c r="T63">
        <f t="shared" si="8"/>
        <v>0</v>
      </c>
      <c r="U63">
        <f t="shared" si="9"/>
        <v>0</v>
      </c>
      <c r="V63" s="9">
        <f t="shared" si="12"/>
        <v>0</v>
      </c>
      <c r="W63" s="9">
        <f t="shared" si="12"/>
        <v>0</v>
      </c>
      <c r="X63" s="9">
        <f t="shared" si="12"/>
        <v>0</v>
      </c>
      <c r="Y63" s="9">
        <f t="shared" si="12"/>
        <v>0</v>
      </c>
      <c r="Z63" s="9">
        <f t="shared" si="12"/>
        <v>0</v>
      </c>
      <c r="AA63" s="9">
        <f t="shared" si="12"/>
        <v>0</v>
      </c>
      <c r="AB63" s="9">
        <f t="shared" si="12"/>
        <v>0</v>
      </c>
      <c r="AC63" s="9">
        <f t="shared" si="12"/>
        <v>0</v>
      </c>
      <c r="AD63" s="9">
        <f t="shared" si="12"/>
        <v>0</v>
      </c>
      <c r="AE63" s="9">
        <f t="shared" si="12"/>
        <v>0</v>
      </c>
    </row>
    <row r="64" spans="2:31" x14ac:dyDescent="0.25">
      <c r="B64" s="6">
        <v>0</v>
      </c>
      <c r="C64" s="6">
        <v>0</v>
      </c>
      <c r="D64" s="6">
        <v>0</v>
      </c>
      <c r="E64" s="6">
        <v>0</v>
      </c>
      <c r="F64" s="6">
        <v>0</v>
      </c>
      <c r="L64">
        <f t="shared" si="0"/>
        <v>0</v>
      </c>
      <c r="M64">
        <f t="shared" si="1"/>
        <v>0</v>
      </c>
      <c r="N64">
        <f t="shared" si="2"/>
        <v>0</v>
      </c>
      <c r="O64">
        <f t="shared" si="3"/>
        <v>0</v>
      </c>
      <c r="P64">
        <f t="shared" si="4"/>
        <v>0</v>
      </c>
      <c r="Q64">
        <f t="shared" si="5"/>
        <v>0</v>
      </c>
      <c r="R64">
        <f t="shared" si="6"/>
        <v>0</v>
      </c>
      <c r="S64">
        <f t="shared" si="7"/>
        <v>0</v>
      </c>
      <c r="T64">
        <f t="shared" si="8"/>
        <v>0</v>
      </c>
      <c r="U64">
        <f t="shared" si="9"/>
        <v>0</v>
      </c>
      <c r="V64" s="9">
        <f t="shared" si="12"/>
        <v>0</v>
      </c>
      <c r="W64" s="9">
        <f t="shared" si="12"/>
        <v>0</v>
      </c>
      <c r="X64" s="9">
        <f t="shared" si="12"/>
        <v>0</v>
      </c>
      <c r="Y64" s="9">
        <f t="shared" si="12"/>
        <v>0</v>
      </c>
      <c r="Z64" s="9">
        <f t="shared" si="12"/>
        <v>0</v>
      </c>
      <c r="AA64" s="9">
        <f t="shared" si="12"/>
        <v>0</v>
      </c>
      <c r="AB64" s="9">
        <f t="shared" si="12"/>
        <v>0</v>
      </c>
      <c r="AC64" s="9">
        <f t="shared" si="12"/>
        <v>0</v>
      </c>
      <c r="AD64" s="9">
        <f t="shared" si="12"/>
        <v>0</v>
      </c>
      <c r="AE64" s="9">
        <f t="shared" si="12"/>
        <v>0</v>
      </c>
    </row>
    <row r="65" spans="2:31" x14ac:dyDescent="0.25">
      <c r="B65" s="6">
        <v>0</v>
      </c>
      <c r="C65" s="6">
        <v>0</v>
      </c>
      <c r="D65" s="6">
        <v>0</v>
      </c>
      <c r="E65" s="6">
        <v>0</v>
      </c>
      <c r="F65" s="6">
        <v>0</v>
      </c>
      <c r="L65">
        <f t="shared" ref="L65:L128" si="13">B65-C65</f>
        <v>0</v>
      </c>
      <c r="M65">
        <f t="shared" ref="M65:M128" si="14">B65-D65</f>
        <v>0</v>
      </c>
      <c r="N65">
        <f t="shared" ref="N65:N128" si="15">B65-E65</f>
        <v>0</v>
      </c>
      <c r="O65">
        <f t="shared" ref="O65:O128" si="16">B65-F65</f>
        <v>0</v>
      </c>
      <c r="P65">
        <f t="shared" ref="P65:P128" si="17">C65-D65</f>
        <v>0</v>
      </c>
      <c r="Q65">
        <f t="shared" ref="Q65:Q128" si="18">C65-E65</f>
        <v>0</v>
      </c>
      <c r="R65">
        <f t="shared" ref="R65:R128" si="19">C65-F65</f>
        <v>0</v>
      </c>
      <c r="S65">
        <f t="shared" ref="S65:S128" si="20">D65-E65</f>
        <v>0</v>
      </c>
      <c r="T65">
        <f t="shared" ref="T65:T128" si="21">D65-F65</f>
        <v>0</v>
      </c>
      <c r="U65">
        <f t="shared" ref="U65:U128" si="22">E65-F65</f>
        <v>0</v>
      </c>
      <c r="V65" s="9">
        <f t="shared" si="12"/>
        <v>0</v>
      </c>
      <c r="W65" s="9">
        <f t="shared" si="12"/>
        <v>0</v>
      </c>
      <c r="X65" s="9">
        <f t="shared" si="12"/>
        <v>0</v>
      </c>
      <c r="Y65" s="9">
        <f t="shared" si="12"/>
        <v>0</v>
      </c>
      <c r="Z65" s="9">
        <f t="shared" si="12"/>
        <v>0</v>
      </c>
      <c r="AA65" s="9">
        <f t="shared" si="12"/>
        <v>0</v>
      </c>
      <c r="AB65" s="9">
        <f t="shared" si="12"/>
        <v>0</v>
      </c>
      <c r="AC65" s="9">
        <f t="shared" si="12"/>
        <v>0</v>
      </c>
      <c r="AD65" s="9">
        <f t="shared" si="12"/>
        <v>0</v>
      </c>
      <c r="AE65" s="9">
        <f t="shared" si="12"/>
        <v>0</v>
      </c>
    </row>
    <row r="66" spans="2:31" x14ac:dyDescent="0.25">
      <c r="B66" s="6">
        <v>0</v>
      </c>
      <c r="C66" s="6">
        <v>0</v>
      </c>
      <c r="D66" s="6">
        <v>0</v>
      </c>
      <c r="E66" s="6">
        <v>0</v>
      </c>
      <c r="F66" s="6">
        <v>0</v>
      </c>
      <c r="L66">
        <f t="shared" si="13"/>
        <v>0</v>
      </c>
      <c r="M66">
        <f t="shared" si="14"/>
        <v>0</v>
      </c>
      <c r="N66">
        <f t="shared" si="15"/>
        <v>0</v>
      </c>
      <c r="O66">
        <f t="shared" si="16"/>
        <v>0</v>
      </c>
      <c r="P66">
        <f t="shared" si="17"/>
        <v>0</v>
      </c>
      <c r="Q66">
        <f t="shared" si="18"/>
        <v>0</v>
      </c>
      <c r="R66">
        <f t="shared" si="19"/>
        <v>0</v>
      </c>
      <c r="S66">
        <f t="shared" si="20"/>
        <v>0</v>
      </c>
      <c r="T66">
        <f t="shared" si="21"/>
        <v>0</v>
      </c>
      <c r="U66">
        <f t="shared" si="22"/>
        <v>0</v>
      </c>
      <c r="V66" s="9">
        <f t="shared" si="12"/>
        <v>0</v>
      </c>
      <c r="W66" s="9">
        <f t="shared" si="12"/>
        <v>0</v>
      </c>
      <c r="X66" s="9">
        <f t="shared" si="12"/>
        <v>0</v>
      </c>
      <c r="Y66" s="9">
        <f t="shared" si="12"/>
        <v>0</v>
      </c>
      <c r="Z66" s="9">
        <f t="shared" si="12"/>
        <v>0</v>
      </c>
      <c r="AA66" s="9">
        <f t="shared" ref="AA66:AE116" si="23">IF(Q66&gt;=0,Q66,-Q66)</f>
        <v>0</v>
      </c>
      <c r="AB66" s="9">
        <f t="shared" si="23"/>
        <v>0</v>
      </c>
      <c r="AC66" s="9">
        <f t="shared" si="23"/>
        <v>0</v>
      </c>
      <c r="AD66" s="9">
        <f t="shared" si="23"/>
        <v>0</v>
      </c>
      <c r="AE66" s="9">
        <f t="shared" si="23"/>
        <v>0</v>
      </c>
    </row>
    <row r="67" spans="2:31" x14ac:dyDescent="0.25">
      <c r="B67" s="6">
        <v>0</v>
      </c>
      <c r="C67" s="6">
        <v>0</v>
      </c>
      <c r="D67" s="6">
        <v>0</v>
      </c>
      <c r="E67" s="6">
        <v>0</v>
      </c>
      <c r="F67" s="6">
        <v>0</v>
      </c>
      <c r="L67">
        <f t="shared" si="13"/>
        <v>0</v>
      </c>
      <c r="M67">
        <f t="shared" si="14"/>
        <v>0</v>
      </c>
      <c r="N67">
        <f t="shared" si="15"/>
        <v>0</v>
      </c>
      <c r="O67">
        <f t="shared" si="16"/>
        <v>0</v>
      </c>
      <c r="P67">
        <f t="shared" si="17"/>
        <v>0</v>
      </c>
      <c r="Q67">
        <f t="shared" si="18"/>
        <v>0</v>
      </c>
      <c r="R67">
        <f t="shared" si="19"/>
        <v>0</v>
      </c>
      <c r="S67">
        <f t="shared" si="20"/>
        <v>0</v>
      </c>
      <c r="T67">
        <f t="shared" si="21"/>
        <v>0</v>
      </c>
      <c r="U67">
        <f t="shared" si="22"/>
        <v>0</v>
      </c>
      <c r="V67" s="9">
        <f t="shared" ref="V67:Z117" si="24">IF(L67&gt;=0,L67,-L67)</f>
        <v>0</v>
      </c>
      <c r="W67" s="9">
        <f t="shared" si="24"/>
        <v>0</v>
      </c>
      <c r="X67" s="9">
        <f t="shared" si="24"/>
        <v>0</v>
      </c>
      <c r="Y67" s="9">
        <f t="shared" si="24"/>
        <v>0</v>
      </c>
      <c r="Z67" s="9">
        <f t="shared" si="24"/>
        <v>0</v>
      </c>
      <c r="AA67" s="9">
        <f t="shared" si="23"/>
        <v>0</v>
      </c>
      <c r="AB67" s="9">
        <f t="shared" si="23"/>
        <v>0</v>
      </c>
      <c r="AC67" s="9">
        <f t="shared" si="23"/>
        <v>0</v>
      </c>
      <c r="AD67" s="9">
        <f t="shared" si="23"/>
        <v>0</v>
      </c>
      <c r="AE67" s="9">
        <f t="shared" si="23"/>
        <v>0</v>
      </c>
    </row>
    <row r="68" spans="2:31" x14ac:dyDescent="0.25">
      <c r="B68" s="6">
        <v>0</v>
      </c>
      <c r="C68" s="6">
        <v>0</v>
      </c>
      <c r="D68" s="6">
        <v>0</v>
      </c>
      <c r="E68" s="6">
        <v>0</v>
      </c>
      <c r="F68" s="6">
        <v>0</v>
      </c>
      <c r="L68">
        <f t="shared" si="13"/>
        <v>0</v>
      </c>
      <c r="M68">
        <f t="shared" si="14"/>
        <v>0</v>
      </c>
      <c r="N68">
        <f t="shared" si="15"/>
        <v>0</v>
      </c>
      <c r="O68">
        <f t="shared" si="16"/>
        <v>0</v>
      </c>
      <c r="P68">
        <f t="shared" si="17"/>
        <v>0</v>
      </c>
      <c r="Q68">
        <f t="shared" si="18"/>
        <v>0</v>
      </c>
      <c r="R68">
        <f t="shared" si="19"/>
        <v>0</v>
      </c>
      <c r="S68">
        <f t="shared" si="20"/>
        <v>0</v>
      </c>
      <c r="T68">
        <f t="shared" si="21"/>
        <v>0</v>
      </c>
      <c r="U68">
        <f t="shared" si="22"/>
        <v>0</v>
      </c>
      <c r="V68" s="9">
        <f t="shared" si="24"/>
        <v>0</v>
      </c>
      <c r="W68" s="9">
        <f t="shared" si="24"/>
        <v>0</v>
      </c>
      <c r="X68" s="9">
        <f t="shared" si="24"/>
        <v>0</v>
      </c>
      <c r="Y68" s="9">
        <f t="shared" si="24"/>
        <v>0</v>
      </c>
      <c r="Z68" s="9">
        <f t="shared" si="24"/>
        <v>0</v>
      </c>
      <c r="AA68" s="9">
        <f t="shared" si="23"/>
        <v>0</v>
      </c>
      <c r="AB68" s="9">
        <f t="shared" si="23"/>
        <v>0</v>
      </c>
      <c r="AC68" s="9">
        <f t="shared" si="23"/>
        <v>0</v>
      </c>
      <c r="AD68" s="9">
        <f t="shared" si="23"/>
        <v>0</v>
      </c>
      <c r="AE68" s="9">
        <f t="shared" si="23"/>
        <v>0</v>
      </c>
    </row>
    <row r="69" spans="2:31" x14ac:dyDescent="0.25">
      <c r="B69" s="6">
        <v>0</v>
      </c>
      <c r="C69" s="6">
        <v>0</v>
      </c>
      <c r="D69" s="6">
        <v>0</v>
      </c>
      <c r="E69" s="6">
        <v>0</v>
      </c>
      <c r="F69" s="6">
        <v>0</v>
      </c>
      <c r="L69">
        <f t="shared" si="13"/>
        <v>0</v>
      </c>
      <c r="M69">
        <f t="shared" si="14"/>
        <v>0</v>
      </c>
      <c r="N69">
        <f t="shared" si="15"/>
        <v>0</v>
      </c>
      <c r="O69">
        <f t="shared" si="16"/>
        <v>0</v>
      </c>
      <c r="P69">
        <f t="shared" si="17"/>
        <v>0</v>
      </c>
      <c r="Q69">
        <f t="shared" si="18"/>
        <v>0</v>
      </c>
      <c r="R69">
        <f t="shared" si="19"/>
        <v>0</v>
      </c>
      <c r="S69">
        <f t="shared" si="20"/>
        <v>0</v>
      </c>
      <c r="T69">
        <f t="shared" si="21"/>
        <v>0</v>
      </c>
      <c r="U69">
        <f t="shared" si="22"/>
        <v>0</v>
      </c>
      <c r="V69" s="9">
        <f t="shared" si="24"/>
        <v>0</v>
      </c>
      <c r="W69" s="9">
        <f t="shared" si="24"/>
        <v>0</v>
      </c>
      <c r="X69" s="9">
        <f t="shared" si="24"/>
        <v>0</v>
      </c>
      <c r="Y69" s="9">
        <f t="shared" si="24"/>
        <v>0</v>
      </c>
      <c r="Z69" s="9">
        <f t="shared" si="24"/>
        <v>0</v>
      </c>
      <c r="AA69" s="9">
        <f t="shared" si="23"/>
        <v>0</v>
      </c>
      <c r="AB69" s="9">
        <f t="shared" si="23"/>
        <v>0</v>
      </c>
      <c r="AC69" s="9">
        <f t="shared" si="23"/>
        <v>0</v>
      </c>
      <c r="AD69" s="9">
        <f t="shared" si="23"/>
        <v>0</v>
      </c>
      <c r="AE69" s="9">
        <f t="shared" si="23"/>
        <v>0</v>
      </c>
    </row>
    <row r="70" spans="2:31" x14ac:dyDescent="0.25">
      <c r="B70" s="6">
        <v>0</v>
      </c>
      <c r="C70" s="6">
        <v>0</v>
      </c>
      <c r="D70" s="6">
        <v>0</v>
      </c>
      <c r="E70" s="6">
        <v>0</v>
      </c>
      <c r="F70" s="6">
        <v>0</v>
      </c>
      <c r="L70">
        <f t="shared" si="13"/>
        <v>0</v>
      </c>
      <c r="M70">
        <f t="shared" si="14"/>
        <v>0</v>
      </c>
      <c r="N70">
        <f t="shared" si="15"/>
        <v>0</v>
      </c>
      <c r="O70">
        <f t="shared" si="16"/>
        <v>0</v>
      </c>
      <c r="P70">
        <f t="shared" si="17"/>
        <v>0</v>
      </c>
      <c r="Q70">
        <f t="shared" si="18"/>
        <v>0</v>
      </c>
      <c r="R70">
        <f t="shared" si="19"/>
        <v>0</v>
      </c>
      <c r="S70">
        <f t="shared" si="20"/>
        <v>0</v>
      </c>
      <c r="T70">
        <f t="shared" si="21"/>
        <v>0</v>
      </c>
      <c r="U70">
        <f t="shared" si="22"/>
        <v>0</v>
      </c>
      <c r="V70" s="9">
        <f t="shared" si="24"/>
        <v>0</v>
      </c>
      <c r="W70" s="9">
        <f t="shared" si="24"/>
        <v>0</v>
      </c>
      <c r="X70" s="9">
        <f t="shared" si="24"/>
        <v>0</v>
      </c>
      <c r="Y70" s="9">
        <f t="shared" si="24"/>
        <v>0</v>
      </c>
      <c r="Z70" s="9">
        <f t="shared" si="24"/>
        <v>0</v>
      </c>
      <c r="AA70" s="9">
        <f t="shared" si="23"/>
        <v>0</v>
      </c>
      <c r="AB70" s="9">
        <f t="shared" si="23"/>
        <v>0</v>
      </c>
      <c r="AC70" s="9">
        <f t="shared" si="23"/>
        <v>0</v>
      </c>
      <c r="AD70" s="9">
        <f t="shared" si="23"/>
        <v>0</v>
      </c>
      <c r="AE70" s="9">
        <f t="shared" si="23"/>
        <v>0</v>
      </c>
    </row>
    <row r="71" spans="2:31" x14ac:dyDescent="0.25">
      <c r="B71" s="6">
        <v>0</v>
      </c>
      <c r="C71" s="6">
        <v>0</v>
      </c>
      <c r="D71" s="6">
        <v>0</v>
      </c>
      <c r="E71" s="6">
        <v>0</v>
      </c>
      <c r="F71" s="6">
        <v>0</v>
      </c>
      <c r="L71">
        <f t="shared" si="13"/>
        <v>0</v>
      </c>
      <c r="M71">
        <f t="shared" si="14"/>
        <v>0</v>
      </c>
      <c r="N71">
        <f t="shared" si="15"/>
        <v>0</v>
      </c>
      <c r="O71">
        <f t="shared" si="16"/>
        <v>0</v>
      </c>
      <c r="P71">
        <f t="shared" si="17"/>
        <v>0</v>
      </c>
      <c r="Q71">
        <f t="shared" si="18"/>
        <v>0</v>
      </c>
      <c r="R71">
        <f t="shared" si="19"/>
        <v>0</v>
      </c>
      <c r="S71">
        <f t="shared" si="20"/>
        <v>0</v>
      </c>
      <c r="T71">
        <f t="shared" si="21"/>
        <v>0</v>
      </c>
      <c r="U71">
        <f t="shared" si="22"/>
        <v>0</v>
      </c>
      <c r="V71" s="9">
        <f t="shared" si="24"/>
        <v>0</v>
      </c>
      <c r="W71" s="9">
        <f t="shared" si="24"/>
        <v>0</v>
      </c>
      <c r="X71" s="9">
        <f t="shared" si="24"/>
        <v>0</v>
      </c>
      <c r="Y71" s="9">
        <f t="shared" si="24"/>
        <v>0</v>
      </c>
      <c r="Z71" s="9">
        <f t="shared" si="24"/>
        <v>0</v>
      </c>
      <c r="AA71" s="9">
        <f t="shared" si="23"/>
        <v>0</v>
      </c>
      <c r="AB71" s="9">
        <f t="shared" si="23"/>
        <v>0</v>
      </c>
      <c r="AC71" s="9">
        <f t="shared" si="23"/>
        <v>0</v>
      </c>
      <c r="AD71" s="9">
        <f t="shared" si="23"/>
        <v>0</v>
      </c>
      <c r="AE71" s="9">
        <f t="shared" si="23"/>
        <v>0</v>
      </c>
    </row>
    <row r="72" spans="2:31" x14ac:dyDescent="0.25">
      <c r="B72" s="6">
        <v>0</v>
      </c>
      <c r="C72" s="6">
        <v>0</v>
      </c>
      <c r="D72" s="6">
        <v>0</v>
      </c>
      <c r="E72" s="6">
        <v>0</v>
      </c>
      <c r="F72" s="6">
        <v>0</v>
      </c>
      <c r="L72">
        <f t="shared" si="13"/>
        <v>0</v>
      </c>
      <c r="M72">
        <f t="shared" si="14"/>
        <v>0</v>
      </c>
      <c r="N72">
        <f t="shared" si="15"/>
        <v>0</v>
      </c>
      <c r="O72">
        <f t="shared" si="16"/>
        <v>0</v>
      </c>
      <c r="P72">
        <f t="shared" si="17"/>
        <v>0</v>
      </c>
      <c r="Q72">
        <f t="shared" si="18"/>
        <v>0</v>
      </c>
      <c r="R72">
        <f t="shared" si="19"/>
        <v>0</v>
      </c>
      <c r="S72">
        <f t="shared" si="20"/>
        <v>0</v>
      </c>
      <c r="T72">
        <f t="shared" si="21"/>
        <v>0</v>
      </c>
      <c r="U72">
        <f t="shared" si="22"/>
        <v>0</v>
      </c>
      <c r="V72" s="9">
        <f t="shared" si="24"/>
        <v>0</v>
      </c>
      <c r="W72" s="9">
        <f t="shared" si="24"/>
        <v>0</v>
      </c>
      <c r="X72" s="9">
        <f t="shared" si="24"/>
        <v>0</v>
      </c>
      <c r="Y72" s="9">
        <f t="shared" si="24"/>
        <v>0</v>
      </c>
      <c r="Z72" s="9">
        <f t="shared" si="24"/>
        <v>0</v>
      </c>
      <c r="AA72" s="9">
        <f t="shared" si="23"/>
        <v>0</v>
      </c>
      <c r="AB72" s="9">
        <f t="shared" si="23"/>
        <v>0</v>
      </c>
      <c r="AC72" s="9">
        <f t="shared" si="23"/>
        <v>0</v>
      </c>
      <c r="AD72" s="9">
        <f t="shared" si="23"/>
        <v>0</v>
      </c>
      <c r="AE72" s="9">
        <f t="shared" si="23"/>
        <v>0</v>
      </c>
    </row>
    <row r="73" spans="2:31" x14ac:dyDescent="0.25">
      <c r="B73" s="6">
        <v>0</v>
      </c>
      <c r="C73" s="6">
        <v>0</v>
      </c>
      <c r="D73" s="6">
        <v>0</v>
      </c>
      <c r="E73" s="6">
        <v>0</v>
      </c>
      <c r="F73" s="6">
        <v>0</v>
      </c>
      <c r="L73">
        <f t="shared" si="13"/>
        <v>0</v>
      </c>
      <c r="M73">
        <f t="shared" si="14"/>
        <v>0</v>
      </c>
      <c r="N73">
        <f t="shared" si="15"/>
        <v>0</v>
      </c>
      <c r="O73">
        <f t="shared" si="16"/>
        <v>0</v>
      </c>
      <c r="P73">
        <f t="shared" si="17"/>
        <v>0</v>
      </c>
      <c r="Q73">
        <f t="shared" si="18"/>
        <v>0</v>
      </c>
      <c r="R73">
        <f t="shared" si="19"/>
        <v>0</v>
      </c>
      <c r="S73">
        <f t="shared" si="20"/>
        <v>0</v>
      </c>
      <c r="T73">
        <f t="shared" si="21"/>
        <v>0</v>
      </c>
      <c r="U73">
        <f t="shared" si="22"/>
        <v>0</v>
      </c>
      <c r="V73" s="9">
        <f t="shared" si="24"/>
        <v>0</v>
      </c>
      <c r="W73" s="9">
        <f t="shared" si="24"/>
        <v>0</v>
      </c>
      <c r="X73" s="9">
        <f t="shared" si="24"/>
        <v>0</v>
      </c>
      <c r="Y73" s="9">
        <f t="shared" si="24"/>
        <v>0</v>
      </c>
      <c r="Z73" s="9">
        <f t="shared" si="24"/>
        <v>0</v>
      </c>
      <c r="AA73" s="9">
        <f t="shared" si="23"/>
        <v>0</v>
      </c>
      <c r="AB73" s="9">
        <f t="shared" si="23"/>
        <v>0</v>
      </c>
      <c r="AC73" s="9">
        <f t="shared" si="23"/>
        <v>0</v>
      </c>
      <c r="AD73" s="9">
        <f t="shared" si="23"/>
        <v>0</v>
      </c>
      <c r="AE73" s="9">
        <f t="shared" si="23"/>
        <v>0</v>
      </c>
    </row>
    <row r="74" spans="2:31" x14ac:dyDescent="0.25">
      <c r="B74" s="6">
        <v>0</v>
      </c>
      <c r="C74" s="6">
        <v>0</v>
      </c>
      <c r="D74" s="6">
        <v>0</v>
      </c>
      <c r="E74" s="6">
        <v>0</v>
      </c>
      <c r="F74" s="6">
        <v>0</v>
      </c>
      <c r="L74">
        <f t="shared" si="13"/>
        <v>0</v>
      </c>
      <c r="M74">
        <f t="shared" si="14"/>
        <v>0</v>
      </c>
      <c r="N74">
        <f t="shared" si="15"/>
        <v>0</v>
      </c>
      <c r="O74">
        <f t="shared" si="16"/>
        <v>0</v>
      </c>
      <c r="P74">
        <f t="shared" si="17"/>
        <v>0</v>
      </c>
      <c r="Q74">
        <f t="shared" si="18"/>
        <v>0</v>
      </c>
      <c r="R74">
        <f t="shared" si="19"/>
        <v>0</v>
      </c>
      <c r="S74">
        <f t="shared" si="20"/>
        <v>0</v>
      </c>
      <c r="T74">
        <f t="shared" si="21"/>
        <v>0</v>
      </c>
      <c r="U74">
        <f t="shared" si="22"/>
        <v>0</v>
      </c>
      <c r="V74" s="9">
        <f t="shared" si="24"/>
        <v>0</v>
      </c>
      <c r="W74" s="9">
        <f t="shared" si="24"/>
        <v>0</v>
      </c>
      <c r="X74" s="9">
        <f t="shared" si="24"/>
        <v>0</v>
      </c>
      <c r="Y74" s="9">
        <f t="shared" si="24"/>
        <v>0</v>
      </c>
      <c r="Z74" s="9">
        <f t="shared" si="24"/>
        <v>0</v>
      </c>
      <c r="AA74" s="9">
        <f t="shared" si="23"/>
        <v>0</v>
      </c>
      <c r="AB74" s="9">
        <f t="shared" si="23"/>
        <v>0</v>
      </c>
      <c r="AC74" s="9">
        <f t="shared" si="23"/>
        <v>0</v>
      </c>
      <c r="AD74" s="9">
        <f t="shared" si="23"/>
        <v>0</v>
      </c>
      <c r="AE74" s="9">
        <f t="shared" si="23"/>
        <v>0</v>
      </c>
    </row>
    <row r="75" spans="2:31" x14ac:dyDescent="0.25">
      <c r="B75" s="6">
        <v>0</v>
      </c>
      <c r="C75" s="6">
        <v>0</v>
      </c>
      <c r="D75" s="6">
        <v>0</v>
      </c>
      <c r="E75" s="6">
        <v>0</v>
      </c>
      <c r="F75" s="6">
        <v>0</v>
      </c>
      <c r="L75">
        <f t="shared" si="13"/>
        <v>0</v>
      </c>
      <c r="M75">
        <f t="shared" si="14"/>
        <v>0</v>
      </c>
      <c r="N75">
        <f t="shared" si="15"/>
        <v>0</v>
      </c>
      <c r="O75">
        <f t="shared" si="16"/>
        <v>0</v>
      </c>
      <c r="P75">
        <f t="shared" si="17"/>
        <v>0</v>
      </c>
      <c r="Q75">
        <f t="shared" si="18"/>
        <v>0</v>
      </c>
      <c r="R75">
        <f t="shared" si="19"/>
        <v>0</v>
      </c>
      <c r="S75">
        <f t="shared" si="20"/>
        <v>0</v>
      </c>
      <c r="T75">
        <f t="shared" si="21"/>
        <v>0</v>
      </c>
      <c r="U75">
        <f t="shared" si="22"/>
        <v>0</v>
      </c>
      <c r="V75" s="9">
        <f t="shared" si="24"/>
        <v>0</v>
      </c>
      <c r="W75" s="9">
        <f t="shared" si="24"/>
        <v>0</v>
      </c>
      <c r="X75" s="9">
        <f t="shared" si="24"/>
        <v>0</v>
      </c>
      <c r="Y75" s="9">
        <f t="shared" si="24"/>
        <v>0</v>
      </c>
      <c r="Z75" s="9">
        <f t="shared" si="24"/>
        <v>0</v>
      </c>
      <c r="AA75" s="9">
        <f t="shared" si="23"/>
        <v>0</v>
      </c>
      <c r="AB75" s="9">
        <f t="shared" si="23"/>
        <v>0</v>
      </c>
      <c r="AC75" s="9">
        <f t="shared" si="23"/>
        <v>0</v>
      </c>
      <c r="AD75" s="9">
        <f t="shared" si="23"/>
        <v>0</v>
      </c>
      <c r="AE75" s="9">
        <f t="shared" si="23"/>
        <v>0</v>
      </c>
    </row>
    <row r="76" spans="2:31" x14ac:dyDescent="0.25">
      <c r="B76" s="6">
        <v>0</v>
      </c>
      <c r="C76" s="6">
        <v>0</v>
      </c>
      <c r="D76" s="6">
        <v>0</v>
      </c>
      <c r="E76" s="6">
        <v>0</v>
      </c>
      <c r="F76" s="6">
        <v>0</v>
      </c>
      <c r="L76">
        <f t="shared" si="13"/>
        <v>0</v>
      </c>
      <c r="M76">
        <f t="shared" si="14"/>
        <v>0</v>
      </c>
      <c r="N76">
        <f t="shared" si="15"/>
        <v>0</v>
      </c>
      <c r="O76">
        <f t="shared" si="16"/>
        <v>0</v>
      </c>
      <c r="P76">
        <f t="shared" si="17"/>
        <v>0</v>
      </c>
      <c r="Q76">
        <f t="shared" si="18"/>
        <v>0</v>
      </c>
      <c r="R76">
        <f t="shared" si="19"/>
        <v>0</v>
      </c>
      <c r="S76">
        <f t="shared" si="20"/>
        <v>0</v>
      </c>
      <c r="T76">
        <f t="shared" si="21"/>
        <v>0</v>
      </c>
      <c r="U76">
        <f t="shared" si="22"/>
        <v>0</v>
      </c>
      <c r="V76" s="9">
        <f t="shared" si="24"/>
        <v>0</v>
      </c>
      <c r="W76" s="9">
        <f t="shared" si="24"/>
        <v>0</v>
      </c>
      <c r="X76" s="9">
        <f t="shared" si="24"/>
        <v>0</v>
      </c>
      <c r="Y76" s="9">
        <f t="shared" si="24"/>
        <v>0</v>
      </c>
      <c r="Z76" s="9">
        <f t="shared" si="24"/>
        <v>0</v>
      </c>
      <c r="AA76" s="9">
        <f t="shared" si="23"/>
        <v>0</v>
      </c>
      <c r="AB76" s="9">
        <f t="shared" si="23"/>
        <v>0</v>
      </c>
      <c r="AC76" s="9">
        <f t="shared" si="23"/>
        <v>0</v>
      </c>
      <c r="AD76" s="9">
        <f t="shared" si="23"/>
        <v>0</v>
      </c>
      <c r="AE76" s="9">
        <f t="shared" si="23"/>
        <v>0</v>
      </c>
    </row>
    <row r="77" spans="2:31" x14ac:dyDescent="0.25">
      <c r="B77" s="6">
        <v>0</v>
      </c>
      <c r="C77" s="6">
        <v>0</v>
      </c>
      <c r="D77" s="6">
        <v>0</v>
      </c>
      <c r="E77" s="6">
        <v>0</v>
      </c>
      <c r="F77" s="6">
        <v>0</v>
      </c>
      <c r="L77">
        <f t="shared" si="13"/>
        <v>0</v>
      </c>
      <c r="M77">
        <f t="shared" si="14"/>
        <v>0</v>
      </c>
      <c r="N77">
        <f t="shared" si="15"/>
        <v>0</v>
      </c>
      <c r="O77">
        <f t="shared" si="16"/>
        <v>0</v>
      </c>
      <c r="P77">
        <f t="shared" si="17"/>
        <v>0</v>
      </c>
      <c r="Q77">
        <f t="shared" si="18"/>
        <v>0</v>
      </c>
      <c r="R77">
        <f t="shared" si="19"/>
        <v>0</v>
      </c>
      <c r="S77">
        <f t="shared" si="20"/>
        <v>0</v>
      </c>
      <c r="T77">
        <f t="shared" si="21"/>
        <v>0</v>
      </c>
      <c r="U77">
        <f t="shared" si="22"/>
        <v>0</v>
      </c>
      <c r="V77" s="9">
        <f t="shared" si="24"/>
        <v>0</v>
      </c>
      <c r="W77" s="9">
        <f t="shared" si="24"/>
        <v>0</v>
      </c>
      <c r="X77" s="9">
        <f t="shared" si="24"/>
        <v>0</v>
      </c>
      <c r="Y77" s="9">
        <f t="shared" si="24"/>
        <v>0</v>
      </c>
      <c r="Z77" s="9">
        <f t="shared" si="24"/>
        <v>0</v>
      </c>
      <c r="AA77" s="9">
        <f t="shared" si="23"/>
        <v>0</v>
      </c>
      <c r="AB77" s="9">
        <f t="shared" si="23"/>
        <v>0</v>
      </c>
      <c r="AC77" s="9">
        <f t="shared" si="23"/>
        <v>0</v>
      </c>
      <c r="AD77" s="9">
        <f t="shared" si="23"/>
        <v>0</v>
      </c>
      <c r="AE77" s="9">
        <f t="shared" si="23"/>
        <v>0</v>
      </c>
    </row>
    <row r="78" spans="2:31" x14ac:dyDescent="0.25">
      <c r="B78" s="6">
        <v>0</v>
      </c>
      <c r="C78" s="6">
        <v>0</v>
      </c>
      <c r="D78" s="6">
        <v>0</v>
      </c>
      <c r="E78" s="6">
        <v>0</v>
      </c>
      <c r="F78" s="6">
        <v>0</v>
      </c>
      <c r="L78">
        <f t="shared" si="13"/>
        <v>0</v>
      </c>
      <c r="M78">
        <f t="shared" si="14"/>
        <v>0</v>
      </c>
      <c r="N78">
        <f t="shared" si="15"/>
        <v>0</v>
      </c>
      <c r="O78">
        <f t="shared" si="16"/>
        <v>0</v>
      </c>
      <c r="P78">
        <f t="shared" si="17"/>
        <v>0</v>
      </c>
      <c r="Q78">
        <f t="shared" si="18"/>
        <v>0</v>
      </c>
      <c r="R78">
        <f t="shared" si="19"/>
        <v>0</v>
      </c>
      <c r="S78">
        <f t="shared" si="20"/>
        <v>0</v>
      </c>
      <c r="T78">
        <f t="shared" si="21"/>
        <v>0</v>
      </c>
      <c r="U78">
        <f t="shared" si="22"/>
        <v>0</v>
      </c>
      <c r="V78" s="9">
        <f t="shared" si="24"/>
        <v>0</v>
      </c>
      <c r="W78" s="9">
        <f t="shared" si="24"/>
        <v>0</v>
      </c>
      <c r="X78" s="9">
        <f t="shared" si="24"/>
        <v>0</v>
      </c>
      <c r="Y78" s="9">
        <f t="shared" si="24"/>
        <v>0</v>
      </c>
      <c r="Z78" s="9">
        <f t="shared" si="24"/>
        <v>0</v>
      </c>
      <c r="AA78" s="9">
        <f t="shared" si="23"/>
        <v>0</v>
      </c>
      <c r="AB78" s="9">
        <f t="shared" si="23"/>
        <v>0</v>
      </c>
      <c r="AC78" s="9">
        <f t="shared" si="23"/>
        <v>0</v>
      </c>
      <c r="AD78" s="9">
        <f t="shared" si="23"/>
        <v>0</v>
      </c>
      <c r="AE78" s="9">
        <f t="shared" si="23"/>
        <v>0</v>
      </c>
    </row>
    <row r="79" spans="2:31" x14ac:dyDescent="0.25">
      <c r="B79" s="6">
        <v>0</v>
      </c>
      <c r="C79" s="6">
        <v>0</v>
      </c>
      <c r="D79" s="6">
        <v>0</v>
      </c>
      <c r="E79" s="6">
        <v>0</v>
      </c>
      <c r="F79" s="6">
        <v>0</v>
      </c>
      <c r="L79">
        <f t="shared" si="13"/>
        <v>0</v>
      </c>
      <c r="M79">
        <f t="shared" si="14"/>
        <v>0</v>
      </c>
      <c r="N79">
        <f t="shared" si="15"/>
        <v>0</v>
      </c>
      <c r="O79">
        <f t="shared" si="16"/>
        <v>0</v>
      </c>
      <c r="P79">
        <f t="shared" si="17"/>
        <v>0</v>
      </c>
      <c r="Q79">
        <f t="shared" si="18"/>
        <v>0</v>
      </c>
      <c r="R79">
        <f t="shared" si="19"/>
        <v>0</v>
      </c>
      <c r="S79">
        <f t="shared" si="20"/>
        <v>0</v>
      </c>
      <c r="T79">
        <f t="shared" si="21"/>
        <v>0</v>
      </c>
      <c r="U79">
        <f t="shared" si="22"/>
        <v>0</v>
      </c>
      <c r="V79" s="9">
        <f t="shared" si="24"/>
        <v>0</v>
      </c>
      <c r="W79" s="9">
        <f t="shared" si="24"/>
        <v>0</v>
      </c>
      <c r="X79" s="9">
        <f t="shared" si="24"/>
        <v>0</v>
      </c>
      <c r="Y79" s="9">
        <f t="shared" si="24"/>
        <v>0</v>
      </c>
      <c r="Z79" s="9">
        <f t="shared" si="24"/>
        <v>0</v>
      </c>
      <c r="AA79" s="9">
        <f t="shared" si="23"/>
        <v>0</v>
      </c>
      <c r="AB79" s="9">
        <f t="shared" si="23"/>
        <v>0</v>
      </c>
      <c r="AC79" s="9">
        <f t="shared" si="23"/>
        <v>0</v>
      </c>
      <c r="AD79" s="9">
        <f t="shared" si="23"/>
        <v>0</v>
      </c>
      <c r="AE79" s="9">
        <f t="shared" si="23"/>
        <v>0</v>
      </c>
    </row>
    <row r="80" spans="2:31" x14ac:dyDescent="0.25">
      <c r="B80" s="6">
        <v>0</v>
      </c>
      <c r="C80" s="6">
        <v>0</v>
      </c>
      <c r="D80" s="6">
        <v>0</v>
      </c>
      <c r="E80" s="6">
        <v>0</v>
      </c>
      <c r="F80" s="6">
        <v>0</v>
      </c>
      <c r="L80">
        <f t="shared" si="13"/>
        <v>0</v>
      </c>
      <c r="M80">
        <f t="shared" si="14"/>
        <v>0</v>
      </c>
      <c r="N80">
        <f t="shared" si="15"/>
        <v>0</v>
      </c>
      <c r="O80">
        <f t="shared" si="16"/>
        <v>0</v>
      </c>
      <c r="P80">
        <f t="shared" si="17"/>
        <v>0</v>
      </c>
      <c r="Q80">
        <f t="shared" si="18"/>
        <v>0</v>
      </c>
      <c r="R80">
        <f t="shared" si="19"/>
        <v>0</v>
      </c>
      <c r="S80">
        <f t="shared" si="20"/>
        <v>0</v>
      </c>
      <c r="T80">
        <f t="shared" si="21"/>
        <v>0</v>
      </c>
      <c r="U80">
        <f t="shared" si="22"/>
        <v>0</v>
      </c>
      <c r="V80" s="9">
        <f t="shared" si="24"/>
        <v>0</v>
      </c>
      <c r="W80" s="9">
        <f t="shared" si="24"/>
        <v>0</v>
      </c>
      <c r="X80" s="9">
        <f t="shared" si="24"/>
        <v>0</v>
      </c>
      <c r="Y80" s="9">
        <f t="shared" si="24"/>
        <v>0</v>
      </c>
      <c r="Z80" s="9">
        <f t="shared" si="24"/>
        <v>0</v>
      </c>
      <c r="AA80" s="9">
        <f t="shared" si="23"/>
        <v>0</v>
      </c>
      <c r="AB80" s="9">
        <f t="shared" si="23"/>
        <v>0</v>
      </c>
      <c r="AC80" s="9">
        <f t="shared" si="23"/>
        <v>0</v>
      </c>
      <c r="AD80" s="9">
        <f t="shared" si="23"/>
        <v>0</v>
      </c>
      <c r="AE80" s="9">
        <f t="shared" si="23"/>
        <v>0</v>
      </c>
    </row>
    <row r="81" spans="2:31" x14ac:dyDescent="0.25">
      <c r="B81" s="6">
        <v>0</v>
      </c>
      <c r="C81" s="6">
        <v>0</v>
      </c>
      <c r="D81" s="6">
        <v>0</v>
      </c>
      <c r="E81" s="6">
        <v>0</v>
      </c>
      <c r="F81" s="6">
        <v>0</v>
      </c>
      <c r="L81">
        <f t="shared" si="13"/>
        <v>0</v>
      </c>
      <c r="M81">
        <f t="shared" si="14"/>
        <v>0</v>
      </c>
      <c r="N81">
        <f t="shared" si="15"/>
        <v>0</v>
      </c>
      <c r="O81">
        <f t="shared" si="16"/>
        <v>0</v>
      </c>
      <c r="P81">
        <f t="shared" si="17"/>
        <v>0</v>
      </c>
      <c r="Q81">
        <f t="shared" si="18"/>
        <v>0</v>
      </c>
      <c r="R81">
        <f t="shared" si="19"/>
        <v>0</v>
      </c>
      <c r="S81">
        <f t="shared" si="20"/>
        <v>0</v>
      </c>
      <c r="T81">
        <f t="shared" si="21"/>
        <v>0</v>
      </c>
      <c r="U81">
        <f t="shared" si="22"/>
        <v>0</v>
      </c>
      <c r="V81" s="9">
        <f t="shared" si="24"/>
        <v>0</v>
      </c>
      <c r="W81" s="9">
        <f t="shared" si="24"/>
        <v>0</v>
      </c>
      <c r="X81" s="9">
        <f t="shared" si="24"/>
        <v>0</v>
      </c>
      <c r="Y81" s="9">
        <f t="shared" si="24"/>
        <v>0</v>
      </c>
      <c r="Z81" s="9">
        <f t="shared" si="24"/>
        <v>0</v>
      </c>
      <c r="AA81" s="9">
        <f t="shared" si="23"/>
        <v>0</v>
      </c>
      <c r="AB81" s="9">
        <f t="shared" si="23"/>
        <v>0</v>
      </c>
      <c r="AC81" s="9">
        <f t="shared" si="23"/>
        <v>0</v>
      </c>
      <c r="AD81" s="9">
        <f t="shared" si="23"/>
        <v>0</v>
      </c>
      <c r="AE81" s="9">
        <f t="shared" si="23"/>
        <v>0</v>
      </c>
    </row>
    <row r="82" spans="2:31" x14ac:dyDescent="0.25">
      <c r="B82" s="6">
        <v>0</v>
      </c>
      <c r="C82" s="6">
        <v>0</v>
      </c>
      <c r="D82" s="6">
        <v>0</v>
      </c>
      <c r="E82" s="6">
        <v>0</v>
      </c>
      <c r="F82" s="6">
        <v>0</v>
      </c>
      <c r="L82">
        <f t="shared" si="13"/>
        <v>0</v>
      </c>
      <c r="M82">
        <f t="shared" si="14"/>
        <v>0</v>
      </c>
      <c r="N82">
        <f t="shared" si="15"/>
        <v>0</v>
      </c>
      <c r="O82">
        <f t="shared" si="16"/>
        <v>0</v>
      </c>
      <c r="P82">
        <f t="shared" si="17"/>
        <v>0</v>
      </c>
      <c r="Q82">
        <f t="shared" si="18"/>
        <v>0</v>
      </c>
      <c r="R82">
        <f t="shared" si="19"/>
        <v>0</v>
      </c>
      <c r="S82">
        <f t="shared" si="20"/>
        <v>0</v>
      </c>
      <c r="T82">
        <f t="shared" si="21"/>
        <v>0</v>
      </c>
      <c r="U82">
        <f t="shared" si="22"/>
        <v>0</v>
      </c>
      <c r="V82" s="9">
        <f t="shared" si="24"/>
        <v>0</v>
      </c>
      <c r="W82" s="9">
        <f t="shared" si="24"/>
        <v>0</v>
      </c>
      <c r="X82" s="9">
        <f t="shared" si="24"/>
        <v>0</v>
      </c>
      <c r="Y82" s="9">
        <f t="shared" si="24"/>
        <v>0</v>
      </c>
      <c r="Z82" s="9">
        <f t="shared" si="24"/>
        <v>0</v>
      </c>
      <c r="AA82" s="9">
        <f t="shared" si="23"/>
        <v>0</v>
      </c>
      <c r="AB82" s="9">
        <f t="shared" si="23"/>
        <v>0</v>
      </c>
      <c r="AC82" s="9">
        <f t="shared" si="23"/>
        <v>0</v>
      </c>
      <c r="AD82" s="9">
        <f t="shared" si="23"/>
        <v>0</v>
      </c>
      <c r="AE82" s="9">
        <f t="shared" si="23"/>
        <v>0</v>
      </c>
    </row>
    <row r="83" spans="2:31" x14ac:dyDescent="0.25">
      <c r="B83" s="6">
        <v>0</v>
      </c>
      <c r="C83" s="6">
        <v>0</v>
      </c>
      <c r="D83" s="6">
        <v>0</v>
      </c>
      <c r="E83" s="6">
        <v>0</v>
      </c>
      <c r="F83" s="6">
        <v>0</v>
      </c>
      <c r="L83">
        <f t="shared" si="13"/>
        <v>0</v>
      </c>
      <c r="M83">
        <f t="shared" si="14"/>
        <v>0</v>
      </c>
      <c r="N83">
        <f t="shared" si="15"/>
        <v>0</v>
      </c>
      <c r="O83">
        <f t="shared" si="16"/>
        <v>0</v>
      </c>
      <c r="P83">
        <f t="shared" si="17"/>
        <v>0</v>
      </c>
      <c r="Q83">
        <f t="shared" si="18"/>
        <v>0</v>
      </c>
      <c r="R83">
        <f t="shared" si="19"/>
        <v>0</v>
      </c>
      <c r="S83">
        <f t="shared" si="20"/>
        <v>0</v>
      </c>
      <c r="T83">
        <f t="shared" si="21"/>
        <v>0</v>
      </c>
      <c r="U83">
        <f t="shared" si="22"/>
        <v>0</v>
      </c>
      <c r="V83" s="9">
        <f t="shared" si="24"/>
        <v>0</v>
      </c>
      <c r="W83" s="9">
        <f t="shared" si="24"/>
        <v>0</v>
      </c>
      <c r="X83" s="9">
        <f t="shared" si="24"/>
        <v>0</v>
      </c>
      <c r="Y83" s="9">
        <f t="shared" si="24"/>
        <v>0</v>
      </c>
      <c r="Z83" s="9">
        <f t="shared" si="24"/>
        <v>0</v>
      </c>
      <c r="AA83" s="9">
        <f t="shared" si="23"/>
        <v>0</v>
      </c>
      <c r="AB83" s="9">
        <f t="shared" si="23"/>
        <v>0</v>
      </c>
      <c r="AC83" s="9">
        <f t="shared" si="23"/>
        <v>0</v>
      </c>
      <c r="AD83" s="9">
        <f t="shared" si="23"/>
        <v>0</v>
      </c>
      <c r="AE83" s="9">
        <f t="shared" si="23"/>
        <v>0</v>
      </c>
    </row>
    <row r="84" spans="2:31" x14ac:dyDescent="0.25">
      <c r="B84" s="6">
        <v>0</v>
      </c>
      <c r="C84" s="6">
        <v>0</v>
      </c>
      <c r="D84" s="6">
        <v>0</v>
      </c>
      <c r="E84" s="6">
        <v>0</v>
      </c>
      <c r="F84" s="6">
        <v>0</v>
      </c>
      <c r="L84">
        <f t="shared" si="13"/>
        <v>0</v>
      </c>
      <c r="M84">
        <f t="shared" si="14"/>
        <v>0</v>
      </c>
      <c r="N84">
        <f t="shared" si="15"/>
        <v>0</v>
      </c>
      <c r="O84">
        <f t="shared" si="16"/>
        <v>0</v>
      </c>
      <c r="P84">
        <f t="shared" si="17"/>
        <v>0</v>
      </c>
      <c r="Q84">
        <f t="shared" si="18"/>
        <v>0</v>
      </c>
      <c r="R84">
        <f t="shared" si="19"/>
        <v>0</v>
      </c>
      <c r="S84">
        <f t="shared" si="20"/>
        <v>0</v>
      </c>
      <c r="T84">
        <f t="shared" si="21"/>
        <v>0</v>
      </c>
      <c r="U84">
        <f t="shared" si="22"/>
        <v>0</v>
      </c>
      <c r="V84" s="9">
        <f t="shared" si="24"/>
        <v>0</v>
      </c>
      <c r="W84" s="9">
        <f t="shared" si="24"/>
        <v>0</v>
      </c>
      <c r="X84" s="9">
        <f t="shared" si="24"/>
        <v>0</v>
      </c>
      <c r="Y84" s="9">
        <f t="shared" si="24"/>
        <v>0</v>
      </c>
      <c r="Z84" s="9">
        <f t="shared" si="24"/>
        <v>0</v>
      </c>
      <c r="AA84" s="9">
        <f t="shared" si="23"/>
        <v>0</v>
      </c>
      <c r="AB84" s="9">
        <f t="shared" si="23"/>
        <v>0</v>
      </c>
      <c r="AC84" s="9">
        <f t="shared" si="23"/>
        <v>0</v>
      </c>
      <c r="AD84" s="9">
        <f t="shared" si="23"/>
        <v>0</v>
      </c>
      <c r="AE84" s="9">
        <f t="shared" si="23"/>
        <v>0</v>
      </c>
    </row>
    <row r="85" spans="2:31" x14ac:dyDescent="0.25">
      <c r="B85" s="6">
        <v>0</v>
      </c>
      <c r="C85" s="6">
        <v>0</v>
      </c>
      <c r="D85" s="6">
        <v>0</v>
      </c>
      <c r="E85" s="6">
        <v>0</v>
      </c>
      <c r="F85" s="6">
        <v>0</v>
      </c>
      <c r="L85">
        <f t="shared" si="13"/>
        <v>0</v>
      </c>
      <c r="M85">
        <f t="shared" si="14"/>
        <v>0</v>
      </c>
      <c r="N85">
        <f t="shared" si="15"/>
        <v>0</v>
      </c>
      <c r="O85">
        <f t="shared" si="16"/>
        <v>0</v>
      </c>
      <c r="P85">
        <f t="shared" si="17"/>
        <v>0</v>
      </c>
      <c r="Q85">
        <f t="shared" si="18"/>
        <v>0</v>
      </c>
      <c r="R85">
        <f t="shared" si="19"/>
        <v>0</v>
      </c>
      <c r="S85">
        <f t="shared" si="20"/>
        <v>0</v>
      </c>
      <c r="T85">
        <f t="shared" si="21"/>
        <v>0</v>
      </c>
      <c r="U85">
        <f t="shared" si="22"/>
        <v>0</v>
      </c>
      <c r="V85" s="9">
        <f t="shared" si="24"/>
        <v>0</v>
      </c>
      <c r="W85" s="9">
        <f t="shared" si="24"/>
        <v>0</v>
      </c>
      <c r="X85" s="9">
        <f t="shared" si="24"/>
        <v>0</v>
      </c>
      <c r="Y85" s="9">
        <f t="shared" si="24"/>
        <v>0</v>
      </c>
      <c r="Z85" s="9">
        <f t="shared" si="24"/>
        <v>0</v>
      </c>
      <c r="AA85" s="9">
        <f t="shared" si="23"/>
        <v>0</v>
      </c>
      <c r="AB85" s="9">
        <f t="shared" si="23"/>
        <v>0</v>
      </c>
      <c r="AC85" s="9">
        <f t="shared" si="23"/>
        <v>0</v>
      </c>
      <c r="AD85" s="9">
        <f t="shared" si="23"/>
        <v>0</v>
      </c>
      <c r="AE85" s="9">
        <f t="shared" si="23"/>
        <v>0</v>
      </c>
    </row>
    <row r="86" spans="2:31" x14ac:dyDescent="0.25">
      <c r="B86" s="6">
        <v>0</v>
      </c>
      <c r="C86" s="6">
        <v>0</v>
      </c>
      <c r="D86" s="6">
        <v>0</v>
      </c>
      <c r="E86" s="6">
        <v>0</v>
      </c>
      <c r="F86" s="6">
        <v>0</v>
      </c>
      <c r="L86">
        <f t="shared" si="13"/>
        <v>0</v>
      </c>
      <c r="M86">
        <f t="shared" si="14"/>
        <v>0</v>
      </c>
      <c r="N86">
        <f t="shared" si="15"/>
        <v>0</v>
      </c>
      <c r="O86">
        <f t="shared" si="16"/>
        <v>0</v>
      </c>
      <c r="P86">
        <f t="shared" si="17"/>
        <v>0</v>
      </c>
      <c r="Q86">
        <f t="shared" si="18"/>
        <v>0</v>
      </c>
      <c r="R86">
        <f t="shared" si="19"/>
        <v>0</v>
      </c>
      <c r="S86">
        <f t="shared" si="20"/>
        <v>0</v>
      </c>
      <c r="T86">
        <f t="shared" si="21"/>
        <v>0</v>
      </c>
      <c r="U86">
        <f t="shared" si="22"/>
        <v>0</v>
      </c>
      <c r="V86" s="9">
        <f t="shared" si="24"/>
        <v>0</v>
      </c>
      <c r="W86" s="9">
        <f t="shared" si="24"/>
        <v>0</v>
      </c>
      <c r="X86" s="9">
        <f t="shared" si="24"/>
        <v>0</v>
      </c>
      <c r="Y86" s="9">
        <f t="shared" si="24"/>
        <v>0</v>
      </c>
      <c r="Z86" s="9">
        <f t="shared" si="24"/>
        <v>0</v>
      </c>
      <c r="AA86" s="9">
        <f t="shared" si="23"/>
        <v>0</v>
      </c>
      <c r="AB86" s="9">
        <f t="shared" si="23"/>
        <v>0</v>
      </c>
      <c r="AC86" s="9">
        <f t="shared" si="23"/>
        <v>0</v>
      </c>
      <c r="AD86" s="9">
        <f t="shared" si="23"/>
        <v>0</v>
      </c>
      <c r="AE86" s="9">
        <f t="shared" si="23"/>
        <v>0</v>
      </c>
    </row>
    <row r="87" spans="2:31" x14ac:dyDescent="0.25">
      <c r="B87" s="6">
        <v>0</v>
      </c>
      <c r="C87" s="6">
        <v>0</v>
      </c>
      <c r="D87" s="6">
        <v>0</v>
      </c>
      <c r="E87" s="6">
        <v>0</v>
      </c>
      <c r="F87" s="6">
        <v>0</v>
      </c>
      <c r="L87">
        <f t="shared" si="13"/>
        <v>0</v>
      </c>
      <c r="M87">
        <f t="shared" si="14"/>
        <v>0</v>
      </c>
      <c r="N87">
        <f t="shared" si="15"/>
        <v>0</v>
      </c>
      <c r="O87">
        <f t="shared" si="16"/>
        <v>0</v>
      </c>
      <c r="P87">
        <f t="shared" si="17"/>
        <v>0</v>
      </c>
      <c r="Q87">
        <f t="shared" si="18"/>
        <v>0</v>
      </c>
      <c r="R87">
        <f t="shared" si="19"/>
        <v>0</v>
      </c>
      <c r="S87">
        <f t="shared" si="20"/>
        <v>0</v>
      </c>
      <c r="T87">
        <f t="shared" si="21"/>
        <v>0</v>
      </c>
      <c r="U87">
        <f t="shared" si="22"/>
        <v>0</v>
      </c>
      <c r="V87" s="9">
        <f t="shared" si="24"/>
        <v>0</v>
      </c>
      <c r="W87" s="9">
        <f t="shared" si="24"/>
        <v>0</v>
      </c>
      <c r="X87" s="9">
        <f t="shared" si="24"/>
        <v>0</v>
      </c>
      <c r="Y87" s="9">
        <f t="shared" si="24"/>
        <v>0</v>
      </c>
      <c r="Z87" s="9">
        <f t="shared" si="24"/>
        <v>0</v>
      </c>
      <c r="AA87" s="9">
        <f t="shared" si="23"/>
        <v>0</v>
      </c>
      <c r="AB87" s="9">
        <f t="shared" si="23"/>
        <v>0</v>
      </c>
      <c r="AC87" s="9">
        <f t="shared" si="23"/>
        <v>0</v>
      </c>
      <c r="AD87" s="9">
        <f t="shared" si="23"/>
        <v>0</v>
      </c>
      <c r="AE87" s="9">
        <f t="shared" si="23"/>
        <v>0</v>
      </c>
    </row>
    <row r="88" spans="2:31" x14ac:dyDescent="0.25">
      <c r="B88" s="6">
        <v>0</v>
      </c>
      <c r="C88" s="6">
        <v>0</v>
      </c>
      <c r="D88" s="6">
        <v>0</v>
      </c>
      <c r="E88" s="6">
        <v>0</v>
      </c>
      <c r="F88" s="6">
        <v>0</v>
      </c>
      <c r="L88">
        <f t="shared" si="13"/>
        <v>0</v>
      </c>
      <c r="M88">
        <f t="shared" si="14"/>
        <v>0</v>
      </c>
      <c r="N88">
        <f t="shared" si="15"/>
        <v>0</v>
      </c>
      <c r="O88">
        <f t="shared" si="16"/>
        <v>0</v>
      </c>
      <c r="P88">
        <f t="shared" si="17"/>
        <v>0</v>
      </c>
      <c r="Q88">
        <f t="shared" si="18"/>
        <v>0</v>
      </c>
      <c r="R88">
        <f t="shared" si="19"/>
        <v>0</v>
      </c>
      <c r="S88">
        <f t="shared" si="20"/>
        <v>0</v>
      </c>
      <c r="T88">
        <f t="shared" si="21"/>
        <v>0</v>
      </c>
      <c r="U88">
        <f t="shared" si="22"/>
        <v>0</v>
      </c>
      <c r="V88" s="9">
        <f t="shared" si="24"/>
        <v>0</v>
      </c>
      <c r="W88" s="9">
        <f t="shared" si="24"/>
        <v>0</v>
      </c>
      <c r="X88" s="9">
        <f t="shared" si="24"/>
        <v>0</v>
      </c>
      <c r="Y88" s="9">
        <f t="shared" si="24"/>
        <v>0</v>
      </c>
      <c r="Z88" s="9">
        <f t="shared" si="24"/>
        <v>0</v>
      </c>
      <c r="AA88" s="9">
        <f t="shared" si="23"/>
        <v>0</v>
      </c>
      <c r="AB88" s="9">
        <f t="shared" si="23"/>
        <v>0</v>
      </c>
      <c r="AC88" s="9">
        <f t="shared" si="23"/>
        <v>0</v>
      </c>
      <c r="AD88" s="9">
        <f t="shared" si="23"/>
        <v>0</v>
      </c>
      <c r="AE88" s="9">
        <f t="shared" si="23"/>
        <v>0</v>
      </c>
    </row>
    <row r="89" spans="2:31" x14ac:dyDescent="0.25">
      <c r="B89" s="6">
        <v>0</v>
      </c>
      <c r="C89" s="6">
        <v>0</v>
      </c>
      <c r="D89" s="6">
        <v>0</v>
      </c>
      <c r="E89" s="6">
        <v>0</v>
      </c>
      <c r="F89" s="6">
        <v>0</v>
      </c>
      <c r="L89">
        <f t="shared" si="13"/>
        <v>0</v>
      </c>
      <c r="M89">
        <f t="shared" si="14"/>
        <v>0</v>
      </c>
      <c r="N89">
        <f t="shared" si="15"/>
        <v>0</v>
      </c>
      <c r="O89">
        <f t="shared" si="16"/>
        <v>0</v>
      </c>
      <c r="P89">
        <f t="shared" si="17"/>
        <v>0</v>
      </c>
      <c r="Q89">
        <f t="shared" si="18"/>
        <v>0</v>
      </c>
      <c r="R89">
        <f t="shared" si="19"/>
        <v>0</v>
      </c>
      <c r="S89">
        <f t="shared" si="20"/>
        <v>0</v>
      </c>
      <c r="T89">
        <f t="shared" si="21"/>
        <v>0</v>
      </c>
      <c r="U89">
        <f t="shared" si="22"/>
        <v>0</v>
      </c>
      <c r="V89" s="9">
        <f t="shared" si="24"/>
        <v>0</v>
      </c>
      <c r="W89" s="9">
        <f t="shared" si="24"/>
        <v>0</v>
      </c>
      <c r="X89" s="9">
        <f t="shared" si="24"/>
        <v>0</v>
      </c>
      <c r="Y89" s="9">
        <f t="shared" si="24"/>
        <v>0</v>
      </c>
      <c r="Z89" s="9">
        <f t="shared" si="24"/>
        <v>0</v>
      </c>
      <c r="AA89" s="9">
        <f t="shared" si="23"/>
        <v>0</v>
      </c>
      <c r="AB89" s="9">
        <f t="shared" si="23"/>
        <v>0</v>
      </c>
      <c r="AC89" s="9">
        <f t="shared" si="23"/>
        <v>0</v>
      </c>
      <c r="AD89" s="9">
        <f t="shared" si="23"/>
        <v>0</v>
      </c>
      <c r="AE89" s="9">
        <f t="shared" si="23"/>
        <v>0</v>
      </c>
    </row>
    <row r="90" spans="2:31" x14ac:dyDescent="0.25">
      <c r="B90" s="6">
        <v>0</v>
      </c>
      <c r="C90" s="6">
        <v>0</v>
      </c>
      <c r="D90" s="6">
        <v>0</v>
      </c>
      <c r="E90" s="6">
        <v>0</v>
      </c>
      <c r="F90" s="6">
        <v>0</v>
      </c>
      <c r="L90">
        <f t="shared" si="13"/>
        <v>0</v>
      </c>
      <c r="M90">
        <f t="shared" si="14"/>
        <v>0</v>
      </c>
      <c r="N90">
        <f t="shared" si="15"/>
        <v>0</v>
      </c>
      <c r="O90">
        <f t="shared" si="16"/>
        <v>0</v>
      </c>
      <c r="P90">
        <f t="shared" si="17"/>
        <v>0</v>
      </c>
      <c r="Q90">
        <f t="shared" si="18"/>
        <v>0</v>
      </c>
      <c r="R90">
        <f t="shared" si="19"/>
        <v>0</v>
      </c>
      <c r="S90">
        <f t="shared" si="20"/>
        <v>0</v>
      </c>
      <c r="T90">
        <f t="shared" si="21"/>
        <v>0</v>
      </c>
      <c r="U90">
        <f t="shared" si="22"/>
        <v>0</v>
      </c>
      <c r="V90" s="9">
        <f t="shared" si="24"/>
        <v>0</v>
      </c>
      <c r="W90" s="9">
        <f t="shared" si="24"/>
        <v>0</v>
      </c>
      <c r="X90" s="9">
        <f t="shared" si="24"/>
        <v>0</v>
      </c>
      <c r="Y90" s="9">
        <f t="shared" si="24"/>
        <v>0</v>
      </c>
      <c r="Z90" s="9">
        <f t="shared" si="24"/>
        <v>0</v>
      </c>
      <c r="AA90" s="9">
        <f t="shared" si="23"/>
        <v>0</v>
      </c>
      <c r="AB90" s="9">
        <f t="shared" si="23"/>
        <v>0</v>
      </c>
      <c r="AC90" s="9">
        <f t="shared" si="23"/>
        <v>0</v>
      </c>
      <c r="AD90" s="9">
        <f t="shared" si="23"/>
        <v>0</v>
      </c>
      <c r="AE90" s="9">
        <f t="shared" si="23"/>
        <v>0</v>
      </c>
    </row>
    <row r="91" spans="2:31" x14ac:dyDescent="0.25">
      <c r="B91" s="6">
        <v>0</v>
      </c>
      <c r="C91" s="6">
        <v>0</v>
      </c>
      <c r="D91" s="6">
        <v>0</v>
      </c>
      <c r="E91" s="6">
        <v>0</v>
      </c>
      <c r="F91" s="6">
        <v>0</v>
      </c>
      <c r="L91">
        <f t="shared" si="13"/>
        <v>0</v>
      </c>
      <c r="M91">
        <f t="shared" si="14"/>
        <v>0</v>
      </c>
      <c r="N91">
        <f t="shared" si="15"/>
        <v>0</v>
      </c>
      <c r="O91">
        <f t="shared" si="16"/>
        <v>0</v>
      </c>
      <c r="P91">
        <f t="shared" si="17"/>
        <v>0</v>
      </c>
      <c r="Q91">
        <f t="shared" si="18"/>
        <v>0</v>
      </c>
      <c r="R91">
        <f t="shared" si="19"/>
        <v>0</v>
      </c>
      <c r="S91">
        <f t="shared" si="20"/>
        <v>0</v>
      </c>
      <c r="T91">
        <f t="shared" si="21"/>
        <v>0</v>
      </c>
      <c r="U91">
        <f t="shared" si="22"/>
        <v>0</v>
      </c>
      <c r="V91" s="9">
        <f t="shared" si="24"/>
        <v>0</v>
      </c>
      <c r="W91" s="9">
        <f t="shared" si="24"/>
        <v>0</v>
      </c>
      <c r="X91" s="9">
        <f t="shared" si="24"/>
        <v>0</v>
      </c>
      <c r="Y91" s="9">
        <f t="shared" si="24"/>
        <v>0</v>
      </c>
      <c r="Z91" s="9">
        <f t="shared" si="24"/>
        <v>0</v>
      </c>
      <c r="AA91" s="9">
        <f t="shared" si="23"/>
        <v>0</v>
      </c>
      <c r="AB91" s="9">
        <f t="shared" si="23"/>
        <v>0</v>
      </c>
      <c r="AC91" s="9">
        <f t="shared" si="23"/>
        <v>0</v>
      </c>
      <c r="AD91" s="9">
        <f t="shared" si="23"/>
        <v>0</v>
      </c>
      <c r="AE91" s="9">
        <f t="shared" si="23"/>
        <v>0</v>
      </c>
    </row>
    <row r="92" spans="2:31" x14ac:dyDescent="0.25">
      <c r="B92" s="6">
        <v>0</v>
      </c>
      <c r="C92" s="6">
        <v>0</v>
      </c>
      <c r="D92" s="6">
        <v>0</v>
      </c>
      <c r="E92" s="6">
        <v>0</v>
      </c>
      <c r="F92" s="6">
        <v>0</v>
      </c>
      <c r="L92">
        <f t="shared" si="13"/>
        <v>0</v>
      </c>
      <c r="M92">
        <f t="shared" si="14"/>
        <v>0</v>
      </c>
      <c r="N92">
        <f t="shared" si="15"/>
        <v>0</v>
      </c>
      <c r="O92">
        <f t="shared" si="16"/>
        <v>0</v>
      </c>
      <c r="P92">
        <f t="shared" si="17"/>
        <v>0</v>
      </c>
      <c r="Q92">
        <f t="shared" si="18"/>
        <v>0</v>
      </c>
      <c r="R92">
        <f t="shared" si="19"/>
        <v>0</v>
      </c>
      <c r="S92">
        <f t="shared" si="20"/>
        <v>0</v>
      </c>
      <c r="T92">
        <f t="shared" si="21"/>
        <v>0</v>
      </c>
      <c r="U92">
        <f t="shared" si="22"/>
        <v>0</v>
      </c>
      <c r="V92" s="9">
        <f t="shared" si="24"/>
        <v>0</v>
      </c>
      <c r="W92" s="9">
        <f t="shared" si="24"/>
        <v>0</v>
      </c>
      <c r="X92" s="9">
        <f t="shared" si="24"/>
        <v>0</v>
      </c>
      <c r="Y92" s="9">
        <f t="shared" si="24"/>
        <v>0</v>
      </c>
      <c r="Z92" s="9">
        <f t="shared" si="24"/>
        <v>0</v>
      </c>
      <c r="AA92" s="9">
        <f t="shared" si="23"/>
        <v>0</v>
      </c>
      <c r="AB92" s="9">
        <f t="shared" si="23"/>
        <v>0</v>
      </c>
      <c r="AC92" s="9">
        <f t="shared" si="23"/>
        <v>0</v>
      </c>
      <c r="AD92" s="9">
        <f t="shared" si="23"/>
        <v>0</v>
      </c>
      <c r="AE92" s="9">
        <f t="shared" si="23"/>
        <v>0</v>
      </c>
    </row>
    <row r="93" spans="2:31" x14ac:dyDescent="0.25">
      <c r="B93" s="6">
        <v>0</v>
      </c>
      <c r="C93" s="6">
        <v>0</v>
      </c>
      <c r="D93" s="6">
        <v>0</v>
      </c>
      <c r="E93" s="6">
        <v>0</v>
      </c>
      <c r="F93" s="6">
        <v>0</v>
      </c>
      <c r="L93">
        <f t="shared" si="13"/>
        <v>0</v>
      </c>
      <c r="M93">
        <f t="shared" si="14"/>
        <v>0</v>
      </c>
      <c r="N93">
        <f t="shared" si="15"/>
        <v>0</v>
      </c>
      <c r="O93">
        <f t="shared" si="16"/>
        <v>0</v>
      </c>
      <c r="P93">
        <f t="shared" si="17"/>
        <v>0</v>
      </c>
      <c r="Q93">
        <f t="shared" si="18"/>
        <v>0</v>
      </c>
      <c r="R93">
        <f t="shared" si="19"/>
        <v>0</v>
      </c>
      <c r="S93">
        <f t="shared" si="20"/>
        <v>0</v>
      </c>
      <c r="T93">
        <f t="shared" si="21"/>
        <v>0</v>
      </c>
      <c r="U93">
        <f t="shared" si="22"/>
        <v>0</v>
      </c>
      <c r="V93" s="9">
        <f t="shared" si="24"/>
        <v>0</v>
      </c>
      <c r="W93" s="9">
        <f t="shared" si="24"/>
        <v>0</v>
      </c>
      <c r="X93" s="9">
        <f t="shared" si="24"/>
        <v>0</v>
      </c>
      <c r="Y93" s="9">
        <f t="shared" si="24"/>
        <v>0</v>
      </c>
      <c r="Z93" s="9">
        <f t="shared" si="24"/>
        <v>0</v>
      </c>
      <c r="AA93" s="9">
        <f t="shared" si="23"/>
        <v>0</v>
      </c>
      <c r="AB93" s="9">
        <f t="shared" si="23"/>
        <v>0</v>
      </c>
      <c r="AC93" s="9">
        <f t="shared" si="23"/>
        <v>0</v>
      </c>
      <c r="AD93" s="9">
        <f t="shared" si="23"/>
        <v>0</v>
      </c>
      <c r="AE93" s="9">
        <f t="shared" si="23"/>
        <v>0</v>
      </c>
    </row>
    <row r="94" spans="2:31" x14ac:dyDescent="0.25">
      <c r="B94" s="6">
        <v>0</v>
      </c>
      <c r="C94" s="6">
        <v>0</v>
      </c>
      <c r="D94" s="6">
        <v>0</v>
      </c>
      <c r="E94" s="6">
        <v>0</v>
      </c>
      <c r="F94" s="6">
        <v>0</v>
      </c>
      <c r="L94">
        <f t="shared" si="13"/>
        <v>0</v>
      </c>
      <c r="M94">
        <f t="shared" si="14"/>
        <v>0</v>
      </c>
      <c r="N94">
        <f t="shared" si="15"/>
        <v>0</v>
      </c>
      <c r="O94">
        <f t="shared" si="16"/>
        <v>0</v>
      </c>
      <c r="P94">
        <f t="shared" si="17"/>
        <v>0</v>
      </c>
      <c r="Q94">
        <f t="shared" si="18"/>
        <v>0</v>
      </c>
      <c r="R94">
        <f t="shared" si="19"/>
        <v>0</v>
      </c>
      <c r="S94">
        <f t="shared" si="20"/>
        <v>0</v>
      </c>
      <c r="T94">
        <f t="shared" si="21"/>
        <v>0</v>
      </c>
      <c r="U94">
        <f t="shared" si="22"/>
        <v>0</v>
      </c>
      <c r="V94" s="9">
        <f t="shared" si="24"/>
        <v>0</v>
      </c>
      <c r="W94" s="9">
        <f t="shared" si="24"/>
        <v>0</v>
      </c>
      <c r="X94" s="9">
        <f t="shared" si="24"/>
        <v>0</v>
      </c>
      <c r="Y94" s="9">
        <f t="shared" si="24"/>
        <v>0</v>
      </c>
      <c r="Z94" s="9">
        <f t="shared" si="24"/>
        <v>0</v>
      </c>
      <c r="AA94" s="9">
        <f t="shared" si="23"/>
        <v>0</v>
      </c>
      <c r="AB94" s="9">
        <f t="shared" si="23"/>
        <v>0</v>
      </c>
      <c r="AC94" s="9">
        <f t="shared" si="23"/>
        <v>0</v>
      </c>
      <c r="AD94" s="9">
        <f t="shared" si="23"/>
        <v>0</v>
      </c>
      <c r="AE94" s="9">
        <f t="shared" si="23"/>
        <v>0</v>
      </c>
    </row>
    <row r="95" spans="2:31" x14ac:dyDescent="0.25">
      <c r="B95" s="6">
        <v>0</v>
      </c>
      <c r="C95" s="6">
        <v>0</v>
      </c>
      <c r="D95" s="6">
        <v>0</v>
      </c>
      <c r="E95" s="6">
        <v>0</v>
      </c>
      <c r="F95" s="6">
        <v>0</v>
      </c>
      <c r="L95">
        <f t="shared" si="13"/>
        <v>0</v>
      </c>
      <c r="M95">
        <f t="shared" si="14"/>
        <v>0</v>
      </c>
      <c r="N95">
        <f t="shared" si="15"/>
        <v>0</v>
      </c>
      <c r="O95">
        <f t="shared" si="16"/>
        <v>0</v>
      </c>
      <c r="P95">
        <f t="shared" si="17"/>
        <v>0</v>
      </c>
      <c r="Q95">
        <f t="shared" si="18"/>
        <v>0</v>
      </c>
      <c r="R95">
        <f t="shared" si="19"/>
        <v>0</v>
      </c>
      <c r="S95">
        <f t="shared" si="20"/>
        <v>0</v>
      </c>
      <c r="T95">
        <f t="shared" si="21"/>
        <v>0</v>
      </c>
      <c r="U95">
        <f t="shared" si="22"/>
        <v>0</v>
      </c>
      <c r="V95" s="9">
        <f t="shared" si="24"/>
        <v>0</v>
      </c>
      <c r="W95" s="9">
        <f t="shared" si="24"/>
        <v>0</v>
      </c>
      <c r="X95" s="9">
        <f t="shared" si="24"/>
        <v>0</v>
      </c>
      <c r="Y95" s="9">
        <f t="shared" si="24"/>
        <v>0</v>
      </c>
      <c r="Z95" s="9">
        <f t="shared" si="24"/>
        <v>0</v>
      </c>
      <c r="AA95" s="9">
        <f t="shared" si="23"/>
        <v>0</v>
      </c>
      <c r="AB95" s="9">
        <f t="shared" si="23"/>
        <v>0</v>
      </c>
      <c r="AC95" s="9">
        <f t="shared" si="23"/>
        <v>0</v>
      </c>
      <c r="AD95" s="9">
        <f t="shared" si="23"/>
        <v>0</v>
      </c>
      <c r="AE95" s="9">
        <f t="shared" si="23"/>
        <v>0</v>
      </c>
    </row>
    <row r="96" spans="2:31" x14ac:dyDescent="0.25">
      <c r="B96" s="6">
        <v>0</v>
      </c>
      <c r="C96" s="6">
        <v>0</v>
      </c>
      <c r="D96" s="6">
        <v>0</v>
      </c>
      <c r="E96" s="6">
        <v>0</v>
      </c>
      <c r="F96" s="6">
        <v>0</v>
      </c>
      <c r="L96">
        <f t="shared" si="13"/>
        <v>0</v>
      </c>
      <c r="M96">
        <f t="shared" si="14"/>
        <v>0</v>
      </c>
      <c r="N96">
        <f t="shared" si="15"/>
        <v>0</v>
      </c>
      <c r="O96">
        <f t="shared" si="16"/>
        <v>0</v>
      </c>
      <c r="P96">
        <f t="shared" si="17"/>
        <v>0</v>
      </c>
      <c r="Q96">
        <f t="shared" si="18"/>
        <v>0</v>
      </c>
      <c r="R96">
        <f t="shared" si="19"/>
        <v>0</v>
      </c>
      <c r="S96">
        <f t="shared" si="20"/>
        <v>0</v>
      </c>
      <c r="T96">
        <f t="shared" si="21"/>
        <v>0</v>
      </c>
      <c r="U96">
        <f t="shared" si="22"/>
        <v>0</v>
      </c>
      <c r="V96" s="9">
        <f t="shared" si="24"/>
        <v>0</v>
      </c>
      <c r="W96" s="9">
        <f t="shared" si="24"/>
        <v>0</v>
      </c>
      <c r="X96" s="9">
        <f t="shared" si="24"/>
        <v>0</v>
      </c>
      <c r="Y96" s="9">
        <f t="shared" si="24"/>
        <v>0</v>
      </c>
      <c r="Z96" s="9">
        <f t="shared" si="24"/>
        <v>0</v>
      </c>
      <c r="AA96" s="9">
        <f t="shared" si="23"/>
        <v>0</v>
      </c>
      <c r="AB96" s="9">
        <f t="shared" si="23"/>
        <v>0</v>
      </c>
      <c r="AC96" s="9">
        <f t="shared" si="23"/>
        <v>0</v>
      </c>
      <c r="AD96" s="9">
        <f t="shared" si="23"/>
        <v>0</v>
      </c>
      <c r="AE96" s="9">
        <f t="shared" si="23"/>
        <v>0</v>
      </c>
    </row>
    <row r="97" spans="2:31" x14ac:dyDescent="0.25">
      <c r="B97" s="6">
        <v>0</v>
      </c>
      <c r="C97" s="6">
        <v>0</v>
      </c>
      <c r="D97" s="6">
        <v>0</v>
      </c>
      <c r="E97" s="6">
        <v>0</v>
      </c>
      <c r="F97" s="6">
        <v>0</v>
      </c>
      <c r="L97">
        <f t="shared" si="13"/>
        <v>0</v>
      </c>
      <c r="M97">
        <f t="shared" si="14"/>
        <v>0</v>
      </c>
      <c r="N97">
        <f t="shared" si="15"/>
        <v>0</v>
      </c>
      <c r="O97">
        <f t="shared" si="16"/>
        <v>0</v>
      </c>
      <c r="P97">
        <f t="shared" si="17"/>
        <v>0</v>
      </c>
      <c r="Q97">
        <f t="shared" si="18"/>
        <v>0</v>
      </c>
      <c r="R97">
        <f t="shared" si="19"/>
        <v>0</v>
      </c>
      <c r="S97">
        <f t="shared" si="20"/>
        <v>0</v>
      </c>
      <c r="T97">
        <f t="shared" si="21"/>
        <v>0</v>
      </c>
      <c r="U97">
        <f t="shared" si="22"/>
        <v>0</v>
      </c>
      <c r="V97" s="9">
        <f t="shared" si="24"/>
        <v>0</v>
      </c>
      <c r="W97" s="9">
        <f t="shared" si="24"/>
        <v>0</v>
      </c>
      <c r="X97" s="9">
        <f t="shared" si="24"/>
        <v>0</v>
      </c>
      <c r="Y97" s="9">
        <f t="shared" si="24"/>
        <v>0</v>
      </c>
      <c r="Z97" s="9">
        <f t="shared" si="24"/>
        <v>0</v>
      </c>
      <c r="AA97" s="9">
        <f t="shared" si="23"/>
        <v>0</v>
      </c>
      <c r="AB97" s="9">
        <f t="shared" si="23"/>
        <v>0</v>
      </c>
      <c r="AC97" s="9">
        <f t="shared" si="23"/>
        <v>0</v>
      </c>
      <c r="AD97" s="9">
        <f t="shared" si="23"/>
        <v>0</v>
      </c>
      <c r="AE97" s="9">
        <f t="shared" si="23"/>
        <v>0</v>
      </c>
    </row>
    <row r="98" spans="2:31" x14ac:dyDescent="0.25">
      <c r="B98" s="6">
        <v>0</v>
      </c>
      <c r="C98" s="6">
        <v>0</v>
      </c>
      <c r="D98" s="6">
        <v>0</v>
      </c>
      <c r="E98" s="6">
        <v>0</v>
      </c>
      <c r="F98" s="6">
        <v>0</v>
      </c>
      <c r="L98">
        <f t="shared" si="13"/>
        <v>0</v>
      </c>
      <c r="M98">
        <f t="shared" si="14"/>
        <v>0</v>
      </c>
      <c r="N98">
        <f t="shared" si="15"/>
        <v>0</v>
      </c>
      <c r="O98">
        <f t="shared" si="16"/>
        <v>0</v>
      </c>
      <c r="P98">
        <f t="shared" si="17"/>
        <v>0</v>
      </c>
      <c r="Q98">
        <f t="shared" si="18"/>
        <v>0</v>
      </c>
      <c r="R98">
        <f t="shared" si="19"/>
        <v>0</v>
      </c>
      <c r="S98">
        <f t="shared" si="20"/>
        <v>0</v>
      </c>
      <c r="T98">
        <f t="shared" si="21"/>
        <v>0</v>
      </c>
      <c r="U98">
        <f t="shared" si="22"/>
        <v>0</v>
      </c>
      <c r="V98" s="9">
        <f t="shared" si="24"/>
        <v>0</v>
      </c>
      <c r="W98" s="9">
        <f t="shared" si="24"/>
        <v>0</v>
      </c>
      <c r="X98" s="9">
        <f t="shared" si="24"/>
        <v>0</v>
      </c>
      <c r="Y98" s="9">
        <f t="shared" si="24"/>
        <v>0</v>
      </c>
      <c r="Z98" s="9">
        <f t="shared" si="24"/>
        <v>0</v>
      </c>
      <c r="AA98" s="9">
        <f t="shared" si="23"/>
        <v>0</v>
      </c>
      <c r="AB98" s="9">
        <f t="shared" si="23"/>
        <v>0</v>
      </c>
      <c r="AC98" s="9">
        <f t="shared" si="23"/>
        <v>0</v>
      </c>
      <c r="AD98" s="9">
        <f t="shared" si="23"/>
        <v>0</v>
      </c>
      <c r="AE98" s="9">
        <f t="shared" si="23"/>
        <v>0</v>
      </c>
    </row>
    <row r="99" spans="2:31" x14ac:dyDescent="0.25">
      <c r="B99" s="6">
        <v>0</v>
      </c>
      <c r="C99" s="6">
        <v>0</v>
      </c>
      <c r="D99" s="6">
        <v>0</v>
      </c>
      <c r="E99" s="6">
        <v>0</v>
      </c>
      <c r="F99" s="6">
        <v>0</v>
      </c>
      <c r="L99">
        <f t="shared" si="13"/>
        <v>0</v>
      </c>
      <c r="M99">
        <f t="shared" si="14"/>
        <v>0</v>
      </c>
      <c r="N99">
        <f t="shared" si="15"/>
        <v>0</v>
      </c>
      <c r="O99">
        <f t="shared" si="16"/>
        <v>0</v>
      </c>
      <c r="P99">
        <f t="shared" si="17"/>
        <v>0</v>
      </c>
      <c r="Q99">
        <f t="shared" si="18"/>
        <v>0</v>
      </c>
      <c r="R99">
        <f t="shared" si="19"/>
        <v>0</v>
      </c>
      <c r="S99">
        <f t="shared" si="20"/>
        <v>0</v>
      </c>
      <c r="T99">
        <f t="shared" si="21"/>
        <v>0</v>
      </c>
      <c r="U99">
        <f t="shared" si="22"/>
        <v>0</v>
      </c>
      <c r="V99" s="9">
        <f t="shared" si="24"/>
        <v>0</v>
      </c>
      <c r="W99" s="9">
        <f t="shared" si="24"/>
        <v>0</v>
      </c>
      <c r="X99" s="9">
        <f t="shared" si="24"/>
        <v>0</v>
      </c>
      <c r="Y99" s="9">
        <f t="shared" si="24"/>
        <v>0</v>
      </c>
      <c r="Z99" s="9">
        <f t="shared" si="24"/>
        <v>0</v>
      </c>
      <c r="AA99" s="9">
        <f t="shared" si="23"/>
        <v>0</v>
      </c>
      <c r="AB99" s="9">
        <f t="shared" si="23"/>
        <v>0</v>
      </c>
      <c r="AC99" s="9">
        <f t="shared" si="23"/>
        <v>0</v>
      </c>
      <c r="AD99" s="9">
        <f t="shared" si="23"/>
        <v>0</v>
      </c>
      <c r="AE99" s="9">
        <f t="shared" si="23"/>
        <v>0</v>
      </c>
    </row>
    <row r="100" spans="2:31" x14ac:dyDescent="0.25">
      <c r="B100" s="6">
        <v>0</v>
      </c>
      <c r="C100" s="6">
        <v>0</v>
      </c>
      <c r="D100" s="6">
        <v>0</v>
      </c>
      <c r="E100" s="6">
        <v>0</v>
      </c>
      <c r="F100" s="6">
        <v>0</v>
      </c>
      <c r="L100">
        <f t="shared" si="13"/>
        <v>0</v>
      </c>
      <c r="M100">
        <f t="shared" si="14"/>
        <v>0</v>
      </c>
      <c r="N100">
        <f t="shared" si="15"/>
        <v>0</v>
      </c>
      <c r="O100">
        <f t="shared" si="16"/>
        <v>0</v>
      </c>
      <c r="P100">
        <f t="shared" si="17"/>
        <v>0</v>
      </c>
      <c r="Q100">
        <f t="shared" si="18"/>
        <v>0</v>
      </c>
      <c r="R100">
        <f t="shared" si="19"/>
        <v>0</v>
      </c>
      <c r="S100">
        <f t="shared" si="20"/>
        <v>0</v>
      </c>
      <c r="T100">
        <f t="shared" si="21"/>
        <v>0</v>
      </c>
      <c r="U100">
        <f t="shared" si="22"/>
        <v>0</v>
      </c>
      <c r="V100" s="9">
        <f t="shared" si="24"/>
        <v>0</v>
      </c>
      <c r="W100" s="9">
        <f t="shared" si="24"/>
        <v>0</v>
      </c>
      <c r="X100" s="9">
        <f t="shared" si="24"/>
        <v>0</v>
      </c>
      <c r="Y100" s="9">
        <f t="shared" si="24"/>
        <v>0</v>
      </c>
      <c r="Z100" s="9">
        <f t="shared" si="24"/>
        <v>0</v>
      </c>
      <c r="AA100" s="9">
        <f t="shared" si="23"/>
        <v>0</v>
      </c>
      <c r="AB100" s="9">
        <f t="shared" si="23"/>
        <v>0</v>
      </c>
      <c r="AC100" s="9">
        <f t="shared" si="23"/>
        <v>0</v>
      </c>
      <c r="AD100" s="9">
        <f t="shared" si="23"/>
        <v>0</v>
      </c>
      <c r="AE100" s="9">
        <f t="shared" si="23"/>
        <v>0</v>
      </c>
    </row>
    <row r="101" spans="2:31" x14ac:dyDescent="0.25">
      <c r="B101" s="6">
        <v>0</v>
      </c>
      <c r="C101" s="6">
        <v>0</v>
      </c>
      <c r="D101" s="6">
        <v>0</v>
      </c>
      <c r="E101" s="6">
        <v>0</v>
      </c>
      <c r="F101" s="6">
        <v>0</v>
      </c>
      <c r="L101">
        <f t="shared" si="13"/>
        <v>0</v>
      </c>
      <c r="M101">
        <f t="shared" si="14"/>
        <v>0</v>
      </c>
      <c r="N101">
        <f t="shared" si="15"/>
        <v>0</v>
      </c>
      <c r="O101">
        <f t="shared" si="16"/>
        <v>0</v>
      </c>
      <c r="P101">
        <f t="shared" si="17"/>
        <v>0</v>
      </c>
      <c r="Q101">
        <f t="shared" si="18"/>
        <v>0</v>
      </c>
      <c r="R101">
        <f t="shared" si="19"/>
        <v>0</v>
      </c>
      <c r="S101">
        <f t="shared" si="20"/>
        <v>0</v>
      </c>
      <c r="T101">
        <f t="shared" si="21"/>
        <v>0</v>
      </c>
      <c r="U101">
        <f t="shared" si="22"/>
        <v>0</v>
      </c>
      <c r="V101" s="9">
        <f t="shared" si="24"/>
        <v>0</v>
      </c>
      <c r="W101" s="9">
        <f t="shared" si="24"/>
        <v>0</v>
      </c>
      <c r="X101" s="9">
        <f t="shared" si="24"/>
        <v>0</v>
      </c>
      <c r="Y101" s="9">
        <f t="shared" si="24"/>
        <v>0</v>
      </c>
      <c r="Z101" s="9">
        <f t="shared" si="24"/>
        <v>0</v>
      </c>
      <c r="AA101" s="9">
        <f t="shared" si="23"/>
        <v>0</v>
      </c>
      <c r="AB101" s="9">
        <f t="shared" si="23"/>
        <v>0</v>
      </c>
      <c r="AC101" s="9">
        <f t="shared" si="23"/>
        <v>0</v>
      </c>
      <c r="AD101" s="9">
        <f t="shared" si="23"/>
        <v>0</v>
      </c>
      <c r="AE101" s="9">
        <f t="shared" si="23"/>
        <v>0</v>
      </c>
    </row>
    <row r="102" spans="2:31" x14ac:dyDescent="0.25">
      <c r="B102" s="6">
        <v>0</v>
      </c>
      <c r="C102" s="6">
        <v>0</v>
      </c>
      <c r="D102" s="6">
        <v>0</v>
      </c>
      <c r="E102" s="6">
        <v>0</v>
      </c>
      <c r="F102" s="6">
        <v>0</v>
      </c>
      <c r="L102">
        <f t="shared" si="13"/>
        <v>0</v>
      </c>
      <c r="M102">
        <f t="shared" si="14"/>
        <v>0</v>
      </c>
      <c r="N102">
        <f t="shared" si="15"/>
        <v>0</v>
      </c>
      <c r="O102">
        <f t="shared" si="16"/>
        <v>0</v>
      </c>
      <c r="P102">
        <f t="shared" si="17"/>
        <v>0</v>
      </c>
      <c r="Q102">
        <f t="shared" si="18"/>
        <v>0</v>
      </c>
      <c r="R102">
        <f t="shared" si="19"/>
        <v>0</v>
      </c>
      <c r="S102">
        <f t="shared" si="20"/>
        <v>0</v>
      </c>
      <c r="T102">
        <f t="shared" si="21"/>
        <v>0</v>
      </c>
      <c r="U102">
        <f t="shared" si="22"/>
        <v>0</v>
      </c>
      <c r="V102" s="9">
        <f t="shared" si="24"/>
        <v>0</v>
      </c>
      <c r="W102" s="9">
        <f t="shared" si="24"/>
        <v>0</v>
      </c>
      <c r="X102" s="9">
        <f t="shared" si="24"/>
        <v>0</v>
      </c>
      <c r="Y102" s="9">
        <f t="shared" si="24"/>
        <v>0</v>
      </c>
      <c r="Z102" s="9">
        <f t="shared" si="24"/>
        <v>0</v>
      </c>
      <c r="AA102" s="9">
        <f t="shared" si="23"/>
        <v>0</v>
      </c>
      <c r="AB102" s="9">
        <f t="shared" si="23"/>
        <v>0</v>
      </c>
      <c r="AC102" s="9">
        <f t="shared" si="23"/>
        <v>0</v>
      </c>
      <c r="AD102" s="9">
        <f t="shared" si="23"/>
        <v>0</v>
      </c>
      <c r="AE102" s="9">
        <f t="shared" si="23"/>
        <v>0</v>
      </c>
    </row>
    <row r="103" spans="2:31" x14ac:dyDescent="0.25">
      <c r="B103" s="6">
        <v>0</v>
      </c>
      <c r="C103" s="6">
        <v>0</v>
      </c>
      <c r="D103" s="6">
        <v>0</v>
      </c>
      <c r="E103" s="6">
        <v>0</v>
      </c>
      <c r="F103" s="6">
        <v>0</v>
      </c>
      <c r="L103">
        <f t="shared" si="13"/>
        <v>0</v>
      </c>
      <c r="M103">
        <f t="shared" si="14"/>
        <v>0</v>
      </c>
      <c r="N103">
        <f t="shared" si="15"/>
        <v>0</v>
      </c>
      <c r="O103">
        <f t="shared" si="16"/>
        <v>0</v>
      </c>
      <c r="P103">
        <f t="shared" si="17"/>
        <v>0</v>
      </c>
      <c r="Q103">
        <f t="shared" si="18"/>
        <v>0</v>
      </c>
      <c r="R103">
        <f t="shared" si="19"/>
        <v>0</v>
      </c>
      <c r="S103">
        <f t="shared" si="20"/>
        <v>0</v>
      </c>
      <c r="T103">
        <f t="shared" si="21"/>
        <v>0</v>
      </c>
      <c r="U103">
        <f t="shared" si="22"/>
        <v>0</v>
      </c>
      <c r="V103" s="9">
        <f t="shared" si="24"/>
        <v>0</v>
      </c>
      <c r="W103" s="9">
        <f t="shared" si="24"/>
        <v>0</v>
      </c>
      <c r="X103" s="9">
        <f t="shared" si="24"/>
        <v>0</v>
      </c>
      <c r="Y103" s="9">
        <f t="shared" si="24"/>
        <v>0</v>
      </c>
      <c r="Z103" s="9">
        <f t="shared" si="24"/>
        <v>0</v>
      </c>
      <c r="AA103" s="9">
        <f t="shared" si="23"/>
        <v>0</v>
      </c>
      <c r="AB103" s="9">
        <f t="shared" si="23"/>
        <v>0</v>
      </c>
      <c r="AC103" s="9">
        <f t="shared" si="23"/>
        <v>0</v>
      </c>
      <c r="AD103" s="9">
        <f t="shared" si="23"/>
        <v>0</v>
      </c>
      <c r="AE103" s="9">
        <f t="shared" si="23"/>
        <v>0</v>
      </c>
    </row>
    <row r="104" spans="2:31" x14ac:dyDescent="0.25">
      <c r="B104" s="6">
        <v>0</v>
      </c>
      <c r="C104" s="6">
        <v>0</v>
      </c>
      <c r="D104" s="6">
        <v>0</v>
      </c>
      <c r="E104" s="6">
        <v>0</v>
      </c>
      <c r="F104" s="6">
        <v>0</v>
      </c>
      <c r="L104">
        <f t="shared" si="13"/>
        <v>0</v>
      </c>
      <c r="M104">
        <f t="shared" si="14"/>
        <v>0</v>
      </c>
      <c r="N104">
        <f t="shared" si="15"/>
        <v>0</v>
      </c>
      <c r="O104">
        <f t="shared" si="16"/>
        <v>0</v>
      </c>
      <c r="P104">
        <f t="shared" si="17"/>
        <v>0</v>
      </c>
      <c r="Q104">
        <f t="shared" si="18"/>
        <v>0</v>
      </c>
      <c r="R104">
        <f t="shared" si="19"/>
        <v>0</v>
      </c>
      <c r="S104">
        <f t="shared" si="20"/>
        <v>0</v>
      </c>
      <c r="T104">
        <f t="shared" si="21"/>
        <v>0</v>
      </c>
      <c r="U104">
        <f t="shared" si="22"/>
        <v>0</v>
      </c>
      <c r="V104" s="9">
        <f t="shared" si="24"/>
        <v>0</v>
      </c>
      <c r="W104" s="9">
        <f t="shared" si="24"/>
        <v>0</v>
      </c>
      <c r="X104" s="9">
        <f t="shared" si="24"/>
        <v>0</v>
      </c>
      <c r="Y104" s="9">
        <f t="shared" si="24"/>
        <v>0</v>
      </c>
      <c r="Z104" s="9">
        <f t="shared" si="24"/>
        <v>0</v>
      </c>
      <c r="AA104" s="9">
        <f t="shared" si="23"/>
        <v>0</v>
      </c>
      <c r="AB104" s="9">
        <f t="shared" si="23"/>
        <v>0</v>
      </c>
      <c r="AC104" s="9">
        <f t="shared" si="23"/>
        <v>0</v>
      </c>
      <c r="AD104" s="9">
        <f t="shared" si="23"/>
        <v>0</v>
      </c>
      <c r="AE104" s="9">
        <f t="shared" si="23"/>
        <v>0</v>
      </c>
    </row>
    <row r="105" spans="2:31" x14ac:dyDescent="0.25">
      <c r="B105" s="6">
        <v>0</v>
      </c>
      <c r="C105" s="6">
        <v>0</v>
      </c>
      <c r="D105" s="6">
        <v>0</v>
      </c>
      <c r="E105" s="6">
        <v>0</v>
      </c>
      <c r="F105" s="6">
        <v>0</v>
      </c>
      <c r="L105">
        <f t="shared" si="13"/>
        <v>0</v>
      </c>
      <c r="M105">
        <f t="shared" si="14"/>
        <v>0</v>
      </c>
      <c r="N105">
        <f t="shared" si="15"/>
        <v>0</v>
      </c>
      <c r="O105">
        <f t="shared" si="16"/>
        <v>0</v>
      </c>
      <c r="P105">
        <f t="shared" si="17"/>
        <v>0</v>
      </c>
      <c r="Q105">
        <f t="shared" si="18"/>
        <v>0</v>
      </c>
      <c r="R105">
        <f t="shared" si="19"/>
        <v>0</v>
      </c>
      <c r="S105">
        <f t="shared" si="20"/>
        <v>0</v>
      </c>
      <c r="T105">
        <f t="shared" si="21"/>
        <v>0</v>
      </c>
      <c r="U105">
        <f t="shared" si="22"/>
        <v>0</v>
      </c>
      <c r="V105" s="9">
        <f t="shared" si="24"/>
        <v>0</v>
      </c>
      <c r="W105" s="9">
        <f t="shared" si="24"/>
        <v>0</v>
      </c>
      <c r="X105" s="9">
        <f t="shared" si="24"/>
        <v>0</v>
      </c>
      <c r="Y105" s="9">
        <f t="shared" si="24"/>
        <v>0</v>
      </c>
      <c r="Z105" s="9">
        <f t="shared" si="24"/>
        <v>0</v>
      </c>
      <c r="AA105" s="9">
        <f t="shared" si="23"/>
        <v>0</v>
      </c>
      <c r="AB105" s="9">
        <f t="shared" si="23"/>
        <v>0</v>
      </c>
      <c r="AC105" s="9">
        <f t="shared" si="23"/>
        <v>0</v>
      </c>
      <c r="AD105" s="9">
        <f t="shared" si="23"/>
        <v>0</v>
      </c>
      <c r="AE105" s="9">
        <f t="shared" si="23"/>
        <v>0</v>
      </c>
    </row>
    <row r="106" spans="2:31" x14ac:dyDescent="0.25">
      <c r="B106" s="6">
        <v>0</v>
      </c>
      <c r="C106" s="6">
        <v>0</v>
      </c>
      <c r="D106" s="6">
        <v>0</v>
      </c>
      <c r="E106" s="6">
        <v>0</v>
      </c>
      <c r="F106" s="6">
        <v>0</v>
      </c>
      <c r="L106">
        <f t="shared" si="13"/>
        <v>0</v>
      </c>
      <c r="M106">
        <f t="shared" si="14"/>
        <v>0</v>
      </c>
      <c r="N106">
        <f t="shared" si="15"/>
        <v>0</v>
      </c>
      <c r="O106">
        <f t="shared" si="16"/>
        <v>0</v>
      </c>
      <c r="P106">
        <f t="shared" si="17"/>
        <v>0</v>
      </c>
      <c r="Q106">
        <f t="shared" si="18"/>
        <v>0</v>
      </c>
      <c r="R106">
        <f t="shared" si="19"/>
        <v>0</v>
      </c>
      <c r="S106">
        <f t="shared" si="20"/>
        <v>0</v>
      </c>
      <c r="T106">
        <f t="shared" si="21"/>
        <v>0</v>
      </c>
      <c r="U106">
        <f t="shared" si="22"/>
        <v>0</v>
      </c>
      <c r="V106" s="9">
        <f t="shared" si="24"/>
        <v>0</v>
      </c>
      <c r="W106" s="9">
        <f t="shared" si="24"/>
        <v>0</v>
      </c>
      <c r="X106" s="9">
        <f t="shared" si="24"/>
        <v>0</v>
      </c>
      <c r="Y106" s="9">
        <f t="shared" si="24"/>
        <v>0</v>
      </c>
      <c r="Z106" s="9">
        <f t="shared" si="24"/>
        <v>0</v>
      </c>
      <c r="AA106" s="9">
        <f t="shared" si="23"/>
        <v>0</v>
      </c>
      <c r="AB106" s="9">
        <f t="shared" si="23"/>
        <v>0</v>
      </c>
      <c r="AC106" s="9">
        <f t="shared" si="23"/>
        <v>0</v>
      </c>
      <c r="AD106" s="9">
        <f t="shared" si="23"/>
        <v>0</v>
      </c>
      <c r="AE106" s="9">
        <f t="shared" si="23"/>
        <v>0</v>
      </c>
    </row>
    <row r="107" spans="2:31" x14ac:dyDescent="0.25">
      <c r="B107" s="6">
        <v>0</v>
      </c>
      <c r="C107" s="6">
        <v>0</v>
      </c>
      <c r="D107" s="6">
        <v>0</v>
      </c>
      <c r="E107" s="6">
        <v>0</v>
      </c>
      <c r="F107" s="6">
        <v>0</v>
      </c>
      <c r="L107">
        <f t="shared" si="13"/>
        <v>0</v>
      </c>
      <c r="M107">
        <f t="shared" si="14"/>
        <v>0</v>
      </c>
      <c r="N107">
        <f t="shared" si="15"/>
        <v>0</v>
      </c>
      <c r="O107">
        <f t="shared" si="16"/>
        <v>0</v>
      </c>
      <c r="P107">
        <f t="shared" si="17"/>
        <v>0</v>
      </c>
      <c r="Q107">
        <f t="shared" si="18"/>
        <v>0</v>
      </c>
      <c r="R107">
        <f t="shared" si="19"/>
        <v>0</v>
      </c>
      <c r="S107">
        <f t="shared" si="20"/>
        <v>0</v>
      </c>
      <c r="T107">
        <f t="shared" si="21"/>
        <v>0</v>
      </c>
      <c r="U107">
        <f t="shared" si="22"/>
        <v>0</v>
      </c>
      <c r="V107" s="9">
        <f t="shared" si="24"/>
        <v>0</v>
      </c>
      <c r="W107" s="9">
        <f t="shared" si="24"/>
        <v>0</v>
      </c>
      <c r="X107" s="9">
        <f t="shared" si="24"/>
        <v>0</v>
      </c>
      <c r="Y107" s="9">
        <f t="shared" si="24"/>
        <v>0</v>
      </c>
      <c r="Z107" s="9">
        <f t="shared" si="24"/>
        <v>0</v>
      </c>
      <c r="AA107" s="9">
        <f t="shared" si="23"/>
        <v>0</v>
      </c>
      <c r="AB107" s="9">
        <f t="shared" si="23"/>
        <v>0</v>
      </c>
      <c r="AC107" s="9">
        <f t="shared" si="23"/>
        <v>0</v>
      </c>
      <c r="AD107" s="9">
        <f t="shared" si="23"/>
        <v>0</v>
      </c>
      <c r="AE107" s="9">
        <f t="shared" si="23"/>
        <v>0</v>
      </c>
    </row>
    <row r="108" spans="2:31" x14ac:dyDescent="0.25">
      <c r="B108" s="6">
        <v>0</v>
      </c>
      <c r="C108" s="6">
        <v>0</v>
      </c>
      <c r="D108" s="6">
        <v>0</v>
      </c>
      <c r="E108" s="6">
        <v>0</v>
      </c>
      <c r="F108" s="6">
        <v>0</v>
      </c>
      <c r="L108">
        <f t="shared" si="13"/>
        <v>0</v>
      </c>
      <c r="M108">
        <f t="shared" si="14"/>
        <v>0</v>
      </c>
      <c r="N108">
        <f t="shared" si="15"/>
        <v>0</v>
      </c>
      <c r="O108">
        <f t="shared" si="16"/>
        <v>0</v>
      </c>
      <c r="P108">
        <f t="shared" si="17"/>
        <v>0</v>
      </c>
      <c r="Q108">
        <f t="shared" si="18"/>
        <v>0</v>
      </c>
      <c r="R108">
        <f t="shared" si="19"/>
        <v>0</v>
      </c>
      <c r="S108">
        <f t="shared" si="20"/>
        <v>0</v>
      </c>
      <c r="T108">
        <f t="shared" si="21"/>
        <v>0</v>
      </c>
      <c r="U108">
        <f t="shared" si="22"/>
        <v>0</v>
      </c>
      <c r="V108" s="9">
        <f t="shared" si="24"/>
        <v>0</v>
      </c>
      <c r="W108" s="9">
        <f t="shared" si="24"/>
        <v>0</v>
      </c>
      <c r="X108" s="9">
        <f t="shared" si="24"/>
        <v>0</v>
      </c>
      <c r="Y108" s="9">
        <f t="shared" si="24"/>
        <v>0</v>
      </c>
      <c r="Z108" s="9">
        <f t="shared" si="24"/>
        <v>0</v>
      </c>
      <c r="AA108" s="9">
        <f t="shared" si="23"/>
        <v>0</v>
      </c>
      <c r="AB108" s="9">
        <f t="shared" si="23"/>
        <v>0</v>
      </c>
      <c r="AC108" s="9">
        <f t="shared" si="23"/>
        <v>0</v>
      </c>
      <c r="AD108" s="9">
        <f t="shared" si="23"/>
        <v>0</v>
      </c>
      <c r="AE108" s="9">
        <f t="shared" si="23"/>
        <v>0</v>
      </c>
    </row>
    <row r="109" spans="2:31" x14ac:dyDescent="0.25">
      <c r="B109" s="6">
        <v>0</v>
      </c>
      <c r="C109" s="6">
        <v>0</v>
      </c>
      <c r="D109" s="6">
        <v>0</v>
      </c>
      <c r="E109" s="6">
        <v>0</v>
      </c>
      <c r="F109" s="6">
        <v>0</v>
      </c>
      <c r="L109">
        <f t="shared" si="13"/>
        <v>0</v>
      </c>
      <c r="M109">
        <f t="shared" si="14"/>
        <v>0</v>
      </c>
      <c r="N109">
        <f t="shared" si="15"/>
        <v>0</v>
      </c>
      <c r="O109">
        <f t="shared" si="16"/>
        <v>0</v>
      </c>
      <c r="P109">
        <f t="shared" si="17"/>
        <v>0</v>
      </c>
      <c r="Q109">
        <f t="shared" si="18"/>
        <v>0</v>
      </c>
      <c r="R109">
        <f t="shared" si="19"/>
        <v>0</v>
      </c>
      <c r="S109">
        <f t="shared" si="20"/>
        <v>0</v>
      </c>
      <c r="T109">
        <f t="shared" si="21"/>
        <v>0</v>
      </c>
      <c r="U109">
        <f t="shared" si="22"/>
        <v>0</v>
      </c>
      <c r="V109" s="9">
        <f t="shared" si="24"/>
        <v>0</v>
      </c>
      <c r="W109" s="9">
        <f t="shared" si="24"/>
        <v>0</v>
      </c>
      <c r="X109" s="9">
        <f t="shared" si="24"/>
        <v>0</v>
      </c>
      <c r="Y109" s="9">
        <f t="shared" si="24"/>
        <v>0</v>
      </c>
      <c r="Z109" s="9">
        <f t="shared" si="24"/>
        <v>0</v>
      </c>
      <c r="AA109" s="9">
        <f t="shared" si="23"/>
        <v>0</v>
      </c>
      <c r="AB109" s="9">
        <f t="shared" si="23"/>
        <v>0</v>
      </c>
      <c r="AC109" s="9">
        <f t="shared" si="23"/>
        <v>0</v>
      </c>
      <c r="AD109" s="9">
        <f t="shared" si="23"/>
        <v>0</v>
      </c>
      <c r="AE109" s="9">
        <f t="shared" si="23"/>
        <v>0</v>
      </c>
    </row>
    <row r="110" spans="2:31" x14ac:dyDescent="0.25">
      <c r="B110" s="6">
        <v>0</v>
      </c>
      <c r="C110" s="6">
        <v>0</v>
      </c>
      <c r="D110" s="6">
        <v>0</v>
      </c>
      <c r="E110" s="6">
        <v>0</v>
      </c>
      <c r="F110" s="6">
        <v>0</v>
      </c>
      <c r="L110">
        <f t="shared" si="13"/>
        <v>0</v>
      </c>
      <c r="M110">
        <f t="shared" si="14"/>
        <v>0</v>
      </c>
      <c r="N110">
        <f t="shared" si="15"/>
        <v>0</v>
      </c>
      <c r="O110">
        <f t="shared" si="16"/>
        <v>0</v>
      </c>
      <c r="P110">
        <f t="shared" si="17"/>
        <v>0</v>
      </c>
      <c r="Q110">
        <f t="shared" si="18"/>
        <v>0</v>
      </c>
      <c r="R110">
        <f t="shared" si="19"/>
        <v>0</v>
      </c>
      <c r="S110">
        <f t="shared" si="20"/>
        <v>0</v>
      </c>
      <c r="T110">
        <f t="shared" si="21"/>
        <v>0</v>
      </c>
      <c r="U110">
        <f t="shared" si="22"/>
        <v>0</v>
      </c>
      <c r="V110" s="9">
        <f t="shared" si="24"/>
        <v>0</v>
      </c>
      <c r="W110" s="9">
        <f t="shared" si="24"/>
        <v>0</v>
      </c>
      <c r="X110" s="9">
        <f t="shared" si="24"/>
        <v>0</v>
      </c>
      <c r="Y110" s="9">
        <f t="shared" si="24"/>
        <v>0</v>
      </c>
      <c r="Z110" s="9">
        <f t="shared" si="24"/>
        <v>0</v>
      </c>
      <c r="AA110" s="9">
        <f t="shared" si="23"/>
        <v>0</v>
      </c>
      <c r="AB110" s="9">
        <f t="shared" si="23"/>
        <v>0</v>
      </c>
      <c r="AC110" s="9">
        <f t="shared" si="23"/>
        <v>0</v>
      </c>
      <c r="AD110" s="9">
        <f t="shared" si="23"/>
        <v>0</v>
      </c>
      <c r="AE110" s="9">
        <f t="shared" si="23"/>
        <v>0</v>
      </c>
    </row>
    <row r="111" spans="2:31" x14ac:dyDescent="0.25">
      <c r="B111" s="6">
        <v>0</v>
      </c>
      <c r="C111" s="6">
        <v>0</v>
      </c>
      <c r="D111" s="6">
        <v>0</v>
      </c>
      <c r="E111" s="6">
        <v>0</v>
      </c>
      <c r="F111" s="6">
        <v>0</v>
      </c>
      <c r="L111">
        <f t="shared" si="13"/>
        <v>0</v>
      </c>
      <c r="M111">
        <f t="shared" si="14"/>
        <v>0</v>
      </c>
      <c r="N111">
        <f t="shared" si="15"/>
        <v>0</v>
      </c>
      <c r="O111">
        <f t="shared" si="16"/>
        <v>0</v>
      </c>
      <c r="P111">
        <f t="shared" si="17"/>
        <v>0</v>
      </c>
      <c r="Q111">
        <f t="shared" si="18"/>
        <v>0</v>
      </c>
      <c r="R111">
        <f t="shared" si="19"/>
        <v>0</v>
      </c>
      <c r="S111">
        <f t="shared" si="20"/>
        <v>0</v>
      </c>
      <c r="T111">
        <f t="shared" si="21"/>
        <v>0</v>
      </c>
      <c r="U111">
        <f t="shared" si="22"/>
        <v>0</v>
      </c>
      <c r="V111" s="9">
        <f t="shared" si="24"/>
        <v>0</v>
      </c>
      <c r="W111" s="9">
        <f t="shared" si="24"/>
        <v>0</v>
      </c>
      <c r="X111" s="9">
        <f t="shared" si="24"/>
        <v>0</v>
      </c>
      <c r="Y111" s="9">
        <f t="shared" si="24"/>
        <v>0</v>
      </c>
      <c r="Z111" s="9">
        <f t="shared" si="24"/>
        <v>0</v>
      </c>
      <c r="AA111" s="9">
        <f t="shared" si="23"/>
        <v>0</v>
      </c>
      <c r="AB111" s="9">
        <f t="shared" si="23"/>
        <v>0</v>
      </c>
      <c r="AC111" s="9">
        <f t="shared" si="23"/>
        <v>0</v>
      </c>
      <c r="AD111" s="9">
        <f t="shared" si="23"/>
        <v>0</v>
      </c>
      <c r="AE111" s="9">
        <f t="shared" si="23"/>
        <v>0</v>
      </c>
    </row>
    <row r="112" spans="2:31" x14ac:dyDescent="0.25">
      <c r="B112" s="6">
        <v>0</v>
      </c>
      <c r="C112" s="6">
        <v>0</v>
      </c>
      <c r="D112" s="6">
        <v>0</v>
      </c>
      <c r="E112" s="6">
        <v>0</v>
      </c>
      <c r="F112" s="6">
        <v>0</v>
      </c>
      <c r="L112">
        <f t="shared" si="13"/>
        <v>0</v>
      </c>
      <c r="M112">
        <f t="shared" si="14"/>
        <v>0</v>
      </c>
      <c r="N112">
        <f t="shared" si="15"/>
        <v>0</v>
      </c>
      <c r="O112">
        <f t="shared" si="16"/>
        <v>0</v>
      </c>
      <c r="P112">
        <f t="shared" si="17"/>
        <v>0</v>
      </c>
      <c r="Q112">
        <f t="shared" si="18"/>
        <v>0</v>
      </c>
      <c r="R112">
        <f t="shared" si="19"/>
        <v>0</v>
      </c>
      <c r="S112">
        <f t="shared" si="20"/>
        <v>0</v>
      </c>
      <c r="T112">
        <f t="shared" si="21"/>
        <v>0</v>
      </c>
      <c r="U112">
        <f t="shared" si="22"/>
        <v>0</v>
      </c>
      <c r="V112" s="9">
        <f t="shared" si="24"/>
        <v>0</v>
      </c>
      <c r="W112" s="9">
        <f t="shared" si="24"/>
        <v>0</v>
      </c>
      <c r="X112" s="9">
        <f t="shared" si="24"/>
        <v>0</v>
      </c>
      <c r="Y112" s="9">
        <f t="shared" si="24"/>
        <v>0</v>
      </c>
      <c r="Z112" s="9">
        <f t="shared" si="24"/>
        <v>0</v>
      </c>
      <c r="AA112" s="9">
        <f t="shared" si="23"/>
        <v>0</v>
      </c>
      <c r="AB112" s="9">
        <f t="shared" si="23"/>
        <v>0</v>
      </c>
      <c r="AC112" s="9">
        <f t="shared" si="23"/>
        <v>0</v>
      </c>
      <c r="AD112" s="9">
        <f t="shared" si="23"/>
        <v>0</v>
      </c>
      <c r="AE112" s="9">
        <f t="shared" si="23"/>
        <v>0</v>
      </c>
    </row>
    <row r="113" spans="2:31" x14ac:dyDescent="0.25">
      <c r="B113" s="6">
        <v>0</v>
      </c>
      <c r="C113" s="6">
        <v>0</v>
      </c>
      <c r="D113" s="6">
        <v>0</v>
      </c>
      <c r="E113" s="6">
        <v>0</v>
      </c>
      <c r="F113" s="6">
        <v>0</v>
      </c>
      <c r="L113">
        <f t="shared" si="13"/>
        <v>0</v>
      </c>
      <c r="M113">
        <f t="shared" si="14"/>
        <v>0</v>
      </c>
      <c r="N113">
        <f t="shared" si="15"/>
        <v>0</v>
      </c>
      <c r="O113">
        <f t="shared" si="16"/>
        <v>0</v>
      </c>
      <c r="P113">
        <f t="shared" si="17"/>
        <v>0</v>
      </c>
      <c r="Q113">
        <f t="shared" si="18"/>
        <v>0</v>
      </c>
      <c r="R113">
        <f t="shared" si="19"/>
        <v>0</v>
      </c>
      <c r="S113">
        <f t="shared" si="20"/>
        <v>0</v>
      </c>
      <c r="T113">
        <f t="shared" si="21"/>
        <v>0</v>
      </c>
      <c r="U113">
        <f t="shared" si="22"/>
        <v>0</v>
      </c>
      <c r="V113" s="9">
        <f t="shared" si="24"/>
        <v>0</v>
      </c>
      <c r="W113" s="9">
        <f t="shared" si="24"/>
        <v>0</v>
      </c>
      <c r="X113" s="9">
        <f t="shared" si="24"/>
        <v>0</v>
      </c>
      <c r="Y113" s="9">
        <f t="shared" si="24"/>
        <v>0</v>
      </c>
      <c r="Z113" s="9">
        <f t="shared" si="24"/>
        <v>0</v>
      </c>
      <c r="AA113" s="9">
        <f t="shared" si="23"/>
        <v>0</v>
      </c>
      <c r="AB113" s="9">
        <f t="shared" si="23"/>
        <v>0</v>
      </c>
      <c r="AC113" s="9">
        <f t="shared" si="23"/>
        <v>0</v>
      </c>
      <c r="AD113" s="9">
        <f t="shared" si="23"/>
        <v>0</v>
      </c>
      <c r="AE113" s="9">
        <f t="shared" si="23"/>
        <v>0</v>
      </c>
    </row>
    <row r="114" spans="2:31" x14ac:dyDescent="0.25">
      <c r="B114" s="6">
        <v>0</v>
      </c>
      <c r="C114" s="6">
        <v>0</v>
      </c>
      <c r="D114" s="6">
        <v>0</v>
      </c>
      <c r="E114" s="6">
        <v>0</v>
      </c>
      <c r="F114" s="6">
        <v>0</v>
      </c>
      <c r="L114">
        <f t="shared" si="13"/>
        <v>0</v>
      </c>
      <c r="M114">
        <f t="shared" si="14"/>
        <v>0</v>
      </c>
      <c r="N114">
        <f t="shared" si="15"/>
        <v>0</v>
      </c>
      <c r="O114">
        <f t="shared" si="16"/>
        <v>0</v>
      </c>
      <c r="P114">
        <f t="shared" si="17"/>
        <v>0</v>
      </c>
      <c r="Q114">
        <f t="shared" si="18"/>
        <v>0</v>
      </c>
      <c r="R114">
        <f t="shared" si="19"/>
        <v>0</v>
      </c>
      <c r="S114">
        <f t="shared" si="20"/>
        <v>0</v>
      </c>
      <c r="T114">
        <f t="shared" si="21"/>
        <v>0</v>
      </c>
      <c r="U114">
        <f t="shared" si="22"/>
        <v>0</v>
      </c>
      <c r="V114" s="9">
        <f t="shared" si="24"/>
        <v>0</v>
      </c>
      <c r="W114" s="9">
        <f t="shared" si="24"/>
        <v>0</v>
      </c>
      <c r="X114" s="9">
        <f t="shared" si="24"/>
        <v>0</v>
      </c>
      <c r="Y114" s="9">
        <f t="shared" si="24"/>
        <v>0</v>
      </c>
      <c r="Z114" s="9">
        <f t="shared" si="24"/>
        <v>0</v>
      </c>
      <c r="AA114" s="9">
        <f t="shared" si="23"/>
        <v>0</v>
      </c>
      <c r="AB114" s="9">
        <f t="shared" si="23"/>
        <v>0</v>
      </c>
      <c r="AC114" s="9">
        <f t="shared" si="23"/>
        <v>0</v>
      </c>
      <c r="AD114" s="9">
        <f t="shared" si="23"/>
        <v>0</v>
      </c>
      <c r="AE114" s="9">
        <f t="shared" si="23"/>
        <v>0</v>
      </c>
    </row>
    <row r="115" spans="2:31" x14ac:dyDescent="0.25">
      <c r="B115" s="6">
        <v>0</v>
      </c>
      <c r="C115" s="6">
        <v>0</v>
      </c>
      <c r="D115" s="6">
        <v>0</v>
      </c>
      <c r="E115" s="6">
        <v>0</v>
      </c>
      <c r="F115" s="6">
        <v>0</v>
      </c>
      <c r="L115">
        <f t="shared" si="13"/>
        <v>0</v>
      </c>
      <c r="M115">
        <f t="shared" si="14"/>
        <v>0</v>
      </c>
      <c r="N115">
        <f t="shared" si="15"/>
        <v>0</v>
      </c>
      <c r="O115">
        <f t="shared" si="16"/>
        <v>0</v>
      </c>
      <c r="P115">
        <f t="shared" si="17"/>
        <v>0</v>
      </c>
      <c r="Q115">
        <f t="shared" si="18"/>
        <v>0</v>
      </c>
      <c r="R115">
        <f t="shared" si="19"/>
        <v>0</v>
      </c>
      <c r="S115">
        <f t="shared" si="20"/>
        <v>0</v>
      </c>
      <c r="T115">
        <f t="shared" si="21"/>
        <v>0</v>
      </c>
      <c r="U115">
        <f t="shared" si="22"/>
        <v>0</v>
      </c>
      <c r="V115" s="9">
        <f t="shared" si="24"/>
        <v>0</v>
      </c>
      <c r="W115" s="9">
        <f t="shared" si="24"/>
        <v>0</v>
      </c>
      <c r="X115" s="9">
        <f t="shared" si="24"/>
        <v>0</v>
      </c>
      <c r="Y115" s="9">
        <f t="shared" si="24"/>
        <v>0</v>
      </c>
      <c r="Z115" s="9">
        <f t="shared" si="24"/>
        <v>0</v>
      </c>
      <c r="AA115" s="9">
        <f t="shared" si="23"/>
        <v>0</v>
      </c>
      <c r="AB115" s="9">
        <f t="shared" si="23"/>
        <v>0</v>
      </c>
      <c r="AC115" s="9">
        <f t="shared" si="23"/>
        <v>0</v>
      </c>
      <c r="AD115" s="9">
        <f t="shared" si="23"/>
        <v>0</v>
      </c>
      <c r="AE115" s="9">
        <f t="shared" si="23"/>
        <v>0</v>
      </c>
    </row>
    <row r="116" spans="2:31" x14ac:dyDescent="0.25">
      <c r="B116" s="6">
        <v>0</v>
      </c>
      <c r="C116" s="6">
        <v>0</v>
      </c>
      <c r="D116" s="6">
        <v>0</v>
      </c>
      <c r="E116" s="6">
        <v>0</v>
      </c>
      <c r="F116" s="6">
        <v>0</v>
      </c>
      <c r="L116">
        <f t="shared" si="13"/>
        <v>0</v>
      </c>
      <c r="M116">
        <f t="shared" si="14"/>
        <v>0</v>
      </c>
      <c r="N116">
        <f t="shared" si="15"/>
        <v>0</v>
      </c>
      <c r="O116">
        <f t="shared" si="16"/>
        <v>0</v>
      </c>
      <c r="P116">
        <f t="shared" si="17"/>
        <v>0</v>
      </c>
      <c r="Q116">
        <f t="shared" si="18"/>
        <v>0</v>
      </c>
      <c r="R116">
        <f t="shared" si="19"/>
        <v>0</v>
      </c>
      <c r="S116">
        <f t="shared" si="20"/>
        <v>0</v>
      </c>
      <c r="T116">
        <f t="shared" si="21"/>
        <v>0</v>
      </c>
      <c r="U116">
        <f t="shared" si="22"/>
        <v>0</v>
      </c>
      <c r="V116" s="9">
        <f t="shared" si="24"/>
        <v>0</v>
      </c>
      <c r="W116" s="9">
        <f t="shared" si="24"/>
        <v>0</v>
      </c>
      <c r="X116" s="9">
        <f t="shared" si="24"/>
        <v>0</v>
      </c>
      <c r="Y116" s="9">
        <f t="shared" si="24"/>
        <v>0</v>
      </c>
      <c r="Z116" s="9">
        <f t="shared" si="24"/>
        <v>0</v>
      </c>
      <c r="AA116" s="9">
        <f t="shared" si="23"/>
        <v>0</v>
      </c>
      <c r="AB116" s="9">
        <f t="shared" si="23"/>
        <v>0</v>
      </c>
      <c r="AC116" s="9">
        <f t="shared" si="23"/>
        <v>0</v>
      </c>
      <c r="AD116" s="9">
        <f t="shared" si="23"/>
        <v>0</v>
      </c>
      <c r="AE116" s="9">
        <f t="shared" si="23"/>
        <v>0</v>
      </c>
    </row>
    <row r="117" spans="2:31" x14ac:dyDescent="0.25">
      <c r="B117" s="6">
        <v>0</v>
      </c>
      <c r="C117" s="6">
        <v>0</v>
      </c>
      <c r="D117" s="6">
        <v>0</v>
      </c>
      <c r="E117" s="6">
        <v>0</v>
      </c>
      <c r="F117" s="6">
        <v>0</v>
      </c>
      <c r="L117">
        <f t="shared" si="13"/>
        <v>0</v>
      </c>
      <c r="M117">
        <f t="shared" si="14"/>
        <v>0</v>
      </c>
      <c r="N117">
        <f t="shared" si="15"/>
        <v>0</v>
      </c>
      <c r="O117">
        <f t="shared" si="16"/>
        <v>0</v>
      </c>
      <c r="P117">
        <f t="shared" si="17"/>
        <v>0</v>
      </c>
      <c r="Q117">
        <f t="shared" si="18"/>
        <v>0</v>
      </c>
      <c r="R117">
        <f t="shared" si="19"/>
        <v>0</v>
      </c>
      <c r="S117">
        <f t="shared" si="20"/>
        <v>0</v>
      </c>
      <c r="T117">
        <f t="shared" si="21"/>
        <v>0</v>
      </c>
      <c r="U117">
        <f t="shared" si="22"/>
        <v>0</v>
      </c>
      <c r="V117" s="9">
        <f t="shared" si="24"/>
        <v>0</v>
      </c>
      <c r="W117" s="9">
        <f t="shared" si="24"/>
        <v>0</v>
      </c>
      <c r="X117" s="9">
        <f t="shared" si="24"/>
        <v>0</v>
      </c>
      <c r="Y117" s="9">
        <f t="shared" si="24"/>
        <v>0</v>
      </c>
      <c r="Z117" s="9">
        <f t="shared" si="24"/>
        <v>0</v>
      </c>
      <c r="AA117" s="9">
        <f t="shared" ref="AA117:AE167" si="25">IF(Q117&gt;=0,Q117,-Q117)</f>
        <v>0</v>
      </c>
      <c r="AB117" s="9">
        <f t="shared" si="25"/>
        <v>0</v>
      </c>
      <c r="AC117" s="9">
        <f t="shared" si="25"/>
        <v>0</v>
      </c>
      <c r="AD117" s="9">
        <f t="shared" si="25"/>
        <v>0</v>
      </c>
      <c r="AE117" s="9">
        <f t="shared" si="25"/>
        <v>0</v>
      </c>
    </row>
    <row r="118" spans="2:31" x14ac:dyDescent="0.25">
      <c r="B118" s="6">
        <v>0</v>
      </c>
      <c r="C118" s="6">
        <v>0</v>
      </c>
      <c r="D118" s="6">
        <v>0</v>
      </c>
      <c r="E118" s="6">
        <v>0</v>
      </c>
      <c r="F118" s="6">
        <v>0</v>
      </c>
      <c r="L118">
        <f t="shared" si="13"/>
        <v>0</v>
      </c>
      <c r="M118">
        <f t="shared" si="14"/>
        <v>0</v>
      </c>
      <c r="N118">
        <f t="shared" si="15"/>
        <v>0</v>
      </c>
      <c r="O118">
        <f t="shared" si="16"/>
        <v>0</v>
      </c>
      <c r="P118">
        <f t="shared" si="17"/>
        <v>0</v>
      </c>
      <c r="Q118">
        <f t="shared" si="18"/>
        <v>0</v>
      </c>
      <c r="R118">
        <f t="shared" si="19"/>
        <v>0</v>
      </c>
      <c r="S118">
        <f t="shared" si="20"/>
        <v>0</v>
      </c>
      <c r="T118">
        <f t="shared" si="21"/>
        <v>0</v>
      </c>
      <c r="U118">
        <f t="shared" si="22"/>
        <v>0</v>
      </c>
      <c r="V118" s="9">
        <f t="shared" ref="V118:Z168" si="26">IF(L118&gt;=0,L118,-L118)</f>
        <v>0</v>
      </c>
      <c r="W118" s="9">
        <f t="shared" si="26"/>
        <v>0</v>
      </c>
      <c r="X118" s="9">
        <f t="shared" si="26"/>
        <v>0</v>
      </c>
      <c r="Y118" s="9">
        <f t="shared" si="26"/>
        <v>0</v>
      </c>
      <c r="Z118" s="9">
        <f t="shared" si="26"/>
        <v>0</v>
      </c>
      <c r="AA118" s="9">
        <f t="shared" si="25"/>
        <v>0</v>
      </c>
      <c r="AB118" s="9">
        <f t="shared" si="25"/>
        <v>0</v>
      </c>
      <c r="AC118" s="9">
        <f t="shared" si="25"/>
        <v>0</v>
      </c>
      <c r="AD118" s="9">
        <f t="shared" si="25"/>
        <v>0</v>
      </c>
      <c r="AE118" s="9">
        <f t="shared" si="25"/>
        <v>0</v>
      </c>
    </row>
    <row r="119" spans="2:31" x14ac:dyDescent="0.25">
      <c r="B119" s="6">
        <v>0</v>
      </c>
      <c r="C119" s="6">
        <v>0</v>
      </c>
      <c r="D119" s="6">
        <v>0</v>
      </c>
      <c r="E119" s="6">
        <v>0</v>
      </c>
      <c r="F119" s="6">
        <v>0</v>
      </c>
      <c r="L119">
        <f t="shared" si="13"/>
        <v>0</v>
      </c>
      <c r="M119">
        <f t="shared" si="14"/>
        <v>0</v>
      </c>
      <c r="N119">
        <f t="shared" si="15"/>
        <v>0</v>
      </c>
      <c r="O119">
        <f t="shared" si="16"/>
        <v>0</v>
      </c>
      <c r="P119">
        <f t="shared" si="17"/>
        <v>0</v>
      </c>
      <c r="Q119">
        <f t="shared" si="18"/>
        <v>0</v>
      </c>
      <c r="R119">
        <f t="shared" si="19"/>
        <v>0</v>
      </c>
      <c r="S119">
        <f t="shared" si="20"/>
        <v>0</v>
      </c>
      <c r="T119">
        <f t="shared" si="21"/>
        <v>0</v>
      </c>
      <c r="U119">
        <f t="shared" si="22"/>
        <v>0</v>
      </c>
      <c r="V119" s="9">
        <f t="shared" si="26"/>
        <v>0</v>
      </c>
      <c r="W119" s="9">
        <f t="shared" si="26"/>
        <v>0</v>
      </c>
      <c r="X119" s="9">
        <f t="shared" si="26"/>
        <v>0</v>
      </c>
      <c r="Y119" s="9">
        <f t="shared" si="26"/>
        <v>0</v>
      </c>
      <c r="Z119" s="9">
        <f t="shared" si="26"/>
        <v>0</v>
      </c>
      <c r="AA119" s="9">
        <f t="shared" si="25"/>
        <v>0</v>
      </c>
      <c r="AB119" s="9">
        <f t="shared" si="25"/>
        <v>0</v>
      </c>
      <c r="AC119" s="9">
        <f t="shared" si="25"/>
        <v>0</v>
      </c>
      <c r="AD119" s="9">
        <f t="shared" si="25"/>
        <v>0</v>
      </c>
      <c r="AE119" s="9">
        <f t="shared" si="25"/>
        <v>0</v>
      </c>
    </row>
    <row r="120" spans="2:31" x14ac:dyDescent="0.25">
      <c r="B120" s="6">
        <v>0</v>
      </c>
      <c r="C120" s="6">
        <v>0</v>
      </c>
      <c r="D120" s="6">
        <v>0</v>
      </c>
      <c r="E120" s="6">
        <v>0</v>
      </c>
      <c r="F120" s="6">
        <v>0</v>
      </c>
      <c r="L120">
        <f t="shared" si="13"/>
        <v>0</v>
      </c>
      <c r="M120">
        <f t="shared" si="14"/>
        <v>0</v>
      </c>
      <c r="N120">
        <f t="shared" si="15"/>
        <v>0</v>
      </c>
      <c r="O120">
        <f t="shared" si="16"/>
        <v>0</v>
      </c>
      <c r="P120">
        <f t="shared" si="17"/>
        <v>0</v>
      </c>
      <c r="Q120">
        <f t="shared" si="18"/>
        <v>0</v>
      </c>
      <c r="R120">
        <f t="shared" si="19"/>
        <v>0</v>
      </c>
      <c r="S120">
        <f t="shared" si="20"/>
        <v>0</v>
      </c>
      <c r="T120">
        <f t="shared" si="21"/>
        <v>0</v>
      </c>
      <c r="U120">
        <f t="shared" si="22"/>
        <v>0</v>
      </c>
      <c r="V120" s="9">
        <f t="shared" si="26"/>
        <v>0</v>
      </c>
      <c r="W120" s="9">
        <f t="shared" si="26"/>
        <v>0</v>
      </c>
      <c r="X120" s="9">
        <f t="shared" si="26"/>
        <v>0</v>
      </c>
      <c r="Y120" s="9">
        <f t="shared" si="26"/>
        <v>0</v>
      </c>
      <c r="Z120" s="9">
        <f t="shared" si="26"/>
        <v>0</v>
      </c>
      <c r="AA120" s="9">
        <f t="shared" si="25"/>
        <v>0</v>
      </c>
      <c r="AB120" s="9">
        <f t="shared" si="25"/>
        <v>0</v>
      </c>
      <c r="AC120" s="9">
        <f t="shared" si="25"/>
        <v>0</v>
      </c>
      <c r="AD120" s="9">
        <f t="shared" si="25"/>
        <v>0</v>
      </c>
      <c r="AE120" s="9">
        <f t="shared" si="25"/>
        <v>0</v>
      </c>
    </row>
    <row r="121" spans="2:31" x14ac:dyDescent="0.25">
      <c r="B121" s="6">
        <v>0</v>
      </c>
      <c r="C121" s="6">
        <v>0</v>
      </c>
      <c r="D121" s="6">
        <v>0</v>
      </c>
      <c r="E121" s="6">
        <v>0</v>
      </c>
      <c r="F121" s="6">
        <v>0</v>
      </c>
      <c r="L121">
        <f t="shared" si="13"/>
        <v>0</v>
      </c>
      <c r="M121">
        <f t="shared" si="14"/>
        <v>0</v>
      </c>
      <c r="N121">
        <f t="shared" si="15"/>
        <v>0</v>
      </c>
      <c r="O121">
        <f t="shared" si="16"/>
        <v>0</v>
      </c>
      <c r="P121">
        <f t="shared" si="17"/>
        <v>0</v>
      </c>
      <c r="Q121">
        <f t="shared" si="18"/>
        <v>0</v>
      </c>
      <c r="R121">
        <f t="shared" si="19"/>
        <v>0</v>
      </c>
      <c r="S121">
        <f t="shared" si="20"/>
        <v>0</v>
      </c>
      <c r="T121">
        <f t="shared" si="21"/>
        <v>0</v>
      </c>
      <c r="U121">
        <f t="shared" si="22"/>
        <v>0</v>
      </c>
      <c r="V121" s="9">
        <f t="shared" si="26"/>
        <v>0</v>
      </c>
      <c r="W121" s="9">
        <f t="shared" si="26"/>
        <v>0</v>
      </c>
      <c r="X121" s="9">
        <f t="shared" si="26"/>
        <v>0</v>
      </c>
      <c r="Y121" s="9">
        <f t="shared" si="26"/>
        <v>0</v>
      </c>
      <c r="Z121" s="9">
        <f t="shared" si="26"/>
        <v>0</v>
      </c>
      <c r="AA121" s="9">
        <f t="shared" si="25"/>
        <v>0</v>
      </c>
      <c r="AB121" s="9">
        <f t="shared" si="25"/>
        <v>0</v>
      </c>
      <c r="AC121" s="9">
        <f t="shared" si="25"/>
        <v>0</v>
      </c>
      <c r="AD121" s="9">
        <f t="shared" si="25"/>
        <v>0</v>
      </c>
      <c r="AE121" s="9">
        <f t="shared" si="25"/>
        <v>0</v>
      </c>
    </row>
    <row r="122" spans="2:31" x14ac:dyDescent="0.25">
      <c r="B122" s="6">
        <v>0</v>
      </c>
      <c r="C122" s="6">
        <v>0</v>
      </c>
      <c r="D122" s="6">
        <v>0</v>
      </c>
      <c r="E122" s="6">
        <v>0</v>
      </c>
      <c r="F122" s="6">
        <v>0</v>
      </c>
      <c r="L122">
        <f t="shared" si="13"/>
        <v>0</v>
      </c>
      <c r="M122">
        <f t="shared" si="14"/>
        <v>0</v>
      </c>
      <c r="N122">
        <f t="shared" si="15"/>
        <v>0</v>
      </c>
      <c r="O122">
        <f t="shared" si="16"/>
        <v>0</v>
      </c>
      <c r="P122">
        <f t="shared" si="17"/>
        <v>0</v>
      </c>
      <c r="Q122">
        <f t="shared" si="18"/>
        <v>0</v>
      </c>
      <c r="R122">
        <f t="shared" si="19"/>
        <v>0</v>
      </c>
      <c r="S122">
        <f t="shared" si="20"/>
        <v>0</v>
      </c>
      <c r="T122">
        <f t="shared" si="21"/>
        <v>0</v>
      </c>
      <c r="U122">
        <f t="shared" si="22"/>
        <v>0</v>
      </c>
      <c r="V122" s="9">
        <f t="shared" si="26"/>
        <v>0</v>
      </c>
      <c r="W122" s="9">
        <f t="shared" si="26"/>
        <v>0</v>
      </c>
      <c r="X122" s="9">
        <f t="shared" si="26"/>
        <v>0</v>
      </c>
      <c r="Y122" s="9">
        <f t="shared" si="26"/>
        <v>0</v>
      </c>
      <c r="Z122" s="9">
        <f t="shared" si="26"/>
        <v>0</v>
      </c>
      <c r="AA122" s="9">
        <f t="shared" si="25"/>
        <v>0</v>
      </c>
      <c r="AB122" s="9">
        <f t="shared" si="25"/>
        <v>0</v>
      </c>
      <c r="AC122" s="9">
        <f t="shared" si="25"/>
        <v>0</v>
      </c>
      <c r="AD122" s="9">
        <f t="shared" si="25"/>
        <v>0</v>
      </c>
      <c r="AE122" s="9">
        <f t="shared" si="25"/>
        <v>0</v>
      </c>
    </row>
    <row r="123" spans="2:31" x14ac:dyDescent="0.25">
      <c r="B123" s="6">
        <v>0</v>
      </c>
      <c r="C123" s="6">
        <v>0</v>
      </c>
      <c r="D123" s="6">
        <v>0</v>
      </c>
      <c r="E123" s="6">
        <v>0</v>
      </c>
      <c r="F123" s="6">
        <v>0</v>
      </c>
      <c r="L123">
        <f t="shared" si="13"/>
        <v>0</v>
      </c>
      <c r="M123">
        <f t="shared" si="14"/>
        <v>0</v>
      </c>
      <c r="N123">
        <f t="shared" si="15"/>
        <v>0</v>
      </c>
      <c r="O123">
        <f t="shared" si="16"/>
        <v>0</v>
      </c>
      <c r="P123">
        <f t="shared" si="17"/>
        <v>0</v>
      </c>
      <c r="Q123">
        <f t="shared" si="18"/>
        <v>0</v>
      </c>
      <c r="R123">
        <f t="shared" si="19"/>
        <v>0</v>
      </c>
      <c r="S123">
        <f t="shared" si="20"/>
        <v>0</v>
      </c>
      <c r="T123">
        <f t="shared" si="21"/>
        <v>0</v>
      </c>
      <c r="U123">
        <f t="shared" si="22"/>
        <v>0</v>
      </c>
      <c r="V123" s="9">
        <f t="shared" si="26"/>
        <v>0</v>
      </c>
      <c r="W123" s="9">
        <f t="shared" si="26"/>
        <v>0</v>
      </c>
      <c r="X123" s="9">
        <f t="shared" si="26"/>
        <v>0</v>
      </c>
      <c r="Y123" s="9">
        <f t="shared" si="26"/>
        <v>0</v>
      </c>
      <c r="Z123" s="9">
        <f t="shared" si="26"/>
        <v>0</v>
      </c>
      <c r="AA123" s="9">
        <f t="shared" si="25"/>
        <v>0</v>
      </c>
      <c r="AB123" s="9">
        <f t="shared" si="25"/>
        <v>0</v>
      </c>
      <c r="AC123" s="9">
        <f t="shared" si="25"/>
        <v>0</v>
      </c>
      <c r="AD123" s="9">
        <f t="shared" si="25"/>
        <v>0</v>
      </c>
      <c r="AE123" s="9">
        <f t="shared" si="25"/>
        <v>0</v>
      </c>
    </row>
    <row r="124" spans="2:31" x14ac:dyDescent="0.25">
      <c r="B124" s="6">
        <v>0</v>
      </c>
      <c r="C124" s="6">
        <v>0</v>
      </c>
      <c r="D124" s="6">
        <v>0</v>
      </c>
      <c r="E124" s="6">
        <v>0</v>
      </c>
      <c r="F124" s="6">
        <v>0</v>
      </c>
      <c r="L124">
        <f t="shared" si="13"/>
        <v>0</v>
      </c>
      <c r="M124">
        <f t="shared" si="14"/>
        <v>0</v>
      </c>
      <c r="N124">
        <f t="shared" si="15"/>
        <v>0</v>
      </c>
      <c r="O124">
        <f t="shared" si="16"/>
        <v>0</v>
      </c>
      <c r="P124">
        <f t="shared" si="17"/>
        <v>0</v>
      </c>
      <c r="Q124">
        <f t="shared" si="18"/>
        <v>0</v>
      </c>
      <c r="R124">
        <f t="shared" si="19"/>
        <v>0</v>
      </c>
      <c r="S124">
        <f t="shared" si="20"/>
        <v>0</v>
      </c>
      <c r="T124">
        <f t="shared" si="21"/>
        <v>0</v>
      </c>
      <c r="U124">
        <f t="shared" si="22"/>
        <v>0</v>
      </c>
      <c r="V124" s="9">
        <f t="shared" si="26"/>
        <v>0</v>
      </c>
      <c r="W124" s="9">
        <f t="shared" si="26"/>
        <v>0</v>
      </c>
      <c r="X124" s="9">
        <f t="shared" si="26"/>
        <v>0</v>
      </c>
      <c r="Y124" s="9">
        <f t="shared" si="26"/>
        <v>0</v>
      </c>
      <c r="Z124" s="9">
        <f t="shared" si="26"/>
        <v>0</v>
      </c>
      <c r="AA124" s="9">
        <f t="shared" si="25"/>
        <v>0</v>
      </c>
      <c r="AB124" s="9">
        <f t="shared" si="25"/>
        <v>0</v>
      </c>
      <c r="AC124" s="9">
        <f t="shared" si="25"/>
        <v>0</v>
      </c>
      <c r="AD124" s="9">
        <f t="shared" si="25"/>
        <v>0</v>
      </c>
      <c r="AE124" s="9">
        <f t="shared" si="25"/>
        <v>0</v>
      </c>
    </row>
    <row r="125" spans="2:31" x14ac:dyDescent="0.25">
      <c r="B125" s="6">
        <v>0</v>
      </c>
      <c r="C125" s="6">
        <v>0</v>
      </c>
      <c r="D125" s="6">
        <v>0</v>
      </c>
      <c r="E125" s="6">
        <v>0</v>
      </c>
      <c r="F125" s="6">
        <v>0</v>
      </c>
      <c r="L125">
        <f t="shared" si="13"/>
        <v>0</v>
      </c>
      <c r="M125">
        <f t="shared" si="14"/>
        <v>0</v>
      </c>
      <c r="N125">
        <f t="shared" si="15"/>
        <v>0</v>
      </c>
      <c r="O125">
        <f t="shared" si="16"/>
        <v>0</v>
      </c>
      <c r="P125">
        <f t="shared" si="17"/>
        <v>0</v>
      </c>
      <c r="Q125">
        <f t="shared" si="18"/>
        <v>0</v>
      </c>
      <c r="R125">
        <f t="shared" si="19"/>
        <v>0</v>
      </c>
      <c r="S125">
        <f t="shared" si="20"/>
        <v>0</v>
      </c>
      <c r="T125">
        <f t="shared" si="21"/>
        <v>0</v>
      </c>
      <c r="U125">
        <f t="shared" si="22"/>
        <v>0</v>
      </c>
      <c r="V125" s="9">
        <f t="shared" si="26"/>
        <v>0</v>
      </c>
      <c r="W125" s="9">
        <f t="shared" si="26"/>
        <v>0</v>
      </c>
      <c r="X125" s="9">
        <f t="shared" si="26"/>
        <v>0</v>
      </c>
      <c r="Y125" s="9">
        <f t="shared" si="26"/>
        <v>0</v>
      </c>
      <c r="Z125" s="9">
        <f t="shared" si="26"/>
        <v>0</v>
      </c>
      <c r="AA125" s="9">
        <f t="shared" si="25"/>
        <v>0</v>
      </c>
      <c r="AB125" s="9">
        <f t="shared" si="25"/>
        <v>0</v>
      </c>
      <c r="AC125" s="9">
        <f t="shared" si="25"/>
        <v>0</v>
      </c>
      <c r="AD125" s="9">
        <f t="shared" si="25"/>
        <v>0</v>
      </c>
      <c r="AE125" s="9">
        <f t="shared" si="25"/>
        <v>0</v>
      </c>
    </row>
    <row r="126" spans="2:31" x14ac:dyDescent="0.25">
      <c r="B126" s="6">
        <v>0</v>
      </c>
      <c r="C126" s="6">
        <v>0</v>
      </c>
      <c r="D126" s="6">
        <v>0</v>
      </c>
      <c r="E126" s="6">
        <v>0</v>
      </c>
      <c r="F126" s="6">
        <v>0</v>
      </c>
      <c r="L126">
        <f t="shared" si="13"/>
        <v>0</v>
      </c>
      <c r="M126">
        <f t="shared" si="14"/>
        <v>0</v>
      </c>
      <c r="N126">
        <f t="shared" si="15"/>
        <v>0</v>
      </c>
      <c r="O126">
        <f t="shared" si="16"/>
        <v>0</v>
      </c>
      <c r="P126">
        <f t="shared" si="17"/>
        <v>0</v>
      </c>
      <c r="Q126">
        <f t="shared" si="18"/>
        <v>0</v>
      </c>
      <c r="R126">
        <f t="shared" si="19"/>
        <v>0</v>
      </c>
      <c r="S126">
        <f t="shared" si="20"/>
        <v>0</v>
      </c>
      <c r="T126">
        <f t="shared" si="21"/>
        <v>0</v>
      </c>
      <c r="U126">
        <f t="shared" si="22"/>
        <v>0</v>
      </c>
      <c r="V126" s="9">
        <f t="shared" si="26"/>
        <v>0</v>
      </c>
      <c r="W126" s="9">
        <f t="shared" si="26"/>
        <v>0</v>
      </c>
      <c r="X126" s="9">
        <f t="shared" si="26"/>
        <v>0</v>
      </c>
      <c r="Y126" s="9">
        <f t="shared" si="26"/>
        <v>0</v>
      </c>
      <c r="Z126" s="9">
        <f t="shared" si="26"/>
        <v>0</v>
      </c>
      <c r="AA126" s="9">
        <f t="shared" si="25"/>
        <v>0</v>
      </c>
      <c r="AB126" s="9">
        <f t="shared" si="25"/>
        <v>0</v>
      </c>
      <c r="AC126" s="9">
        <f t="shared" si="25"/>
        <v>0</v>
      </c>
      <c r="AD126" s="9">
        <f t="shared" si="25"/>
        <v>0</v>
      </c>
      <c r="AE126" s="9">
        <f t="shared" si="25"/>
        <v>0</v>
      </c>
    </row>
    <row r="127" spans="2:31" x14ac:dyDescent="0.25">
      <c r="B127" s="6">
        <v>0</v>
      </c>
      <c r="C127" s="6">
        <v>0</v>
      </c>
      <c r="D127" s="6">
        <v>0</v>
      </c>
      <c r="E127" s="6">
        <v>0</v>
      </c>
      <c r="F127" s="6">
        <v>0</v>
      </c>
      <c r="L127">
        <f t="shared" si="13"/>
        <v>0</v>
      </c>
      <c r="M127">
        <f t="shared" si="14"/>
        <v>0</v>
      </c>
      <c r="N127">
        <f t="shared" si="15"/>
        <v>0</v>
      </c>
      <c r="O127">
        <f t="shared" si="16"/>
        <v>0</v>
      </c>
      <c r="P127">
        <f t="shared" si="17"/>
        <v>0</v>
      </c>
      <c r="Q127">
        <f t="shared" si="18"/>
        <v>0</v>
      </c>
      <c r="R127">
        <f t="shared" si="19"/>
        <v>0</v>
      </c>
      <c r="S127">
        <f t="shared" si="20"/>
        <v>0</v>
      </c>
      <c r="T127">
        <f t="shared" si="21"/>
        <v>0</v>
      </c>
      <c r="U127">
        <f t="shared" si="22"/>
        <v>0</v>
      </c>
      <c r="V127" s="9">
        <f t="shared" si="26"/>
        <v>0</v>
      </c>
      <c r="W127" s="9">
        <f t="shared" si="26"/>
        <v>0</v>
      </c>
      <c r="X127" s="9">
        <f t="shared" si="26"/>
        <v>0</v>
      </c>
      <c r="Y127" s="9">
        <f t="shared" si="26"/>
        <v>0</v>
      </c>
      <c r="Z127" s="9">
        <f t="shared" si="26"/>
        <v>0</v>
      </c>
      <c r="AA127" s="9">
        <f t="shared" si="25"/>
        <v>0</v>
      </c>
      <c r="AB127" s="9">
        <f t="shared" si="25"/>
        <v>0</v>
      </c>
      <c r="AC127" s="9">
        <f t="shared" si="25"/>
        <v>0</v>
      </c>
      <c r="AD127" s="9">
        <f t="shared" si="25"/>
        <v>0</v>
      </c>
      <c r="AE127" s="9">
        <f t="shared" si="25"/>
        <v>0</v>
      </c>
    </row>
    <row r="128" spans="2:31" x14ac:dyDescent="0.25">
      <c r="B128" s="6">
        <v>0</v>
      </c>
      <c r="C128" s="6">
        <v>0</v>
      </c>
      <c r="D128" s="6">
        <v>0</v>
      </c>
      <c r="E128" s="6">
        <v>0</v>
      </c>
      <c r="F128" s="6">
        <v>0</v>
      </c>
      <c r="L128">
        <f t="shared" si="13"/>
        <v>0</v>
      </c>
      <c r="M128">
        <f t="shared" si="14"/>
        <v>0</v>
      </c>
      <c r="N128">
        <f t="shared" si="15"/>
        <v>0</v>
      </c>
      <c r="O128">
        <f t="shared" si="16"/>
        <v>0</v>
      </c>
      <c r="P128">
        <f t="shared" si="17"/>
        <v>0</v>
      </c>
      <c r="Q128">
        <f t="shared" si="18"/>
        <v>0</v>
      </c>
      <c r="R128">
        <f t="shared" si="19"/>
        <v>0</v>
      </c>
      <c r="S128">
        <f t="shared" si="20"/>
        <v>0</v>
      </c>
      <c r="T128">
        <f t="shared" si="21"/>
        <v>0</v>
      </c>
      <c r="U128">
        <f t="shared" si="22"/>
        <v>0</v>
      </c>
      <c r="V128" s="9">
        <f t="shared" si="26"/>
        <v>0</v>
      </c>
      <c r="W128" s="9">
        <f t="shared" si="26"/>
        <v>0</v>
      </c>
      <c r="X128" s="9">
        <f t="shared" si="26"/>
        <v>0</v>
      </c>
      <c r="Y128" s="9">
        <f t="shared" si="26"/>
        <v>0</v>
      </c>
      <c r="Z128" s="9">
        <f t="shared" si="26"/>
        <v>0</v>
      </c>
      <c r="AA128" s="9">
        <f t="shared" si="25"/>
        <v>0</v>
      </c>
      <c r="AB128" s="9">
        <f t="shared" si="25"/>
        <v>0</v>
      </c>
      <c r="AC128" s="9">
        <f t="shared" si="25"/>
        <v>0</v>
      </c>
      <c r="AD128" s="9">
        <f t="shared" si="25"/>
        <v>0</v>
      </c>
      <c r="AE128" s="9">
        <f t="shared" si="25"/>
        <v>0</v>
      </c>
    </row>
    <row r="129" spans="2:31" x14ac:dyDescent="0.25">
      <c r="B129" s="6">
        <v>0</v>
      </c>
      <c r="C129" s="6">
        <v>0</v>
      </c>
      <c r="D129" s="6">
        <v>0</v>
      </c>
      <c r="E129" s="6">
        <v>0</v>
      </c>
      <c r="F129" s="6">
        <v>0</v>
      </c>
      <c r="L129">
        <f t="shared" ref="L129:L192" si="27">B129-C129</f>
        <v>0</v>
      </c>
      <c r="M129">
        <f t="shared" ref="M129:M192" si="28">B129-D129</f>
        <v>0</v>
      </c>
      <c r="N129">
        <f t="shared" ref="N129:N192" si="29">B129-E129</f>
        <v>0</v>
      </c>
      <c r="O129">
        <f t="shared" ref="O129:O192" si="30">B129-F129</f>
        <v>0</v>
      </c>
      <c r="P129">
        <f t="shared" ref="P129:P192" si="31">C129-D129</f>
        <v>0</v>
      </c>
      <c r="Q129">
        <f t="shared" ref="Q129:Q192" si="32">C129-E129</f>
        <v>0</v>
      </c>
      <c r="R129">
        <f t="shared" ref="R129:R192" si="33">C129-F129</f>
        <v>0</v>
      </c>
      <c r="S129">
        <f t="shared" ref="S129:S192" si="34">D129-E129</f>
        <v>0</v>
      </c>
      <c r="T129">
        <f t="shared" ref="T129:T192" si="35">D129-F129</f>
        <v>0</v>
      </c>
      <c r="U129">
        <f t="shared" ref="U129:U192" si="36">E129-F129</f>
        <v>0</v>
      </c>
      <c r="V129" s="9">
        <f t="shared" si="26"/>
        <v>0</v>
      </c>
      <c r="W129" s="9">
        <f t="shared" si="26"/>
        <v>0</v>
      </c>
      <c r="X129" s="9">
        <f t="shared" si="26"/>
        <v>0</v>
      </c>
      <c r="Y129" s="9">
        <f t="shared" si="26"/>
        <v>0</v>
      </c>
      <c r="Z129" s="9">
        <f t="shared" si="26"/>
        <v>0</v>
      </c>
      <c r="AA129" s="9">
        <f t="shared" si="25"/>
        <v>0</v>
      </c>
      <c r="AB129" s="9">
        <f t="shared" si="25"/>
        <v>0</v>
      </c>
      <c r="AC129" s="9">
        <f t="shared" si="25"/>
        <v>0</v>
      </c>
      <c r="AD129" s="9">
        <f t="shared" si="25"/>
        <v>0</v>
      </c>
      <c r="AE129" s="9">
        <f t="shared" si="25"/>
        <v>0</v>
      </c>
    </row>
    <row r="130" spans="2:31" x14ac:dyDescent="0.25">
      <c r="B130" s="6">
        <v>0</v>
      </c>
      <c r="C130" s="6">
        <v>0</v>
      </c>
      <c r="D130" s="6">
        <v>0</v>
      </c>
      <c r="E130" s="6">
        <v>0</v>
      </c>
      <c r="F130" s="6">
        <v>0</v>
      </c>
      <c r="L130">
        <f t="shared" si="27"/>
        <v>0</v>
      </c>
      <c r="M130">
        <f t="shared" si="28"/>
        <v>0</v>
      </c>
      <c r="N130">
        <f t="shared" si="29"/>
        <v>0</v>
      </c>
      <c r="O130">
        <f t="shared" si="30"/>
        <v>0</v>
      </c>
      <c r="P130">
        <f t="shared" si="31"/>
        <v>0</v>
      </c>
      <c r="Q130">
        <f t="shared" si="32"/>
        <v>0</v>
      </c>
      <c r="R130">
        <f t="shared" si="33"/>
        <v>0</v>
      </c>
      <c r="S130">
        <f t="shared" si="34"/>
        <v>0</v>
      </c>
      <c r="T130">
        <f t="shared" si="35"/>
        <v>0</v>
      </c>
      <c r="U130">
        <f t="shared" si="36"/>
        <v>0</v>
      </c>
      <c r="V130" s="9">
        <f t="shared" si="26"/>
        <v>0</v>
      </c>
      <c r="W130" s="9">
        <f t="shared" si="26"/>
        <v>0</v>
      </c>
      <c r="X130" s="9">
        <f t="shared" si="26"/>
        <v>0</v>
      </c>
      <c r="Y130" s="9">
        <f t="shared" si="26"/>
        <v>0</v>
      </c>
      <c r="Z130" s="9">
        <f t="shared" si="26"/>
        <v>0</v>
      </c>
      <c r="AA130" s="9">
        <f t="shared" si="25"/>
        <v>0</v>
      </c>
      <c r="AB130" s="9">
        <f t="shared" si="25"/>
        <v>0</v>
      </c>
      <c r="AC130" s="9">
        <f t="shared" si="25"/>
        <v>0</v>
      </c>
      <c r="AD130" s="9">
        <f t="shared" si="25"/>
        <v>0</v>
      </c>
      <c r="AE130" s="9">
        <f t="shared" si="25"/>
        <v>0</v>
      </c>
    </row>
    <row r="131" spans="2:31" x14ac:dyDescent="0.25">
      <c r="B131" s="6">
        <v>0</v>
      </c>
      <c r="C131" s="6">
        <v>0</v>
      </c>
      <c r="D131" s="6">
        <v>0</v>
      </c>
      <c r="E131" s="6">
        <v>0</v>
      </c>
      <c r="F131" s="6">
        <v>0</v>
      </c>
      <c r="L131">
        <f t="shared" si="27"/>
        <v>0</v>
      </c>
      <c r="M131">
        <f t="shared" si="28"/>
        <v>0</v>
      </c>
      <c r="N131">
        <f t="shared" si="29"/>
        <v>0</v>
      </c>
      <c r="O131">
        <f t="shared" si="30"/>
        <v>0</v>
      </c>
      <c r="P131">
        <f t="shared" si="31"/>
        <v>0</v>
      </c>
      <c r="Q131">
        <f t="shared" si="32"/>
        <v>0</v>
      </c>
      <c r="R131">
        <f t="shared" si="33"/>
        <v>0</v>
      </c>
      <c r="S131">
        <f t="shared" si="34"/>
        <v>0</v>
      </c>
      <c r="T131">
        <f t="shared" si="35"/>
        <v>0</v>
      </c>
      <c r="U131">
        <f t="shared" si="36"/>
        <v>0</v>
      </c>
      <c r="V131" s="9">
        <f t="shared" si="26"/>
        <v>0</v>
      </c>
      <c r="W131" s="9">
        <f t="shared" si="26"/>
        <v>0</v>
      </c>
      <c r="X131" s="9">
        <f t="shared" si="26"/>
        <v>0</v>
      </c>
      <c r="Y131" s="9">
        <f t="shared" si="26"/>
        <v>0</v>
      </c>
      <c r="Z131" s="9">
        <f t="shared" si="26"/>
        <v>0</v>
      </c>
      <c r="AA131" s="9">
        <f t="shared" si="25"/>
        <v>0</v>
      </c>
      <c r="AB131" s="9">
        <f t="shared" si="25"/>
        <v>0</v>
      </c>
      <c r="AC131" s="9">
        <f t="shared" si="25"/>
        <v>0</v>
      </c>
      <c r="AD131" s="9">
        <f t="shared" si="25"/>
        <v>0</v>
      </c>
      <c r="AE131" s="9">
        <f t="shared" si="25"/>
        <v>0</v>
      </c>
    </row>
    <row r="132" spans="2:31" x14ac:dyDescent="0.25">
      <c r="B132" s="6">
        <v>0</v>
      </c>
      <c r="C132" s="6">
        <v>0</v>
      </c>
      <c r="D132" s="6">
        <v>0</v>
      </c>
      <c r="E132" s="6">
        <v>0</v>
      </c>
      <c r="F132" s="6">
        <v>0</v>
      </c>
      <c r="L132">
        <f t="shared" si="27"/>
        <v>0</v>
      </c>
      <c r="M132">
        <f t="shared" si="28"/>
        <v>0</v>
      </c>
      <c r="N132">
        <f t="shared" si="29"/>
        <v>0</v>
      </c>
      <c r="O132">
        <f t="shared" si="30"/>
        <v>0</v>
      </c>
      <c r="P132">
        <f t="shared" si="31"/>
        <v>0</v>
      </c>
      <c r="Q132">
        <f t="shared" si="32"/>
        <v>0</v>
      </c>
      <c r="R132">
        <f t="shared" si="33"/>
        <v>0</v>
      </c>
      <c r="S132">
        <f t="shared" si="34"/>
        <v>0</v>
      </c>
      <c r="T132">
        <f t="shared" si="35"/>
        <v>0</v>
      </c>
      <c r="U132">
        <f t="shared" si="36"/>
        <v>0</v>
      </c>
      <c r="V132" s="9">
        <f t="shared" si="26"/>
        <v>0</v>
      </c>
      <c r="W132" s="9">
        <f t="shared" si="26"/>
        <v>0</v>
      </c>
      <c r="X132" s="9">
        <f t="shared" si="26"/>
        <v>0</v>
      </c>
      <c r="Y132" s="9">
        <f t="shared" si="26"/>
        <v>0</v>
      </c>
      <c r="Z132" s="9">
        <f t="shared" si="26"/>
        <v>0</v>
      </c>
      <c r="AA132" s="9">
        <f t="shared" si="25"/>
        <v>0</v>
      </c>
      <c r="AB132" s="9">
        <f t="shared" si="25"/>
        <v>0</v>
      </c>
      <c r="AC132" s="9">
        <f t="shared" si="25"/>
        <v>0</v>
      </c>
      <c r="AD132" s="9">
        <f t="shared" si="25"/>
        <v>0</v>
      </c>
      <c r="AE132" s="9">
        <f t="shared" si="25"/>
        <v>0</v>
      </c>
    </row>
    <row r="133" spans="2:31" x14ac:dyDescent="0.25">
      <c r="B133" s="6">
        <v>0</v>
      </c>
      <c r="C133" s="6">
        <v>0</v>
      </c>
      <c r="D133" s="6">
        <v>0</v>
      </c>
      <c r="E133" s="6">
        <v>0</v>
      </c>
      <c r="F133" s="6">
        <v>0</v>
      </c>
      <c r="L133">
        <f t="shared" si="27"/>
        <v>0</v>
      </c>
      <c r="M133">
        <f t="shared" si="28"/>
        <v>0</v>
      </c>
      <c r="N133">
        <f t="shared" si="29"/>
        <v>0</v>
      </c>
      <c r="O133">
        <f t="shared" si="30"/>
        <v>0</v>
      </c>
      <c r="P133">
        <f t="shared" si="31"/>
        <v>0</v>
      </c>
      <c r="Q133">
        <f t="shared" si="32"/>
        <v>0</v>
      </c>
      <c r="R133">
        <f t="shared" si="33"/>
        <v>0</v>
      </c>
      <c r="S133">
        <f t="shared" si="34"/>
        <v>0</v>
      </c>
      <c r="T133">
        <f t="shared" si="35"/>
        <v>0</v>
      </c>
      <c r="U133">
        <f t="shared" si="36"/>
        <v>0</v>
      </c>
      <c r="V133" s="9">
        <f t="shared" si="26"/>
        <v>0</v>
      </c>
      <c r="W133" s="9">
        <f t="shared" si="26"/>
        <v>0</v>
      </c>
      <c r="X133" s="9">
        <f t="shared" si="26"/>
        <v>0</v>
      </c>
      <c r="Y133" s="9">
        <f t="shared" si="26"/>
        <v>0</v>
      </c>
      <c r="Z133" s="9">
        <f t="shared" si="26"/>
        <v>0</v>
      </c>
      <c r="AA133" s="9">
        <f t="shared" si="25"/>
        <v>0</v>
      </c>
      <c r="AB133" s="9">
        <f t="shared" si="25"/>
        <v>0</v>
      </c>
      <c r="AC133" s="9">
        <f t="shared" si="25"/>
        <v>0</v>
      </c>
      <c r="AD133" s="9">
        <f t="shared" si="25"/>
        <v>0</v>
      </c>
      <c r="AE133" s="9">
        <f t="shared" si="25"/>
        <v>0</v>
      </c>
    </row>
    <row r="134" spans="2:31" x14ac:dyDescent="0.25">
      <c r="B134" s="6">
        <v>0</v>
      </c>
      <c r="C134" s="6">
        <v>0</v>
      </c>
      <c r="D134" s="6">
        <v>0</v>
      </c>
      <c r="E134" s="6">
        <v>0</v>
      </c>
      <c r="F134" s="6">
        <v>0</v>
      </c>
      <c r="L134">
        <f t="shared" si="27"/>
        <v>0</v>
      </c>
      <c r="M134">
        <f t="shared" si="28"/>
        <v>0</v>
      </c>
      <c r="N134">
        <f t="shared" si="29"/>
        <v>0</v>
      </c>
      <c r="O134">
        <f t="shared" si="30"/>
        <v>0</v>
      </c>
      <c r="P134">
        <f t="shared" si="31"/>
        <v>0</v>
      </c>
      <c r="Q134">
        <f t="shared" si="32"/>
        <v>0</v>
      </c>
      <c r="R134">
        <f t="shared" si="33"/>
        <v>0</v>
      </c>
      <c r="S134">
        <f t="shared" si="34"/>
        <v>0</v>
      </c>
      <c r="T134">
        <f t="shared" si="35"/>
        <v>0</v>
      </c>
      <c r="U134">
        <f t="shared" si="36"/>
        <v>0</v>
      </c>
      <c r="V134" s="9">
        <f t="shared" si="26"/>
        <v>0</v>
      </c>
      <c r="W134" s="9">
        <f t="shared" si="26"/>
        <v>0</v>
      </c>
      <c r="X134" s="9">
        <f t="shared" si="26"/>
        <v>0</v>
      </c>
      <c r="Y134" s="9">
        <f t="shared" si="26"/>
        <v>0</v>
      </c>
      <c r="Z134" s="9">
        <f t="shared" si="26"/>
        <v>0</v>
      </c>
      <c r="AA134" s="9">
        <f t="shared" si="25"/>
        <v>0</v>
      </c>
      <c r="AB134" s="9">
        <f t="shared" si="25"/>
        <v>0</v>
      </c>
      <c r="AC134" s="9">
        <f t="shared" si="25"/>
        <v>0</v>
      </c>
      <c r="AD134" s="9">
        <f t="shared" si="25"/>
        <v>0</v>
      </c>
      <c r="AE134" s="9">
        <f t="shared" si="25"/>
        <v>0</v>
      </c>
    </row>
    <row r="135" spans="2:31" x14ac:dyDescent="0.25">
      <c r="B135" s="6">
        <v>0</v>
      </c>
      <c r="C135" s="6">
        <v>0</v>
      </c>
      <c r="D135" s="6">
        <v>0</v>
      </c>
      <c r="E135" s="6">
        <v>0</v>
      </c>
      <c r="F135" s="6">
        <v>0</v>
      </c>
      <c r="L135">
        <f t="shared" si="27"/>
        <v>0</v>
      </c>
      <c r="M135">
        <f t="shared" si="28"/>
        <v>0</v>
      </c>
      <c r="N135">
        <f t="shared" si="29"/>
        <v>0</v>
      </c>
      <c r="O135">
        <f t="shared" si="30"/>
        <v>0</v>
      </c>
      <c r="P135">
        <f t="shared" si="31"/>
        <v>0</v>
      </c>
      <c r="Q135">
        <f t="shared" si="32"/>
        <v>0</v>
      </c>
      <c r="R135">
        <f t="shared" si="33"/>
        <v>0</v>
      </c>
      <c r="S135">
        <f t="shared" si="34"/>
        <v>0</v>
      </c>
      <c r="T135">
        <f t="shared" si="35"/>
        <v>0</v>
      </c>
      <c r="U135">
        <f t="shared" si="36"/>
        <v>0</v>
      </c>
      <c r="V135" s="9">
        <f t="shared" si="26"/>
        <v>0</v>
      </c>
      <c r="W135" s="9">
        <f t="shared" si="26"/>
        <v>0</v>
      </c>
      <c r="X135" s="9">
        <f t="shared" si="26"/>
        <v>0</v>
      </c>
      <c r="Y135" s="9">
        <f t="shared" si="26"/>
        <v>0</v>
      </c>
      <c r="Z135" s="9">
        <f t="shared" si="26"/>
        <v>0</v>
      </c>
      <c r="AA135" s="9">
        <f t="shared" si="25"/>
        <v>0</v>
      </c>
      <c r="AB135" s="9">
        <f t="shared" si="25"/>
        <v>0</v>
      </c>
      <c r="AC135" s="9">
        <f t="shared" si="25"/>
        <v>0</v>
      </c>
      <c r="AD135" s="9">
        <f t="shared" si="25"/>
        <v>0</v>
      </c>
      <c r="AE135" s="9">
        <f t="shared" si="25"/>
        <v>0</v>
      </c>
    </row>
    <row r="136" spans="2:31" x14ac:dyDescent="0.25">
      <c r="B136" s="6">
        <v>0</v>
      </c>
      <c r="C136" s="6">
        <v>0</v>
      </c>
      <c r="D136" s="6">
        <v>0</v>
      </c>
      <c r="E136" s="6">
        <v>0</v>
      </c>
      <c r="F136" s="6">
        <v>0</v>
      </c>
      <c r="L136">
        <f t="shared" si="27"/>
        <v>0</v>
      </c>
      <c r="M136">
        <f t="shared" si="28"/>
        <v>0</v>
      </c>
      <c r="N136">
        <f t="shared" si="29"/>
        <v>0</v>
      </c>
      <c r="O136">
        <f t="shared" si="30"/>
        <v>0</v>
      </c>
      <c r="P136">
        <f t="shared" si="31"/>
        <v>0</v>
      </c>
      <c r="Q136">
        <f t="shared" si="32"/>
        <v>0</v>
      </c>
      <c r="R136">
        <f t="shared" si="33"/>
        <v>0</v>
      </c>
      <c r="S136">
        <f t="shared" si="34"/>
        <v>0</v>
      </c>
      <c r="T136">
        <f t="shared" si="35"/>
        <v>0</v>
      </c>
      <c r="U136">
        <f t="shared" si="36"/>
        <v>0</v>
      </c>
      <c r="V136" s="9">
        <f t="shared" si="26"/>
        <v>0</v>
      </c>
      <c r="W136" s="9">
        <f t="shared" si="26"/>
        <v>0</v>
      </c>
      <c r="X136" s="9">
        <f t="shared" si="26"/>
        <v>0</v>
      </c>
      <c r="Y136" s="9">
        <f t="shared" si="26"/>
        <v>0</v>
      </c>
      <c r="Z136" s="9">
        <f t="shared" si="26"/>
        <v>0</v>
      </c>
      <c r="AA136" s="9">
        <f t="shared" si="25"/>
        <v>0</v>
      </c>
      <c r="AB136" s="9">
        <f t="shared" si="25"/>
        <v>0</v>
      </c>
      <c r="AC136" s="9">
        <f t="shared" si="25"/>
        <v>0</v>
      </c>
      <c r="AD136" s="9">
        <f t="shared" si="25"/>
        <v>0</v>
      </c>
      <c r="AE136" s="9">
        <f t="shared" si="25"/>
        <v>0</v>
      </c>
    </row>
    <row r="137" spans="2:31" x14ac:dyDescent="0.25">
      <c r="B137" s="6">
        <v>0</v>
      </c>
      <c r="C137" s="6">
        <v>0</v>
      </c>
      <c r="D137" s="6">
        <v>0</v>
      </c>
      <c r="E137" s="6">
        <v>0</v>
      </c>
      <c r="F137" s="6">
        <v>0</v>
      </c>
      <c r="L137">
        <f t="shared" si="27"/>
        <v>0</v>
      </c>
      <c r="M137">
        <f t="shared" si="28"/>
        <v>0</v>
      </c>
      <c r="N137">
        <f t="shared" si="29"/>
        <v>0</v>
      </c>
      <c r="O137">
        <f t="shared" si="30"/>
        <v>0</v>
      </c>
      <c r="P137">
        <f t="shared" si="31"/>
        <v>0</v>
      </c>
      <c r="Q137">
        <f t="shared" si="32"/>
        <v>0</v>
      </c>
      <c r="R137">
        <f t="shared" si="33"/>
        <v>0</v>
      </c>
      <c r="S137">
        <f t="shared" si="34"/>
        <v>0</v>
      </c>
      <c r="T137">
        <f t="shared" si="35"/>
        <v>0</v>
      </c>
      <c r="U137">
        <f t="shared" si="36"/>
        <v>0</v>
      </c>
      <c r="V137" s="9">
        <f t="shared" si="26"/>
        <v>0</v>
      </c>
      <c r="W137" s="9">
        <f t="shared" si="26"/>
        <v>0</v>
      </c>
      <c r="X137" s="9">
        <f t="shared" si="26"/>
        <v>0</v>
      </c>
      <c r="Y137" s="9">
        <f t="shared" si="26"/>
        <v>0</v>
      </c>
      <c r="Z137" s="9">
        <f t="shared" si="26"/>
        <v>0</v>
      </c>
      <c r="AA137" s="9">
        <f t="shared" si="25"/>
        <v>0</v>
      </c>
      <c r="AB137" s="9">
        <f t="shared" si="25"/>
        <v>0</v>
      </c>
      <c r="AC137" s="9">
        <f t="shared" si="25"/>
        <v>0</v>
      </c>
      <c r="AD137" s="9">
        <f t="shared" si="25"/>
        <v>0</v>
      </c>
      <c r="AE137" s="9">
        <f t="shared" si="25"/>
        <v>0</v>
      </c>
    </row>
    <row r="138" spans="2:31" x14ac:dyDescent="0.25">
      <c r="B138" s="6">
        <v>0</v>
      </c>
      <c r="C138" s="6">
        <v>0</v>
      </c>
      <c r="D138" s="6">
        <v>0</v>
      </c>
      <c r="E138" s="6">
        <v>0</v>
      </c>
      <c r="F138" s="6">
        <v>0</v>
      </c>
      <c r="L138">
        <f t="shared" si="27"/>
        <v>0</v>
      </c>
      <c r="M138">
        <f t="shared" si="28"/>
        <v>0</v>
      </c>
      <c r="N138">
        <f t="shared" si="29"/>
        <v>0</v>
      </c>
      <c r="O138">
        <f t="shared" si="30"/>
        <v>0</v>
      </c>
      <c r="P138">
        <f t="shared" si="31"/>
        <v>0</v>
      </c>
      <c r="Q138">
        <f t="shared" si="32"/>
        <v>0</v>
      </c>
      <c r="R138">
        <f t="shared" si="33"/>
        <v>0</v>
      </c>
      <c r="S138">
        <f t="shared" si="34"/>
        <v>0</v>
      </c>
      <c r="T138">
        <f t="shared" si="35"/>
        <v>0</v>
      </c>
      <c r="U138">
        <f t="shared" si="36"/>
        <v>0</v>
      </c>
      <c r="V138" s="9">
        <f t="shared" si="26"/>
        <v>0</v>
      </c>
      <c r="W138" s="9">
        <f t="shared" si="26"/>
        <v>0</v>
      </c>
      <c r="X138" s="9">
        <f t="shared" si="26"/>
        <v>0</v>
      </c>
      <c r="Y138" s="9">
        <f t="shared" si="26"/>
        <v>0</v>
      </c>
      <c r="Z138" s="9">
        <f t="shared" si="26"/>
        <v>0</v>
      </c>
      <c r="AA138" s="9">
        <f t="shared" si="25"/>
        <v>0</v>
      </c>
      <c r="AB138" s="9">
        <f t="shared" si="25"/>
        <v>0</v>
      </c>
      <c r="AC138" s="9">
        <f t="shared" si="25"/>
        <v>0</v>
      </c>
      <c r="AD138" s="9">
        <f t="shared" si="25"/>
        <v>0</v>
      </c>
      <c r="AE138" s="9">
        <f t="shared" si="25"/>
        <v>0</v>
      </c>
    </row>
    <row r="139" spans="2:31" x14ac:dyDescent="0.25">
      <c r="B139" s="6">
        <v>0</v>
      </c>
      <c r="C139" s="6">
        <v>0</v>
      </c>
      <c r="D139" s="6">
        <v>0</v>
      </c>
      <c r="E139" s="6">
        <v>0</v>
      </c>
      <c r="F139" s="6">
        <v>0</v>
      </c>
      <c r="L139">
        <f t="shared" si="27"/>
        <v>0</v>
      </c>
      <c r="M139">
        <f t="shared" si="28"/>
        <v>0</v>
      </c>
      <c r="N139">
        <f t="shared" si="29"/>
        <v>0</v>
      </c>
      <c r="O139">
        <f t="shared" si="30"/>
        <v>0</v>
      </c>
      <c r="P139">
        <f t="shared" si="31"/>
        <v>0</v>
      </c>
      <c r="Q139">
        <f t="shared" si="32"/>
        <v>0</v>
      </c>
      <c r="R139">
        <f t="shared" si="33"/>
        <v>0</v>
      </c>
      <c r="S139">
        <f t="shared" si="34"/>
        <v>0</v>
      </c>
      <c r="T139">
        <f t="shared" si="35"/>
        <v>0</v>
      </c>
      <c r="U139">
        <f t="shared" si="36"/>
        <v>0</v>
      </c>
      <c r="V139" s="9">
        <f t="shared" si="26"/>
        <v>0</v>
      </c>
      <c r="W139" s="9">
        <f t="shared" si="26"/>
        <v>0</v>
      </c>
      <c r="X139" s="9">
        <f t="shared" si="26"/>
        <v>0</v>
      </c>
      <c r="Y139" s="9">
        <f t="shared" si="26"/>
        <v>0</v>
      </c>
      <c r="Z139" s="9">
        <f t="shared" si="26"/>
        <v>0</v>
      </c>
      <c r="AA139" s="9">
        <f t="shared" si="25"/>
        <v>0</v>
      </c>
      <c r="AB139" s="9">
        <f t="shared" si="25"/>
        <v>0</v>
      </c>
      <c r="AC139" s="9">
        <f t="shared" si="25"/>
        <v>0</v>
      </c>
      <c r="AD139" s="9">
        <f t="shared" si="25"/>
        <v>0</v>
      </c>
      <c r="AE139" s="9">
        <f t="shared" si="25"/>
        <v>0</v>
      </c>
    </row>
    <row r="140" spans="2:31" x14ac:dyDescent="0.25">
      <c r="B140" s="6">
        <v>0</v>
      </c>
      <c r="C140" s="6">
        <v>0</v>
      </c>
      <c r="D140" s="6">
        <v>0</v>
      </c>
      <c r="E140" s="6">
        <v>0</v>
      </c>
      <c r="F140" s="6">
        <v>0</v>
      </c>
      <c r="L140">
        <f t="shared" si="27"/>
        <v>0</v>
      </c>
      <c r="M140">
        <f t="shared" si="28"/>
        <v>0</v>
      </c>
      <c r="N140">
        <f t="shared" si="29"/>
        <v>0</v>
      </c>
      <c r="O140">
        <f t="shared" si="30"/>
        <v>0</v>
      </c>
      <c r="P140">
        <f t="shared" si="31"/>
        <v>0</v>
      </c>
      <c r="Q140">
        <f t="shared" si="32"/>
        <v>0</v>
      </c>
      <c r="R140">
        <f t="shared" si="33"/>
        <v>0</v>
      </c>
      <c r="S140">
        <f t="shared" si="34"/>
        <v>0</v>
      </c>
      <c r="T140">
        <f t="shared" si="35"/>
        <v>0</v>
      </c>
      <c r="U140">
        <f t="shared" si="36"/>
        <v>0</v>
      </c>
      <c r="V140" s="9">
        <f t="shared" si="26"/>
        <v>0</v>
      </c>
      <c r="W140" s="9">
        <f t="shared" si="26"/>
        <v>0</v>
      </c>
      <c r="X140" s="9">
        <f t="shared" si="26"/>
        <v>0</v>
      </c>
      <c r="Y140" s="9">
        <f t="shared" si="26"/>
        <v>0</v>
      </c>
      <c r="Z140" s="9">
        <f t="shared" si="26"/>
        <v>0</v>
      </c>
      <c r="AA140" s="9">
        <f t="shared" si="25"/>
        <v>0</v>
      </c>
      <c r="AB140" s="9">
        <f t="shared" si="25"/>
        <v>0</v>
      </c>
      <c r="AC140" s="9">
        <f t="shared" si="25"/>
        <v>0</v>
      </c>
      <c r="AD140" s="9">
        <f t="shared" si="25"/>
        <v>0</v>
      </c>
      <c r="AE140" s="9">
        <f t="shared" si="25"/>
        <v>0</v>
      </c>
    </row>
    <row r="141" spans="2:31" x14ac:dyDescent="0.25">
      <c r="B141" s="6">
        <v>0</v>
      </c>
      <c r="C141" s="6">
        <v>0</v>
      </c>
      <c r="D141" s="6">
        <v>0</v>
      </c>
      <c r="E141" s="6">
        <v>0</v>
      </c>
      <c r="F141" s="6">
        <v>0</v>
      </c>
      <c r="L141">
        <f t="shared" si="27"/>
        <v>0</v>
      </c>
      <c r="M141">
        <f t="shared" si="28"/>
        <v>0</v>
      </c>
      <c r="N141">
        <f t="shared" si="29"/>
        <v>0</v>
      </c>
      <c r="O141">
        <f t="shared" si="30"/>
        <v>0</v>
      </c>
      <c r="P141">
        <f t="shared" si="31"/>
        <v>0</v>
      </c>
      <c r="Q141">
        <f t="shared" si="32"/>
        <v>0</v>
      </c>
      <c r="R141">
        <f t="shared" si="33"/>
        <v>0</v>
      </c>
      <c r="S141">
        <f t="shared" si="34"/>
        <v>0</v>
      </c>
      <c r="T141">
        <f t="shared" si="35"/>
        <v>0</v>
      </c>
      <c r="U141">
        <f t="shared" si="36"/>
        <v>0</v>
      </c>
      <c r="V141" s="9">
        <f t="shared" si="26"/>
        <v>0</v>
      </c>
      <c r="W141" s="9">
        <f t="shared" si="26"/>
        <v>0</v>
      </c>
      <c r="X141" s="9">
        <f t="shared" si="26"/>
        <v>0</v>
      </c>
      <c r="Y141" s="9">
        <f t="shared" si="26"/>
        <v>0</v>
      </c>
      <c r="Z141" s="9">
        <f t="shared" si="26"/>
        <v>0</v>
      </c>
      <c r="AA141" s="9">
        <f t="shared" si="25"/>
        <v>0</v>
      </c>
      <c r="AB141" s="9">
        <f t="shared" si="25"/>
        <v>0</v>
      </c>
      <c r="AC141" s="9">
        <f t="shared" si="25"/>
        <v>0</v>
      </c>
      <c r="AD141" s="9">
        <f t="shared" si="25"/>
        <v>0</v>
      </c>
      <c r="AE141" s="9">
        <f t="shared" si="25"/>
        <v>0</v>
      </c>
    </row>
    <row r="142" spans="2:31" x14ac:dyDescent="0.25">
      <c r="B142" s="6">
        <v>0</v>
      </c>
      <c r="C142" s="6">
        <v>0</v>
      </c>
      <c r="D142" s="6">
        <v>0</v>
      </c>
      <c r="E142" s="6">
        <v>0</v>
      </c>
      <c r="F142" s="6">
        <v>0</v>
      </c>
      <c r="L142">
        <f t="shared" si="27"/>
        <v>0</v>
      </c>
      <c r="M142">
        <f t="shared" si="28"/>
        <v>0</v>
      </c>
      <c r="N142">
        <f t="shared" si="29"/>
        <v>0</v>
      </c>
      <c r="O142">
        <f t="shared" si="30"/>
        <v>0</v>
      </c>
      <c r="P142">
        <f t="shared" si="31"/>
        <v>0</v>
      </c>
      <c r="Q142">
        <f t="shared" si="32"/>
        <v>0</v>
      </c>
      <c r="R142">
        <f t="shared" si="33"/>
        <v>0</v>
      </c>
      <c r="S142">
        <f t="shared" si="34"/>
        <v>0</v>
      </c>
      <c r="T142">
        <f t="shared" si="35"/>
        <v>0</v>
      </c>
      <c r="U142">
        <f t="shared" si="36"/>
        <v>0</v>
      </c>
      <c r="V142" s="9">
        <f t="shared" si="26"/>
        <v>0</v>
      </c>
      <c r="W142" s="9">
        <f t="shared" si="26"/>
        <v>0</v>
      </c>
      <c r="X142" s="9">
        <f t="shared" si="26"/>
        <v>0</v>
      </c>
      <c r="Y142" s="9">
        <f t="shared" si="26"/>
        <v>0</v>
      </c>
      <c r="Z142" s="9">
        <f t="shared" si="26"/>
        <v>0</v>
      </c>
      <c r="AA142" s="9">
        <f t="shared" si="25"/>
        <v>0</v>
      </c>
      <c r="AB142" s="9">
        <f t="shared" si="25"/>
        <v>0</v>
      </c>
      <c r="AC142" s="9">
        <f t="shared" si="25"/>
        <v>0</v>
      </c>
      <c r="AD142" s="9">
        <f t="shared" si="25"/>
        <v>0</v>
      </c>
      <c r="AE142" s="9">
        <f t="shared" si="25"/>
        <v>0</v>
      </c>
    </row>
    <row r="143" spans="2:31" x14ac:dyDescent="0.25">
      <c r="B143" s="6">
        <v>0</v>
      </c>
      <c r="C143" s="6">
        <v>0</v>
      </c>
      <c r="D143" s="6">
        <v>0</v>
      </c>
      <c r="E143" s="6">
        <v>0</v>
      </c>
      <c r="F143" s="6">
        <v>0</v>
      </c>
      <c r="L143">
        <f t="shared" si="27"/>
        <v>0</v>
      </c>
      <c r="M143">
        <f t="shared" si="28"/>
        <v>0</v>
      </c>
      <c r="N143">
        <f t="shared" si="29"/>
        <v>0</v>
      </c>
      <c r="O143">
        <f t="shared" si="30"/>
        <v>0</v>
      </c>
      <c r="P143">
        <f t="shared" si="31"/>
        <v>0</v>
      </c>
      <c r="Q143">
        <f t="shared" si="32"/>
        <v>0</v>
      </c>
      <c r="R143">
        <f t="shared" si="33"/>
        <v>0</v>
      </c>
      <c r="S143">
        <f t="shared" si="34"/>
        <v>0</v>
      </c>
      <c r="T143">
        <f t="shared" si="35"/>
        <v>0</v>
      </c>
      <c r="U143">
        <f t="shared" si="36"/>
        <v>0</v>
      </c>
      <c r="V143" s="9">
        <f t="shared" si="26"/>
        <v>0</v>
      </c>
      <c r="W143" s="9">
        <f t="shared" si="26"/>
        <v>0</v>
      </c>
      <c r="X143" s="9">
        <f t="shared" si="26"/>
        <v>0</v>
      </c>
      <c r="Y143" s="9">
        <f t="shared" si="26"/>
        <v>0</v>
      </c>
      <c r="Z143" s="9">
        <f t="shared" si="26"/>
        <v>0</v>
      </c>
      <c r="AA143" s="9">
        <f t="shared" si="25"/>
        <v>0</v>
      </c>
      <c r="AB143" s="9">
        <f t="shared" si="25"/>
        <v>0</v>
      </c>
      <c r="AC143" s="9">
        <f t="shared" si="25"/>
        <v>0</v>
      </c>
      <c r="AD143" s="9">
        <f t="shared" si="25"/>
        <v>0</v>
      </c>
      <c r="AE143" s="9">
        <f t="shared" si="25"/>
        <v>0</v>
      </c>
    </row>
    <row r="144" spans="2:31" x14ac:dyDescent="0.25">
      <c r="B144" s="6">
        <v>0</v>
      </c>
      <c r="C144" s="6">
        <v>0</v>
      </c>
      <c r="D144" s="6">
        <v>0</v>
      </c>
      <c r="E144" s="6">
        <v>0</v>
      </c>
      <c r="F144" s="6">
        <v>0</v>
      </c>
      <c r="L144">
        <f t="shared" si="27"/>
        <v>0</v>
      </c>
      <c r="M144">
        <f t="shared" si="28"/>
        <v>0</v>
      </c>
      <c r="N144">
        <f t="shared" si="29"/>
        <v>0</v>
      </c>
      <c r="O144">
        <f t="shared" si="30"/>
        <v>0</v>
      </c>
      <c r="P144">
        <f t="shared" si="31"/>
        <v>0</v>
      </c>
      <c r="Q144">
        <f t="shared" si="32"/>
        <v>0</v>
      </c>
      <c r="R144">
        <f t="shared" si="33"/>
        <v>0</v>
      </c>
      <c r="S144">
        <f t="shared" si="34"/>
        <v>0</v>
      </c>
      <c r="T144">
        <f t="shared" si="35"/>
        <v>0</v>
      </c>
      <c r="U144">
        <f t="shared" si="36"/>
        <v>0</v>
      </c>
      <c r="V144" s="9">
        <f t="shared" si="26"/>
        <v>0</v>
      </c>
      <c r="W144" s="9">
        <f t="shared" si="26"/>
        <v>0</v>
      </c>
      <c r="X144" s="9">
        <f t="shared" si="26"/>
        <v>0</v>
      </c>
      <c r="Y144" s="9">
        <f t="shared" si="26"/>
        <v>0</v>
      </c>
      <c r="Z144" s="9">
        <f t="shared" si="26"/>
        <v>0</v>
      </c>
      <c r="AA144" s="9">
        <f t="shared" si="25"/>
        <v>0</v>
      </c>
      <c r="AB144" s="9">
        <f t="shared" si="25"/>
        <v>0</v>
      </c>
      <c r="AC144" s="9">
        <f t="shared" si="25"/>
        <v>0</v>
      </c>
      <c r="AD144" s="9">
        <f t="shared" si="25"/>
        <v>0</v>
      </c>
      <c r="AE144" s="9">
        <f t="shared" si="25"/>
        <v>0</v>
      </c>
    </row>
    <row r="145" spans="2:31" x14ac:dyDescent="0.25">
      <c r="B145" s="6">
        <v>0</v>
      </c>
      <c r="C145" s="6">
        <v>0</v>
      </c>
      <c r="D145" s="6">
        <v>0</v>
      </c>
      <c r="E145" s="6">
        <v>0</v>
      </c>
      <c r="F145" s="6">
        <v>0</v>
      </c>
      <c r="L145">
        <f t="shared" si="27"/>
        <v>0</v>
      </c>
      <c r="M145">
        <f t="shared" si="28"/>
        <v>0</v>
      </c>
      <c r="N145">
        <f t="shared" si="29"/>
        <v>0</v>
      </c>
      <c r="O145">
        <f t="shared" si="30"/>
        <v>0</v>
      </c>
      <c r="P145">
        <f t="shared" si="31"/>
        <v>0</v>
      </c>
      <c r="Q145">
        <f t="shared" si="32"/>
        <v>0</v>
      </c>
      <c r="R145">
        <f t="shared" si="33"/>
        <v>0</v>
      </c>
      <c r="S145">
        <f t="shared" si="34"/>
        <v>0</v>
      </c>
      <c r="T145">
        <f t="shared" si="35"/>
        <v>0</v>
      </c>
      <c r="U145">
        <f t="shared" si="36"/>
        <v>0</v>
      </c>
      <c r="V145" s="9">
        <f t="shared" si="26"/>
        <v>0</v>
      </c>
      <c r="W145" s="9">
        <f t="shared" si="26"/>
        <v>0</v>
      </c>
      <c r="X145" s="9">
        <f t="shared" si="26"/>
        <v>0</v>
      </c>
      <c r="Y145" s="9">
        <f t="shared" si="26"/>
        <v>0</v>
      </c>
      <c r="Z145" s="9">
        <f t="shared" si="26"/>
        <v>0</v>
      </c>
      <c r="AA145" s="9">
        <f t="shared" si="25"/>
        <v>0</v>
      </c>
      <c r="AB145" s="9">
        <f t="shared" si="25"/>
        <v>0</v>
      </c>
      <c r="AC145" s="9">
        <f t="shared" si="25"/>
        <v>0</v>
      </c>
      <c r="AD145" s="9">
        <f t="shared" si="25"/>
        <v>0</v>
      </c>
      <c r="AE145" s="9">
        <f t="shared" si="25"/>
        <v>0</v>
      </c>
    </row>
    <row r="146" spans="2:31" x14ac:dyDescent="0.25">
      <c r="B146" s="6">
        <v>0</v>
      </c>
      <c r="C146" s="6">
        <v>0</v>
      </c>
      <c r="D146" s="6">
        <v>0</v>
      </c>
      <c r="E146" s="6">
        <v>0</v>
      </c>
      <c r="F146" s="6">
        <v>0</v>
      </c>
      <c r="L146">
        <f t="shared" si="27"/>
        <v>0</v>
      </c>
      <c r="M146">
        <f t="shared" si="28"/>
        <v>0</v>
      </c>
      <c r="N146">
        <f t="shared" si="29"/>
        <v>0</v>
      </c>
      <c r="O146">
        <f t="shared" si="30"/>
        <v>0</v>
      </c>
      <c r="P146">
        <f t="shared" si="31"/>
        <v>0</v>
      </c>
      <c r="Q146">
        <f t="shared" si="32"/>
        <v>0</v>
      </c>
      <c r="R146">
        <f t="shared" si="33"/>
        <v>0</v>
      </c>
      <c r="S146">
        <f t="shared" si="34"/>
        <v>0</v>
      </c>
      <c r="T146">
        <f t="shared" si="35"/>
        <v>0</v>
      </c>
      <c r="U146">
        <f t="shared" si="36"/>
        <v>0</v>
      </c>
      <c r="V146" s="9">
        <f t="shared" si="26"/>
        <v>0</v>
      </c>
      <c r="W146" s="9">
        <f t="shared" si="26"/>
        <v>0</v>
      </c>
      <c r="X146" s="9">
        <f t="shared" si="26"/>
        <v>0</v>
      </c>
      <c r="Y146" s="9">
        <f t="shared" si="26"/>
        <v>0</v>
      </c>
      <c r="Z146" s="9">
        <f t="shared" si="26"/>
        <v>0</v>
      </c>
      <c r="AA146" s="9">
        <f t="shared" si="25"/>
        <v>0</v>
      </c>
      <c r="AB146" s="9">
        <f t="shared" si="25"/>
        <v>0</v>
      </c>
      <c r="AC146" s="9">
        <f t="shared" si="25"/>
        <v>0</v>
      </c>
      <c r="AD146" s="9">
        <f t="shared" si="25"/>
        <v>0</v>
      </c>
      <c r="AE146" s="9">
        <f t="shared" si="25"/>
        <v>0</v>
      </c>
    </row>
    <row r="147" spans="2:31" x14ac:dyDescent="0.25">
      <c r="B147" s="6">
        <v>0</v>
      </c>
      <c r="C147" s="6">
        <v>0</v>
      </c>
      <c r="D147" s="6">
        <v>0</v>
      </c>
      <c r="E147" s="6">
        <v>0</v>
      </c>
      <c r="F147" s="6">
        <v>0</v>
      </c>
      <c r="L147">
        <f t="shared" si="27"/>
        <v>0</v>
      </c>
      <c r="M147">
        <f t="shared" si="28"/>
        <v>0</v>
      </c>
      <c r="N147">
        <f t="shared" si="29"/>
        <v>0</v>
      </c>
      <c r="O147">
        <f t="shared" si="30"/>
        <v>0</v>
      </c>
      <c r="P147">
        <f t="shared" si="31"/>
        <v>0</v>
      </c>
      <c r="Q147">
        <f t="shared" si="32"/>
        <v>0</v>
      </c>
      <c r="R147">
        <f t="shared" si="33"/>
        <v>0</v>
      </c>
      <c r="S147">
        <f t="shared" si="34"/>
        <v>0</v>
      </c>
      <c r="T147">
        <f t="shared" si="35"/>
        <v>0</v>
      </c>
      <c r="U147">
        <f t="shared" si="36"/>
        <v>0</v>
      </c>
      <c r="V147" s="9">
        <f t="shared" si="26"/>
        <v>0</v>
      </c>
      <c r="W147" s="9">
        <f t="shared" si="26"/>
        <v>0</v>
      </c>
      <c r="X147" s="9">
        <f t="shared" si="26"/>
        <v>0</v>
      </c>
      <c r="Y147" s="9">
        <f t="shared" si="26"/>
        <v>0</v>
      </c>
      <c r="Z147" s="9">
        <f t="shared" si="26"/>
        <v>0</v>
      </c>
      <c r="AA147" s="9">
        <f t="shared" si="25"/>
        <v>0</v>
      </c>
      <c r="AB147" s="9">
        <f t="shared" si="25"/>
        <v>0</v>
      </c>
      <c r="AC147" s="9">
        <f t="shared" si="25"/>
        <v>0</v>
      </c>
      <c r="AD147" s="9">
        <f t="shared" si="25"/>
        <v>0</v>
      </c>
      <c r="AE147" s="9">
        <f t="shared" si="25"/>
        <v>0</v>
      </c>
    </row>
    <row r="148" spans="2:31" x14ac:dyDescent="0.25">
      <c r="B148" s="6">
        <v>0</v>
      </c>
      <c r="C148" s="6">
        <v>0</v>
      </c>
      <c r="D148" s="6">
        <v>0</v>
      </c>
      <c r="E148" s="6">
        <v>0</v>
      </c>
      <c r="F148" s="6">
        <v>0</v>
      </c>
      <c r="L148">
        <f t="shared" si="27"/>
        <v>0</v>
      </c>
      <c r="M148">
        <f t="shared" si="28"/>
        <v>0</v>
      </c>
      <c r="N148">
        <f t="shared" si="29"/>
        <v>0</v>
      </c>
      <c r="O148">
        <f t="shared" si="30"/>
        <v>0</v>
      </c>
      <c r="P148">
        <f t="shared" si="31"/>
        <v>0</v>
      </c>
      <c r="Q148">
        <f t="shared" si="32"/>
        <v>0</v>
      </c>
      <c r="R148">
        <f t="shared" si="33"/>
        <v>0</v>
      </c>
      <c r="S148">
        <f t="shared" si="34"/>
        <v>0</v>
      </c>
      <c r="T148">
        <f t="shared" si="35"/>
        <v>0</v>
      </c>
      <c r="U148">
        <f t="shared" si="36"/>
        <v>0</v>
      </c>
      <c r="V148" s="9">
        <f t="shared" si="26"/>
        <v>0</v>
      </c>
      <c r="W148" s="9">
        <f t="shared" si="26"/>
        <v>0</v>
      </c>
      <c r="X148" s="9">
        <f t="shared" si="26"/>
        <v>0</v>
      </c>
      <c r="Y148" s="9">
        <f t="shared" si="26"/>
        <v>0</v>
      </c>
      <c r="Z148" s="9">
        <f t="shared" si="26"/>
        <v>0</v>
      </c>
      <c r="AA148" s="9">
        <f t="shared" si="25"/>
        <v>0</v>
      </c>
      <c r="AB148" s="9">
        <f t="shared" si="25"/>
        <v>0</v>
      </c>
      <c r="AC148" s="9">
        <f t="shared" si="25"/>
        <v>0</v>
      </c>
      <c r="AD148" s="9">
        <f t="shared" si="25"/>
        <v>0</v>
      </c>
      <c r="AE148" s="9">
        <f t="shared" si="25"/>
        <v>0</v>
      </c>
    </row>
    <row r="149" spans="2:31" x14ac:dyDescent="0.25">
      <c r="B149" s="6">
        <v>0</v>
      </c>
      <c r="C149" s="6">
        <v>0</v>
      </c>
      <c r="D149" s="6">
        <v>0</v>
      </c>
      <c r="E149" s="6">
        <v>0</v>
      </c>
      <c r="F149" s="6">
        <v>0</v>
      </c>
      <c r="L149">
        <f t="shared" si="27"/>
        <v>0</v>
      </c>
      <c r="M149">
        <f t="shared" si="28"/>
        <v>0</v>
      </c>
      <c r="N149">
        <f t="shared" si="29"/>
        <v>0</v>
      </c>
      <c r="O149">
        <f t="shared" si="30"/>
        <v>0</v>
      </c>
      <c r="P149">
        <f t="shared" si="31"/>
        <v>0</v>
      </c>
      <c r="Q149">
        <f t="shared" si="32"/>
        <v>0</v>
      </c>
      <c r="R149">
        <f t="shared" si="33"/>
        <v>0</v>
      </c>
      <c r="S149">
        <f t="shared" si="34"/>
        <v>0</v>
      </c>
      <c r="T149">
        <f t="shared" si="35"/>
        <v>0</v>
      </c>
      <c r="U149">
        <f t="shared" si="36"/>
        <v>0</v>
      </c>
      <c r="V149" s="9">
        <f t="shared" si="26"/>
        <v>0</v>
      </c>
      <c r="W149" s="9">
        <f t="shared" si="26"/>
        <v>0</v>
      </c>
      <c r="X149" s="9">
        <f t="shared" si="26"/>
        <v>0</v>
      </c>
      <c r="Y149" s="9">
        <f t="shared" si="26"/>
        <v>0</v>
      </c>
      <c r="Z149" s="9">
        <f t="shared" si="26"/>
        <v>0</v>
      </c>
      <c r="AA149" s="9">
        <f t="shared" si="25"/>
        <v>0</v>
      </c>
      <c r="AB149" s="9">
        <f t="shared" si="25"/>
        <v>0</v>
      </c>
      <c r="AC149" s="9">
        <f t="shared" si="25"/>
        <v>0</v>
      </c>
      <c r="AD149" s="9">
        <f t="shared" si="25"/>
        <v>0</v>
      </c>
      <c r="AE149" s="9">
        <f t="shared" si="25"/>
        <v>0</v>
      </c>
    </row>
    <row r="150" spans="2:31" x14ac:dyDescent="0.25">
      <c r="B150" s="6">
        <v>0</v>
      </c>
      <c r="C150" s="6">
        <v>0</v>
      </c>
      <c r="D150" s="6">
        <v>0</v>
      </c>
      <c r="E150" s="6">
        <v>0</v>
      </c>
      <c r="F150" s="6">
        <v>0</v>
      </c>
      <c r="L150">
        <f t="shared" si="27"/>
        <v>0</v>
      </c>
      <c r="M150">
        <f t="shared" si="28"/>
        <v>0</v>
      </c>
      <c r="N150">
        <f t="shared" si="29"/>
        <v>0</v>
      </c>
      <c r="O150">
        <f t="shared" si="30"/>
        <v>0</v>
      </c>
      <c r="P150">
        <f t="shared" si="31"/>
        <v>0</v>
      </c>
      <c r="Q150">
        <f t="shared" si="32"/>
        <v>0</v>
      </c>
      <c r="R150">
        <f t="shared" si="33"/>
        <v>0</v>
      </c>
      <c r="S150">
        <f t="shared" si="34"/>
        <v>0</v>
      </c>
      <c r="T150">
        <f t="shared" si="35"/>
        <v>0</v>
      </c>
      <c r="U150">
        <f t="shared" si="36"/>
        <v>0</v>
      </c>
      <c r="V150" s="9">
        <f t="shared" si="26"/>
        <v>0</v>
      </c>
      <c r="W150" s="9">
        <f t="shared" si="26"/>
        <v>0</v>
      </c>
      <c r="X150" s="9">
        <f t="shared" si="26"/>
        <v>0</v>
      </c>
      <c r="Y150" s="9">
        <f t="shared" si="26"/>
        <v>0</v>
      </c>
      <c r="Z150" s="9">
        <f t="shared" si="26"/>
        <v>0</v>
      </c>
      <c r="AA150" s="9">
        <f t="shared" si="25"/>
        <v>0</v>
      </c>
      <c r="AB150" s="9">
        <f t="shared" si="25"/>
        <v>0</v>
      </c>
      <c r="AC150" s="9">
        <f t="shared" si="25"/>
        <v>0</v>
      </c>
      <c r="AD150" s="9">
        <f t="shared" si="25"/>
        <v>0</v>
      </c>
      <c r="AE150" s="9">
        <f t="shared" si="25"/>
        <v>0</v>
      </c>
    </row>
    <row r="151" spans="2:31" x14ac:dyDescent="0.25">
      <c r="B151" s="6">
        <v>0</v>
      </c>
      <c r="C151" s="6">
        <v>0</v>
      </c>
      <c r="D151" s="6">
        <v>0</v>
      </c>
      <c r="E151" s="6">
        <v>0</v>
      </c>
      <c r="F151" s="6">
        <v>0</v>
      </c>
      <c r="L151">
        <f t="shared" si="27"/>
        <v>0</v>
      </c>
      <c r="M151">
        <f t="shared" si="28"/>
        <v>0</v>
      </c>
      <c r="N151">
        <f t="shared" si="29"/>
        <v>0</v>
      </c>
      <c r="O151">
        <f t="shared" si="30"/>
        <v>0</v>
      </c>
      <c r="P151">
        <f t="shared" si="31"/>
        <v>0</v>
      </c>
      <c r="Q151">
        <f t="shared" si="32"/>
        <v>0</v>
      </c>
      <c r="R151">
        <f t="shared" si="33"/>
        <v>0</v>
      </c>
      <c r="S151">
        <f t="shared" si="34"/>
        <v>0</v>
      </c>
      <c r="T151">
        <f t="shared" si="35"/>
        <v>0</v>
      </c>
      <c r="U151">
        <f t="shared" si="36"/>
        <v>0</v>
      </c>
      <c r="V151" s="9">
        <f t="shared" si="26"/>
        <v>0</v>
      </c>
      <c r="W151" s="9">
        <f t="shared" si="26"/>
        <v>0</v>
      </c>
      <c r="X151" s="9">
        <f t="shared" si="26"/>
        <v>0</v>
      </c>
      <c r="Y151" s="9">
        <f t="shared" si="26"/>
        <v>0</v>
      </c>
      <c r="Z151" s="9">
        <f t="shared" si="26"/>
        <v>0</v>
      </c>
      <c r="AA151" s="9">
        <f t="shared" si="25"/>
        <v>0</v>
      </c>
      <c r="AB151" s="9">
        <f t="shared" si="25"/>
        <v>0</v>
      </c>
      <c r="AC151" s="9">
        <f t="shared" si="25"/>
        <v>0</v>
      </c>
      <c r="AD151" s="9">
        <f t="shared" si="25"/>
        <v>0</v>
      </c>
      <c r="AE151" s="9">
        <f t="shared" si="25"/>
        <v>0</v>
      </c>
    </row>
    <row r="152" spans="2:31" x14ac:dyDescent="0.25">
      <c r="B152" s="6">
        <v>0</v>
      </c>
      <c r="C152" s="6">
        <v>0</v>
      </c>
      <c r="D152" s="6">
        <v>0</v>
      </c>
      <c r="E152" s="6">
        <v>0</v>
      </c>
      <c r="F152" s="6">
        <v>0</v>
      </c>
      <c r="L152">
        <f t="shared" si="27"/>
        <v>0</v>
      </c>
      <c r="M152">
        <f t="shared" si="28"/>
        <v>0</v>
      </c>
      <c r="N152">
        <f t="shared" si="29"/>
        <v>0</v>
      </c>
      <c r="O152">
        <f t="shared" si="30"/>
        <v>0</v>
      </c>
      <c r="P152">
        <f t="shared" si="31"/>
        <v>0</v>
      </c>
      <c r="Q152">
        <f t="shared" si="32"/>
        <v>0</v>
      </c>
      <c r="R152">
        <f t="shared" si="33"/>
        <v>0</v>
      </c>
      <c r="S152">
        <f t="shared" si="34"/>
        <v>0</v>
      </c>
      <c r="T152">
        <f t="shared" si="35"/>
        <v>0</v>
      </c>
      <c r="U152">
        <f t="shared" si="36"/>
        <v>0</v>
      </c>
      <c r="V152" s="9">
        <f t="shared" si="26"/>
        <v>0</v>
      </c>
      <c r="W152" s="9">
        <f t="shared" si="26"/>
        <v>0</v>
      </c>
      <c r="X152" s="9">
        <f t="shared" si="26"/>
        <v>0</v>
      </c>
      <c r="Y152" s="9">
        <f t="shared" si="26"/>
        <v>0</v>
      </c>
      <c r="Z152" s="9">
        <f t="shared" si="26"/>
        <v>0</v>
      </c>
      <c r="AA152" s="9">
        <f t="shared" si="25"/>
        <v>0</v>
      </c>
      <c r="AB152" s="9">
        <f t="shared" si="25"/>
        <v>0</v>
      </c>
      <c r="AC152" s="9">
        <f t="shared" si="25"/>
        <v>0</v>
      </c>
      <c r="AD152" s="9">
        <f t="shared" si="25"/>
        <v>0</v>
      </c>
      <c r="AE152" s="9">
        <f t="shared" si="25"/>
        <v>0</v>
      </c>
    </row>
    <row r="153" spans="2:31" x14ac:dyDescent="0.25">
      <c r="B153" s="6">
        <v>0</v>
      </c>
      <c r="C153" s="6">
        <v>0</v>
      </c>
      <c r="D153" s="6">
        <v>0</v>
      </c>
      <c r="E153" s="6">
        <v>0</v>
      </c>
      <c r="F153" s="6">
        <v>0</v>
      </c>
      <c r="L153">
        <f t="shared" si="27"/>
        <v>0</v>
      </c>
      <c r="M153">
        <f t="shared" si="28"/>
        <v>0</v>
      </c>
      <c r="N153">
        <f t="shared" si="29"/>
        <v>0</v>
      </c>
      <c r="O153">
        <f t="shared" si="30"/>
        <v>0</v>
      </c>
      <c r="P153">
        <f t="shared" si="31"/>
        <v>0</v>
      </c>
      <c r="Q153">
        <f t="shared" si="32"/>
        <v>0</v>
      </c>
      <c r="R153">
        <f t="shared" si="33"/>
        <v>0</v>
      </c>
      <c r="S153">
        <f t="shared" si="34"/>
        <v>0</v>
      </c>
      <c r="T153">
        <f t="shared" si="35"/>
        <v>0</v>
      </c>
      <c r="U153">
        <f t="shared" si="36"/>
        <v>0</v>
      </c>
      <c r="V153" s="9">
        <f t="shared" si="26"/>
        <v>0</v>
      </c>
      <c r="W153" s="9">
        <f t="shared" si="26"/>
        <v>0</v>
      </c>
      <c r="X153" s="9">
        <f t="shared" si="26"/>
        <v>0</v>
      </c>
      <c r="Y153" s="9">
        <f t="shared" si="26"/>
        <v>0</v>
      </c>
      <c r="Z153" s="9">
        <f t="shared" si="26"/>
        <v>0</v>
      </c>
      <c r="AA153" s="9">
        <f t="shared" si="25"/>
        <v>0</v>
      </c>
      <c r="AB153" s="9">
        <f t="shared" si="25"/>
        <v>0</v>
      </c>
      <c r="AC153" s="9">
        <f t="shared" si="25"/>
        <v>0</v>
      </c>
      <c r="AD153" s="9">
        <f t="shared" si="25"/>
        <v>0</v>
      </c>
      <c r="AE153" s="9">
        <f t="shared" si="25"/>
        <v>0</v>
      </c>
    </row>
    <row r="154" spans="2:31" x14ac:dyDescent="0.25">
      <c r="B154" s="6">
        <v>0</v>
      </c>
      <c r="C154" s="6">
        <v>0</v>
      </c>
      <c r="D154" s="6">
        <v>0</v>
      </c>
      <c r="E154" s="6">
        <v>0</v>
      </c>
      <c r="F154" s="6">
        <v>0</v>
      </c>
      <c r="L154">
        <f t="shared" si="27"/>
        <v>0</v>
      </c>
      <c r="M154">
        <f t="shared" si="28"/>
        <v>0</v>
      </c>
      <c r="N154">
        <f t="shared" si="29"/>
        <v>0</v>
      </c>
      <c r="O154">
        <f t="shared" si="30"/>
        <v>0</v>
      </c>
      <c r="P154">
        <f t="shared" si="31"/>
        <v>0</v>
      </c>
      <c r="Q154">
        <f t="shared" si="32"/>
        <v>0</v>
      </c>
      <c r="R154">
        <f t="shared" si="33"/>
        <v>0</v>
      </c>
      <c r="S154">
        <f t="shared" si="34"/>
        <v>0</v>
      </c>
      <c r="T154">
        <f t="shared" si="35"/>
        <v>0</v>
      </c>
      <c r="U154">
        <f t="shared" si="36"/>
        <v>0</v>
      </c>
      <c r="V154" s="9">
        <f t="shared" si="26"/>
        <v>0</v>
      </c>
      <c r="W154" s="9">
        <f t="shared" si="26"/>
        <v>0</v>
      </c>
      <c r="X154" s="9">
        <f t="shared" si="26"/>
        <v>0</v>
      </c>
      <c r="Y154" s="9">
        <f t="shared" si="26"/>
        <v>0</v>
      </c>
      <c r="Z154" s="9">
        <f t="shared" si="26"/>
        <v>0</v>
      </c>
      <c r="AA154" s="9">
        <f t="shared" si="25"/>
        <v>0</v>
      </c>
      <c r="AB154" s="9">
        <f t="shared" si="25"/>
        <v>0</v>
      </c>
      <c r="AC154" s="9">
        <f t="shared" si="25"/>
        <v>0</v>
      </c>
      <c r="AD154" s="9">
        <f t="shared" si="25"/>
        <v>0</v>
      </c>
      <c r="AE154" s="9">
        <f t="shared" si="25"/>
        <v>0</v>
      </c>
    </row>
    <row r="155" spans="2:31" x14ac:dyDescent="0.25">
      <c r="B155" s="6">
        <v>0</v>
      </c>
      <c r="C155" s="6">
        <v>0</v>
      </c>
      <c r="D155" s="6">
        <v>0</v>
      </c>
      <c r="E155" s="6">
        <v>0</v>
      </c>
      <c r="F155" s="6">
        <v>0</v>
      </c>
      <c r="L155">
        <f t="shared" si="27"/>
        <v>0</v>
      </c>
      <c r="M155">
        <f t="shared" si="28"/>
        <v>0</v>
      </c>
      <c r="N155">
        <f t="shared" si="29"/>
        <v>0</v>
      </c>
      <c r="O155">
        <f t="shared" si="30"/>
        <v>0</v>
      </c>
      <c r="P155">
        <f t="shared" si="31"/>
        <v>0</v>
      </c>
      <c r="Q155">
        <f t="shared" si="32"/>
        <v>0</v>
      </c>
      <c r="R155">
        <f t="shared" si="33"/>
        <v>0</v>
      </c>
      <c r="S155">
        <f t="shared" si="34"/>
        <v>0</v>
      </c>
      <c r="T155">
        <f t="shared" si="35"/>
        <v>0</v>
      </c>
      <c r="U155">
        <f t="shared" si="36"/>
        <v>0</v>
      </c>
      <c r="V155" s="9">
        <f t="shared" si="26"/>
        <v>0</v>
      </c>
      <c r="W155" s="9">
        <f t="shared" si="26"/>
        <v>0</v>
      </c>
      <c r="X155" s="9">
        <f t="shared" si="26"/>
        <v>0</v>
      </c>
      <c r="Y155" s="9">
        <f t="shared" si="26"/>
        <v>0</v>
      </c>
      <c r="Z155" s="9">
        <f t="shared" si="26"/>
        <v>0</v>
      </c>
      <c r="AA155" s="9">
        <f t="shared" si="25"/>
        <v>0</v>
      </c>
      <c r="AB155" s="9">
        <f t="shared" si="25"/>
        <v>0</v>
      </c>
      <c r="AC155" s="9">
        <f t="shared" si="25"/>
        <v>0</v>
      </c>
      <c r="AD155" s="9">
        <f t="shared" si="25"/>
        <v>0</v>
      </c>
      <c r="AE155" s="9">
        <f t="shared" si="25"/>
        <v>0</v>
      </c>
    </row>
    <row r="156" spans="2:31" x14ac:dyDescent="0.25">
      <c r="B156" s="6">
        <v>0</v>
      </c>
      <c r="C156" s="6">
        <v>0</v>
      </c>
      <c r="D156" s="6">
        <v>0</v>
      </c>
      <c r="E156" s="6">
        <v>0</v>
      </c>
      <c r="F156" s="6">
        <v>0</v>
      </c>
      <c r="L156">
        <f t="shared" si="27"/>
        <v>0</v>
      </c>
      <c r="M156">
        <f t="shared" si="28"/>
        <v>0</v>
      </c>
      <c r="N156">
        <f t="shared" si="29"/>
        <v>0</v>
      </c>
      <c r="O156">
        <f t="shared" si="30"/>
        <v>0</v>
      </c>
      <c r="P156">
        <f t="shared" si="31"/>
        <v>0</v>
      </c>
      <c r="Q156">
        <f t="shared" si="32"/>
        <v>0</v>
      </c>
      <c r="R156">
        <f t="shared" si="33"/>
        <v>0</v>
      </c>
      <c r="S156">
        <f t="shared" si="34"/>
        <v>0</v>
      </c>
      <c r="T156">
        <f t="shared" si="35"/>
        <v>0</v>
      </c>
      <c r="U156">
        <f t="shared" si="36"/>
        <v>0</v>
      </c>
      <c r="V156" s="9">
        <f t="shared" si="26"/>
        <v>0</v>
      </c>
      <c r="W156" s="9">
        <f t="shared" si="26"/>
        <v>0</v>
      </c>
      <c r="X156" s="9">
        <f t="shared" si="26"/>
        <v>0</v>
      </c>
      <c r="Y156" s="9">
        <f t="shared" si="26"/>
        <v>0</v>
      </c>
      <c r="Z156" s="9">
        <f t="shared" si="26"/>
        <v>0</v>
      </c>
      <c r="AA156" s="9">
        <f t="shared" si="25"/>
        <v>0</v>
      </c>
      <c r="AB156" s="9">
        <f t="shared" si="25"/>
        <v>0</v>
      </c>
      <c r="AC156" s="9">
        <f t="shared" si="25"/>
        <v>0</v>
      </c>
      <c r="AD156" s="9">
        <f t="shared" si="25"/>
        <v>0</v>
      </c>
      <c r="AE156" s="9">
        <f t="shared" si="25"/>
        <v>0</v>
      </c>
    </row>
    <row r="157" spans="2:31" x14ac:dyDescent="0.25">
      <c r="B157" s="6">
        <v>0</v>
      </c>
      <c r="C157" s="6">
        <v>0</v>
      </c>
      <c r="D157" s="6">
        <v>0</v>
      </c>
      <c r="E157" s="6">
        <v>0</v>
      </c>
      <c r="F157" s="6">
        <v>0</v>
      </c>
      <c r="L157">
        <f t="shared" si="27"/>
        <v>0</v>
      </c>
      <c r="M157">
        <f t="shared" si="28"/>
        <v>0</v>
      </c>
      <c r="N157">
        <f t="shared" si="29"/>
        <v>0</v>
      </c>
      <c r="O157">
        <f t="shared" si="30"/>
        <v>0</v>
      </c>
      <c r="P157">
        <f t="shared" si="31"/>
        <v>0</v>
      </c>
      <c r="Q157">
        <f t="shared" si="32"/>
        <v>0</v>
      </c>
      <c r="R157">
        <f t="shared" si="33"/>
        <v>0</v>
      </c>
      <c r="S157">
        <f t="shared" si="34"/>
        <v>0</v>
      </c>
      <c r="T157">
        <f t="shared" si="35"/>
        <v>0</v>
      </c>
      <c r="U157">
        <f t="shared" si="36"/>
        <v>0</v>
      </c>
      <c r="V157" s="9">
        <f t="shared" si="26"/>
        <v>0</v>
      </c>
      <c r="W157" s="9">
        <f t="shared" si="26"/>
        <v>0</v>
      </c>
      <c r="X157" s="9">
        <f t="shared" si="26"/>
        <v>0</v>
      </c>
      <c r="Y157" s="9">
        <f t="shared" si="26"/>
        <v>0</v>
      </c>
      <c r="Z157" s="9">
        <f t="shared" si="26"/>
        <v>0</v>
      </c>
      <c r="AA157" s="9">
        <f t="shared" si="25"/>
        <v>0</v>
      </c>
      <c r="AB157" s="9">
        <f t="shared" si="25"/>
        <v>0</v>
      </c>
      <c r="AC157" s="9">
        <f t="shared" si="25"/>
        <v>0</v>
      </c>
      <c r="AD157" s="9">
        <f t="shared" si="25"/>
        <v>0</v>
      </c>
      <c r="AE157" s="9">
        <f t="shared" si="25"/>
        <v>0</v>
      </c>
    </row>
    <row r="158" spans="2:31" x14ac:dyDescent="0.25">
      <c r="B158" s="6">
        <v>0</v>
      </c>
      <c r="C158" s="6">
        <v>0</v>
      </c>
      <c r="D158" s="6">
        <v>0</v>
      </c>
      <c r="E158" s="6">
        <v>0</v>
      </c>
      <c r="F158" s="6">
        <v>0</v>
      </c>
      <c r="L158">
        <f t="shared" si="27"/>
        <v>0</v>
      </c>
      <c r="M158">
        <f t="shared" si="28"/>
        <v>0</v>
      </c>
      <c r="N158">
        <f t="shared" si="29"/>
        <v>0</v>
      </c>
      <c r="O158">
        <f t="shared" si="30"/>
        <v>0</v>
      </c>
      <c r="P158">
        <f t="shared" si="31"/>
        <v>0</v>
      </c>
      <c r="Q158">
        <f t="shared" si="32"/>
        <v>0</v>
      </c>
      <c r="R158">
        <f t="shared" si="33"/>
        <v>0</v>
      </c>
      <c r="S158">
        <f t="shared" si="34"/>
        <v>0</v>
      </c>
      <c r="T158">
        <f t="shared" si="35"/>
        <v>0</v>
      </c>
      <c r="U158">
        <f t="shared" si="36"/>
        <v>0</v>
      </c>
      <c r="V158" s="9">
        <f t="shared" si="26"/>
        <v>0</v>
      </c>
      <c r="W158" s="9">
        <f t="shared" si="26"/>
        <v>0</v>
      </c>
      <c r="X158" s="9">
        <f t="shared" si="26"/>
        <v>0</v>
      </c>
      <c r="Y158" s="9">
        <f t="shared" si="26"/>
        <v>0</v>
      </c>
      <c r="Z158" s="9">
        <f t="shared" si="26"/>
        <v>0</v>
      </c>
      <c r="AA158" s="9">
        <f t="shared" si="25"/>
        <v>0</v>
      </c>
      <c r="AB158" s="9">
        <f t="shared" si="25"/>
        <v>0</v>
      </c>
      <c r="AC158" s="9">
        <f t="shared" si="25"/>
        <v>0</v>
      </c>
      <c r="AD158" s="9">
        <f t="shared" si="25"/>
        <v>0</v>
      </c>
      <c r="AE158" s="9">
        <f t="shared" si="25"/>
        <v>0</v>
      </c>
    </row>
    <row r="159" spans="2:31" x14ac:dyDescent="0.25">
      <c r="B159" s="6">
        <v>0</v>
      </c>
      <c r="C159" s="6">
        <v>0</v>
      </c>
      <c r="D159" s="6">
        <v>0</v>
      </c>
      <c r="E159" s="6">
        <v>0</v>
      </c>
      <c r="F159" s="6">
        <v>0</v>
      </c>
      <c r="L159">
        <f t="shared" si="27"/>
        <v>0</v>
      </c>
      <c r="M159">
        <f t="shared" si="28"/>
        <v>0</v>
      </c>
      <c r="N159">
        <f t="shared" si="29"/>
        <v>0</v>
      </c>
      <c r="O159">
        <f t="shared" si="30"/>
        <v>0</v>
      </c>
      <c r="P159">
        <f t="shared" si="31"/>
        <v>0</v>
      </c>
      <c r="Q159">
        <f t="shared" si="32"/>
        <v>0</v>
      </c>
      <c r="R159">
        <f t="shared" si="33"/>
        <v>0</v>
      </c>
      <c r="S159">
        <f t="shared" si="34"/>
        <v>0</v>
      </c>
      <c r="T159">
        <f t="shared" si="35"/>
        <v>0</v>
      </c>
      <c r="U159">
        <f t="shared" si="36"/>
        <v>0</v>
      </c>
      <c r="V159" s="9">
        <f t="shared" si="26"/>
        <v>0</v>
      </c>
      <c r="W159" s="9">
        <f t="shared" si="26"/>
        <v>0</v>
      </c>
      <c r="X159" s="9">
        <f t="shared" si="26"/>
        <v>0</v>
      </c>
      <c r="Y159" s="9">
        <f t="shared" si="26"/>
        <v>0</v>
      </c>
      <c r="Z159" s="9">
        <f t="shared" si="26"/>
        <v>0</v>
      </c>
      <c r="AA159" s="9">
        <f t="shared" si="25"/>
        <v>0</v>
      </c>
      <c r="AB159" s="9">
        <f t="shared" si="25"/>
        <v>0</v>
      </c>
      <c r="AC159" s="9">
        <f t="shared" si="25"/>
        <v>0</v>
      </c>
      <c r="AD159" s="9">
        <f t="shared" si="25"/>
        <v>0</v>
      </c>
      <c r="AE159" s="9">
        <f t="shared" si="25"/>
        <v>0</v>
      </c>
    </row>
    <row r="160" spans="2:31" x14ac:dyDescent="0.25">
      <c r="B160" s="6">
        <v>0</v>
      </c>
      <c r="C160" s="6">
        <v>0</v>
      </c>
      <c r="D160" s="6">
        <v>0</v>
      </c>
      <c r="E160" s="6">
        <v>0</v>
      </c>
      <c r="F160" s="6">
        <v>0</v>
      </c>
      <c r="L160">
        <f t="shared" si="27"/>
        <v>0</v>
      </c>
      <c r="M160">
        <f t="shared" si="28"/>
        <v>0</v>
      </c>
      <c r="N160">
        <f t="shared" si="29"/>
        <v>0</v>
      </c>
      <c r="O160">
        <f t="shared" si="30"/>
        <v>0</v>
      </c>
      <c r="P160">
        <f t="shared" si="31"/>
        <v>0</v>
      </c>
      <c r="Q160">
        <f t="shared" si="32"/>
        <v>0</v>
      </c>
      <c r="R160">
        <f t="shared" si="33"/>
        <v>0</v>
      </c>
      <c r="S160">
        <f t="shared" si="34"/>
        <v>0</v>
      </c>
      <c r="T160">
        <f t="shared" si="35"/>
        <v>0</v>
      </c>
      <c r="U160">
        <f t="shared" si="36"/>
        <v>0</v>
      </c>
      <c r="V160" s="9">
        <f t="shared" si="26"/>
        <v>0</v>
      </c>
      <c r="W160" s="9">
        <f t="shared" si="26"/>
        <v>0</v>
      </c>
      <c r="X160" s="9">
        <f t="shared" si="26"/>
        <v>0</v>
      </c>
      <c r="Y160" s="9">
        <f t="shared" si="26"/>
        <v>0</v>
      </c>
      <c r="Z160" s="9">
        <f t="shared" si="26"/>
        <v>0</v>
      </c>
      <c r="AA160" s="9">
        <f t="shared" si="25"/>
        <v>0</v>
      </c>
      <c r="AB160" s="9">
        <f t="shared" si="25"/>
        <v>0</v>
      </c>
      <c r="AC160" s="9">
        <f t="shared" si="25"/>
        <v>0</v>
      </c>
      <c r="AD160" s="9">
        <f t="shared" si="25"/>
        <v>0</v>
      </c>
      <c r="AE160" s="9">
        <f t="shared" si="25"/>
        <v>0</v>
      </c>
    </row>
    <row r="161" spans="2:31" x14ac:dyDescent="0.25">
      <c r="B161" s="6">
        <v>0</v>
      </c>
      <c r="C161" s="6">
        <v>0</v>
      </c>
      <c r="D161" s="6">
        <v>0</v>
      </c>
      <c r="E161" s="6">
        <v>0</v>
      </c>
      <c r="F161" s="6">
        <v>0</v>
      </c>
      <c r="L161">
        <f t="shared" si="27"/>
        <v>0</v>
      </c>
      <c r="M161">
        <f t="shared" si="28"/>
        <v>0</v>
      </c>
      <c r="N161">
        <f t="shared" si="29"/>
        <v>0</v>
      </c>
      <c r="O161">
        <f t="shared" si="30"/>
        <v>0</v>
      </c>
      <c r="P161">
        <f t="shared" si="31"/>
        <v>0</v>
      </c>
      <c r="Q161">
        <f t="shared" si="32"/>
        <v>0</v>
      </c>
      <c r="R161">
        <f t="shared" si="33"/>
        <v>0</v>
      </c>
      <c r="S161">
        <f t="shared" si="34"/>
        <v>0</v>
      </c>
      <c r="T161">
        <f t="shared" si="35"/>
        <v>0</v>
      </c>
      <c r="U161">
        <f t="shared" si="36"/>
        <v>0</v>
      </c>
      <c r="V161" s="9">
        <f t="shared" si="26"/>
        <v>0</v>
      </c>
      <c r="W161" s="9">
        <f t="shared" si="26"/>
        <v>0</v>
      </c>
      <c r="X161" s="9">
        <f t="shared" si="26"/>
        <v>0</v>
      </c>
      <c r="Y161" s="9">
        <f t="shared" si="26"/>
        <v>0</v>
      </c>
      <c r="Z161" s="9">
        <f t="shared" si="26"/>
        <v>0</v>
      </c>
      <c r="AA161" s="9">
        <f t="shared" si="25"/>
        <v>0</v>
      </c>
      <c r="AB161" s="9">
        <f t="shared" si="25"/>
        <v>0</v>
      </c>
      <c r="AC161" s="9">
        <f t="shared" si="25"/>
        <v>0</v>
      </c>
      <c r="AD161" s="9">
        <f t="shared" si="25"/>
        <v>0</v>
      </c>
      <c r="AE161" s="9">
        <f t="shared" si="25"/>
        <v>0</v>
      </c>
    </row>
    <row r="162" spans="2:31" x14ac:dyDescent="0.25">
      <c r="B162" s="6">
        <v>0</v>
      </c>
      <c r="C162" s="6">
        <v>0</v>
      </c>
      <c r="D162" s="6">
        <v>0</v>
      </c>
      <c r="E162" s="6">
        <v>0</v>
      </c>
      <c r="F162" s="6">
        <v>0</v>
      </c>
      <c r="L162">
        <f t="shared" si="27"/>
        <v>0</v>
      </c>
      <c r="M162">
        <f t="shared" si="28"/>
        <v>0</v>
      </c>
      <c r="N162">
        <f t="shared" si="29"/>
        <v>0</v>
      </c>
      <c r="O162">
        <f t="shared" si="30"/>
        <v>0</v>
      </c>
      <c r="P162">
        <f t="shared" si="31"/>
        <v>0</v>
      </c>
      <c r="Q162">
        <f t="shared" si="32"/>
        <v>0</v>
      </c>
      <c r="R162">
        <f t="shared" si="33"/>
        <v>0</v>
      </c>
      <c r="S162">
        <f t="shared" si="34"/>
        <v>0</v>
      </c>
      <c r="T162">
        <f t="shared" si="35"/>
        <v>0</v>
      </c>
      <c r="U162">
        <f t="shared" si="36"/>
        <v>0</v>
      </c>
      <c r="V162" s="9">
        <f t="shared" si="26"/>
        <v>0</v>
      </c>
      <c r="W162" s="9">
        <f t="shared" si="26"/>
        <v>0</v>
      </c>
      <c r="X162" s="9">
        <f t="shared" si="26"/>
        <v>0</v>
      </c>
      <c r="Y162" s="9">
        <f t="shared" si="26"/>
        <v>0</v>
      </c>
      <c r="Z162" s="9">
        <f t="shared" si="26"/>
        <v>0</v>
      </c>
      <c r="AA162" s="9">
        <f t="shared" si="25"/>
        <v>0</v>
      </c>
      <c r="AB162" s="9">
        <f t="shared" si="25"/>
        <v>0</v>
      </c>
      <c r="AC162" s="9">
        <f t="shared" si="25"/>
        <v>0</v>
      </c>
      <c r="AD162" s="9">
        <f t="shared" si="25"/>
        <v>0</v>
      </c>
      <c r="AE162" s="9">
        <f t="shared" si="25"/>
        <v>0</v>
      </c>
    </row>
    <row r="163" spans="2:31" x14ac:dyDescent="0.25">
      <c r="B163" s="6">
        <v>0</v>
      </c>
      <c r="C163" s="6">
        <v>0</v>
      </c>
      <c r="D163" s="6">
        <v>0</v>
      </c>
      <c r="E163" s="6">
        <v>0</v>
      </c>
      <c r="F163" s="6">
        <v>0</v>
      </c>
      <c r="L163">
        <f t="shared" si="27"/>
        <v>0</v>
      </c>
      <c r="M163">
        <f t="shared" si="28"/>
        <v>0</v>
      </c>
      <c r="N163">
        <f t="shared" si="29"/>
        <v>0</v>
      </c>
      <c r="O163">
        <f t="shared" si="30"/>
        <v>0</v>
      </c>
      <c r="P163">
        <f t="shared" si="31"/>
        <v>0</v>
      </c>
      <c r="Q163">
        <f t="shared" si="32"/>
        <v>0</v>
      </c>
      <c r="R163">
        <f t="shared" si="33"/>
        <v>0</v>
      </c>
      <c r="S163">
        <f t="shared" si="34"/>
        <v>0</v>
      </c>
      <c r="T163">
        <f t="shared" si="35"/>
        <v>0</v>
      </c>
      <c r="U163">
        <f t="shared" si="36"/>
        <v>0</v>
      </c>
      <c r="V163" s="9">
        <f t="shared" si="26"/>
        <v>0</v>
      </c>
      <c r="W163" s="9">
        <f t="shared" si="26"/>
        <v>0</v>
      </c>
      <c r="X163" s="9">
        <f t="shared" si="26"/>
        <v>0</v>
      </c>
      <c r="Y163" s="9">
        <f t="shared" si="26"/>
        <v>0</v>
      </c>
      <c r="Z163" s="9">
        <f t="shared" si="26"/>
        <v>0</v>
      </c>
      <c r="AA163" s="9">
        <f t="shared" si="25"/>
        <v>0</v>
      </c>
      <c r="AB163" s="9">
        <f t="shared" si="25"/>
        <v>0</v>
      </c>
      <c r="AC163" s="9">
        <f t="shared" si="25"/>
        <v>0</v>
      </c>
      <c r="AD163" s="9">
        <f t="shared" si="25"/>
        <v>0</v>
      </c>
      <c r="AE163" s="9">
        <f t="shared" si="25"/>
        <v>0</v>
      </c>
    </row>
    <row r="164" spans="2:31" x14ac:dyDescent="0.25">
      <c r="B164" s="6">
        <v>0</v>
      </c>
      <c r="C164" s="6">
        <v>0</v>
      </c>
      <c r="D164" s="6">
        <v>0</v>
      </c>
      <c r="E164" s="6">
        <v>0</v>
      </c>
      <c r="F164" s="6">
        <v>0</v>
      </c>
      <c r="L164">
        <f t="shared" si="27"/>
        <v>0</v>
      </c>
      <c r="M164">
        <f t="shared" si="28"/>
        <v>0</v>
      </c>
      <c r="N164">
        <f t="shared" si="29"/>
        <v>0</v>
      </c>
      <c r="O164">
        <f t="shared" si="30"/>
        <v>0</v>
      </c>
      <c r="P164">
        <f t="shared" si="31"/>
        <v>0</v>
      </c>
      <c r="Q164">
        <f t="shared" si="32"/>
        <v>0</v>
      </c>
      <c r="R164">
        <f t="shared" si="33"/>
        <v>0</v>
      </c>
      <c r="S164">
        <f t="shared" si="34"/>
        <v>0</v>
      </c>
      <c r="T164">
        <f t="shared" si="35"/>
        <v>0</v>
      </c>
      <c r="U164">
        <f t="shared" si="36"/>
        <v>0</v>
      </c>
      <c r="V164" s="9">
        <f t="shared" si="26"/>
        <v>0</v>
      </c>
      <c r="W164" s="9">
        <f t="shared" si="26"/>
        <v>0</v>
      </c>
      <c r="X164" s="9">
        <f t="shared" si="26"/>
        <v>0</v>
      </c>
      <c r="Y164" s="9">
        <f t="shared" si="26"/>
        <v>0</v>
      </c>
      <c r="Z164" s="9">
        <f t="shared" si="26"/>
        <v>0</v>
      </c>
      <c r="AA164" s="9">
        <f t="shared" si="25"/>
        <v>0</v>
      </c>
      <c r="AB164" s="9">
        <f t="shared" si="25"/>
        <v>0</v>
      </c>
      <c r="AC164" s="9">
        <f t="shared" si="25"/>
        <v>0</v>
      </c>
      <c r="AD164" s="9">
        <f t="shared" si="25"/>
        <v>0</v>
      </c>
      <c r="AE164" s="9">
        <f t="shared" si="25"/>
        <v>0</v>
      </c>
    </row>
    <row r="165" spans="2:31" x14ac:dyDescent="0.25">
      <c r="B165" s="6">
        <v>0</v>
      </c>
      <c r="C165" s="6">
        <v>0</v>
      </c>
      <c r="D165" s="6">
        <v>0</v>
      </c>
      <c r="E165" s="6">
        <v>0</v>
      </c>
      <c r="F165" s="6">
        <v>0</v>
      </c>
      <c r="L165">
        <f t="shared" si="27"/>
        <v>0</v>
      </c>
      <c r="M165">
        <f t="shared" si="28"/>
        <v>0</v>
      </c>
      <c r="N165">
        <f t="shared" si="29"/>
        <v>0</v>
      </c>
      <c r="O165">
        <f t="shared" si="30"/>
        <v>0</v>
      </c>
      <c r="P165">
        <f t="shared" si="31"/>
        <v>0</v>
      </c>
      <c r="Q165">
        <f t="shared" si="32"/>
        <v>0</v>
      </c>
      <c r="R165">
        <f t="shared" si="33"/>
        <v>0</v>
      </c>
      <c r="S165">
        <f t="shared" si="34"/>
        <v>0</v>
      </c>
      <c r="T165">
        <f t="shared" si="35"/>
        <v>0</v>
      </c>
      <c r="U165">
        <f t="shared" si="36"/>
        <v>0</v>
      </c>
      <c r="V165" s="9">
        <f t="shared" si="26"/>
        <v>0</v>
      </c>
      <c r="W165" s="9">
        <f t="shared" si="26"/>
        <v>0</v>
      </c>
      <c r="X165" s="9">
        <f t="shared" si="26"/>
        <v>0</v>
      </c>
      <c r="Y165" s="9">
        <f t="shared" si="26"/>
        <v>0</v>
      </c>
      <c r="Z165" s="9">
        <f t="shared" si="26"/>
        <v>0</v>
      </c>
      <c r="AA165" s="9">
        <f t="shared" si="25"/>
        <v>0</v>
      </c>
      <c r="AB165" s="9">
        <f t="shared" si="25"/>
        <v>0</v>
      </c>
      <c r="AC165" s="9">
        <f t="shared" si="25"/>
        <v>0</v>
      </c>
      <c r="AD165" s="9">
        <f t="shared" si="25"/>
        <v>0</v>
      </c>
      <c r="AE165" s="9">
        <f t="shared" si="25"/>
        <v>0</v>
      </c>
    </row>
    <row r="166" spans="2:31" x14ac:dyDescent="0.25">
      <c r="B166" s="6">
        <v>0</v>
      </c>
      <c r="C166" s="6">
        <v>0</v>
      </c>
      <c r="D166" s="6">
        <v>0</v>
      </c>
      <c r="E166" s="6">
        <v>0</v>
      </c>
      <c r="F166" s="6">
        <v>0</v>
      </c>
      <c r="L166">
        <f t="shared" si="27"/>
        <v>0</v>
      </c>
      <c r="M166">
        <f t="shared" si="28"/>
        <v>0</v>
      </c>
      <c r="N166">
        <f t="shared" si="29"/>
        <v>0</v>
      </c>
      <c r="O166">
        <f t="shared" si="30"/>
        <v>0</v>
      </c>
      <c r="P166">
        <f t="shared" si="31"/>
        <v>0</v>
      </c>
      <c r="Q166">
        <f t="shared" si="32"/>
        <v>0</v>
      </c>
      <c r="R166">
        <f t="shared" si="33"/>
        <v>0</v>
      </c>
      <c r="S166">
        <f t="shared" si="34"/>
        <v>0</v>
      </c>
      <c r="T166">
        <f t="shared" si="35"/>
        <v>0</v>
      </c>
      <c r="U166">
        <f t="shared" si="36"/>
        <v>0</v>
      </c>
      <c r="V166" s="9">
        <f t="shared" si="26"/>
        <v>0</v>
      </c>
      <c r="W166" s="9">
        <f t="shared" si="26"/>
        <v>0</v>
      </c>
      <c r="X166" s="9">
        <f t="shared" si="26"/>
        <v>0</v>
      </c>
      <c r="Y166" s="9">
        <f t="shared" si="26"/>
        <v>0</v>
      </c>
      <c r="Z166" s="9">
        <f t="shared" si="26"/>
        <v>0</v>
      </c>
      <c r="AA166" s="9">
        <f t="shared" si="25"/>
        <v>0</v>
      </c>
      <c r="AB166" s="9">
        <f t="shared" si="25"/>
        <v>0</v>
      </c>
      <c r="AC166" s="9">
        <f t="shared" si="25"/>
        <v>0</v>
      </c>
      <c r="AD166" s="9">
        <f t="shared" si="25"/>
        <v>0</v>
      </c>
      <c r="AE166" s="9">
        <f t="shared" si="25"/>
        <v>0</v>
      </c>
    </row>
    <row r="167" spans="2:31" x14ac:dyDescent="0.25">
      <c r="B167" s="6">
        <v>0</v>
      </c>
      <c r="C167" s="6">
        <v>0</v>
      </c>
      <c r="D167" s="6">
        <v>0</v>
      </c>
      <c r="E167" s="6">
        <v>0</v>
      </c>
      <c r="F167" s="6">
        <v>0</v>
      </c>
      <c r="L167">
        <f t="shared" si="27"/>
        <v>0</v>
      </c>
      <c r="M167">
        <f t="shared" si="28"/>
        <v>0</v>
      </c>
      <c r="N167">
        <f t="shared" si="29"/>
        <v>0</v>
      </c>
      <c r="O167">
        <f t="shared" si="30"/>
        <v>0</v>
      </c>
      <c r="P167">
        <f t="shared" si="31"/>
        <v>0</v>
      </c>
      <c r="Q167">
        <f t="shared" si="32"/>
        <v>0</v>
      </c>
      <c r="R167">
        <f t="shared" si="33"/>
        <v>0</v>
      </c>
      <c r="S167">
        <f t="shared" si="34"/>
        <v>0</v>
      </c>
      <c r="T167">
        <f t="shared" si="35"/>
        <v>0</v>
      </c>
      <c r="U167">
        <f t="shared" si="36"/>
        <v>0</v>
      </c>
      <c r="V167" s="9">
        <f t="shared" si="26"/>
        <v>0</v>
      </c>
      <c r="W167" s="9">
        <f t="shared" si="26"/>
        <v>0</v>
      </c>
      <c r="X167" s="9">
        <f t="shared" si="26"/>
        <v>0</v>
      </c>
      <c r="Y167" s="9">
        <f t="shared" si="26"/>
        <v>0</v>
      </c>
      <c r="Z167" s="9">
        <f t="shared" si="26"/>
        <v>0</v>
      </c>
      <c r="AA167" s="9">
        <f t="shared" si="25"/>
        <v>0</v>
      </c>
      <c r="AB167" s="9">
        <f t="shared" si="25"/>
        <v>0</v>
      </c>
      <c r="AC167" s="9">
        <f t="shared" si="25"/>
        <v>0</v>
      </c>
      <c r="AD167" s="9">
        <f t="shared" si="25"/>
        <v>0</v>
      </c>
      <c r="AE167" s="9">
        <f t="shared" si="25"/>
        <v>0</v>
      </c>
    </row>
    <row r="168" spans="2:31" x14ac:dyDescent="0.25">
      <c r="B168" s="6">
        <v>0</v>
      </c>
      <c r="C168" s="6">
        <v>0</v>
      </c>
      <c r="D168" s="6">
        <v>0</v>
      </c>
      <c r="E168" s="6">
        <v>0</v>
      </c>
      <c r="F168" s="6">
        <v>0</v>
      </c>
      <c r="L168">
        <f t="shared" si="27"/>
        <v>0</v>
      </c>
      <c r="M168">
        <f t="shared" si="28"/>
        <v>0</v>
      </c>
      <c r="N168">
        <f t="shared" si="29"/>
        <v>0</v>
      </c>
      <c r="O168">
        <f t="shared" si="30"/>
        <v>0</v>
      </c>
      <c r="P168">
        <f t="shared" si="31"/>
        <v>0</v>
      </c>
      <c r="Q168">
        <f t="shared" si="32"/>
        <v>0</v>
      </c>
      <c r="R168">
        <f t="shared" si="33"/>
        <v>0</v>
      </c>
      <c r="S168">
        <f t="shared" si="34"/>
        <v>0</v>
      </c>
      <c r="T168">
        <f t="shared" si="35"/>
        <v>0</v>
      </c>
      <c r="U168">
        <f t="shared" si="36"/>
        <v>0</v>
      </c>
      <c r="V168" s="9">
        <f t="shared" si="26"/>
        <v>0</v>
      </c>
      <c r="W168" s="9">
        <f t="shared" si="26"/>
        <v>0</v>
      </c>
      <c r="X168" s="9">
        <f t="shared" si="26"/>
        <v>0</v>
      </c>
      <c r="Y168" s="9">
        <f t="shared" si="26"/>
        <v>0</v>
      </c>
      <c r="Z168" s="9">
        <f t="shared" si="26"/>
        <v>0</v>
      </c>
      <c r="AA168" s="9">
        <f t="shared" ref="AA168:AE218" si="37">IF(Q168&gt;=0,Q168,-Q168)</f>
        <v>0</v>
      </c>
      <c r="AB168" s="9">
        <f t="shared" si="37"/>
        <v>0</v>
      </c>
      <c r="AC168" s="9">
        <f t="shared" si="37"/>
        <v>0</v>
      </c>
      <c r="AD168" s="9">
        <f t="shared" si="37"/>
        <v>0</v>
      </c>
      <c r="AE168" s="9">
        <f t="shared" si="37"/>
        <v>0</v>
      </c>
    </row>
    <row r="169" spans="2:31" x14ac:dyDescent="0.25">
      <c r="B169" s="6">
        <v>0</v>
      </c>
      <c r="C169" s="6">
        <v>0</v>
      </c>
      <c r="D169" s="6">
        <v>0</v>
      </c>
      <c r="E169" s="6">
        <v>0</v>
      </c>
      <c r="F169" s="6">
        <v>0</v>
      </c>
      <c r="L169">
        <f t="shared" si="27"/>
        <v>0</v>
      </c>
      <c r="M169">
        <f t="shared" si="28"/>
        <v>0</v>
      </c>
      <c r="N169">
        <f t="shared" si="29"/>
        <v>0</v>
      </c>
      <c r="O169">
        <f t="shared" si="30"/>
        <v>0</v>
      </c>
      <c r="P169">
        <f t="shared" si="31"/>
        <v>0</v>
      </c>
      <c r="Q169">
        <f t="shared" si="32"/>
        <v>0</v>
      </c>
      <c r="R169">
        <f t="shared" si="33"/>
        <v>0</v>
      </c>
      <c r="S169">
        <f t="shared" si="34"/>
        <v>0</v>
      </c>
      <c r="T169">
        <f t="shared" si="35"/>
        <v>0</v>
      </c>
      <c r="U169">
        <f t="shared" si="36"/>
        <v>0</v>
      </c>
      <c r="V169" s="9">
        <f t="shared" ref="V169:Z219" si="38">IF(L169&gt;=0,L169,-L169)</f>
        <v>0</v>
      </c>
      <c r="W169" s="9">
        <f t="shared" si="38"/>
        <v>0</v>
      </c>
      <c r="X169" s="9">
        <f t="shared" si="38"/>
        <v>0</v>
      </c>
      <c r="Y169" s="9">
        <f t="shared" si="38"/>
        <v>0</v>
      </c>
      <c r="Z169" s="9">
        <f t="shared" si="38"/>
        <v>0</v>
      </c>
      <c r="AA169" s="9">
        <f t="shared" si="37"/>
        <v>0</v>
      </c>
      <c r="AB169" s="9">
        <f t="shared" si="37"/>
        <v>0</v>
      </c>
      <c r="AC169" s="9">
        <f t="shared" si="37"/>
        <v>0</v>
      </c>
      <c r="AD169" s="9">
        <f t="shared" si="37"/>
        <v>0</v>
      </c>
      <c r="AE169" s="9">
        <f t="shared" si="37"/>
        <v>0</v>
      </c>
    </row>
    <row r="170" spans="2:31" x14ac:dyDescent="0.25">
      <c r="B170" s="6">
        <v>0</v>
      </c>
      <c r="C170" s="6">
        <v>0</v>
      </c>
      <c r="D170" s="6">
        <v>0</v>
      </c>
      <c r="E170" s="6">
        <v>0</v>
      </c>
      <c r="F170" s="6">
        <v>0</v>
      </c>
      <c r="L170">
        <f t="shared" si="27"/>
        <v>0</v>
      </c>
      <c r="M170">
        <f t="shared" si="28"/>
        <v>0</v>
      </c>
      <c r="N170">
        <f t="shared" si="29"/>
        <v>0</v>
      </c>
      <c r="O170">
        <f t="shared" si="30"/>
        <v>0</v>
      </c>
      <c r="P170">
        <f t="shared" si="31"/>
        <v>0</v>
      </c>
      <c r="Q170">
        <f t="shared" si="32"/>
        <v>0</v>
      </c>
      <c r="R170">
        <f t="shared" si="33"/>
        <v>0</v>
      </c>
      <c r="S170">
        <f t="shared" si="34"/>
        <v>0</v>
      </c>
      <c r="T170">
        <f t="shared" si="35"/>
        <v>0</v>
      </c>
      <c r="U170">
        <f t="shared" si="36"/>
        <v>0</v>
      </c>
      <c r="V170" s="9">
        <f t="shared" si="38"/>
        <v>0</v>
      </c>
      <c r="W170" s="9">
        <f t="shared" si="38"/>
        <v>0</v>
      </c>
      <c r="X170" s="9">
        <f t="shared" si="38"/>
        <v>0</v>
      </c>
      <c r="Y170" s="9">
        <f t="shared" si="38"/>
        <v>0</v>
      </c>
      <c r="Z170" s="9">
        <f t="shared" si="38"/>
        <v>0</v>
      </c>
      <c r="AA170" s="9">
        <f t="shared" si="37"/>
        <v>0</v>
      </c>
      <c r="AB170" s="9">
        <f t="shared" si="37"/>
        <v>0</v>
      </c>
      <c r="AC170" s="9">
        <f t="shared" si="37"/>
        <v>0</v>
      </c>
      <c r="AD170" s="9">
        <f t="shared" si="37"/>
        <v>0</v>
      </c>
      <c r="AE170" s="9">
        <f t="shared" si="37"/>
        <v>0</v>
      </c>
    </row>
    <row r="171" spans="2:31" x14ac:dyDescent="0.25">
      <c r="B171" s="6">
        <v>0</v>
      </c>
      <c r="C171" s="6">
        <v>0</v>
      </c>
      <c r="D171" s="6">
        <v>0</v>
      </c>
      <c r="E171" s="6">
        <v>0</v>
      </c>
      <c r="F171" s="6">
        <v>0</v>
      </c>
      <c r="L171">
        <f t="shared" si="27"/>
        <v>0</v>
      </c>
      <c r="M171">
        <f t="shared" si="28"/>
        <v>0</v>
      </c>
      <c r="N171">
        <f t="shared" si="29"/>
        <v>0</v>
      </c>
      <c r="O171">
        <f t="shared" si="30"/>
        <v>0</v>
      </c>
      <c r="P171">
        <f t="shared" si="31"/>
        <v>0</v>
      </c>
      <c r="Q171">
        <f t="shared" si="32"/>
        <v>0</v>
      </c>
      <c r="R171">
        <f t="shared" si="33"/>
        <v>0</v>
      </c>
      <c r="S171">
        <f t="shared" si="34"/>
        <v>0</v>
      </c>
      <c r="T171">
        <f t="shared" si="35"/>
        <v>0</v>
      </c>
      <c r="U171">
        <f t="shared" si="36"/>
        <v>0</v>
      </c>
      <c r="V171" s="9">
        <f t="shared" si="38"/>
        <v>0</v>
      </c>
      <c r="W171" s="9">
        <f t="shared" si="38"/>
        <v>0</v>
      </c>
      <c r="X171" s="9">
        <f t="shared" si="38"/>
        <v>0</v>
      </c>
      <c r="Y171" s="9">
        <f t="shared" si="38"/>
        <v>0</v>
      </c>
      <c r="Z171" s="9">
        <f t="shared" si="38"/>
        <v>0</v>
      </c>
      <c r="AA171" s="9">
        <f t="shared" si="37"/>
        <v>0</v>
      </c>
      <c r="AB171" s="9">
        <f t="shared" si="37"/>
        <v>0</v>
      </c>
      <c r="AC171" s="9">
        <f t="shared" si="37"/>
        <v>0</v>
      </c>
      <c r="AD171" s="9">
        <f t="shared" si="37"/>
        <v>0</v>
      </c>
      <c r="AE171" s="9">
        <f t="shared" si="37"/>
        <v>0</v>
      </c>
    </row>
    <row r="172" spans="2:31" x14ac:dyDescent="0.25">
      <c r="B172" s="6">
        <v>0</v>
      </c>
      <c r="C172" s="6">
        <v>0</v>
      </c>
      <c r="D172" s="6">
        <v>0</v>
      </c>
      <c r="E172" s="6">
        <v>0</v>
      </c>
      <c r="F172" s="6">
        <v>0</v>
      </c>
      <c r="L172">
        <f t="shared" si="27"/>
        <v>0</v>
      </c>
      <c r="M172">
        <f t="shared" si="28"/>
        <v>0</v>
      </c>
      <c r="N172">
        <f t="shared" si="29"/>
        <v>0</v>
      </c>
      <c r="O172">
        <f t="shared" si="30"/>
        <v>0</v>
      </c>
      <c r="P172">
        <f t="shared" si="31"/>
        <v>0</v>
      </c>
      <c r="Q172">
        <f t="shared" si="32"/>
        <v>0</v>
      </c>
      <c r="R172">
        <f t="shared" si="33"/>
        <v>0</v>
      </c>
      <c r="S172">
        <f t="shared" si="34"/>
        <v>0</v>
      </c>
      <c r="T172">
        <f t="shared" si="35"/>
        <v>0</v>
      </c>
      <c r="U172">
        <f t="shared" si="36"/>
        <v>0</v>
      </c>
      <c r="V172" s="9">
        <f t="shared" si="38"/>
        <v>0</v>
      </c>
      <c r="W172" s="9">
        <f t="shared" si="38"/>
        <v>0</v>
      </c>
      <c r="X172" s="9">
        <f t="shared" si="38"/>
        <v>0</v>
      </c>
      <c r="Y172" s="9">
        <f t="shared" si="38"/>
        <v>0</v>
      </c>
      <c r="Z172" s="9">
        <f t="shared" si="38"/>
        <v>0</v>
      </c>
      <c r="AA172" s="9">
        <f t="shared" si="37"/>
        <v>0</v>
      </c>
      <c r="AB172" s="9">
        <f t="shared" si="37"/>
        <v>0</v>
      </c>
      <c r="AC172" s="9">
        <f t="shared" si="37"/>
        <v>0</v>
      </c>
      <c r="AD172" s="9">
        <f t="shared" si="37"/>
        <v>0</v>
      </c>
      <c r="AE172" s="9">
        <f t="shared" si="37"/>
        <v>0</v>
      </c>
    </row>
    <row r="173" spans="2:31" x14ac:dyDescent="0.25">
      <c r="B173" s="6">
        <v>0</v>
      </c>
      <c r="C173" s="6">
        <v>0</v>
      </c>
      <c r="D173" s="6">
        <v>0</v>
      </c>
      <c r="E173" s="6">
        <v>0</v>
      </c>
      <c r="F173" s="6">
        <v>0</v>
      </c>
      <c r="L173">
        <f t="shared" si="27"/>
        <v>0</v>
      </c>
      <c r="M173">
        <f t="shared" si="28"/>
        <v>0</v>
      </c>
      <c r="N173">
        <f t="shared" si="29"/>
        <v>0</v>
      </c>
      <c r="O173">
        <f t="shared" si="30"/>
        <v>0</v>
      </c>
      <c r="P173">
        <f t="shared" si="31"/>
        <v>0</v>
      </c>
      <c r="Q173">
        <f t="shared" si="32"/>
        <v>0</v>
      </c>
      <c r="R173">
        <f t="shared" si="33"/>
        <v>0</v>
      </c>
      <c r="S173">
        <f t="shared" si="34"/>
        <v>0</v>
      </c>
      <c r="T173">
        <f t="shared" si="35"/>
        <v>0</v>
      </c>
      <c r="U173">
        <f t="shared" si="36"/>
        <v>0</v>
      </c>
      <c r="V173" s="9">
        <f t="shared" si="38"/>
        <v>0</v>
      </c>
      <c r="W173" s="9">
        <f t="shared" si="38"/>
        <v>0</v>
      </c>
      <c r="X173" s="9">
        <f t="shared" si="38"/>
        <v>0</v>
      </c>
      <c r="Y173" s="9">
        <f t="shared" si="38"/>
        <v>0</v>
      </c>
      <c r="Z173" s="9">
        <f t="shared" si="38"/>
        <v>0</v>
      </c>
      <c r="AA173" s="9">
        <f t="shared" si="37"/>
        <v>0</v>
      </c>
      <c r="AB173" s="9">
        <f t="shared" si="37"/>
        <v>0</v>
      </c>
      <c r="AC173" s="9">
        <f t="shared" si="37"/>
        <v>0</v>
      </c>
      <c r="AD173" s="9">
        <f t="shared" si="37"/>
        <v>0</v>
      </c>
      <c r="AE173" s="9">
        <f t="shared" si="37"/>
        <v>0</v>
      </c>
    </row>
    <row r="174" spans="2:31" x14ac:dyDescent="0.25">
      <c r="B174" s="6">
        <v>0</v>
      </c>
      <c r="C174" s="6">
        <v>0</v>
      </c>
      <c r="D174" s="6">
        <v>0</v>
      </c>
      <c r="E174" s="6">
        <v>0</v>
      </c>
      <c r="F174" s="6">
        <v>0</v>
      </c>
      <c r="L174">
        <f t="shared" si="27"/>
        <v>0</v>
      </c>
      <c r="M174">
        <f t="shared" si="28"/>
        <v>0</v>
      </c>
      <c r="N174">
        <f t="shared" si="29"/>
        <v>0</v>
      </c>
      <c r="O174">
        <f t="shared" si="30"/>
        <v>0</v>
      </c>
      <c r="P174">
        <f t="shared" si="31"/>
        <v>0</v>
      </c>
      <c r="Q174">
        <f t="shared" si="32"/>
        <v>0</v>
      </c>
      <c r="R174">
        <f t="shared" si="33"/>
        <v>0</v>
      </c>
      <c r="S174">
        <f t="shared" si="34"/>
        <v>0</v>
      </c>
      <c r="T174">
        <f t="shared" si="35"/>
        <v>0</v>
      </c>
      <c r="U174">
        <f t="shared" si="36"/>
        <v>0</v>
      </c>
      <c r="V174" s="9">
        <f t="shared" si="38"/>
        <v>0</v>
      </c>
      <c r="W174" s="9">
        <f t="shared" si="38"/>
        <v>0</v>
      </c>
      <c r="X174" s="9">
        <f t="shared" si="38"/>
        <v>0</v>
      </c>
      <c r="Y174" s="9">
        <f t="shared" si="38"/>
        <v>0</v>
      </c>
      <c r="Z174" s="9">
        <f t="shared" si="38"/>
        <v>0</v>
      </c>
      <c r="AA174" s="9">
        <f t="shared" si="37"/>
        <v>0</v>
      </c>
      <c r="AB174" s="9">
        <f t="shared" si="37"/>
        <v>0</v>
      </c>
      <c r="AC174" s="9">
        <f t="shared" si="37"/>
        <v>0</v>
      </c>
      <c r="AD174" s="9">
        <f t="shared" si="37"/>
        <v>0</v>
      </c>
      <c r="AE174" s="9">
        <f t="shared" si="37"/>
        <v>0</v>
      </c>
    </row>
    <row r="175" spans="2:31" x14ac:dyDescent="0.25">
      <c r="B175" s="6">
        <v>0</v>
      </c>
      <c r="C175" s="6">
        <v>0</v>
      </c>
      <c r="D175" s="6">
        <v>0</v>
      </c>
      <c r="E175" s="6">
        <v>0</v>
      </c>
      <c r="F175" s="6">
        <v>0</v>
      </c>
      <c r="L175">
        <f t="shared" si="27"/>
        <v>0</v>
      </c>
      <c r="M175">
        <f t="shared" si="28"/>
        <v>0</v>
      </c>
      <c r="N175">
        <f t="shared" si="29"/>
        <v>0</v>
      </c>
      <c r="O175">
        <f t="shared" si="30"/>
        <v>0</v>
      </c>
      <c r="P175">
        <f t="shared" si="31"/>
        <v>0</v>
      </c>
      <c r="Q175">
        <f t="shared" si="32"/>
        <v>0</v>
      </c>
      <c r="R175">
        <f t="shared" si="33"/>
        <v>0</v>
      </c>
      <c r="S175">
        <f t="shared" si="34"/>
        <v>0</v>
      </c>
      <c r="T175">
        <f t="shared" si="35"/>
        <v>0</v>
      </c>
      <c r="U175">
        <f t="shared" si="36"/>
        <v>0</v>
      </c>
      <c r="V175" s="9">
        <f t="shared" si="38"/>
        <v>0</v>
      </c>
      <c r="W175" s="9">
        <f t="shared" si="38"/>
        <v>0</v>
      </c>
      <c r="X175" s="9">
        <f t="shared" si="38"/>
        <v>0</v>
      </c>
      <c r="Y175" s="9">
        <f t="shared" si="38"/>
        <v>0</v>
      </c>
      <c r="Z175" s="9">
        <f t="shared" si="38"/>
        <v>0</v>
      </c>
      <c r="AA175" s="9">
        <f t="shared" si="37"/>
        <v>0</v>
      </c>
      <c r="AB175" s="9">
        <f t="shared" si="37"/>
        <v>0</v>
      </c>
      <c r="AC175" s="9">
        <f t="shared" si="37"/>
        <v>0</v>
      </c>
      <c r="AD175" s="9">
        <f t="shared" si="37"/>
        <v>0</v>
      </c>
      <c r="AE175" s="9">
        <f t="shared" si="37"/>
        <v>0</v>
      </c>
    </row>
    <row r="176" spans="2:31" x14ac:dyDescent="0.25">
      <c r="B176" s="6">
        <v>0</v>
      </c>
      <c r="C176" s="6">
        <v>0</v>
      </c>
      <c r="D176" s="6">
        <v>0</v>
      </c>
      <c r="E176" s="6">
        <v>0</v>
      </c>
      <c r="F176" s="6">
        <v>0</v>
      </c>
      <c r="L176">
        <f t="shared" si="27"/>
        <v>0</v>
      </c>
      <c r="M176">
        <f t="shared" si="28"/>
        <v>0</v>
      </c>
      <c r="N176">
        <f t="shared" si="29"/>
        <v>0</v>
      </c>
      <c r="O176">
        <f t="shared" si="30"/>
        <v>0</v>
      </c>
      <c r="P176">
        <f t="shared" si="31"/>
        <v>0</v>
      </c>
      <c r="Q176">
        <f t="shared" si="32"/>
        <v>0</v>
      </c>
      <c r="R176">
        <f t="shared" si="33"/>
        <v>0</v>
      </c>
      <c r="S176">
        <f t="shared" si="34"/>
        <v>0</v>
      </c>
      <c r="T176">
        <f t="shared" si="35"/>
        <v>0</v>
      </c>
      <c r="U176">
        <f t="shared" si="36"/>
        <v>0</v>
      </c>
      <c r="V176" s="9">
        <f t="shared" si="38"/>
        <v>0</v>
      </c>
      <c r="W176" s="9">
        <f t="shared" si="38"/>
        <v>0</v>
      </c>
      <c r="X176" s="9">
        <f t="shared" si="38"/>
        <v>0</v>
      </c>
      <c r="Y176" s="9">
        <f t="shared" si="38"/>
        <v>0</v>
      </c>
      <c r="Z176" s="9">
        <f t="shared" si="38"/>
        <v>0</v>
      </c>
      <c r="AA176" s="9">
        <f t="shared" si="37"/>
        <v>0</v>
      </c>
      <c r="AB176" s="9">
        <f t="shared" si="37"/>
        <v>0</v>
      </c>
      <c r="AC176" s="9">
        <f t="shared" si="37"/>
        <v>0</v>
      </c>
      <c r="AD176" s="9">
        <f t="shared" si="37"/>
        <v>0</v>
      </c>
      <c r="AE176" s="9">
        <f t="shared" si="37"/>
        <v>0</v>
      </c>
    </row>
    <row r="177" spans="2:31" x14ac:dyDescent="0.25">
      <c r="B177" s="6">
        <v>0</v>
      </c>
      <c r="C177" s="6">
        <v>0</v>
      </c>
      <c r="D177" s="6">
        <v>0</v>
      </c>
      <c r="E177" s="6">
        <v>0</v>
      </c>
      <c r="F177" s="6">
        <v>0</v>
      </c>
      <c r="L177">
        <f t="shared" si="27"/>
        <v>0</v>
      </c>
      <c r="M177">
        <f t="shared" si="28"/>
        <v>0</v>
      </c>
      <c r="N177">
        <f t="shared" si="29"/>
        <v>0</v>
      </c>
      <c r="O177">
        <f t="shared" si="30"/>
        <v>0</v>
      </c>
      <c r="P177">
        <f t="shared" si="31"/>
        <v>0</v>
      </c>
      <c r="Q177">
        <f t="shared" si="32"/>
        <v>0</v>
      </c>
      <c r="R177">
        <f t="shared" si="33"/>
        <v>0</v>
      </c>
      <c r="S177">
        <f t="shared" si="34"/>
        <v>0</v>
      </c>
      <c r="T177">
        <f t="shared" si="35"/>
        <v>0</v>
      </c>
      <c r="U177">
        <f t="shared" si="36"/>
        <v>0</v>
      </c>
      <c r="V177" s="9">
        <f t="shared" si="38"/>
        <v>0</v>
      </c>
      <c r="W177" s="9">
        <f t="shared" si="38"/>
        <v>0</v>
      </c>
      <c r="X177" s="9">
        <f t="shared" si="38"/>
        <v>0</v>
      </c>
      <c r="Y177" s="9">
        <f t="shared" si="38"/>
        <v>0</v>
      </c>
      <c r="Z177" s="9">
        <f t="shared" si="38"/>
        <v>0</v>
      </c>
      <c r="AA177" s="9">
        <f t="shared" si="37"/>
        <v>0</v>
      </c>
      <c r="AB177" s="9">
        <f t="shared" si="37"/>
        <v>0</v>
      </c>
      <c r="AC177" s="9">
        <f t="shared" si="37"/>
        <v>0</v>
      </c>
      <c r="AD177" s="9">
        <f t="shared" si="37"/>
        <v>0</v>
      </c>
      <c r="AE177" s="9">
        <f t="shared" si="37"/>
        <v>0</v>
      </c>
    </row>
    <row r="178" spans="2:31" x14ac:dyDescent="0.25">
      <c r="B178" s="6">
        <v>0</v>
      </c>
      <c r="C178" s="6">
        <v>0</v>
      </c>
      <c r="D178" s="6">
        <v>0</v>
      </c>
      <c r="E178" s="6">
        <v>0</v>
      </c>
      <c r="F178" s="6">
        <v>0</v>
      </c>
      <c r="L178">
        <f t="shared" si="27"/>
        <v>0</v>
      </c>
      <c r="M178">
        <f t="shared" si="28"/>
        <v>0</v>
      </c>
      <c r="N178">
        <f t="shared" si="29"/>
        <v>0</v>
      </c>
      <c r="O178">
        <f t="shared" si="30"/>
        <v>0</v>
      </c>
      <c r="P178">
        <f t="shared" si="31"/>
        <v>0</v>
      </c>
      <c r="Q178">
        <f t="shared" si="32"/>
        <v>0</v>
      </c>
      <c r="R178">
        <f t="shared" si="33"/>
        <v>0</v>
      </c>
      <c r="S178">
        <f t="shared" si="34"/>
        <v>0</v>
      </c>
      <c r="T178">
        <f t="shared" si="35"/>
        <v>0</v>
      </c>
      <c r="U178">
        <f t="shared" si="36"/>
        <v>0</v>
      </c>
      <c r="V178" s="9">
        <f t="shared" si="38"/>
        <v>0</v>
      </c>
      <c r="W178" s="9">
        <f t="shared" si="38"/>
        <v>0</v>
      </c>
      <c r="X178" s="9">
        <f t="shared" si="38"/>
        <v>0</v>
      </c>
      <c r="Y178" s="9">
        <f t="shared" si="38"/>
        <v>0</v>
      </c>
      <c r="Z178" s="9">
        <f t="shared" si="38"/>
        <v>0</v>
      </c>
      <c r="AA178" s="9">
        <f t="shared" si="37"/>
        <v>0</v>
      </c>
      <c r="AB178" s="9">
        <f t="shared" si="37"/>
        <v>0</v>
      </c>
      <c r="AC178" s="9">
        <f t="shared" si="37"/>
        <v>0</v>
      </c>
      <c r="AD178" s="9">
        <f t="shared" si="37"/>
        <v>0</v>
      </c>
      <c r="AE178" s="9">
        <f t="shared" si="37"/>
        <v>0</v>
      </c>
    </row>
    <row r="179" spans="2:31" x14ac:dyDescent="0.25">
      <c r="B179" s="6">
        <v>0</v>
      </c>
      <c r="C179" s="6">
        <v>0</v>
      </c>
      <c r="D179" s="6">
        <v>0</v>
      </c>
      <c r="E179" s="6">
        <v>0</v>
      </c>
      <c r="F179" s="6">
        <v>0</v>
      </c>
      <c r="L179">
        <f t="shared" si="27"/>
        <v>0</v>
      </c>
      <c r="M179">
        <f t="shared" si="28"/>
        <v>0</v>
      </c>
      <c r="N179">
        <f t="shared" si="29"/>
        <v>0</v>
      </c>
      <c r="O179">
        <f t="shared" si="30"/>
        <v>0</v>
      </c>
      <c r="P179">
        <f t="shared" si="31"/>
        <v>0</v>
      </c>
      <c r="Q179">
        <f t="shared" si="32"/>
        <v>0</v>
      </c>
      <c r="R179">
        <f t="shared" si="33"/>
        <v>0</v>
      </c>
      <c r="S179">
        <f t="shared" si="34"/>
        <v>0</v>
      </c>
      <c r="T179">
        <f t="shared" si="35"/>
        <v>0</v>
      </c>
      <c r="U179">
        <f t="shared" si="36"/>
        <v>0</v>
      </c>
      <c r="V179" s="9">
        <f t="shared" si="38"/>
        <v>0</v>
      </c>
      <c r="W179" s="9">
        <f t="shared" si="38"/>
        <v>0</v>
      </c>
      <c r="X179" s="9">
        <f t="shared" si="38"/>
        <v>0</v>
      </c>
      <c r="Y179" s="9">
        <f t="shared" si="38"/>
        <v>0</v>
      </c>
      <c r="Z179" s="9">
        <f t="shared" si="38"/>
        <v>0</v>
      </c>
      <c r="AA179" s="9">
        <f t="shared" si="37"/>
        <v>0</v>
      </c>
      <c r="AB179" s="9">
        <f t="shared" si="37"/>
        <v>0</v>
      </c>
      <c r="AC179" s="9">
        <f t="shared" si="37"/>
        <v>0</v>
      </c>
      <c r="AD179" s="9">
        <f t="shared" si="37"/>
        <v>0</v>
      </c>
      <c r="AE179" s="9">
        <f t="shared" si="37"/>
        <v>0</v>
      </c>
    </row>
    <row r="180" spans="2:31" x14ac:dyDescent="0.25">
      <c r="B180" s="6">
        <v>0</v>
      </c>
      <c r="C180" s="6">
        <v>0</v>
      </c>
      <c r="D180" s="6">
        <v>0</v>
      </c>
      <c r="E180" s="6">
        <v>0</v>
      </c>
      <c r="F180" s="6">
        <v>0</v>
      </c>
      <c r="L180">
        <f t="shared" si="27"/>
        <v>0</v>
      </c>
      <c r="M180">
        <f t="shared" si="28"/>
        <v>0</v>
      </c>
      <c r="N180">
        <f t="shared" si="29"/>
        <v>0</v>
      </c>
      <c r="O180">
        <f t="shared" si="30"/>
        <v>0</v>
      </c>
      <c r="P180">
        <f t="shared" si="31"/>
        <v>0</v>
      </c>
      <c r="Q180">
        <f t="shared" si="32"/>
        <v>0</v>
      </c>
      <c r="R180">
        <f t="shared" si="33"/>
        <v>0</v>
      </c>
      <c r="S180">
        <f t="shared" si="34"/>
        <v>0</v>
      </c>
      <c r="T180">
        <f t="shared" si="35"/>
        <v>0</v>
      </c>
      <c r="U180">
        <f t="shared" si="36"/>
        <v>0</v>
      </c>
      <c r="V180" s="9">
        <f t="shared" si="38"/>
        <v>0</v>
      </c>
      <c r="W180" s="9">
        <f t="shared" si="38"/>
        <v>0</v>
      </c>
      <c r="X180" s="9">
        <f t="shared" si="38"/>
        <v>0</v>
      </c>
      <c r="Y180" s="9">
        <f t="shared" si="38"/>
        <v>0</v>
      </c>
      <c r="Z180" s="9">
        <f t="shared" si="38"/>
        <v>0</v>
      </c>
      <c r="AA180" s="9">
        <f t="shared" si="37"/>
        <v>0</v>
      </c>
      <c r="AB180" s="9">
        <f t="shared" si="37"/>
        <v>0</v>
      </c>
      <c r="AC180" s="9">
        <f t="shared" si="37"/>
        <v>0</v>
      </c>
      <c r="AD180" s="9">
        <f t="shared" si="37"/>
        <v>0</v>
      </c>
      <c r="AE180" s="9">
        <f t="shared" si="37"/>
        <v>0</v>
      </c>
    </row>
    <row r="181" spans="2:31" x14ac:dyDescent="0.25">
      <c r="B181" s="6">
        <v>0</v>
      </c>
      <c r="C181" s="6">
        <v>0</v>
      </c>
      <c r="D181" s="6">
        <v>0</v>
      </c>
      <c r="E181" s="6">
        <v>0</v>
      </c>
      <c r="F181" s="6">
        <v>0</v>
      </c>
      <c r="L181">
        <f t="shared" si="27"/>
        <v>0</v>
      </c>
      <c r="M181">
        <f t="shared" si="28"/>
        <v>0</v>
      </c>
      <c r="N181">
        <f t="shared" si="29"/>
        <v>0</v>
      </c>
      <c r="O181">
        <f t="shared" si="30"/>
        <v>0</v>
      </c>
      <c r="P181">
        <f t="shared" si="31"/>
        <v>0</v>
      </c>
      <c r="Q181">
        <f t="shared" si="32"/>
        <v>0</v>
      </c>
      <c r="R181">
        <f t="shared" si="33"/>
        <v>0</v>
      </c>
      <c r="S181">
        <f t="shared" si="34"/>
        <v>0</v>
      </c>
      <c r="T181">
        <f t="shared" si="35"/>
        <v>0</v>
      </c>
      <c r="U181">
        <f t="shared" si="36"/>
        <v>0</v>
      </c>
      <c r="V181" s="9">
        <f t="shared" si="38"/>
        <v>0</v>
      </c>
      <c r="W181" s="9">
        <f t="shared" si="38"/>
        <v>0</v>
      </c>
      <c r="X181" s="9">
        <f t="shared" si="38"/>
        <v>0</v>
      </c>
      <c r="Y181" s="9">
        <f t="shared" si="38"/>
        <v>0</v>
      </c>
      <c r="Z181" s="9">
        <f t="shared" si="38"/>
        <v>0</v>
      </c>
      <c r="AA181" s="9">
        <f t="shared" si="37"/>
        <v>0</v>
      </c>
      <c r="AB181" s="9">
        <f t="shared" si="37"/>
        <v>0</v>
      </c>
      <c r="AC181" s="9">
        <f t="shared" si="37"/>
        <v>0</v>
      </c>
      <c r="AD181" s="9">
        <f t="shared" si="37"/>
        <v>0</v>
      </c>
      <c r="AE181" s="9">
        <f t="shared" si="37"/>
        <v>0</v>
      </c>
    </row>
    <row r="182" spans="2:31" x14ac:dyDescent="0.25">
      <c r="B182" s="6">
        <v>0</v>
      </c>
      <c r="C182" s="6">
        <v>0</v>
      </c>
      <c r="D182" s="6">
        <v>0</v>
      </c>
      <c r="E182" s="6">
        <v>0</v>
      </c>
      <c r="F182" s="6">
        <v>0</v>
      </c>
      <c r="L182">
        <f t="shared" si="27"/>
        <v>0</v>
      </c>
      <c r="M182">
        <f t="shared" si="28"/>
        <v>0</v>
      </c>
      <c r="N182">
        <f t="shared" si="29"/>
        <v>0</v>
      </c>
      <c r="O182">
        <f t="shared" si="30"/>
        <v>0</v>
      </c>
      <c r="P182">
        <f t="shared" si="31"/>
        <v>0</v>
      </c>
      <c r="Q182">
        <f t="shared" si="32"/>
        <v>0</v>
      </c>
      <c r="R182">
        <f t="shared" si="33"/>
        <v>0</v>
      </c>
      <c r="S182">
        <f t="shared" si="34"/>
        <v>0</v>
      </c>
      <c r="T182">
        <f t="shared" si="35"/>
        <v>0</v>
      </c>
      <c r="U182">
        <f t="shared" si="36"/>
        <v>0</v>
      </c>
      <c r="V182" s="9">
        <f t="shared" si="38"/>
        <v>0</v>
      </c>
      <c r="W182" s="9">
        <f t="shared" si="38"/>
        <v>0</v>
      </c>
      <c r="X182" s="9">
        <f t="shared" si="38"/>
        <v>0</v>
      </c>
      <c r="Y182" s="9">
        <f t="shared" si="38"/>
        <v>0</v>
      </c>
      <c r="Z182" s="9">
        <f t="shared" si="38"/>
        <v>0</v>
      </c>
      <c r="AA182" s="9">
        <f t="shared" si="37"/>
        <v>0</v>
      </c>
      <c r="AB182" s="9">
        <f t="shared" si="37"/>
        <v>0</v>
      </c>
      <c r="AC182" s="9">
        <f t="shared" si="37"/>
        <v>0</v>
      </c>
      <c r="AD182" s="9">
        <f t="shared" si="37"/>
        <v>0</v>
      </c>
      <c r="AE182" s="9">
        <f t="shared" si="37"/>
        <v>0</v>
      </c>
    </row>
    <row r="183" spans="2:31" x14ac:dyDescent="0.25">
      <c r="B183" s="6">
        <v>0</v>
      </c>
      <c r="C183" s="6">
        <v>0</v>
      </c>
      <c r="D183" s="6">
        <v>0</v>
      </c>
      <c r="E183" s="6">
        <v>0</v>
      </c>
      <c r="F183" s="6">
        <v>0</v>
      </c>
      <c r="L183">
        <f t="shared" si="27"/>
        <v>0</v>
      </c>
      <c r="M183">
        <f t="shared" si="28"/>
        <v>0</v>
      </c>
      <c r="N183">
        <f t="shared" si="29"/>
        <v>0</v>
      </c>
      <c r="O183">
        <f t="shared" si="30"/>
        <v>0</v>
      </c>
      <c r="P183">
        <f t="shared" si="31"/>
        <v>0</v>
      </c>
      <c r="Q183">
        <f t="shared" si="32"/>
        <v>0</v>
      </c>
      <c r="R183">
        <f t="shared" si="33"/>
        <v>0</v>
      </c>
      <c r="S183">
        <f t="shared" si="34"/>
        <v>0</v>
      </c>
      <c r="T183">
        <f t="shared" si="35"/>
        <v>0</v>
      </c>
      <c r="U183">
        <f t="shared" si="36"/>
        <v>0</v>
      </c>
      <c r="V183" s="9">
        <f t="shared" si="38"/>
        <v>0</v>
      </c>
      <c r="W183" s="9">
        <f t="shared" si="38"/>
        <v>0</v>
      </c>
      <c r="X183" s="9">
        <f t="shared" si="38"/>
        <v>0</v>
      </c>
      <c r="Y183" s="9">
        <f t="shared" si="38"/>
        <v>0</v>
      </c>
      <c r="Z183" s="9">
        <f t="shared" si="38"/>
        <v>0</v>
      </c>
      <c r="AA183" s="9">
        <f t="shared" si="37"/>
        <v>0</v>
      </c>
      <c r="AB183" s="9">
        <f t="shared" si="37"/>
        <v>0</v>
      </c>
      <c r="AC183" s="9">
        <f t="shared" si="37"/>
        <v>0</v>
      </c>
      <c r="AD183" s="9">
        <f t="shared" si="37"/>
        <v>0</v>
      </c>
      <c r="AE183" s="9">
        <f t="shared" si="37"/>
        <v>0</v>
      </c>
    </row>
    <row r="184" spans="2:31" x14ac:dyDescent="0.25">
      <c r="B184" s="6">
        <v>0</v>
      </c>
      <c r="C184" s="6">
        <v>0</v>
      </c>
      <c r="D184" s="6">
        <v>0</v>
      </c>
      <c r="E184" s="6">
        <v>0</v>
      </c>
      <c r="F184" s="6">
        <v>0</v>
      </c>
      <c r="L184">
        <f t="shared" si="27"/>
        <v>0</v>
      </c>
      <c r="M184">
        <f t="shared" si="28"/>
        <v>0</v>
      </c>
      <c r="N184">
        <f t="shared" si="29"/>
        <v>0</v>
      </c>
      <c r="O184">
        <f t="shared" si="30"/>
        <v>0</v>
      </c>
      <c r="P184">
        <f t="shared" si="31"/>
        <v>0</v>
      </c>
      <c r="Q184">
        <f t="shared" si="32"/>
        <v>0</v>
      </c>
      <c r="R184">
        <f t="shared" si="33"/>
        <v>0</v>
      </c>
      <c r="S184">
        <f t="shared" si="34"/>
        <v>0</v>
      </c>
      <c r="T184">
        <f t="shared" si="35"/>
        <v>0</v>
      </c>
      <c r="U184">
        <f t="shared" si="36"/>
        <v>0</v>
      </c>
      <c r="V184" s="9">
        <f t="shared" si="38"/>
        <v>0</v>
      </c>
      <c r="W184" s="9">
        <f t="shared" si="38"/>
        <v>0</v>
      </c>
      <c r="X184" s="9">
        <f t="shared" si="38"/>
        <v>0</v>
      </c>
      <c r="Y184" s="9">
        <f t="shared" si="38"/>
        <v>0</v>
      </c>
      <c r="Z184" s="9">
        <f t="shared" si="38"/>
        <v>0</v>
      </c>
      <c r="AA184" s="9">
        <f t="shared" si="37"/>
        <v>0</v>
      </c>
      <c r="AB184" s="9">
        <f t="shared" si="37"/>
        <v>0</v>
      </c>
      <c r="AC184" s="9">
        <f t="shared" si="37"/>
        <v>0</v>
      </c>
      <c r="AD184" s="9">
        <f t="shared" si="37"/>
        <v>0</v>
      </c>
      <c r="AE184" s="9">
        <f t="shared" si="37"/>
        <v>0</v>
      </c>
    </row>
    <row r="185" spans="2:31" x14ac:dyDescent="0.25">
      <c r="B185" s="6">
        <v>0</v>
      </c>
      <c r="C185" s="6">
        <v>0</v>
      </c>
      <c r="D185" s="6">
        <v>0</v>
      </c>
      <c r="E185" s="6">
        <v>0</v>
      </c>
      <c r="F185" s="6">
        <v>0</v>
      </c>
      <c r="L185">
        <f t="shared" si="27"/>
        <v>0</v>
      </c>
      <c r="M185">
        <f t="shared" si="28"/>
        <v>0</v>
      </c>
      <c r="N185">
        <f t="shared" si="29"/>
        <v>0</v>
      </c>
      <c r="O185">
        <f t="shared" si="30"/>
        <v>0</v>
      </c>
      <c r="P185">
        <f t="shared" si="31"/>
        <v>0</v>
      </c>
      <c r="Q185">
        <f t="shared" si="32"/>
        <v>0</v>
      </c>
      <c r="R185">
        <f t="shared" si="33"/>
        <v>0</v>
      </c>
      <c r="S185">
        <f t="shared" si="34"/>
        <v>0</v>
      </c>
      <c r="T185">
        <f t="shared" si="35"/>
        <v>0</v>
      </c>
      <c r="U185">
        <f t="shared" si="36"/>
        <v>0</v>
      </c>
      <c r="V185" s="9">
        <f t="shared" si="38"/>
        <v>0</v>
      </c>
      <c r="W185" s="9">
        <f t="shared" si="38"/>
        <v>0</v>
      </c>
      <c r="X185" s="9">
        <f t="shared" si="38"/>
        <v>0</v>
      </c>
      <c r="Y185" s="9">
        <f t="shared" si="38"/>
        <v>0</v>
      </c>
      <c r="Z185" s="9">
        <f t="shared" si="38"/>
        <v>0</v>
      </c>
      <c r="AA185" s="9">
        <f t="shared" si="37"/>
        <v>0</v>
      </c>
      <c r="AB185" s="9">
        <f t="shared" si="37"/>
        <v>0</v>
      </c>
      <c r="AC185" s="9">
        <f t="shared" si="37"/>
        <v>0</v>
      </c>
      <c r="AD185" s="9">
        <f t="shared" si="37"/>
        <v>0</v>
      </c>
      <c r="AE185" s="9">
        <f t="shared" si="37"/>
        <v>0</v>
      </c>
    </row>
    <row r="186" spans="2:31" x14ac:dyDescent="0.25">
      <c r="B186" s="6">
        <v>0</v>
      </c>
      <c r="C186" s="6">
        <v>0</v>
      </c>
      <c r="D186" s="6">
        <v>0</v>
      </c>
      <c r="E186" s="6">
        <v>0</v>
      </c>
      <c r="F186" s="6">
        <v>0</v>
      </c>
      <c r="L186">
        <f t="shared" si="27"/>
        <v>0</v>
      </c>
      <c r="M186">
        <f t="shared" si="28"/>
        <v>0</v>
      </c>
      <c r="N186">
        <f t="shared" si="29"/>
        <v>0</v>
      </c>
      <c r="O186">
        <f t="shared" si="30"/>
        <v>0</v>
      </c>
      <c r="P186">
        <f t="shared" si="31"/>
        <v>0</v>
      </c>
      <c r="Q186">
        <f t="shared" si="32"/>
        <v>0</v>
      </c>
      <c r="R186">
        <f t="shared" si="33"/>
        <v>0</v>
      </c>
      <c r="S186">
        <f t="shared" si="34"/>
        <v>0</v>
      </c>
      <c r="T186">
        <f t="shared" si="35"/>
        <v>0</v>
      </c>
      <c r="U186">
        <f t="shared" si="36"/>
        <v>0</v>
      </c>
      <c r="V186" s="9">
        <f t="shared" si="38"/>
        <v>0</v>
      </c>
      <c r="W186" s="9">
        <f t="shared" si="38"/>
        <v>0</v>
      </c>
      <c r="X186" s="9">
        <f t="shared" si="38"/>
        <v>0</v>
      </c>
      <c r="Y186" s="9">
        <f t="shared" si="38"/>
        <v>0</v>
      </c>
      <c r="Z186" s="9">
        <f t="shared" si="38"/>
        <v>0</v>
      </c>
      <c r="AA186" s="9">
        <f t="shared" si="37"/>
        <v>0</v>
      </c>
      <c r="AB186" s="9">
        <f t="shared" si="37"/>
        <v>0</v>
      </c>
      <c r="AC186" s="9">
        <f t="shared" si="37"/>
        <v>0</v>
      </c>
      <c r="AD186" s="9">
        <f t="shared" si="37"/>
        <v>0</v>
      </c>
      <c r="AE186" s="9">
        <f t="shared" si="37"/>
        <v>0</v>
      </c>
    </row>
    <row r="187" spans="2:31" x14ac:dyDescent="0.25">
      <c r="B187" s="6">
        <v>0</v>
      </c>
      <c r="C187" s="6">
        <v>0</v>
      </c>
      <c r="D187" s="6">
        <v>0</v>
      </c>
      <c r="E187" s="6">
        <v>0</v>
      </c>
      <c r="F187" s="6">
        <v>0</v>
      </c>
      <c r="L187">
        <f t="shared" si="27"/>
        <v>0</v>
      </c>
      <c r="M187">
        <f t="shared" si="28"/>
        <v>0</v>
      </c>
      <c r="N187">
        <f t="shared" si="29"/>
        <v>0</v>
      </c>
      <c r="O187">
        <f t="shared" si="30"/>
        <v>0</v>
      </c>
      <c r="P187">
        <f t="shared" si="31"/>
        <v>0</v>
      </c>
      <c r="Q187">
        <f t="shared" si="32"/>
        <v>0</v>
      </c>
      <c r="R187">
        <f t="shared" si="33"/>
        <v>0</v>
      </c>
      <c r="S187">
        <f t="shared" si="34"/>
        <v>0</v>
      </c>
      <c r="T187">
        <f t="shared" si="35"/>
        <v>0</v>
      </c>
      <c r="U187">
        <f t="shared" si="36"/>
        <v>0</v>
      </c>
      <c r="V187" s="9">
        <f t="shared" si="38"/>
        <v>0</v>
      </c>
      <c r="W187" s="9">
        <f t="shared" si="38"/>
        <v>0</v>
      </c>
      <c r="X187" s="9">
        <f t="shared" si="38"/>
        <v>0</v>
      </c>
      <c r="Y187" s="9">
        <f t="shared" si="38"/>
        <v>0</v>
      </c>
      <c r="Z187" s="9">
        <f t="shared" si="38"/>
        <v>0</v>
      </c>
      <c r="AA187" s="9">
        <f t="shared" si="37"/>
        <v>0</v>
      </c>
      <c r="AB187" s="9">
        <f t="shared" si="37"/>
        <v>0</v>
      </c>
      <c r="AC187" s="9">
        <f t="shared" si="37"/>
        <v>0</v>
      </c>
      <c r="AD187" s="9">
        <f t="shared" si="37"/>
        <v>0</v>
      </c>
      <c r="AE187" s="9">
        <f t="shared" si="37"/>
        <v>0</v>
      </c>
    </row>
    <row r="188" spans="2:31" x14ac:dyDescent="0.25">
      <c r="B188" s="6">
        <v>0</v>
      </c>
      <c r="C188" s="6">
        <v>0</v>
      </c>
      <c r="D188" s="6">
        <v>0</v>
      </c>
      <c r="E188" s="6">
        <v>0</v>
      </c>
      <c r="F188" s="6">
        <v>0</v>
      </c>
      <c r="L188">
        <f t="shared" si="27"/>
        <v>0</v>
      </c>
      <c r="M188">
        <f t="shared" si="28"/>
        <v>0</v>
      </c>
      <c r="N188">
        <f t="shared" si="29"/>
        <v>0</v>
      </c>
      <c r="O188">
        <f t="shared" si="30"/>
        <v>0</v>
      </c>
      <c r="P188">
        <f t="shared" si="31"/>
        <v>0</v>
      </c>
      <c r="Q188">
        <f t="shared" si="32"/>
        <v>0</v>
      </c>
      <c r="R188">
        <f t="shared" si="33"/>
        <v>0</v>
      </c>
      <c r="S188">
        <f t="shared" si="34"/>
        <v>0</v>
      </c>
      <c r="T188">
        <f t="shared" si="35"/>
        <v>0</v>
      </c>
      <c r="U188">
        <f t="shared" si="36"/>
        <v>0</v>
      </c>
      <c r="V188" s="9">
        <f t="shared" si="38"/>
        <v>0</v>
      </c>
      <c r="W188" s="9">
        <f t="shared" si="38"/>
        <v>0</v>
      </c>
      <c r="X188" s="9">
        <f t="shared" si="38"/>
        <v>0</v>
      </c>
      <c r="Y188" s="9">
        <f t="shared" si="38"/>
        <v>0</v>
      </c>
      <c r="Z188" s="9">
        <f t="shared" si="38"/>
        <v>0</v>
      </c>
      <c r="AA188" s="9">
        <f t="shared" si="37"/>
        <v>0</v>
      </c>
      <c r="AB188" s="9">
        <f t="shared" si="37"/>
        <v>0</v>
      </c>
      <c r="AC188" s="9">
        <f t="shared" si="37"/>
        <v>0</v>
      </c>
      <c r="AD188" s="9">
        <f t="shared" si="37"/>
        <v>0</v>
      </c>
      <c r="AE188" s="9">
        <f t="shared" si="37"/>
        <v>0</v>
      </c>
    </row>
    <row r="189" spans="2:31" x14ac:dyDescent="0.25">
      <c r="B189" s="6">
        <v>0</v>
      </c>
      <c r="C189" s="6">
        <v>0</v>
      </c>
      <c r="D189" s="6">
        <v>0</v>
      </c>
      <c r="E189" s="6">
        <v>0</v>
      </c>
      <c r="F189" s="6">
        <v>0</v>
      </c>
      <c r="L189">
        <f t="shared" si="27"/>
        <v>0</v>
      </c>
      <c r="M189">
        <f t="shared" si="28"/>
        <v>0</v>
      </c>
      <c r="N189">
        <f t="shared" si="29"/>
        <v>0</v>
      </c>
      <c r="O189">
        <f t="shared" si="30"/>
        <v>0</v>
      </c>
      <c r="P189">
        <f t="shared" si="31"/>
        <v>0</v>
      </c>
      <c r="Q189">
        <f t="shared" si="32"/>
        <v>0</v>
      </c>
      <c r="R189">
        <f t="shared" si="33"/>
        <v>0</v>
      </c>
      <c r="S189">
        <f t="shared" si="34"/>
        <v>0</v>
      </c>
      <c r="T189">
        <f t="shared" si="35"/>
        <v>0</v>
      </c>
      <c r="U189">
        <f t="shared" si="36"/>
        <v>0</v>
      </c>
      <c r="V189" s="9">
        <f t="shared" si="38"/>
        <v>0</v>
      </c>
      <c r="W189" s="9">
        <f t="shared" si="38"/>
        <v>0</v>
      </c>
      <c r="X189" s="9">
        <f t="shared" si="38"/>
        <v>0</v>
      </c>
      <c r="Y189" s="9">
        <f t="shared" si="38"/>
        <v>0</v>
      </c>
      <c r="Z189" s="9">
        <f t="shared" si="38"/>
        <v>0</v>
      </c>
      <c r="AA189" s="9">
        <f t="shared" si="37"/>
        <v>0</v>
      </c>
      <c r="AB189" s="9">
        <f t="shared" si="37"/>
        <v>0</v>
      </c>
      <c r="AC189" s="9">
        <f t="shared" si="37"/>
        <v>0</v>
      </c>
      <c r="AD189" s="9">
        <f t="shared" si="37"/>
        <v>0</v>
      </c>
      <c r="AE189" s="9">
        <f t="shared" si="37"/>
        <v>0</v>
      </c>
    </row>
    <row r="190" spans="2:31" x14ac:dyDescent="0.25">
      <c r="B190" s="6">
        <v>0</v>
      </c>
      <c r="C190" s="6">
        <v>0</v>
      </c>
      <c r="D190" s="6">
        <v>0</v>
      </c>
      <c r="E190" s="6">
        <v>0</v>
      </c>
      <c r="F190" s="6">
        <v>0</v>
      </c>
      <c r="L190">
        <f t="shared" si="27"/>
        <v>0</v>
      </c>
      <c r="M190">
        <f t="shared" si="28"/>
        <v>0</v>
      </c>
      <c r="N190">
        <f t="shared" si="29"/>
        <v>0</v>
      </c>
      <c r="O190">
        <f t="shared" si="30"/>
        <v>0</v>
      </c>
      <c r="P190">
        <f t="shared" si="31"/>
        <v>0</v>
      </c>
      <c r="Q190">
        <f t="shared" si="32"/>
        <v>0</v>
      </c>
      <c r="R190">
        <f t="shared" si="33"/>
        <v>0</v>
      </c>
      <c r="S190">
        <f t="shared" si="34"/>
        <v>0</v>
      </c>
      <c r="T190">
        <f t="shared" si="35"/>
        <v>0</v>
      </c>
      <c r="U190">
        <f t="shared" si="36"/>
        <v>0</v>
      </c>
      <c r="V190" s="9">
        <f t="shared" si="38"/>
        <v>0</v>
      </c>
      <c r="W190" s="9">
        <f t="shared" si="38"/>
        <v>0</v>
      </c>
      <c r="X190" s="9">
        <f t="shared" si="38"/>
        <v>0</v>
      </c>
      <c r="Y190" s="9">
        <f t="shared" si="38"/>
        <v>0</v>
      </c>
      <c r="Z190" s="9">
        <f t="shared" si="38"/>
        <v>0</v>
      </c>
      <c r="AA190" s="9">
        <f t="shared" si="37"/>
        <v>0</v>
      </c>
      <c r="AB190" s="9">
        <f t="shared" si="37"/>
        <v>0</v>
      </c>
      <c r="AC190" s="9">
        <f t="shared" si="37"/>
        <v>0</v>
      </c>
      <c r="AD190" s="9">
        <f t="shared" si="37"/>
        <v>0</v>
      </c>
      <c r="AE190" s="9">
        <f t="shared" si="37"/>
        <v>0</v>
      </c>
    </row>
    <row r="191" spans="2:31" x14ac:dyDescent="0.25">
      <c r="B191" s="6">
        <v>0</v>
      </c>
      <c r="C191" s="6">
        <v>0</v>
      </c>
      <c r="D191" s="6">
        <v>0</v>
      </c>
      <c r="E191" s="6">
        <v>0</v>
      </c>
      <c r="F191" s="6">
        <v>0</v>
      </c>
      <c r="L191">
        <f t="shared" si="27"/>
        <v>0</v>
      </c>
      <c r="M191">
        <f t="shared" si="28"/>
        <v>0</v>
      </c>
      <c r="N191">
        <f t="shared" si="29"/>
        <v>0</v>
      </c>
      <c r="O191">
        <f t="shared" si="30"/>
        <v>0</v>
      </c>
      <c r="P191">
        <f t="shared" si="31"/>
        <v>0</v>
      </c>
      <c r="Q191">
        <f t="shared" si="32"/>
        <v>0</v>
      </c>
      <c r="R191">
        <f t="shared" si="33"/>
        <v>0</v>
      </c>
      <c r="S191">
        <f t="shared" si="34"/>
        <v>0</v>
      </c>
      <c r="T191">
        <f t="shared" si="35"/>
        <v>0</v>
      </c>
      <c r="U191">
        <f t="shared" si="36"/>
        <v>0</v>
      </c>
      <c r="V191" s="9">
        <f t="shared" si="38"/>
        <v>0</v>
      </c>
      <c r="W191" s="9">
        <f t="shared" si="38"/>
        <v>0</v>
      </c>
      <c r="X191" s="9">
        <f t="shared" si="38"/>
        <v>0</v>
      </c>
      <c r="Y191" s="9">
        <f t="shared" si="38"/>
        <v>0</v>
      </c>
      <c r="Z191" s="9">
        <f t="shared" si="38"/>
        <v>0</v>
      </c>
      <c r="AA191" s="9">
        <f t="shared" si="37"/>
        <v>0</v>
      </c>
      <c r="AB191" s="9">
        <f t="shared" si="37"/>
        <v>0</v>
      </c>
      <c r="AC191" s="9">
        <f t="shared" si="37"/>
        <v>0</v>
      </c>
      <c r="AD191" s="9">
        <f t="shared" si="37"/>
        <v>0</v>
      </c>
      <c r="AE191" s="9">
        <f t="shared" si="37"/>
        <v>0</v>
      </c>
    </row>
    <row r="192" spans="2:31" x14ac:dyDescent="0.25">
      <c r="B192" s="6">
        <v>0</v>
      </c>
      <c r="C192" s="6">
        <v>0</v>
      </c>
      <c r="D192" s="6">
        <v>0</v>
      </c>
      <c r="E192" s="6">
        <v>0</v>
      </c>
      <c r="F192" s="6">
        <v>0</v>
      </c>
      <c r="L192">
        <f t="shared" si="27"/>
        <v>0</v>
      </c>
      <c r="M192">
        <f t="shared" si="28"/>
        <v>0</v>
      </c>
      <c r="N192">
        <f t="shared" si="29"/>
        <v>0</v>
      </c>
      <c r="O192">
        <f t="shared" si="30"/>
        <v>0</v>
      </c>
      <c r="P192">
        <f t="shared" si="31"/>
        <v>0</v>
      </c>
      <c r="Q192">
        <f t="shared" si="32"/>
        <v>0</v>
      </c>
      <c r="R192">
        <f t="shared" si="33"/>
        <v>0</v>
      </c>
      <c r="S192">
        <f t="shared" si="34"/>
        <v>0</v>
      </c>
      <c r="T192">
        <f t="shared" si="35"/>
        <v>0</v>
      </c>
      <c r="U192">
        <f t="shared" si="36"/>
        <v>0</v>
      </c>
      <c r="V192" s="9">
        <f t="shared" si="38"/>
        <v>0</v>
      </c>
      <c r="W192" s="9">
        <f t="shared" si="38"/>
        <v>0</v>
      </c>
      <c r="X192" s="9">
        <f t="shared" si="38"/>
        <v>0</v>
      </c>
      <c r="Y192" s="9">
        <f t="shared" si="38"/>
        <v>0</v>
      </c>
      <c r="Z192" s="9">
        <f t="shared" si="38"/>
        <v>0</v>
      </c>
      <c r="AA192" s="9">
        <f t="shared" si="37"/>
        <v>0</v>
      </c>
      <c r="AB192" s="9">
        <f t="shared" si="37"/>
        <v>0</v>
      </c>
      <c r="AC192" s="9">
        <f t="shared" si="37"/>
        <v>0</v>
      </c>
      <c r="AD192" s="9">
        <f t="shared" si="37"/>
        <v>0</v>
      </c>
      <c r="AE192" s="9">
        <f t="shared" si="37"/>
        <v>0</v>
      </c>
    </row>
    <row r="193" spans="2:31" x14ac:dyDescent="0.25">
      <c r="B193" s="6">
        <v>0</v>
      </c>
      <c r="C193" s="6">
        <v>0</v>
      </c>
      <c r="D193" s="6">
        <v>0</v>
      </c>
      <c r="E193" s="6">
        <v>0</v>
      </c>
      <c r="F193" s="6">
        <v>0</v>
      </c>
      <c r="L193">
        <f t="shared" ref="L193:L256" si="39">B193-C193</f>
        <v>0</v>
      </c>
      <c r="M193">
        <f t="shared" ref="M193:M256" si="40">B193-D193</f>
        <v>0</v>
      </c>
      <c r="N193">
        <f t="shared" ref="N193:N256" si="41">B193-E193</f>
        <v>0</v>
      </c>
      <c r="O193">
        <f t="shared" ref="O193:O256" si="42">B193-F193</f>
        <v>0</v>
      </c>
      <c r="P193">
        <f t="shared" ref="P193:P256" si="43">C193-D193</f>
        <v>0</v>
      </c>
      <c r="Q193">
        <f t="shared" ref="Q193:Q256" si="44">C193-E193</f>
        <v>0</v>
      </c>
      <c r="R193">
        <f t="shared" ref="R193:R256" si="45">C193-F193</f>
        <v>0</v>
      </c>
      <c r="S193">
        <f t="shared" ref="S193:S256" si="46">D193-E193</f>
        <v>0</v>
      </c>
      <c r="T193">
        <f t="shared" ref="T193:T256" si="47">D193-F193</f>
        <v>0</v>
      </c>
      <c r="U193">
        <f t="shared" ref="U193:U256" si="48">E193-F193</f>
        <v>0</v>
      </c>
      <c r="V193" s="9">
        <f t="shared" si="38"/>
        <v>0</v>
      </c>
      <c r="W193" s="9">
        <f t="shared" si="38"/>
        <v>0</v>
      </c>
      <c r="X193" s="9">
        <f t="shared" si="38"/>
        <v>0</v>
      </c>
      <c r="Y193" s="9">
        <f t="shared" si="38"/>
        <v>0</v>
      </c>
      <c r="Z193" s="9">
        <f t="shared" si="38"/>
        <v>0</v>
      </c>
      <c r="AA193" s="9">
        <f t="shared" si="37"/>
        <v>0</v>
      </c>
      <c r="AB193" s="9">
        <f t="shared" si="37"/>
        <v>0</v>
      </c>
      <c r="AC193" s="9">
        <f t="shared" si="37"/>
        <v>0</v>
      </c>
      <c r="AD193" s="9">
        <f t="shared" si="37"/>
        <v>0</v>
      </c>
      <c r="AE193" s="9">
        <f t="shared" si="37"/>
        <v>0</v>
      </c>
    </row>
    <row r="194" spans="2:31" x14ac:dyDescent="0.25">
      <c r="B194" s="6">
        <v>0</v>
      </c>
      <c r="C194" s="6">
        <v>0</v>
      </c>
      <c r="D194" s="6">
        <v>0</v>
      </c>
      <c r="E194" s="6">
        <v>0</v>
      </c>
      <c r="F194" s="6">
        <v>0</v>
      </c>
      <c r="L194">
        <f t="shared" si="39"/>
        <v>0</v>
      </c>
      <c r="M194">
        <f t="shared" si="40"/>
        <v>0</v>
      </c>
      <c r="N194">
        <f t="shared" si="41"/>
        <v>0</v>
      </c>
      <c r="O194">
        <f t="shared" si="42"/>
        <v>0</v>
      </c>
      <c r="P194">
        <f t="shared" si="43"/>
        <v>0</v>
      </c>
      <c r="Q194">
        <f t="shared" si="44"/>
        <v>0</v>
      </c>
      <c r="R194">
        <f t="shared" si="45"/>
        <v>0</v>
      </c>
      <c r="S194">
        <f t="shared" si="46"/>
        <v>0</v>
      </c>
      <c r="T194">
        <f t="shared" si="47"/>
        <v>0</v>
      </c>
      <c r="U194">
        <f t="shared" si="48"/>
        <v>0</v>
      </c>
      <c r="V194" s="9">
        <f t="shared" si="38"/>
        <v>0</v>
      </c>
      <c r="W194" s="9">
        <f t="shared" si="38"/>
        <v>0</v>
      </c>
      <c r="X194" s="9">
        <f t="shared" si="38"/>
        <v>0</v>
      </c>
      <c r="Y194" s="9">
        <f t="shared" si="38"/>
        <v>0</v>
      </c>
      <c r="Z194" s="9">
        <f t="shared" si="38"/>
        <v>0</v>
      </c>
      <c r="AA194" s="9">
        <f t="shared" si="37"/>
        <v>0</v>
      </c>
      <c r="AB194" s="9">
        <f t="shared" si="37"/>
        <v>0</v>
      </c>
      <c r="AC194" s="9">
        <f t="shared" si="37"/>
        <v>0</v>
      </c>
      <c r="AD194" s="9">
        <f t="shared" si="37"/>
        <v>0</v>
      </c>
      <c r="AE194" s="9">
        <f t="shared" si="37"/>
        <v>0</v>
      </c>
    </row>
    <row r="195" spans="2:31" x14ac:dyDescent="0.25">
      <c r="B195" s="6">
        <v>0</v>
      </c>
      <c r="C195" s="6">
        <v>0</v>
      </c>
      <c r="D195" s="6">
        <v>0</v>
      </c>
      <c r="E195" s="6">
        <v>0</v>
      </c>
      <c r="F195" s="6">
        <v>0</v>
      </c>
      <c r="L195">
        <f t="shared" si="39"/>
        <v>0</v>
      </c>
      <c r="M195">
        <f t="shared" si="40"/>
        <v>0</v>
      </c>
      <c r="N195">
        <f t="shared" si="41"/>
        <v>0</v>
      </c>
      <c r="O195">
        <f t="shared" si="42"/>
        <v>0</v>
      </c>
      <c r="P195">
        <f t="shared" si="43"/>
        <v>0</v>
      </c>
      <c r="Q195">
        <f t="shared" si="44"/>
        <v>0</v>
      </c>
      <c r="R195">
        <f t="shared" si="45"/>
        <v>0</v>
      </c>
      <c r="S195">
        <f t="shared" si="46"/>
        <v>0</v>
      </c>
      <c r="T195">
        <f t="shared" si="47"/>
        <v>0</v>
      </c>
      <c r="U195">
        <f t="shared" si="48"/>
        <v>0</v>
      </c>
      <c r="V195" s="9">
        <f t="shared" si="38"/>
        <v>0</v>
      </c>
      <c r="W195" s="9">
        <f t="shared" si="38"/>
        <v>0</v>
      </c>
      <c r="X195" s="9">
        <f t="shared" si="38"/>
        <v>0</v>
      </c>
      <c r="Y195" s="9">
        <f t="shared" si="38"/>
        <v>0</v>
      </c>
      <c r="Z195" s="9">
        <f t="shared" si="38"/>
        <v>0</v>
      </c>
      <c r="AA195" s="9">
        <f t="shared" si="37"/>
        <v>0</v>
      </c>
      <c r="AB195" s="9">
        <f t="shared" si="37"/>
        <v>0</v>
      </c>
      <c r="AC195" s="9">
        <f t="shared" si="37"/>
        <v>0</v>
      </c>
      <c r="AD195" s="9">
        <f t="shared" si="37"/>
        <v>0</v>
      </c>
      <c r="AE195" s="9">
        <f t="shared" si="37"/>
        <v>0</v>
      </c>
    </row>
    <row r="196" spans="2:31" x14ac:dyDescent="0.25">
      <c r="B196" s="6">
        <v>0</v>
      </c>
      <c r="C196" s="6">
        <v>0</v>
      </c>
      <c r="D196" s="6">
        <v>0</v>
      </c>
      <c r="E196" s="6">
        <v>0</v>
      </c>
      <c r="F196" s="6">
        <v>0</v>
      </c>
      <c r="L196">
        <f t="shared" si="39"/>
        <v>0</v>
      </c>
      <c r="M196">
        <f t="shared" si="40"/>
        <v>0</v>
      </c>
      <c r="N196">
        <f t="shared" si="41"/>
        <v>0</v>
      </c>
      <c r="O196">
        <f t="shared" si="42"/>
        <v>0</v>
      </c>
      <c r="P196">
        <f t="shared" si="43"/>
        <v>0</v>
      </c>
      <c r="Q196">
        <f t="shared" si="44"/>
        <v>0</v>
      </c>
      <c r="R196">
        <f t="shared" si="45"/>
        <v>0</v>
      </c>
      <c r="S196">
        <f t="shared" si="46"/>
        <v>0</v>
      </c>
      <c r="T196">
        <f t="shared" si="47"/>
        <v>0</v>
      </c>
      <c r="U196">
        <f t="shared" si="48"/>
        <v>0</v>
      </c>
      <c r="V196" s="9">
        <f t="shared" si="38"/>
        <v>0</v>
      </c>
      <c r="W196" s="9">
        <f t="shared" si="38"/>
        <v>0</v>
      </c>
      <c r="X196" s="9">
        <f t="shared" si="38"/>
        <v>0</v>
      </c>
      <c r="Y196" s="9">
        <f t="shared" si="38"/>
        <v>0</v>
      </c>
      <c r="Z196" s="9">
        <f t="shared" si="38"/>
        <v>0</v>
      </c>
      <c r="AA196" s="9">
        <f t="shared" si="37"/>
        <v>0</v>
      </c>
      <c r="AB196" s="9">
        <f t="shared" si="37"/>
        <v>0</v>
      </c>
      <c r="AC196" s="9">
        <f t="shared" si="37"/>
        <v>0</v>
      </c>
      <c r="AD196" s="9">
        <f t="shared" si="37"/>
        <v>0</v>
      </c>
      <c r="AE196" s="9">
        <f t="shared" si="37"/>
        <v>0</v>
      </c>
    </row>
    <row r="197" spans="2:31" x14ac:dyDescent="0.25">
      <c r="B197" s="6">
        <v>0</v>
      </c>
      <c r="C197" s="6">
        <v>0</v>
      </c>
      <c r="D197" s="6">
        <v>0</v>
      </c>
      <c r="E197" s="6">
        <v>0</v>
      </c>
      <c r="F197" s="6">
        <v>0</v>
      </c>
      <c r="L197">
        <f t="shared" si="39"/>
        <v>0</v>
      </c>
      <c r="M197">
        <f t="shared" si="40"/>
        <v>0</v>
      </c>
      <c r="N197">
        <f t="shared" si="41"/>
        <v>0</v>
      </c>
      <c r="O197">
        <f t="shared" si="42"/>
        <v>0</v>
      </c>
      <c r="P197">
        <f t="shared" si="43"/>
        <v>0</v>
      </c>
      <c r="Q197">
        <f t="shared" si="44"/>
        <v>0</v>
      </c>
      <c r="R197">
        <f t="shared" si="45"/>
        <v>0</v>
      </c>
      <c r="S197">
        <f t="shared" si="46"/>
        <v>0</v>
      </c>
      <c r="T197">
        <f t="shared" si="47"/>
        <v>0</v>
      </c>
      <c r="U197">
        <f t="shared" si="48"/>
        <v>0</v>
      </c>
      <c r="V197" s="9">
        <f t="shared" si="38"/>
        <v>0</v>
      </c>
      <c r="W197" s="9">
        <f t="shared" si="38"/>
        <v>0</v>
      </c>
      <c r="X197" s="9">
        <f t="shared" si="38"/>
        <v>0</v>
      </c>
      <c r="Y197" s="9">
        <f t="shared" si="38"/>
        <v>0</v>
      </c>
      <c r="Z197" s="9">
        <f t="shared" si="38"/>
        <v>0</v>
      </c>
      <c r="AA197" s="9">
        <f t="shared" si="37"/>
        <v>0</v>
      </c>
      <c r="AB197" s="9">
        <f t="shared" si="37"/>
        <v>0</v>
      </c>
      <c r="AC197" s="9">
        <f t="shared" si="37"/>
        <v>0</v>
      </c>
      <c r="AD197" s="9">
        <f t="shared" si="37"/>
        <v>0</v>
      </c>
      <c r="AE197" s="9">
        <f t="shared" si="37"/>
        <v>0</v>
      </c>
    </row>
    <row r="198" spans="2:31" x14ac:dyDescent="0.25">
      <c r="B198" s="6">
        <v>0</v>
      </c>
      <c r="C198" s="6">
        <v>0</v>
      </c>
      <c r="D198" s="6">
        <v>0</v>
      </c>
      <c r="E198" s="6">
        <v>0</v>
      </c>
      <c r="F198" s="6">
        <v>0</v>
      </c>
      <c r="L198">
        <f t="shared" si="39"/>
        <v>0</v>
      </c>
      <c r="M198">
        <f t="shared" si="40"/>
        <v>0</v>
      </c>
      <c r="N198">
        <f t="shared" si="41"/>
        <v>0</v>
      </c>
      <c r="O198">
        <f t="shared" si="42"/>
        <v>0</v>
      </c>
      <c r="P198">
        <f t="shared" si="43"/>
        <v>0</v>
      </c>
      <c r="Q198">
        <f t="shared" si="44"/>
        <v>0</v>
      </c>
      <c r="R198">
        <f t="shared" si="45"/>
        <v>0</v>
      </c>
      <c r="S198">
        <f t="shared" si="46"/>
        <v>0</v>
      </c>
      <c r="T198">
        <f t="shared" si="47"/>
        <v>0</v>
      </c>
      <c r="U198">
        <f t="shared" si="48"/>
        <v>0</v>
      </c>
      <c r="V198" s="9">
        <f t="shared" si="38"/>
        <v>0</v>
      </c>
      <c r="W198" s="9">
        <f t="shared" si="38"/>
        <v>0</v>
      </c>
      <c r="X198" s="9">
        <f t="shared" si="38"/>
        <v>0</v>
      </c>
      <c r="Y198" s="9">
        <f t="shared" si="38"/>
        <v>0</v>
      </c>
      <c r="Z198" s="9">
        <f t="shared" si="38"/>
        <v>0</v>
      </c>
      <c r="AA198" s="9">
        <f t="shared" si="37"/>
        <v>0</v>
      </c>
      <c r="AB198" s="9">
        <f t="shared" si="37"/>
        <v>0</v>
      </c>
      <c r="AC198" s="9">
        <f t="shared" si="37"/>
        <v>0</v>
      </c>
      <c r="AD198" s="9">
        <f t="shared" si="37"/>
        <v>0</v>
      </c>
      <c r="AE198" s="9">
        <f t="shared" si="37"/>
        <v>0</v>
      </c>
    </row>
    <row r="199" spans="2:31" x14ac:dyDescent="0.25">
      <c r="B199" s="6">
        <v>0</v>
      </c>
      <c r="C199" s="6">
        <v>0</v>
      </c>
      <c r="D199" s="6">
        <v>0</v>
      </c>
      <c r="E199" s="6">
        <v>0</v>
      </c>
      <c r="F199" s="6">
        <v>0</v>
      </c>
      <c r="L199">
        <f t="shared" si="39"/>
        <v>0</v>
      </c>
      <c r="M199">
        <f t="shared" si="40"/>
        <v>0</v>
      </c>
      <c r="N199">
        <f t="shared" si="41"/>
        <v>0</v>
      </c>
      <c r="O199">
        <f t="shared" si="42"/>
        <v>0</v>
      </c>
      <c r="P199">
        <f t="shared" si="43"/>
        <v>0</v>
      </c>
      <c r="Q199">
        <f t="shared" si="44"/>
        <v>0</v>
      </c>
      <c r="R199">
        <f t="shared" si="45"/>
        <v>0</v>
      </c>
      <c r="S199">
        <f t="shared" si="46"/>
        <v>0</v>
      </c>
      <c r="T199">
        <f t="shared" si="47"/>
        <v>0</v>
      </c>
      <c r="U199">
        <f t="shared" si="48"/>
        <v>0</v>
      </c>
      <c r="V199" s="9">
        <f t="shared" si="38"/>
        <v>0</v>
      </c>
      <c r="W199" s="9">
        <f t="shared" si="38"/>
        <v>0</v>
      </c>
      <c r="X199" s="9">
        <f t="shared" si="38"/>
        <v>0</v>
      </c>
      <c r="Y199" s="9">
        <f t="shared" si="38"/>
        <v>0</v>
      </c>
      <c r="Z199" s="9">
        <f t="shared" si="38"/>
        <v>0</v>
      </c>
      <c r="AA199" s="9">
        <f t="shared" si="37"/>
        <v>0</v>
      </c>
      <c r="AB199" s="9">
        <f t="shared" si="37"/>
        <v>0</v>
      </c>
      <c r="AC199" s="9">
        <f t="shared" si="37"/>
        <v>0</v>
      </c>
      <c r="AD199" s="9">
        <f t="shared" si="37"/>
        <v>0</v>
      </c>
      <c r="AE199" s="9">
        <f t="shared" si="37"/>
        <v>0</v>
      </c>
    </row>
    <row r="200" spans="2:31" x14ac:dyDescent="0.25">
      <c r="B200" s="6">
        <v>0</v>
      </c>
      <c r="C200" s="6">
        <v>0</v>
      </c>
      <c r="D200" s="6">
        <v>0</v>
      </c>
      <c r="E200" s="6">
        <v>0</v>
      </c>
      <c r="F200" s="6">
        <v>0</v>
      </c>
      <c r="L200">
        <f t="shared" si="39"/>
        <v>0</v>
      </c>
      <c r="M200">
        <f t="shared" si="40"/>
        <v>0</v>
      </c>
      <c r="N200">
        <f t="shared" si="41"/>
        <v>0</v>
      </c>
      <c r="O200">
        <f t="shared" si="42"/>
        <v>0</v>
      </c>
      <c r="P200">
        <f t="shared" si="43"/>
        <v>0</v>
      </c>
      <c r="Q200">
        <f t="shared" si="44"/>
        <v>0</v>
      </c>
      <c r="R200">
        <f t="shared" si="45"/>
        <v>0</v>
      </c>
      <c r="S200">
        <f t="shared" si="46"/>
        <v>0</v>
      </c>
      <c r="T200">
        <f t="shared" si="47"/>
        <v>0</v>
      </c>
      <c r="U200">
        <f t="shared" si="48"/>
        <v>0</v>
      </c>
      <c r="V200" s="9">
        <f t="shared" si="38"/>
        <v>0</v>
      </c>
      <c r="W200" s="9">
        <f t="shared" si="38"/>
        <v>0</v>
      </c>
      <c r="X200" s="9">
        <f t="shared" si="38"/>
        <v>0</v>
      </c>
      <c r="Y200" s="9">
        <f t="shared" si="38"/>
        <v>0</v>
      </c>
      <c r="Z200" s="9">
        <f t="shared" si="38"/>
        <v>0</v>
      </c>
      <c r="AA200" s="9">
        <f t="shared" si="37"/>
        <v>0</v>
      </c>
      <c r="AB200" s="9">
        <f t="shared" si="37"/>
        <v>0</v>
      </c>
      <c r="AC200" s="9">
        <f t="shared" si="37"/>
        <v>0</v>
      </c>
      <c r="AD200" s="9">
        <f t="shared" si="37"/>
        <v>0</v>
      </c>
      <c r="AE200" s="9">
        <f t="shared" si="37"/>
        <v>0</v>
      </c>
    </row>
    <row r="201" spans="2:31" x14ac:dyDescent="0.25">
      <c r="B201" s="6">
        <v>0</v>
      </c>
      <c r="C201" s="6">
        <v>0</v>
      </c>
      <c r="D201" s="6">
        <v>0</v>
      </c>
      <c r="E201" s="6">
        <v>0</v>
      </c>
      <c r="F201" s="6">
        <v>0</v>
      </c>
      <c r="L201">
        <f t="shared" si="39"/>
        <v>0</v>
      </c>
      <c r="M201">
        <f t="shared" si="40"/>
        <v>0</v>
      </c>
      <c r="N201">
        <f t="shared" si="41"/>
        <v>0</v>
      </c>
      <c r="O201">
        <f t="shared" si="42"/>
        <v>0</v>
      </c>
      <c r="P201">
        <f t="shared" si="43"/>
        <v>0</v>
      </c>
      <c r="Q201">
        <f t="shared" si="44"/>
        <v>0</v>
      </c>
      <c r="R201">
        <f t="shared" si="45"/>
        <v>0</v>
      </c>
      <c r="S201">
        <f t="shared" si="46"/>
        <v>0</v>
      </c>
      <c r="T201">
        <f t="shared" si="47"/>
        <v>0</v>
      </c>
      <c r="U201">
        <f t="shared" si="48"/>
        <v>0</v>
      </c>
      <c r="V201" s="9">
        <f t="shared" si="38"/>
        <v>0</v>
      </c>
      <c r="W201" s="9">
        <f t="shared" si="38"/>
        <v>0</v>
      </c>
      <c r="X201" s="9">
        <f t="shared" si="38"/>
        <v>0</v>
      </c>
      <c r="Y201" s="9">
        <f t="shared" si="38"/>
        <v>0</v>
      </c>
      <c r="Z201" s="9">
        <f t="shared" si="38"/>
        <v>0</v>
      </c>
      <c r="AA201" s="9">
        <f t="shared" si="37"/>
        <v>0</v>
      </c>
      <c r="AB201" s="9">
        <f t="shared" si="37"/>
        <v>0</v>
      </c>
      <c r="AC201" s="9">
        <f t="shared" si="37"/>
        <v>0</v>
      </c>
      <c r="AD201" s="9">
        <f t="shared" si="37"/>
        <v>0</v>
      </c>
      <c r="AE201" s="9">
        <f t="shared" si="37"/>
        <v>0</v>
      </c>
    </row>
    <row r="202" spans="2:31" x14ac:dyDescent="0.25">
      <c r="B202" s="6">
        <v>0</v>
      </c>
      <c r="C202" s="6">
        <v>0</v>
      </c>
      <c r="D202" s="6">
        <v>0</v>
      </c>
      <c r="E202" s="6">
        <v>0</v>
      </c>
      <c r="F202" s="6">
        <v>0</v>
      </c>
      <c r="L202">
        <f t="shared" si="39"/>
        <v>0</v>
      </c>
      <c r="M202">
        <f t="shared" si="40"/>
        <v>0</v>
      </c>
      <c r="N202">
        <f t="shared" si="41"/>
        <v>0</v>
      </c>
      <c r="O202">
        <f t="shared" si="42"/>
        <v>0</v>
      </c>
      <c r="P202">
        <f t="shared" si="43"/>
        <v>0</v>
      </c>
      <c r="Q202">
        <f t="shared" si="44"/>
        <v>0</v>
      </c>
      <c r="R202">
        <f t="shared" si="45"/>
        <v>0</v>
      </c>
      <c r="S202">
        <f t="shared" si="46"/>
        <v>0</v>
      </c>
      <c r="T202">
        <f t="shared" si="47"/>
        <v>0</v>
      </c>
      <c r="U202">
        <f t="shared" si="48"/>
        <v>0</v>
      </c>
      <c r="V202" s="9">
        <f t="shared" si="38"/>
        <v>0</v>
      </c>
      <c r="W202" s="9">
        <f t="shared" si="38"/>
        <v>0</v>
      </c>
      <c r="X202" s="9">
        <f t="shared" si="38"/>
        <v>0</v>
      </c>
      <c r="Y202" s="9">
        <f t="shared" si="38"/>
        <v>0</v>
      </c>
      <c r="Z202" s="9">
        <f t="shared" si="38"/>
        <v>0</v>
      </c>
      <c r="AA202" s="9">
        <f t="shared" si="37"/>
        <v>0</v>
      </c>
      <c r="AB202" s="9">
        <f t="shared" si="37"/>
        <v>0</v>
      </c>
      <c r="AC202" s="9">
        <f t="shared" si="37"/>
        <v>0</v>
      </c>
      <c r="AD202" s="9">
        <f t="shared" si="37"/>
        <v>0</v>
      </c>
      <c r="AE202" s="9">
        <f t="shared" si="37"/>
        <v>0</v>
      </c>
    </row>
    <row r="203" spans="2:31" x14ac:dyDescent="0.25">
      <c r="B203" s="6">
        <v>0</v>
      </c>
      <c r="C203" s="6">
        <v>0</v>
      </c>
      <c r="D203" s="6">
        <v>0</v>
      </c>
      <c r="E203" s="6">
        <v>0</v>
      </c>
      <c r="F203" s="6">
        <v>0</v>
      </c>
      <c r="L203">
        <f t="shared" si="39"/>
        <v>0</v>
      </c>
      <c r="M203">
        <f t="shared" si="40"/>
        <v>0</v>
      </c>
      <c r="N203">
        <f t="shared" si="41"/>
        <v>0</v>
      </c>
      <c r="O203">
        <f t="shared" si="42"/>
        <v>0</v>
      </c>
      <c r="P203">
        <f t="shared" si="43"/>
        <v>0</v>
      </c>
      <c r="Q203">
        <f t="shared" si="44"/>
        <v>0</v>
      </c>
      <c r="R203">
        <f t="shared" si="45"/>
        <v>0</v>
      </c>
      <c r="S203">
        <f t="shared" si="46"/>
        <v>0</v>
      </c>
      <c r="T203">
        <f t="shared" si="47"/>
        <v>0</v>
      </c>
      <c r="U203">
        <f t="shared" si="48"/>
        <v>0</v>
      </c>
      <c r="V203" s="9">
        <f t="shared" si="38"/>
        <v>0</v>
      </c>
      <c r="W203" s="9">
        <f t="shared" si="38"/>
        <v>0</v>
      </c>
      <c r="X203" s="9">
        <f t="shared" si="38"/>
        <v>0</v>
      </c>
      <c r="Y203" s="9">
        <f t="shared" si="38"/>
        <v>0</v>
      </c>
      <c r="Z203" s="9">
        <f t="shared" si="38"/>
        <v>0</v>
      </c>
      <c r="AA203" s="9">
        <f t="shared" si="37"/>
        <v>0</v>
      </c>
      <c r="AB203" s="9">
        <f t="shared" si="37"/>
        <v>0</v>
      </c>
      <c r="AC203" s="9">
        <f t="shared" si="37"/>
        <v>0</v>
      </c>
      <c r="AD203" s="9">
        <f t="shared" si="37"/>
        <v>0</v>
      </c>
      <c r="AE203" s="9">
        <f t="shared" si="37"/>
        <v>0</v>
      </c>
    </row>
    <row r="204" spans="2:31" x14ac:dyDescent="0.25">
      <c r="B204" s="6">
        <v>0</v>
      </c>
      <c r="C204" s="6">
        <v>0</v>
      </c>
      <c r="D204" s="6">
        <v>0</v>
      </c>
      <c r="E204" s="6">
        <v>0</v>
      </c>
      <c r="F204" s="6">
        <v>0</v>
      </c>
      <c r="L204">
        <f t="shared" si="39"/>
        <v>0</v>
      </c>
      <c r="M204">
        <f t="shared" si="40"/>
        <v>0</v>
      </c>
      <c r="N204">
        <f t="shared" si="41"/>
        <v>0</v>
      </c>
      <c r="O204">
        <f t="shared" si="42"/>
        <v>0</v>
      </c>
      <c r="P204">
        <f t="shared" si="43"/>
        <v>0</v>
      </c>
      <c r="Q204">
        <f t="shared" si="44"/>
        <v>0</v>
      </c>
      <c r="R204">
        <f t="shared" si="45"/>
        <v>0</v>
      </c>
      <c r="S204">
        <f t="shared" si="46"/>
        <v>0</v>
      </c>
      <c r="T204">
        <f t="shared" si="47"/>
        <v>0</v>
      </c>
      <c r="U204">
        <f t="shared" si="48"/>
        <v>0</v>
      </c>
      <c r="V204" s="9">
        <f t="shared" si="38"/>
        <v>0</v>
      </c>
      <c r="W204" s="9">
        <f t="shared" si="38"/>
        <v>0</v>
      </c>
      <c r="X204" s="9">
        <f t="shared" si="38"/>
        <v>0</v>
      </c>
      <c r="Y204" s="9">
        <f t="shared" si="38"/>
        <v>0</v>
      </c>
      <c r="Z204" s="9">
        <f t="shared" si="38"/>
        <v>0</v>
      </c>
      <c r="AA204" s="9">
        <f t="shared" si="37"/>
        <v>0</v>
      </c>
      <c r="AB204" s="9">
        <f t="shared" si="37"/>
        <v>0</v>
      </c>
      <c r="AC204" s="9">
        <f t="shared" si="37"/>
        <v>0</v>
      </c>
      <c r="AD204" s="9">
        <f t="shared" si="37"/>
        <v>0</v>
      </c>
      <c r="AE204" s="9">
        <f t="shared" si="37"/>
        <v>0</v>
      </c>
    </row>
    <row r="205" spans="2:31" x14ac:dyDescent="0.25">
      <c r="B205" s="6">
        <v>0</v>
      </c>
      <c r="C205" s="6">
        <v>0</v>
      </c>
      <c r="D205" s="6">
        <v>0</v>
      </c>
      <c r="E205" s="6">
        <v>0</v>
      </c>
      <c r="F205" s="6">
        <v>0</v>
      </c>
      <c r="L205">
        <f t="shared" si="39"/>
        <v>0</v>
      </c>
      <c r="M205">
        <f t="shared" si="40"/>
        <v>0</v>
      </c>
      <c r="N205">
        <f t="shared" si="41"/>
        <v>0</v>
      </c>
      <c r="O205">
        <f t="shared" si="42"/>
        <v>0</v>
      </c>
      <c r="P205">
        <f t="shared" si="43"/>
        <v>0</v>
      </c>
      <c r="Q205">
        <f t="shared" si="44"/>
        <v>0</v>
      </c>
      <c r="R205">
        <f t="shared" si="45"/>
        <v>0</v>
      </c>
      <c r="S205">
        <f t="shared" si="46"/>
        <v>0</v>
      </c>
      <c r="T205">
        <f t="shared" si="47"/>
        <v>0</v>
      </c>
      <c r="U205">
        <f t="shared" si="48"/>
        <v>0</v>
      </c>
      <c r="V205" s="9">
        <f t="shared" si="38"/>
        <v>0</v>
      </c>
      <c r="W205" s="9">
        <f t="shared" si="38"/>
        <v>0</v>
      </c>
      <c r="X205" s="9">
        <f t="shared" si="38"/>
        <v>0</v>
      </c>
      <c r="Y205" s="9">
        <f t="shared" si="38"/>
        <v>0</v>
      </c>
      <c r="Z205" s="9">
        <f t="shared" si="38"/>
        <v>0</v>
      </c>
      <c r="AA205" s="9">
        <f t="shared" si="37"/>
        <v>0</v>
      </c>
      <c r="AB205" s="9">
        <f t="shared" si="37"/>
        <v>0</v>
      </c>
      <c r="AC205" s="9">
        <f t="shared" si="37"/>
        <v>0</v>
      </c>
      <c r="AD205" s="9">
        <f t="shared" si="37"/>
        <v>0</v>
      </c>
      <c r="AE205" s="9">
        <f t="shared" si="37"/>
        <v>0</v>
      </c>
    </row>
    <row r="206" spans="2:31" x14ac:dyDescent="0.25">
      <c r="B206" s="6">
        <v>0</v>
      </c>
      <c r="C206" s="6">
        <v>0</v>
      </c>
      <c r="D206" s="6">
        <v>0</v>
      </c>
      <c r="E206" s="6">
        <v>0</v>
      </c>
      <c r="F206" s="6">
        <v>0</v>
      </c>
      <c r="L206">
        <f t="shared" si="39"/>
        <v>0</v>
      </c>
      <c r="M206">
        <f t="shared" si="40"/>
        <v>0</v>
      </c>
      <c r="N206">
        <f t="shared" si="41"/>
        <v>0</v>
      </c>
      <c r="O206">
        <f t="shared" si="42"/>
        <v>0</v>
      </c>
      <c r="P206">
        <f t="shared" si="43"/>
        <v>0</v>
      </c>
      <c r="Q206">
        <f t="shared" si="44"/>
        <v>0</v>
      </c>
      <c r="R206">
        <f t="shared" si="45"/>
        <v>0</v>
      </c>
      <c r="S206">
        <f t="shared" si="46"/>
        <v>0</v>
      </c>
      <c r="T206">
        <f t="shared" si="47"/>
        <v>0</v>
      </c>
      <c r="U206">
        <f t="shared" si="48"/>
        <v>0</v>
      </c>
      <c r="V206" s="9">
        <f t="shared" si="38"/>
        <v>0</v>
      </c>
      <c r="W206" s="9">
        <f t="shared" si="38"/>
        <v>0</v>
      </c>
      <c r="X206" s="9">
        <f t="shared" si="38"/>
        <v>0</v>
      </c>
      <c r="Y206" s="9">
        <f t="shared" si="38"/>
        <v>0</v>
      </c>
      <c r="Z206" s="9">
        <f t="shared" si="38"/>
        <v>0</v>
      </c>
      <c r="AA206" s="9">
        <f t="shared" si="37"/>
        <v>0</v>
      </c>
      <c r="AB206" s="9">
        <f t="shared" si="37"/>
        <v>0</v>
      </c>
      <c r="AC206" s="9">
        <f t="shared" si="37"/>
        <v>0</v>
      </c>
      <c r="AD206" s="9">
        <f t="shared" si="37"/>
        <v>0</v>
      </c>
      <c r="AE206" s="9">
        <f t="shared" si="37"/>
        <v>0</v>
      </c>
    </row>
    <row r="207" spans="2:31" x14ac:dyDescent="0.25">
      <c r="B207" s="6">
        <v>0</v>
      </c>
      <c r="C207" s="6">
        <v>0</v>
      </c>
      <c r="D207" s="6">
        <v>0</v>
      </c>
      <c r="E207" s="6">
        <v>0</v>
      </c>
      <c r="F207" s="6">
        <v>0</v>
      </c>
      <c r="L207">
        <f t="shared" si="39"/>
        <v>0</v>
      </c>
      <c r="M207">
        <f t="shared" si="40"/>
        <v>0</v>
      </c>
      <c r="N207">
        <f t="shared" si="41"/>
        <v>0</v>
      </c>
      <c r="O207">
        <f t="shared" si="42"/>
        <v>0</v>
      </c>
      <c r="P207">
        <f t="shared" si="43"/>
        <v>0</v>
      </c>
      <c r="Q207">
        <f t="shared" si="44"/>
        <v>0</v>
      </c>
      <c r="R207">
        <f t="shared" si="45"/>
        <v>0</v>
      </c>
      <c r="S207">
        <f t="shared" si="46"/>
        <v>0</v>
      </c>
      <c r="T207">
        <f t="shared" si="47"/>
        <v>0</v>
      </c>
      <c r="U207">
        <f t="shared" si="48"/>
        <v>0</v>
      </c>
      <c r="V207" s="9">
        <f t="shared" si="38"/>
        <v>0</v>
      </c>
      <c r="W207" s="9">
        <f t="shared" si="38"/>
        <v>0</v>
      </c>
      <c r="X207" s="9">
        <f t="shared" si="38"/>
        <v>0</v>
      </c>
      <c r="Y207" s="9">
        <f t="shared" si="38"/>
        <v>0</v>
      </c>
      <c r="Z207" s="9">
        <f t="shared" si="38"/>
        <v>0</v>
      </c>
      <c r="AA207" s="9">
        <f t="shared" si="37"/>
        <v>0</v>
      </c>
      <c r="AB207" s="9">
        <f t="shared" si="37"/>
        <v>0</v>
      </c>
      <c r="AC207" s="9">
        <f t="shared" si="37"/>
        <v>0</v>
      </c>
      <c r="AD207" s="9">
        <f t="shared" si="37"/>
        <v>0</v>
      </c>
      <c r="AE207" s="9">
        <f t="shared" si="37"/>
        <v>0</v>
      </c>
    </row>
    <row r="208" spans="2:31" x14ac:dyDescent="0.25">
      <c r="B208" s="6">
        <v>0</v>
      </c>
      <c r="C208" s="6">
        <v>0</v>
      </c>
      <c r="D208" s="6">
        <v>0</v>
      </c>
      <c r="E208" s="6">
        <v>0</v>
      </c>
      <c r="F208" s="6">
        <v>0</v>
      </c>
      <c r="L208">
        <f t="shared" si="39"/>
        <v>0</v>
      </c>
      <c r="M208">
        <f t="shared" si="40"/>
        <v>0</v>
      </c>
      <c r="N208">
        <f t="shared" si="41"/>
        <v>0</v>
      </c>
      <c r="O208">
        <f t="shared" si="42"/>
        <v>0</v>
      </c>
      <c r="P208">
        <f t="shared" si="43"/>
        <v>0</v>
      </c>
      <c r="Q208">
        <f t="shared" si="44"/>
        <v>0</v>
      </c>
      <c r="R208">
        <f t="shared" si="45"/>
        <v>0</v>
      </c>
      <c r="S208">
        <f t="shared" si="46"/>
        <v>0</v>
      </c>
      <c r="T208">
        <f t="shared" si="47"/>
        <v>0</v>
      </c>
      <c r="U208">
        <f t="shared" si="48"/>
        <v>0</v>
      </c>
      <c r="V208" s="9">
        <f t="shared" si="38"/>
        <v>0</v>
      </c>
      <c r="W208" s="9">
        <f t="shared" si="38"/>
        <v>0</v>
      </c>
      <c r="X208" s="9">
        <f t="shared" si="38"/>
        <v>0</v>
      </c>
      <c r="Y208" s="9">
        <f t="shared" si="38"/>
        <v>0</v>
      </c>
      <c r="Z208" s="9">
        <f t="shared" si="38"/>
        <v>0</v>
      </c>
      <c r="AA208" s="9">
        <f t="shared" si="37"/>
        <v>0</v>
      </c>
      <c r="AB208" s="9">
        <f t="shared" si="37"/>
        <v>0</v>
      </c>
      <c r="AC208" s="9">
        <f t="shared" si="37"/>
        <v>0</v>
      </c>
      <c r="AD208" s="9">
        <f t="shared" si="37"/>
        <v>0</v>
      </c>
      <c r="AE208" s="9">
        <f t="shared" si="37"/>
        <v>0</v>
      </c>
    </row>
    <row r="209" spans="2:31" x14ac:dyDescent="0.25">
      <c r="B209" s="6">
        <v>0</v>
      </c>
      <c r="C209" s="6">
        <v>0</v>
      </c>
      <c r="D209" s="6">
        <v>0</v>
      </c>
      <c r="E209" s="6">
        <v>0</v>
      </c>
      <c r="F209" s="6">
        <v>0</v>
      </c>
      <c r="L209">
        <f t="shared" si="39"/>
        <v>0</v>
      </c>
      <c r="M209">
        <f t="shared" si="40"/>
        <v>0</v>
      </c>
      <c r="N209">
        <f t="shared" si="41"/>
        <v>0</v>
      </c>
      <c r="O209">
        <f t="shared" si="42"/>
        <v>0</v>
      </c>
      <c r="P209">
        <f t="shared" si="43"/>
        <v>0</v>
      </c>
      <c r="Q209">
        <f t="shared" si="44"/>
        <v>0</v>
      </c>
      <c r="R209">
        <f t="shared" si="45"/>
        <v>0</v>
      </c>
      <c r="S209">
        <f t="shared" si="46"/>
        <v>0</v>
      </c>
      <c r="T209">
        <f t="shared" si="47"/>
        <v>0</v>
      </c>
      <c r="U209">
        <f t="shared" si="48"/>
        <v>0</v>
      </c>
      <c r="V209" s="9">
        <f t="shared" si="38"/>
        <v>0</v>
      </c>
      <c r="W209" s="9">
        <f t="shared" si="38"/>
        <v>0</v>
      </c>
      <c r="X209" s="9">
        <f t="shared" si="38"/>
        <v>0</v>
      </c>
      <c r="Y209" s="9">
        <f t="shared" si="38"/>
        <v>0</v>
      </c>
      <c r="Z209" s="9">
        <f t="shared" si="38"/>
        <v>0</v>
      </c>
      <c r="AA209" s="9">
        <f t="shared" si="37"/>
        <v>0</v>
      </c>
      <c r="AB209" s="9">
        <f t="shared" si="37"/>
        <v>0</v>
      </c>
      <c r="AC209" s="9">
        <f t="shared" si="37"/>
        <v>0</v>
      </c>
      <c r="AD209" s="9">
        <f t="shared" si="37"/>
        <v>0</v>
      </c>
      <c r="AE209" s="9">
        <f t="shared" si="37"/>
        <v>0</v>
      </c>
    </row>
    <row r="210" spans="2:31" x14ac:dyDescent="0.25">
      <c r="B210" s="6">
        <v>0</v>
      </c>
      <c r="C210" s="6">
        <v>0</v>
      </c>
      <c r="D210" s="6">
        <v>0</v>
      </c>
      <c r="E210" s="6">
        <v>0</v>
      </c>
      <c r="F210" s="6">
        <v>0</v>
      </c>
      <c r="L210">
        <f t="shared" si="39"/>
        <v>0</v>
      </c>
      <c r="M210">
        <f t="shared" si="40"/>
        <v>0</v>
      </c>
      <c r="N210">
        <f t="shared" si="41"/>
        <v>0</v>
      </c>
      <c r="O210">
        <f t="shared" si="42"/>
        <v>0</v>
      </c>
      <c r="P210">
        <f t="shared" si="43"/>
        <v>0</v>
      </c>
      <c r="Q210">
        <f t="shared" si="44"/>
        <v>0</v>
      </c>
      <c r="R210">
        <f t="shared" si="45"/>
        <v>0</v>
      </c>
      <c r="S210">
        <f t="shared" si="46"/>
        <v>0</v>
      </c>
      <c r="T210">
        <f t="shared" si="47"/>
        <v>0</v>
      </c>
      <c r="U210">
        <f t="shared" si="48"/>
        <v>0</v>
      </c>
      <c r="V210" s="9">
        <f t="shared" si="38"/>
        <v>0</v>
      </c>
      <c r="W210" s="9">
        <f t="shared" si="38"/>
        <v>0</v>
      </c>
      <c r="X210" s="9">
        <f t="shared" si="38"/>
        <v>0</v>
      </c>
      <c r="Y210" s="9">
        <f t="shared" si="38"/>
        <v>0</v>
      </c>
      <c r="Z210" s="9">
        <f t="shared" si="38"/>
        <v>0</v>
      </c>
      <c r="AA210" s="9">
        <f t="shared" si="37"/>
        <v>0</v>
      </c>
      <c r="AB210" s="9">
        <f t="shared" si="37"/>
        <v>0</v>
      </c>
      <c r="AC210" s="9">
        <f t="shared" si="37"/>
        <v>0</v>
      </c>
      <c r="AD210" s="9">
        <f t="shared" si="37"/>
        <v>0</v>
      </c>
      <c r="AE210" s="9">
        <f t="shared" si="37"/>
        <v>0</v>
      </c>
    </row>
    <row r="211" spans="2:31" x14ac:dyDescent="0.25">
      <c r="B211" s="6">
        <v>0</v>
      </c>
      <c r="C211" s="6">
        <v>0</v>
      </c>
      <c r="D211" s="6">
        <v>0</v>
      </c>
      <c r="E211" s="6">
        <v>0</v>
      </c>
      <c r="F211" s="6">
        <v>0</v>
      </c>
      <c r="L211">
        <f t="shared" si="39"/>
        <v>0</v>
      </c>
      <c r="M211">
        <f t="shared" si="40"/>
        <v>0</v>
      </c>
      <c r="N211">
        <f t="shared" si="41"/>
        <v>0</v>
      </c>
      <c r="O211">
        <f t="shared" si="42"/>
        <v>0</v>
      </c>
      <c r="P211">
        <f t="shared" si="43"/>
        <v>0</v>
      </c>
      <c r="Q211">
        <f t="shared" si="44"/>
        <v>0</v>
      </c>
      <c r="R211">
        <f t="shared" si="45"/>
        <v>0</v>
      </c>
      <c r="S211">
        <f t="shared" si="46"/>
        <v>0</v>
      </c>
      <c r="T211">
        <f t="shared" si="47"/>
        <v>0</v>
      </c>
      <c r="U211">
        <f t="shared" si="48"/>
        <v>0</v>
      </c>
      <c r="V211" s="9">
        <f t="shared" si="38"/>
        <v>0</v>
      </c>
      <c r="W211" s="9">
        <f t="shared" si="38"/>
        <v>0</v>
      </c>
      <c r="X211" s="9">
        <f t="shared" si="38"/>
        <v>0</v>
      </c>
      <c r="Y211" s="9">
        <f t="shared" si="38"/>
        <v>0</v>
      </c>
      <c r="Z211" s="9">
        <f t="shared" si="38"/>
        <v>0</v>
      </c>
      <c r="AA211" s="9">
        <f t="shared" si="37"/>
        <v>0</v>
      </c>
      <c r="AB211" s="9">
        <f t="shared" si="37"/>
        <v>0</v>
      </c>
      <c r="AC211" s="9">
        <f t="shared" si="37"/>
        <v>0</v>
      </c>
      <c r="AD211" s="9">
        <f t="shared" si="37"/>
        <v>0</v>
      </c>
      <c r="AE211" s="9">
        <f t="shared" si="37"/>
        <v>0</v>
      </c>
    </row>
    <row r="212" spans="2:31" x14ac:dyDescent="0.25">
      <c r="B212" s="6">
        <v>0</v>
      </c>
      <c r="C212" s="6">
        <v>0</v>
      </c>
      <c r="D212" s="6">
        <v>0</v>
      </c>
      <c r="E212" s="6">
        <v>0</v>
      </c>
      <c r="F212" s="6">
        <v>0</v>
      </c>
      <c r="L212">
        <f t="shared" si="39"/>
        <v>0</v>
      </c>
      <c r="M212">
        <f t="shared" si="40"/>
        <v>0</v>
      </c>
      <c r="N212">
        <f t="shared" si="41"/>
        <v>0</v>
      </c>
      <c r="O212">
        <f t="shared" si="42"/>
        <v>0</v>
      </c>
      <c r="P212">
        <f t="shared" si="43"/>
        <v>0</v>
      </c>
      <c r="Q212">
        <f t="shared" si="44"/>
        <v>0</v>
      </c>
      <c r="R212">
        <f t="shared" si="45"/>
        <v>0</v>
      </c>
      <c r="S212">
        <f t="shared" si="46"/>
        <v>0</v>
      </c>
      <c r="T212">
        <f t="shared" si="47"/>
        <v>0</v>
      </c>
      <c r="U212">
        <f t="shared" si="48"/>
        <v>0</v>
      </c>
      <c r="V212" s="9">
        <f t="shared" si="38"/>
        <v>0</v>
      </c>
      <c r="W212" s="9">
        <f t="shared" si="38"/>
        <v>0</v>
      </c>
      <c r="X212" s="9">
        <f t="shared" si="38"/>
        <v>0</v>
      </c>
      <c r="Y212" s="9">
        <f t="shared" si="38"/>
        <v>0</v>
      </c>
      <c r="Z212" s="9">
        <f t="shared" si="38"/>
        <v>0</v>
      </c>
      <c r="AA212" s="9">
        <f t="shared" si="37"/>
        <v>0</v>
      </c>
      <c r="AB212" s="9">
        <f t="shared" si="37"/>
        <v>0</v>
      </c>
      <c r="AC212" s="9">
        <f t="shared" si="37"/>
        <v>0</v>
      </c>
      <c r="AD212" s="9">
        <f t="shared" si="37"/>
        <v>0</v>
      </c>
      <c r="AE212" s="9">
        <f t="shared" si="37"/>
        <v>0</v>
      </c>
    </row>
    <row r="213" spans="2:31" x14ac:dyDescent="0.25">
      <c r="B213" s="6">
        <v>0</v>
      </c>
      <c r="C213" s="6">
        <v>0</v>
      </c>
      <c r="D213" s="6">
        <v>0</v>
      </c>
      <c r="E213" s="6">
        <v>0</v>
      </c>
      <c r="F213" s="6">
        <v>0</v>
      </c>
      <c r="L213">
        <f t="shared" si="39"/>
        <v>0</v>
      </c>
      <c r="M213">
        <f t="shared" si="40"/>
        <v>0</v>
      </c>
      <c r="N213">
        <f t="shared" si="41"/>
        <v>0</v>
      </c>
      <c r="O213">
        <f t="shared" si="42"/>
        <v>0</v>
      </c>
      <c r="P213">
        <f t="shared" si="43"/>
        <v>0</v>
      </c>
      <c r="Q213">
        <f t="shared" si="44"/>
        <v>0</v>
      </c>
      <c r="R213">
        <f t="shared" si="45"/>
        <v>0</v>
      </c>
      <c r="S213">
        <f t="shared" si="46"/>
        <v>0</v>
      </c>
      <c r="T213">
        <f t="shared" si="47"/>
        <v>0</v>
      </c>
      <c r="U213">
        <f t="shared" si="48"/>
        <v>0</v>
      </c>
      <c r="V213" s="9">
        <f t="shared" si="38"/>
        <v>0</v>
      </c>
      <c r="W213" s="9">
        <f t="shared" si="38"/>
        <v>0</v>
      </c>
      <c r="X213" s="9">
        <f t="shared" si="38"/>
        <v>0</v>
      </c>
      <c r="Y213" s="9">
        <f t="shared" si="38"/>
        <v>0</v>
      </c>
      <c r="Z213" s="9">
        <f t="shared" si="38"/>
        <v>0</v>
      </c>
      <c r="AA213" s="9">
        <f t="shared" si="37"/>
        <v>0</v>
      </c>
      <c r="AB213" s="9">
        <f t="shared" si="37"/>
        <v>0</v>
      </c>
      <c r="AC213" s="9">
        <f t="shared" si="37"/>
        <v>0</v>
      </c>
      <c r="AD213" s="9">
        <f t="shared" si="37"/>
        <v>0</v>
      </c>
      <c r="AE213" s="9">
        <f t="shared" si="37"/>
        <v>0</v>
      </c>
    </row>
    <row r="214" spans="2:31" x14ac:dyDescent="0.25">
      <c r="B214" s="6">
        <v>0</v>
      </c>
      <c r="C214" s="6">
        <v>0</v>
      </c>
      <c r="D214" s="6">
        <v>0</v>
      </c>
      <c r="E214" s="6">
        <v>0</v>
      </c>
      <c r="F214" s="6">
        <v>0</v>
      </c>
      <c r="L214">
        <f t="shared" si="39"/>
        <v>0</v>
      </c>
      <c r="M214">
        <f t="shared" si="40"/>
        <v>0</v>
      </c>
      <c r="N214">
        <f t="shared" si="41"/>
        <v>0</v>
      </c>
      <c r="O214">
        <f t="shared" si="42"/>
        <v>0</v>
      </c>
      <c r="P214">
        <f t="shared" si="43"/>
        <v>0</v>
      </c>
      <c r="Q214">
        <f t="shared" si="44"/>
        <v>0</v>
      </c>
      <c r="R214">
        <f t="shared" si="45"/>
        <v>0</v>
      </c>
      <c r="S214">
        <f t="shared" si="46"/>
        <v>0</v>
      </c>
      <c r="T214">
        <f t="shared" si="47"/>
        <v>0</v>
      </c>
      <c r="U214">
        <f t="shared" si="48"/>
        <v>0</v>
      </c>
      <c r="V214" s="9">
        <f t="shared" si="38"/>
        <v>0</v>
      </c>
      <c r="W214" s="9">
        <f t="shared" si="38"/>
        <v>0</v>
      </c>
      <c r="X214" s="9">
        <f t="shared" si="38"/>
        <v>0</v>
      </c>
      <c r="Y214" s="9">
        <f t="shared" si="38"/>
        <v>0</v>
      </c>
      <c r="Z214" s="9">
        <f t="shared" si="38"/>
        <v>0</v>
      </c>
      <c r="AA214" s="9">
        <f t="shared" si="37"/>
        <v>0</v>
      </c>
      <c r="AB214" s="9">
        <f t="shared" si="37"/>
        <v>0</v>
      </c>
      <c r="AC214" s="9">
        <f t="shared" si="37"/>
        <v>0</v>
      </c>
      <c r="AD214" s="9">
        <f t="shared" si="37"/>
        <v>0</v>
      </c>
      <c r="AE214" s="9">
        <f t="shared" si="37"/>
        <v>0</v>
      </c>
    </row>
    <row r="215" spans="2:31" x14ac:dyDescent="0.25">
      <c r="B215" s="6">
        <v>0</v>
      </c>
      <c r="C215" s="6">
        <v>0</v>
      </c>
      <c r="D215" s="6">
        <v>0</v>
      </c>
      <c r="E215" s="6">
        <v>0</v>
      </c>
      <c r="F215" s="6">
        <v>0</v>
      </c>
      <c r="L215">
        <f t="shared" si="39"/>
        <v>0</v>
      </c>
      <c r="M215">
        <f t="shared" si="40"/>
        <v>0</v>
      </c>
      <c r="N215">
        <f t="shared" si="41"/>
        <v>0</v>
      </c>
      <c r="O215">
        <f t="shared" si="42"/>
        <v>0</v>
      </c>
      <c r="P215">
        <f t="shared" si="43"/>
        <v>0</v>
      </c>
      <c r="Q215">
        <f t="shared" si="44"/>
        <v>0</v>
      </c>
      <c r="R215">
        <f t="shared" si="45"/>
        <v>0</v>
      </c>
      <c r="S215">
        <f t="shared" si="46"/>
        <v>0</v>
      </c>
      <c r="T215">
        <f t="shared" si="47"/>
        <v>0</v>
      </c>
      <c r="U215">
        <f t="shared" si="48"/>
        <v>0</v>
      </c>
      <c r="V215" s="9">
        <f t="shared" si="38"/>
        <v>0</v>
      </c>
      <c r="W215" s="9">
        <f t="shared" si="38"/>
        <v>0</v>
      </c>
      <c r="X215" s="9">
        <f t="shared" si="38"/>
        <v>0</v>
      </c>
      <c r="Y215" s="9">
        <f t="shared" si="38"/>
        <v>0</v>
      </c>
      <c r="Z215" s="9">
        <f t="shared" si="38"/>
        <v>0</v>
      </c>
      <c r="AA215" s="9">
        <f t="shared" si="37"/>
        <v>0</v>
      </c>
      <c r="AB215" s="9">
        <f t="shared" si="37"/>
        <v>0</v>
      </c>
      <c r="AC215" s="9">
        <f t="shared" si="37"/>
        <v>0</v>
      </c>
      <c r="AD215" s="9">
        <f t="shared" si="37"/>
        <v>0</v>
      </c>
      <c r="AE215" s="9">
        <f t="shared" si="37"/>
        <v>0</v>
      </c>
    </row>
    <row r="216" spans="2:31" x14ac:dyDescent="0.25">
      <c r="B216" s="6">
        <v>0</v>
      </c>
      <c r="C216" s="6">
        <v>0</v>
      </c>
      <c r="D216" s="6">
        <v>0</v>
      </c>
      <c r="E216" s="6">
        <v>0</v>
      </c>
      <c r="F216" s="6">
        <v>0</v>
      </c>
      <c r="L216">
        <f t="shared" si="39"/>
        <v>0</v>
      </c>
      <c r="M216">
        <f t="shared" si="40"/>
        <v>0</v>
      </c>
      <c r="N216">
        <f t="shared" si="41"/>
        <v>0</v>
      </c>
      <c r="O216">
        <f t="shared" si="42"/>
        <v>0</v>
      </c>
      <c r="P216">
        <f t="shared" si="43"/>
        <v>0</v>
      </c>
      <c r="Q216">
        <f t="shared" si="44"/>
        <v>0</v>
      </c>
      <c r="R216">
        <f t="shared" si="45"/>
        <v>0</v>
      </c>
      <c r="S216">
        <f t="shared" si="46"/>
        <v>0</v>
      </c>
      <c r="T216">
        <f t="shared" si="47"/>
        <v>0</v>
      </c>
      <c r="U216">
        <f t="shared" si="48"/>
        <v>0</v>
      </c>
      <c r="V216" s="9">
        <f t="shared" si="38"/>
        <v>0</v>
      </c>
      <c r="W216" s="9">
        <f t="shared" si="38"/>
        <v>0</v>
      </c>
      <c r="X216" s="9">
        <f t="shared" si="38"/>
        <v>0</v>
      </c>
      <c r="Y216" s="9">
        <f t="shared" si="38"/>
        <v>0</v>
      </c>
      <c r="Z216" s="9">
        <f t="shared" si="38"/>
        <v>0</v>
      </c>
      <c r="AA216" s="9">
        <f t="shared" si="37"/>
        <v>0</v>
      </c>
      <c r="AB216" s="9">
        <f t="shared" si="37"/>
        <v>0</v>
      </c>
      <c r="AC216" s="9">
        <f t="shared" si="37"/>
        <v>0</v>
      </c>
      <c r="AD216" s="9">
        <f t="shared" si="37"/>
        <v>0</v>
      </c>
      <c r="AE216" s="9">
        <f t="shared" si="37"/>
        <v>0</v>
      </c>
    </row>
    <row r="217" spans="2:31" x14ac:dyDescent="0.25">
      <c r="B217" s="6">
        <v>0</v>
      </c>
      <c r="C217" s="6">
        <v>0</v>
      </c>
      <c r="D217" s="6">
        <v>0</v>
      </c>
      <c r="E217" s="6">
        <v>0</v>
      </c>
      <c r="F217" s="6">
        <v>0</v>
      </c>
      <c r="L217">
        <f t="shared" si="39"/>
        <v>0</v>
      </c>
      <c r="M217">
        <f t="shared" si="40"/>
        <v>0</v>
      </c>
      <c r="N217">
        <f t="shared" si="41"/>
        <v>0</v>
      </c>
      <c r="O217">
        <f t="shared" si="42"/>
        <v>0</v>
      </c>
      <c r="P217">
        <f t="shared" si="43"/>
        <v>0</v>
      </c>
      <c r="Q217">
        <f t="shared" si="44"/>
        <v>0</v>
      </c>
      <c r="R217">
        <f t="shared" si="45"/>
        <v>0</v>
      </c>
      <c r="S217">
        <f t="shared" si="46"/>
        <v>0</v>
      </c>
      <c r="T217">
        <f t="shared" si="47"/>
        <v>0</v>
      </c>
      <c r="U217">
        <f t="shared" si="48"/>
        <v>0</v>
      </c>
      <c r="V217" s="9">
        <f t="shared" si="38"/>
        <v>0</v>
      </c>
      <c r="W217" s="9">
        <f t="shared" si="38"/>
        <v>0</v>
      </c>
      <c r="X217" s="9">
        <f t="shared" si="38"/>
        <v>0</v>
      </c>
      <c r="Y217" s="9">
        <f t="shared" si="38"/>
        <v>0</v>
      </c>
      <c r="Z217" s="9">
        <f t="shared" si="38"/>
        <v>0</v>
      </c>
      <c r="AA217" s="9">
        <f t="shared" si="37"/>
        <v>0</v>
      </c>
      <c r="AB217" s="9">
        <f t="shared" si="37"/>
        <v>0</v>
      </c>
      <c r="AC217" s="9">
        <f t="shared" si="37"/>
        <v>0</v>
      </c>
      <c r="AD217" s="9">
        <f t="shared" si="37"/>
        <v>0</v>
      </c>
      <c r="AE217" s="9">
        <f t="shared" si="37"/>
        <v>0</v>
      </c>
    </row>
    <row r="218" spans="2:31" x14ac:dyDescent="0.25">
      <c r="B218" s="6">
        <v>0</v>
      </c>
      <c r="C218" s="6">
        <v>0</v>
      </c>
      <c r="D218" s="6">
        <v>0</v>
      </c>
      <c r="E218" s="6">
        <v>0</v>
      </c>
      <c r="F218" s="6">
        <v>0</v>
      </c>
      <c r="L218">
        <f t="shared" si="39"/>
        <v>0</v>
      </c>
      <c r="M218">
        <f t="shared" si="40"/>
        <v>0</v>
      </c>
      <c r="N218">
        <f t="shared" si="41"/>
        <v>0</v>
      </c>
      <c r="O218">
        <f t="shared" si="42"/>
        <v>0</v>
      </c>
      <c r="P218">
        <f t="shared" si="43"/>
        <v>0</v>
      </c>
      <c r="Q218">
        <f t="shared" si="44"/>
        <v>0</v>
      </c>
      <c r="R218">
        <f t="shared" si="45"/>
        <v>0</v>
      </c>
      <c r="S218">
        <f t="shared" si="46"/>
        <v>0</v>
      </c>
      <c r="T218">
        <f t="shared" si="47"/>
        <v>0</v>
      </c>
      <c r="U218">
        <f t="shared" si="48"/>
        <v>0</v>
      </c>
      <c r="V218" s="9">
        <f t="shared" si="38"/>
        <v>0</v>
      </c>
      <c r="W218" s="9">
        <f t="shared" si="38"/>
        <v>0</v>
      </c>
      <c r="X218" s="9">
        <f t="shared" si="38"/>
        <v>0</v>
      </c>
      <c r="Y218" s="9">
        <f t="shared" si="38"/>
        <v>0</v>
      </c>
      <c r="Z218" s="9">
        <f t="shared" si="38"/>
        <v>0</v>
      </c>
      <c r="AA218" s="9">
        <f t="shared" si="37"/>
        <v>0</v>
      </c>
      <c r="AB218" s="9">
        <f t="shared" si="37"/>
        <v>0</v>
      </c>
      <c r="AC218" s="9">
        <f t="shared" si="37"/>
        <v>0</v>
      </c>
      <c r="AD218" s="9">
        <f t="shared" si="37"/>
        <v>0</v>
      </c>
      <c r="AE218" s="9">
        <f t="shared" si="37"/>
        <v>0</v>
      </c>
    </row>
    <row r="219" spans="2:31" x14ac:dyDescent="0.25">
      <c r="B219" s="6">
        <v>0</v>
      </c>
      <c r="C219" s="6">
        <v>0</v>
      </c>
      <c r="D219" s="6">
        <v>0</v>
      </c>
      <c r="E219" s="6">
        <v>0</v>
      </c>
      <c r="F219" s="6">
        <v>0</v>
      </c>
      <c r="L219">
        <f t="shared" si="39"/>
        <v>0</v>
      </c>
      <c r="M219">
        <f t="shared" si="40"/>
        <v>0</v>
      </c>
      <c r="N219">
        <f t="shared" si="41"/>
        <v>0</v>
      </c>
      <c r="O219">
        <f t="shared" si="42"/>
        <v>0</v>
      </c>
      <c r="P219">
        <f t="shared" si="43"/>
        <v>0</v>
      </c>
      <c r="Q219">
        <f t="shared" si="44"/>
        <v>0</v>
      </c>
      <c r="R219">
        <f t="shared" si="45"/>
        <v>0</v>
      </c>
      <c r="S219">
        <f t="shared" si="46"/>
        <v>0</v>
      </c>
      <c r="T219">
        <f t="shared" si="47"/>
        <v>0</v>
      </c>
      <c r="U219">
        <f t="shared" si="48"/>
        <v>0</v>
      </c>
      <c r="V219" s="9">
        <f t="shared" si="38"/>
        <v>0</v>
      </c>
      <c r="W219" s="9">
        <f t="shared" si="38"/>
        <v>0</v>
      </c>
      <c r="X219" s="9">
        <f t="shared" si="38"/>
        <v>0</v>
      </c>
      <c r="Y219" s="9">
        <f t="shared" si="38"/>
        <v>0</v>
      </c>
      <c r="Z219" s="9">
        <f t="shared" si="38"/>
        <v>0</v>
      </c>
      <c r="AA219" s="9">
        <f t="shared" ref="AA219:AE269" si="49">IF(Q219&gt;=0,Q219,-Q219)</f>
        <v>0</v>
      </c>
      <c r="AB219" s="9">
        <f t="shared" si="49"/>
        <v>0</v>
      </c>
      <c r="AC219" s="9">
        <f t="shared" si="49"/>
        <v>0</v>
      </c>
      <c r="AD219" s="9">
        <f t="shared" si="49"/>
        <v>0</v>
      </c>
      <c r="AE219" s="9">
        <f t="shared" si="49"/>
        <v>0</v>
      </c>
    </row>
    <row r="220" spans="2:31" x14ac:dyDescent="0.25">
      <c r="B220" s="6">
        <v>0</v>
      </c>
      <c r="C220" s="6">
        <v>0</v>
      </c>
      <c r="D220" s="6">
        <v>0</v>
      </c>
      <c r="E220" s="6">
        <v>0</v>
      </c>
      <c r="F220" s="6">
        <v>0</v>
      </c>
      <c r="L220">
        <f t="shared" si="39"/>
        <v>0</v>
      </c>
      <c r="M220">
        <f t="shared" si="40"/>
        <v>0</v>
      </c>
      <c r="N220">
        <f t="shared" si="41"/>
        <v>0</v>
      </c>
      <c r="O220">
        <f t="shared" si="42"/>
        <v>0</v>
      </c>
      <c r="P220">
        <f t="shared" si="43"/>
        <v>0</v>
      </c>
      <c r="Q220">
        <f t="shared" si="44"/>
        <v>0</v>
      </c>
      <c r="R220">
        <f t="shared" si="45"/>
        <v>0</v>
      </c>
      <c r="S220">
        <f t="shared" si="46"/>
        <v>0</v>
      </c>
      <c r="T220">
        <f t="shared" si="47"/>
        <v>0</v>
      </c>
      <c r="U220">
        <f t="shared" si="48"/>
        <v>0</v>
      </c>
      <c r="V220" s="9">
        <f t="shared" ref="V220:Z270" si="50">IF(L220&gt;=0,L220,-L220)</f>
        <v>0</v>
      </c>
      <c r="W220" s="9">
        <f t="shared" si="50"/>
        <v>0</v>
      </c>
      <c r="X220" s="9">
        <f t="shared" si="50"/>
        <v>0</v>
      </c>
      <c r="Y220" s="9">
        <f t="shared" si="50"/>
        <v>0</v>
      </c>
      <c r="Z220" s="9">
        <f t="shared" si="50"/>
        <v>0</v>
      </c>
      <c r="AA220" s="9">
        <f t="shared" si="49"/>
        <v>0</v>
      </c>
      <c r="AB220" s="9">
        <f t="shared" si="49"/>
        <v>0</v>
      </c>
      <c r="AC220" s="9">
        <f t="shared" si="49"/>
        <v>0</v>
      </c>
      <c r="AD220" s="9">
        <f t="shared" si="49"/>
        <v>0</v>
      </c>
      <c r="AE220" s="9">
        <f t="shared" si="49"/>
        <v>0</v>
      </c>
    </row>
    <row r="221" spans="2:31" x14ac:dyDescent="0.25">
      <c r="B221" s="6">
        <v>0</v>
      </c>
      <c r="C221" s="6">
        <v>0</v>
      </c>
      <c r="D221" s="6">
        <v>0</v>
      </c>
      <c r="E221" s="6">
        <v>0</v>
      </c>
      <c r="F221" s="6">
        <v>0</v>
      </c>
      <c r="L221">
        <f t="shared" si="39"/>
        <v>0</v>
      </c>
      <c r="M221">
        <f t="shared" si="40"/>
        <v>0</v>
      </c>
      <c r="N221">
        <f t="shared" si="41"/>
        <v>0</v>
      </c>
      <c r="O221">
        <f t="shared" si="42"/>
        <v>0</v>
      </c>
      <c r="P221">
        <f t="shared" si="43"/>
        <v>0</v>
      </c>
      <c r="Q221">
        <f t="shared" si="44"/>
        <v>0</v>
      </c>
      <c r="R221">
        <f t="shared" si="45"/>
        <v>0</v>
      </c>
      <c r="S221">
        <f t="shared" si="46"/>
        <v>0</v>
      </c>
      <c r="T221">
        <f t="shared" si="47"/>
        <v>0</v>
      </c>
      <c r="U221">
        <f t="shared" si="48"/>
        <v>0</v>
      </c>
      <c r="V221" s="9">
        <f t="shared" si="50"/>
        <v>0</v>
      </c>
      <c r="W221" s="9">
        <f t="shared" si="50"/>
        <v>0</v>
      </c>
      <c r="X221" s="9">
        <f t="shared" si="50"/>
        <v>0</v>
      </c>
      <c r="Y221" s="9">
        <f t="shared" si="50"/>
        <v>0</v>
      </c>
      <c r="Z221" s="9">
        <f t="shared" si="50"/>
        <v>0</v>
      </c>
      <c r="AA221" s="9">
        <f t="shared" si="49"/>
        <v>0</v>
      </c>
      <c r="AB221" s="9">
        <f t="shared" si="49"/>
        <v>0</v>
      </c>
      <c r="AC221" s="9">
        <f t="shared" si="49"/>
        <v>0</v>
      </c>
      <c r="AD221" s="9">
        <f t="shared" si="49"/>
        <v>0</v>
      </c>
      <c r="AE221" s="9">
        <f t="shared" si="49"/>
        <v>0</v>
      </c>
    </row>
    <row r="222" spans="2:31" x14ac:dyDescent="0.25">
      <c r="B222" s="6">
        <v>0</v>
      </c>
      <c r="C222" s="6">
        <v>0</v>
      </c>
      <c r="D222" s="6">
        <v>0</v>
      </c>
      <c r="E222" s="6">
        <v>0</v>
      </c>
      <c r="F222" s="6">
        <v>0</v>
      </c>
      <c r="L222">
        <f t="shared" si="39"/>
        <v>0</v>
      </c>
      <c r="M222">
        <f t="shared" si="40"/>
        <v>0</v>
      </c>
      <c r="N222">
        <f t="shared" si="41"/>
        <v>0</v>
      </c>
      <c r="O222">
        <f t="shared" si="42"/>
        <v>0</v>
      </c>
      <c r="P222">
        <f t="shared" si="43"/>
        <v>0</v>
      </c>
      <c r="Q222">
        <f t="shared" si="44"/>
        <v>0</v>
      </c>
      <c r="R222">
        <f t="shared" si="45"/>
        <v>0</v>
      </c>
      <c r="S222">
        <f t="shared" si="46"/>
        <v>0</v>
      </c>
      <c r="T222">
        <f t="shared" si="47"/>
        <v>0</v>
      </c>
      <c r="U222">
        <f t="shared" si="48"/>
        <v>0</v>
      </c>
      <c r="V222" s="9">
        <f t="shared" si="50"/>
        <v>0</v>
      </c>
      <c r="W222" s="9">
        <f t="shared" si="50"/>
        <v>0</v>
      </c>
      <c r="X222" s="9">
        <f t="shared" si="50"/>
        <v>0</v>
      </c>
      <c r="Y222" s="9">
        <f t="shared" si="50"/>
        <v>0</v>
      </c>
      <c r="Z222" s="9">
        <f t="shared" si="50"/>
        <v>0</v>
      </c>
      <c r="AA222" s="9">
        <f t="shared" si="49"/>
        <v>0</v>
      </c>
      <c r="AB222" s="9">
        <f t="shared" si="49"/>
        <v>0</v>
      </c>
      <c r="AC222" s="9">
        <f t="shared" si="49"/>
        <v>0</v>
      </c>
      <c r="AD222" s="9">
        <f t="shared" si="49"/>
        <v>0</v>
      </c>
      <c r="AE222" s="9">
        <f t="shared" si="49"/>
        <v>0</v>
      </c>
    </row>
    <row r="223" spans="2:31" x14ac:dyDescent="0.25">
      <c r="B223" s="6">
        <v>0</v>
      </c>
      <c r="C223" s="6">
        <v>0</v>
      </c>
      <c r="D223" s="6">
        <v>0</v>
      </c>
      <c r="E223" s="6">
        <v>0</v>
      </c>
      <c r="F223" s="6">
        <v>0</v>
      </c>
      <c r="L223">
        <f t="shared" si="39"/>
        <v>0</v>
      </c>
      <c r="M223">
        <f t="shared" si="40"/>
        <v>0</v>
      </c>
      <c r="N223">
        <f t="shared" si="41"/>
        <v>0</v>
      </c>
      <c r="O223">
        <f t="shared" si="42"/>
        <v>0</v>
      </c>
      <c r="P223">
        <f t="shared" si="43"/>
        <v>0</v>
      </c>
      <c r="Q223">
        <f t="shared" si="44"/>
        <v>0</v>
      </c>
      <c r="R223">
        <f t="shared" si="45"/>
        <v>0</v>
      </c>
      <c r="S223">
        <f t="shared" si="46"/>
        <v>0</v>
      </c>
      <c r="T223">
        <f t="shared" si="47"/>
        <v>0</v>
      </c>
      <c r="U223">
        <f t="shared" si="48"/>
        <v>0</v>
      </c>
      <c r="V223" s="9">
        <f t="shared" si="50"/>
        <v>0</v>
      </c>
      <c r="W223" s="9">
        <f t="shared" si="50"/>
        <v>0</v>
      </c>
      <c r="X223" s="9">
        <f t="shared" si="50"/>
        <v>0</v>
      </c>
      <c r="Y223" s="9">
        <f t="shared" si="50"/>
        <v>0</v>
      </c>
      <c r="Z223" s="9">
        <f t="shared" si="50"/>
        <v>0</v>
      </c>
      <c r="AA223" s="9">
        <f t="shared" si="49"/>
        <v>0</v>
      </c>
      <c r="AB223" s="9">
        <f t="shared" si="49"/>
        <v>0</v>
      </c>
      <c r="AC223" s="9">
        <f t="shared" si="49"/>
        <v>0</v>
      </c>
      <c r="AD223" s="9">
        <f t="shared" si="49"/>
        <v>0</v>
      </c>
      <c r="AE223" s="9">
        <f t="shared" si="49"/>
        <v>0</v>
      </c>
    </row>
    <row r="224" spans="2:31" x14ac:dyDescent="0.25">
      <c r="B224" s="6">
        <v>0</v>
      </c>
      <c r="C224" s="6">
        <v>0</v>
      </c>
      <c r="D224" s="6">
        <v>0</v>
      </c>
      <c r="E224" s="6">
        <v>0</v>
      </c>
      <c r="F224" s="6">
        <v>0</v>
      </c>
      <c r="L224">
        <f t="shared" si="39"/>
        <v>0</v>
      </c>
      <c r="M224">
        <f t="shared" si="40"/>
        <v>0</v>
      </c>
      <c r="N224">
        <f t="shared" si="41"/>
        <v>0</v>
      </c>
      <c r="O224">
        <f t="shared" si="42"/>
        <v>0</v>
      </c>
      <c r="P224">
        <f t="shared" si="43"/>
        <v>0</v>
      </c>
      <c r="Q224">
        <f t="shared" si="44"/>
        <v>0</v>
      </c>
      <c r="R224">
        <f t="shared" si="45"/>
        <v>0</v>
      </c>
      <c r="S224">
        <f t="shared" si="46"/>
        <v>0</v>
      </c>
      <c r="T224">
        <f t="shared" si="47"/>
        <v>0</v>
      </c>
      <c r="U224">
        <f t="shared" si="48"/>
        <v>0</v>
      </c>
      <c r="V224" s="9">
        <f t="shared" si="50"/>
        <v>0</v>
      </c>
      <c r="W224" s="9">
        <f t="shared" si="50"/>
        <v>0</v>
      </c>
      <c r="X224" s="9">
        <f t="shared" si="50"/>
        <v>0</v>
      </c>
      <c r="Y224" s="9">
        <f t="shared" si="50"/>
        <v>0</v>
      </c>
      <c r="Z224" s="9">
        <f t="shared" si="50"/>
        <v>0</v>
      </c>
      <c r="AA224" s="9">
        <f t="shared" si="49"/>
        <v>0</v>
      </c>
      <c r="AB224" s="9">
        <f t="shared" si="49"/>
        <v>0</v>
      </c>
      <c r="AC224" s="9">
        <f t="shared" si="49"/>
        <v>0</v>
      </c>
      <c r="AD224" s="9">
        <f t="shared" si="49"/>
        <v>0</v>
      </c>
      <c r="AE224" s="9">
        <f t="shared" si="49"/>
        <v>0</v>
      </c>
    </row>
    <row r="225" spans="2:31" x14ac:dyDescent="0.25">
      <c r="B225" s="6">
        <v>0</v>
      </c>
      <c r="C225" s="6">
        <v>0</v>
      </c>
      <c r="D225" s="6">
        <v>0</v>
      </c>
      <c r="E225" s="6">
        <v>0</v>
      </c>
      <c r="F225" s="6">
        <v>0</v>
      </c>
      <c r="L225">
        <f t="shared" si="39"/>
        <v>0</v>
      </c>
      <c r="M225">
        <f t="shared" si="40"/>
        <v>0</v>
      </c>
      <c r="N225">
        <f t="shared" si="41"/>
        <v>0</v>
      </c>
      <c r="O225">
        <f t="shared" si="42"/>
        <v>0</v>
      </c>
      <c r="P225">
        <f t="shared" si="43"/>
        <v>0</v>
      </c>
      <c r="Q225">
        <f t="shared" si="44"/>
        <v>0</v>
      </c>
      <c r="R225">
        <f t="shared" si="45"/>
        <v>0</v>
      </c>
      <c r="S225">
        <f t="shared" si="46"/>
        <v>0</v>
      </c>
      <c r="T225">
        <f t="shared" si="47"/>
        <v>0</v>
      </c>
      <c r="U225">
        <f t="shared" si="48"/>
        <v>0</v>
      </c>
      <c r="V225" s="9">
        <f t="shared" si="50"/>
        <v>0</v>
      </c>
      <c r="W225" s="9">
        <f t="shared" si="50"/>
        <v>0</v>
      </c>
      <c r="X225" s="9">
        <f t="shared" si="50"/>
        <v>0</v>
      </c>
      <c r="Y225" s="9">
        <f t="shared" si="50"/>
        <v>0</v>
      </c>
      <c r="Z225" s="9">
        <f t="shared" si="50"/>
        <v>0</v>
      </c>
      <c r="AA225" s="9">
        <f t="shared" si="49"/>
        <v>0</v>
      </c>
      <c r="AB225" s="9">
        <f t="shared" si="49"/>
        <v>0</v>
      </c>
      <c r="AC225" s="9">
        <f t="shared" si="49"/>
        <v>0</v>
      </c>
      <c r="AD225" s="9">
        <f t="shared" si="49"/>
        <v>0</v>
      </c>
      <c r="AE225" s="9">
        <f t="shared" si="49"/>
        <v>0</v>
      </c>
    </row>
    <row r="226" spans="2:31" x14ac:dyDescent="0.25">
      <c r="B226" s="6">
        <v>0</v>
      </c>
      <c r="C226" s="6">
        <v>0</v>
      </c>
      <c r="D226" s="6">
        <v>0</v>
      </c>
      <c r="E226" s="6">
        <v>0</v>
      </c>
      <c r="F226" s="6">
        <v>0</v>
      </c>
      <c r="L226">
        <f t="shared" si="39"/>
        <v>0</v>
      </c>
      <c r="M226">
        <f t="shared" si="40"/>
        <v>0</v>
      </c>
      <c r="N226">
        <f t="shared" si="41"/>
        <v>0</v>
      </c>
      <c r="O226">
        <f t="shared" si="42"/>
        <v>0</v>
      </c>
      <c r="P226">
        <f t="shared" si="43"/>
        <v>0</v>
      </c>
      <c r="Q226">
        <f t="shared" si="44"/>
        <v>0</v>
      </c>
      <c r="R226">
        <f t="shared" si="45"/>
        <v>0</v>
      </c>
      <c r="S226">
        <f t="shared" si="46"/>
        <v>0</v>
      </c>
      <c r="T226">
        <f t="shared" si="47"/>
        <v>0</v>
      </c>
      <c r="U226">
        <f t="shared" si="48"/>
        <v>0</v>
      </c>
      <c r="V226" s="9">
        <f t="shared" si="50"/>
        <v>0</v>
      </c>
      <c r="W226" s="9">
        <f t="shared" si="50"/>
        <v>0</v>
      </c>
      <c r="X226" s="9">
        <f t="shared" si="50"/>
        <v>0</v>
      </c>
      <c r="Y226" s="9">
        <f t="shared" si="50"/>
        <v>0</v>
      </c>
      <c r="Z226" s="9">
        <f t="shared" si="50"/>
        <v>0</v>
      </c>
      <c r="AA226" s="9">
        <f t="shared" si="49"/>
        <v>0</v>
      </c>
      <c r="AB226" s="9">
        <f t="shared" si="49"/>
        <v>0</v>
      </c>
      <c r="AC226" s="9">
        <f t="shared" si="49"/>
        <v>0</v>
      </c>
      <c r="AD226" s="9">
        <f t="shared" si="49"/>
        <v>0</v>
      </c>
      <c r="AE226" s="9">
        <f t="shared" si="49"/>
        <v>0</v>
      </c>
    </row>
    <row r="227" spans="2:31" x14ac:dyDescent="0.25">
      <c r="B227" s="6">
        <v>0</v>
      </c>
      <c r="C227" s="6">
        <v>0</v>
      </c>
      <c r="D227" s="6">
        <v>0</v>
      </c>
      <c r="E227" s="6">
        <v>0</v>
      </c>
      <c r="F227" s="6">
        <v>0</v>
      </c>
      <c r="L227">
        <f t="shared" si="39"/>
        <v>0</v>
      </c>
      <c r="M227">
        <f t="shared" si="40"/>
        <v>0</v>
      </c>
      <c r="N227">
        <f t="shared" si="41"/>
        <v>0</v>
      </c>
      <c r="O227">
        <f t="shared" si="42"/>
        <v>0</v>
      </c>
      <c r="P227">
        <f t="shared" si="43"/>
        <v>0</v>
      </c>
      <c r="Q227">
        <f t="shared" si="44"/>
        <v>0</v>
      </c>
      <c r="R227">
        <f t="shared" si="45"/>
        <v>0</v>
      </c>
      <c r="S227">
        <f t="shared" si="46"/>
        <v>0</v>
      </c>
      <c r="T227">
        <f t="shared" si="47"/>
        <v>0</v>
      </c>
      <c r="U227">
        <f t="shared" si="48"/>
        <v>0</v>
      </c>
      <c r="V227" s="9">
        <f t="shared" si="50"/>
        <v>0</v>
      </c>
      <c r="W227" s="9">
        <f t="shared" si="50"/>
        <v>0</v>
      </c>
      <c r="X227" s="9">
        <f t="shared" si="50"/>
        <v>0</v>
      </c>
      <c r="Y227" s="9">
        <f t="shared" si="50"/>
        <v>0</v>
      </c>
      <c r="Z227" s="9">
        <f t="shared" si="50"/>
        <v>0</v>
      </c>
      <c r="AA227" s="9">
        <f t="shared" si="49"/>
        <v>0</v>
      </c>
      <c r="AB227" s="9">
        <f t="shared" si="49"/>
        <v>0</v>
      </c>
      <c r="AC227" s="9">
        <f t="shared" si="49"/>
        <v>0</v>
      </c>
      <c r="AD227" s="9">
        <f t="shared" si="49"/>
        <v>0</v>
      </c>
      <c r="AE227" s="9">
        <f t="shared" si="49"/>
        <v>0</v>
      </c>
    </row>
    <row r="228" spans="2:31" x14ac:dyDescent="0.25">
      <c r="B228" s="6">
        <v>0</v>
      </c>
      <c r="C228" s="6">
        <v>0</v>
      </c>
      <c r="D228" s="6">
        <v>0</v>
      </c>
      <c r="E228" s="6">
        <v>0</v>
      </c>
      <c r="F228" s="6">
        <v>0</v>
      </c>
      <c r="L228">
        <f t="shared" si="39"/>
        <v>0</v>
      </c>
      <c r="M228">
        <f t="shared" si="40"/>
        <v>0</v>
      </c>
      <c r="N228">
        <f t="shared" si="41"/>
        <v>0</v>
      </c>
      <c r="O228">
        <f t="shared" si="42"/>
        <v>0</v>
      </c>
      <c r="P228">
        <f t="shared" si="43"/>
        <v>0</v>
      </c>
      <c r="Q228">
        <f t="shared" si="44"/>
        <v>0</v>
      </c>
      <c r="R228">
        <f t="shared" si="45"/>
        <v>0</v>
      </c>
      <c r="S228">
        <f t="shared" si="46"/>
        <v>0</v>
      </c>
      <c r="T228">
        <f t="shared" si="47"/>
        <v>0</v>
      </c>
      <c r="U228">
        <f t="shared" si="48"/>
        <v>0</v>
      </c>
      <c r="V228" s="9">
        <f t="shared" si="50"/>
        <v>0</v>
      </c>
      <c r="W228" s="9">
        <f t="shared" si="50"/>
        <v>0</v>
      </c>
      <c r="X228" s="9">
        <f t="shared" si="50"/>
        <v>0</v>
      </c>
      <c r="Y228" s="9">
        <f t="shared" si="50"/>
        <v>0</v>
      </c>
      <c r="Z228" s="9">
        <f t="shared" si="50"/>
        <v>0</v>
      </c>
      <c r="AA228" s="9">
        <f t="shared" si="49"/>
        <v>0</v>
      </c>
      <c r="AB228" s="9">
        <f t="shared" si="49"/>
        <v>0</v>
      </c>
      <c r="AC228" s="9">
        <f t="shared" si="49"/>
        <v>0</v>
      </c>
      <c r="AD228" s="9">
        <f t="shared" si="49"/>
        <v>0</v>
      </c>
      <c r="AE228" s="9">
        <f t="shared" si="49"/>
        <v>0</v>
      </c>
    </row>
    <row r="229" spans="2:31" x14ac:dyDescent="0.25">
      <c r="B229" s="6">
        <v>0</v>
      </c>
      <c r="C229" s="6">
        <v>0</v>
      </c>
      <c r="D229" s="6">
        <v>0</v>
      </c>
      <c r="E229" s="6">
        <v>0</v>
      </c>
      <c r="F229" s="6">
        <v>0</v>
      </c>
      <c r="L229">
        <f t="shared" si="39"/>
        <v>0</v>
      </c>
      <c r="M229">
        <f t="shared" si="40"/>
        <v>0</v>
      </c>
      <c r="N229">
        <f t="shared" si="41"/>
        <v>0</v>
      </c>
      <c r="O229">
        <f t="shared" si="42"/>
        <v>0</v>
      </c>
      <c r="P229">
        <f t="shared" si="43"/>
        <v>0</v>
      </c>
      <c r="Q229">
        <f t="shared" si="44"/>
        <v>0</v>
      </c>
      <c r="R229">
        <f t="shared" si="45"/>
        <v>0</v>
      </c>
      <c r="S229">
        <f t="shared" si="46"/>
        <v>0</v>
      </c>
      <c r="T229">
        <f t="shared" si="47"/>
        <v>0</v>
      </c>
      <c r="U229">
        <f t="shared" si="48"/>
        <v>0</v>
      </c>
      <c r="V229" s="9">
        <f t="shared" si="50"/>
        <v>0</v>
      </c>
      <c r="W229" s="9">
        <f t="shared" si="50"/>
        <v>0</v>
      </c>
      <c r="X229" s="9">
        <f t="shared" si="50"/>
        <v>0</v>
      </c>
      <c r="Y229" s="9">
        <f t="shared" si="50"/>
        <v>0</v>
      </c>
      <c r="Z229" s="9">
        <f t="shared" si="50"/>
        <v>0</v>
      </c>
      <c r="AA229" s="9">
        <f t="shared" si="49"/>
        <v>0</v>
      </c>
      <c r="AB229" s="9">
        <f t="shared" si="49"/>
        <v>0</v>
      </c>
      <c r="AC229" s="9">
        <f t="shared" si="49"/>
        <v>0</v>
      </c>
      <c r="AD229" s="9">
        <f t="shared" si="49"/>
        <v>0</v>
      </c>
      <c r="AE229" s="9">
        <f t="shared" si="49"/>
        <v>0</v>
      </c>
    </row>
    <row r="230" spans="2:31" x14ac:dyDescent="0.25">
      <c r="B230" s="6">
        <v>0</v>
      </c>
      <c r="C230" s="6">
        <v>0</v>
      </c>
      <c r="D230" s="6">
        <v>0</v>
      </c>
      <c r="E230" s="6">
        <v>0</v>
      </c>
      <c r="F230" s="6">
        <v>0</v>
      </c>
      <c r="L230">
        <f t="shared" si="39"/>
        <v>0</v>
      </c>
      <c r="M230">
        <f t="shared" si="40"/>
        <v>0</v>
      </c>
      <c r="N230">
        <f t="shared" si="41"/>
        <v>0</v>
      </c>
      <c r="O230">
        <f t="shared" si="42"/>
        <v>0</v>
      </c>
      <c r="P230">
        <f t="shared" si="43"/>
        <v>0</v>
      </c>
      <c r="Q230">
        <f t="shared" si="44"/>
        <v>0</v>
      </c>
      <c r="R230">
        <f t="shared" si="45"/>
        <v>0</v>
      </c>
      <c r="S230">
        <f t="shared" si="46"/>
        <v>0</v>
      </c>
      <c r="T230">
        <f t="shared" si="47"/>
        <v>0</v>
      </c>
      <c r="U230">
        <f t="shared" si="48"/>
        <v>0</v>
      </c>
      <c r="V230" s="9">
        <f t="shared" si="50"/>
        <v>0</v>
      </c>
      <c r="W230" s="9">
        <f t="shared" si="50"/>
        <v>0</v>
      </c>
      <c r="X230" s="9">
        <f t="shared" si="50"/>
        <v>0</v>
      </c>
      <c r="Y230" s="9">
        <f t="shared" si="50"/>
        <v>0</v>
      </c>
      <c r="Z230" s="9">
        <f t="shared" si="50"/>
        <v>0</v>
      </c>
      <c r="AA230" s="9">
        <f t="shared" si="49"/>
        <v>0</v>
      </c>
      <c r="AB230" s="9">
        <f t="shared" si="49"/>
        <v>0</v>
      </c>
      <c r="AC230" s="9">
        <f t="shared" si="49"/>
        <v>0</v>
      </c>
      <c r="AD230" s="9">
        <f t="shared" si="49"/>
        <v>0</v>
      </c>
      <c r="AE230" s="9">
        <f t="shared" si="49"/>
        <v>0</v>
      </c>
    </row>
    <row r="231" spans="2:31" x14ac:dyDescent="0.25">
      <c r="B231" s="6">
        <v>0</v>
      </c>
      <c r="C231" s="6">
        <v>0</v>
      </c>
      <c r="D231" s="6">
        <v>0</v>
      </c>
      <c r="E231" s="6">
        <v>0</v>
      </c>
      <c r="F231" s="6">
        <v>0</v>
      </c>
      <c r="L231">
        <f t="shared" si="39"/>
        <v>0</v>
      </c>
      <c r="M231">
        <f t="shared" si="40"/>
        <v>0</v>
      </c>
      <c r="N231">
        <f t="shared" si="41"/>
        <v>0</v>
      </c>
      <c r="O231">
        <f t="shared" si="42"/>
        <v>0</v>
      </c>
      <c r="P231">
        <f t="shared" si="43"/>
        <v>0</v>
      </c>
      <c r="Q231">
        <f t="shared" si="44"/>
        <v>0</v>
      </c>
      <c r="R231">
        <f t="shared" si="45"/>
        <v>0</v>
      </c>
      <c r="S231">
        <f t="shared" si="46"/>
        <v>0</v>
      </c>
      <c r="T231">
        <f t="shared" si="47"/>
        <v>0</v>
      </c>
      <c r="U231">
        <f t="shared" si="48"/>
        <v>0</v>
      </c>
      <c r="V231" s="9">
        <f t="shared" si="50"/>
        <v>0</v>
      </c>
      <c r="W231" s="9">
        <f t="shared" si="50"/>
        <v>0</v>
      </c>
      <c r="X231" s="9">
        <f t="shared" si="50"/>
        <v>0</v>
      </c>
      <c r="Y231" s="9">
        <f t="shared" si="50"/>
        <v>0</v>
      </c>
      <c r="Z231" s="9">
        <f t="shared" si="50"/>
        <v>0</v>
      </c>
      <c r="AA231" s="9">
        <f t="shared" si="49"/>
        <v>0</v>
      </c>
      <c r="AB231" s="9">
        <f t="shared" si="49"/>
        <v>0</v>
      </c>
      <c r="AC231" s="9">
        <f t="shared" si="49"/>
        <v>0</v>
      </c>
      <c r="AD231" s="9">
        <f t="shared" si="49"/>
        <v>0</v>
      </c>
      <c r="AE231" s="9">
        <f t="shared" si="49"/>
        <v>0</v>
      </c>
    </row>
    <row r="232" spans="2:31" x14ac:dyDescent="0.25">
      <c r="B232" s="6">
        <v>0</v>
      </c>
      <c r="C232" s="6">
        <v>0</v>
      </c>
      <c r="D232" s="6">
        <v>0</v>
      </c>
      <c r="E232" s="6">
        <v>0</v>
      </c>
      <c r="F232" s="6">
        <v>0</v>
      </c>
      <c r="L232">
        <f t="shared" si="39"/>
        <v>0</v>
      </c>
      <c r="M232">
        <f t="shared" si="40"/>
        <v>0</v>
      </c>
      <c r="N232">
        <f t="shared" si="41"/>
        <v>0</v>
      </c>
      <c r="O232">
        <f t="shared" si="42"/>
        <v>0</v>
      </c>
      <c r="P232">
        <f t="shared" si="43"/>
        <v>0</v>
      </c>
      <c r="Q232">
        <f t="shared" si="44"/>
        <v>0</v>
      </c>
      <c r="R232">
        <f t="shared" si="45"/>
        <v>0</v>
      </c>
      <c r="S232">
        <f t="shared" si="46"/>
        <v>0</v>
      </c>
      <c r="T232">
        <f t="shared" si="47"/>
        <v>0</v>
      </c>
      <c r="U232">
        <f t="shared" si="48"/>
        <v>0</v>
      </c>
      <c r="V232" s="9">
        <f t="shared" si="50"/>
        <v>0</v>
      </c>
      <c r="W232" s="9">
        <f t="shared" si="50"/>
        <v>0</v>
      </c>
      <c r="X232" s="9">
        <f t="shared" si="50"/>
        <v>0</v>
      </c>
      <c r="Y232" s="9">
        <f t="shared" si="50"/>
        <v>0</v>
      </c>
      <c r="Z232" s="9">
        <f t="shared" si="50"/>
        <v>0</v>
      </c>
      <c r="AA232" s="9">
        <f t="shared" si="49"/>
        <v>0</v>
      </c>
      <c r="AB232" s="9">
        <f t="shared" si="49"/>
        <v>0</v>
      </c>
      <c r="AC232" s="9">
        <f t="shared" si="49"/>
        <v>0</v>
      </c>
      <c r="AD232" s="9">
        <f t="shared" si="49"/>
        <v>0</v>
      </c>
      <c r="AE232" s="9">
        <f t="shared" si="49"/>
        <v>0</v>
      </c>
    </row>
    <row r="233" spans="2:31" x14ac:dyDescent="0.25">
      <c r="B233" s="6">
        <v>0</v>
      </c>
      <c r="C233" s="6">
        <v>0</v>
      </c>
      <c r="D233" s="6">
        <v>0</v>
      </c>
      <c r="E233" s="6">
        <v>0</v>
      </c>
      <c r="F233" s="6">
        <v>0</v>
      </c>
      <c r="L233">
        <f t="shared" si="39"/>
        <v>0</v>
      </c>
      <c r="M233">
        <f t="shared" si="40"/>
        <v>0</v>
      </c>
      <c r="N233">
        <f t="shared" si="41"/>
        <v>0</v>
      </c>
      <c r="O233">
        <f t="shared" si="42"/>
        <v>0</v>
      </c>
      <c r="P233">
        <f t="shared" si="43"/>
        <v>0</v>
      </c>
      <c r="Q233">
        <f t="shared" si="44"/>
        <v>0</v>
      </c>
      <c r="R233">
        <f t="shared" si="45"/>
        <v>0</v>
      </c>
      <c r="S233">
        <f t="shared" si="46"/>
        <v>0</v>
      </c>
      <c r="T233">
        <f t="shared" si="47"/>
        <v>0</v>
      </c>
      <c r="U233">
        <f t="shared" si="48"/>
        <v>0</v>
      </c>
      <c r="V233" s="9">
        <f t="shared" si="50"/>
        <v>0</v>
      </c>
      <c r="W233" s="9">
        <f t="shared" si="50"/>
        <v>0</v>
      </c>
      <c r="X233" s="9">
        <f t="shared" si="50"/>
        <v>0</v>
      </c>
      <c r="Y233" s="9">
        <f t="shared" si="50"/>
        <v>0</v>
      </c>
      <c r="Z233" s="9">
        <f t="shared" si="50"/>
        <v>0</v>
      </c>
      <c r="AA233" s="9">
        <f t="shared" si="49"/>
        <v>0</v>
      </c>
      <c r="AB233" s="9">
        <f t="shared" si="49"/>
        <v>0</v>
      </c>
      <c r="AC233" s="9">
        <f t="shared" si="49"/>
        <v>0</v>
      </c>
      <c r="AD233" s="9">
        <f t="shared" si="49"/>
        <v>0</v>
      </c>
      <c r="AE233" s="9">
        <f t="shared" si="49"/>
        <v>0</v>
      </c>
    </row>
    <row r="234" spans="2:31" x14ac:dyDescent="0.25">
      <c r="B234" s="6">
        <v>0</v>
      </c>
      <c r="C234" s="6">
        <v>0</v>
      </c>
      <c r="D234" s="6">
        <v>0</v>
      </c>
      <c r="E234" s="6">
        <v>0</v>
      </c>
      <c r="F234" s="6">
        <v>0</v>
      </c>
      <c r="L234">
        <f t="shared" si="39"/>
        <v>0</v>
      </c>
      <c r="M234">
        <f t="shared" si="40"/>
        <v>0</v>
      </c>
      <c r="N234">
        <f t="shared" si="41"/>
        <v>0</v>
      </c>
      <c r="O234">
        <f t="shared" si="42"/>
        <v>0</v>
      </c>
      <c r="P234">
        <f t="shared" si="43"/>
        <v>0</v>
      </c>
      <c r="Q234">
        <f t="shared" si="44"/>
        <v>0</v>
      </c>
      <c r="R234">
        <f t="shared" si="45"/>
        <v>0</v>
      </c>
      <c r="S234">
        <f t="shared" si="46"/>
        <v>0</v>
      </c>
      <c r="T234">
        <f t="shared" si="47"/>
        <v>0</v>
      </c>
      <c r="U234">
        <f t="shared" si="48"/>
        <v>0</v>
      </c>
      <c r="V234" s="9">
        <f t="shared" si="50"/>
        <v>0</v>
      </c>
      <c r="W234" s="9">
        <f t="shared" si="50"/>
        <v>0</v>
      </c>
      <c r="X234" s="9">
        <f t="shared" si="50"/>
        <v>0</v>
      </c>
      <c r="Y234" s="9">
        <f t="shared" si="50"/>
        <v>0</v>
      </c>
      <c r="Z234" s="9">
        <f t="shared" si="50"/>
        <v>0</v>
      </c>
      <c r="AA234" s="9">
        <f t="shared" si="49"/>
        <v>0</v>
      </c>
      <c r="AB234" s="9">
        <f t="shared" si="49"/>
        <v>0</v>
      </c>
      <c r="AC234" s="9">
        <f t="shared" si="49"/>
        <v>0</v>
      </c>
      <c r="AD234" s="9">
        <f t="shared" si="49"/>
        <v>0</v>
      </c>
      <c r="AE234" s="9">
        <f t="shared" si="49"/>
        <v>0</v>
      </c>
    </row>
    <row r="235" spans="2:31" x14ac:dyDescent="0.25">
      <c r="B235" s="6">
        <v>0</v>
      </c>
      <c r="C235" s="6">
        <v>0</v>
      </c>
      <c r="D235" s="6">
        <v>0</v>
      </c>
      <c r="E235" s="6">
        <v>0</v>
      </c>
      <c r="F235" s="6">
        <v>0</v>
      </c>
      <c r="L235">
        <f t="shared" si="39"/>
        <v>0</v>
      </c>
      <c r="M235">
        <f t="shared" si="40"/>
        <v>0</v>
      </c>
      <c r="N235">
        <f t="shared" si="41"/>
        <v>0</v>
      </c>
      <c r="O235">
        <f t="shared" si="42"/>
        <v>0</v>
      </c>
      <c r="P235">
        <f t="shared" si="43"/>
        <v>0</v>
      </c>
      <c r="Q235">
        <f t="shared" si="44"/>
        <v>0</v>
      </c>
      <c r="R235">
        <f t="shared" si="45"/>
        <v>0</v>
      </c>
      <c r="S235">
        <f t="shared" si="46"/>
        <v>0</v>
      </c>
      <c r="T235">
        <f t="shared" si="47"/>
        <v>0</v>
      </c>
      <c r="U235">
        <f t="shared" si="48"/>
        <v>0</v>
      </c>
      <c r="V235" s="9">
        <f t="shared" si="50"/>
        <v>0</v>
      </c>
      <c r="W235" s="9">
        <f t="shared" si="50"/>
        <v>0</v>
      </c>
      <c r="X235" s="9">
        <f t="shared" si="50"/>
        <v>0</v>
      </c>
      <c r="Y235" s="9">
        <f t="shared" si="50"/>
        <v>0</v>
      </c>
      <c r="Z235" s="9">
        <f t="shared" si="50"/>
        <v>0</v>
      </c>
      <c r="AA235" s="9">
        <f t="shared" si="49"/>
        <v>0</v>
      </c>
      <c r="AB235" s="9">
        <f t="shared" si="49"/>
        <v>0</v>
      </c>
      <c r="AC235" s="9">
        <f t="shared" si="49"/>
        <v>0</v>
      </c>
      <c r="AD235" s="9">
        <f t="shared" si="49"/>
        <v>0</v>
      </c>
      <c r="AE235" s="9">
        <f t="shared" si="49"/>
        <v>0</v>
      </c>
    </row>
    <row r="236" spans="2:31" x14ac:dyDescent="0.25">
      <c r="B236" s="6">
        <v>0</v>
      </c>
      <c r="C236" s="6">
        <v>0</v>
      </c>
      <c r="D236" s="6">
        <v>0</v>
      </c>
      <c r="E236" s="6">
        <v>0</v>
      </c>
      <c r="F236" s="6">
        <v>0</v>
      </c>
      <c r="L236">
        <f t="shared" si="39"/>
        <v>0</v>
      </c>
      <c r="M236">
        <f t="shared" si="40"/>
        <v>0</v>
      </c>
      <c r="N236">
        <f t="shared" si="41"/>
        <v>0</v>
      </c>
      <c r="O236">
        <f t="shared" si="42"/>
        <v>0</v>
      </c>
      <c r="P236">
        <f t="shared" si="43"/>
        <v>0</v>
      </c>
      <c r="Q236">
        <f t="shared" si="44"/>
        <v>0</v>
      </c>
      <c r="R236">
        <f t="shared" si="45"/>
        <v>0</v>
      </c>
      <c r="S236">
        <f t="shared" si="46"/>
        <v>0</v>
      </c>
      <c r="T236">
        <f t="shared" si="47"/>
        <v>0</v>
      </c>
      <c r="U236">
        <f t="shared" si="48"/>
        <v>0</v>
      </c>
      <c r="V236" s="9">
        <f t="shared" si="50"/>
        <v>0</v>
      </c>
      <c r="W236" s="9">
        <f t="shared" si="50"/>
        <v>0</v>
      </c>
      <c r="X236" s="9">
        <f t="shared" si="50"/>
        <v>0</v>
      </c>
      <c r="Y236" s="9">
        <f t="shared" si="50"/>
        <v>0</v>
      </c>
      <c r="Z236" s="9">
        <f t="shared" si="50"/>
        <v>0</v>
      </c>
      <c r="AA236" s="9">
        <f t="shared" si="49"/>
        <v>0</v>
      </c>
      <c r="AB236" s="9">
        <f t="shared" si="49"/>
        <v>0</v>
      </c>
      <c r="AC236" s="9">
        <f t="shared" si="49"/>
        <v>0</v>
      </c>
      <c r="AD236" s="9">
        <f t="shared" si="49"/>
        <v>0</v>
      </c>
      <c r="AE236" s="9">
        <f t="shared" si="49"/>
        <v>0</v>
      </c>
    </row>
    <row r="237" spans="2:31" x14ac:dyDescent="0.25">
      <c r="B237" s="6">
        <v>0</v>
      </c>
      <c r="C237" s="6">
        <v>0</v>
      </c>
      <c r="D237" s="6">
        <v>0</v>
      </c>
      <c r="E237" s="6">
        <v>0</v>
      </c>
      <c r="F237" s="6">
        <v>0</v>
      </c>
      <c r="L237">
        <f t="shared" si="39"/>
        <v>0</v>
      </c>
      <c r="M237">
        <f t="shared" si="40"/>
        <v>0</v>
      </c>
      <c r="N237">
        <f t="shared" si="41"/>
        <v>0</v>
      </c>
      <c r="O237">
        <f t="shared" si="42"/>
        <v>0</v>
      </c>
      <c r="P237">
        <f t="shared" si="43"/>
        <v>0</v>
      </c>
      <c r="Q237">
        <f t="shared" si="44"/>
        <v>0</v>
      </c>
      <c r="R237">
        <f t="shared" si="45"/>
        <v>0</v>
      </c>
      <c r="S237">
        <f t="shared" si="46"/>
        <v>0</v>
      </c>
      <c r="T237">
        <f t="shared" si="47"/>
        <v>0</v>
      </c>
      <c r="U237">
        <f t="shared" si="48"/>
        <v>0</v>
      </c>
      <c r="V237" s="9">
        <f t="shared" si="50"/>
        <v>0</v>
      </c>
      <c r="W237" s="9">
        <f t="shared" si="50"/>
        <v>0</v>
      </c>
      <c r="X237" s="9">
        <f t="shared" si="50"/>
        <v>0</v>
      </c>
      <c r="Y237" s="9">
        <f t="shared" si="50"/>
        <v>0</v>
      </c>
      <c r="Z237" s="9">
        <f t="shared" si="50"/>
        <v>0</v>
      </c>
      <c r="AA237" s="9">
        <f t="shared" si="49"/>
        <v>0</v>
      </c>
      <c r="AB237" s="9">
        <f t="shared" si="49"/>
        <v>0</v>
      </c>
      <c r="AC237" s="9">
        <f t="shared" si="49"/>
        <v>0</v>
      </c>
      <c r="AD237" s="9">
        <f t="shared" si="49"/>
        <v>0</v>
      </c>
      <c r="AE237" s="9">
        <f t="shared" si="49"/>
        <v>0</v>
      </c>
    </row>
    <row r="238" spans="2:31" x14ac:dyDescent="0.25">
      <c r="B238" s="6">
        <v>0</v>
      </c>
      <c r="C238" s="6">
        <v>0</v>
      </c>
      <c r="D238" s="6">
        <v>0</v>
      </c>
      <c r="E238" s="6">
        <v>0</v>
      </c>
      <c r="F238" s="6">
        <v>0</v>
      </c>
      <c r="L238">
        <f t="shared" si="39"/>
        <v>0</v>
      </c>
      <c r="M238">
        <f t="shared" si="40"/>
        <v>0</v>
      </c>
      <c r="N238">
        <f t="shared" si="41"/>
        <v>0</v>
      </c>
      <c r="O238">
        <f t="shared" si="42"/>
        <v>0</v>
      </c>
      <c r="P238">
        <f t="shared" si="43"/>
        <v>0</v>
      </c>
      <c r="Q238">
        <f t="shared" si="44"/>
        <v>0</v>
      </c>
      <c r="R238">
        <f t="shared" si="45"/>
        <v>0</v>
      </c>
      <c r="S238">
        <f t="shared" si="46"/>
        <v>0</v>
      </c>
      <c r="T238">
        <f t="shared" si="47"/>
        <v>0</v>
      </c>
      <c r="U238">
        <f t="shared" si="48"/>
        <v>0</v>
      </c>
      <c r="V238" s="9">
        <f t="shared" si="50"/>
        <v>0</v>
      </c>
      <c r="W238" s="9">
        <f t="shared" si="50"/>
        <v>0</v>
      </c>
      <c r="X238" s="9">
        <f t="shared" si="50"/>
        <v>0</v>
      </c>
      <c r="Y238" s="9">
        <f t="shared" si="50"/>
        <v>0</v>
      </c>
      <c r="Z238" s="9">
        <f t="shared" si="50"/>
        <v>0</v>
      </c>
      <c r="AA238" s="9">
        <f t="shared" si="49"/>
        <v>0</v>
      </c>
      <c r="AB238" s="9">
        <f t="shared" si="49"/>
        <v>0</v>
      </c>
      <c r="AC238" s="9">
        <f t="shared" si="49"/>
        <v>0</v>
      </c>
      <c r="AD238" s="9">
        <f t="shared" si="49"/>
        <v>0</v>
      </c>
      <c r="AE238" s="9">
        <f t="shared" si="49"/>
        <v>0</v>
      </c>
    </row>
    <row r="239" spans="2:31" x14ac:dyDescent="0.25">
      <c r="B239" s="6">
        <v>0</v>
      </c>
      <c r="C239" s="6">
        <v>0</v>
      </c>
      <c r="D239" s="6">
        <v>0</v>
      </c>
      <c r="E239" s="6">
        <v>0</v>
      </c>
      <c r="F239" s="6">
        <v>0</v>
      </c>
      <c r="L239">
        <f t="shared" si="39"/>
        <v>0</v>
      </c>
      <c r="M239">
        <f t="shared" si="40"/>
        <v>0</v>
      </c>
      <c r="N239">
        <f t="shared" si="41"/>
        <v>0</v>
      </c>
      <c r="O239">
        <f t="shared" si="42"/>
        <v>0</v>
      </c>
      <c r="P239">
        <f t="shared" si="43"/>
        <v>0</v>
      </c>
      <c r="Q239">
        <f t="shared" si="44"/>
        <v>0</v>
      </c>
      <c r="R239">
        <f t="shared" si="45"/>
        <v>0</v>
      </c>
      <c r="S239">
        <f t="shared" si="46"/>
        <v>0</v>
      </c>
      <c r="T239">
        <f t="shared" si="47"/>
        <v>0</v>
      </c>
      <c r="U239">
        <f t="shared" si="48"/>
        <v>0</v>
      </c>
      <c r="V239" s="9">
        <f t="shared" si="50"/>
        <v>0</v>
      </c>
      <c r="W239" s="9">
        <f t="shared" si="50"/>
        <v>0</v>
      </c>
      <c r="X239" s="9">
        <f t="shared" si="50"/>
        <v>0</v>
      </c>
      <c r="Y239" s="9">
        <f t="shared" si="50"/>
        <v>0</v>
      </c>
      <c r="Z239" s="9">
        <f t="shared" si="50"/>
        <v>0</v>
      </c>
      <c r="AA239" s="9">
        <f t="shared" si="49"/>
        <v>0</v>
      </c>
      <c r="AB239" s="9">
        <f t="shared" si="49"/>
        <v>0</v>
      </c>
      <c r="AC239" s="9">
        <f t="shared" si="49"/>
        <v>0</v>
      </c>
      <c r="AD239" s="9">
        <f t="shared" si="49"/>
        <v>0</v>
      </c>
      <c r="AE239" s="9">
        <f t="shared" si="49"/>
        <v>0</v>
      </c>
    </row>
    <row r="240" spans="2:31" x14ac:dyDescent="0.25">
      <c r="B240" s="6">
        <v>0</v>
      </c>
      <c r="C240" s="6">
        <v>0</v>
      </c>
      <c r="D240" s="6">
        <v>0</v>
      </c>
      <c r="E240" s="6">
        <v>0</v>
      </c>
      <c r="F240" s="6">
        <v>0</v>
      </c>
      <c r="L240">
        <f t="shared" si="39"/>
        <v>0</v>
      </c>
      <c r="M240">
        <f t="shared" si="40"/>
        <v>0</v>
      </c>
      <c r="N240">
        <f t="shared" si="41"/>
        <v>0</v>
      </c>
      <c r="O240">
        <f t="shared" si="42"/>
        <v>0</v>
      </c>
      <c r="P240">
        <f t="shared" si="43"/>
        <v>0</v>
      </c>
      <c r="Q240">
        <f t="shared" si="44"/>
        <v>0</v>
      </c>
      <c r="R240">
        <f t="shared" si="45"/>
        <v>0</v>
      </c>
      <c r="S240">
        <f t="shared" si="46"/>
        <v>0</v>
      </c>
      <c r="T240">
        <f t="shared" si="47"/>
        <v>0</v>
      </c>
      <c r="U240">
        <f t="shared" si="48"/>
        <v>0</v>
      </c>
      <c r="V240" s="9">
        <f t="shared" si="50"/>
        <v>0</v>
      </c>
      <c r="W240" s="9">
        <f t="shared" si="50"/>
        <v>0</v>
      </c>
      <c r="X240" s="9">
        <f t="shared" si="50"/>
        <v>0</v>
      </c>
      <c r="Y240" s="9">
        <f t="shared" si="50"/>
        <v>0</v>
      </c>
      <c r="Z240" s="9">
        <f t="shared" si="50"/>
        <v>0</v>
      </c>
      <c r="AA240" s="9">
        <f t="shared" si="49"/>
        <v>0</v>
      </c>
      <c r="AB240" s="9">
        <f t="shared" si="49"/>
        <v>0</v>
      </c>
      <c r="AC240" s="9">
        <f t="shared" si="49"/>
        <v>0</v>
      </c>
      <c r="AD240" s="9">
        <f t="shared" si="49"/>
        <v>0</v>
      </c>
      <c r="AE240" s="9">
        <f t="shared" si="49"/>
        <v>0</v>
      </c>
    </row>
    <row r="241" spans="2:31" x14ac:dyDescent="0.25">
      <c r="B241" s="6">
        <v>0</v>
      </c>
      <c r="C241" s="6">
        <v>0</v>
      </c>
      <c r="D241" s="6">
        <v>0</v>
      </c>
      <c r="E241" s="6">
        <v>0</v>
      </c>
      <c r="F241" s="6">
        <v>0</v>
      </c>
      <c r="L241">
        <f t="shared" si="39"/>
        <v>0</v>
      </c>
      <c r="M241">
        <f t="shared" si="40"/>
        <v>0</v>
      </c>
      <c r="N241">
        <f t="shared" si="41"/>
        <v>0</v>
      </c>
      <c r="O241">
        <f t="shared" si="42"/>
        <v>0</v>
      </c>
      <c r="P241">
        <f t="shared" si="43"/>
        <v>0</v>
      </c>
      <c r="Q241">
        <f t="shared" si="44"/>
        <v>0</v>
      </c>
      <c r="R241">
        <f t="shared" si="45"/>
        <v>0</v>
      </c>
      <c r="S241">
        <f t="shared" si="46"/>
        <v>0</v>
      </c>
      <c r="T241">
        <f t="shared" si="47"/>
        <v>0</v>
      </c>
      <c r="U241">
        <f t="shared" si="48"/>
        <v>0</v>
      </c>
      <c r="V241" s="9">
        <f t="shared" si="50"/>
        <v>0</v>
      </c>
      <c r="W241" s="9">
        <f t="shared" si="50"/>
        <v>0</v>
      </c>
      <c r="X241" s="9">
        <f t="shared" si="50"/>
        <v>0</v>
      </c>
      <c r="Y241" s="9">
        <f t="shared" si="50"/>
        <v>0</v>
      </c>
      <c r="Z241" s="9">
        <f t="shared" si="50"/>
        <v>0</v>
      </c>
      <c r="AA241" s="9">
        <f t="shared" si="49"/>
        <v>0</v>
      </c>
      <c r="AB241" s="9">
        <f t="shared" si="49"/>
        <v>0</v>
      </c>
      <c r="AC241" s="9">
        <f t="shared" si="49"/>
        <v>0</v>
      </c>
      <c r="AD241" s="9">
        <f t="shared" si="49"/>
        <v>0</v>
      </c>
      <c r="AE241" s="9">
        <f t="shared" si="49"/>
        <v>0</v>
      </c>
    </row>
    <row r="242" spans="2:31" x14ac:dyDescent="0.25">
      <c r="B242" s="6">
        <v>0</v>
      </c>
      <c r="C242" s="6">
        <v>0</v>
      </c>
      <c r="D242" s="6">
        <v>0</v>
      </c>
      <c r="E242" s="6">
        <v>0</v>
      </c>
      <c r="F242" s="6">
        <v>0</v>
      </c>
      <c r="L242">
        <f t="shared" si="39"/>
        <v>0</v>
      </c>
      <c r="M242">
        <f t="shared" si="40"/>
        <v>0</v>
      </c>
      <c r="N242">
        <f t="shared" si="41"/>
        <v>0</v>
      </c>
      <c r="O242">
        <f t="shared" si="42"/>
        <v>0</v>
      </c>
      <c r="P242">
        <f t="shared" si="43"/>
        <v>0</v>
      </c>
      <c r="Q242">
        <f t="shared" si="44"/>
        <v>0</v>
      </c>
      <c r="R242">
        <f t="shared" si="45"/>
        <v>0</v>
      </c>
      <c r="S242">
        <f t="shared" si="46"/>
        <v>0</v>
      </c>
      <c r="T242">
        <f t="shared" si="47"/>
        <v>0</v>
      </c>
      <c r="U242">
        <f t="shared" si="48"/>
        <v>0</v>
      </c>
      <c r="V242" s="9">
        <f t="shared" si="50"/>
        <v>0</v>
      </c>
      <c r="W242" s="9">
        <f t="shared" si="50"/>
        <v>0</v>
      </c>
      <c r="X242" s="9">
        <f t="shared" si="50"/>
        <v>0</v>
      </c>
      <c r="Y242" s="9">
        <f t="shared" si="50"/>
        <v>0</v>
      </c>
      <c r="Z242" s="9">
        <f t="shared" si="50"/>
        <v>0</v>
      </c>
      <c r="AA242" s="9">
        <f t="shared" si="49"/>
        <v>0</v>
      </c>
      <c r="AB242" s="9">
        <f t="shared" si="49"/>
        <v>0</v>
      </c>
      <c r="AC242" s="9">
        <f t="shared" si="49"/>
        <v>0</v>
      </c>
      <c r="AD242" s="9">
        <f t="shared" si="49"/>
        <v>0</v>
      </c>
      <c r="AE242" s="9">
        <f t="shared" si="49"/>
        <v>0</v>
      </c>
    </row>
    <row r="243" spans="2:31" x14ac:dyDescent="0.25">
      <c r="B243" s="6">
        <v>0</v>
      </c>
      <c r="C243" s="6">
        <v>0</v>
      </c>
      <c r="D243" s="6">
        <v>0</v>
      </c>
      <c r="E243" s="6">
        <v>0</v>
      </c>
      <c r="F243" s="6">
        <v>0</v>
      </c>
      <c r="L243">
        <f t="shared" si="39"/>
        <v>0</v>
      </c>
      <c r="M243">
        <f t="shared" si="40"/>
        <v>0</v>
      </c>
      <c r="N243">
        <f t="shared" si="41"/>
        <v>0</v>
      </c>
      <c r="O243">
        <f t="shared" si="42"/>
        <v>0</v>
      </c>
      <c r="P243">
        <f t="shared" si="43"/>
        <v>0</v>
      </c>
      <c r="Q243">
        <f t="shared" si="44"/>
        <v>0</v>
      </c>
      <c r="R243">
        <f t="shared" si="45"/>
        <v>0</v>
      </c>
      <c r="S243">
        <f t="shared" si="46"/>
        <v>0</v>
      </c>
      <c r="T243">
        <f t="shared" si="47"/>
        <v>0</v>
      </c>
      <c r="U243">
        <f t="shared" si="48"/>
        <v>0</v>
      </c>
      <c r="V243" s="9">
        <f t="shared" si="50"/>
        <v>0</v>
      </c>
      <c r="W243" s="9">
        <f t="shared" si="50"/>
        <v>0</v>
      </c>
      <c r="X243" s="9">
        <f t="shared" si="50"/>
        <v>0</v>
      </c>
      <c r="Y243" s="9">
        <f t="shared" si="50"/>
        <v>0</v>
      </c>
      <c r="Z243" s="9">
        <f t="shared" si="50"/>
        <v>0</v>
      </c>
      <c r="AA243" s="9">
        <f t="shared" si="49"/>
        <v>0</v>
      </c>
      <c r="AB243" s="9">
        <f t="shared" si="49"/>
        <v>0</v>
      </c>
      <c r="AC243" s="9">
        <f t="shared" si="49"/>
        <v>0</v>
      </c>
      <c r="AD243" s="9">
        <f t="shared" si="49"/>
        <v>0</v>
      </c>
      <c r="AE243" s="9">
        <f t="shared" si="49"/>
        <v>0</v>
      </c>
    </row>
    <row r="244" spans="2:31" x14ac:dyDescent="0.25">
      <c r="B244" s="6">
        <v>0</v>
      </c>
      <c r="C244" s="6">
        <v>0</v>
      </c>
      <c r="D244" s="6">
        <v>0</v>
      </c>
      <c r="E244" s="6">
        <v>0</v>
      </c>
      <c r="F244" s="6">
        <v>0</v>
      </c>
      <c r="L244">
        <f t="shared" si="39"/>
        <v>0</v>
      </c>
      <c r="M244">
        <f t="shared" si="40"/>
        <v>0</v>
      </c>
      <c r="N244">
        <f t="shared" si="41"/>
        <v>0</v>
      </c>
      <c r="O244">
        <f t="shared" si="42"/>
        <v>0</v>
      </c>
      <c r="P244">
        <f t="shared" si="43"/>
        <v>0</v>
      </c>
      <c r="Q244">
        <f t="shared" si="44"/>
        <v>0</v>
      </c>
      <c r="R244">
        <f t="shared" si="45"/>
        <v>0</v>
      </c>
      <c r="S244">
        <f t="shared" si="46"/>
        <v>0</v>
      </c>
      <c r="T244">
        <f t="shared" si="47"/>
        <v>0</v>
      </c>
      <c r="U244">
        <f t="shared" si="48"/>
        <v>0</v>
      </c>
      <c r="V244" s="9">
        <f t="shared" si="50"/>
        <v>0</v>
      </c>
      <c r="W244" s="9">
        <f t="shared" si="50"/>
        <v>0</v>
      </c>
      <c r="X244" s="9">
        <f t="shared" si="50"/>
        <v>0</v>
      </c>
      <c r="Y244" s="9">
        <f t="shared" si="50"/>
        <v>0</v>
      </c>
      <c r="Z244" s="9">
        <f t="shared" si="50"/>
        <v>0</v>
      </c>
      <c r="AA244" s="9">
        <f t="shared" si="49"/>
        <v>0</v>
      </c>
      <c r="AB244" s="9">
        <f t="shared" si="49"/>
        <v>0</v>
      </c>
      <c r="AC244" s="9">
        <f t="shared" si="49"/>
        <v>0</v>
      </c>
      <c r="AD244" s="9">
        <f t="shared" si="49"/>
        <v>0</v>
      </c>
      <c r="AE244" s="9">
        <f t="shared" si="49"/>
        <v>0</v>
      </c>
    </row>
    <row r="245" spans="2:31" x14ac:dyDescent="0.25">
      <c r="B245" s="6">
        <v>0</v>
      </c>
      <c r="C245" s="6">
        <v>0</v>
      </c>
      <c r="D245" s="6">
        <v>0</v>
      </c>
      <c r="E245" s="6">
        <v>0</v>
      </c>
      <c r="F245" s="6">
        <v>0</v>
      </c>
      <c r="L245">
        <f t="shared" si="39"/>
        <v>0</v>
      </c>
      <c r="M245">
        <f t="shared" si="40"/>
        <v>0</v>
      </c>
      <c r="N245">
        <f t="shared" si="41"/>
        <v>0</v>
      </c>
      <c r="O245">
        <f t="shared" si="42"/>
        <v>0</v>
      </c>
      <c r="P245">
        <f t="shared" si="43"/>
        <v>0</v>
      </c>
      <c r="Q245">
        <f t="shared" si="44"/>
        <v>0</v>
      </c>
      <c r="R245">
        <f t="shared" si="45"/>
        <v>0</v>
      </c>
      <c r="S245">
        <f t="shared" si="46"/>
        <v>0</v>
      </c>
      <c r="T245">
        <f t="shared" si="47"/>
        <v>0</v>
      </c>
      <c r="U245">
        <f t="shared" si="48"/>
        <v>0</v>
      </c>
      <c r="V245" s="9">
        <f t="shared" si="50"/>
        <v>0</v>
      </c>
      <c r="W245" s="9">
        <f t="shared" si="50"/>
        <v>0</v>
      </c>
      <c r="X245" s="9">
        <f t="shared" si="50"/>
        <v>0</v>
      </c>
      <c r="Y245" s="9">
        <f t="shared" si="50"/>
        <v>0</v>
      </c>
      <c r="Z245" s="9">
        <f t="shared" si="50"/>
        <v>0</v>
      </c>
      <c r="AA245" s="9">
        <f t="shared" si="49"/>
        <v>0</v>
      </c>
      <c r="AB245" s="9">
        <f t="shared" si="49"/>
        <v>0</v>
      </c>
      <c r="AC245" s="9">
        <f t="shared" si="49"/>
        <v>0</v>
      </c>
      <c r="AD245" s="9">
        <f t="shared" si="49"/>
        <v>0</v>
      </c>
      <c r="AE245" s="9">
        <f t="shared" si="49"/>
        <v>0</v>
      </c>
    </row>
    <row r="246" spans="2:31" x14ac:dyDescent="0.25">
      <c r="B246" s="6">
        <v>0</v>
      </c>
      <c r="C246" s="6">
        <v>0</v>
      </c>
      <c r="D246" s="6">
        <v>0</v>
      </c>
      <c r="E246" s="6">
        <v>0</v>
      </c>
      <c r="F246" s="6">
        <v>0</v>
      </c>
      <c r="L246">
        <f t="shared" si="39"/>
        <v>0</v>
      </c>
      <c r="M246">
        <f t="shared" si="40"/>
        <v>0</v>
      </c>
      <c r="N246">
        <f t="shared" si="41"/>
        <v>0</v>
      </c>
      <c r="O246">
        <f t="shared" si="42"/>
        <v>0</v>
      </c>
      <c r="P246">
        <f t="shared" si="43"/>
        <v>0</v>
      </c>
      <c r="Q246">
        <f t="shared" si="44"/>
        <v>0</v>
      </c>
      <c r="R246">
        <f t="shared" si="45"/>
        <v>0</v>
      </c>
      <c r="S246">
        <f t="shared" si="46"/>
        <v>0</v>
      </c>
      <c r="T246">
        <f t="shared" si="47"/>
        <v>0</v>
      </c>
      <c r="U246">
        <f t="shared" si="48"/>
        <v>0</v>
      </c>
      <c r="V246" s="9">
        <f t="shared" si="50"/>
        <v>0</v>
      </c>
      <c r="W246" s="9">
        <f t="shared" si="50"/>
        <v>0</v>
      </c>
      <c r="X246" s="9">
        <f t="shared" si="50"/>
        <v>0</v>
      </c>
      <c r="Y246" s="9">
        <f t="shared" si="50"/>
        <v>0</v>
      </c>
      <c r="Z246" s="9">
        <f t="shared" si="50"/>
        <v>0</v>
      </c>
      <c r="AA246" s="9">
        <f t="shared" si="49"/>
        <v>0</v>
      </c>
      <c r="AB246" s="9">
        <f t="shared" si="49"/>
        <v>0</v>
      </c>
      <c r="AC246" s="9">
        <f t="shared" si="49"/>
        <v>0</v>
      </c>
      <c r="AD246" s="9">
        <f t="shared" si="49"/>
        <v>0</v>
      </c>
      <c r="AE246" s="9">
        <f t="shared" si="49"/>
        <v>0</v>
      </c>
    </row>
    <row r="247" spans="2:31" x14ac:dyDescent="0.25">
      <c r="B247" s="6">
        <v>0</v>
      </c>
      <c r="C247" s="6">
        <v>0</v>
      </c>
      <c r="D247" s="6">
        <v>0</v>
      </c>
      <c r="E247" s="6">
        <v>0</v>
      </c>
      <c r="F247" s="6">
        <v>0</v>
      </c>
      <c r="L247">
        <f t="shared" si="39"/>
        <v>0</v>
      </c>
      <c r="M247">
        <f t="shared" si="40"/>
        <v>0</v>
      </c>
      <c r="N247">
        <f t="shared" si="41"/>
        <v>0</v>
      </c>
      <c r="O247">
        <f t="shared" si="42"/>
        <v>0</v>
      </c>
      <c r="P247">
        <f t="shared" si="43"/>
        <v>0</v>
      </c>
      <c r="Q247">
        <f t="shared" si="44"/>
        <v>0</v>
      </c>
      <c r="R247">
        <f t="shared" si="45"/>
        <v>0</v>
      </c>
      <c r="S247">
        <f t="shared" si="46"/>
        <v>0</v>
      </c>
      <c r="T247">
        <f t="shared" si="47"/>
        <v>0</v>
      </c>
      <c r="U247">
        <f t="shared" si="48"/>
        <v>0</v>
      </c>
      <c r="V247" s="9">
        <f t="shared" si="50"/>
        <v>0</v>
      </c>
      <c r="W247" s="9">
        <f t="shared" si="50"/>
        <v>0</v>
      </c>
      <c r="X247" s="9">
        <f t="shared" si="50"/>
        <v>0</v>
      </c>
      <c r="Y247" s="9">
        <f t="shared" si="50"/>
        <v>0</v>
      </c>
      <c r="Z247" s="9">
        <f t="shared" si="50"/>
        <v>0</v>
      </c>
      <c r="AA247" s="9">
        <f t="shared" si="49"/>
        <v>0</v>
      </c>
      <c r="AB247" s="9">
        <f t="shared" si="49"/>
        <v>0</v>
      </c>
      <c r="AC247" s="9">
        <f t="shared" si="49"/>
        <v>0</v>
      </c>
      <c r="AD247" s="9">
        <f t="shared" si="49"/>
        <v>0</v>
      </c>
      <c r="AE247" s="9">
        <f t="shared" si="49"/>
        <v>0</v>
      </c>
    </row>
    <row r="248" spans="2:31" x14ac:dyDescent="0.25">
      <c r="B248" s="6">
        <v>0</v>
      </c>
      <c r="C248" s="6">
        <v>0</v>
      </c>
      <c r="D248" s="6">
        <v>0</v>
      </c>
      <c r="E248" s="6">
        <v>0</v>
      </c>
      <c r="F248" s="6">
        <v>0</v>
      </c>
      <c r="L248">
        <f t="shared" si="39"/>
        <v>0</v>
      </c>
      <c r="M248">
        <f t="shared" si="40"/>
        <v>0</v>
      </c>
      <c r="N248">
        <f t="shared" si="41"/>
        <v>0</v>
      </c>
      <c r="O248">
        <f t="shared" si="42"/>
        <v>0</v>
      </c>
      <c r="P248">
        <f t="shared" si="43"/>
        <v>0</v>
      </c>
      <c r="Q248">
        <f t="shared" si="44"/>
        <v>0</v>
      </c>
      <c r="R248">
        <f t="shared" si="45"/>
        <v>0</v>
      </c>
      <c r="S248">
        <f t="shared" si="46"/>
        <v>0</v>
      </c>
      <c r="T248">
        <f t="shared" si="47"/>
        <v>0</v>
      </c>
      <c r="U248">
        <f t="shared" si="48"/>
        <v>0</v>
      </c>
      <c r="V248" s="9">
        <f t="shared" si="50"/>
        <v>0</v>
      </c>
      <c r="W248" s="9">
        <f t="shared" si="50"/>
        <v>0</v>
      </c>
      <c r="X248" s="9">
        <f t="shared" si="50"/>
        <v>0</v>
      </c>
      <c r="Y248" s="9">
        <f t="shared" si="50"/>
        <v>0</v>
      </c>
      <c r="Z248" s="9">
        <f t="shared" si="50"/>
        <v>0</v>
      </c>
      <c r="AA248" s="9">
        <f t="shared" si="49"/>
        <v>0</v>
      </c>
      <c r="AB248" s="9">
        <f t="shared" si="49"/>
        <v>0</v>
      </c>
      <c r="AC248" s="9">
        <f t="shared" si="49"/>
        <v>0</v>
      </c>
      <c r="AD248" s="9">
        <f t="shared" si="49"/>
        <v>0</v>
      </c>
      <c r="AE248" s="9">
        <f t="shared" si="49"/>
        <v>0</v>
      </c>
    </row>
    <row r="249" spans="2:31" x14ac:dyDescent="0.25">
      <c r="B249" s="6">
        <v>0</v>
      </c>
      <c r="C249" s="6">
        <v>0</v>
      </c>
      <c r="D249" s="6">
        <v>0</v>
      </c>
      <c r="E249" s="6">
        <v>0</v>
      </c>
      <c r="F249" s="6">
        <v>0</v>
      </c>
      <c r="L249">
        <f t="shared" si="39"/>
        <v>0</v>
      </c>
      <c r="M249">
        <f t="shared" si="40"/>
        <v>0</v>
      </c>
      <c r="N249">
        <f t="shared" si="41"/>
        <v>0</v>
      </c>
      <c r="O249">
        <f t="shared" si="42"/>
        <v>0</v>
      </c>
      <c r="P249">
        <f t="shared" si="43"/>
        <v>0</v>
      </c>
      <c r="Q249">
        <f t="shared" si="44"/>
        <v>0</v>
      </c>
      <c r="R249">
        <f t="shared" si="45"/>
        <v>0</v>
      </c>
      <c r="S249">
        <f t="shared" si="46"/>
        <v>0</v>
      </c>
      <c r="T249">
        <f t="shared" si="47"/>
        <v>0</v>
      </c>
      <c r="U249">
        <f t="shared" si="48"/>
        <v>0</v>
      </c>
      <c r="V249" s="9">
        <f t="shared" si="50"/>
        <v>0</v>
      </c>
      <c r="W249" s="9">
        <f t="shared" si="50"/>
        <v>0</v>
      </c>
      <c r="X249" s="9">
        <f t="shared" si="50"/>
        <v>0</v>
      </c>
      <c r="Y249" s="9">
        <f t="shared" si="50"/>
        <v>0</v>
      </c>
      <c r="Z249" s="9">
        <f t="shared" si="50"/>
        <v>0</v>
      </c>
      <c r="AA249" s="9">
        <f t="shared" si="49"/>
        <v>0</v>
      </c>
      <c r="AB249" s="9">
        <f t="shared" si="49"/>
        <v>0</v>
      </c>
      <c r="AC249" s="9">
        <f t="shared" si="49"/>
        <v>0</v>
      </c>
      <c r="AD249" s="9">
        <f t="shared" si="49"/>
        <v>0</v>
      </c>
      <c r="AE249" s="9">
        <f t="shared" si="49"/>
        <v>0</v>
      </c>
    </row>
    <row r="250" spans="2:31" x14ac:dyDescent="0.25">
      <c r="B250" s="6">
        <v>0</v>
      </c>
      <c r="C250" s="6">
        <v>0</v>
      </c>
      <c r="D250" s="6">
        <v>0</v>
      </c>
      <c r="E250" s="6">
        <v>0</v>
      </c>
      <c r="F250" s="6">
        <v>0</v>
      </c>
      <c r="L250">
        <f t="shared" si="39"/>
        <v>0</v>
      </c>
      <c r="M250">
        <f t="shared" si="40"/>
        <v>0</v>
      </c>
      <c r="N250">
        <f t="shared" si="41"/>
        <v>0</v>
      </c>
      <c r="O250">
        <f t="shared" si="42"/>
        <v>0</v>
      </c>
      <c r="P250">
        <f t="shared" si="43"/>
        <v>0</v>
      </c>
      <c r="Q250">
        <f t="shared" si="44"/>
        <v>0</v>
      </c>
      <c r="R250">
        <f t="shared" si="45"/>
        <v>0</v>
      </c>
      <c r="S250">
        <f t="shared" si="46"/>
        <v>0</v>
      </c>
      <c r="T250">
        <f t="shared" si="47"/>
        <v>0</v>
      </c>
      <c r="U250">
        <f t="shared" si="48"/>
        <v>0</v>
      </c>
      <c r="V250" s="9">
        <f t="shared" si="50"/>
        <v>0</v>
      </c>
      <c r="W250" s="9">
        <f t="shared" si="50"/>
        <v>0</v>
      </c>
      <c r="X250" s="9">
        <f t="shared" si="50"/>
        <v>0</v>
      </c>
      <c r="Y250" s="9">
        <f t="shared" si="50"/>
        <v>0</v>
      </c>
      <c r="Z250" s="9">
        <f t="shared" si="50"/>
        <v>0</v>
      </c>
      <c r="AA250" s="9">
        <f t="shared" si="49"/>
        <v>0</v>
      </c>
      <c r="AB250" s="9">
        <f t="shared" si="49"/>
        <v>0</v>
      </c>
      <c r="AC250" s="9">
        <f t="shared" si="49"/>
        <v>0</v>
      </c>
      <c r="AD250" s="9">
        <f t="shared" si="49"/>
        <v>0</v>
      </c>
      <c r="AE250" s="9">
        <f t="shared" si="49"/>
        <v>0</v>
      </c>
    </row>
    <row r="251" spans="2:31" x14ac:dyDescent="0.25">
      <c r="B251" s="6">
        <v>0</v>
      </c>
      <c r="C251" s="6">
        <v>0</v>
      </c>
      <c r="D251" s="6">
        <v>0</v>
      </c>
      <c r="E251" s="6">
        <v>0</v>
      </c>
      <c r="F251" s="6">
        <v>0</v>
      </c>
      <c r="L251">
        <f t="shared" si="39"/>
        <v>0</v>
      </c>
      <c r="M251">
        <f t="shared" si="40"/>
        <v>0</v>
      </c>
      <c r="N251">
        <f t="shared" si="41"/>
        <v>0</v>
      </c>
      <c r="O251">
        <f t="shared" si="42"/>
        <v>0</v>
      </c>
      <c r="P251">
        <f t="shared" si="43"/>
        <v>0</v>
      </c>
      <c r="Q251">
        <f t="shared" si="44"/>
        <v>0</v>
      </c>
      <c r="R251">
        <f t="shared" si="45"/>
        <v>0</v>
      </c>
      <c r="S251">
        <f t="shared" si="46"/>
        <v>0</v>
      </c>
      <c r="T251">
        <f t="shared" si="47"/>
        <v>0</v>
      </c>
      <c r="U251">
        <f t="shared" si="48"/>
        <v>0</v>
      </c>
      <c r="V251" s="9">
        <f t="shared" si="50"/>
        <v>0</v>
      </c>
      <c r="W251" s="9">
        <f t="shared" si="50"/>
        <v>0</v>
      </c>
      <c r="X251" s="9">
        <f t="shared" si="50"/>
        <v>0</v>
      </c>
      <c r="Y251" s="9">
        <f t="shared" si="50"/>
        <v>0</v>
      </c>
      <c r="Z251" s="9">
        <f t="shared" si="50"/>
        <v>0</v>
      </c>
      <c r="AA251" s="9">
        <f t="shared" si="49"/>
        <v>0</v>
      </c>
      <c r="AB251" s="9">
        <f t="shared" si="49"/>
        <v>0</v>
      </c>
      <c r="AC251" s="9">
        <f t="shared" si="49"/>
        <v>0</v>
      </c>
      <c r="AD251" s="9">
        <f t="shared" si="49"/>
        <v>0</v>
      </c>
      <c r="AE251" s="9">
        <f t="shared" si="49"/>
        <v>0</v>
      </c>
    </row>
    <row r="252" spans="2:31" x14ac:dyDescent="0.25">
      <c r="B252" s="6">
        <v>0</v>
      </c>
      <c r="C252" s="6">
        <v>0</v>
      </c>
      <c r="D252" s="6">
        <v>0</v>
      </c>
      <c r="E252" s="6">
        <v>0</v>
      </c>
      <c r="F252" s="6">
        <v>0</v>
      </c>
      <c r="L252">
        <f t="shared" si="39"/>
        <v>0</v>
      </c>
      <c r="M252">
        <f t="shared" si="40"/>
        <v>0</v>
      </c>
      <c r="N252">
        <f t="shared" si="41"/>
        <v>0</v>
      </c>
      <c r="O252">
        <f t="shared" si="42"/>
        <v>0</v>
      </c>
      <c r="P252">
        <f t="shared" si="43"/>
        <v>0</v>
      </c>
      <c r="Q252">
        <f t="shared" si="44"/>
        <v>0</v>
      </c>
      <c r="R252">
        <f t="shared" si="45"/>
        <v>0</v>
      </c>
      <c r="S252">
        <f t="shared" si="46"/>
        <v>0</v>
      </c>
      <c r="T252">
        <f t="shared" si="47"/>
        <v>0</v>
      </c>
      <c r="U252">
        <f t="shared" si="48"/>
        <v>0</v>
      </c>
      <c r="V252" s="9">
        <f t="shared" si="50"/>
        <v>0</v>
      </c>
      <c r="W252" s="9">
        <f t="shared" si="50"/>
        <v>0</v>
      </c>
      <c r="X252" s="9">
        <f t="shared" si="50"/>
        <v>0</v>
      </c>
      <c r="Y252" s="9">
        <f t="shared" si="50"/>
        <v>0</v>
      </c>
      <c r="Z252" s="9">
        <f t="shared" si="50"/>
        <v>0</v>
      </c>
      <c r="AA252" s="9">
        <f t="shared" si="49"/>
        <v>0</v>
      </c>
      <c r="AB252" s="9">
        <f t="shared" si="49"/>
        <v>0</v>
      </c>
      <c r="AC252" s="9">
        <f t="shared" si="49"/>
        <v>0</v>
      </c>
      <c r="AD252" s="9">
        <f t="shared" si="49"/>
        <v>0</v>
      </c>
      <c r="AE252" s="9">
        <f t="shared" si="49"/>
        <v>0</v>
      </c>
    </row>
    <row r="253" spans="2:31" x14ac:dyDescent="0.25">
      <c r="B253" s="6">
        <v>0</v>
      </c>
      <c r="C253" s="6">
        <v>0</v>
      </c>
      <c r="D253" s="6">
        <v>0</v>
      </c>
      <c r="E253" s="6">
        <v>0</v>
      </c>
      <c r="F253" s="6">
        <v>0</v>
      </c>
      <c r="L253">
        <f t="shared" si="39"/>
        <v>0</v>
      </c>
      <c r="M253">
        <f t="shared" si="40"/>
        <v>0</v>
      </c>
      <c r="N253">
        <f t="shared" si="41"/>
        <v>0</v>
      </c>
      <c r="O253">
        <f t="shared" si="42"/>
        <v>0</v>
      </c>
      <c r="P253">
        <f t="shared" si="43"/>
        <v>0</v>
      </c>
      <c r="Q253">
        <f t="shared" si="44"/>
        <v>0</v>
      </c>
      <c r="R253">
        <f t="shared" si="45"/>
        <v>0</v>
      </c>
      <c r="S253">
        <f t="shared" si="46"/>
        <v>0</v>
      </c>
      <c r="T253">
        <f t="shared" si="47"/>
        <v>0</v>
      </c>
      <c r="U253">
        <f t="shared" si="48"/>
        <v>0</v>
      </c>
      <c r="V253" s="9">
        <f t="shared" si="50"/>
        <v>0</v>
      </c>
      <c r="W253" s="9">
        <f t="shared" si="50"/>
        <v>0</v>
      </c>
      <c r="X253" s="9">
        <f t="shared" si="50"/>
        <v>0</v>
      </c>
      <c r="Y253" s="9">
        <f t="shared" si="50"/>
        <v>0</v>
      </c>
      <c r="Z253" s="9">
        <f t="shared" si="50"/>
        <v>0</v>
      </c>
      <c r="AA253" s="9">
        <f t="shared" si="49"/>
        <v>0</v>
      </c>
      <c r="AB253" s="9">
        <f t="shared" si="49"/>
        <v>0</v>
      </c>
      <c r="AC253" s="9">
        <f t="shared" si="49"/>
        <v>0</v>
      </c>
      <c r="AD253" s="9">
        <f t="shared" si="49"/>
        <v>0</v>
      </c>
      <c r="AE253" s="9">
        <f t="shared" si="49"/>
        <v>0</v>
      </c>
    </row>
    <row r="254" spans="2:31" x14ac:dyDescent="0.25">
      <c r="B254" s="6">
        <v>0</v>
      </c>
      <c r="C254" s="6">
        <v>0</v>
      </c>
      <c r="D254" s="6">
        <v>0</v>
      </c>
      <c r="E254" s="6">
        <v>0</v>
      </c>
      <c r="F254" s="6">
        <v>0</v>
      </c>
      <c r="L254">
        <f t="shared" si="39"/>
        <v>0</v>
      </c>
      <c r="M254">
        <f t="shared" si="40"/>
        <v>0</v>
      </c>
      <c r="N254">
        <f t="shared" si="41"/>
        <v>0</v>
      </c>
      <c r="O254">
        <f t="shared" si="42"/>
        <v>0</v>
      </c>
      <c r="P254">
        <f t="shared" si="43"/>
        <v>0</v>
      </c>
      <c r="Q254">
        <f t="shared" si="44"/>
        <v>0</v>
      </c>
      <c r="R254">
        <f t="shared" si="45"/>
        <v>0</v>
      </c>
      <c r="S254">
        <f t="shared" si="46"/>
        <v>0</v>
      </c>
      <c r="T254">
        <f t="shared" si="47"/>
        <v>0</v>
      </c>
      <c r="U254">
        <f t="shared" si="48"/>
        <v>0</v>
      </c>
      <c r="V254" s="9">
        <f t="shared" si="50"/>
        <v>0</v>
      </c>
      <c r="W254" s="9">
        <f t="shared" si="50"/>
        <v>0</v>
      </c>
      <c r="X254" s="9">
        <f t="shared" si="50"/>
        <v>0</v>
      </c>
      <c r="Y254" s="9">
        <f t="shared" si="50"/>
        <v>0</v>
      </c>
      <c r="Z254" s="9">
        <f t="shared" si="50"/>
        <v>0</v>
      </c>
      <c r="AA254" s="9">
        <f t="shared" si="49"/>
        <v>0</v>
      </c>
      <c r="AB254" s="9">
        <f t="shared" si="49"/>
        <v>0</v>
      </c>
      <c r="AC254" s="9">
        <f t="shared" si="49"/>
        <v>0</v>
      </c>
      <c r="AD254" s="9">
        <f t="shared" si="49"/>
        <v>0</v>
      </c>
      <c r="AE254" s="9">
        <f t="shared" si="49"/>
        <v>0</v>
      </c>
    </row>
    <row r="255" spans="2:31" x14ac:dyDescent="0.25">
      <c r="B255" s="6">
        <v>0</v>
      </c>
      <c r="C255" s="6">
        <v>0</v>
      </c>
      <c r="D255" s="6">
        <v>0</v>
      </c>
      <c r="E255" s="6">
        <v>0</v>
      </c>
      <c r="F255" s="6">
        <v>0</v>
      </c>
      <c r="L255">
        <f t="shared" si="39"/>
        <v>0</v>
      </c>
      <c r="M255">
        <f t="shared" si="40"/>
        <v>0</v>
      </c>
      <c r="N255">
        <f t="shared" si="41"/>
        <v>0</v>
      </c>
      <c r="O255">
        <f t="shared" si="42"/>
        <v>0</v>
      </c>
      <c r="P255">
        <f t="shared" si="43"/>
        <v>0</v>
      </c>
      <c r="Q255">
        <f t="shared" si="44"/>
        <v>0</v>
      </c>
      <c r="R255">
        <f t="shared" si="45"/>
        <v>0</v>
      </c>
      <c r="S255">
        <f t="shared" si="46"/>
        <v>0</v>
      </c>
      <c r="T255">
        <f t="shared" si="47"/>
        <v>0</v>
      </c>
      <c r="U255">
        <f t="shared" si="48"/>
        <v>0</v>
      </c>
      <c r="V255" s="9">
        <f t="shared" si="50"/>
        <v>0</v>
      </c>
      <c r="W255" s="9">
        <f t="shared" si="50"/>
        <v>0</v>
      </c>
      <c r="X255" s="9">
        <f t="shared" si="50"/>
        <v>0</v>
      </c>
      <c r="Y255" s="9">
        <f t="shared" si="50"/>
        <v>0</v>
      </c>
      <c r="Z255" s="9">
        <f t="shared" si="50"/>
        <v>0</v>
      </c>
      <c r="AA255" s="9">
        <f t="shared" si="49"/>
        <v>0</v>
      </c>
      <c r="AB255" s="9">
        <f t="shared" si="49"/>
        <v>0</v>
      </c>
      <c r="AC255" s="9">
        <f t="shared" si="49"/>
        <v>0</v>
      </c>
      <c r="AD255" s="9">
        <f t="shared" si="49"/>
        <v>0</v>
      </c>
      <c r="AE255" s="9">
        <f t="shared" si="49"/>
        <v>0</v>
      </c>
    </row>
    <row r="256" spans="2:31" x14ac:dyDescent="0.25">
      <c r="B256" s="6">
        <v>0</v>
      </c>
      <c r="C256" s="6">
        <v>0</v>
      </c>
      <c r="D256" s="6">
        <v>0</v>
      </c>
      <c r="E256" s="6">
        <v>0</v>
      </c>
      <c r="F256" s="6">
        <v>0</v>
      </c>
      <c r="L256">
        <f t="shared" si="39"/>
        <v>0</v>
      </c>
      <c r="M256">
        <f t="shared" si="40"/>
        <v>0</v>
      </c>
      <c r="N256">
        <f t="shared" si="41"/>
        <v>0</v>
      </c>
      <c r="O256">
        <f t="shared" si="42"/>
        <v>0</v>
      </c>
      <c r="P256">
        <f t="shared" si="43"/>
        <v>0</v>
      </c>
      <c r="Q256">
        <f t="shared" si="44"/>
        <v>0</v>
      </c>
      <c r="R256">
        <f t="shared" si="45"/>
        <v>0</v>
      </c>
      <c r="S256">
        <f t="shared" si="46"/>
        <v>0</v>
      </c>
      <c r="T256">
        <f t="shared" si="47"/>
        <v>0</v>
      </c>
      <c r="U256">
        <f t="shared" si="48"/>
        <v>0</v>
      </c>
      <c r="V256" s="9">
        <f t="shared" si="50"/>
        <v>0</v>
      </c>
      <c r="W256" s="9">
        <f t="shared" si="50"/>
        <v>0</v>
      </c>
      <c r="X256" s="9">
        <f t="shared" si="50"/>
        <v>0</v>
      </c>
      <c r="Y256" s="9">
        <f t="shared" si="50"/>
        <v>0</v>
      </c>
      <c r="Z256" s="9">
        <f t="shared" si="50"/>
        <v>0</v>
      </c>
      <c r="AA256" s="9">
        <f t="shared" si="49"/>
        <v>0</v>
      </c>
      <c r="AB256" s="9">
        <f t="shared" si="49"/>
        <v>0</v>
      </c>
      <c r="AC256" s="9">
        <f t="shared" si="49"/>
        <v>0</v>
      </c>
      <c r="AD256" s="9">
        <f t="shared" si="49"/>
        <v>0</v>
      </c>
      <c r="AE256" s="9">
        <f t="shared" si="49"/>
        <v>0</v>
      </c>
    </row>
    <row r="257" spans="2:31" x14ac:dyDescent="0.25">
      <c r="B257" s="6">
        <v>0</v>
      </c>
      <c r="C257" s="6">
        <v>0</v>
      </c>
      <c r="D257" s="6">
        <v>0</v>
      </c>
      <c r="E257" s="6">
        <v>0</v>
      </c>
      <c r="F257" s="6">
        <v>0</v>
      </c>
      <c r="L257">
        <f t="shared" ref="L257:L320" si="51">B257-C257</f>
        <v>0</v>
      </c>
      <c r="M257">
        <f t="shared" ref="M257:M320" si="52">B257-D257</f>
        <v>0</v>
      </c>
      <c r="N257">
        <f t="shared" ref="N257:N320" si="53">B257-E257</f>
        <v>0</v>
      </c>
      <c r="O257">
        <f t="shared" ref="O257:O320" si="54">B257-F257</f>
        <v>0</v>
      </c>
      <c r="P257">
        <f t="shared" ref="P257:P320" si="55">C257-D257</f>
        <v>0</v>
      </c>
      <c r="Q257">
        <f t="shared" ref="Q257:Q320" si="56">C257-E257</f>
        <v>0</v>
      </c>
      <c r="R257">
        <f t="shared" ref="R257:R320" si="57">C257-F257</f>
        <v>0</v>
      </c>
      <c r="S257">
        <f t="shared" ref="S257:S320" si="58">D257-E257</f>
        <v>0</v>
      </c>
      <c r="T257">
        <f t="shared" ref="T257:T320" si="59">D257-F257</f>
        <v>0</v>
      </c>
      <c r="U257">
        <f t="shared" ref="U257:U320" si="60">E257-F257</f>
        <v>0</v>
      </c>
      <c r="V257" s="9">
        <f t="shared" si="50"/>
        <v>0</v>
      </c>
      <c r="W257" s="9">
        <f t="shared" si="50"/>
        <v>0</v>
      </c>
      <c r="X257" s="9">
        <f t="shared" si="50"/>
        <v>0</v>
      </c>
      <c r="Y257" s="9">
        <f t="shared" si="50"/>
        <v>0</v>
      </c>
      <c r="Z257" s="9">
        <f t="shared" si="50"/>
        <v>0</v>
      </c>
      <c r="AA257" s="9">
        <f t="shared" si="49"/>
        <v>0</v>
      </c>
      <c r="AB257" s="9">
        <f t="shared" si="49"/>
        <v>0</v>
      </c>
      <c r="AC257" s="9">
        <f t="shared" si="49"/>
        <v>0</v>
      </c>
      <c r="AD257" s="9">
        <f t="shared" si="49"/>
        <v>0</v>
      </c>
      <c r="AE257" s="9">
        <f t="shared" si="49"/>
        <v>0</v>
      </c>
    </row>
    <row r="258" spans="2:31" x14ac:dyDescent="0.25">
      <c r="B258" s="6">
        <v>0</v>
      </c>
      <c r="C258" s="6">
        <v>0</v>
      </c>
      <c r="D258" s="6">
        <v>0</v>
      </c>
      <c r="E258" s="6">
        <v>0</v>
      </c>
      <c r="F258" s="6">
        <v>0</v>
      </c>
      <c r="L258">
        <f t="shared" si="51"/>
        <v>0</v>
      </c>
      <c r="M258">
        <f t="shared" si="52"/>
        <v>0</v>
      </c>
      <c r="N258">
        <f t="shared" si="53"/>
        <v>0</v>
      </c>
      <c r="O258">
        <f t="shared" si="54"/>
        <v>0</v>
      </c>
      <c r="P258">
        <f t="shared" si="55"/>
        <v>0</v>
      </c>
      <c r="Q258">
        <f t="shared" si="56"/>
        <v>0</v>
      </c>
      <c r="R258">
        <f t="shared" si="57"/>
        <v>0</v>
      </c>
      <c r="S258">
        <f t="shared" si="58"/>
        <v>0</v>
      </c>
      <c r="T258">
        <f t="shared" si="59"/>
        <v>0</v>
      </c>
      <c r="U258">
        <f t="shared" si="60"/>
        <v>0</v>
      </c>
      <c r="V258" s="9">
        <f t="shared" si="50"/>
        <v>0</v>
      </c>
      <c r="W258" s="9">
        <f t="shared" si="50"/>
        <v>0</v>
      </c>
      <c r="X258" s="9">
        <f t="shared" si="50"/>
        <v>0</v>
      </c>
      <c r="Y258" s="9">
        <f t="shared" si="50"/>
        <v>0</v>
      </c>
      <c r="Z258" s="9">
        <f t="shared" si="50"/>
        <v>0</v>
      </c>
      <c r="AA258" s="9">
        <f t="shared" si="49"/>
        <v>0</v>
      </c>
      <c r="AB258" s="9">
        <f t="shared" si="49"/>
        <v>0</v>
      </c>
      <c r="AC258" s="9">
        <f t="shared" si="49"/>
        <v>0</v>
      </c>
      <c r="AD258" s="9">
        <f t="shared" si="49"/>
        <v>0</v>
      </c>
      <c r="AE258" s="9">
        <f t="shared" si="49"/>
        <v>0</v>
      </c>
    </row>
    <row r="259" spans="2:31" x14ac:dyDescent="0.25">
      <c r="B259" s="6">
        <v>0</v>
      </c>
      <c r="C259" s="6">
        <v>0</v>
      </c>
      <c r="D259" s="6">
        <v>0</v>
      </c>
      <c r="E259" s="6">
        <v>0</v>
      </c>
      <c r="F259" s="6">
        <v>0</v>
      </c>
      <c r="L259">
        <f t="shared" si="51"/>
        <v>0</v>
      </c>
      <c r="M259">
        <f t="shared" si="52"/>
        <v>0</v>
      </c>
      <c r="N259">
        <f t="shared" si="53"/>
        <v>0</v>
      </c>
      <c r="O259">
        <f t="shared" si="54"/>
        <v>0</v>
      </c>
      <c r="P259">
        <f t="shared" si="55"/>
        <v>0</v>
      </c>
      <c r="Q259">
        <f t="shared" si="56"/>
        <v>0</v>
      </c>
      <c r="R259">
        <f t="shared" si="57"/>
        <v>0</v>
      </c>
      <c r="S259">
        <f t="shared" si="58"/>
        <v>0</v>
      </c>
      <c r="T259">
        <f t="shared" si="59"/>
        <v>0</v>
      </c>
      <c r="U259">
        <f t="shared" si="60"/>
        <v>0</v>
      </c>
      <c r="V259" s="9">
        <f t="shared" si="50"/>
        <v>0</v>
      </c>
      <c r="W259" s="9">
        <f t="shared" si="50"/>
        <v>0</v>
      </c>
      <c r="X259" s="9">
        <f t="shared" si="50"/>
        <v>0</v>
      </c>
      <c r="Y259" s="9">
        <f t="shared" si="50"/>
        <v>0</v>
      </c>
      <c r="Z259" s="9">
        <f t="shared" si="50"/>
        <v>0</v>
      </c>
      <c r="AA259" s="9">
        <f t="shared" si="49"/>
        <v>0</v>
      </c>
      <c r="AB259" s="9">
        <f t="shared" si="49"/>
        <v>0</v>
      </c>
      <c r="AC259" s="9">
        <f t="shared" si="49"/>
        <v>0</v>
      </c>
      <c r="AD259" s="9">
        <f t="shared" si="49"/>
        <v>0</v>
      </c>
      <c r="AE259" s="9">
        <f t="shared" si="49"/>
        <v>0</v>
      </c>
    </row>
    <row r="260" spans="2:31" x14ac:dyDescent="0.25">
      <c r="B260" s="6">
        <v>0</v>
      </c>
      <c r="C260" s="6">
        <v>0</v>
      </c>
      <c r="D260" s="6">
        <v>0</v>
      </c>
      <c r="E260" s="6">
        <v>0</v>
      </c>
      <c r="F260" s="6">
        <v>0</v>
      </c>
      <c r="L260">
        <f t="shared" si="51"/>
        <v>0</v>
      </c>
      <c r="M260">
        <f t="shared" si="52"/>
        <v>0</v>
      </c>
      <c r="N260">
        <f t="shared" si="53"/>
        <v>0</v>
      </c>
      <c r="O260">
        <f t="shared" si="54"/>
        <v>0</v>
      </c>
      <c r="P260">
        <f t="shared" si="55"/>
        <v>0</v>
      </c>
      <c r="Q260">
        <f t="shared" si="56"/>
        <v>0</v>
      </c>
      <c r="R260">
        <f t="shared" si="57"/>
        <v>0</v>
      </c>
      <c r="S260">
        <f t="shared" si="58"/>
        <v>0</v>
      </c>
      <c r="T260">
        <f t="shared" si="59"/>
        <v>0</v>
      </c>
      <c r="U260">
        <f t="shared" si="60"/>
        <v>0</v>
      </c>
      <c r="V260" s="9">
        <f t="shared" si="50"/>
        <v>0</v>
      </c>
      <c r="W260" s="9">
        <f t="shared" si="50"/>
        <v>0</v>
      </c>
      <c r="X260" s="9">
        <f t="shared" si="50"/>
        <v>0</v>
      </c>
      <c r="Y260" s="9">
        <f t="shared" si="50"/>
        <v>0</v>
      </c>
      <c r="Z260" s="9">
        <f t="shared" si="50"/>
        <v>0</v>
      </c>
      <c r="AA260" s="9">
        <f t="shared" si="49"/>
        <v>0</v>
      </c>
      <c r="AB260" s="9">
        <f t="shared" si="49"/>
        <v>0</v>
      </c>
      <c r="AC260" s="9">
        <f t="shared" si="49"/>
        <v>0</v>
      </c>
      <c r="AD260" s="9">
        <f t="shared" si="49"/>
        <v>0</v>
      </c>
      <c r="AE260" s="9">
        <f t="shared" si="49"/>
        <v>0</v>
      </c>
    </row>
    <row r="261" spans="2:31" x14ac:dyDescent="0.25">
      <c r="B261" s="6">
        <v>0</v>
      </c>
      <c r="C261" s="6">
        <v>0</v>
      </c>
      <c r="D261" s="6">
        <v>0</v>
      </c>
      <c r="E261" s="6">
        <v>0</v>
      </c>
      <c r="F261" s="6">
        <v>0</v>
      </c>
      <c r="L261">
        <f t="shared" si="51"/>
        <v>0</v>
      </c>
      <c r="M261">
        <f t="shared" si="52"/>
        <v>0</v>
      </c>
      <c r="N261">
        <f t="shared" si="53"/>
        <v>0</v>
      </c>
      <c r="O261">
        <f t="shared" si="54"/>
        <v>0</v>
      </c>
      <c r="P261">
        <f t="shared" si="55"/>
        <v>0</v>
      </c>
      <c r="Q261">
        <f t="shared" si="56"/>
        <v>0</v>
      </c>
      <c r="R261">
        <f t="shared" si="57"/>
        <v>0</v>
      </c>
      <c r="S261">
        <f t="shared" si="58"/>
        <v>0</v>
      </c>
      <c r="T261">
        <f t="shared" si="59"/>
        <v>0</v>
      </c>
      <c r="U261">
        <f t="shared" si="60"/>
        <v>0</v>
      </c>
      <c r="V261" s="9">
        <f t="shared" si="50"/>
        <v>0</v>
      </c>
      <c r="W261" s="9">
        <f t="shared" si="50"/>
        <v>0</v>
      </c>
      <c r="X261" s="9">
        <f t="shared" si="50"/>
        <v>0</v>
      </c>
      <c r="Y261" s="9">
        <f t="shared" si="50"/>
        <v>0</v>
      </c>
      <c r="Z261" s="9">
        <f t="shared" si="50"/>
        <v>0</v>
      </c>
      <c r="AA261" s="9">
        <f t="shared" si="49"/>
        <v>0</v>
      </c>
      <c r="AB261" s="9">
        <f t="shared" si="49"/>
        <v>0</v>
      </c>
      <c r="AC261" s="9">
        <f t="shared" si="49"/>
        <v>0</v>
      </c>
      <c r="AD261" s="9">
        <f t="shared" si="49"/>
        <v>0</v>
      </c>
      <c r="AE261" s="9">
        <f t="shared" si="49"/>
        <v>0</v>
      </c>
    </row>
    <row r="262" spans="2:31" x14ac:dyDescent="0.25">
      <c r="B262" s="6">
        <v>0</v>
      </c>
      <c r="C262" s="6">
        <v>0</v>
      </c>
      <c r="D262" s="6">
        <v>0</v>
      </c>
      <c r="E262" s="6">
        <v>0</v>
      </c>
      <c r="F262" s="6">
        <v>0</v>
      </c>
      <c r="L262">
        <f t="shared" si="51"/>
        <v>0</v>
      </c>
      <c r="M262">
        <f t="shared" si="52"/>
        <v>0</v>
      </c>
      <c r="N262">
        <f t="shared" si="53"/>
        <v>0</v>
      </c>
      <c r="O262">
        <f t="shared" si="54"/>
        <v>0</v>
      </c>
      <c r="P262">
        <f t="shared" si="55"/>
        <v>0</v>
      </c>
      <c r="Q262">
        <f t="shared" si="56"/>
        <v>0</v>
      </c>
      <c r="R262">
        <f t="shared" si="57"/>
        <v>0</v>
      </c>
      <c r="S262">
        <f t="shared" si="58"/>
        <v>0</v>
      </c>
      <c r="T262">
        <f t="shared" si="59"/>
        <v>0</v>
      </c>
      <c r="U262">
        <f t="shared" si="60"/>
        <v>0</v>
      </c>
      <c r="V262" s="9">
        <f t="shared" si="50"/>
        <v>0</v>
      </c>
      <c r="W262" s="9">
        <f t="shared" si="50"/>
        <v>0</v>
      </c>
      <c r="X262" s="9">
        <f t="shared" si="50"/>
        <v>0</v>
      </c>
      <c r="Y262" s="9">
        <f t="shared" si="50"/>
        <v>0</v>
      </c>
      <c r="Z262" s="9">
        <f t="shared" si="50"/>
        <v>0</v>
      </c>
      <c r="AA262" s="9">
        <f t="shared" si="49"/>
        <v>0</v>
      </c>
      <c r="AB262" s="9">
        <f t="shared" si="49"/>
        <v>0</v>
      </c>
      <c r="AC262" s="9">
        <f t="shared" si="49"/>
        <v>0</v>
      </c>
      <c r="AD262" s="9">
        <f t="shared" si="49"/>
        <v>0</v>
      </c>
      <c r="AE262" s="9">
        <f t="shared" si="49"/>
        <v>0</v>
      </c>
    </row>
    <row r="263" spans="2:31" x14ac:dyDescent="0.25">
      <c r="B263" s="6">
        <v>0</v>
      </c>
      <c r="C263" s="6">
        <v>0</v>
      </c>
      <c r="D263" s="6">
        <v>0</v>
      </c>
      <c r="E263" s="6">
        <v>0</v>
      </c>
      <c r="F263" s="6">
        <v>0</v>
      </c>
      <c r="L263">
        <f t="shared" si="51"/>
        <v>0</v>
      </c>
      <c r="M263">
        <f t="shared" si="52"/>
        <v>0</v>
      </c>
      <c r="N263">
        <f t="shared" si="53"/>
        <v>0</v>
      </c>
      <c r="O263">
        <f t="shared" si="54"/>
        <v>0</v>
      </c>
      <c r="P263">
        <f t="shared" si="55"/>
        <v>0</v>
      </c>
      <c r="Q263">
        <f t="shared" si="56"/>
        <v>0</v>
      </c>
      <c r="R263">
        <f t="shared" si="57"/>
        <v>0</v>
      </c>
      <c r="S263">
        <f t="shared" si="58"/>
        <v>0</v>
      </c>
      <c r="T263">
        <f t="shared" si="59"/>
        <v>0</v>
      </c>
      <c r="U263">
        <f t="shared" si="60"/>
        <v>0</v>
      </c>
      <c r="V263" s="9">
        <f t="shared" si="50"/>
        <v>0</v>
      </c>
      <c r="W263" s="9">
        <f t="shared" si="50"/>
        <v>0</v>
      </c>
      <c r="X263" s="9">
        <f t="shared" si="50"/>
        <v>0</v>
      </c>
      <c r="Y263" s="9">
        <f t="shared" si="50"/>
        <v>0</v>
      </c>
      <c r="Z263" s="9">
        <f t="shared" si="50"/>
        <v>0</v>
      </c>
      <c r="AA263" s="9">
        <f t="shared" si="49"/>
        <v>0</v>
      </c>
      <c r="AB263" s="9">
        <f t="shared" si="49"/>
        <v>0</v>
      </c>
      <c r="AC263" s="9">
        <f t="shared" si="49"/>
        <v>0</v>
      </c>
      <c r="AD263" s="9">
        <f t="shared" si="49"/>
        <v>0</v>
      </c>
      <c r="AE263" s="9">
        <f t="shared" si="49"/>
        <v>0</v>
      </c>
    </row>
    <row r="264" spans="2:31" x14ac:dyDescent="0.25">
      <c r="B264" s="6">
        <v>0</v>
      </c>
      <c r="C264" s="6">
        <v>0</v>
      </c>
      <c r="D264" s="6">
        <v>0</v>
      </c>
      <c r="E264" s="6">
        <v>0</v>
      </c>
      <c r="F264" s="6">
        <v>0</v>
      </c>
      <c r="L264">
        <f t="shared" si="51"/>
        <v>0</v>
      </c>
      <c r="M264">
        <f t="shared" si="52"/>
        <v>0</v>
      </c>
      <c r="N264">
        <f t="shared" si="53"/>
        <v>0</v>
      </c>
      <c r="O264">
        <f t="shared" si="54"/>
        <v>0</v>
      </c>
      <c r="P264">
        <f t="shared" si="55"/>
        <v>0</v>
      </c>
      <c r="Q264">
        <f t="shared" si="56"/>
        <v>0</v>
      </c>
      <c r="R264">
        <f t="shared" si="57"/>
        <v>0</v>
      </c>
      <c r="S264">
        <f t="shared" si="58"/>
        <v>0</v>
      </c>
      <c r="T264">
        <f t="shared" si="59"/>
        <v>0</v>
      </c>
      <c r="U264">
        <f t="shared" si="60"/>
        <v>0</v>
      </c>
      <c r="V264" s="9">
        <f t="shared" si="50"/>
        <v>0</v>
      </c>
      <c r="W264" s="9">
        <f t="shared" si="50"/>
        <v>0</v>
      </c>
      <c r="X264" s="9">
        <f t="shared" si="50"/>
        <v>0</v>
      </c>
      <c r="Y264" s="9">
        <f t="shared" si="50"/>
        <v>0</v>
      </c>
      <c r="Z264" s="9">
        <f t="shared" si="50"/>
        <v>0</v>
      </c>
      <c r="AA264" s="9">
        <f t="shared" si="49"/>
        <v>0</v>
      </c>
      <c r="AB264" s="9">
        <f t="shared" si="49"/>
        <v>0</v>
      </c>
      <c r="AC264" s="9">
        <f t="shared" si="49"/>
        <v>0</v>
      </c>
      <c r="AD264" s="9">
        <f t="shared" si="49"/>
        <v>0</v>
      </c>
      <c r="AE264" s="9">
        <f t="shared" si="49"/>
        <v>0</v>
      </c>
    </row>
    <row r="265" spans="2:31" x14ac:dyDescent="0.25">
      <c r="B265" s="6">
        <v>0</v>
      </c>
      <c r="C265" s="6">
        <v>0</v>
      </c>
      <c r="D265" s="6">
        <v>0</v>
      </c>
      <c r="E265" s="6">
        <v>0</v>
      </c>
      <c r="F265" s="6">
        <v>0</v>
      </c>
      <c r="L265">
        <f t="shared" si="51"/>
        <v>0</v>
      </c>
      <c r="M265">
        <f t="shared" si="52"/>
        <v>0</v>
      </c>
      <c r="N265">
        <f t="shared" si="53"/>
        <v>0</v>
      </c>
      <c r="O265">
        <f t="shared" si="54"/>
        <v>0</v>
      </c>
      <c r="P265">
        <f t="shared" si="55"/>
        <v>0</v>
      </c>
      <c r="Q265">
        <f t="shared" si="56"/>
        <v>0</v>
      </c>
      <c r="R265">
        <f t="shared" si="57"/>
        <v>0</v>
      </c>
      <c r="S265">
        <f t="shared" si="58"/>
        <v>0</v>
      </c>
      <c r="T265">
        <f t="shared" si="59"/>
        <v>0</v>
      </c>
      <c r="U265">
        <f t="shared" si="60"/>
        <v>0</v>
      </c>
      <c r="V265" s="9">
        <f t="shared" si="50"/>
        <v>0</v>
      </c>
      <c r="W265" s="9">
        <f t="shared" si="50"/>
        <v>0</v>
      </c>
      <c r="X265" s="9">
        <f t="shared" si="50"/>
        <v>0</v>
      </c>
      <c r="Y265" s="9">
        <f t="shared" si="50"/>
        <v>0</v>
      </c>
      <c r="Z265" s="9">
        <f t="shared" si="50"/>
        <v>0</v>
      </c>
      <c r="AA265" s="9">
        <f t="shared" si="49"/>
        <v>0</v>
      </c>
      <c r="AB265" s="9">
        <f t="shared" si="49"/>
        <v>0</v>
      </c>
      <c r="AC265" s="9">
        <f t="shared" si="49"/>
        <v>0</v>
      </c>
      <c r="AD265" s="9">
        <f t="shared" si="49"/>
        <v>0</v>
      </c>
      <c r="AE265" s="9">
        <f t="shared" si="49"/>
        <v>0</v>
      </c>
    </row>
    <row r="266" spans="2:31" x14ac:dyDescent="0.25">
      <c r="B266" s="6">
        <v>0</v>
      </c>
      <c r="C266" s="6">
        <v>0</v>
      </c>
      <c r="D266" s="6">
        <v>0</v>
      </c>
      <c r="E266" s="6">
        <v>0</v>
      </c>
      <c r="F266" s="6">
        <v>0</v>
      </c>
      <c r="L266">
        <f t="shared" si="51"/>
        <v>0</v>
      </c>
      <c r="M266">
        <f t="shared" si="52"/>
        <v>0</v>
      </c>
      <c r="N266">
        <f t="shared" si="53"/>
        <v>0</v>
      </c>
      <c r="O266">
        <f t="shared" si="54"/>
        <v>0</v>
      </c>
      <c r="P266">
        <f t="shared" si="55"/>
        <v>0</v>
      </c>
      <c r="Q266">
        <f t="shared" si="56"/>
        <v>0</v>
      </c>
      <c r="R266">
        <f t="shared" si="57"/>
        <v>0</v>
      </c>
      <c r="S266">
        <f t="shared" si="58"/>
        <v>0</v>
      </c>
      <c r="T266">
        <f t="shared" si="59"/>
        <v>0</v>
      </c>
      <c r="U266">
        <f t="shared" si="60"/>
        <v>0</v>
      </c>
      <c r="V266" s="9">
        <f t="shared" si="50"/>
        <v>0</v>
      </c>
      <c r="W266" s="9">
        <f t="shared" si="50"/>
        <v>0</v>
      </c>
      <c r="X266" s="9">
        <f t="shared" si="50"/>
        <v>0</v>
      </c>
      <c r="Y266" s="9">
        <f t="shared" si="50"/>
        <v>0</v>
      </c>
      <c r="Z266" s="9">
        <f t="shared" si="50"/>
        <v>0</v>
      </c>
      <c r="AA266" s="9">
        <f t="shared" si="49"/>
        <v>0</v>
      </c>
      <c r="AB266" s="9">
        <f t="shared" si="49"/>
        <v>0</v>
      </c>
      <c r="AC266" s="9">
        <f t="shared" si="49"/>
        <v>0</v>
      </c>
      <c r="AD266" s="9">
        <f t="shared" si="49"/>
        <v>0</v>
      </c>
      <c r="AE266" s="9">
        <f t="shared" si="49"/>
        <v>0</v>
      </c>
    </row>
    <row r="267" spans="2:31" x14ac:dyDescent="0.25">
      <c r="B267" s="6">
        <v>0</v>
      </c>
      <c r="C267" s="6">
        <v>0</v>
      </c>
      <c r="D267" s="6">
        <v>0</v>
      </c>
      <c r="E267" s="6">
        <v>0</v>
      </c>
      <c r="F267" s="6">
        <v>0</v>
      </c>
      <c r="L267">
        <f t="shared" si="51"/>
        <v>0</v>
      </c>
      <c r="M267">
        <f t="shared" si="52"/>
        <v>0</v>
      </c>
      <c r="N267">
        <f t="shared" si="53"/>
        <v>0</v>
      </c>
      <c r="O267">
        <f t="shared" si="54"/>
        <v>0</v>
      </c>
      <c r="P267">
        <f t="shared" si="55"/>
        <v>0</v>
      </c>
      <c r="Q267">
        <f t="shared" si="56"/>
        <v>0</v>
      </c>
      <c r="R267">
        <f t="shared" si="57"/>
        <v>0</v>
      </c>
      <c r="S267">
        <f t="shared" si="58"/>
        <v>0</v>
      </c>
      <c r="T267">
        <f t="shared" si="59"/>
        <v>0</v>
      </c>
      <c r="U267">
        <f t="shared" si="60"/>
        <v>0</v>
      </c>
      <c r="V267" s="9">
        <f t="shared" si="50"/>
        <v>0</v>
      </c>
      <c r="W267" s="9">
        <f t="shared" si="50"/>
        <v>0</v>
      </c>
      <c r="X267" s="9">
        <f t="shared" si="50"/>
        <v>0</v>
      </c>
      <c r="Y267" s="9">
        <f t="shared" si="50"/>
        <v>0</v>
      </c>
      <c r="Z267" s="9">
        <f t="shared" si="50"/>
        <v>0</v>
      </c>
      <c r="AA267" s="9">
        <f t="shared" si="49"/>
        <v>0</v>
      </c>
      <c r="AB267" s="9">
        <f t="shared" si="49"/>
        <v>0</v>
      </c>
      <c r="AC267" s="9">
        <f t="shared" si="49"/>
        <v>0</v>
      </c>
      <c r="AD267" s="9">
        <f t="shared" si="49"/>
        <v>0</v>
      </c>
      <c r="AE267" s="9">
        <f t="shared" si="49"/>
        <v>0</v>
      </c>
    </row>
    <row r="268" spans="2:31" x14ac:dyDescent="0.25">
      <c r="B268" s="6">
        <v>0</v>
      </c>
      <c r="C268" s="6">
        <v>0</v>
      </c>
      <c r="D268" s="6">
        <v>0</v>
      </c>
      <c r="E268" s="6">
        <v>0</v>
      </c>
      <c r="F268" s="6">
        <v>0</v>
      </c>
      <c r="L268">
        <f t="shared" si="51"/>
        <v>0</v>
      </c>
      <c r="M268">
        <f t="shared" si="52"/>
        <v>0</v>
      </c>
      <c r="N268">
        <f t="shared" si="53"/>
        <v>0</v>
      </c>
      <c r="O268">
        <f t="shared" si="54"/>
        <v>0</v>
      </c>
      <c r="P268">
        <f t="shared" si="55"/>
        <v>0</v>
      </c>
      <c r="Q268">
        <f t="shared" si="56"/>
        <v>0</v>
      </c>
      <c r="R268">
        <f t="shared" si="57"/>
        <v>0</v>
      </c>
      <c r="S268">
        <f t="shared" si="58"/>
        <v>0</v>
      </c>
      <c r="T268">
        <f t="shared" si="59"/>
        <v>0</v>
      </c>
      <c r="U268">
        <f t="shared" si="60"/>
        <v>0</v>
      </c>
      <c r="V268" s="9">
        <f t="shared" si="50"/>
        <v>0</v>
      </c>
      <c r="W268" s="9">
        <f t="shared" si="50"/>
        <v>0</v>
      </c>
      <c r="X268" s="9">
        <f t="shared" si="50"/>
        <v>0</v>
      </c>
      <c r="Y268" s="9">
        <f t="shared" si="50"/>
        <v>0</v>
      </c>
      <c r="Z268" s="9">
        <f t="shared" si="50"/>
        <v>0</v>
      </c>
      <c r="AA268" s="9">
        <f t="shared" si="49"/>
        <v>0</v>
      </c>
      <c r="AB268" s="9">
        <f t="shared" si="49"/>
        <v>0</v>
      </c>
      <c r="AC268" s="9">
        <f t="shared" si="49"/>
        <v>0</v>
      </c>
      <c r="AD268" s="9">
        <f t="shared" si="49"/>
        <v>0</v>
      </c>
      <c r="AE268" s="9">
        <f t="shared" si="49"/>
        <v>0</v>
      </c>
    </row>
    <row r="269" spans="2:31" x14ac:dyDescent="0.25">
      <c r="B269" s="6">
        <v>0</v>
      </c>
      <c r="C269" s="6">
        <v>0</v>
      </c>
      <c r="D269" s="6">
        <v>0</v>
      </c>
      <c r="E269" s="6">
        <v>0</v>
      </c>
      <c r="F269" s="6">
        <v>0</v>
      </c>
      <c r="L269">
        <f t="shared" si="51"/>
        <v>0</v>
      </c>
      <c r="M269">
        <f t="shared" si="52"/>
        <v>0</v>
      </c>
      <c r="N269">
        <f t="shared" si="53"/>
        <v>0</v>
      </c>
      <c r="O269">
        <f t="shared" si="54"/>
        <v>0</v>
      </c>
      <c r="P269">
        <f t="shared" si="55"/>
        <v>0</v>
      </c>
      <c r="Q269">
        <f t="shared" si="56"/>
        <v>0</v>
      </c>
      <c r="R269">
        <f t="shared" si="57"/>
        <v>0</v>
      </c>
      <c r="S269">
        <f t="shared" si="58"/>
        <v>0</v>
      </c>
      <c r="T269">
        <f t="shared" si="59"/>
        <v>0</v>
      </c>
      <c r="U269">
        <f t="shared" si="60"/>
        <v>0</v>
      </c>
      <c r="V269" s="9">
        <f t="shared" si="50"/>
        <v>0</v>
      </c>
      <c r="W269" s="9">
        <f t="shared" si="50"/>
        <v>0</v>
      </c>
      <c r="X269" s="9">
        <f t="shared" si="50"/>
        <v>0</v>
      </c>
      <c r="Y269" s="9">
        <f t="shared" si="50"/>
        <v>0</v>
      </c>
      <c r="Z269" s="9">
        <f t="shared" si="50"/>
        <v>0</v>
      </c>
      <c r="AA269" s="9">
        <f t="shared" si="49"/>
        <v>0</v>
      </c>
      <c r="AB269" s="9">
        <f t="shared" si="49"/>
        <v>0</v>
      </c>
      <c r="AC269" s="9">
        <f t="shared" si="49"/>
        <v>0</v>
      </c>
      <c r="AD269" s="9">
        <f t="shared" si="49"/>
        <v>0</v>
      </c>
      <c r="AE269" s="9">
        <f t="shared" si="49"/>
        <v>0</v>
      </c>
    </row>
    <row r="270" spans="2:31" x14ac:dyDescent="0.25">
      <c r="B270" s="6">
        <v>0</v>
      </c>
      <c r="C270" s="6">
        <v>0</v>
      </c>
      <c r="D270" s="6">
        <v>0</v>
      </c>
      <c r="E270" s="6">
        <v>0</v>
      </c>
      <c r="F270" s="6">
        <v>0</v>
      </c>
      <c r="L270">
        <f t="shared" si="51"/>
        <v>0</v>
      </c>
      <c r="M270">
        <f t="shared" si="52"/>
        <v>0</v>
      </c>
      <c r="N270">
        <f t="shared" si="53"/>
        <v>0</v>
      </c>
      <c r="O270">
        <f t="shared" si="54"/>
        <v>0</v>
      </c>
      <c r="P270">
        <f t="shared" si="55"/>
        <v>0</v>
      </c>
      <c r="Q270">
        <f t="shared" si="56"/>
        <v>0</v>
      </c>
      <c r="R270">
        <f t="shared" si="57"/>
        <v>0</v>
      </c>
      <c r="S270">
        <f t="shared" si="58"/>
        <v>0</v>
      </c>
      <c r="T270">
        <f t="shared" si="59"/>
        <v>0</v>
      </c>
      <c r="U270">
        <f t="shared" si="60"/>
        <v>0</v>
      </c>
      <c r="V270" s="9">
        <f t="shared" si="50"/>
        <v>0</v>
      </c>
      <c r="W270" s="9">
        <f t="shared" si="50"/>
        <v>0</v>
      </c>
      <c r="X270" s="9">
        <f t="shared" si="50"/>
        <v>0</v>
      </c>
      <c r="Y270" s="9">
        <f t="shared" si="50"/>
        <v>0</v>
      </c>
      <c r="Z270" s="9">
        <f t="shared" si="50"/>
        <v>0</v>
      </c>
      <c r="AA270" s="9">
        <f t="shared" ref="AA270:AE320" si="61">IF(Q270&gt;=0,Q270,-Q270)</f>
        <v>0</v>
      </c>
      <c r="AB270" s="9">
        <f t="shared" si="61"/>
        <v>0</v>
      </c>
      <c r="AC270" s="9">
        <f t="shared" si="61"/>
        <v>0</v>
      </c>
      <c r="AD270" s="9">
        <f t="shared" si="61"/>
        <v>0</v>
      </c>
      <c r="AE270" s="9">
        <f t="shared" si="61"/>
        <v>0</v>
      </c>
    </row>
    <row r="271" spans="2:31" x14ac:dyDescent="0.25">
      <c r="B271" s="6">
        <v>0</v>
      </c>
      <c r="C271" s="6">
        <v>0</v>
      </c>
      <c r="D271" s="6">
        <v>0</v>
      </c>
      <c r="E271" s="6">
        <v>0</v>
      </c>
      <c r="F271" s="6">
        <v>0</v>
      </c>
      <c r="L271">
        <f t="shared" si="51"/>
        <v>0</v>
      </c>
      <c r="M271">
        <f t="shared" si="52"/>
        <v>0</v>
      </c>
      <c r="N271">
        <f t="shared" si="53"/>
        <v>0</v>
      </c>
      <c r="O271">
        <f t="shared" si="54"/>
        <v>0</v>
      </c>
      <c r="P271">
        <f t="shared" si="55"/>
        <v>0</v>
      </c>
      <c r="Q271">
        <f t="shared" si="56"/>
        <v>0</v>
      </c>
      <c r="R271">
        <f t="shared" si="57"/>
        <v>0</v>
      </c>
      <c r="S271">
        <f t="shared" si="58"/>
        <v>0</v>
      </c>
      <c r="T271">
        <f t="shared" si="59"/>
        <v>0</v>
      </c>
      <c r="U271">
        <f t="shared" si="60"/>
        <v>0</v>
      </c>
      <c r="V271" s="9">
        <f t="shared" ref="V271:Z321" si="62">IF(L271&gt;=0,L271,-L271)</f>
        <v>0</v>
      </c>
      <c r="W271" s="9">
        <f t="shared" si="62"/>
        <v>0</v>
      </c>
      <c r="X271" s="9">
        <f t="shared" si="62"/>
        <v>0</v>
      </c>
      <c r="Y271" s="9">
        <f t="shared" si="62"/>
        <v>0</v>
      </c>
      <c r="Z271" s="9">
        <f t="shared" si="62"/>
        <v>0</v>
      </c>
      <c r="AA271" s="9">
        <f t="shared" si="61"/>
        <v>0</v>
      </c>
      <c r="AB271" s="9">
        <f t="shared" si="61"/>
        <v>0</v>
      </c>
      <c r="AC271" s="9">
        <f t="shared" si="61"/>
        <v>0</v>
      </c>
      <c r="AD271" s="9">
        <f t="shared" si="61"/>
        <v>0</v>
      </c>
      <c r="AE271" s="9">
        <f t="shared" si="61"/>
        <v>0</v>
      </c>
    </row>
    <row r="272" spans="2:31" x14ac:dyDescent="0.25">
      <c r="B272" s="6">
        <v>0</v>
      </c>
      <c r="C272" s="6">
        <v>0</v>
      </c>
      <c r="D272" s="6">
        <v>0</v>
      </c>
      <c r="E272" s="6">
        <v>0</v>
      </c>
      <c r="F272" s="6">
        <v>0</v>
      </c>
      <c r="L272">
        <f t="shared" si="51"/>
        <v>0</v>
      </c>
      <c r="M272">
        <f t="shared" si="52"/>
        <v>0</v>
      </c>
      <c r="N272">
        <f t="shared" si="53"/>
        <v>0</v>
      </c>
      <c r="O272">
        <f t="shared" si="54"/>
        <v>0</v>
      </c>
      <c r="P272">
        <f t="shared" si="55"/>
        <v>0</v>
      </c>
      <c r="Q272">
        <f t="shared" si="56"/>
        <v>0</v>
      </c>
      <c r="R272">
        <f t="shared" si="57"/>
        <v>0</v>
      </c>
      <c r="S272">
        <f t="shared" si="58"/>
        <v>0</v>
      </c>
      <c r="T272">
        <f t="shared" si="59"/>
        <v>0</v>
      </c>
      <c r="U272">
        <f t="shared" si="60"/>
        <v>0</v>
      </c>
      <c r="V272" s="9">
        <f t="shared" si="62"/>
        <v>0</v>
      </c>
      <c r="W272" s="9">
        <f t="shared" si="62"/>
        <v>0</v>
      </c>
      <c r="X272" s="9">
        <f t="shared" si="62"/>
        <v>0</v>
      </c>
      <c r="Y272" s="9">
        <f t="shared" si="62"/>
        <v>0</v>
      </c>
      <c r="Z272" s="9">
        <f t="shared" si="62"/>
        <v>0</v>
      </c>
      <c r="AA272" s="9">
        <f t="shared" si="61"/>
        <v>0</v>
      </c>
      <c r="AB272" s="9">
        <f t="shared" si="61"/>
        <v>0</v>
      </c>
      <c r="AC272" s="9">
        <f t="shared" si="61"/>
        <v>0</v>
      </c>
      <c r="AD272" s="9">
        <f t="shared" si="61"/>
        <v>0</v>
      </c>
      <c r="AE272" s="9">
        <f t="shared" si="61"/>
        <v>0</v>
      </c>
    </row>
    <row r="273" spans="2:31" x14ac:dyDescent="0.25">
      <c r="B273" s="6">
        <v>0</v>
      </c>
      <c r="C273" s="6">
        <v>0</v>
      </c>
      <c r="D273" s="6">
        <v>0</v>
      </c>
      <c r="E273" s="6">
        <v>0</v>
      </c>
      <c r="F273" s="6">
        <v>0</v>
      </c>
      <c r="L273">
        <f t="shared" si="51"/>
        <v>0</v>
      </c>
      <c r="M273">
        <f t="shared" si="52"/>
        <v>0</v>
      </c>
      <c r="N273">
        <f t="shared" si="53"/>
        <v>0</v>
      </c>
      <c r="O273">
        <f t="shared" si="54"/>
        <v>0</v>
      </c>
      <c r="P273">
        <f t="shared" si="55"/>
        <v>0</v>
      </c>
      <c r="Q273">
        <f t="shared" si="56"/>
        <v>0</v>
      </c>
      <c r="R273">
        <f t="shared" si="57"/>
        <v>0</v>
      </c>
      <c r="S273">
        <f t="shared" si="58"/>
        <v>0</v>
      </c>
      <c r="T273">
        <f t="shared" si="59"/>
        <v>0</v>
      </c>
      <c r="U273">
        <f t="shared" si="60"/>
        <v>0</v>
      </c>
      <c r="V273" s="9">
        <f t="shared" si="62"/>
        <v>0</v>
      </c>
      <c r="W273" s="9">
        <f t="shared" si="62"/>
        <v>0</v>
      </c>
      <c r="X273" s="9">
        <f t="shared" si="62"/>
        <v>0</v>
      </c>
      <c r="Y273" s="9">
        <f t="shared" si="62"/>
        <v>0</v>
      </c>
      <c r="Z273" s="9">
        <f t="shared" si="62"/>
        <v>0</v>
      </c>
      <c r="AA273" s="9">
        <f t="shared" si="61"/>
        <v>0</v>
      </c>
      <c r="AB273" s="9">
        <f t="shared" si="61"/>
        <v>0</v>
      </c>
      <c r="AC273" s="9">
        <f t="shared" si="61"/>
        <v>0</v>
      </c>
      <c r="AD273" s="9">
        <f t="shared" si="61"/>
        <v>0</v>
      </c>
      <c r="AE273" s="9">
        <f t="shared" si="61"/>
        <v>0</v>
      </c>
    </row>
    <row r="274" spans="2:31" x14ac:dyDescent="0.25">
      <c r="B274" s="6">
        <v>0</v>
      </c>
      <c r="C274" s="6">
        <v>0</v>
      </c>
      <c r="D274" s="6">
        <v>0</v>
      </c>
      <c r="E274" s="6">
        <v>0</v>
      </c>
      <c r="F274" s="6">
        <v>0</v>
      </c>
      <c r="L274">
        <f t="shared" si="51"/>
        <v>0</v>
      </c>
      <c r="M274">
        <f t="shared" si="52"/>
        <v>0</v>
      </c>
      <c r="N274">
        <f t="shared" si="53"/>
        <v>0</v>
      </c>
      <c r="O274">
        <f t="shared" si="54"/>
        <v>0</v>
      </c>
      <c r="P274">
        <f t="shared" si="55"/>
        <v>0</v>
      </c>
      <c r="Q274">
        <f t="shared" si="56"/>
        <v>0</v>
      </c>
      <c r="R274">
        <f t="shared" si="57"/>
        <v>0</v>
      </c>
      <c r="S274">
        <f t="shared" si="58"/>
        <v>0</v>
      </c>
      <c r="T274">
        <f t="shared" si="59"/>
        <v>0</v>
      </c>
      <c r="U274">
        <f t="shared" si="60"/>
        <v>0</v>
      </c>
      <c r="V274" s="9">
        <f t="shared" si="62"/>
        <v>0</v>
      </c>
      <c r="W274" s="9">
        <f t="shared" si="62"/>
        <v>0</v>
      </c>
      <c r="X274" s="9">
        <f t="shared" si="62"/>
        <v>0</v>
      </c>
      <c r="Y274" s="9">
        <f t="shared" si="62"/>
        <v>0</v>
      </c>
      <c r="Z274" s="9">
        <f t="shared" si="62"/>
        <v>0</v>
      </c>
      <c r="AA274" s="9">
        <f t="shared" si="61"/>
        <v>0</v>
      </c>
      <c r="AB274" s="9">
        <f t="shared" si="61"/>
        <v>0</v>
      </c>
      <c r="AC274" s="9">
        <f t="shared" si="61"/>
        <v>0</v>
      </c>
      <c r="AD274" s="9">
        <f t="shared" si="61"/>
        <v>0</v>
      </c>
      <c r="AE274" s="9">
        <f t="shared" si="61"/>
        <v>0</v>
      </c>
    </row>
    <row r="275" spans="2:31" x14ac:dyDescent="0.25">
      <c r="B275" s="6">
        <v>0</v>
      </c>
      <c r="C275" s="6">
        <v>0</v>
      </c>
      <c r="D275" s="6">
        <v>0</v>
      </c>
      <c r="E275" s="6">
        <v>0</v>
      </c>
      <c r="F275" s="6">
        <v>0</v>
      </c>
      <c r="L275">
        <f t="shared" si="51"/>
        <v>0</v>
      </c>
      <c r="M275">
        <f t="shared" si="52"/>
        <v>0</v>
      </c>
      <c r="N275">
        <f t="shared" si="53"/>
        <v>0</v>
      </c>
      <c r="O275">
        <f t="shared" si="54"/>
        <v>0</v>
      </c>
      <c r="P275">
        <f t="shared" si="55"/>
        <v>0</v>
      </c>
      <c r="Q275">
        <f t="shared" si="56"/>
        <v>0</v>
      </c>
      <c r="R275">
        <f t="shared" si="57"/>
        <v>0</v>
      </c>
      <c r="S275">
        <f t="shared" si="58"/>
        <v>0</v>
      </c>
      <c r="T275">
        <f t="shared" si="59"/>
        <v>0</v>
      </c>
      <c r="U275">
        <f t="shared" si="60"/>
        <v>0</v>
      </c>
      <c r="V275" s="9">
        <f t="shared" si="62"/>
        <v>0</v>
      </c>
      <c r="W275" s="9">
        <f t="shared" si="62"/>
        <v>0</v>
      </c>
      <c r="X275" s="9">
        <f t="shared" si="62"/>
        <v>0</v>
      </c>
      <c r="Y275" s="9">
        <f t="shared" si="62"/>
        <v>0</v>
      </c>
      <c r="Z275" s="9">
        <f t="shared" si="62"/>
        <v>0</v>
      </c>
      <c r="AA275" s="9">
        <f t="shared" si="61"/>
        <v>0</v>
      </c>
      <c r="AB275" s="9">
        <f t="shared" si="61"/>
        <v>0</v>
      </c>
      <c r="AC275" s="9">
        <f t="shared" si="61"/>
        <v>0</v>
      </c>
      <c r="AD275" s="9">
        <f t="shared" si="61"/>
        <v>0</v>
      </c>
      <c r="AE275" s="9">
        <f t="shared" si="61"/>
        <v>0</v>
      </c>
    </row>
    <row r="276" spans="2:31" x14ac:dyDescent="0.25">
      <c r="B276" s="6">
        <v>0</v>
      </c>
      <c r="C276" s="6">
        <v>0</v>
      </c>
      <c r="D276" s="6">
        <v>0</v>
      </c>
      <c r="E276" s="6">
        <v>0</v>
      </c>
      <c r="F276" s="6">
        <v>0</v>
      </c>
      <c r="L276">
        <f t="shared" si="51"/>
        <v>0</v>
      </c>
      <c r="M276">
        <f t="shared" si="52"/>
        <v>0</v>
      </c>
      <c r="N276">
        <f t="shared" si="53"/>
        <v>0</v>
      </c>
      <c r="O276">
        <f t="shared" si="54"/>
        <v>0</v>
      </c>
      <c r="P276">
        <f t="shared" si="55"/>
        <v>0</v>
      </c>
      <c r="Q276">
        <f t="shared" si="56"/>
        <v>0</v>
      </c>
      <c r="R276">
        <f t="shared" si="57"/>
        <v>0</v>
      </c>
      <c r="S276">
        <f t="shared" si="58"/>
        <v>0</v>
      </c>
      <c r="T276">
        <f t="shared" si="59"/>
        <v>0</v>
      </c>
      <c r="U276">
        <f t="shared" si="60"/>
        <v>0</v>
      </c>
      <c r="V276" s="9">
        <f t="shared" si="62"/>
        <v>0</v>
      </c>
      <c r="W276" s="9">
        <f t="shared" si="62"/>
        <v>0</v>
      </c>
      <c r="X276" s="9">
        <f t="shared" si="62"/>
        <v>0</v>
      </c>
      <c r="Y276" s="9">
        <f t="shared" si="62"/>
        <v>0</v>
      </c>
      <c r="Z276" s="9">
        <f t="shared" si="62"/>
        <v>0</v>
      </c>
      <c r="AA276" s="9">
        <f t="shared" si="61"/>
        <v>0</v>
      </c>
      <c r="AB276" s="9">
        <f t="shared" si="61"/>
        <v>0</v>
      </c>
      <c r="AC276" s="9">
        <f t="shared" si="61"/>
        <v>0</v>
      </c>
      <c r="AD276" s="9">
        <f t="shared" si="61"/>
        <v>0</v>
      </c>
      <c r="AE276" s="9">
        <f t="shared" si="61"/>
        <v>0</v>
      </c>
    </row>
    <row r="277" spans="2:31" x14ac:dyDescent="0.25">
      <c r="B277" s="6">
        <v>0</v>
      </c>
      <c r="C277" s="6">
        <v>0</v>
      </c>
      <c r="D277" s="6">
        <v>0</v>
      </c>
      <c r="E277" s="6">
        <v>0</v>
      </c>
      <c r="F277" s="6">
        <v>0</v>
      </c>
      <c r="L277">
        <f t="shared" si="51"/>
        <v>0</v>
      </c>
      <c r="M277">
        <f t="shared" si="52"/>
        <v>0</v>
      </c>
      <c r="N277">
        <f t="shared" si="53"/>
        <v>0</v>
      </c>
      <c r="O277">
        <f t="shared" si="54"/>
        <v>0</v>
      </c>
      <c r="P277">
        <f t="shared" si="55"/>
        <v>0</v>
      </c>
      <c r="Q277">
        <f t="shared" si="56"/>
        <v>0</v>
      </c>
      <c r="R277">
        <f t="shared" si="57"/>
        <v>0</v>
      </c>
      <c r="S277">
        <f t="shared" si="58"/>
        <v>0</v>
      </c>
      <c r="T277">
        <f t="shared" si="59"/>
        <v>0</v>
      </c>
      <c r="U277">
        <f t="shared" si="60"/>
        <v>0</v>
      </c>
      <c r="V277" s="9">
        <f t="shared" si="62"/>
        <v>0</v>
      </c>
      <c r="W277" s="9">
        <f t="shared" si="62"/>
        <v>0</v>
      </c>
      <c r="X277" s="9">
        <f t="shared" si="62"/>
        <v>0</v>
      </c>
      <c r="Y277" s="9">
        <f t="shared" si="62"/>
        <v>0</v>
      </c>
      <c r="Z277" s="9">
        <f t="shared" si="62"/>
        <v>0</v>
      </c>
      <c r="AA277" s="9">
        <f t="shared" si="61"/>
        <v>0</v>
      </c>
      <c r="AB277" s="9">
        <f t="shared" si="61"/>
        <v>0</v>
      </c>
      <c r="AC277" s="9">
        <f t="shared" si="61"/>
        <v>0</v>
      </c>
      <c r="AD277" s="9">
        <f t="shared" si="61"/>
        <v>0</v>
      </c>
      <c r="AE277" s="9">
        <f t="shared" si="61"/>
        <v>0</v>
      </c>
    </row>
    <row r="278" spans="2:31" x14ac:dyDescent="0.25">
      <c r="B278" s="6">
        <v>0</v>
      </c>
      <c r="C278" s="6">
        <v>0</v>
      </c>
      <c r="D278" s="6">
        <v>0</v>
      </c>
      <c r="E278" s="6">
        <v>0</v>
      </c>
      <c r="F278" s="6">
        <v>0</v>
      </c>
      <c r="L278">
        <f t="shared" si="51"/>
        <v>0</v>
      </c>
      <c r="M278">
        <f t="shared" si="52"/>
        <v>0</v>
      </c>
      <c r="N278">
        <f t="shared" si="53"/>
        <v>0</v>
      </c>
      <c r="O278">
        <f t="shared" si="54"/>
        <v>0</v>
      </c>
      <c r="P278">
        <f t="shared" si="55"/>
        <v>0</v>
      </c>
      <c r="Q278">
        <f t="shared" si="56"/>
        <v>0</v>
      </c>
      <c r="R278">
        <f t="shared" si="57"/>
        <v>0</v>
      </c>
      <c r="S278">
        <f t="shared" si="58"/>
        <v>0</v>
      </c>
      <c r="T278">
        <f t="shared" si="59"/>
        <v>0</v>
      </c>
      <c r="U278">
        <f t="shared" si="60"/>
        <v>0</v>
      </c>
      <c r="V278" s="9">
        <f t="shared" si="62"/>
        <v>0</v>
      </c>
      <c r="W278" s="9">
        <f t="shared" si="62"/>
        <v>0</v>
      </c>
      <c r="X278" s="9">
        <f t="shared" si="62"/>
        <v>0</v>
      </c>
      <c r="Y278" s="9">
        <f t="shared" si="62"/>
        <v>0</v>
      </c>
      <c r="Z278" s="9">
        <f t="shared" si="62"/>
        <v>0</v>
      </c>
      <c r="AA278" s="9">
        <f t="shared" si="61"/>
        <v>0</v>
      </c>
      <c r="AB278" s="9">
        <f t="shared" si="61"/>
        <v>0</v>
      </c>
      <c r="AC278" s="9">
        <f t="shared" si="61"/>
        <v>0</v>
      </c>
      <c r="AD278" s="9">
        <f t="shared" si="61"/>
        <v>0</v>
      </c>
      <c r="AE278" s="9">
        <f t="shared" si="61"/>
        <v>0</v>
      </c>
    </row>
    <row r="279" spans="2:31" x14ac:dyDescent="0.25">
      <c r="B279" s="6">
        <v>0</v>
      </c>
      <c r="C279" s="6">
        <v>0</v>
      </c>
      <c r="D279" s="6">
        <v>0</v>
      </c>
      <c r="E279" s="6">
        <v>0</v>
      </c>
      <c r="F279" s="6">
        <v>0</v>
      </c>
      <c r="L279">
        <f t="shared" si="51"/>
        <v>0</v>
      </c>
      <c r="M279">
        <f t="shared" si="52"/>
        <v>0</v>
      </c>
      <c r="N279">
        <f t="shared" si="53"/>
        <v>0</v>
      </c>
      <c r="O279">
        <f t="shared" si="54"/>
        <v>0</v>
      </c>
      <c r="P279">
        <f t="shared" si="55"/>
        <v>0</v>
      </c>
      <c r="Q279">
        <f t="shared" si="56"/>
        <v>0</v>
      </c>
      <c r="R279">
        <f t="shared" si="57"/>
        <v>0</v>
      </c>
      <c r="S279">
        <f t="shared" si="58"/>
        <v>0</v>
      </c>
      <c r="T279">
        <f t="shared" si="59"/>
        <v>0</v>
      </c>
      <c r="U279">
        <f t="shared" si="60"/>
        <v>0</v>
      </c>
      <c r="V279" s="9">
        <f t="shared" si="62"/>
        <v>0</v>
      </c>
      <c r="W279" s="9">
        <f t="shared" si="62"/>
        <v>0</v>
      </c>
      <c r="X279" s="9">
        <f t="shared" si="62"/>
        <v>0</v>
      </c>
      <c r="Y279" s="9">
        <f t="shared" si="62"/>
        <v>0</v>
      </c>
      <c r="Z279" s="9">
        <f t="shared" si="62"/>
        <v>0</v>
      </c>
      <c r="AA279" s="9">
        <f t="shared" si="61"/>
        <v>0</v>
      </c>
      <c r="AB279" s="9">
        <f t="shared" si="61"/>
        <v>0</v>
      </c>
      <c r="AC279" s="9">
        <f t="shared" si="61"/>
        <v>0</v>
      </c>
      <c r="AD279" s="9">
        <f t="shared" si="61"/>
        <v>0</v>
      </c>
      <c r="AE279" s="9">
        <f t="shared" si="61"/>
        <v>0</v>
      </c>
    </row>
    <row r="280" spans="2:31" x14ac:dyDescent="0.25">
      <c r="B280" s="6">
        <v>0</v>
      </c>
      <c r="C280" s="6">
        <v>0</v>
      </c>
      <c r="D280" s="6">
        <v>0</v>
      </c>
      <c r="E280" s="6">
        <v>0</v>
      </c>
      <c r="F280" s="6">
        <v>0</v>
      </c>
      <c r="L280">
        <f t="shared" si="51"/>
        <v>0</v>
      </c>
      <c r="M280">
        <f t="shared" si="52"/>
        <v>0</v>
      </c>
      <c r="N280">
        <f t="shared" si="53"/>
        <v>0</v>
      </c>
      <c r="O280">
        <f t="shared" si="54"/>
        <v>0</v>
      </c>
      <c r="P280">
        <f t="shared" si="55"/>
        <v>0</v>
      </c>
      <c r="Q280">
        <f t="shared" si="56"/>
        <v>0</v>
      </c>
      <c r="R280">
        <f t="shared" si="57"/>
        <v>0</v>
      </c>
      <c r="S280">
        <f t="shared" si="58"/>
        <v>0</v>
      </c>
      <c r="T280">
        <f t="shared" si="59"/>
        <v>0</v>
      </c>
      <c r="U280">
        <f t="shared" si="60"/>
        <v>0</v>
      </c>
      <c r="V280" s="9">
        <f t="shared" si="62"/>
        <v>0</v>
      </c>
      <c r="W280" s="9">
        <f t="shared" si="62"/>
        <v>0</v>
      </c>
      <c r="X280" s="9">
        <f t="shared" si="62"/>
        <v>0</v>
      </c>
      <c r="Y280" s="9">
        <f t="shared" si="62"/>
        <v>0</v>
      </c>
      <c r="Z280" s="9">
        <f t="shared" si="62"/>
        <v>0</v>
      </c>
      <c r="AA280" s="9">
        <f t="shared" si="61"/>
        <v>0</v>
      </c>
      <c r="AB280" s="9">
        <f t="shared" si="61"/>
        <v>0</v>
      </c>
      <c r="AC280" s="9">
        <f t="shared" si="61"/>
        <v>0</v>
      </c>
      <c r="AD280" s="9">
        <f t="shared" si="61"/>
        <v>0</v>
      </c>
      <c r="AE280" s="9">
        <f t="shared" si="61"/>
        <v>0</v>
      </c>
    </row>
    <row r="281" spans="2:31" x14ac:dyDescent="0.25">
      <c r="B281" s="6">
        <v>0</v>
      </c>
      <c r="C281" s="6">
        <v>0</v>
      </c>
      <c r="D281" s="6">
        <v>0</v>
      </c>
      <c r="E281" s="6">
        <v>0</v>
      </c>
      <c r="F281" s="6">
        <v>0</v>
      </c>
      <c r="L281">
        <f t="shared" si="51"/>
        <v>0</v>
      </c>
      <c r="M281">
        <f t="shared" si="52"/>
        <v>0</v>
      </c>
      <c r="N281">
        <f t="shared" si="53"/>
        <v>0</v>
      </c>
      <c r="O281">
        <f t="shared" si="54"/>
        <v>0</v>
      </c>
      <c r="P281">
        <f t="shared" si="55"/>
        <v>0</v>
      </c>
      <c r="Q281">
        <f t="shared" si="56"/>
        <v>0</v>
      </c>
      <c r="R281">
        <f t="shared" si="57"/>
        <v>0</v>
      </c>
      <c r="S281">
        <f t="shared" si="58"/>
        <v>0</v>
      </c>
      <c r="T281">
        <f t="shared" si="59"/>
        <v>0</v>
      </c>
      <c r="U281">
        <f t="shared" si="60"/>
        <v>0</v>
      </c>
      <c r="V281" s="9">
        <f t="shared" si="62"/>
        <v>0</v>
      </c>
      <c r="W281" s="9">
        <f t="shared" si="62"/>
        <v>0</v>
      </c>
      <c r="X281" s="9">
        <f t="shared" si="62"/>
        <v>0</v>
      </c>
      <c r="Y281" s="9">
        <f t="shared" si="62"/>
        <v>0</v>
      </c>
      <c r="Z281" s="9">
        <f t="shared" si="62"/>
        <v>0</v>
      </c>
      <c r="AA281" s="9">
        <f t="shared" si="61"/>
        <v>0</v>
      </c>
      <c r="AB281" s="9">
        <f t="shared" si="61"/>
        <v>0</v>
      </c>
      <c r="AC281" s="9">
        <f t="shared" si="61"/>
        <v>0</v>
      </c>
      <c r="AD281" s="9">
        <f t="shared" si="61"/>
        <v>0</v>
      </c>
      <c r="AE281" s="9">
        <f t="shared" si="61"/>
        <v>0</v>
      </c>
    </row>
    <row r="282" spans="2:31" x14ac:dyDescent="0.25">
      <c r="B282" s="6">
        <v>0</v>
      </c>
      <c r="C282" s="6">
        <v>0</v>
      </c>
      <c r="D282" s="6">
        <v>0</v>
      </c>
      <c r="E282" s="6">
        <v>0</v>
      </c>
      <c r="F282" s="6">
        <v>0</v>
      </c>
      <c r="L282">
        <f t="shared" si="51"/>
        <v>0</v>
      </c>
      <c r="M282">
        <f t="shared" si="52"/>
        <v>0</v>
      </c>
      <c r="N282">
        <f t="shared" si="53"/>
        <v>0</v>
      </c>
      <c r="O282">
        <f t="shared" si="54"/>
        <v>0</v>
      </c>
      <c r="P282">
        <f t="shared" si="55"/>
        <v>0</v>
      </c>
      <c r="Q282">
        <f t="shared" si="56"/>
        <v>0</v>
      </c>
      <c r="R282">
        <f t="shared" si="57"/>
        <v>0</v>
      </c>
      <c r="S282">
        <f t="shared" si="58"/>
        <v>0</v>
      </c>
      <c r="T282">
        <f t="shared" si="59"/>
        <v>0</v>
      </c>
      <c r="U282">
        <f t="shared" si="60"/>
        <v>0</v>
      </c>
      <c r="V282" s="9">
        <f t="shared" si="62"/>
        <v>0</v>
      </c>
      <c r="W282" s="9">
        <f t="shared" si="62"/>
        <v>0</v>
      </c>
      <c r="X282" s="9">
        <f t="shared" si="62"/>
        <v>0</v>
      </c>
      <c r="Y282" s="9">
        <f t="shared" si="62"/>
        <v>0</v>
      </c>
      <c r="Z282" s="9">
        <f t="shared" si="62"/>
        <v>0</v>
      </c>
      <c r="AA282" s="9">
        <f t="shared" si="61"/>
        <v>0</v>
      </c>
      <c r="AB282" s="9">
        <f t="shared" si="61"/>
        <v>0</v>
      </c>
      <c r="AC282" s="9">
        <f t="shared" si="61"/>
        <v>0</v>
      </c>
      <c r="AD282" s="9">
        <f t="shared" si="61"/>
        <v>0</v>
      </c>
      <c r="AE282" s="9">
        <f t="shared" si="61"/>
        <v>0</v>
      </c>
    </row>
    <row r="283" spans="2:31" x14ac:dyDescent="0.25">
      <c r="B283" s="6">
        <v>0</v>
      </c>
      <c r="C283" s="6">
        <v>0</v>
      </c>
      <c r="D283" s="6">
        <v>0</v>
      </c>
      <c r="E283" s="6">
        <v>0</v>
      </c>
      <c r="F283" s="6">
        <v>0</v>
      </c>
      <c r="L283">
        <f t="shared" si="51"/>
        <v>0</v>
      </c>
      <c r="M283">
        <f t="shared" si="52"/>
        <v>0</v>
      </c>
      <c r="N283">
        <f t="shared" si="53"/>
        <v>0</v>
      </c>
      <c r="O283">
        <f t="shared" si="54"/>
        <v>0</v>
      </c>
      <c r="P283">
        <f t="shared" si="55"/>
        <v>0</v>
      </c>
      <c r="Q283">
        <f t="shared" si="56"/>
        <v>0</v>
      </c>
      <c r="R283">
        <f t="shared" si="57"/>
        <v>0</v>
      </c>
      <c r="S283">
        <f t="shared" si="58"/>
        <v>0</v>
      </c>
      <c r="T283">
        <f t="shared" si="59"/>
        <v>0</v>
      </c>
      <c r="U283">
        <f t="shared" si="60"/>
        <v>0</v>
      </c>
      <c r="V283" s="9">
        <f t="shared" si="62"/>
        <v>0</v>
      </c>
      <c r="W283" s="9">
        <f t="shared" si="62"/>
        <v>0</v>
      </c>
      <c r="X283" s="9">
        <f t="shared" si="62"/>
        <v>0</v>
      </c>
      <c r="Y283" s="9">
        <f t="shared" si="62"/>
        <v>0</v>
      </c>
      <c r="Z283" s="9">
        <f t="shared" si="62"/>
        <v>0</v>
      </c>
      <c r="AA283" s="9">
        <f t="shared" si="61"/>
        <v>0</v>
      </c>
      <c r="AB283" s="9">
        <f t="shared" si="61"/>
        <v>0</v>
      </c>
      <c r="AC283" s="9">
        <f t="shared" si="61"/>
        <v>0</v>
      </c>
      <c r="AD283" s="9">
        <f t="shared" si="61"/>
        <v>0</v>
      </c>
      <c r="AE283" s="9">
        <f t="shared" si="61"/>
        <v>0</v>
      </c>
    </row>
    <row r="284" spans="2:31" x14ac:dyDescent="0.25">
      <c r="B284" s="6">
        <v>0</v>
      </c>
      <c r="C284" s="6">
        <v>0</v>
      </c>
      <c r="D284" s="6">
        <v>0</v>
      </c>
      <c r="E284" s="6">
        <v>0</v>
      </c>
      <c r="F284" s="6">
        <v>0</v>
      </c>
      <c r="L284">
        <f t="shared" si="51"/>
        <v>0</v>
      </c>
      <c r="M284">
        <f t="shared" si="52"/>
        <v>0</v>
      </c>
      <c r="N284">
        <f t="shared" si="53"/>
        <v>0</v>
      </c>
      <c r="O284">
        <f t="shared" si="54"/>
        <v>0</v>
      </c>
      <c r="P284">
        <f t="shared" si="55"/>
        <v>0</v>
      </c>
      <c r="Q284">
        <f t="shared" si="56"/>
        <v>0</v>
      </c>
      <c r="R284">
        <f t="shared" si="57"/>
        <v>0</v>
      </c>
      <c r="S284">
        <f t="shared" si="58"/>
        <v>0</v>
      </c>
      <c r="T284">
        <f t="shared" si="59"/>
        <v>0</v>
      </c>
      <c r="U284">
        <f t="shared" si="60"/>
        <v>0</v>
      </c>
      <c r="V284" s="9">
        <f t="shared" si="62"/>
        <v>0</v>
      </c>
      <c r="W284" s="9">
        <f t="shared" si="62"/>
        <v>0</v>
      </c>
      <c r="X284" s="9">
        <f t="shared" si="62"/>
        <v>0</v>
      </c>
      <c r="Y284" s="9">
        <f t="shared" si="62"/>
        <v>0</v>
      </c>
      <c r="Z284" s="9">
        <f t="shared" si="62"/>
        <v>0</v>
      </c>
      <c r="AA284" s="9">
        <f t="shared" si="61"/>
        <v>0</v>
      </c>
      <c r="AB284" s="9">
        <f t="shared" si="61"/>
        <v>0</v>
      </c>
      <c r="AC284" s="9">
        <f t="shared" si="61"/>
        <v>0</v>
      </c>
      <c r="AD284" s="9">
        <f t="shared" si="61"/>
        <v>0</v>
      </c>
      <c r="AE284" s="9">
        <f t="shared" si="61"/>
        <v>0</v>
      </c>
    </row>
    <row r="285" spans="2:31" x14ac:dyDescent="0.25">
      <c r="B285" s="6">
        <v>0</v>
      </c>
      <c r="C285" s="6">
        <v>0</v>
      </c>
      <c r="D285" s="6">
        <v>0</v>
      </c>
      <c r="E285" s="6">
        <v>0</v>
      </c>
      <c r="F285" s="6">
        <v>0</v>
      </c>
      <c r="L285">
        <f t="shared" si="51"/>
        <v>0</v>
      </c>
      <c r="M285">
        <f t="shared" si="52"/>
        <v>0</v>
      </c>
      <c r="N285">
        <f t="shared" si="53"/>
        <v>0</v>
      </c>
      <c r="O285">
        <f t="shared" si="54"/>
        <v>0</v>
      </c>
      <c r="P285">
        <f t="shared" si="55"/>
        <v>0</v>
      </c>
      <c r="Q285">
        <f t="shared" si="56"/>
        <v>0</v>
      </c>
      <c r="R285">
        <f t="shared" si="57"/>
        <v>0</v>
      </c>
      <c r="S285">
        <f t="shared" si="58"/>
        <v>0</v>
      </c>
      <c r="T285">
        <f t="shared" si="59"/>
        <v>0</v>
      </c>
      <c r="U285">
        <f t="shared" si="60"/>
        <v>0</v>
      </c>
      <c r="V285" s="9">
        <f t="shared" si="62"/>
        <v>0</v>
      </c>
      <c r="W285" s="9">
        <f t="shared" si="62"/>
        <v>0</v>
      </c>
      <c r="X285" s="9">
        <f t="shared" si="62"/>
        <v>0</v>
      </c>
      <c r="Y285" s="9">
        <f t="shared" si="62"/>
        <v>0</v>
      </c>
      <c r="Z285" s="9">
        <f t="shared" si="62"/>
        <v>0</v>
      </c>
      <c r="AA285" s="9">
        <f t="shared" si="61"/>
        <v>0</v>
      </c>
      <c r="AB285" s="9">
        <f t="shared" si="61"/>
        <v>0</v>
      </c>
      <c r="AC285" s="9">
        <f t="shared" si="61"/>
        <v>0</v>
      </c>
      <c r="AD285" s="9">
        <f t="shared" si="61"/>
        <v>0</v>
      </c>
      <c r="AE285" s="9">
        <f t="shared" si="61"/>
        <v>0</v>
      </c>
    </row>
    <row r="286" spans="2:31" x14ac:dyDescent="0.25">
      <c r="B286" s="6">
        <v>0</v>
      </c>
      <c r="C286" s="6">
        <v>0</v>
      </c>
      <c r="D286" s="6">
        <v>0</v>
      </c>
      <c r="E286" s="6">
        <v>0</v>
      </c>
      <c r="F286" s="6">
        <v>0</v>
      </c>
      <c r="L286">
        <f t="shared" si="51"/>
        <v>0</v>
      </c>
      <c r="M286">
        <f t="shared" si="52"/>
        <v>0</v>
      </c>
      <c r="N286">
        <f t="shared" si="53"/>
        <v>0</v>
      </c>
      <c r="O286">
        <f t="shared" si="54"/>
        <v>0</v>
      </c>
      <c r="P286">
        <f t="shared" si="55"/>
        <v>0</v>
      </c>
      <c r="Q286">
        <f t="shared" si="56"/>
        <v>0</v>
      </c>
      <c r="R286">
        <f t="shared" si="57"/>
        <v>0</v>
      </c>
      <c r="S286">
        <f t="shared" si="58"/>
        <v>0</v>
      </c>
      <c r="T286">
        <f t="shared" si="59"/>
        <v>0</v>
      </c>
      <c r="U286">
        <f t="shared" si="60"/>
        <v>0</v>
      </c>
      <c r="V286" s="9">
        <f t="shared" si="62"/>
        <v>0</v>
      </c>
      <c r="W286" s="9">
        <f t="shared" si="62"/>
        <v>0</v>
      </c>
      <c r="X286" s="9">
        <f t="shared" si="62"/>
        <v>0</v>
      </c>
      <c r="Y286" s="9">
        <f t="shared" si="62"/>
        <v>0</v>
      </c>
      <c r="Z286" s="9">
        <f t="shared" si="62"/>
        <v>0</v>
      </c>
      <c r="AA286" s="9">
        <f t="shared" si="61"/>
        <v>0</v>
      </c>
      <c r="AB286" s="9">
        <f t="shared" si="61"/>
        <v>0</v>
      </c>
      <c r="AC286" s="9">
        <f t="shared" si="61"/>
        <v>0</v>
      </c>
      <c r="AD286" s="9">
        <f t="shared" si="61"/>
        <v>0</v>
      </c>
      <c r="AE286" s="9">
        <f t="shared" si="61"/>
        <v>0</v>
      </c>
    </row>
    <row r="287" spans="2:31" x14ac:dyDescent="0.25">
      <c r="B287" s="6">
        <v>0</v>
      </c>
      <c r="C287" s="6">
        <v>0</v>
      </c>
      <c r="D287" s="6">
        <v>0</v>
      </c>
      <c r="E287" s="6">
        <v>0</v>
      </c>
      <c r="F287" s="6">
        <v>0</v>
      </c>
      <c r="L287">
        <f t="shared" si="51"/>
        <v>0</v>
      </c>
      <c r="M287">
        <f t="shared" si="52"/>
        <v>0</v>
      </c>
      <c r="N287">
        <f t="shared" si="53"/>
        <v>0</v>
      </c>
      <c r="O287">
        <f t="shared" si="54"/>
        <v>0</v>
      </c>
      <c r="P287">
        <f t="shared" si="55"/>
        <v>0</v>
      </c>
      <c r="Q287">
        <f t="shared" si="56"/>
        <v>0</v>
      </c>
      <c r="R287">
        <f t="shared" si="57"/>
        <v>0</v>
      </c>
      <c r="S287">
        <f t="shared" si="58"/>
        <v>0</v>
      </c>
      <c r="T287">
        <f t="shared" si="59"/>
        <v>0</v>
      </c>
      <c r="U287">
        <f t="shared" si="60"/>
        <v>0</v>
      </c>
      <c r="V287" s="9">
        <f t="shared" si="62"/>
        <v>0</v>
      </c>
      <c r="W287" s="9">
        <f t="shared" si="62"/>
        <v>0</v>
      </c>
      <c r="X287" s="9">
        <f t="shared" si="62"/>
        <v>0</v>
      </c>
      <c r="Y287" s="9">
        <f t="shared" si="62"/>
        <v>0</v>
      </c>
      <c r="Z287" s="9">
        <f t="shared" si="62"/>
        <v>0</v>
      </c>
      <c r="AA287" s="9">
        <f t="shared" si="61"/>
        <v>0</v>
      </c>
      <c r="AB287" s="9">
        <f t="shared" si="61"/>
        <v>0</v>
      </c>
      <c r="AC287" s="9">
        <f t="shared" si="61"/>
        <v>0</v>
      </c>
      <c r="AD287" s="9">
        <f t="shared" si="61"/>
        <v>0</v>
      </c>
      <c r="AE287" s="9">
        <f t="shared" si="61"/>
        <v>0</v>
      </c>
    </row>
    <row r="288" spans="2:31" x14ac:dyDescent="0.25">
      <c r="B288" s="6">
        <v>0</v>
      </c>
      <c r="C288" s="6">
        <v>0</v>
      </c>
      <c r="D288" s="6">
        <v>0</v>
      </c>
      <c r="E288" s="6">
        <v>0</v>
      </c>
      <c r="F288" s="6">
        <v>0</v>
      </c>
      <c r="L288">
        <f t="shared" si="51"/>
        <v>0</v>
      </c>
      <c r="M288">
        <f t="shared" si="52"/>
        <v>0</v>
      </c>
      <c r="N288">
        <f t="shared" si="53"/>
        <v>0</v>
      </c>
      <c r="O288">
        <f t="shared" si="54"/>
        <v>0</v>
      </c>
      <c r="P288">
        <f t="shared" si="55"/>
        <v>0</v>
      </c>
      <c r="Q288">
        <f t="shared" si="56"/>
        <v>0</v>
      </c>
      <c r="R288">
        <f t="shared" si="57"/>
        <v>0</v>
      </c>
      <c r="S288">
        <f t="shared" si="58"/>
        <v>0</v>
      </c>
      <c r="T288">
        <f t="shared" si="59"/>
        <v>0</v>
      </c>
      <c r="U288">
        <f t="shared" si="60"/>
        <v>0</v>
      </c>
      <c r="V288" s="9">
        <f t="shared" si="62"/>
        <v>0</v>
      </c>
      <c r="W288" s="9">
        <f t="shared" si="62"/>
        <v>0</v>
      </c>
      <c r="X288" s="9">
        <f t="shared" si="62"/>
        <v>0</v>
      </c>
      <c r="Y288" s="9">
        <f t="shared" si="62"/>
        <v>0</v>
      </c>
      <c r="Z288" s="9">
        <f t="shared" si="62"/>
        <v>0</v>
      </c>
      <c r="AA288" s="9">
        <f t="shared" si="61"/>
        <v>0</v>
      </c>
      <c r="AB288" s="9">
        <f t="shared" si="61"/>
        <v>0</v>
      </c>
      <c r="AC288" s="9">
        <f t="shared" si="61"/>
        <v>0</v>
      </c>
      <c r="AD288" s="9">
        <f t="shared" si="61"/>
        <v>0</v>
      </c>
      <c r="AE288" s="9">
        <f t="shared" si="61"/>
        <v>0</v>
      </c>
    </row>
    <row r="289" spans="2:31" x14ac:dyDescent="0.25">
      <c r="B289" s="6">
        <v>0</v>
      </c>
      <c r="C289" s="6">
        <v>0</v>
      </c>
      <c r="D289" s="6">
        <v>0</v>
      </c>
      <c r="E289" s="6">
        <v>0</v>
      </c>
      <c r="F289" s="6">
        <v>0</v>
      </c>
      <c r="L289">
        <f t="shared" si="51"/>
        <v>0</v>
      </c>
      <c r="M289">
        <f t="shared" si="52"/>
        <v>0</v>
      </c>
      <c r="N289">
        <f t="shared" si="53"/>
        <v>0</v>
      </c>
      <c r="O289">
        <f t="shared" si="54"/>
        <v>0</v>
      </c>
      <c r="P289">
        <f t="shared" si="55"/>
        <v>0</v>
      </c>
      <c r="Q289">
        <f t="shared" si="56"/>
        <v>0</v>
      </c>
      <c r="R289">
        <f t="shared" si="57"/>
        <v>0</v>
      </c>
      <c r="S289">
        <f t="shared" si="58"/>
        <v>0</v>
      </c>
      <c r="T289">
        <f t="shared" si="59"/>
        <v>0</v>
      </c>
      <c r="U289">
        <f t="shared" si="60"/>
        <v>0</v>
      </c>
      <c r="V289" s="9">
        <f t="shared" si="62"/>
        <v>0</v>
      </c>
      <c r="W289" s="9">
        <f t="shared" si="62"/>
        <v>0</v>
      </c>
      <c r="X289" s="9">
        <f t="shared" si="62"/>
        <v>0</v>
      </c>
      <c r="Y289" s="9">
        <f t="shared" si="62"/>
        <v>0</v>
      </c>
      <c r="Z289" s="9">
        <f t="shared" si="62"/>
        <v>0</v>
      </c>
      <c r="AA289" s="9">
        <f t="shared" si="61"/>
        <v>0</v>
      </c>
      <c r="AB289" s="9">
        <f t="shared" si="61"/>
        <v>0</v>
      </c>
      <c r="AC289" s="9">
        <f t="shared" si="61"/>
        <v>0</v>
      </c>
      <c r="AD289" s="9">
        <f t="shared" si="61"/>
        <v>0</v>
      </c>
      <c r="AE289" s="9">
        <f t="shared" si="61"/>
        <v>0</v>
      </c>
    </row>
    <row r="290" spans="2:31" x14ac:dyDescent="0.25">
      <c r="B290" s="6">
        <v>0</v>
      </c>
      <c r="C290" s="6">
        <v>0</v>
      </c>
      <c r="D290" s="6">
        <v>0</v>
      </c>
      <c r="E290" s="6">
        <v>0</v>
      </c>
      <c r="F290" s="6">
        <v>0</v>
      </c>
      <c r="L290">
        <f t="shared" si="51"/>
        <v>0</v>
      </c>
      <c r="M290">
        <f t="shared" si="52"/>
        <v>0</v>
      </c>
      <c r="N290">
        <f t="shared" si="53"/>
        <v>0</v>
      </c>
      <c r="O290">
        <f t="shared" si="54"/>
        <v>0</v>
      </c>
      <c r="P290">
        <f t="shared" si="55"/>
        <v>0</v>
      </c>
      <c r="Q290">
        <f t="shared" si="56"/>
        <v>0</v>
      </c>
      <c r="R290">
        <f t="shared" si="57"/>
        <v>0</v>
      </c>
      <c r="S290">
        <f t="shared" si="58"/>
        <v>0</v>
      </c>
      <c r="T290">
        <f t="shared" si="59"/>
        <v>0</v>
      </c>
      <c r="U290">
        <f t="shared" si="60"/>
        <v>0</v>
      </c>
      <c r="V290" s="9">
        <f t="shared" si="62"/>
        <v>0</v>
      </c>
      <c r="W290" s="9">
        <f t="shared" si="62"/>
        <v>0</v>
      </c>
      <c r="X290" s="9">
        <f t="shared" si="62"/>
        <v>0</v>
      </c>
      <c r="Y290" s="9">
        <f t="shared" si="62"/>
        <v>0</v>
      </c>
      <c r="Z290" s="9">
        <f t="shared" si="62"/>
        <v>0</v>
      </c>
      <c r="AA290" s="9">
        <f t="shared" si="61"/>
        <v>0</v>
      </c>
      <c r="AB290" s="9">
        <f t="shared" si="61"/>
        <v>0</v>
      </c>
      <c r="AC290" s="9">
        <f t="shared" si="61"/>
        <v>0</v>
      </c>
      <c r="AD290" s="9">
        <f t="shared" si="61"/>
        <v>0</v>
      </c>
      <c r="AE290" s="9">
        <f t="shared" si="61"/>
        <v>0</v>
      </c>
    </row>
    <row r="291" spans="2:31" x14ac:dyDescent="0.25">
      <c r="B291" s="6">
        <v>0</v>
      </c>
      <c r="C291" s="6">
        <v>0</v>
      </c>
      <c r="D291" s="6">
        <v>0</v>
      </c>
      <c r="E291" s="6">
        <v>0</v>
      </c>
      <c r="F291" s="6">
        <v>0</v>
      </c>
      <c r="L291">
        <f t="shared" si="51"/>
        <v>0</v>
      </c>
      <c r="M291">
        <f t="shared" si="52"/>
        <v>0</v>
      </c>
      <c r="N291">
        <f t="shared" si="53"/>
        <v>0</v>
      </c>
      <c r="O291">
        <f t="shared" si="54"/>
        <v>0</v>
      </c>
      <c r="P291">
        <f t="shared" si="55"/>
        <v>0</v>
      </c>
      <c r="Q291">
        <f t="shared" si="56"/>
        <v>0</v>
      </c>
      <c r="R291">
        <f t="shared" si="57"/>
        <v>0</v>
      </c>
      <c r="S291">
        <f t="shared" si="58"/>
        <v>0</v>
      </c>
      <c r="T291">
        <f t="shared" si="59"/>
        <v>0</v>
      </c>
      <c r="U291">
        <f t="shared" si="60"/>
        <v>0</v>
      </c>
      <c r="V291" s="9">
        <f t="shared" si="62"/>
        <v>0</v>
      </c>
      <c r="W291" s="9">
        <f t="shared" si="62"/>
        <v>0</v>
      </c>
      <c r="X291" s="9">
        <f t="shared" si="62"/>
        <v>0</v>
      </c>
      <c r="Y291" s="9">
        <f t="shared" si="62"/>
        <v>0</v>
      </c>
      <c r="Z291" s="9">
        <f t="shared" si="62"/>
        <v>0</v>
      </c>
      <c r="AA291" s="9">
        <f t="shared" si="61"/>
        <v>0</v>
      </c>
      <c r="AB291" s="9">
        <f t="shared" si="61"/>
        <v>0</v>
      </c>
      <c r="AC291" s="9">
        <f t="shared" si="61"/>
        <v>0</v>
      </c>
      <c r="AD291" s="9">
        <f t="shared" si="61"/>
        <v>0</v>
      </c>
      <c r="AE291" s="9">
        <f t="shared" si="61"/>
        <v>0</v>
      </c>
    </row>
    <row r="292" spans="2:31" x14ac:dyDescent="0.25">
      <c r="B292" s="6">
        <v>0</v>
      </c>
      <c r="C292" s="6">
        <v>0</v>
      </c>
      <c r="D292" s="6">
        <v>0</v>
      </c>
      <c r="E292" s="6">
        <v>0</v>
      </c>
      <c r="F292" s="6">
        <v>0</v>
      </c>
      <c r="L292">
        <f t="shared" si="51"/>
        <v>0</v>
      </c>
      <c r="M292">
        <f t="shared" si="52"/>
        <v>0</v>
      </c>
      <c r="N292">
        <f t="shared" si="53"/>
        <v>0</v>
      </c>
      <c r="O292">
        <f t="shared" si="54"/>
        <v>0</v>
      </c>
      <c r="P292">
        <f t="shared" si="55"/>
        <v>0</v>
      </c>
      <c r="Q292">
        <f t="shared" si="56"/>
        <v>0</v>
      </c>
      <c r="R292">
        <f t="shared" si="57"/>
        <v>0</v>
      </c>
      <c r="S292">
        <f t="shared" si="58"/>
        <v>0</v>
      </c>
      <c r="T292">
        <f t="shared" si="59"/>
        <v>0</v>
      </c>
      <c r="U292">
        <f t="shared" si="60"/>
        <v>0</v>
      </c>
      <c r="V292" s="9">
        <f t="shared" si="62"/>
        <v>0</v>
      </c>
      <c r="W292" s="9">
        <f t="shared" si="62"/>
        <v>0</v>
      </c>
      <c r="X292" s="9">
        <f t="shared" si="62"/>
        <v>0</v>
      </c>
      <c r="Y292" s="9">
        <f t="shared" si="62"/>
        <v>0</v>
      </c>
      <c r="Z292" s="9">
        <f t="shared" si="62"/>
        <v>0</v>
      </c>
      <c r="AA292" s="9">
        <f t="shared" si="61"/>
        <v>0</v>
      </c>
      <c r="AB292" s="9">
        <f t="shared" si="61"/>
        <v>0</v>
      </c>
      <c r="AC292" s="9">
        <f t="shared" si="61"/>
        <v>0</v>
      </c>
      <c r="AD292" s="9">
        <f t="shared" si="61"/>
        <v>0</v>
      </c>
      <c r="AE292" s="9">
        <f t="shared" si="61"/>
        <v>0</v>
      </c>
    </row>
    <row r="293" spans="2:31" x14ac:dyDescent="0.25">
      <c r="B293" s="6">
        <v>0</v>
      </c>
      <c r="C293" s="6">
        <v>0</v>
      </c>
      <c r="D293" s="6">
        <v>0</v>
      </c>
      <c r="E293" s="6">
        <v>0</v>
      </c>
      <c r="F293" s="6">
        <v>0</v>
      </c>
      <c r="L293">
        <f t="shared" si="51"/>
        <v>0</v>
      </c>
      <c r="M293">
        <f t="shared" si="52"/>
        <v>0</v>
      </c>
      <c r="N293">
        <f t="shared" si="53"/>
        <v>0</v>
      </c>
      <c r="O293">
        <f t="shared" si="54"/>
        <v>0</v>
      </c>
      <c r="P293">
        <f t="shared" si="55"/>
        <v>0</v>
      </c>
      <c r="Q293">
        <f t="shared" si="56"/>
        <v>0</v>
      </c>
      <c r="R293">
        <f t="shared" si="57"/>
        <v>0</v>
      </c>
      <c r="S293">
        <f t="shared" si="58"/>
        <v>0</v>
      </c>
      <c r="T293">
        <f t="shared" si="59"/>
        <v>0</v>
      </c>
      <c r="U293">
        <f t="shared" si="60"/>
        <v>0</v>
      </c>
      <c r="V293" s="9">
        <f t="shared" si="62"/>
        <v>0</v>
      </c>
      <c r="W293" s="9">
        <f t="shared" si="62"/>
        <v>0</v>
      </c>
      <c r="X293" s="9">
        <f t="shared" si="62"/>
        <v>0</v>
      </c>
      <c r="Y293" s="9">
        <f t="shared" si="62"/>
        <v>0</v>
      </c>
      <c r="Z293" s="9">
        <f t="shared" si="62"/>
        <v>0</v>
      </c>
      <c r="AA293" s="9">
        <f t="shared" si="61"/>
        <v>0</v>
      </c>
      <c r="AB293" s="9">
        <f t="shared" si="61"/>
        <v>0</v>
      </c>
      <c r="AC293" s="9">
        <f t="shared" si="61"/>
        <v>0</v>
      </c>
      <c r="AD293" s="9">
        <f t="shared" si="61"/>
        <v>0</v>
      </c>
      <c r="AE293" s="9">
        <f t="shared" si="61"/>
        <v>0</v>
      </c>
    </row>
    <row r="294" spans="2:31" x14ac:dyDescent="0.25">
      <c r="B294" s="6">
        <v>0</v>
      </c>
      <c r="C294" s="6">
        <v>0</v>
      </c>
      <c r="D294" s="6">
        <v>0</v>
      </c>
      <c r="E294" s="6">
        <v>0</v>
      </c>
      <c r="F294" s="6">
        <v>0</v>
      </c>
      <c r="L294">
        <f t="shared" si="51"/>
        <v>0</v>
      </c>
      <c r="M294">
        <f t="shared" si="52"/>
        <v>0</v>
      </c>
      <c r="N294">
        <f t="shared" si="53"/>
        <v>0</v>
      </c>
      <c r="O294">
        <f t="shared" si="54"/>
        <v>0</v>
      </c>
      <c r="P294">
        <f t="shared" si="55"/>
        <v>0</v>
      </c>
      <c r="Q294">
        <f t="shared" si="56"/>
        <v>0</v>
      </c>
      <c r="R294">
        <f t="shared" si="57"/>
        <v>0</v>
      </c>
      <c r="S294">
        <f t="shared" si="58"/>
        <v>0</v>
      </c>
      <c r="T294">
        <f t="shared" si="59"/>
        <v>0</v>
      </c>
      <c r="U294">
        <f t="shared" si="60"/>
        <v>0</v>
      </c>
      <c r="V294" s="9">
        <f t="shared" si="62"/>
        <v>0</v>
      </c>
      <c r="W294" s="9">
        <f t="shared" si="62"/>
        <v>0</v>
      </c>
      <c r="X294" s="9">
        <f t="shared" si="62"/>
        <v>0</v>
      </c>
      <c r="Y294" s="9">
        <f t="shared" si="62"/>
        <v>0</v>
      </c>
      <c r="Z294" s="9">
        <f t="shared" si="62"/>
        <v>0</v>
      </c>
      <c r="AA294" s="9">
        <f t="shared" si="61"/>
        <v>0</v>
      </c>
      <c r="AB294" s="9">
        <f t="shared" si="61"/>
        <v>0</v>
      </c>
      <c r="AC294" s="9">
        <f t="shared" si="61"/>
        <v>0</v>
      </c>
      <c r="AD294" s="9">
        <f t="shared" si="61"/>
        <v>0</v>
      </c>
      <c r="AE294" s="9">
        <f t="shared" si="61"/>
        <v>0</v>
      </c>
    </row>
    <row r="295" spans="2:31" x14ac:dyDescent="0.25">
      <c r="B295" s="6">
        <v>0</v>
      </c>
      <c r="C295" s="6">
        <v>0</v>
      </c>
      <c r="D295" s="6">
        <v>0</v>
      </c>
      <c r="E295" s="6">
        <v>0</v>
      </c>
      <c r="F295" s="6">
        <v>0</v>
      </c>
      <c r="L295">
        <f t="shared" si="51"/>
        <v>0</v>
      </c>
      <c r="M295">
        <f t="shared" si="52"/>
        <v>0</v>
      </c>
      <c r="N295">
        <f t="shared" si="53"/>
        <v>0</v>
      </c>
      <c r="O295">
        <f t="shared" si="54"/>
        <v>0</v>
      </c>
      <c r="P295">
        <f t="shared" si="55"/>
        <v>0</v>
      </c>
      <c r="Q295">
        <f t="shared" si="56"/>
        <v>0</v>
      </c>
      <c r="R295">
        <f t="shared" si="57"/>
        <v>0</v>
      </c>
      <c r="S295">
        <f t="shared" si="58"/>
        <v>0</v>
      </c>
      <c r="T295">
        <f t="shared" si="59"/>
        <v>0</v>
      </c>
      <c r="U295">
        <f t="shared" si="60"/>
        <v>0</v>
      </c>
      <c r="V295" s="9">
        <f t="shared" si="62"/>
        <v>0</v>
      </c>
      <c r="W295" s="9">
        <f t="shared" si="62"/>
        <v>0</v>
      </c>
      <c r="X295" s="9">
        <f t="shared" si="62"/>
        <v>0</v>
      </c>
      <c r="Y295" s="9">
        <f t="shared" si="62"/>
        <v>0</v>
      </c>
      <c r="Z295" s="9">
        <f t="shared" si="62"/>
        <v>0</v>
      </c>
      <c r="AA295" s="9">
        <f t="shared" si="61"/>
        <v>0</v>
      </c>
      <c r="AB295" s="9">
        <f t="shared" si="61"/>
        <v>0</v>
      </c>
      <c r="AC295" s="9">
        <f t="shared" si="61"/>
        <v>0</v>
      </c>
      <c r="AD295" s="9">
        <f t="shared" si="61"/>
        <v>0</v>
      </c>
      <c r="AE295" s="9">
        <f t="shared" si="61"/>
        <v>0</v>
      </c>
    </row>
    <row r="296" spans="2:31" x14ac:dyDescent="0.25">
      <c r="B296" s="6">
        <v>0</v>
      </c>
      <c r="C296" s="6">
        <v>0</v>
      </c>
      <c r="D296" s="6">
        <v>0</v>
      </c>
      <c r="E296" s="6">
        <v>0</v>
      </c>
      <c r="F296" s="6">
        <v>0</v>
      </c>
      <c r="L296">
        <f t="shared" si="51"/>
        <v>0</v>
      </c>
      <c r="M296">
        <f t="shared" si="52"/>
        <v>0</v>
      </c>
      <c r="N296">
        <f t="shared" si="53"/>
        <v>0</v>
      </c>
      <c r="O296">
        <f t="shared" si="54"/>
        <v>0</v>
      </c>
      <c r="P296">
        <f t="shared" si="55"/>
        <v>0</v>
      </c>
      <c r="Q296">
        <f t="shared" si="56"/>
        <v>0</v>
      </c>
      <c r="R296">
        <f t="shared" si="57"/>
        <v>0</v>
      </c>
      <c r="S296">
        <f t="shared" si="58"/>
        <v>0</v>
      </c>
      <c r="T296">
        <f t="shared" si="59"/>
        <v>0</v>
      </c>
      <c r="U296">
        <f t="shared" si="60"/>
        <v>0</v>
      </c>
      <c r="V296" s="9">
        <f t="shared" si="62"/>
        <v>0</v>
      </c>
      <c r="W296" s="9">
        <f t="shared" si="62"/>
        <v>0</v>
      </c>
      <c r="X296" s="9">
        <f t="shared" si="62"/>
        <v>0</v>
      </c>
      <c r="Y296" s="9">
        <f t="shared" si="62"/>
        <v>0</v>
      </c>
      <c r="Z296" s="9">
        <f t="shared" si="62"/>
        <v>0</v>
      </c>
      <c r="AA296" s="9">
        <f t="shared" si="61"/>
        <v>0</v>
      </c>
      <c r="AB296" s="9">
        <f t="shared" si="61"/>
        <v>0</v>
      </c>
      <c r="AC296" s="9">
        <f t="shared" si="61"/>
        <v>0</v>
      </c>
      <c r="AD296" s="9">
        <f t="shared" si="61"/>
        <v>0</v>
      </c>
      <c r="AE296" s="9">
        <f t="shared" si="61"/>
        <v>0</v>
      </c>
    </row>
    <row r="297" spans="2:31" x14ac:dyDescent="0.25">
      <c r="B297" s="6">
        <v>0</v>
      </c>
      <c r="C297" s="6">
        <v>0</v>
      </c>
      <c r="D297" s="6">
        <v>0</v>
      </c>
      <c r="E297" s="6">
        <v>0</v>
      </c>
      <c r="F297" s="6">
        <v>0</v>
      </c>
      <c r="L297">
        <f t="shared" si="51"/>
        <v>0</v>
      </c>
      <c r="M297">
        <f t="shared" si="52"/>
        <v>0</v>
      </c>
      <c r="N297">
        <f t="shared" si="53"/>
        <v>0</v>
      </c>
      <c r="O297">
        <f t="shared" si="54"/>
        <v>0</v>
      </c>
      <c r="P297">
        <f t="shared" si="55"/>
        <v>0</v>
      </c>
      <c r="Q297">
        <f t="shared" si="56"/>
        <v>0</v>
      </c>
      <c r="R297">
        <f t="shared" si="57"/>
        <v>0</v>
      </c>
      <c r="S297">
        <f t="shared" si="58"/>
        <v>0</v>
      </c>
      <c r="T297">
        <f t="shared" si="59"/>
        <v>0</v>
      </c>
      <c r="U297">
        <f t="shared" si="60"/>
        <v>0</v>
      </c>
      <c r="V297" s="9">
        <f t="shared" si="62"/>
        <v>0</v>
      </c>
      <c r="W297" s="9">
        <f t="shared" si="62"/>
        <v>0</v>
      </c>
      <c r="X297" s="9">
        <f t="shared" si="62"/>
        <v>0</v>
      </c>
      <c r="Y297" s="9">
        <f t="shared" si="62"/>
        <v>0</v>
      </c>
      <c r="Z297" s="9">
        <f t="shared" si="62"/>
        <v>0</v>
      </c>
      <c r="AA297" s="9">
        <f t="shared" si="61"/>
        <v>0</v>
      </c>
      <c r="AB297" s="9">
        <f t="shared" si="61"/>
        <v>0</v>
      </c>
      <c r="AC297" s="9">
        <f t="shared" si="61"/>
        <v>0</v>
      </c>
      <c r="AD297" s="9">
        <f t="shared" si="61"/>
        <v>0</v>
      </c>
      <c r="AE297" s="9">
        <f t="shared" si="61"/>
        <v>0</v>
      </c>
    </row>
    <row r="298" spans="2:31" x14ac:dyDescent="0.25">
      <c r="B298" s="6">
        <v>0</v>
      </c>
      <c r="C298" s="6">
        <v>0</v>
      </c>
      <c r="D298" s="6">
        <v>0</v>
      </c>
      <c r="E298" s="6">
        <v>0</v>
      </c>
      <c r="F298" s="6">
        <v>0</v>
      </c>
      <c r="L298">
        <f t="shared" si="51"/>
        <v>0</v>
      </c>
      <c r="M298">
        <f t="shared" si="52"/>
        <v>0</v>
      </c>
      <c r="N298">
        <f t="shared" si="53"/>
        <v>0</v>
      </c>
      <c r="O298">
        <f t="shared" si="54"/>
        <v>0</v>
      </c>
      <c r="P298">
        <f t="shared" si="55"/>
        <v>0</v>
      </c>
      <c r="Q298">
        <f t="shared" si="56"/>
        <v>0</v>
      </c>
      <c r="R298">
        <f t="shared" si="57"/>
        <v>0</v>
      </c>
      <c r="S298">
        <f t="shared" si="58"/>
        <v>0</v>
      </c>
      <c r="T298">
        <f t="shared" si="59"/>
        <v>0</v>
      </c>
      <c r="U298">
        <f t="shared" si="60"/>
        <v>0</v>
      </c>
      <c r="V298" s="9">
        <f t="shared" si="62"/>
        <v>0</v>
      </c>
      <c r="W298" s="9">
        <f t="shared" si="62"/>
        <v>0</v>
      </c>
      <c r="X298" s="9">
        <f t="shared" si="62"/>
        <v>0</v>
      </c>
      <c r="Y298" s="9">
        <f t="shared" si="62"/>
        <v>0</v>
      </c>
      <c r="Z298" s="9">
        <f t="shared" si="62"/>
        <v>0</v>
      </c>
      <c r="AA298" s="9">
        <f t="shared" si="61"/>
        <v>0</v>
      </c>
      <c r="AB298" s="9">
        <f t="shared" si="61"/>
        <v>0</v>
      </c>
      <c r="AC298" s="9">
        <f t="shared" si="61"/>
        <v>0</v>
      </c>
      <c r="AD298" s="9">
        <f t="shared" si="61"/>
        <v>0</v>
      </c>
      <c r="AE298" s="9">
        <f t="shared" si="61"/>
        <v>0</v>
      </c>
    </row>
    <row r="299" spans="2:31" x14ac:dyDescent="0.25">
      <c r="B299" s="6">
        <v>0</v>
      </c>
      <c r="C299" s="6">
        <v>0</v>
      </c>
      <c r="D299" s="6">
        <v>0</v>
      </c>
      <c r="E299" s="6">
        <v>0</v>
      </c>
      <c r="F299" s="6">
        <v>0</v>
      </c>
      <c r="L299">
        <f t="shared" si="51"/>
        <v>0</v>
      </c>
      <c r="M299">
        <f t="shared" si="52"/>
        <v>0</v>
      </c>
      <c r="N299">
        <f t="shared" si="53"/>
        <v>0</v>
      </c>
      <c r="O299">
        <f t="shared" si="54"/>
        <v>0</v>
      </c>
      <c r="P299">
        <f t="shared" si="55"/>
        <v>0</v>
      </c>
      <c r="Q299">
        <f t="shared" si="56"/>
        <v>0</v>
      </c>
      <c r="R299">
        <f t="shared" si="57"/>
        <v>0</v>
      </c>
      <c r="S299">
        <f t="shared" si="58"/>
        <v>0</v>
      </c>
      <c r="T299">
        <f t="shared" si="59"/>
        <v>0</v>
      </c>
      <c r="U299">
        <f t="shared" si="60"/>
        <v>0</v>
      </c>
      <c r="V299" s="9">
        <f t="shared" si="62"/>
        <v>0</v>
      </c>
      <c r="W299" s="9">
        <f t="shared" si="62"/>
        <v>0</v>
      </c>
      <c r="X299" s="9">
        <f t="shared" si="62"/>
        <v>0</v>
      </c>
      <c r="Y299" s="9">
        <f t="shared" si="62"/>
        <v>0</v>
      </c>
      <c r="Z299" s="9">
        <f t="shared" si="62"/>
        <v>0</v>
      </c>
      <c r="AA299" s="9">
        <f t="shared" si="61"/>
        <v>0</v>
      </c>
      <c r="AB299" s="9">
        <f t="shared" si="61"/>
        <v>0</v>
      </c>
      <c r="AC299" s="9">
        <f t="shared" si="61"/>
        <v>0</v>
      </c>
      <c r="AD299" s="9">
        <f t="shared" si="61"/>
        <v>0</v>
      </c>
      <c r="AE299" s="9">
        <f t="shared" si="61"/>
        <v>0</v>
      </c>
    </row>
    <row r="300" spans="2:31" x14ac:dyDescent="0.25">
      <c r="B300" s="6">
        <v>0</v>
      </c>
      <c r="C300" s="6">
        <v>0</v>
      </c>
      <c r="D300" s="6">
        <v>0</v>
      </c>
      <c r="E300" s="6">
        <v>0</v>
      </c>
      <c r="F300" s="6">
        <v>0</v>
      </c>
      <c r="L300">
        <f t="shared" si="51"/>
        <v>0</v>
      </c>
      <c r="M300">
        <f t="shared" si="52"/>
        <v>0</v>
      </c>
      <c r="N300">
        <f t="shared" si="53"/>
        <v>0</v>
      </c>
      <c r="O300">
        <f t="shared" si="54"/>
        <v>0</v>
      </c>
      <c r="P300">
        <f t="shared" si="55"/>
        <v>0</v>
      </c>
      <c r="Q300">
        <f t="shared" si="56"/>
        <v>0</v>
      </c>
      <c r="R300">
        <f t="shared" si="57"/>
        <v>0</v>
      </c>
      <c r="S300">
        <f t="shared" si="58"/>
        <v>0</v>
      </c>
      <c r="T300">
        <f t="shared" si="59"/>
        <v>0</v>
      </c>
      <c r="U300">
        <f t="shared" si="60"/>
        <v>0</v>
      </c>
      <c r="V300" s="9">
        <f t="shared" si="62"/>
        <v>0</v>
      </c>
      <c r="W300" s="9">
        <f t="shared" si="62"/>
        <v>0</v>
      </c>
      <c r="X300" s="9">
        <f t="shared" si="62"/>
        <v>0</v>
      </c>
      <c r="Y300" s="9">
        <f t="shared" si="62"/>
        <v>0</v>
      </c>
      <c r="Z300" s="9">
        <f t="shared" si="62"/>
        <v>0</v>
      </c>
      <c r="AA300" s="9">
        <f t="shared" si="61"/>
        <v>0</v>
      </c>
      <c r="AB300" s="9">
        <f t="shared" si="61"/>
        <v>0</v>
      </c>
      <c r="AC300" s="9">
        <f t="shared" si="61"/>
        <v>0</v>
      </c>
      <c r="AD300" s="9">
        <f t="shared" si="61"/>
        <v>0</v>
      </c>
      <c r="AE300" s="9">
        <f t="shared" si="61"/>
        <v>0</v>
      </c>
    </row>
    <row r="301" spans="2:31" x14ac:dyDescent="0.25">
      <c r="B301" s="6">
        <v>0</v>
      </c>
      <c r="C301" s="6">
        <v>0</v>
      </c>
      <c r="D301" s="6">
        <v>0</v>
      </c>
      <c r="E301" s="6">
        <v>0</v>
      </c>
      <c r="F301" s="6">
        <v>0</v>
      </c>
      <c r="L301">
        <f t="shared" si="51"/>
        <v>0</v>
      </c>
      <c r="M301">
        <f t="shared" si="52"/>
        <v>0</v>
      </c>
      <c r="N301">
        <f t="shared" si="53"/>
        <v>0</v>
      </c>
      <c r="O301">
        <f t="shared" si="54"/>
        <v>0</v>
      </c>
      <c r="P301">
        <f t="shared" si="55"/>
        <v>0</v>
      </c>
      <c r="Q301">
        <f t="shared" si="56"/>
        <v>0</v>
      </c>
      <c r="R301">
        <f t="shared" si="57"/>
        <v>0</v>
      </c>
      <c r="S301">
        <f t="shared" si="58"/>
        <v>0</v>
      </c>
      <c r="T301">
        <f t="shared" si="59"/>
        <v>0</v>
      </c>
      <c r="U301">
        <f t="shared" si="60"/>
        <v>0</v>
      </c>
      <c r="V301" s="9">
        <f t="shared" si="62"/>
        <v>0</v>
      </c>
      <c r="W301" s="9">
        <f t="shared" si="62"/>
        <v>0</v>
      </c>
      <c r="X301" s="9">
        <f t="shared" si="62"/>
        <v>0</v>
      </c>
      <c r="Y301" s="9">
        <f t="shared" si="62"/>
        <v>0</v>
      </c>
      <c r="Z301" s="9">
        <f t="shared" si="62"/>
        <v>0</v>
      </c>
      <c r="AA301" s="9">
        <f t="shared" si="61"/>
        <v>0</v>
      </c>
      <c r="AB301" s="9">
        <f t="shared" si="61"/>
        <v>0</v>
      </c>
      <c r="AC301" s="9">
        <f t="shared" si="61"/>
        <v>0</v>
      </c>
      <c r="AD301" s="9">
        <f t="shared" si="61"/>
        <v>0</v>
      </c>
      <c r="AE301" s="9">
        <f t="shared" si="61"/>
        <v>0</v>
      </c>
    </row>
    <row r="302" spans="2:31" x14ac:dyDescent="0.25">
      <c r="B302" s="6">
        <v>0</v>
      </c>
      <c r="C302" s="6">
        <v>0</v>
      </c>
      <c r="D302" s="6">
        <v>0</v>
      </c>
      <c r="E302" s="6">
        <v>0</v>
      </c>
      <c r="F302" s="6">
        <v>0</v>
      </c>
      <c r="L302">
        <f t="shared" si="51"/>
        <v>0</v>
      </c>
      <c r="M302">
        <f t="shared" si="52"/>
        <v>0</v>
      </c>
      <c r="N302">
        <f t="shared" si="53"/>
        <v>0</v>
      </c>
      <c r="O302">
        <f t="shared" si="54"/>
        <v>0</v>
      </c>
      <c r="P302">
        <f t="shared" si="55"/>
        <v>0</v>
      </c>
      <c r="Q302">
        <f t="shared" si="56"/>
        <v>0</v>
      </c>
      <c r="R302">
        <f t="shared" si="57"/>
        <v>0</v>
      </c>
      <c r="S302">
        <f t="shared" si="58"/>
        <v>0</v>
      </c>
      <c r="T302">
        <f t="shared" si="59"/>
        <v>0</v>
      </c>
      <c r="U302">
        <f t="shared" si="60"/>
        <v>0</v>
      </c>
      <c r="V302" s="9">
        <f t="shared" si="62"/>
        <v>0</v>
      </c>
      <c r="W302" s="9">
        <f t="shared" si="62"/>
        <v>0</v>
      </c>
      <c r="X302" s="9">
        <f t="shared" si="62"/>
        <v>0</v>
      </c>
      <c r="Y302" s="9">
        <f t="shared" si="62"/>
        <v>0</v>
      </c>
      <c r="Z302" s="9">
        <f t="shared" si="62"/>
        <v>0</v>
      </c>
      <c r="AA302" s="9">
        <f t="shared" si="61"/>
        <v>0</v>
      </c>
      <c r="AB302" s="9">
        <f t="shared" si="61"/>
        <v>0</v>
      </c>
      <c r="AC302" s="9">
        <f t="shared" si="61"/>
        <v>0</v>
      </c>
      <c r="AD302" s="9">
        <f t="shared" si="61"/>
        <v>0</v>
      </c>
      <c r="AE302" s="9">
        <f t="shared" si="61"/>
        <v>0</v>
      </c>
    </row>
    <row r="303" spans="2:31" x14ac:dyDescent="0.25">
      <c r="B303" s="6">
        <v>0</v>
      </c>
      <c r="C303" s="6">
        <v>0</v>
      </c>
      <c r="D303" s="6">
        <v>0</v>
      </c>
      <c r="E303" s="6">
        <v>0</v>
      </c>
      <c r="F303" s="6">
        <v>0</v>
      </c>
      <c r="L303">
        <f t="shared" si="51"/>
        <v>0</v>
      </c>
      <c r="M303">
        <f t="shared" si="52"/>
        <v>0</v>
      </c>
      <c r="N303">
        <f t="shared" si="53"/>
        <v>0</v>
      </c>
      <c r="O303">
        <f t="shared" si="54"/>
        <v>0</v>
      </c>
      <c r="P303">
        <f t="shared" si="55"/>
        <v>0</v>
      </c>
      <c r="Q303">
        <f t="shared" si="56"/>
        <v>0</v>
      </c>
      <c r="R303">
        <f t="shared" si="57"/>
        <v>0</v>
      </c>
      <c r="S303">
        <f t="shared" si="58"/>
        <v>0</v>
      </c>
      <c r="T303">
        <f t="shared" si="59"/>
        <v>0</v>
      </c>
      <c r="U303">
        <f t="shared" si="60"/>
        <v>0</v>
      </c>
      <c r="V303" s="9">
        <f t="shared" si="62"/>
        <v>0</v>
      </c>
      <c r="W303" s="9">
        <f t="shared" si="62"/>
        <v>0</v>
      </c>
      <c r="X303" s="9">
        <f t="shared" si="62"/>
        <v>0</v>
      </c>
      <c r="Y303" s="9">
        <f t="shared" si="62"/>
        <v>0</v>
      </c>
      <c r="Z303" s="9">
        <f t="shared" si="62"/>
        <v>0</v>
      </c>
      <c r="AA303" s="9">
        <f t="shared" si="61"/>
        <v>0</v>
      </c>
      <c r="AB303" s="9">
        <f t="shared" si="61"/>
        <v>0</v>
      </c>
      <c r="AC303" s="9">
        <f t="shared" si="61"/>
        <v>0</v>
      </c>
      <c r="AD303" s="9">
        <f t="shared" si="61"/>
        <v>0</v>
      </c>
      <c r="AE303" s="9">
        <f t="shared" si="61"/>
        <v>0</v>
      </c>
    </row>
    <row r="304" spans="2:31" x14ac:dyDescent="0.25">
      <c r="B304" s="6">
        <v>0</v>
      </c>
      <c r="C304" s="6">
        <v>0</v>
      </c>
      <c r="D304" s="6">
        <v>0</v>
      </c>
      <c r="E304" s="6">
        <v>0</v>
      </c>
      <c r="F304" s="6">
        <v>0</v>
      </c>
      <c r="L304">
        <f t="shared" si="51"/>
        <v>0</v>
      </c>
      <c r="M304">
        <f t="shared" si="52"/>
        <v>0</v>
      </c>
      <c r="N304">
        <f t="shared" si="53"/>
        <v>0</v>
      </c>
      <c r="O304">
        <f t="shared" si="54"/>
        <v>0</v>
      </c>
      <c r="P304">
        <f t="shared" si="55"/>
        <v>0</v>
      </c>
      <c r="Q304">
        <f t="shared" si="56"/>
        <v>0</v>
      </c>
      <c r="R304">
        <f t="shared" si="57"/>
        <v>0</v>
      </c>
      <c r="S304">
        <f t="shared" si="58"/>
        <v>0</v>
      </c>
      <c r="T304">
        <f t="shared" si="59"/>
        <v>0</v>
      </c>
      <c r="U304">
        <f t="shared" si="60"/>
        <v>0</v>
      </c>
      <c r="V304" s="9">
        <f t="shared" si="62"/>
        <v>0</v>
      </c>
      <c r="W304" s="9">
        <f t="shared" si="62"/>
        <v>0</v>
      </c>
      <c r="X304" s="9">
        <f t="shared" si="62"/>
        <v>0</v>
      </c>
      <c r="Y304" s="9">
        <f t="shared" si="62"/>
        <v>0</v>
      </c>
      <c r="Z304" s="9">
        <f t="shared" si="62"/>
        <v>0</v>
      </c>
      <c r="AA304" s="9">
        <f t="shared" si="61"/>
        <v>0</v>
      </c>
      <c r="AB304" s="9">
        <f t="shared" si="61"/>
        <v>0</v>
      </c>
      <c r="AC304" s="9">
        <f t="shared" si="61"/>
        <v>0</v>
      </c>
      <c r="AD304" s="9">
        <f t="shared" si="61"/>
        <v>0</v>
      </c>
      <c r="AE304" s="9">
        <f t="shared" si="61"/>
        <v>0</v>
      </c>
    </row>
    <row r="305" spans="2:31" x14ac:dyDescent="0.25">
      <c r="B305" s="6">
        <v>0</v>
      </c>
      <c r="C305" s="6">
        <v>0</v>
      </c>
      <c r="D305" s="6">
        <v>0</v>
      </c>
      <c r="E305" s="6">
        <v>0</v>
      </c>
      <c r="F305" s="6">
        <v>0</v>
      </c>
      <c r="L305">
        <f t="shared" si="51"/>
        <v>0</v>
      </c>
      <c r="M305">
        <f t="shared" si="52"/>
        <v>0</v>
      </c>
      <c r="N305">
        <f t="shared" si="53"/>
        <v>0</v>
      </c>
      <c r="O305">
        <f t="shared" si="54"/>
        <v>0</v>
      </c>
      <c r="P305">
        <f t="shared" si="55"/>
        <v>0</v>
      </c>
      <c r="Q305">
        <f t="shared" si="56"/>
        <v>0</v>
      </c>
      <c r="R305">
        <f t="shared" si="57"/>
        <v>0</v>
      </c>
      <c r="S305">
        <f t="shared" si="58"/>
        <v>0</v>
      </c>
      <c r="T305">
        <f t="shared" si="59"/>
        <v>0</v>
      </c>
      <c r="U305">
        <f t="shared" si="60"/>
        <v>0</v>
      </c>
      <c r="V305" s="9">
        <f t="shared" si="62"/>
        <v>0</v>
      </c>
      <c r="W305" s="9">
        <f t="shared" si="62"/>
        <v>0</v>
      </c>
      <c r="X305" s="9">
        <f t="shared" si="62"/>
        <v>0</v>
      </c>
      <c r="Y305" s="9">
        <f t="shared" si="62"/>
        <v>0</v>
      </c>
      <c r="Z305" s="9">
        <f t="shared" si="62"/>
        <v>0</v>
      </c>
      <c r="AA305" s="9">
        <f t="shared" si="61"/>
        <v>0</v>
      </c>
      <c r="AB305" s="9">
        <f t="shared" si="61"/>
        <v>0</v>
      </c>
      <c r="AC305" s="9">
        <f t="shared" si="61"/>
        <v>0</v>
      </c>
      <c r="AD305" s="9">
        <f t="shared" si="61"/>
        <v>0</v>
      </c>
      <c r="AE305" s="9">
        <f t="shared" si="61"/>
        <v>0</v>
      </c>
    </row>
    <row r="306" spans="2:31" x14ac:dyDescent="0.25">
      <c r="B306" s="6">
        <v>0</v>
      </c>
      <c r="C306" s="6">
        <v>0</v>
      </c>
      <c r="D306" s="6">
        <v>0</v>
      </c>
      <c r="E306" s="6">
        <v>0</v>
      </c>
      <c r="F306" s="6">
        <v>0</v>
      </c>
      <c r="L306">
        <f t="shared" si="51"/>
        <v>0</v>
      </c>
      <c r="M306">
        <f t="shared" si="52"/>
        <v>0</v>
      </c>
      <c r="N306">
        <f t="shared" si="53"/>
        <v>0</v>
      </c>
      <c r="O306">
        <f t="shared" si="54"/>
        <v>0</v>
      </c>
      <c r="P306">
        <f t="shared" si="55"/>
        <v>0</v>
      </c>
      <c r="Q306">
        <f t="shared" si="56"/>
        <v>0</v>
      </c>
      <c r="R306">
        <f t="shared" si="57"/>
        <v>0</v>
      </c>
      <c r="S306">
        <f t="shared" si="58"/>
        <v>0</v>
      </c>
      <c r="T306">
        <f t="shared" si="59"/>
        <v>0</v>
      </c>
      <c r="U306">
        <f t="shared" si="60"/>
        <v>0</v>
      </c>
      <c r="V306" s="9">
        <f t="shared" si="62"/>
        <v>0</v>
      </c>
      <c r="W306" s="9">
        <f t="shared" si="62"/>
        <v>0</v>
      </c>
      <c r="X306" s="9">
        <f t="shared" si="62"/>
        <v>0</v>
      </c>
      <c r="Y306" s="9">
        <f t="shared" si="62"/>
        <v>0</v>
      </c>
      <c r="Z306" s="9">
        <f t="shared" si="62"/>
        <v>0</v>
      </c>
      <c r="AA306" s="9">
        <f t="shared" si="61"/>
        <v>0</v>
      </c>
      <c r="AB306" s="9">
        <f t="shared" si="61"/>
        <v>0</v>
      </c>
      <c r="AC306" s="9">
        <f t="shared" si="61"/>
        <v>0</v>
      </c>
      <c r="AD306" s="9">
        <f t="shared" si="61"/>
        <v>0</v>
      </c>
      <c r="AE306" s="9">
        <f t="shared" si="61"/>
        <v>0</v>
      </c>
    </row>
    <row r="307" spans="2:31" x14ac:dyDescent="0.25">
      <c r="B307" s="6">
        <v>0</v>
      </c>
      <c r="C307" s="6">
        <v>0</v>
      </c>
      <c r="D307" s="6">
        <v>0</v>
      </c>
      <c r="E307" s="6">
        <v>0</v>
      </c>
      <c r="F307" s="6">
        <v>0</v>
      </c>
      <c r="L307">
        <f t="shared" si="51"/>
        <v>0</v>
      </c>
      <c r="M307">
        <f t="shared" si="52"/>
        <v>0</v>
      </c>
      <c r="N307">
        <f t="shared" si="53"/>
        <v>0</v>
      </c>
      <c r="O307">
        <f t="shared" si="54"/>
        <v>0</v>
      </c>
      <c r="P307">
        <f t="shared" si="55"/>
        <v>0</v>
      </c>
      <c r="Q307">
        <f t="shared" si="56"/>
        <v>0</v>
      </c>
      <c r="R307">
        <f t="shared" si="57"/>
        <v>0</v>
      </c>
      <c r="S307">
        <f t="shared" si="58"/>
        <v>0</v>
      </c>
      <c r="T307">
        <f t="shared" si="59"/>
        <v>0</v>
      </c>
      <c r="U307">
        <f t="shared" si="60"/>
        <v>0</v>
      </c>
      <c r="V307" s="9">
        <f t="shared" si="62"/>
        <v>0</v>
      </c>
      <c r="W307" s="9">
        <f t="shared" si="62"/>
        <v>0</v>
      </c>
      <c r="X307" s="9">
        <f t="shared" si="62"/>
        <v>0</v>
      </c>
      <c r="Y307" s="9">
        <f t="shared" si="62"/>
        <v>0</v>
      </c>
      <c r="Z307" s="9">
        <f t="shared" si="62"/>
        <v>0</v>
      </c>
      <c r="AA307" s="9">
        <f t="shared" si="61"/>
        <v>0</v>
      </c>
      <c r="AB307" s="9">
        <f t="shared" si="61"/>
        <v>0</v>
      </c>
      <c r="AC307" s="9">
        <f t="shared" si="61"/>
        <v>0</v>
      </c>
      <c r="AD307" s="9">
        <f t="shared" si="61"/>
        <v>0</v>
      </c>
      <c r="AE307" s="9">
        <f t="shared" si="61"/>
        <v>0</v>
      </c>
    </row>
    <row r="308" spans="2:31" x14ac:dyDescent="0.25">
      <c r="B308" s="6">
        <v>0</v>
      </c>
      <c r="C308" s="6">
        <v>0</v>
      </c>
      <c r="D308" s="6">
        <v>0</v>
      </c>
      <c r="E308" s="6">
        <v>0</v>
      </c>
      <c r="F308" s="6">
        <v>0</v>
      </c>
      <c r="L308">
        <f t="shared" si="51"/>
        <v>0</v>
      </c>
      <c r="M308">
        <f t="shared" si="52"/>
        <v>0</v>
      </c>
      <c r="N308">
        <f t="shared" si="53"/>
        <v>0</v>
      </c>
      <c r="O308">
        <f t="shared" si="54"/>
        <v>0</v>
      </c>
      <c r="P308">
        <f t="shared" si="55"/>
        <v>0</v>
      </c>
      <c r="Q308">
        <f t="shared" si="56"/>
        <v>0</v>
      </c>
      <c r="R308">
        <f t="shared" si="57"/>
        <v>0</v>
      </c>
      <c r="S308">
        <f t="shared" si="58"/>
        <v>0</v>
      </c>
      <c r="T308">
        <f t="shared" si="59"/>
        <v>0</v>
      </c>
      <c r="U308">
        <f t="shared" si="60"/>
        <v>0</v>
      </c>
      <c r="V308" s="9">
        <f t="shared" si="62"/>
        <v>0</v>
      </c>
      <c r="W308" s="9">
        <f t="shared" si="62"/>
        <v>0</v>
      </c>
      <c r="X308" s="9">
        <f t="shared" si="62"/>
        <v>0</v>
      </c>
      <c r="Y308" s="9">
        <f t="shared" si="62"/>
        <v>0</v>
      </c>
      <c r="Z308" s="9">
        <f t="shared" si="62"/>
        <v>0</v>
      </c>
      <c r="AA308" s="9">
        <f t="shared" si="61"/>
        <v>0</v>
      </c>
      <c r="AB308" s="9">
        <f t="shared" si="61"/>
        <v>0</v>
      </c>
      <c r="AC308" s="9">
        <f t="shared" si="61"/>
        <v>0</v>
      </c>
      <c r="AD308" s="9">
        <f t="shared" si="61"/>
        <v>0</v>
      </c>
      <c r="AE308" s="9">
        <f t="shared" si="61"/>
        <v>0</v>
      </c>
    </row>
    <row r="309" spans="2:31" x14ac:dyDescent="0.25">
      <c r="B309" s="6">
        <v>0</v>
      </c>
      <c r="C309" s="6">
        <v>0</v>
      </c>
      <c r="D309" s="6">
        <v>0</v>
      </c>
      <c r="E309" s="6">
        <v>0</v>
      </c>
      <c r="F309" s="6">
        <v>0</v>
      </c>
      <c r="L309">
        <f t="shared" si="51"/>
        <v>0</v>
      </c>
      <c r="M309">
        <f t="shared" si="52"/>
        <v>0</v>
      </c>
      <c r="N309">
        <f t="shared" si="53"/>
        <v>0</v>
      </c>
      <c r="O309">
        <f t="shared" si="54"/>
        <v>0</v>
      </c>
      <c r="P309">
        <f t="shared" si="55"/>
        <v>0</v>
      </c>
      <c r="Q309">
        <f t="shared" si="56"/>
        <v>0</v>
      </c>
      <c r="R309">
        <f t="shared" si="57"/>
        <v>0</v>
      </c>
      <c r="S309">
        <f t="shared" si="58"/>
        <v>0</v>
      </c>
      <c r="T309">
        <f t="shared" si="59"/>
        <v>0</v>
      </c>
      <c r="U309">
        <f t="shared" si="60"/>
        <v>0</v>
      </c>
      <c r="V309" s="9">
        <f t="shared" si="62"/>
        <v>0</v>
      </c>
      <c r="W309" s="9">
        <f t="shared" si="62"/>
        <v>0</v>
      </c>
      <c r="X309" s="9">
        <f t="shared" si="62"/>
        <v>0</v>
      </c>
      <c r="Y309" s="9">
        <f t="shared" si="62"/>
        <v>0</v>
      </c>
      <c r="Z309" s="9">
        <f t="shared" si="62"/>
        <v>0</v>
      </c>
      <c r="AA309" s="9">
        <f t="shared" si="61"/>
        <v>0</v>
      </c>
      <c r="AB309" s="9">
        <f t="shared" si="61"/>
        <v>0</v>
      </c>
      <c r="AC309" s="9">
        <f t="shared" si="61"/>
        <v>0</v>
      </c>
      <c r="AD309" s="9">
        <f t="shared" si="61"/>
        <v>0</v>
      </c>
      <c r="AE309" s="9">
        <f t="shared" si="61"/>
        <v>0</v>
      </c>
    </row>
    <row r="310" spans="2:31" x14ac:dyDescent="0.25">
      <c r="B310" s="6">
        <v>0</v>
      </c>
      <c r="C310" s="6">
        <v>0</v>
      </c>
      <c r="D310" s="6">
        <v>0</v>
      </c>
      <c r="E310" s="6">
        <v>0</v>
      </c>
      <c r="F310" s="6">
        <v>0</v>
      </c>
      <c r="L310">
        <f t="shared" si="51"/>
        <v>0</v>
      </c>
      <c r="M310">
        <f t="shared" si="52"/>
        <v>0</v>
      </c>
      <c r="N310">
        <f t="shared" si="53"/>
        <v>0</v>
      </c>
      <c r="O310">
        <f t="shared" si="54"/>
        <v>0</v>
      </c>
      <c r="P310">
        <f t="shared" si="55"/>
        <v>0</v>
      </c>
      <c r="Q310">
        <f t="shared" si="56"/>
        <v>0</v>
      </c>
      <c r="R310">
        <f t="shared" si="57"/>
        <v>0</v>
      </c>
      <c r="S310">
        <f t="shared" si="58"/>
        <v>0</v>
      </c>
      <c r="T310">
        <f t="shared" si="59"/>
        <v>0</v>
      </c>
      <c r="U310">
        <f t="shared" si="60"/>
        <v>0</v>
      </c>
      <c r="V310" s="9">
        <f t="shared" si="62"/>
        <v>0</v>
      </c>
      <c r="W310" s="9">
        <f t="shared" si="62"/>
        <v>0</v>
      </c>
      <c r="X310" s="9">
        <f t="shared" si="62"/>
        <v>0</v>
      </c>
      <c r="Y310" s="9">
        <f t="shared" si="62"/>
        <v>0</v>
      </c>
      <c r="Z310" s="9">
        <f t="shared" si="62"/>
        <v>0</v>
      </c>
      <c r="AA310" s="9">
        <f t="shared" si="61"/>
        <v>0</v>
      </c>
      <c r="AB310" s="9">
        <f t="shared" si="61"/>
        <v>0</v>
      </c>
      <c r="AC310" s="9">
        <f t="shared" si="61"/>
        <v>0</v>
      </c>
      <c r="AD310" s="9">
        <f t="shared" si="61"/>
        <v>0</v>
      </c>
      <c r="AE310" s="9">
        <f t="shared" si="61"/>
        <v>0</v>
      </c>
    </row>
    <row r="311" spans="2:31" x14ac:dyDescent="0.25">
      <c r="B311" s="6">
        <v>0</v>
      </c>
      <c r="C311" s="6">
        <v>0</v>
      </c>
      <c r="D311" s="6">
        <v>0</v>
      </c>
      <c r="E311" s="6">
        <v>0</v>
      </c>
      <c r="F311" s="6">
        <v>0</v>
      </c>
      <c r="L311">
        <f t="shared" si="51"/>
        <v>0</v>
      </c>
      <c r="M311">
        <f t="shared" si="52"/>
        <v>0</v>
      </c>
      <c r="N311">
        <f t="shared" si="53"/>
        <v>0</v>
      </c>
      <c r="O311">
        <f t="shared" si="54"/>
        <v>0</v>
      </c>
      <c r="P311">
        <f t="shared" si="55"/>
        <v>0</v>
      </c>
      <c r="Q311">
        <f t="shared" si="56"/>
        <v>0</v>
      </c>
      <c r="R311">
        <f t="shared" si="57"/>
        <v>0</v>
      </c>
      <c r="S311">
        <f t="shared" si="58"/>
        <v>0</v>
      </c>
      <c r="T311">
        <f t="shared" si="59"/>
        <v>0</v>
      </c>
      <c r="U311">
        <f t="shared" si="60"/>
        <v>0</v>
      </c>
      <c r="V311" s="9">
        <f t="shared" si="62"/>
        <v>0</v>
      </c>
      <c r="W311" s="9">
        <f t="shared" si="62"/>
        <v>0</v>
      </c>
      <c r="X311" s="9">
        <f t="shared" si="62"/>
        <v>0</v>
      </c>
      <c r="Y311" s="9">
        <f t="shared" si="62"/>
        <v>0</v>
      </c>
      <c r="Z311" s="9">
        <f t="shared" si="62"/>
        <v>0</v>
      </c>
      <c r="AA311" s="9">
        <f t="shared" si="61"/>
        <v>0</v>
      </c>
      <c r="AB311" s="9">
        <f t="shared" si="61"/>
        <v>0</v>
      </c>
      <c r="AC311" s="9">
        <f t="shared" si="61"/>
        <v>0</v>
      </c>
      <c r="AD311" s="9">
        <f t="shared" si="61"/>
        <v>0</v>
      </c>
      <c r="AE311" s="9">
        <f t="shared" si="61"/>
        <v>0</v>
      </c>
    </row>
    <row r="312" spans="2:31" x14ac:dyDescent="0.25">
      <c r="B312" s="6">
        <v>0</v>
      </c>
      <c r="C312" s="6">
        <v>0</v>
      </c>
      <c r="D312" s="6">
        <v>0</v>
      </c>
      <c r="E312" s="6">
        <v>0</v>
      </c>
      <c r="F312" s="6">
        <v>0</v>
      </c>
      <c r="L312">
        <f t="shared" si="51"/>
        <v>0</v>
      </c>
      <c r="M312">
        <f t="shared" si="52"/>
        <v>0</v>
      </c>
      <c r="N312">
        <f t="shared" si="53"/>
        <v>0</v>
      </c>
      <c r="O312">
        <f t="shared" si="54"/>
        <v>0</v>
      </c>
      <c r="P312">
        <f t="shared" si="55"/>
        <v>0</v>
      </c>
      <c r="Q312">
        <f t="shared" si="56"/>
        <v>0</v>
      </c>
      <c r="R312">
        <f t="shared" si="57"/>
        <v>0</v>
      </c>
      <c r="S312">
        <f t="shared" si="58"/>
        <v>0</v>
      </c>
      <c r="T312">
        <f t="shared" si="59"/>
        <v>0</v>
      </c>
      <c r="U312">
        <f t="shared" si="60"/>
        <v>0</v>
      </c>
      <c r="V312" s="9">
        <f t="shared" si="62"/>
        <v>0</v>
      </c>
      <c r="W312" s="9">
        <f t="shared" si="62"/>
        <v>0</v>
      </c>
      <c r="X312" s="9">
        <f t="shared" si="62"/>
        <v>0</v>
      </c>
      <c r="Y312" s="9">
        <f t="shared" si="62"/>
        <v>0</v>
      </c>
      <c r="Z312" s="9">
        <f t="shared" si="62"/>
        <v>0</v>
      </c>
      <c r="AA312" s="9">
        <f t="shared" si="61"/>
        <v>0</v>
      </c>
      <c r="AB312" s="9">
        <f t="shared" si="61"/>
        <v>0</v>
      </c>
      <c r="AC312" s="9">
        <f t="shared" si="61"/>
        <v>0</v>
      </c>
      <c r="AD312" s="9">
        <f t="shared" si="61"/>
        <v>0</v>
      </c>
      <c r="AE312" s="9">
        <f t="shared" si="61"/>
        <v>0</v>
      </c>
    </row>
    <row r="313" spans="2:31" x14ac:dyDescent="0.25">
      <c r="B313" s="6">
        <v>0</v>
      </c>
      <c r="C313" s="6">
        <v>0</v>
      </c>
      <c r="D313" s="6">
        <v>0</v>
      </c>
      <c r="E313" s="6">
        <v>0</v>
      </c>
      <c r="F313" s="6">
        <v>0</v>
      </c>
      <c r="L313">
        <f t="shared" si="51"/>
        <v>0</v>
      </c>
      <c r="M313">
        <f t="shared" si="52"/>
        <v>0</v>
      </c>
      <c r="N313">
        <f t="shared" si="53"/>
        <v>0</v>
      </c>
      <c r="O313">
        <f t="shared" si="54"/>
        <v>0</v>
      </c>
      <c r="P313">
        <f t="shared" si="55"/>
        <v>0</v>
      </c>
      <c r="Q313">
        <f t="shared" si="56"/>
        <v>0</v>
      </c>
      <c r="R313">
        <f t="shared" si="57"/>
        <v>0</v>
      </c>
      <c r="S313">
        <f t="shared" si="58"/>
        <v>0</v>
      </c>
      <c r="T313">
        <f t="shared" si="59"/>
        <v>0</v>
      </c>
      <c r="U313">
        <f t="shared" si="60"/>
        <v>0</v>
      </c>
      <c r="V313" s="9">
        <f t="shared" si="62"/>
        <v>0</v>
      </c>
      <c r="W313" s="9">
        <f t="shared" si="62"/>
        <v>0</v>
      </c>
      <c r="X313" s="9">
        <f t="shared" si="62"/>
        <v>0</v>
      </c>
      <c r="Y313" s="9">
        <f t="shared" si="62"/>
        <v>0</v>
      </c>
      <c r="Z313" s="9">
        <f t="shared" si="62"/>
        <v>0</v>
      </c>
      <c r="AA313" s="9">
        <f t="shared" si="61"/>
        <v>0</v>
      </c>
      <c r="AB313" s="9">
        <f t="shared" si="61"/>
        <v>0</v>
      </c>
      <c r="AC313" s="9">
        <f t="shared" si="61"/>
        <v>0</v>
      </c>
      <c r="AD313" s="9">
        <f t="shared" si="61"/>
        <v>0</v>
      </c>
      <c r="AE313" s="9">
        <f t="shared" si="61"/>
        <v>0</v>
      </c>
    </row>
    <row r="314" spans="2:31" x14ac:dyDescent="0.25">
      <c r="B314" s="6">
        <v>0</v>
      </c>
      <c r="C314" s="6">
        <v>0</v>
      </c>
      <c r="D314" s="6">
        <v>0</v>
      </c>
      <c r="E314" s="6">
        <v>0</v>
      </c>
      <c r="F314" s="6">
        <v>0</v>
      </c>
      <c r="L314">
        <f t="shared" si="51"/>
        <v>0</v>
      </c>
      <c r="M314">
        <f t="shared" si="52"/>
        <v>0</v>
      </c>
      <c r="N314">
        <f t="shared" si="53"/>
        <v>0</v>
      </c>
      <c r="O314">
        <f t="shared" si="54"/>
        <v>0</v>
      </c>
      <c r="P314">
        <f t="shared" si="55"/>
        <v>0</v>
      </c>
      <c r="Q314">
        <f t="shared" si="56"/>
        <v>0</v>
      </c>
      <c r="R314">
        <f t="shared" si="57"/>
        <v>0</v>
      </c>
      <c r="S314">
        <f t="shared" si="58"/>
        <v>0</v>
      </c>
      <c r="T314">
        <f t="shared" si="59"/>
        <v>0</v>
      </c>
      <c r="U314">
        <f t="shared" si="60"/>
        <v>0</v>
      </c>
      <c r="V314" s="9">
        <f t="shared" si="62"/>
        <v>0</v>
      </c>
      <c r="W314" s="9">
        <f t="shared" si="62"/>
        <v>0</v>
      </c>
      <c r="X314" s="9">
        <f t="shared" si="62"/>
        <v>0</v>
      </c>
      <c r="Y314" s="9">
        <f t="shared" si="62"/>
        <v>0</v>
      </c>
      <c r="Z314" s="9">
        <f t="shared" si="62"/>
        <v>0</v>
      </c>
      <c r="AA314" s="9">
        <f t="shared" si="61"/>
        <v>0</v>
      </c>
      <c r="AB314" s="9">
        <f t="shared" si="61"/>
        <v>0</v>
      </c>
      <c r="AC314" s="9">
        <f t="shared" si="61"/>
        <v>0</v>
      </c>
      <c r="AD314" s="9">
        <f t="shared" si="61"/>
        <v>0</v>
      </c>
      <c r="AE314" s="9">
        <f t="shared" si="61"/>
        <v>0</v>
      </c>
    </row>
    <row r="315" spans="2:31" x14ac:dyDescent="0.25">
      <c r="B315" s="6">
        <v>0</v>
      </c>
      <c r="C315" s="6">
        <v>0</v>
      </c>
      <c r="D315" s="6">
        <v>0</v>
      </c>
      <c r="E315" s="6">
        <v>0</v>
      </c>
      <c r="F315" s="6">
        <v>0</v>
      </c>
      <c r="L315">
        <f t="shared" si="51"/>
        <v>0</v>
      </c>
      <c r="M315">
        <f t="shared" si="52"/>
        <v>0</v>
      </c>
      <c r="N315">
        <f t="shared" si="53"/>
        <v>0</v>
      </c>
      <c r="O315">
        <f t="shared" si="54"/>
        <v>0</v>
      </c>
      <c r="P315">
        <f t="shared" si="55"/>
        <v>0</v>
      </c>
      <c r="Q315">
        <f t="shared" si="56"/>
        <v>0</v>
      </c>
      <c r="R315">
        <f t="shared" si="57"/>
        <v>0</v>
      </c>
      <c r="S315">
        <f t="shared" si="58"/>
        <v>0</v>
      </c>
      <c r="T315">
        <f t="shared" si="59"/>
        <v>0</v>
      </c>
      <c r="U315">
        <f t="shared" si="60"/>
        <v>0</v>
      </c>
      <c r="V315" s="9">
        <f t="shared" si="62"/>
        <v>0</v>
      </c>
      <c r="W315" s="9">
        <f t="shared" si="62"/>
        <v>0</v>
      </c>
      <c r="X315" s="9">
        <f t="shared" si="62"/>
        <v>0</v>
      </c>
      <c r="Y315" s="9">
        <f t="shared" si="62"/>
        <v>0</v>
      </c>
      <c r="Z315" s="9">
        <f t="shared" si="62"/>
        <v>0</v>
      </c>
      <c r="AA315" s="9">
        <f t="shared" si="61"/>
        <v>0</v>
      </c>
      <c r="AB315" s="9">
        <f t="shared" si="61"/>
        <v>0</v>
      </c>
      <c r="AC315" s="9">
        <f t="shared" si="61"/>
        <v>0</v>
      </c>
      <c r="AD315" s="9">
        <f t="shared" si="61"/>
        <v>0</v>
      </c>
      <c r="AE315" s="9">
        <f t="shared" si="61"/>
        <v>0</v>
      </c>
    </row>
    <row r="316" spans="2:31" x14ac:dyDescent="0.25">
      <c r="B316" s="6">
        <v>0</v>
      </c>
      <c r="C316" s="6">
        <v>0</v>
      </c>
      <c r="D316" s="6">
        <v>0</v>
      </c>
      <c r="E316" s="6">
        <v>0</v>
      </c>
      <c r="F316" s="6">
        <v>0</v>
      </c>
      <c r="L316">
        <f t="shared" si="51"/>
        <v>0</v>
      </c>
      <c r="M316">
        <f t="shared" si="52"/>
        <v>0</v>
      </c>
      <c r="N316">
        <f t="shared" si="53"/>
        <v>0</v>
      </c>
      <c r="O316">
        <f t="shared" si="54"/>
        <v>0</v>
      </c>
      <c r="P316">
        <f t="shared" si="55"/>
        <v>0</v>
      </c>
      <c r="Q316">
        <f t="shared" si="56"/>
        <v>0</v>
      </c>
      <c r="R316">
        <f t="shared" si="57"/>
        <v>0</v>
      </c>
      <c r="S316">
        <f t="shared" si="58"/>
        <v>0</v>
      </c>
      <c r="T316">
        <f t="shared" si="59"/>
        <v>0</v>
      </c>
      <c r="U316">
        <f t="shared" si="60"/>
        <v>0</v>
      </c>
      <c r="V316" s="9">
        <f t="shared" si="62"/>
        <v>0</v>
      </c>
      <c r="W316" s="9">
        <f t="shared" si="62"/>
        <v>0</v>
      </c>
      <c r="X316" s="9">
        <f t="shared" si="62"/>
        <v>0</v>
      </c>
      <c r="Y316" s="9">
        <f t="shared" si="62"/>
        <v>0</v>
      </c>
      <c r="Z316" s="9">
        <f t="shared" si="62"/>
        <v>0</v>
      </c>
      <c r="AA316" s="9">
        <f t="shared" si="61"/>
        <v>0</v>
      </c>
      <c r="AB316" s="9">
        <f t="shared" si="61"/>
        <v>0</v>
      </c>
      <c r="AC316" s="9">
        <f t="shared" si="61"/>
        <v>0</v>
      </c>
      <c r="AD316" s="9">
        <f t="shared" si="61"/>
        <v>0</v>
      </c>
      <c r="AE316" s="9">
        <f t="shared" si="61"/>
        <v>0</v>
      </c>
    </row>
    <row r="317" spans="2:31" x14ac:dyDescent="0.25">
      <c r="B317" s="6">
        <v>0</v>
      </c>
      <c r="C317" s="6">
        <v>0</v>
      </c>
      <c r="D317" s="6">
        <v>0</v>
      </c>
      <c r="E317" s="6">
        <v>0</v>
      </c>
      <c r="F317" s="6">
        <v>0</v>
      </c>
      <c r="L317">
        <f t="shared" si="51"/>
        <v>0</v>
      </c>
      <c r="M317">
        <f t="shared" si="52"/>
        <v>0</v>
      </c>
      <c r="N317">
        <f t="shared" si="53"/>
        <v>0</v>
      </c>
      <c r="O317">
        <f t="shared" si="54"/>
        <v>0</v>
      </c>
      <c r="P317">
        <f t="shared" si="55"/>
        <v>0</v>
      </c>
      <c r="Q317">
        <f t="shared" si="56"/>
        <v>0</v>
      </c>
      <c r="R317">
        <f t="shared" si="57"/>
        <v>0</v>
      </c>
      <c r="S317">
        <f t="shared" si="58"/>
        <v>0</v>
      </c>
      <c r="T317">
        <f t="shared" si="59"/>
        <v>0</v>
      </c>
      <c r="U317">
        <f t="shared" si="60"/>
        <v>0</v>
      </c>
      <c r="V317" s="9">
        <f t="shared" si="62"/>
        <v>0</v>
      </c>
      <c r="W317" s="9">
        <f t="shared" si="62"/>
        <v>0</v>
      </c>
      <c r="X317" s="9">
        <f t="shared" si="62"/>
        <v>0</v>
      </c>
      <c r="Y317" s="9">
        <f t="shared" si="62"/>
        <v>0</v>
      </c>
      <c r="Z317" s="9">
        <f t="shared" si="62"/>
        <v>0</v>
      </c>
      <c r="AA317" s="9">
        <f t="shared" si="61"/>
        <v>0</v>
      </c>
      <c r="AB317" s="9">
        <f t="shared" si="61"/>
        <v>0</v>
      </c>
      <c r="AC317" s="9">
        <f t="shared" si="61"/>
        <v>0</v>
      </c>
      <c r="AD317" s="9">
        <f t="shared" si="61"/>
        <v>0</v>
      </c>
      <c r="AE317" s="9">
        <f t="shared" si="61"/>
        <v>0</v>
      </c>
    </row>
    <row r="318" spans="2:31" x14ac:dyDescent="0.25">
      <c r="B318" s="6">
        <v>0</v>
      </c>
      <c r="C318" s="6">
        <v>0</v>
      </c>
      <c r="D318" s="6">
        <v>0</v>
      </c>
      <c r="E318" s="6">
        <v>0</v>
      </c>
      <c r="F318" s="6">
        <v>0</v>
      </c>
      <c r="L318">
        <f t="shared" si="51"/>
        <v>0</v>
      </c>
      <c r="M318">
        <f t="shared" si="52"/>
        <v>0</v>
      </c>
      <c r="N318">
        <f t="shared" si="53"/>
        <v>0</v>
      </c>
      <c r="O318">
        <f t="shared" si="54"/>
        <v>0</v>
      </c>
      <c r="P318">
        <f t="shared" si="55"/>
        <v>0</v>
      </c>
      <c r="Q318">
        <f t="shared" si="56"/>
        <v>0</v>
      </c>
      <c r="R318">
        <f t="shared" si="57"/>
        <v>0</v>
      </c>
      <c r="S318">
        <f t="shared" si="58"/>
        <v>0</v>
      </c>
      <c r="T318">
        <f t="shared" si="59"/>
        <v>0</v>
      </c>
      <c r="U318">
        <f t="shared" si="60"/>
        <v>0</v>
      </c>
      <c r="V318" s="9">
        <f t="shared" si="62"/>
        <v>0</v>
      </c>
      <c r="W318" s="9">
        <f t="shared" si="62"/>
        <v>0</v>
      </c>
      <c r="X318" s="9">
        <f t="shared" si="62"/>
        <v>0</v>
      </c>
      <c r="Y318" s="9">
        <f t="shared" si="62"/>
        <v>0</v>
      </c>
      <c r="Z318" s="9">
        <f t="shared" si="62"/>
        <v>0</v>
      </c>
      <c r="AA318" s="9">
        <f t="shared" si="61"/>
        <v>0</v>
      </c>
      <c r="AB318" s="9">
        <f t="shared" si="61"/>
        <v>0</v>
      </c>
      <c r="AC318" s="9">
        <f t="shared" si="61"/>
        <v>0</v>
      </c>
      <c r="AD318" s="9">
        <f t="shared" si="61"/>
        <v>0</v>
      </c>
      <c r="AE318" s="9">
        <f t="shared" si="61"/>
        <v>0</v>
      </c>
    </row>
    <row r="319" spans="2:31" x14ac:dyDescent="0.25">
      <c r="B319" s="6">
        <v>0</v>
      </c>
      <c r="C319" s="6">
        <v>0</v>
      </c>
      <c r="D319" s="6">
        <v>0</v>
      </c>
      <c r="E319" s="6">
        <v>0</v>
      </c>
      <c r="F319" s="6">
        <v>0</v>
      </c>
      <c r="L319">
        <f t="shared" si="51"/>
        <v>0</v>
      </c>
      <c r="M319">
        <f t="shared" si="52"/>
        <v>0</v>
      </c>
      <c r="N319">
        <f t="shared" si="53"/>
        <v>0</v>
      </c>
      <c r="O319">
        <f t="shared" si="54"/>
        <v>0</v>
      </c>
      <c r="P319">
        <f t="shared" si="55"/>
        <v>0</v>
      </c>
      <c r="Q319">
        <f t="shared" si="56"/>
        <v>0</v>
      </c>
      <c r="R319">
        <f t="shared" si="57"/>
        <v>0</v>
      </c>
      <c r="S319">
        <f t="shared" si="58"/>
        <v>0</v>
      </c>
      <c r="T319">
        <f t="shared" si="59"/>
        <v>0</v>
      </c>
      <c r="U319">
        <f t="shared" si="60"/>
        <v>0</v>
      </c>
      <c r="V319" s="9">
        <f t="shared" si="62"/>
        <v>0</v>
      </c>
      <c r="W319" s="9">
        <f t="shared" si="62"/>
        <v>0</v>
      </c>
      <c r="X319" s="9">
        <f t="shared" si="62"/>
        <v>0</v>
      </c>
      <c r="Y319" s="9">
        <f t="shared" si="62"/>
        <v>0</v>
      </c>
      <c r="Z319" s="9">
        <f t="shared" si="62"/>
        <v>0</v>
      </c>
      <c r="AA319" s="9">
        <f t="shared" si="61"/>
        <v>0</v>
      </c>
      <c r="AB319" s="9">
        <f t="shared" si="61"/>
        <v>0</v>
      </c>
      <c r="AC319" s="9">
        <f t="shared" si="61"/>
        <v>0</v>
      </c>
      <c r="AD319" s="9">
        <f t="shared" si="61"/>
        <v>0</v>
      </c>
      <c r="AE319" s="9">
        <f t="shared" si="61"/>
        <v>0</v>
      </c>
    </row>
    <row r="320" spans="2:31" x14ac:dyDescent="0.25">
      <c r="B320" s="6">
        <v>0</v>
      </c>
      <c r="C320" s="6">
        <v>0</v>
      </c>
      <c r="D320" s="6">
        <v>0</v>
      </c>
      <c r="E320" s="6">
        <v>0</v>
      </c>
      <c r="F320" s="6">
        <v>0</v>
      </c>
      <c r="L320">
        <f t="shared" si="51"/>
        <v>0</v>
      </c>
      <c r="M320">
        <f t="shared" si="52"/>
        <v>0</v>
      </c>
      <c r="N320">
        <f t="shared" si="53"/>
        <v>0</v>
      </c>
      <c r="O320">
        <f t="shared" si="54"/>
        <v>0</v>
      </c>
      <c r="P320">
        <f t="shared" si="55"/>
        <v>0</v>
      </c>
      <c r="Q320">
        <f t="shared" si="56"/>
        <v>0</v>
      </c>
      <c r="R320">
        <f t="shared" si="57"/>
        <v>0</v>
      </c>
      <c r="S320">
        <f t="shared" si="58"/>
        <v>0</v>
      </c>
      <c r="T320">
        <f t="shared" si="59"/>
        <v>0</v>
      </c>
      <c r="U320">
        <f t="shared" si="60"/>
        <v>0</v>
      </c>
      <c r="V320" s="9">
        <f t="shared" si="62"/>
        <v>0</v>
      </c>
      <c r="W320" s="9">
        <f t="shared" si="62"/>
        <v>0</v>
      </c>
      <c r="X320" s="9">
        <f t="shared" si="62"/>
        <v>0</v>
      </c>
      <c r="Y320" s="9">
        <f t="shared" si="62"/>
        <v>0</v>
      </c>
      <c r="Z320" s="9">
        <f t="shared" si="62"/>
        <v>0</v>
      </c>
      <c r="AA320" s="9">
        <f t="shared" si="61"/>
        <v>0</v>
      </c>
      <c r="AB320" s="9">
        <f t="shared" si="61"/>
        <v>0</v>
      </c>
      <c r="AC320" s="9">
        <f t="shared" si="61"/>
        <v>0</v>
      </c>
      <c r="AD320" s="9">
        <f t="shared" si="61"/>
        <v>0</v>
      </c>
      <c r="AE320" s="9">
        <f t="shared" si="61"/>
        <v>0</v>
      </c>
    </row>
    <row r="321" spans="2:31" x14ac:dyDescent="0.25">
      <c r="B321" s="6">
        <v>0</v>
      </c>
      <c r="C321" s="6">
        <v>0</v>
      </c>
      <c r="D321" s="6">
        <v>0</v>
      </c>
      <c r="E321" s="6">
        <v>0</v>
      </c>
      <c r="F321" s="6">
        <v>0</v>
      </c>
      <c r="L321">
        <f t="shared" ref="L321:L384" si="63">B321-C321</f>
        <v>0</v>
      </c>
      <c r="M321">
        <f t="shared" ref="M321:M384" si="64">B321-D321</f>
        <v>0</v>
      </c>
      <c r="N321">
        <f t="shared" ref="N321:N384" si="65">B321-E321</f>
        <v>0</v>
      </c>
      <c r="O321">
        <f t="shared" ref="O321:O384" si="66">B321-F321</f>
        <v>0</v>
      </c>
      <c r="P321">
        <f t="shared" ref="P321:P384" si="67">C321-D321</f>
        <v>0</v>
      </c>
      <c r="Q321">
        <f t="shared" ref="Q321:Q384" si="68">C321-E321</f>
        <v>0</v>
      </c>
      <c r="R321">
        <f t="shared" ref="R321:R384" si="69">C321-F321</f>
        <v>0</v>
      </c>
      <c r="S321">
        <f t="shared" ref="S321:S384" si="70">D321-E321</f>
        <v>0</v>
      </c>
      <c r="T321">
        <f t="shared" ref="T321:T384" si="71">D321-F321</f>
        <v>0</v>
      </c>
      <c r="U321">
        <f t="shared" ref="U321:U384" si="72">E321-F321</f>
        <v>0</v>
      </c>
      <c r="V321" s="9">
        <f t="shared" si="62"/>
        <v>0</v>
      </c>
      <c r="W321" s="9">
        <f t="shared" si="62"/>
        <v>0</v>
      </c>
      <c r="X321" s="9">
        <f t="shared" si="62"/>
        <v>0</v>
      </c>
      <c r="Y321" s="9">
        <f t="shared" si="62"/>
        <v>0</v>
      </c>
      <c r="Z321" s="9">
        <f t="shared" si="62"/>
        <v>0</v>
      </c>
      <c r="AA321" s="9">
        <f t="shared" ref="AA321:AE371" si="73">IF(Q321&gt;=0,Q321,-Q321)</f>
        <v>0</v>
      </c>
      <c r="AB321" s="9">
        <f t="shared" si="73"/>
        <v>0</v>
      </c>
      <c r="AC321" s="9">
        <f t="shared" si="73"/>
        <v>0</v>
      </c>
      <c r="AD321" s="9">
        <f t="shared" si="73"/>
        <v>0</v>
      </c>
      <c r="AE321" s="9">
        <f t="shared" si="73"/>
        <v>0</v>
      </c>
    </row>
    <row r="322" spans="2:31" x14ac:dyDescent="0.25">
      <c r="B322" s="6">
        <v>0</v>
      </c>
      <c r="C322" s="6">
        <v>0</v>
      </c>
      <c r="D322" s="6">
        <v>0</v>
      </c>
      <c r="E322" s="6">
        <v>0</v>
      </c>
      <c r="F322" s="6">
        <v>0</v>
      </c>
      <c r="L322">
        <f t="shared" si="63"/>
        <v>0</v>
      </c>
      <c r="M322">
        <f t="shared" si="64"/>
        <v>0</v>
      </c>
      <c r="N322">
        <f t="shared" si="65"/>
        <v>0</v>
      </c>
      <c r="O322">
        <f t="shared" si="66"/>
        <v>0</v>
      </c>
      <c r="P322">
        <f t="shared" si="67"/>
        <v>0</v>
      </c>
      <c r="Q322">
        <f t="shared" si="68"/>
        <v>0</v>
      </c>
      <c r="R322">
        <f t="shared" si="69"/>
        <v>0</v>
      </c>
      <c r="S322">
        <f t="shared" si="70"/>
        <v>0</v>
      </c>
      <c r="T322">
        <f t="shared" si="71"/>
        <v>0</v>
      </c>
      <c r="U322">
        <f t="shared" si="72"/>
        <v>0</v>
      </c>
      <c r="V322" s="9">
        <f t="shared" ref="V322:Z372" si="74">IF(L322&gt;=0,L322,-L322)</f>
        <v>0</v>
      </c>
      <c r="W322" s="9">
        <f t="shared" si="74"/>
        <v>0</v>
      </c>
      <c r="X322" s="9">
        <f t="shared" si="74"/>
        <v>0</v>
      </c>
      <c r="Y322" s="9">
        <f t="shared" si="74"/>
        <v>0</v>
      </c>
      <c r="Z322" s="9">
        <f t="shared" si="74"/>
        <v>0</v>
      </c>
      <c r="AA322" s="9">
        <f t="shared" si="73"/>
        <v>0</v>
      </c>
      <c r="AB322" s="9">
        <f t="shared" si="73"/>
        <v>0</v>
      </c>
      <c r="AC322" s="9">
        <f t="shared" si="73"/>
        <v>0</v>
      </c>
      <c r="AD322" s="9">
        <f t="shared" si="73"/>
        <v>0</v>
      </c>
      <c r="AE322" s="9">
        <f t="shared" si="73"/>
        <v>0</v>
      </c>
    </row>
    <row r="323" spans="2:31" x14ac:dyDescent="0.25">
      <c r="B323" s="6">
        <v>0</v>
      </c>
      <c r="C323" s="6">
        <v>0</v>
      </c>
      <c r="D323" s="6">
        <v>0</v>
      </c>
      <c r="E323" s="6">
        <v>0</v>
      </c>
      <c r="F323" s="6">
        <v>0</v>
      </c>
      <c r="L323">
        <f t="shared" si="63"/>
        <v>0</v>
      </c>
      <c r="M323">
        <f t="shared" si="64"/>
        <v>0</v>
      </c>
      <c r="N323">
        <f t="shared" si="65"/>
        <v>0</v>
      </c>
      <c r="O323">
        <f t="shared" si="66"/>
        <v>0</v>
      </c>
      <c r="P323">
        <f t="shared" si="67"/>
        <v>0</v>
      </c>
      <c r="Q323">
        <f t="shared" si="68"/>
        <v>0</v>
      </c>
      <c r="R323">
        <f t="shared" si="69"/>
        <v>0</v>
      </c>
      <c r="S323">
        <f t="shared" si="70"/>
        <v>0</v>
      </c>
      <c r="T323">
        <f t="shared" si="71"/>
        <v>0</v>
      </c>
      <c r="U323">
        <f t="shared" si="72"/>
        <v>0</v>
      </c>
      <c r="V323" s="9">
        <f t="shared" si="74"/>
        <v>0</v>
      </c>
      <c r="W323" s="9">
        <f t="shared" si="74"/>
        <v>0</v>
      </c>
      <c r="X323" s="9">
        <f t="shared" si="74"/>
        <v>0</v>
      </c>
      <c r="Y323" s="9">
        <f t="shared" si="74"/>
        <v>0</v>
      </c>
      <c r="Z323" s="9">
        <f t="shared" si="74"/>
        <v>0</v>
      </c>
      <c r="AA323" s="9">
        <f t="shared" si="73"/>
        <v>0</v>
      </c>
      <c r="AB323" s="9">
        <f t="shared" si="73"/>
        <v>0</v>
      </c>
      <c r="AC323" s="9">
        <f t="shared" si="73"/>
        <v>0</v>
      </c>
      <c r="AD323" s="9">
        <f t="shared" si="73"/>
        <v>0</v>
      </c>
      <c r="AE323" s="9">
        <f t="shared" si="73"/>
        <v>0</v>
      </c>
    </row>
    <row r="324" spans="2:31" x14ac:dyDescent="0.25">
      <c r="B324" s="6">
        <v>0</v>
      </c>
      <c r="C324" s="6">
        <v>0</v>
      </c>
      <c r="D324" s="6">
        <v>0</v>
      </c>
      <c r="E324" s="6">
        <v>0</v>
      </c>
      <c r="F324" s="6">
        <v>0</v>
      </c>
      <c r="L324">
        <f t="shared" si="63"/>
        <v>0</v>
      </c>
      <c r="M324">
        <f t="shared" si="64"/>
        <v>0</v>
      </c>
      <c r="N324">
        <f t="shared" si="65"/>
        <v>0</v>
      </c>
      <c r="O324">
        <f t="shared" si="66"/>
        <v>0</v>
      </c>
      <c r="P324">
        <f t="shared" si="67"/>
        <v>0</v>
      </c>
      <c r="Q324">
        <f t="shared" si="68"/>
        <v>0</v>
      </c>
      <c r="R324">
        <f t="shared" si="69"/>
        <v>0</v>
      </c>
      <c r="S324">
        <f t="shared" si="70"/>
        <v>0</v>
      </c>
      <c r="T324">
        <f t="shared" si="71"/>
        <v>0</v>
      </c>
      <c r="U324">
        <f t="shared" si="72"/>
        <v>0</v>
      </c>
      <c r="V324" s="9">
        <f t="shared" si="74"/>
        <v>0</v>
      </c>
      <c r="W324" s="9">
        <f t="shared" si="74"/>
        <v>0</v>
      </c>
      <c r="X324" s="9">
        <f t="shared" si="74"/>
        <v>0</v>
      </c>
      <c r="Y324" s="9">
        <f t="shared" si="74"/>
        <v>0</v>
      </c>
      <c r="Z324" s="9">
        <f t="shared" si="74"/>
        <v>0</v>
      </c>
      <c r="AA324" s="9">
        <f t="shared" si="73"/>
        <v>0</v>
      </c>
      <c r="AB324" s="9">
        <f t="shared" si="73"/>
        <v>0</v>
      </c>
      <c r="AC324" s="9">
        <f t="shared" si="73"/>
        <v>0</v>
      </c>
      <c r="AD324" s="9">
        <f t="shared" si="73"/>
        <v>0</v>
      </c>
      <c r="AE324" s="9">
        <f t="shared" si="73"/>
        <v>0</v>
      </c>
    </row>
    <row r="325" spans="2:31" x14ac:dyDescent="0.25">
      <c r="B325" s="6">
        <v>0</v>
      </c>
      <c r="C325" s="6">
        <v>0</v>
      </c>
      <c r="D325" s="6">
        <v>0</v>
      </c>
      <c r="E325" s="6">
        <v>0</v>
      </c>
      <c r="F325" s="6">
        <v>0</v>
      </c>
      <c r="L325">
        <f t="shared" si="63"/>
        <v>0</v>
      </c>
      <c r="M325">
        <f t="shared" si="64"/>
        <v>0</v>
      </c>
      <c r="N325">
        <f t="shared" si="65"/>
        <v>0</v>
      </c>
      <c r="O325">
        <f t="shared" si="66"/>
        <v>0</v>
      </c>
      <c r="P325">
        <f t="shared" si="67"/>
        <v>0</v>
      </c>
      <c r="Q325">
        <f t="shared" si="68"/>
        <v>0</v>
      </c>
      <c r="R325">
        <f t="shared" si="69"/>
        <v>0</v>
      </c>
      <c r="S325">
        <f t="shared" si="70"/>
        <v>0</v>
      </c>
      <c r="T325">
        <f t="shared" si="71"/>
        <v>0</v>
      </c>
      <c r="U325">
        <f t="shared" si="72"/>
        <v>0</v>
      </c>
      <c r="V325" s="9">
        <f t="shared" si="74"/>
        <v>0</v>
      </c>
      <c r="W325" s="9">
        <f t="shared" si="74"/>
        <v>0</v>
      </c>
      <c r="X325" s="9">
        <f t="shared" si="74"/>
        <v>0</v>
      </c>
      <c r="Y325" s="9">
        <f t="shared" si="74"/>
        <v>0</v>
      </c>
      <c r="Z325" s="9">
        <f t="shared" si="74"/>
        <v>0</v>
      </c>
      <c r="AA325" s="9">
        <f t="shared" si="73"/>
        <v>0</v>
      </c>
      <c r="AB325" s="9">
        <f t="shared" si="73"/>
        <v>0</v>
      </c>
      <c r="AC325" s="9">
        <f t="shared" si="73"/>
        <v>0</v>
      </c>
      <c r="AD325" s="9">
        <f t="shared" si="73"/>
        <v>0</v>
      </c>
      <c r="AE325" s="9">
        <f t="shared" si="73"/>
        <v>0</v>
      </c>
    </row>
    <row r="326" spans="2:31" x14ac:dyDescent="0.25">
      <c r="B326" s="6">
        <v>0</v>
      </c>
      <c r="C326" s="6">
        <v>0</v>
      </c>
      <c r="D326" s="6">
        <v>0</v>
      </c>
      <c r="E326" s="6">
        <v>0</v>
      </c>
      <c r="F326" s="6">
        <v>0</v>
      </c>
      <c r="L326">
        <f t="shared" si="63"/>
        <v>0</v>
      </c>
      <c r="M326">
        <f t="shared" si="64"/>
        <v>0</v>
      </c>
      <c r="N326">
        <f t="shared" si="65"/>
        <v>0</v>
      </c>
      <c r="O326">
        <f t="shared" si="66"/>
        <v>0</v>
      </c>
      <c r="P326">
        <f t="shared" si="67"/>
        <v>0</v>
      </c>
      <c r="Q326">
        <f t="shared" si="68"/>
        <v>0</v>
      </c>
      <c r="R326">
        <f t="shared" si="69"/>
        <v>0</v>
      </c>
      <c r="S326">
        <f t="shared" si="70"/>
        <v>0</v>
      </c>
      <c r="T326">
        <f t="shared" si="71"/>
        <v>0</v>
      </c>
      <c r="U326">
        <f t="shared" si="72"/>
        <v>0</v>
      </c>
      <c r="V326" s="9">
        <f t="shared" si="74"/>
        <v>0</v>
      </c>
      <c r="W326" s="9">
        <f t="shared" si="74"/>
        <v>0</v>
      </c>
      <c r="X326" s="9">
        <f t="shared" si="74"/>
        <v>0</v>
      </c>
      <c r="Y326" s="9">
        <f t="shared" si="74"/>
        <v>0</v>
      </c>
      <c r="Z326" s="9">
        <f t="shared" si="74"/>
        <v>0</v>
      </c>
      <c r="AA326" s="9">
        <f t="shared" si="73"/>
        <v>0</v>
      </c>
      <c r="AB326" s="9">
        <f t="shared" si="73"/>
        <v>0</v>
      </c>
      <c r="AC326" s="9">
        <f t="shared" si="73"/>
        <v>0</v>
      </c>
      <c r="AD326" s="9">
        <f t="shared" si="73"/>
        <v>0</v>
      </c>
      <c r="AE326" s="9">
        <f t="shared" si="73"/>
        <v>0</v>
      </c>
    </row>
    <row r="327" spans="2:31" x14ac:dyDescent="0.25">
      <c r="B327" s="6">
        <v>0</v>
      </c>
      <c r="C327" s="6">
        <v>0</v>
      </c>
      <c r="D327" s="6">
        <v>0</v>
      </c>
      <c r="E327" s="6">
        <v>0</v>
      </c>
      <c r="F327" s="6">
        <v>0</v>
      </c>
      <c r="L327">
        <f t="shared" si="63"/>
        <v>0</v>
      </c>
      <c r="M327">
        <f t="shared" si="64"/>
        <v>0</v>
      </c>
      <c r="N327">
        <f t="shared" si="65"/>
        <v>0</v>
      </c>
      <c r="O327">
        <f t="shared" si="66"/>
        <v>0</v>
      </c>
      <c r="P327">
        <f t="shared" si="67"/>
        <v>0</v>
      </c>
      <c r="Q327">
        <f t="shared" si="68"/>
        <v>0</v>
      </c>
      <c r="R327">
        <f t="shared" si="69"/>
        <v>0</v>
      </c>
      <c r="S327">
        <f t="shared" si="70"/>
        <v>0</v>
      </c>
      <c r="T327">
        <f t="shared" si="71"/>
        <v>0</v>
      </c>
      <c r="U327">
        <f t="shared" si="72"/>
        <v>0</v>
      </c>
      <c r="V327" s="9">
        <f t="shared" si="74"/>
        <v>0</v>
      </c>
      <c r="W327" s="9">
        <f t="shared" si="74"/>
        <v>0</v>
      </c>
      <c r="X327" s="9">
        <f t="shared" si="74"/>
        <v>0</v>
      </c>
      <c r="Y327" s="9">
        <f t="shared" si="74"/>
        <v>0</v>
      </c>
      <c r="Z327" s="9">
        <f t="shared" si="74"/>
        <v>0</v>
      </c>
      <c r="AA327" s="9">
        <f t="shared" si="73"/>
        <v>0</v>
      </c>
      <c r="AB327" s="9">
        <f t="shared" si="73"/>
        <v>0</v>
      </c>
      <c r="AC327" s="9">
        <f t="shared" si="73"/>
        <v>0</v>
      </c>
      <c r="AD327" s="9">
        <f t="shared" si="73"/>
        <v>0</v>
      </c>
      <c r="AE327" s="9">
        <f t="shared" si="73"/>
        <v>0</v>
      </c>
    </row>
    <row r="328" spans="2:31" x14ac:dyDescent="0.25">
      <c r="B328" s="6">
        <v>0</v>
      </c>
      <c r="C328" s="6">
        <v>0</v>
      </c>
      <c r="D328" s="6">
        <v>0</v>
      </c>
      <c r="E328" s="6">
        <v>0</v>
      </c>
      <c r="F328" s="6">
        <v>0</v>
      </c>
      <c r="L328">
        <f t="shared" si="63"/>
        <v>0</v>
      </c>
      <c r="M328">
        <f t="shared" si="64"/>
        <v>0</v>
      </c>
      <c r="N328">
        <f t="shared" si="65"/>
        <v>0</v>
      </c>
      <c r="O328">
        <f t="shared" si="66"/>
        <v>0</v>
      </c>
      <c r="P328">
        <f t="shared" si="67"/>
        <v>0</v>
      </c>
      <c r="Q328">
        <f t="shared" si="68"/>
        <v>0</v>
      </c>
      <c r="R328">
        <f t="shared" si="69"/>
        <v>0</v>
      </c>
      <c r="S328">
        <f t="shared" si="70"/>
        <v>0</v>
      </c>
      <c r="T328">
        <f t="shared" si="71"/>
        <v>0</v>
      </c>
      <c r="U328">
        <f t="shared" si="72"/>
        <v>0</v>
      </c>
      <c r="V328" s="9">
        <f t="shared" si="74"/>
        <v>0</v>
      </c>
      <c r="W328" s="9">
        <f t="shared" si="74"/>
        <v>0</v>
      </c>
      <c r="X328" s="9">
        <f t="shared" si="74"/>
        <v>0</v>
      </c>
      <c r="Y328" s="9">
        <f t="shared" si="74"/>
        <v>0</v>
      </c>
      <c r="Z328" s="9">
        <f t="shared" si="74"/>
        <v>0</v>
      </c>
      <c r="AA328" s="9">
        <f t="shared" si="73"/>
        <v>0</v>
      </c>
      <c r="AB328" s="9">
        <f t="shared" si="73"/>
        <v>0</v>
      </c>
      <c r="AC328" s="9">
        <f t="shared" si="73"/>
        <v>0</v>
      </c>
      <c r="AD328" s="9">
        <f t="shared" si="73"/>
        <v>0</v>
      </c>
      <c r="AE328" s="9">
        <f t="shared" si="73"/>
        <v>0</v>
      </c>
    </row>
    <row r="329" spans="2:31" x14ac:dyDescent="0.25">
      <c r="B329" s="6">
        <v>0</v>
      </c>
      <c r="C329" s="6">
        <v>0</v>
      </c>
      <c r="D329" s="6">
        <v>0</v>
      </c>
      <c r="E329" s="6">
        <v>0</v>
      </c>
      <c r="F329" s="6">
        <v>0</v>
      </c>
      <c r="L329">
        <f t="shared" si="63"/>
        <v>0</v>
      </c>
      <c r="M329">
        <f t="shared" si="64"/>
        <v>0</v>
      </c>
      <c r="N329">
        <f t="shared" si="65"/>
        <v>0</v>
      </c>
      <c r="O329">
        <f t="shared" si="66"/>
        <v>0</v>
      </c>
      <c r="P329">
        <f t="shared" si="67"/>
        <v>0</v>
      </c>
      <c r="Q329">
        <f t="shared" si="68"/>
        <v>0</v>
      </c>
      <c r="R329">
        <f t="shared" si="69"/>
        <v>0</v>
      </c>
      <c r="S329">
        <f t="shared" si="70"/>
        <v>0</v>
      </c>
      <c r="T329">
        <f t="shared" si="71"/>
        <v>0</v>
      </c>
      <c r="U329">
        <f t="shared" si="72"/>
        <v>0</v>
      </c>
      <c r="V329" s="9">
        <f t="shared" si="74"/>
        <v>0</v>
      </c>
      <c r="W329" s="9">
        <f t="shared" si="74"/>
        <v>0</v>
      </c>
      <c r="X329" s="9">
        <f t="shared" si="74"/>
        <v>0</v>
      </c>
      <c r="Y329" s="9">
        <f t="shared" si="74"/>
        <v>0</v>
      </c>
      <c r="Z329" s="9">
        <f t="shared" si="74"/>
        <v>0</v>
      </c>
      <c r="AA329" s="9">
        <f t="shared" si="73"/>
        <v>0</v>
      </c>
      <c r="AB329" s="9">
        <f t="shared" si="73"/>
        <v>0</v>
      </c>
      <c r="AC329" s="9">
        <f t="shared" si="73"/>
        <v>0</v>
      </c>
      <c r="AD329" s="9">
        <f t="shared" si="73"/>
        <v>0</v>
      </c>
      <c r="AE329" s="9">
        <f t="shared" si="73"/>
        <v>0</v>
      </c>
    </row>
    <row r="330" spans="2:31" x14ac:dyDescent="0.25">
      <c r="B330" s="6">
        <v>0</v>
      </c>
      <c r="C330" s="6">
        <v>0</v>
      </c>
      <c r="D330" s="6">
        <v>0</v>
      </c>
      <c r="E330" s="6">
        <v>0</v>
      </c>
      <c r="F330" s="6">
        <v>0</v>
      </c>
      <c r="L330">
        <f t="shared" si="63"/>
        <v>0</v>
      </c>
      <c r="M330">
        <f t="shared" si="64"/>
        <v>0</v>
      </c>
      <c r="N330">
        <f t="shared" si="65"/>
        <v>0</v>
      </c>
      <c r="O330">
        <f t="shared" si="66"/>
        <v>0</v>
      </c>
      <c r="P330">
        <f t="shared" si="67"/>
        <v>0</v>
      </c>
      <c r="Q330">
        <f t="shared" si="68"/>
        <v>0</v>
      </c>
      <c r="R330">
        <f t="shared" si="69"/>
        <v>0</v>
      </c>
      <c r="S330">
        <f t="shared" si="70"/>
        <v>0</v>
      </c>
      <c r="T330">
        <f t="shared" si="71"/>
        <v>0</v>
      </c>
      <c r="U330">
        <f t="shared" si="72"/>
        <v>0</v>
      </c>
      <c r="V330" s="9">
        <f t="shared" si="74"/>
        <v>0</v>
      </c>
      <c r="W330" s="9">
        <f t="shared" si="74"/>
        <v>0</v>
      </c>
      <c r="X330" s="9">
        <f t="shared" si="74"/>
        <v>0</v>
      </c>
      <c r="Y330" s="9">
        <f t="shared" si="74"/>
        <v>0</v>
      </c>
      <c r="Z330" s="9">
        <f t="shared" si="74"/>
        <v>0</v>
      </c>
      <c r="AA330" s="9">
        <f t="shared" si="73"/>
        <v>0</v>
      </c>
      <c r="AB330" s="9">
        <f t="shared" si="73"/>
        <v>0</v>
      </c>
      <c r="AC330" s="9">
        <f t="shared" si="73"/>
        <v>0</v>
      </c>
      <c r="AD330" s="9">
        <f t="shared" si="73"/>
        <v>0</v>
      </c>
      <c r="AE330" s="9">
        <f t="shared" si="73"/>
        <v>0</v>
      </c>
    </row>
    <row r="331" spans="2:31" x14ac:dyDescent="0.25">
      <c r="B331" s="6">
        <v>0</v>
      </c>
      <c r="C331" s="6">
        <v>0</v>
      </c>
      <c r="D331" s="6">
        <v>0</v>
      </c>
      <c r="E331" s="6">
        <v>0</v>
      </c>
      <c r="F331" s="6">
        <v>0</v>
      </c>
      <c r="L331">
        <f t="shared" si="63"/>
        <v>0</v>
      </c>
      <c r="M331">
        <f t="shared" si="64"/>
        <v>0</v>
      </c>
      <c r="N331">
        <f t="shared" si="65"/>
        <v>0</v>
      </c>
      <c r="O331">
        <f t="shared" si="66"/>
        <v>0</v>
      </c>
      <c r="P331">
        <f t="shared" si="67"/>
        <v>0</v>
      </c>
      <c r="Q331">
        <f t="shared" si="68"/>
        <v>0</v>
      </c>
      <c r="R331">
        <f t="shared" si="69"/>
        <v>0</v>
      </c>
      <c r="S331">
        <f t="shared" si="70"/>
        <v>0</v>
      </c>
      <c r="T331">
        <f t="shared" si="71"/>
        <v>0</v>
      </c>
      <c r="U331">
        <f t="shared" si="72"/>
        <v>0</v>
      </c>
      <c r="V331" s="9">
        <f t="shared" si="74"/>
        <v>0</v>
      </c>
      <c r="W331" s="9">
        <f t="shared" si="74"/>
        <v>0</v>
      </c>
      <c r="X331" s="9">
        <f t="shared" si="74"/>
        <v>0</v>
      </c>
      <c r="Y331" s="9">
        <f t="shared" si="74"/>
        <v>0</v>
      </c>
      <c r="Z331" s="9">
        <f t="shared" si="74"/>
        <v>0</v>
      </c>
      <c r="AA331" s="9">
        <f t="shared" si="73"/>
        <v>0</v>
      </c>
      <c r="AB331" s="9">
        <f t="shared" si="73"/>
        <v>0</v>
      </c>
      <c r="AC331" s="9">
        <f t="shared" si="73"/>
        <v>0</v>
      </c>
      <c r="AD331" s="9">
        <f t="shared" si="73"/>
        <v>0</v>
      </c>
      <c r="AE331" s="9">
        <f t="shared" si="73"/>
        <v>0</v>
      </c>
    </row>
    <row r="332" spans="2:31" x14ac:dyDescent="0.25">
      <c r="B332" s="6">
        <v>0</v>
      </c>
      <c r="C332" s="6">
        <v>0</v>
      </c>
      <c r="D332" s="6">
        <v>0</v>
      </c>
      <c r="E332" s="6">
        <v>0</v>
      </c>
      <c r="F332" s="6">
        <v>0</v>
      </c>
      <c r="L332">
        <f t="shared" si="63"/>
        <v>0</v>
      </c>
      <c r="M332">
        <f t="shared" si="64"/>
        <v>0</v>
      </c>
      <c r="N332">
        <f t="shared" si="65"/>
        <v>0</v>
      </c>
      <c r="O332">
        <f t="shared" si="66"/>
        <v>0</v>
      </c>
      <c r="P332">
        <f t="shared" si="67"/>
        <v>0</v>
      </c>
      <c r="Q332">
        <f t="shared" si="68"/>
        <v>0</v>
      </c>
      <c r="R332">
        <f t="shared" si="69"/>
        <v>0</v>
      </c>
      <c r="S332">
        <f t="shared" si="70"/>
        <v>0</v>
      </c>
      <c r="T332">
        <f t="shared" si="71"/>
        <v>0</v>
      </c>
      <c r="U332">
        <f t="shared" si="72"/>
        <v>0</v>
      </c>
      <c r="V332" s="9">
        <f t="shared" si="74"/>
        <v>0</v>
      </c>
      <c r="W332" s="9">
        <f t="shared" si="74"/>
        <v>0</v>
      </c>
      <c r="X332" s="9">
        <f t="shared" si="74"/>
        <v>0</v>
      </c>
      <c r="Y332" s="9">
        <f t="shared" si="74"/>
        <v>0</v>
      </c>
      <c r="Z332" s="9">
        <f t="shared" si="74"/>
        <v>0</v>
      </c>
      <c r="AA332" s="9">
        <f t="shared" si="73"/>
        <v>0</v>
      </c>
      <c r="AB332" s="9">
        <f t="shared" si="73"/>
        <v>0</v>
      </c>
      <c r="AC332" s="9">
        <f t="shared" si="73"/>
        <v>0</v>
      </c>
      <c r="AD332" s="9">
        <f t="shared" si="73"/>
        <v>0</v>
      </c>
      <c r="AE332" s="9">
        <f t="shared" si="73"/>
        <v>0</v>
      </c>
    </row>
    <row r="333" spans="2:31" x14ac:dyDescent="0.25">
      <c r="B333" s="6">
        <v>0</v>
      </c>
      <c r="C333" s="6">
        <v>0</v>
      </c>
      <c r="D333" s="6">
        <v>0</v>
      </c>
      <c r="E333" s="6">
        <v>0</v>
      </c>
      <c r="F333" s="6">
        <v>0</v>
      </c>
      <c r="L333">
        <f t="shared" si="63"/>
        <v>0</v>
      </c>
      <c r="M333">
        <f t="shared" si="64"/>
        <v>0</v>
      </c>
      <c r="N333">
        <f t="shared" si="65"/>
        <v>0</v>
      </c>
      <c r="O333">
        <f t="shared" si="66"/>
        <v>0</v>
      </c>
      <c r="P333">
        <f t="shared" si="67"/>
        <v>0</v>
      </c>
      <c r="Q333">
        <f t="shared" si="68"/>
        <v>0</v>
      </c>
      <c r="R333">
        <f t="shared" si="69"/>
        <v>0</v>
      </c>
      <c r="S333">
        <f t="shared" si="70"/>
        <v>0</v>
      </c>
      <c r="T333">
        <f t="shared" si="71"/>
        <v>0</v>
      </c>
      <c r="U333">
        <f t="shared" si="72"/>
        <v>0</v>
      </c>
      <c r="V333" s="9">
        <f t="shared" si="74"/>
        <v>0</v>
      </c>
      <c r="W333" s="9">
        <f t="shared" si="74"/>
        <v>0</v>
      </c>
      <c r="X333" s="9">
        <f t="shared" si="74"/>
        <v>0</v>
      </c>
      <c r="Y333" s="9">
        <f t="shared" si="74"/>
        <v>0</v>
      </c>
      <c r="Z333" s="9">
        <f t="shared" si="74"/>
        <v>0</v>
      </c>
      <c r="AA333" s="9">
        <f t="shared" si="73"/>
        <v>0</v>
      </c>
      <c r="AB333" s="9">
        <f t="shared" si="73"/>
        <v>0</v>
      </c>
      <c r="AC333" s="9">
        <f t="shared" si="73"/>
        <v>0</v>
      </c>
      <c r="AD333" s="9">
        <f t="shared" si="73"/>
        <v>0</v>
      </c>
      <c r="AE333" s="9">
        <f t="shared" si="73"/>
        <v>0</v>
      </c>
    </row>
    <row r="334" spans="2:31" x14ac:dyDescent="0.25">
      <c r="B334" s="6">
        <v>0</v>
      </c>
      <c r="C334" s="6">
        <v>0</v>
      </c>
      <c r="D334" s="6">
        <v>0</v>
      </c>
      <c r="E334" s="6">
        <v>0</v>
      </c>
      <c r="F334" s="6">
        <v>0</v>
      </c>
      <c r="L334">
        <f t="shared" si="63"/>
        <v>0</v>
      </c>
      <c r="M334">
        <f t="shared" si="64"/>
        <v>0</v>
      </c>
      <c r="N334">
        <f t="shared" si="65"/>
        <v>0</v>
      </c>
      <c r="O334">
        <f t="shared" si="66"/>
        <v>0</v>
      </c>
      <c r="P334">
        <f t="shared" si="67"/>
        <v>0</v>
      </c>
      <c r="Q334">
        <f t="shared" si="68"/>
        <v>0</v>
      </c>
      <c r="R334">
        <f t="shared" si="69"/>
        <v>0</v>
      </c>
      <c r="S334">
        <f t="shared" si="70"/>
        <v>0</v>
      </c>
      <c r="T334">
        <f t="shared" si="71"/>
        <v>0</v>
      </c>
      <c r="U334">
        <f t="shared" si="72"/>
        <v>0</v>
      </c>
      <c r="V334" s="9">
        <f t="shared" si="74"/>
        <v>0</v>
      </c>
      <c r="W334" s="9">
        <f t="shared" si="74"/>
        <v>0</v>
      </c>
      <c r="X334" s="9">
        <f t="shared" si="74"/>
        <v>0</v>
      </c>
      <c r="Y334" s="9">
        <f t="shared" si="74"/>
        <v>0</v>
      </c>
      <c r="Z334" s="9">
        <f t="shared" si="74"/>
        <v>0</v>
      </c>
      <c r="AA334" s="9">
        <f t="shared" si="73"/>
        <v>0</v>
      </c>
      <c r="AB334" s="9">
        <f t="shared" si="73"/>
        <v>0</v>
      </c>
      <c r="AC334" s="9">
        <f t="shared" si="73"/>
        <v>0</v>
      </c>
      <c r="AD334" s="9">
        <f t="shared" si="73"/>
        <v>0</v>
      </c>
      <c r="AE334" s="9">
        <f t="shared" si="73"/>
        <v>0</v>
      </c>
    </row>
    <row r="335" spans="2:31" x14ac:dyDescent="0.25">
      <c r="B335" s="6">
        <v>0</v>
      </c>
      <c r="C335" s="6">
        <v>0</v>
      </c>
      <c r="D335" s="6">
        <v>0</v>
      </c>
      <c r="E335" s="6">
        <v>0</v>
      </c>
      <c r="F335" s="6">
        <v>0</v>
      </c>
      <c r="L335">
        <f t="shared" si="63"/>
        <v>0</v>
      </c>
      <c r="M335">
        <f t="shared" si="64"/>
        <v>0</v>
      </c>
      <c r="N335">
        <f t="shared" si="65"/>
        <v>0</v>
      </c>
      <c r="O335">
        <f t="shared" si="66"/>
        <v>0</v>
      </c>
      <c r="P335">
        <f t="shared" si="67"/>
        <v>0</v>
      </c>
      <c r="Q335">
        <f t="shared" si="68"/>
        <v>0</v>
      </c>
      <c r="R335">
        <f t="shared" si="69"/>
        <v>0</v>
      </c>
      <c r="S335">
        <f t="shared" si="70"/>
        <v>0</v>
      </c>
      <c r="T335">
        <f t="shared" si="71"/>
        <v>0</v>
      </c>
      <c r="U335">
        <f t="shared" si="72"/>
        <v>0</v>
      </c>
      <c r="V335" s="9">
        <f t="shared" si="74"/>
        <v>0</v>
      </c>
      <c r="W335" s="9">
        <f t="shared" si="74"/>
        <v>0</v>
      </c>
      <c r="X335" s="9">
        <f t="shared" si="74"/>
        <v>0</v>
      </c>
      <c r="Y335" s="9">
        <f t="shared" si="74"/>
        <v>0</v>
      </c>
      <c r="Z335" s="9">
        <f t="shared" si="74"/>
        <v>0</v>
      </c>
      <c r="AA335" s="9">
        <f t="shared" si="73"/>
        <v>0</v>
      </c>
      <c r="AB335" s="9">
        <f t="shared" si="73"/>
        <v>0</v>
      </c>
      <c r="AC335" s="9">
        <f t="shared" si="73"/>
        <v>0</v>
      </c>
      <c r="AD335" s="9">
        <f t="shared" si="73"/>
        <v>0</v>
      </c>
      <c r="AE335" s="9">
        <f t="shared" si="73"/>
        <v>0</v>
      </c>
    </row>
    <row r="336" spans="2:31" x14ac:dyDescent="0.25">
      <c r="B336" s="6">
        <v>0</v>
      </c>
      <c r="C336" s="6">
        <v>0</v>
      </c>
      <c r="D336" s="6">
        <v>0</v>
      </c>
      <c r="E336" s="6">
        <v>0</v>
      </c>
      <c r="F336" s="6">
        <v>0</v>
      </c>
      <c r="L336">
        <f t="shared" si="63"/>
        <v>0</v>
      </c>
      <c r="M336">
        <f t="shared" si="64"/>
        <v>0</v>
      </c>
      <c r="N336">
        <f t="shared" si="65"/>
        <v>0</v>
      </c>
      <c r="O336">
        <f t="shared" si="66"/>
        <v>0</v>
      </c>
      <c r="P336">
        <f t="shared" si="67"/>
        <v>0</v>
      </c>
      <c r="Q336">
        <f t="shared" si="68"/>
        <v>0</v>
      </c>
      <c r="R336">
        <f t="shared" si="69"/>
        <v>0</v>
      </c>
      <c r="S336">
        <f t="shared" si="70"/>
        <v>0</v>
      </c>
      <c r="T336">
        <f t="shared" si="71"/>
        <v>0</v>
      </c>
      <c r="U336">
        <f t="shared" si="72"/>
        <v>0</v>
      </c>
      <c r="V336" s="9">
        <f t="shared" si="74"/>
        <v>0</v>
      </c>
      <c r="W336" s="9">
        <f t="shared" si="74"/>
        <v>0</v>
      </c>
      <c r="X336" s="9">
        <f t="shared" si="74"/>
        <v>0</v>
      </c>
      <c r="Y336" s="9">
        <f t="shared" si="74"/>
        <v>0</v>
      </c>
      <c r="Z336" s="9">
        <f t="shared" si="74"/>
        <v>0</v>
      </c>
      <c r="AA336" s="9">
        <f t="shared" si="73"/>
        <v>0</v>
      </c>
      <c r="AB336" s="9">
        <f t="shared" si="73"/>
        <v>0</v>
      </c>
      <c r="AC336" s="9">
        <f t="shared" si="73"/>
        <v>0</v>
      </c>
      <c r="AD336" s="9">
        <f t="shared" si="73"/>
        <v>0</v>
      </c>
      <c r="AE336" s="9">
        <f t="shared" si="73"/>
        <v>0</v>
      </c>
    </row>
    <row r="337" spans="2:31" x14ac:dyDescent="0.25">
      <c r="B337" s="6">
        <v>0</v>
      </c>
      <c r="C337" s="6">
        <v>0</v>
      </c>
      <c r="D337" s="6">
        <v>0</v>
      </c>
      <c r="E337" s="6">
        <v>0</v>
      </c>
      <c r="F337" s="6">
        <v>0</v>
      </c>
      <c r="L337">
        <f t="shared" si="63"/>
        <v>0</v>
      </c>
      <c r="M337">
        <f t="shared" si="64"/>
        <v>0</v>
      </c>
      <c r="N337">
        <f t="shared" si="65"/>
        <v>0</v>
      </c>
      <c r="O337">
        <f t="shared" si="66"/>
        <v>0</v>
      </c>
      <c r="P337">
        <f t="shared" si="67"/>
        <v>0</v>
      </c>
      <c r="Q337">
        <f t="shared" si="68"/>
        <v>0</v>
      </c>
      <c r="R337">
        <f t="shared" si="69"/>
        <v>0</v>
      </c>
      <c r="S337">
        <f t="shared" si="70"/>
        <v>0</v>
      </c>
      <c r="T337">
        <f t="shared" si="71"/>
        <v>0</v>
      </c>
      <c r="U337">
        <f t="shared" si="72"/>
        <v>0</v>
      </c>
      <c r="V337" s="9">
        <f t="shared" si="74"/>
        <v>0</v>
      </c>
      <c r="W337" s="9">
        <f t="shared" si="74"/>
        <v>0</v>
      </c>
      <c r="X337" s="9">
        <f t="shared" si="74"/>
        <v>0</v>
      </c>
      <c r="Y337" s="9">
        <f t="shared" si="74"/>
        <v>0</v>
      </c>
      <c r="Z337" s="9">
        <f t="shared" si="74"/>
        <v>0</v>
      </c>
      <c r="AA337" s="9">
        <f t="shared" si="73"/>
        <v>0</v>
      </c>
      <c r="AB337" s="9">
        <f t="shared" si="73"/>
        <v>0</v>
      </c>
      <c r="AC337" s="9">
        <f t="shared" si="73"/>
        <v>0</v>
      </c>
      <c r="AD337" s="9">
        <f t="shared" si="73"/>
        <v>0</v>
      </c>
      <c r="AE337" s="9">
        <f t="shared" si="73"/>
        <v>0</v>
      </c>
    </row>
    <row r="338" spans="2:31" x14ac:dyDescent="0.25">
      <c r="B338" s="6">
        <v>0</v>
      </c>
      <c r="C338" s="6">
        <v>0</v>
      </c>
      <c r="D338" s="6">
        <v>0</v>
      </c>
      <c r="E338" s="6">
        <v>0</v>
      </c>
      <c r="F338" s="6">
        <v>0</v>
      </c>
      <c r="L338">
        <f t="shared" si="63"/>
        <v>0</v>
      </c>
      <c r="M338">
        <f t="shared" si="64"/>
        <v>0</v>
      </c>
      <c r="N338">
        <f t="shared" si="65"/>
        <v>0</v>
      </c>
      <c r="O338">
        <f t="shared" si="66"/>
        <v>0</v>
      </c>
      <c r="P338">
        <f t="shared" si="67"/>
        <v>0</v>
      </c>
      <c r="Q338">
        <f t="shared" si="68"/>
        <v>0</v>
      </c>
      <c r="R338">
        <f t="shared" si="69"/>
        <v>0</v>
      </c>
      <c r="S338">
        <f t="shared" si="70"/>
        <v>0</v>
      </c>
      <c r="T338">
        <f t="shared" si="71"/>
        <v>0</v>
      </c>
      <c r="U338">
        <f t="shared" si="72"/>
        <v>0</v>
      </c>
      <c r="V338" s="9">
        <f t="shared" si="74"/>
        <v>0</v>
      </c>
      <c r="W338" s="9">
        <f t="shared" si="74"/>
        <v>0</v>
      </c>
      <c r="X338" s="9">
        <f t="shared" si="74"/>
        <v>0</v>
      </c>
      <c r="Y338" s="9">
        <f t="shared" si="74"/>
        <v>0</v>
      </c>
      <c r="Z338" s="9">
        <f t="shared" si="74"/>
        <v>0</v>
      </c>
      <c r="AA338" s="9">
        <f t="shared" si="73"/>
        <v>0</v>
      </c>
      <c r="AB338" s="9">
        <f t="shared" si="73"/>
        <v>0</v>
      </c>
      <c r="AC338" s="9">
        <f t="shared" si="73"/>
        <v>0</v>
      </c>
      <c r="AD338" s="9">
        <f t="shared" si="73"/>
        <v>0</v>
      </c>
      <c r="AE338" s="9">
        <f t="shared" si="73"/>
        <v>0</v>
      </c>
    </row>
    <row r="339" spans="2:31" x14ac:dyDescent="0.25">
      <c r="B339" s="6">
        <v>0</v>
      </c>
      <c r="C339" s="6">
        <v>0</v>
      </c>
      <c r="D339" s="6">
        <v>0</v>
      </c>
      <c r="E339" s="6">
        <v>0</v>
      </c>
      <c r="F339" s="6">
        <v>0</v>
      </c>
      <c r="L339">
        <f t="shared" si="63"/>
        <v>0</v>
      </c>
      <c r="M339">
        <f t="shared" si="64"/>
        <v>0</v>
      </c>
      <c r="N339">
        <f t="shared" si="65"/>
        <v>0</v>
      </c>
      <c r="O339">
        <f t="shared" si="66"/>
        <v>0</v>
      </c>
      <c r="P339">
        <f t="shared" si="67"/>
        <v>0</v>
      </c>
      <c r="Q339">
        <f t="shared" si="68"/>
        <v>0</v>
      </c>
      <c r="R339">
        <f t="shared" si="69"/>
        <v>0</v>
      </c>
      <c r="S339">
        <f t="shared" si="70"/>
        <v>0</v>
      </c>
      <c r="T339">
        <f t="shared" si="71"/>
        <v>0</v>
      </c>
      <c r="U339">
        <f t="shared" si="72"/>
        <v>0</v>
      </c>
      <c r="V339" s="9">
        <f t="shared" si="74"/>
        <v>0</v>
      </c>
      <c r="W339" s="9">
        <f t="shared" si="74"/>
        <v>0</v>
      </c>
      <c r="X339" s="9">
        <f t="shared" si="74"/>
        <v>0</v>
      </c>
      <c r="Y339" s="9">
        <f t="shared" si="74"/>
        <v>0</v>
      </c>
      <c r="Z339" s="9">
        <f t="shared" si="74"/>
        <v>0</v>
      </c>
      <c r="AA339" s="9">
        <f t="shared" si="73"/>
        <v>0</v>
      </c>
      <c r="AB339" s="9">
        <f t="shared" si="73"/>
        <v>0</v>
      </c>
      <c r="AC339" s="9">
        <f t="shared" si="73"/>
        <v>0</v>
      </c>
      <c r="AD339" s="9">
        <f t="shared" si="73"/>
        <v>0</v>
      </c>
      <c r="AE339" s="9">
        <f t="shared" si="73"/>
        <v>0</v>
      </c>
    </row>
    <row r="340" spans="2:31" x14ac:dyDescent="0.25">
      <c r="B340" s="6">
        <v>0</v>
      </c>
      <c r="C340" s="6">
        <v>0</v>
      </c>
      <c r="D340" s="6">
        <v>0</v>
      </c>
      <c r="E340" s="6">
        <v>0</v>
      </c>
      <c r="F340" s="6">
        <v>0</v>
      </c>
      <c r="L340">
        <f t="shared" si="63"/>
        <v>0</v>
      </c>
      <c r="M340">
        <f t="shared" si="64"/>
        <v>0</v>
      </c>
      <c r="N340">
        <f t="shared" si="65"/>
        <v>0</v>
      </c>
      <c r="O340">
        <f t="shared" si="66"/>
        <v>0</v>
      </c>
      <c r="P340">
        <f t="shared" si="67"/>
        <v>0</v>
      </c>
      <c r="Q340">
        <f t="shared" si="68"/>
        <v>0</v>
      </c>
      <c r="R340">
        <f t="shared" si="69"/>
        <v>0</v>
      </c>
      <c r="S340">
        <f t="shared" si="70"/>
        <v>0</v>
      </c>
      <c r="T340">
        <f t="shared" si="71"/>
        <v>0</v>
      </c>
      <c r="U340">
        <f t="shared" si="72"/>
        <v>0</v>
      </c>
      <c r="V340" s="9">
        <f t="shared" si="74"/>
        <v>0</v>
      </c>
      <c r="W340" s="9">
        <f t="shared" si="74"/>
        <v>0</v>
      </c>
      <c r="X340" s="9">
        <f t="shared" si="74"/>
        <v>0</v>
      </c>
      <c r="Y340" s="9">
        <f t="shared" si="74"/>
        <v>0</v>
      </c>
      <c r="Z340" s="9">
        <f t="shared" si="74"/>
        <v>0</v>
      </c>
      <c r="AA340" s="9">
        <f t="shared" si="73"/>
        <v>0</v>
      </c>
      <c r="AB340" s="9">
        <f t="shared" si="73"/>
        <v>0</v>
      </c>
      <c r="AC340" s="9">
        <f t="shared" si="73"/>
        <v>0</v>
      </c>
      <c r="AD340" s="9">
        <f t="shared" si="73"/>
        <v>0</v>
      </c>
      <c r="AE340" s="9">
        <f t="shared" si="73"/>
        <v>0</v>
      </c>
    </row>
    <row r="341" spans="2:31" x14ac:dyDescent="0.25">
      <c r="B341" s="6">
        <v>50</v>
      </c>
      <c r="C341" s="6">
        <v>65</v>
      </c>
      <c r="D341" s="6">
        <v>68</v>
      </c>
      <c r="E341" s="6">
        <v>53</v>
      </c>
      <c r="F341" s="6">
        <v>80</v>
      </c>
      <c r="L341">
        <f t="shared" si="63"/>
        <v>-15</v>
      </c>
      <c r="M341">
        <f t="shared" si="64"/>
        <v>-18</v>
      </c>
      <c r="N341">
        <f t="shared" si="65"/>
        <v>-3</v>
      </c>
      <c r="O341">
        <f t="shared" si="66"/>
        <v>-30</v>
      </c>
      <c r="P341">
        <f t="shared" si="67"/>
        <v>-3</v>
      </c>
      <c r="Q341">
        <f t="shared" si="68"/>
        <v>12</v>
      </c>
      <c r="R341">
        <f t="shared" si="69"/>
        <v>-15</v>
      </c>
      <c r="S341">
        <f t="shared" si="70"/>
        <v>15</v>
      </c>
      <c r="T341">
        <f t="shared" si="71"/>
        <v>-12</v>
      </c>
      <c r="U341">
        <f t="shared" si="72"/>
        <v>-27</v>
      </c>
      <c r="V341" s="9">
        <f t="shared" si="74"/>
        <v>15</v>
      </c>
      <c r="W341" s="9">
        <f t="shared" si="74"/>
        <v>18</v>
      </c>
      <c r="X341" s="9">
        <f t="shared" si="74"/>
        <v>3</v>
      </c>
      <c r="Y341" s="9">
        <f t="shared" si="74"/>
        <v>30</v>
      </c>
      <c r="Z341" s="9">
        <f t="shared" si="74"/>
        <v>3</v>
      </c>
      <c r="AA341" s="9">
        <f t="shared" si="73"/>
        <v>12</v>
      </c>
      <c r="AB341" s="9">
        <f t="shared" si="73"/>
        <v>15</v>
      </c>
      <c r="AC341" s="9">
        <f t="shared" si="73"/>
        <v>15</v>
      </c>
      <c r="AD341" s="9">
        <f t="shared" si="73"/>
        <v>12</v>
      </c>
      <c r="AE341" s="9">
        <f t="shared" si="73"/>
        <v>27</v>
      </c>
    </row>
    <row r="342" spans="2:31" x14ac:dyDescent="0.25">
      <c r="B342" s="6">
        <v>100</v>
      </c>
      <c r="C342" s="6">
        <v>150</v>
      </c>
      <c r="D342" s="6">
        <v>204</v>
      </c>
      <c r="E342" s="6">
        <v>105</v>
      </c>
      <c r="F342" s="6">
        <v>200</v>
      </c>
      <c r="L342">
        <f t="shared" si="63"/>
        <v>-50</v>
      </c>
      <c r="M342">
        <f t="shared" si="64"/>
        <v>-104</v>
      </c>
      <c r="N342">
        <f t="shared" si="65"/>
        <v>-5</v>
      </c>
      <c r="O342">
        <f t="shared" si="66"/>
        <v>-100</v>
      </c>
      <c r="P342">
        <f t="shared" si="67"/>
        <v>-54</v>
      </c>
      <c r="Q342">
        <f t="shared" si="68"/>
        <v>45</v>
      </c>
      <c r="R342">
        <f t="shared" si="69"/>
        <v>-50</v>
      </c>
      <c r="S342">
        <f t="shared" si="70"/>
        <v>99</v>
      </c>
      <c r="T342">
        <f t="shared" si="71"/>
        <v>4</v>
      </c>
      <c r="U342">
        <f t="shared" si="72"/>
        <v>-95</v>
      </c>
      <c r="V342" s="9">
        <f t="shared" si="74"/>
        <v>50</v>
      </c>
      <c r="W342" s="9">
        <f t="shared" si="74"/>
        <v>104</v>
      </c>
      <c r="X342" s="9">
        <f t="shared" si="74"/>
        <v>5</v>
      </c>
      <c r="Y342" s="9">
        <f t="shared" si="74"/>
        <v>100</v>
      </c>
      <c r="Z342" s="9">
        <f t="shared" si="74"/>
        <v>54</v>
      </c>
      <c r="AA342" s="9">
        <f t="shared" si="73"/>
        <v>45</v>
      </c>
      <c r="AB342" s="9">
        <f t="shared" si="73"/>
        <v>50</v>
      </c>
      <c r="AC342" s="9">
        <f t="shared" si="73"/>
        <v>99</v>
      </c>
      <c r="AD342" s="9">
        <f t="shared" si="73"/>
        <v>4</v>
      </c>
      <c r="AE342" s="9">
        <f t="shared" si="73"/>
        <v>95</v>
      </c>
    </row>
    <row r="343" spans="2:31" x14ac:dyDescent="0.25">
      <c r="B343" s="6">
        <v>156</v>
      </c>
      <c r="C343" s="6">
        <v>456</v>
      </c>
      <c r="D343" s="6">
        <v>482</v>
      </c>
      <c r="E343" s="6">
        <v>346</v>
      </c>
      <c r="F343" s="6">
        <v>450</v>
      </c>
      <c r="L343">
        <f t="shared" si="63"/>
        <v>-300</v>
      </c>
      <c r="M343">
        <f t="shared" si="64"/>
        <v>-326</v>
      </c>
      <c r="N343">
        <f t="shared" si="65"/>
        <v>-190</v>
      </c>
      <c r="O343">
        <f t="shared" si="66"/>
        <v>-294</v>
      </c>
      <c r="P343">
        <f t="shared" si="67"/>
        <v>-26</v>
      </c>
      <c r="Q343">
        <f t="shared" si="68"/>
        <v>110</v>
      </c>
      <c r="R343">
        <f t="shared" si="69"/>
        <v>6</v>
      </c>
      <c r="S343">
        <f t="shared" si="70"/>
        <v>136</v>
      </c>
      <c r="T343">
        <f t="shared" si="71"/>
        <v>32</v>
      </c>
      <c r="U343">
        <f t="shared" si="72"/>
        <v>-104</v>
      </c>
      <c r="V343" s="9">
        <f t="shared" si="74"/>
        <v>300</v>
      </c>
      <c r="W343" s="9">
        <f t="shared" si="74"/>
        <v>326</v>
      </c>
      <c r="X343" s="9">
        <f t="shared" si="74"/>
        <v>190</v>
      </c>
      <c r="Y343" s="9">
        <f t="shared" si="74"/>
        <v>294</v>
      </c>
      <c r="Z343" s="9">
        <f t="shared" si="74"/>
        <v>26</v>
      </c>
      <c r="AA343" s="9">
        <f t="shared" si="73"/>
        <v>110</v>
      </c>
      <c r="AB343" s="9">
        <f t="shared" si="73"/>
        <v>6</v>
      </c>
      <c r="AC343" s="9">
        <f t="shared" si="73"/>
        <v>136</v>
      </c>
      <c r="AD343" s="9">
        <f t="shared" si="73"/>
        <v>32</v>
      </c>
      <c r="AE343" s="9">
        <f t="shared" si="73"/>
        <v>104</v>
      </c>
    </row>
    <row r="344" spans="2:31" x14ac:dyDescent="0.25">
      <c r="B344" s="6">
        <v>200</v>
      </c>
      <c r="C344" s="6">
        <v>235</v>
      </c>
      <c r="D344" s="6">
        <v>356</v>
      </c>
      <c r="E344" s="6">
        <v>284</v>
      </c>
      <c r="F344" s="6">
        <v>678</v>
      </c>
      <c r="L344">
        <f t="shared" si="63"/>
        <v>-35</v>
      </c>
      <c r="M344">
        <f t="shared" si="64"/>
        <v>-156</v>
      </c>
      <c r="N344">
        <f t="shared" si="65"/>
        <v>-84</v>
      </c>
      <c r="O344">
        <f t="shared" si="66"/>
        <v>-478</v>
      </c>
      <c r="P344">
        <f t="shared" si="67"/>
        <v>-121</v>
      </c>
      <c r="Q344">
        <f t="shared" si="68"/>
        <v>-49</v>
      </c>
      <c r="R344">
        <f t="shared" si="69"/>
        <v>-443</v>
      </c>
      <c r="S344">
        <f t="shared" si="70"/>
        <v>72</v>
      </c>
      <c r="T344">
        <f t="shared" si="71"/>
        <v>-322</v>
      </c>
      <c r="U344">
        <f t="shared" si="72"/>
        <v>-394</v>
      </c>
      <c r="V344" s="9">
        <f t="shared" si="74"/>
        <v>35</v>
      </c>
      <c r="W344" s="9">
        <f t="shared" si="74"/>
        <v>156</v>
      </c>
      <c r="X344" s="9">
        <f t="shared" si="74"/>
        <v>84</v>
      </c>
      <c r="Y344" s="9">
        <f t="shared" si="74"/>
        <v>478</v>
      </c>
      <c r="Z344" s="9">
        <f t="shared" si="74"/>
        <v>121</v>
      </c>
      <c r="AA344" s="9">
        <f t="shared" si="73"/>
        <v>49</v>
      </c>
      <c r="AB344" s="9">
        <f t="shared" si="73"/>
        <v>443</v>
      </c>
      <c r="AC344" s="9">
        <f t="shared" si="73"/>
        <v>72</v>
      </c>
      <c r="AD344" s="9">
        <f t="shared" si="73"/>
        <v>322</v>
      </c>
      <c r="AE344" s="9">
        <f t="shared" si="73"/>
        <v>394</v>
      </c>
    </row>
    <row r="345" spans="2:31" x14ac:dyDescent="0.25">
      <c r="B345" s="6">
        <v>278</v>
      </c>
      <c r="C345" s="6">
        <v>348</v>
      </c>
      <c r="D345" s="6">
        <v>487</v>
      </c>
      <c r="E345" s="6">
        <v>497</v>
      </c>
      <c r="F345" s="6">
        <v>544</v>
      </c>
      <c r="L345">
        <f t="shared" si="63"/>
        <v>-70</v>
      </c>
      <c r="M345">
        <f t="shared" si="64"/>
        <v>-209</v>
      </c>
      <c r="N345">
        <f t="shared" si="65"/>
        <v>-219</v>
      </c>
      <c r="O345">
        <f t="shared" si="66"/>
        <v>-266</v>
      </c>
      <c r="P345">
        <f t="shared" si="67"/>
        <v>-139</v>
      </c>
      <c r="Q345">
        <f t="shared" si="68"/>
        <v>-149</v>
      </c>
      <c r="R345">
        <f t="shared" si="69"/>
        <v>-196</v>
      </c>
      <c r="S345">
        <f t="shared" si="70"/>
        <v>-10</v>
      </c>
      <c r="T345">
        <f t="shared" si="71"/>
        <v>-57</v>
      </c>
      <c r="U345">
        <f t="shared" si="72"/>
        <v>-47</v>
      </c>
      <c r="V345" s="9">
        <f t="shared" si="74"/>
        <v>70</v>
      </c>
      <c r="W345" s="9">
        <f t="shared" si="74"/>
        <v>209</v>
      </c>
      <c r="X345" s="9">
        <f t="shared" si="74"/>
        <v>219</v>
      </c>
      <c r="Y345" s="9">
        <f t="shared" si="74"/>
        <v>266</v>
      </c>
      <c r="Z345" s="9">
        <f t="shared" si="74"/>
        <v>139</v>
      </c>
      <c r="AA345" s="9">
        <f t="shared" si="73"/>
        <v>149</v>
      </c>
      <c r="AB345" s="9">
        <f t="shared" si="73"/>
        <v>196</v>
      </c>
      <c r="AC345" s="9">
        <f t="shared" si="73"/>
        <v>10</v>
      </c>
      <c r="AD345" s="9">
        <f t="shared" si="73"/>
        <v>57</v>
      </c>
      <c r="AE345" s="9">
        <f t="shared" si="73"/>
        <v>47</v>
      </c>
    </row>
    <row r="346" spans="2:31" x14ac:dyDescent="0.25">
      <c r="B346" s="6">
        <v>345</v>
      </c>
      <c r="C346" s="6">
        <v>567</v>
      </c>
      <c r="D346" s="6">
        <v>461</v>
      </c>
      <c r="E346" s="6">
        <v>354</v>
      </c>
      <c r="F346" s="6">
        <v>289</v>
      </c>
      <c r="L346">
        <f t="shared" si="63"/>
        <v>-222</v>
      </c>
      <c r="M346">
        <f t="shared" si="64"/>
        <v>-116</v>
      </c>
      <c r="N346">
        <f t="shared" si="65"/>
        <v>-9</v>
      </c>
      <c r="O346">
        <f t="shared" si="66"/>
        <v>56</v>
      </c>
      <c r="P346">
        <f t="shared" si="67"/>
        <v>106</v>
      </c>
      <c r="Q346">
        <f t="shared" si="68"/>
        <v>213</v>
      </c>
      <c r="R346">
        <f t="shared" si="69"/>
        <v>278</v>
      </c>
      <c r="S346">
        <f t="shared" si="70"/>
        <v>107</v>
      </c>
      <c r="T346">
        <f t="shared" si="71"/>
        <v>172</v>
      </c>
      <c r="U346">
        <f t="shared" si="72"/>
        <v>65</v>
      </c>
      <c r="V346" s="9">
        <f t="shared" si="74"/>
        <v>222</v>
      </c>
      <c r="W346" s="9">
        <f t="shared" si="74"/>
        <v>116</v>
      </c>
      <c r="X346" s="9">
        <f t="shared" si="74"/>
        <v>9</v>
      </c>
      <c r="Y346" s="9">
        <f t="shared" si="74"/>
        <v>56</v>
      </c>
      <c r="Z346" s="9">
        <f t="shared" si="74"/>
        <v>106</v>
      </c>
      <c r="AA346" s="9">
        <f t="shared" si="73"/>
        <v>213</v>
      </c>
      <c r="AB346" s="9">
        <f t="shared" si="73"/>
        <v>278</v>
      </c>
      <c r="AC346" s="9">
        <f t="shared" si="73"/>
        <v>107</v>
      </c>
      <c r="AD346" s="9">
        <f t="shared" si="73"/>
        <v>172</v>
      </c>
      <c r="AE346" s="9">
        <f t="shared" si="73"/>
        <v>65</v>
      </c>
    </row>
    <row r="347" spans="2:31" x14ac:dyDescent="0.25">
      <c r="B347" s="6">
        <v>367</v>
      </c>
      <c r="C347" s="6">
        <v>481</v>
      </c>
      <c r="D347" s="6">
        <v>348</v>
      </c>
      <c r="E347" s="6">
        <v>455</v>
      </c>
      <c r="F347" s="6">
        <v>385</v>
      </c>
      <c r="L347">
        <f t="shared" si="63"/>
        <v>-114</v>
      </c>
      <c r="M347">
        <f t="shared" si="64"/>
        <v>19</v>
      </c>
      <c r="N347">
        <f t="shared" si="65"/>
        <v>-88</v>
      </c>
      <c r="O347">
        <f t="shared" si="66"/>
        <v>-18</v>
      </c>
      <c r="P347">
        <f t="shared" si="67"/>
        <v>133</v>
      </c>
      <c r="Q347">
        <f t="shared" si="68"/>
        <v>26</v>
      </c>
      <c r="R347">
        <f t="shared" si="69"/>
        <v>96</v>
      </c>
      <c r="S347">
        <f t="shared" si="70"/>
        <v>-107</v>
      </c>
      <c r="T347">
        <f t="shared" si="71"/>
        <v>-37</v>
      </c>
      <c r="U347">
        <f t="shared" si="72"/>
        <v>70</v>
      </c>
      <c r="V347" s="9">
        <f t="shared" si="74"/>
        <v>114</v>
      </c>
      <c r="W347" s="9">
        <f t="shared" si="74"/>
        <v>19</v>
      </c>
      <c r="X347" s="9">
        <f t="shared" si="74"/>
        <v>88</v>
      </c>
      <c r="Y347" s="9">
        <f t="shared" si="74"/>
        <v>18</v>
      </c>
      <c r="Z347" s="9">
        <f t="shared" si="74"/>
        <v>133</v>
      </c>
      <c r="AA347" s="9">
        <f t="shared" si="73"/>
        <v>26</v>
      </c>
      <c r="AB347" s="9">
        <f t="shared" si="73"/>
        <v>96</v>
      </c>
      <c r="AC347" s="9">
        <f t="shared" si="73"/>
        <v>107</v>
      </c>
      <c r="AD347" s="9">
        <f t="shared" si="73"/>
        <v>37</v>
      </c>
      <c r="AE347" s="9">
        <f t="shared" si="73"/>
        <v>70</v>
      </c>
    </row>
    <row r="348" spans="2:31" x14ac:dyDescent="0.25">
      <c r="B348" s="6">
        <v>450</v>
      </c>
      <c r="C348" s="6">
        <v>247</v>
      </c>
      <c r="D348" s="6">
        <v>649</v>
      </c>
      <c r="E348" s="6">
        <v>573</v>
      </c>
      <c r="F348" s="6">
        <v>697</v>
      </c>
      <c r="L348">
        <f t="shared" si="63"/>
        <v>203</v>
      </c>
      <c r="M348">
        <f t="shared" si="64"/>
        <v>-199</v>
      </c>
      <c r="N348">
        <f t="shared" si="65"/>
        <v>-123</v>
      </c>
      <c r="O348">
        <f t="shared" si="66"/>
        <v>-247</v>
      </c>
      <c r="P348">
        <f t="shared" si="67"/>
        <v>-402</v>
      </c>
      <c r="Q348">
        <f t="shared" si="68"/>
        <v>-326</v>
      </c>
      <c r="R348">
        <f t="shared" si="69"/>
        <v>-450</v>
      </c>
      <c r="S348">
        <f t="shared" si="70"/>
        <v>76</v>
      </c>
      <c r="T348">
        <f t="shared" si="71"/>
        <v>-48</v>
      </c>
      <c r="U348">
        <f t="shared" si="72"/>
        <v>-124</v>
      </c>
      <c r="V348" s="9">
        <f t="shared" si="74"/>
        <v>203</v>
      </c>
      <c r="W348" s="9">
        <f t="shared" si="74"/>
        <v>199</v>
      </c>
      <c r="X348" s="9">
        <f t="shared" si="74"/>
        <v>123</v>
      </c>
      <c r="Y348" s="9">
        <f t="shared" si="74"/>
        <v>247</v>
      </c>
      <c r="Z348" s="9">
        <f t="shared" si="74"/>
        <v>402</v>
      </c>
      <c r="AA348" s="9">
        <f t="shared" si="73"/>
        <v>326</v>
      </c>
      <c r="AB348" s="9">
        <f t="shared" si="73"/>
        <v>450</v>
      </c>
      <c r="AC348" s="9">
        <f t="shared" si="73"/>
        <v>76</v>
      </c>
      <c r="AD348" s="9">
        <f t="shared" si="73"/>
        <v>48</v>
      </c>
      <c r="AE348" s="9">
        <f t="shared" si="73"/>
        <v>124</v>
      </c>
    </row>
    <row r="349" spans="2:31" x14ac:dyDescent="0.25">
      <c r="B349" s="6">
        <v>478</v>
      </c>
      <c r="C349" s="6">
        <v>874</v>
      </c>
      <c r="D349" s="6">
        <v>795</v>
      </c>
      <c r="E349" s="6">
        <v>569</v>
      </c>
      <c r="F349" s="6">
        <v>891</v>
      </c>
      <c r="L349">
        <f t="shared" si="63"/>
        <v>-396</v>
      </c>
      <c r="M349">
        <f t="shared" si="64"/>
        <v>-317</v>
      </c>
      <c r="N349">
        <f t="shared" si="65"/>
        <v>-91</v>
      </c>
      <c r="O349">
        <f t="shared" si="66"/>
        <v>-413</v>
      </c>
      <c r="P349">
        <f t="shared" si="67"/>
        <v>79</v>
      </c>
      <c r="Q349">
        <f t="shared" si="68"/>
        <v>305</v>
      </c>
      <c r="R349">
        <f t="shared" si="69"/>
        <v>-17</v>
      </c>
      <c r="S349">
        <f t="shared" si="70"/>
        <v>226</v>
      </c>
      <c r="T349">
        <f t="shared" si="71"/>
        <v>-96</v>
      </c>
      <c r="U349">
        <f t="shared" si="72"/>
        <v>-322</v>
      </c>
      <c r="V349" s="9">
        <f t="shared" si="74"/>
        <v>396</v>
      </c>
      <c r="W349" s="9">
        <f t="shared" si="74"/>
        <v>317</v>
      </c>
      <c r="X349" s="9">
        <f t="shared" si="74"/>
        <v>91</v>
      </c>
      <c r="Y349" s="9">
        <f t="shared" si="74"/>
        <v>413</v>
      </c>
      <c r="Z349" s="9">
        <f t="shared" si="74"/>
        <v>79</v>
      </c>
      <c r="AA349" s="9">
        <f t="shared" si="73"/>
        <v>305</v>
      </c>
      <c r="AB349" s="9">
        <f t="shared" si="73"/>
        <v>17</v>
      </c>
      <c r="AC349" s="9">
        <f t="shared" si="73"/>
        <v>226</v>
      </c>
      <c r="AD349" s="9">
        <f t="shared" si="73"/>
        <v>96</v>
      </c>
      <c r="AE349" s="9">
        <f t="shared" si="73"/>
        <v>322</v>
      </c>
    </row>
    <row r="350" spans="2:31" x14ac:dyDescent="0.25">
      <c r="B350" s="6">
        <v>845</v>
      </c>
      <c r="C350" s="6">
        <v>641</v>
      </c>
      <c r="D350" s="6">
        <v>245</v>
      </c>
      <c r="E350" s="6">
        <v>249</v>
      </c>
      <c r="F350" s="6">
        <v>597</v>
      </c>
      <c r="L350">
        <f t="shared" si="63"/>
        <v>204</v>
      </c>
      <c r="M350">
        <f t="shared" si="64"/>
        <v>600</v>
      </c>
      <c r="N350">
        <f t="shared" si="65"/>
        <v>596</v>
      </c>
      <c r="O350">
        <f t="shared" si="66"/>
        <v>248</v>
      </c>
      <c r="P350">
        <f t="shared" si="67"/>
        <v>396</v>
      </c>
      <c r="Q350">
        <f t="shared" si="68"/>
        <v>392</v>
      </c>
      <c r="R350">
        <f t="shared" si="69"/>
        <v>44</v>
      </c>
      <c r="S350">
        <f t="shared" si="70"/>
        <v>-4</v>
      </c>
      <c r="T350">
        <f t="shared" si="71"/>
        <v>-352</v>
      </c>
      <c r="U350">
        <f t="shared" si="72"/>
        <v>-348</v>
      </c>
      <c r="V350" s="9">
        <f t="shared" si="74"/>
        <v>204</v>
      </c>
      <c r="W350" s="9">
        <f t="shared" si="74"/>
        <v>600</v>
      </c>
      <c r="X350" s="9">
        <f t="shared" si="74"/>
        <v>596</v>
      </c>
      <c r="Y350" s="9">
        <f t="shared" si="74"/>
        <v>248</v>
      </c>
      <c r="Z350" s="9">
        <f t="shared" si="74"/>
        <v>396</v>
      </c>
      <c r="AA350" s="9">
        <f t="shared" si="73"/>
        <v>392</v>
      </c>
      <c r="AB350" s="9">
        <f t="shared" si="73"/>
        <v>44</v>
      </c>
      <c r="AC350" s="9">
        <f t="shared" si="73"/>
        <v>4</v>
      </c>
      <c r="AD350" s="9">
        <f t="shared" si="73"/>
        <v>352</v>
      </c>
      <c r="AE350" s="9">
        <f t="shared" si="73"/>
        <v>348</v>
      </c>
    </row>
    <row r="351" spans="2:31" x14ac:dyDescent="0.25">
      <c r="B351" s="6">
        <v>345</v>
      </c>
      <c r="C351" s="6">
        <v>242</v>
      </c>
      <c r="D351" s="6">
        <v>349</v>
      </c>
      <c r="E351" s="6">
        <v>553</v>
      </c>
      <c r="F351" s="6">
        <v>619</v>
      </c>
      <c r="L351">
        <f t="shared" si="63"/>
        <v>103</v>
      </c>
      <c r="M351">
        <f t="shared" si="64"/>
        <v>-4</v>
      </c>
      <c r="N351">
        <f t="shared" si="65"/>
        <v>-208</v>
      </c>
      <c r="O351">
        <f t="shared" si="66"/>
        <v>-274</v>
      </c>
      <c r="P351">
        <f t="shared" si="67"/>
        <v>-107</v>
      </c>
      <c r="Q351">
        <f t="shared" si="68"/>
        <v>-311</v>
      </c>
      <c r="R351">
        <f t="shared" si="69"/>
        <v>-377</v>
      </c>
      <c r="S351">
        <f t="shared" si="70"/>
        <v>-204</v>
      </c>
      <c r="T351">
        <f t="shared" si="71"/>
        <v>-270</v>
      </c>
      <c r="U351">
        <f t="shared" si="72"/>
        <v>-66</v>
      </c>
      <c r="V351" s="9">
        <f t="shared" si="74"/>
        <v>103</v>
      </c>
      <c r="W351" s="9">
        <f t="shared" si="74"/>
        <v>4</v>
      </c>
      <c r="X351" s="9">
        <f t="shared" si="74"/>
        <v>208</v>
      </c>
      <c r="Y351" s="9">
        <f t="shared" si="74"/>
        <v>274</v>
      </c>
      <c r="Z351" s="9">
        <f t="shared" si="74"/>
        <v>107</v>
      </c>
      <c r="AA351" s="9">
        <f t="shared" si="73"/>
        <v>311</v>
      </c>
      <c r="AB351" s="9">
        <f t="shared" si="73"/>
        <v>377</v>
      </c>
      <c r="AC351" s="9">
        <f t="shared" si="73"/>
        <v>204</v>
      </c>
      <c r="AD351" s="9">
        <f t="shared" si="73"/>
        <v>270</v>
      </c>
      <c r="AE351" s="9">
        <f t="shared" si="73"/>
        <v>66</v>
      </c>
    </row>
    <row r="352" spans="2:31" x14ac:dyDescent="0.25">
      <c r="B352" s="6">
        <v>560</v>
      </c>
      <c r="C352" s="6">
        <v>648</v>
      </c>
      <c r="D352" s="6">
        <v>657</v>
      </c>
      <c r="E352" s="6">
        <v>554</v>
      </c>
      <c r="F352" s="6">
        <v>780</v>
      </c>
      <c r="L352">
        <f t="shared" si="63"/>
        <v>-88</v>
      </c>
      <c r="M352">
        <f t="shared" si="64"/>
        <v>-97</v>
      </c>
      <c r="N352">
        <f t="shared" si="65"/>
        <v>6</v>
      </c>
      <c r="O352">
        <f t="shared" si="66"/>
        <v>-220</v>
      </c>
      <c r="P352">
        <f t="shared" si="67"/>
        <v>-9</v>
      </c>
      <c r="Q352">
        <f t="shared" si="68"/>
        <v>94</v>
      </c>
      <c r="R352">
        <f t="shared" si="69"/>
        <v>-132</v>
      </c>
      <c r="S352">
        <f t="shared" si="70"/>
        <v>103</v>
      </c>
      <c r="T352">
        <f t="shared" si="71"/>
        <v>-123</v>
      </c>
      <c r="U352">
        <f t="shared" si="72"/>
        <v>-226</v>
      </c>
      <c r="V352" s="9">
        <f t="shared" si="74"/>
        <v>88</v>
      </c>
      <c r="W352" s="9">
        <f t="shared" si="74"/>
        <v>97</v>
      </c>
      <c r="X352" s="9">
        <f t="shared" si="74"/>
        <v>6</v>
      </c>
      <c r="Y352" s="9">
        <f t="shared" si="74"/>
        <v>220</v>
      </c>
      <c r="Z352" s="9">
        <f t="shared" si="74"/>
        <v>9</v>
      </c>
      <c r="AA352" s="9">
        <f t="shared" si="73"/>
        <v>94</v>
      </c>
      <c r="AB352" s="9">
        <f t="shared" si="73"/>
        <v>132</v>
      </c>
      <c r="AC352" s="9">
        <f t="shared" si="73"/>
        <v>103</v>
      </c>
      <c r="AD352" s="9">
        <f t="shared" si="73"/>
        <v>123</v>
      </c>
      <c r="AE352" s="9">
        <f t="shared" si="73"/>
        <v>226</v>
      </c>
    </row>
    <row r="353" spans="2:31" x14ac:dyDescent="0.25">
      <c r="B353" s="6">
        <v>735</v>
      </c>
      <c r="C353" s="6">
        <v>458</v>
      </c>
      <c r="D353" s="6">
        <v>479</v>
      </c>
      <c r="E353" s="6">
        <v>482</v>
      </c>
      <c r="F353" s="6">
        <v>570</v>
      </c>
      <c r="L353">
        <f t="shared" si="63"/>
        <v>277</v>
      </c>
      <c r="M353">
        <f t="shared" si="64"/>
        <v>256</v>
      </c>
      <c r="N353">
        <f t="shared" si="65"/>
        <v>253</v>
      </c>
      <c r="O353">
        <f t="shared" si="66"/>
        <v>165</v>
      </c>
      <c r="P353">
        <f t="shared" si="67"/>
        <v>-21</v>
      </c>
      <c r="Q353">
        <f t="shared" si="68"/>
        <v>-24</v>
      </c>
      <c r="R353">
        <f t="shared" si="69"/>
        <v>-112</v>
      </c>
      <c r="S353">
        <f t="shared" si="70"/>
        <v>-3</v>
      </c>
      <c r="T353">
        <f t="shared" si="71"/>
        <v>-91</v>
      </c>
      <c r="U353">
        <f t="shared" si="72"/>
        <v>-88</v>
      </c>
      <c r="V353" s="9">
        <f t="shared" si="74"/>
        <v>277</v>
      </c>
      <c r="W353" s="9">
        <f t="shared" si="74"/>
        <v>256</v>
      </c>
      <c r="X353" s="9">
        <f t="shared" si="74"/>
        <v>253</v>
      </c>
      <c r="Y353" s="9">
        <f t="shared" si="74"/>
        <v>165</v>
      </c>
      <c r="Z353" s="9">
        <f t="shared" si="74"/>
        <v>21</v>
      </c>
      <c r="AA353" s="9">
        <f t="shared" si="73"/>
        <v>24</v>
      </c>
      <c r="AB353" s="9">
        <f t="shared" si="73"/>
        <v>112</v>
      </c>
      <c r="AC353" s="9">
        <f t="shared" si="73"/>
        <v>3</v>
      </c>
      <c r="AD353" s="9">
        <f t="shared" si="73"/>
        <v>91</v>
      </c>
      <c r="AE353" s="9">
        <f t="shared" si="73"/>
        <v>88</v>
      </c>
    </row>
    <row r="354" spans="2:31" x14ac:dyDescent="0.25">
      <c r="B354" s="6">
        <v>467</v>
      </c>
      <c r="C354" s="6">
        <v>657</v>
      </c>
      <c r="D354" s="6">
        <v>672</v>
      </c>
      <c r="E354" s="6">
        <v>467</v>
      </c>
      <c r="F354" s="6">
        <v>218</v>
      </c>
      <c r="L354">
        <f t="shared" si="63"/>
        <v>-190</v>
      </c>
      <c r="M354">
        <f t="shared" si="64"/>
        <v>-205</v>
      </c>
      <c r="N354">
        <f t="shared" si="65"/>
        <v>0</v>
      </c>
      <c r="O354">
        <f t="shared" si="66"/>
        <v>249</v>
      </c>
      <c r="P354">
        <f t="shared" si="67"/>
        <v>-15</v>
      </c>
      <c r="Q354">
        <f t="shared" si="68"/>
        <v>190</v>
      </c>
      <c r="R354">
        <f t="shared" si="69"/>
        <v>439</v>
      </c>
      <c r="S354">
        <f t="shared" si="70"/>
        <v>205</v>
      </c>
      <c r="T354">
        <f t="shared" si="71"/>
        <v>454</v>
      </c>
      <c r="U354">
        <f t="shared" si="72"/>
        <v>249</v>
      </c>
      <c r="V354" s="9">
        <f t="shared" si="74"/>
        <v>190</v>
      </c>
      <c r="W354" s="9">
        <f t="shared" si="74"/>
        <v>205</v>
      </c>
      <c r="X354" s="9">
        <f t="shared" si="74"/>
        <v>0</v>
      </c>
      <c r="Y354" s="9">
        <f t="shared" si="74"/>
        <v>249</v>
      </c>
      <c r="Z354" s="9">
        <f t="shared" si="74"/>
        <v>15</v>
      </c>
      <c r="AA354" s="9">
        <f t="shared" si="73"/>
        <v>190</v>
      </c>
      <c r="AB354" s="9">
        <f t="shared" si="73"/>
        <v>439</v>
      </c>
      <c r="AC354" s="9">
        <f t="shared" si="73"/>
        <v>205</v>
      </c>
      <c r="AD354" s="9">
        <f t="shared" si="73"/>
        <v>454</v>
      </c>
      <c r="AE354" s="9">
        <f t="shared" si="73"/>
        <v>249</v>
      </c>
    </row>
    <row r="355" spans="2:31" x14ac:dyDescent="0.25">
      <c r="B355" s="6">
        <v>846</v>
      </c>
      <c r="C355" s="6">
        <v>945</v>
      </c>
      <c r="D355" s="6">
        <v>1000</v>
      </c>
      <c r="E355" s="6">
        <v>925</v>
      </c>
      <c r="F355" s="6">
        <v>998</v>
      </c>
      <c r="L355">
        <f t="shared" si="63"/>
        <v>-99</v>
      </c>
      <c r="M355">
        <f t="shared" si="64"/>
        <v>-154</v>
      </c>
      <c r="N355">
        <f t="shared" si="65"/>
        <v>-79</v>
      </c>
      <c r="O355">
        <f t="shared" si="66"/>
        <v>-152</v>
      </c>
      <c r="P355">
        <f t="shared" si="67"/>
        <v>-55</v>
      </c>
      <c r="Q355">
        <f t="shared" si="68"/>
        <v>20</v>
      </c>
      <c r="R355">
        <f t="shared" si="69"/>
        <v>-53</v>
      </c>
      <c r="S355">
        <f t="shared" si="70"/>
        <v>75</v>
      </c>
      <c r="T355">
        <f t="shared" si="71"/>
        <v>2</v>
      </c>
      <c r="U355">
        <f t="shared" si="72"/>
        <v>-73</v>
      </c>
      <c r="V355" s="9">
        <f t="shared" si="74"/>
        <v>99</v>
      </c>
      <c r="W355" s="9">
        <f t="shared" si="74"/>
        <v>154</v>
      </c>
      <c r="X355" s="9">
        <f t="shared" si="74"/>
        <v>79</v>
      </c>
      <c r="Y355" s="9">
        <f t="shared" si="74"/>
        <v>152</v>
      </c>
      <c r="Z355" s="9">
        <f t="shared" si="74"/>
        <v>55</v>
      </c>
      <c r="AA355" s="9">
        <f t="shared" si="73"/>
        <v>20</v>
      </c>
      <c r="AB355" s="9">
        <f t="shared" si="73"/>
        <v>53</v>
      </c>
      <c r="AC355" s="9">
        <f t="shared" si="73"/>
        <v>75</v>
      </c>
      <c r="AD355" s="9">
        <f t="shared" si="73"/>
        <v>2</v>
      </c>
      <c r="AE355" s="9">
        <f t="shared" si="73"/>
        <v>73</v>
      </c>
    </row>
    <row r="356" spans="2:31" x14ac:dyDescent="0.25">
      <c r="B356" s="6">
        <v>256</v>
      </c>
      <c r="C356" s="6">
        <v>450</v>
      </c>
      <c r="D356" s="6">
        <v>947</v>
      </c>
      <c r="E356" s="6">
        <v>789</v>
      </c>
      <c r="F356" s="6">
        <v>874</v>
      </c>
      <c r="L356">
        <f t="shared" si="63"/>
        <v>-194</v>
      </c>
      <c r="M356">
        <f t="shared" si="64"/>
        <v>-691</v>
      </c>
      <c r="N356">
        <f t="shared" si="65"/>
        <v>-533</v>
      </c>
      <c r="O356">
        <f t="shared" si="66"/>
        <v>-618</v>
      </c>
      <c r="P356">
        <f t="shared" si="67"/>
        <v>-497</v>
      </c>
      <c r="Q356">
        <f t="shared" si="68"/>
        <v>-339</v>
      </c>
      <c r="R356">
        <f t="shared" si="69"/>
        <v>-424</v>
      </c>
      <c r="S356">
        <f t="shared" si="70"/>
        <v>158</v>
      </c>
      <c r="T356">
        <f t="shared" si="71"/>
        <v>73</v>
      </c>
      <c r="U356">
        <f t="shared" si="72"/>
        <v>-85</v>
      </c>
      <c r="V356" s="9">
        <f t="shared" si="74"/>
        <v>194</v>
      </c>
      <c r="W356" s="9">
        <f t="shared" si="74"/>
        <v>691</v>
      </c>
      <c r="X356" s="9">
        <f t="shared" si="74"/>
        <v>533</v>
      </c>
      <c r="Y356" s="9">
        <f t="shared" si="74"/>
        <v>618</v>
      </c>
      <c r="Z356" s="9">
        <f t="shared" si="74"/>
        <v>497</v>
      </c>
      <c r="AA356" s="9">
        <f t="shared" si="73"/>
        <v>339</v>
      </c>
      <c r="AB356" s="9">
        <f t="shared" si="73"/>
        <v>424</v>
      </c>
      <c r="AC356" s="9">
        <f t="shared" si="73"/>
        <v>158</v>
      </c>
      <c r="AD356" s="9">
        <f t="shared" si="73"/>
        <v>73</v>
      </c>
      <c r="AE356" s="9">
        <f t="shared" si="73"/>
        <v>85</v>
      </c>
    </row>
    <row r="357" spans="2:31" x14ac:dyDescent="0.25">
      <c r="B357" s="6">
        <v>470</v>
      </c>
      <c r="C357" s="6">
        <v>647</v>
      </c>
      <c r="D357" s="6">
        <v>875</v>
      </c>
      <c r="E357" s="6">
        <v>469</v>
      </c>
      <c r="F357" s="6">
        <v>384</v>
      </c>
      <c r="L357">
        <f t="shared" si="63"/>
        <v>-177</v>
      </c>
      <c r="M357">
        <f t="shared" si="64"/>
        <v>-405</v>
      </c>
      <c r="N357">
        <f t="shared" si="65"/>
        <v>1</v>
      </c>
      <c r="O357">
        <f t="shared" si="66"/>
        <v>86</v>
      </c>
      <c r="P357">
        <f t="shared" si="67"/>
        <v>-228</v>
      </c>
      <c r="Q357">
        <f t="shared" si="68"/>
        <v>178</v>
      </c>
      <c r="R357">
        <f t="shared" si="69"/>
        <v>263</v>
      </c>
      <c r="S357">
        <f t="shared" si="70"/>
        <v>406</v>
      </c>
      <c r="T357">
        <f t="shared" si="71"/>
        <v>491</v>
      </c>
      <c r="U357">
        <f t="shared" si="72"/>
        <v>85</v>
      </c>
      <c r="V357" s="9">
        <f t="shared" si="74"/>
        <v>177</v>
      </c>
      <c r="W357" s="9">
        <f t="shared" si="74"/>
        <v>405</v>
      </c>
      <c r="X357" s="9">
        <f t="shared" si="74"/>
        <v>1</v>
      </c>
      <c r="Y357" s="9">
        <f t="shared" si="74"/>
        <v>86</v>
      </c>
      <c r="Z357" s="9">
        <f t="shared" si="74"/>
        <v>228</v>
      </c>
      <c r="AA357" s="9">
        <f t="shared" si="73"/>
        <v>178</v>
      </c>
      <c r="AB357" s="9">
        <f t="shared" si="73"/>
        <v>263</v>
      </c>
      <c r="AC357" s="9">
        <f t="shared" si="73"/>
        <v>406</v>
      </c>
      <c r="AD357" s="9">
        <f t="shared" si="73"/>
        <v>491</v>
      </c>
      <c r="AE357" s="9">
        <f t="shared" si="73"/>
        <v>85</v>
      </c>
    </row>
    <row r="358" spans="2:31" x14ac:dyDescent="0.25">
      <c r="B358" s="6">
        <v>574</v>
      </c>
      <c r="C358" s="6">
        <v>659</v>
      </c>
      <c r="D358" s="6">
        <v>562</v>
      </c>
      <c r="E358" s="6">
        <v>852</v>
      </c>
      <c r="F358" s="6">
        <v>950</v>
      </c>
      <c r="L358">
        <f t="shared" si="63"/>
        <v>-85</v>
      </c>
      <c r="M358">
        <f t="shared" si="64"/>
        <v>12</v>
      </c>
      <c r="N358">
        <f t="shared" si="65"/>
        <v>-278</v>
      </c>
      <c r="O358">
        <f t="shared" si="66"/>
        <v>-376</v>
      </c>
      <c r="P358">
        <f t="shared" si="67"/>
        <v>97</v>
      </c>
      <c r="Q358">
        <f t="shared" si="68"/>
        <v>-193</v>
      </c>
      <c r="R358">
        <f t="shared" si="69"/>
        <v>-291</v>
      </c>
      <c r="S358">
        <f t="shared" si="70"/>
        <v>-290</v>
      </c>
      <c r="T358">
        <f t="shared" si="71"/>
        <v>-388</v>
      </c>
      <c r="U358">
        <f t="shared" si="72"/>
        <v>-98</v>
      </c>
      <c r="V358" s="9">
        <f t="shared" si="74"/>
        <v>85</v>
      </c>
      <c r="W358" s="9">
        <f t="shared" si="74"/>
        <v>12</v>
      </c>
      <c r="X358" s="9">
        <f t="shared" si="74"/>
        <v>278</v>
      </c>
      <c r="Y358" s="9">
        <f t="shared" si="74"/>
        <v>376</v>
      </c>
      <c r="Z358" s="9">
        <f t="shared" si="74"/>
        <v>97</v>
      </c>
      <c r="AA358" s="9">
        <f t="shared" si="73"/>
        <v>193</v>
      </c>
      <c r="AB358" s="9">
        <f t="shared" si="73"/>
        <v>291</v>
      </c>
      <c r="AC358" s="9">
        <f t="shared" si="73"/>
        <v>290</v>
      </c>
      <c r="AD358" s="9">
        <f t="shared" si="73"/>
        <v>388</v>
      </c>
      <c r="AE358" s="9">
        <f t="shared" si="73"/>
        <v>98</v>
      </c>
    </row>
    <row r="359" spans="2:31" x14ac:dyDescent="0.25">
      <c r="B359" s="6">
        <v>945</v>
      </c>
      <c r="C359" s="6">
        <v>345</v>
      </c>
      <c r="D359" s="6">
        <v>548</v>
      </c>
      <c r="E359" s="6">
        <v>546</v>
      </c>
      <c r="F359" s="6">
        <v>1225</v>
      </c>
      <c r="L359">
        <f t="shared" si="63"/>
        <v>600</v>
      </c>
      <c r="M359">
        <f t="shared" si="64"/>
        <v>397</v>
      </c>
      <c r="N359">
        <f t="shared" si="65"/>
        <v>399</v>
      </c>
      <c r="O359">
        <f t="shared" si="66"/>
        <v>-280</v>
      </c>
      <c r="P359">
        <f t="shared" si="67"/>
        <v>-203</v>
      </c>
      <c r="Q359">
        <f t="shared" si="68"/>
        <v>-201</v>
      </c>
      <c r="R359">
        <f t="shared" si="69"/>
        <v>-880</v>
      </c>
      <c r="S359">
        <f t="shared" si="70"/>
        <v>2</v>
      </c>
      <c r="T359">
        <f t="shared" si="71"/>
        <v>-677</v>
      </c>
      <c r="U359">
        <f t="shared" si="72"/>
        <v>-679</v>
      </c>
      <c r="V359" s="9">
        <f t="shared" si="74"/>
        <v>600</v>
      </c>
      <c r="W359" s="9">
        <f t="shared" si="74"/>
        <v>397</v>
      </c>
      <c r="X359" s="9">
        <f t="shared" si="74"/>
        <v>399</v>
      </c>
      <c r="Y359" s="9">
        <f t="shared" si="74"/>
        <v>280</v>
      </c>
      <c r="Z359" s="9">
        <f t="shared" si="74"/>
        <v>203</v>
      </c>
      <c r="AA359" s="9">
        <f t="shared" si="73"/>
        <v>201</v>
      </c>
      <c r="AB359" s="9">
        <f t="shared" si="73"/>
        <v>880</v>
      </c>
      <c r="AC359" s="9">
        <f t="shared" si="73"/>
        <v>2</v>
      </c>
      <c r="AD359" s="9">
        <f t="shared" si="73"/>
        <v>677</v>
      </c>
      <c r="AE359" s="9">
        <f t="shared" si="73"/>
        <v>679</v>
      </c>
    </row>
    <row r="360" spans="2:31" x14ac:dyDescent="0.25">
      <c r="B360" s="6">
        <v>445</v>
      </c>
      <c r="C360" s="6">
        <v>546</v>
      </c>
      <c r="D360" s="6">
        <v>697</v>
      </c>
      <c r="E360" s="6">
        <v>640</v>
      </c>
      <c r="F360" s="6">
        <v>846</v>
      </c>
      <c r="L360">
        <f t="shared" si="63"/>
        <v>-101</v>
      </c>
      <c r="M360">
        <f t="shared" si="64"/>
        <v>-252</v>
      </c>
      <c r="N360">
        <f t="shared" si="65"/>
        <v>-195</v>
      </c>
      <c r="O360">
        <f t="shared" si="66"/>
        <v>-401</v>
      </c>
      <c r="P360">
        <f t="shared" si="67"/>
        <v>-151</v>
      </c>
      <c r="Q360">
        <f t="shared" si="68"/>
        <v>-94</v>
      </c>
      <c r="R360">
        <f t="shared" si="69"/>
        <v>-300</v>
      </c>
      <c r="S360">
        <f t="shared" si="70"/>
        <v>57</v>
      </c>
      <c r="T360">
        <f t="shared" si="71"/>
        <v>-149</v>
      </c>
      <c r="U360">
        <f t="shared" si="72"/>
        <v>-206</v>
      </c>
      <c r="V360" s="9">
        <f t="shared" si="74"/>
        <v>101</v>
      </c>
      <c r="W360" s="9">
        <f t="shared" si="74"/>
        <v>252</v>
      </c>
      <c r="X360" s="9">
        <f t="shared" si="74"/>
        <v>195</v>
      </c>
      <c r="Y360" s="9">
        <f t="shared" si="74"/>
        <v>401</v>
      </c>
      <c r="Z360" s="9">
        <f t="shared" si="74"/>
        <v>151</v>
      </c>
      <c r="AA360" s="9">
        <f t="shared" si="73"/>
        <v>94</v>
      </c>
      <c r="AB360" s="9">
        <f t="shared" si="73"/>
        <v>300</v>
      </c>
      <c r="AC360" s="9">
        <f t="shared" si="73"/>
        <v>57</v>
      </c>
      <c r="AD360" s="9">
        <f t="shared" si="73"/>
        <v>149</v>
      </c>
      <c r="AE360" s="9">
        <f t="shared" si="73"/>
        <v>206</v>
      </c>
    </row>
    <row r="361" spans="2:31" x14ac:dyDescent="0.25">
      <c r="B361" s="7">
        <v>645</v>
      </c>
      <c r="C361" s="6">
        <v>731</v>
      </c>
      <c r="D361" s="6">
        <v>752</v>
      </c>
      <c r="E361" s="7">
        <v>675</v>
      </c>
      <c r="F361" s="7">
        <v>834</v>
      </c>
      <c r="L361">
        <f t="shared" si="63"/>
        <v>-86</v>
      </c>
      <c r="M361">
        <f t="shared" si="64"/>
        <v>-107</v>
      </c>
      <c r="N361">
        <f t="shared" si="65"/>
        <v>-30</v>
      </c>
      <c r="O361">
        <f t="shared" si="66"/>
        <v>-189</v>
      </c>
      <c r="P361">
        <f t="shared" si="67"/>
        <v>-21</v>
      </c>
      <c r="Q361">
        <f t="shared" si="68"/>
        <v>56</v>
      </c>
      <c r="R361">
        <f t="shared" si="69"/>
        <v>-103</v>
      </c>
      <c r="S361">
        <f t="shared" si="70"/>
        <v>77</v>
      </c>
      <c r="T361">
        <f t="shared" si="71"/>
        <v>-82</v>
      </c>
      <c r="U361">
        <f t="shared" si="72"/>
        <v>-159</v>
      </c>
      <c r="V361" s="9">
        <f t="shared" si="74"/>
        <v>86</v>
      </c>
      <c r="W361" s="9">
        <f t="shared" si="74"/>
        <v>107</v>
      </c>
      <c r="X361" s="9">
        <f t="shared" si="74"/>
        <v>30</v>
      </c>
      <c r="Y361" s="9">
        <f t="shared" si="74"/>
        <v>189</v>
      </c>
      <c r="Z361" s="9">
        <f t="shared" si="74"/>
        <v>21</v>
      </c>
      <c r="AA361" s="9">
        <f t="shared" si="73"/>
        <v>56</v>
      </c>
      <c r="AB361" s="9">
        <f t="shared" si="73"/>
        <v>103</v>
      </c>
      <c r="AC361" s="9">
        <f t="shared" si="73"/>
        <v>77</v>
      </c>
      <c r="AD361" s="9">
        <f t="shared" si="73"/>
        <v>82</v>
      </c>
      <c r="AE361" s="9">
        <f t="shared" si="73"/>
        <v>159</v>
      </c>
    </row>
    <row r="362" spans="2:31" x14ac:dyDescent="0.25">
      <c r="B362" s="6">
        <v>790</v>
      </c>
      <c r="C362" s="6">
        <v>900</v>
      </c>
      <c r="D362" s="6">
        <v>1005</v>
      </c>
      <c r="E362" s="6">
        <v>1138</v>
      </c>
      <c r="F362" s="6">
        <f>E362+300</f>
        <v>1438</v>
      </c>
      <c r="L362">
        <f t="shared" si="63"/>
        <v>-110</v>
      </c>
      <c r="M362">
        <f t="shared" si="64"/>
        <v>-215</v>
      </c>
      <c r="N362">
        <f t="shared" si="65"/>
        <v>-348</v>
      </c>
      <c r="O362">
        <f t="shared" si="66"/>
        <v>-648</v>
      </c>
      <c r="P362">
        <f t="shared" si="67"/>
        <v>-105</v>
      </c>
      <c r="Q362">
        <f t="shared" si="68"/>
        <v>-238</v>
      </c>
      <c r="R362">
        <f t="shared" si="69"/>
        <v>-538</v>
      </c>
      <c r="S362">
        <f t="shared" si="70"/>
        <v>-133</v>
      </c>
      <c r="T362">
        <f t="shared" si="71"/>
        <v>-433</v>
      </c>
      <c r="U362">
        <f t="shared" si="72"/>
        <v>-300</v>
      </c>
      <c r="V362" s="9">
        <f t="shared" si="74"/>
        <v>110</v>
      </c>
      <c r="W362" s="9">
        <f t="shared" si="74"/>
        <v>215</v>
      </c>
      <c r="X362" s="9">
        <f t="shared" si="74"/>
        <v>348</v>
      </c>
      <c r="Y362" s="9">
        <f t="shared" si="74"/>
        <v>648</v>
      </c>
      <c r="Z362" s="9">
        <f t="shared" si="74"/>
        <v>105</v>
      </c>
      <c r="AA362" s="9">
        <f t="shared" si="73"/>
        <v>238</v>
      </c>
      <c r="AB362" s="9">
        <f t="shared" si="73"/>
        <v>538</v>
      </c>
      <c r="AC362" s="9">
        <f t="shared" si="73"/>
        <v>133</v>
      </c>
      <c r="AD362" s="9">
        <f t="shared" si="73"/>
        <v>433</v>
      </c>
      <c r="AE362" s="9">
        <f t="shared" si="73"/>
        <v>300</v>
      </c>
    </row>
    <row r="363" spans="2:31" x14ac:dyDescent="0.25">
      <c r="B363" s="6">
        <v>365</v>
      </c>
      <c r="C363" s="6">
        <v>782</v>
      </c>
      <c r="D363" s="6">
        <v>871</v>
      </c>
      <c r="E363" s="6">
        <v>915</v>
      </c>
      <c r="F363" s="6">
        <v>1225</v>
      </c>
      <c r="L363">
        <f t="shared" si="63"/>
        <v>-417</v>
      </c>
      <c r="M363">
        <f t="shared" si="64"/>
        <v>-506</v>
      </c>
      <c r="N363">
        <f t="shared" si="65"/>
        <v>-550</v>
      </c>
      <c r="O363">
        <f t="shared" si="66"/>
        <v>-860</v>
      </c>
      <c r="P363">
        <f t="shared" si="67"/>
        <v>-89</v>
      </c>
      <c r="Q363">
        <f t="shared" si="68"/>
        <v>-133</v>
      </c>
      <c r="R363">
        <f t="shared" si="69"/>
        <v>-443</v>
      </c>
      <c r="S363">
        <f t="shared" si="70"/>
        <v>-44</v>
      </c>
      <c r="T363">
        <f t="shared" si="71"/>
        <v>-354</v>
      </c>
      <c r="U363">
        <f t="shared" si="72"/>
        <v>-310</v>
      </c>
      <c r="V363" s="9">
        <f t="shared" si="74"/>
        <v>417</v>
      </c>
      <c r="W363" s="9">
        <f t="shared" si="74"/>
        <v>506</v>
      </c>
      <c r="X363" s="9">
        <f t="shared" si="74"/>
        <v>550</v>
      </c>
      <c r="Y363" s="9">
        <f t="shared" si="74"/>
        <v>860</v>
      </c>
      <c r="Z363" s="9">
        <f t="shared" si="74"/>
        <v>89</v>
      </c>
      <c r="AA363" s="9">
        <f t="shared" si="73"/>
        <v>133</v>
      </c>
      <c r="AB363" s="9">
        <f t="shared" si="73"/>
        <v>443</v>
      </c>
      <c r="AC363" s="9">
        <f t="shared" si="73"/>
        <v>44</v>
      </c>
      <c r="AD363" s="9">
        <f t="shared" si="73"/>
        <v>354</v>
      </c>
      <c r="AE363" s="9">
        <f t="shared" si="73"/>
        <v>310</v>
      </c>
    </row>
    <row r="364" spans="2:31" x14ac:dyDescent="0.25">
      <c r="B364" s="6">
        <v>907</v>
      </c>
      <c r="C364" s="6">
        <v>1126</v>
      </c>
      <c r="D364" s="6">
        <v>1300</v>
      </c>
      <c r="E364" s="6">
        <v>1356</v>
      </c>
      <c r="F364" s="6">
        <v>1678</v>
      </c>
      <c r="L364">
        <f t="shared" si="63"/>
        <v>-219</v>
      </c>
      <c r="M364">
        <f t="shared" si="64"/>
        <v>-393</v>
      </c>
      <c r="N364">
        <f t="shared" si="65"/>
        <v>-449</v>
      </c>
      <c r="O364">
        <f t="shared" si="66"/>
        <v>-771</v>
      </c>
      <c r="P364">
        <f t="shared" si="67"/>
        <v>-174</v>
      </c>
      <c r="Q364">
        <f t="shared" si="68"/>
        <v>-230</v>
      </c>
      <c r="R364">
        <f t="shared" si="69"/>
        <v>-552</v>
      </c>
      <c r="S364">
        <f t="shared" si="70"/>
        <v>-56</v>
      </c>
      <c r="T364">
        <f t="shared" si="71"/>
        <v>-378</v>
      </c>
      <c r="U364">
        <f t="shared" si="72"/>
        <v>-322</v>
      </c>
      <c r="V364" s="9">
        <f t="shared" si="74"/>
        <v>219</v>
      </c>
      <c r="W364" s="9">
        <f t="shared" si="74"/>
        <v>393</v>
      </c>
      <c r="X364" s="9">
        <f t="shared" si="74"/>
        <v>449</v>
      </c>
      <c r="Y364" s="9">
        <f t="shared" si="74"/>
        <v>771</v>
      </c>
      <c r="Z364" s="9">
        <f t="shared" si="74"/>
        <v>174</v>
      </c>
      <c r="AA364" s="9">
        <f t="shared" si="73"/>
        <v>230</v>
      </c>
      <c r="AB364" s="9">
        <f t="shared" si="73"/>
        <v>552</v>
      </c>
      <c r="AC364" s="9">
        <f t="shared" si="73"/>
        <v>56</v>
      </c>
      <c r="AD364" s="9">
        <f t="shared" si="73"/>
        <v>378</v>
      </c>
      <c r="AE364" s="9">
        <f t="shared" si="73"/>
        <v>322</v>
      </c>
    </row>
    <row r="365" spans="2:31" x14ac:dyDescent="0.25">
      <c r="B365" s="6">
        <v>489</v>
      </c>
      <c r="C365" s="6">
        <v>945</v>
      </c>
      <c r="D365" s="6">
        <v>1547</v>
      </c>
      <c r="E365" s="6">
        <v>1660</v>
      </c>
      <c r="F365" s="6">
        <v>2045</v>
      </c>
      <c r="L365">
        <f t="shared" si="63"/>
        <v>-456</v>
      </c>
      <c r="M365">
        <f t="shared" si="64"/>
        <v>-1058</v>
      </c>
      <c r="N365">
        <f t="shared" si="65"/>
        <v>-1171</v>
      </c>
      <c r="O365">
        <f t="shared" si="66"/>
        <v>-1556</v>
      </c>
      <c r="P365">
        <f t="shared" si="67"/>
        <v>-602</v>
      </c>
      <c r="Q365">
        <f t="shared" si="68"/>
        <v>-715</v>
      </c>
      <c r="R365">
        <f t="shared" si="69"/>
        <v>-1100</v>
      </c>
      <c r="S365">
        <f t="shared" si="70"/>
        <v>-113</v>
      </c>
      <c r="T365">
        <f t="shared" si="71"/>
        <v>-498</v>
      </c>
      <c r="U365">
        <f t="shared" si="72"/>
        <v>-385</v>
      </c>
      <c r="V365" s="9">
        <f t="shared" si="74"/>
        <v>456</v>
      </c>
      <c r="W365" s="9">
        <f t="shared" si="74"/>
        <v>1058</v>
      </c>
      <c r="X365" s="9">
        <f t="shared" si="74"/>
        <v>1171</v>
      </c>
      <c r="Y365" s="9">
        <f t="shared" si="74"/>
        <v>1556</v>
      </c>
      <c r="Z365" s="9">
        <f t="shared" si="74"/>
        <v>602</v>
      </c>
      <c r="AA365" s="9">
        <f t="shared" si="73"/>
        <v>715</v>
      </c>
      <c r="AB365" s="9">
        <f t="shared" si="73"/>
        <v>1100</v>
      </c>
      <c r="AC365" s="9">
        <f t="shared" si="73"/>
        <v>113</v>
      </c>
      <c r="AD365" s="9">
        <f t="shared" si="73"/>
        <v>498</v>
      </c>
      <c r="AE365" s="9">
        <f t="shared" si="73"/>
        <v>385</v>
      </c>
    </row>
    <row r="366" spans="2:31" x14ac:dyDescent="0.25">
      <c r="B366" s="6">
        <v>759</v>
      </c>
      <c r="C366" s="6">
        <v>894</v>
      </c>
      <c r="D366" s="6">
        <v>945</v>
      </c>
      <c r="E366" s="6">
        <v>1035</v>
      </c>
      <c r="F366" s="6">
        <v>1347</v>
      </c>
      <c r="L366">
        <f t="shared" si="63"/>
        <v>-135</v>
      </c>
      <c r="M366">
        <f t="shared" si="64"/>
        <v>-186</v>
      </c>
      <c r="N366">
        <f t="shared" si="65"/>
        <v>-276</v>
      </c>
      <c r="O366">
        <f t="shared" si="66"/>
        <v>-588</v>
      </c>
      <c r="P366">
        <f t="shared" si="67"/>
        <v>-51</v>
      </c>
      <c r="Q366">
        <f t="shared" si="68"/>
        <v>-141</v>
      </c>
      <c r="R366">
        <f t="shared" si="69"/>
        <v>-453</v>
      </c>
      <c r="S366">
        <f t="shared" si="70"/>
        <v>-90</v>
      </c>
      <c r="T366">
        <f t="shared" si="71"/>
        <v>-402</v>
      </c>
      <c r="U366">
        <f t="shared" si="72"/>
        <v>-312</v>
      </c>
      <c r="V366" s="9">
        <f t="shared" si="74"/>
        <v>135</v>
      </c>
      <c r="W366" s="9">
        <f t="shared" si="74"/>
        <v>186</v>
      </c>
      <c r="X366" s="9">
        <f t="shared" si="74"/>
        <v>276</v>
      </c>
      <c r="Y366" s="9">
        <f t="shared" si="74"/>
        <v>588</v>
      </c>
      <c r="Z366" s="9">
        <f t="shared" si="74"/>
        <v>51</v>
      </c>
      <c r="AA366" s="9">
        <f t="shared" si="73"/>
        <v>141</v>
      </c>
      <c r="AB366" s="9">
        <f t="shared" si="73"/>
        <v>453</v>
      </c>
      <c r="AC366" s="9">
        <f t="shared" si="73"/>
        <v>90</v>
      </c>
      <c r="AD366" s="9">
        <f t="shared" si="73"/>
        <v>402</v>
      </c>
      <c r="AE366" s="9">
        <f t="shared" si="73"/>
        <v>312</v>
      </c>
    </row>
    <row r="367" spans="2:31" x14ac:dyDescent="0.25">
      <c r="B367" s="6">
        <v>1229</v>
      </c>
      <c r="C367" s="6">
        <v>1067</v>
      </c>
      <c r="D367" s="6">
        <v>1336</v>
      </c>
      <c r="E367" s="6">
        <v>1456</v>
      </c>
      <c r="F367" s="6">
        <f t="shared" ref="F367:F416" si="75">E367+300</f>
        <v>1756</v>
      </c>
      <c r="L367">
        <f t="shared" si="63"/>
        <v>162</v>
      </c>
      <c r="M367">
        <f t="shared" si="64"/>
        <v>-107</v>
      </c>
      <c r="N367">
        <f t="shared" si="65"/>
        <v>-227</v>
      </c>
      <c r="O367">
        <f t="shared" si="66"/>
        <v>-527</v>
      </c>
      <c r="P367">
        <f t="shared" si="67"/>
        <v>-269</v>
      </c>
      <c r="Q367">
        <f t="shared" si="68"/>
        <v>-389</v>
      </c>
      <c r="R367">
        <f t="shared" si="69"/>
        <v>-689</v>
      </c>
      <c r="S367">
        <f t="shared" si="70"/>
        <v>-120</v>
      </c>
      <c r="T367">
        <f t="shared" si="71"/>
        <v>-420</v>
      </c>
      <c r="U367">
        <f t="shared" si="72"/>
        <v>-300</v>
      </c>
      <c r="V367" s="9">
        <f t="shared" si="74"/>
        <v>162</v>
      </c>
      <c r="W367" s="9">
        <f t="shared" si="74"/>
        <v>107</v>
      </c>
      <c r="X367" s="9">
        <f t="shared" si="74"/>
        <v>227</v>
      </c>
      <c r="Y367" s="9">
        <f t="shared" si="74"/>
        <v>527</v>
      </c>
      <c r="Z367" s="9">
        <f t="shared" si="74"/>
        <v>269</v>
      </c>
      <c r="AA367" s="9">
        <f t="shared" si="73"/>
        <v>389</v>
      </c>
      <c r="AB367" s="9">
        <f t="shared" si="73"/>
        <v>689</v>
      </c>
      <c r="AC367" s="9">
        <f t="shared" si="73"/>
        <v>120</v>
      </c>
      <c r="AD367" s="9">
        <f t="shared" si="73"/>
        <v>420</v>
      </c>
      <c r="AE367" s="9">
        <f t="shared" si="73"/>
        <v>300</v>
      </c>
    </row>
    <row r="368" spans="2:31" x14ac:dyDescent="0.25">
      <c r="B368" s="6">
        <v>1480</v>
      </c>
      <c r="C368" s="6">
        <v>1298</v>
      </c>
      <c r="D368" s="6">
        <v>1287</v>
      </c>
      <c r="E368" s="6">
        <v>1354</v>
      </c>
      <c r="F368" s="6">
        <f t="shared" si="75"/>
        <v>1654</v>
      </c>
      <c r="L368">
        <f t="shared" si="63"/>
        <v>182</v>
      </c>
      <c r="M368">
        <f t="shared" si="64"/>
        <v>193</v>
      </c>
      <c r="N368">
        <f t="shared" si="65"/>
        <v>126</v>
      </c>
      <c r="O368">
        <f t="shared" si="66"/>
        <v>-174</v>
      </c>
      <c r="P368">
        <f t="shared" si="67"/>
        <v>11</v>
      </c>
      <c r="Q368">
        <f t="shared" si="68"/>
        <v>-56</v>
      </c>
      <c r="R368">
        <f t="shared" si="69"/>
        <v>-356</v>
      </c>
      <c r="S368">
        <f t="shared" si="70"/>
        <v>-67</v>
      </c>
      <c r="T368">
        <f t="shared" si="71"/>
        <v>-367</v>
      </c>
      <c r="U368">
        <f t="shared" si="72"/>
        <v>-300</v>
      </c>
      <c r="V368" s="9">
        <f t="shared" si="74"/>
        <v>182</v>
      </c>
      <c r="W368" s="9">
        <f t="shared" si="74"/>
        <v>193</v>
      </c>
      <c r="X368" s="9">
        <f t="shared" si="74"/>
        <v>126</v>
      </c>
      <c r="Y368" s="9">
        <f t="shared" si="74"/>
        <v>174</v>
      </c>
      <c r="Z368" s="9">
        <f t="shared" si="74"/>
        <v>11</v>
      </c>
      <c r="AA368" s="9">
        <f t="shared" si="73"/>
        <v>56</v>
      </c>
      <c r="AB368" s="9">
        <f t="shared" si="73"/>
        <v>356</v>
      </c>
      <c r="AC368" s="9">
        <f t="shared" si="73"/>
        <v>67</v>
      </c>
      <c r="AD368" s="9">
        <f t="shared" si="73"/>
        <v>367</v>
      </c>
      <c r="AE368" s="9">
        <f t="shared" si="73"/>
        <v>300</v>
      </c>
    </row>
    <row r="369" spans="2:31" x14ac:dyDescent="0.25">
      <c r="B369" s="6">
        <v>1227</v>
      </c>
      <c r="C369" s="6">
        <v>1425</v>
      </c>
      <c r="D369" s="6">
        <v>1456</v>
      </c>
      <c r="E369" s="6">
        <v>1564</v>
      </c>
      <c r="F369" s="6">
        <v>1754</v>
      </c>
      <c r="L369">
        <f t="shared" si="63"/>
        <v>-198</v>
      </c>
      <c r="M369">
        <f t="shared" si="64"/>
        <v>-229</v>
      </c>
      <c r="N369">
        <f t="shared" si="65"/>
        <v>-337</v>
      </c>
      <c r="O369">
        <f t="shared" si="66"/>
        <v>-527</v>
      </c>
      <c r="P369">
        <f t="shared" si="67"/>
        <v>-31</v>
      </c>
      <c r="Q369">
        <f t="shared" si="68"/>
        <v>-139</v>
      </c>
      <c r="R369">
        <f t="shared" si="69"/>
        <v>-329</v>
      </c>
      <c r="S369">
        <f t="shared" si="70"/>
        <v>-108</v>
      </c>
      <c r="T369">
        <f t="shared" si="71"/>
        <v>-298</v>
      </c>
      <c r="U369">
        <f t="shared" si="72"/>
        <v>-190</v>
      </c>
      <c r="V369" s="9">
        <f t="shared" si="74"/>
        <v>198</v>
      </c>
      <c r="W369" s="9">
        <f t="shared" si="74"/>
        <v>229</v>
      </c>
      <c r="X369" s="9">
        <f t="shared" si="74"/>
        <v>337</v>
      </c>
      <c r="Y369" s="9">
        <f t="shared" si="74"/>
        <v>527</v>
      </c>
      <c r="Z369" s="9">
        <f t="shared" si="74"/>
        <v>31</v>
      </c>
      <c r="AA369" s="9">
        <f t="shared" si="73"/>
        <v>139</v>
      </c>
      <c r="AB369" s="9">
        <f t="shared" si="73"/>
        <v>329</v>
      </c>
      <c r="AC369" s="9">
        <f t="shared" si="73"/>
        <v>108</v>
      </c>
      <c r="AD369" s="9">
        <f t="shared" si="73"/>
        <v>298</v>
      </c>
      <c r="AE369" s="9">
        <f t="shared" si="73"/>
        <v>190</v>
      </c>
    </row>
    <row r="370" spans="2:31" x14ac:dyDescent="0.25">
      <c r="B370" s="6">
        <v>857</v>
      </c>
      <c r="C370" s="6">
        <v>1089</v>
      </c>
      <c r="D370" s="6">
        <v>1237</v>
      </c>
      <c r="E370" s="6">
        <v>1356</v>
      </c>
      <c r="F370" s="6">
        <f t="shared" si="75"/>
        <v>1656</v>
      </c>
      <c r="L370">
        <f t="shared" si="63"/>
        <v>-232</v>
      </c>
      <c r="M370">
        <f t="shared" si="64"/>
        <v>-380</v>
      </c>
      <c r="N370">
        <f t="shared" si="65"/>
        <v>-499</v>
      </c>
      <c r="O370">
        <f t="shared" si="66"/>
        <v>-799</v>
      </c>
      <c r="P370">
        <f t="shared" si="67"/>
        <v>-148</v>
      </c>
      <c r="Q370">
        <f t="shared" si="68"/>
        <v>-267</v>
      </c>
      <c r="R370">
        <f t="shared" si="69"/>
        <v>-567</v>
      </c>
      <c r="S370">
        <f t="shared" si="70"/>
        <v>-119</v>
      </c>
      <c r="T370">
        <f t="shared" si="71"/>
        <v>-419</v>
      </c>
      <c r="U370">
        <f t="shared" si="72"/>
        <v>-300</v>
      </c>
      <c r="V370" s="9">
        <f t="shared" si="74"/>
        <v>232</v>
      </c>
      <c r="W370" s="9">
        <f t="shared" si="74"/>
        <v>380</v>
      </c>
      <c r="X370" s="9">
        <f t="shared" si="74"/>
        <v>499</v>
      </c>
      <c r="Y370" s="9">
        <f t="shared" si="74"/>
        <v>799</v>
      </c>
      <c r="Z370" s="9">
        <f t="shared" si="74"/>
        <v>148</v>
      </c>
      <c r="AA370" s="9">
        <f t="shared" si="73"/>
        <v>267</v>
      </c>
      <c r="AB370" s="9">
        <f t="shared" si="73"/>
        <v>567</v>
      </c>
      <c r="AC370" s="9">
        <f t="shared" si="73"/>
        <v>119</v>
      </c>
      <c r="AD370" s="9">
        <f t="shared" si="73"/>
        <v>419</v>
      </c>
      <c r="AE370" s="9">
        <f t="shared" si="73"/>
        <v>300</v>
      </c>
    </row>
    <row r="371" spans="2:31" x14ac:dyDescent="0.25">
      <c r="B371" s="6">
        <v>894</v>
      </c>
      <c r="C371" s="6">
        <v>1007</v>
      </c>
      <c r="D371" s="6">
        <v>1010</v>
      </c>
      <c r="E371" s="6">
        <v>1102</v>
      </c>
      <c r="F371" s="6">
        <v>1489</v>
      </c>
      <c r="L371">
        <f t="shared" si="63"/>
        <v>-113</v>
      </c>
      <c r="M371">
        <f t="shared" si="64"/>
        <v>-116</v>
      </c>
      <c r="N371">
        <f t="shared" si="65"/>
        <v>-208</v>
      </c>
      <c r="O371">
        <f t="shared" si="66"/>
        <v>-595</v>
      </c>
      <c r="P371">
        <f t="shared" si="67"/>
        <v>-3</v>
      </c>
      <c r="Q371">
        <f t="shared" si="68"/>
        <v>-95</v>
      </c>
      <c r="R371">
        <f t="shared" si="69"/>
        <v>-482</v>
      </c>
      <c r="S371">
        <f t="shared" si="70"/>
        <v>-92</v>
      </c>
      <c r="T371">
        <f t="shared" si="71"/>
        <v>-479</v>
      </c>
      <c r="U371">
        <f t="shared" si="72"/>
        <v>-387</v>
      </c>
      <c r="V371" s="9">
        <f t="shared" si="74"/>
        <v>113</v>
      </c>
      <c r="W371" s="9">
        <f t="shared" si="74"/>
        <v>116</v>
      </c>
      <c r="X371" s="9">
        <f t="shared" si="74"/>
        <v>208</v>
      </c>
      <c r="Y371" s="9">
        <f t="shared" si="74"/>
        <v>595</v>
      </c>
      <c r="Z371" s="9">
        <f t="shared" si="74"/>
        <v>3</v>
      </c>
      <c r="AA371" s="9">
        <f t="shared" si="73"/>
        <v>95</v>
      </c>
      <c r="AB371" s="9">
        <f t="shared" si="73"/>
        <v>482</v>
      </c>
      <c r="AC371" s="9">
        <f t="shared" si="73"/>
        <v>92</v>
      </c>
      <c r="AD371" s="9">
        <f t="shared" si="73"/>
        <v>479</v>
      </c>
      <c r="AE371" s="9">
        <f t="shared" si="73"/>
        <v>387</v>
      </c>
    </row>
    <row r="372" spans="2:31" x14ac:dyDescent="0.25">
      <c r="B372" s="6">
        <v>1008</v>
      </c>
      <c r="C372" s="6">
        <v>1293</v>
      </c>
      <c r="D372" s="6">
        <v>1338</v>
      </c>
      <c r="E372" s="6">
        <v>1425</v>
      </c>
      <c r="F372" s="6">
        <f t="shared" si="75"/>
        <v>1725</v>
      </c>
      <c r="L372">
        <f t="shared" si="63"/>
        <v>-285</v>
      </c>
      <c r="M372">
        <f t="shared" si="64"/>
        <v>-330</v>
      </c>
      <c r="N372">
        <f t="shared" si="65"/>
        <v>-417</v>
      </c>
      <c r="O372">
        <f t="shared" si="66"/>
        <v>-717</v>
      </c>
      <c r="P372">
        <f t="shared" si="67"/>
        <v>-45</v>
      </c>
      <c r="Q372">
        <f t="shared" si="68"/>
        <v>-132</v>
      </c>
      <c r="R372">
        <f t="shared" si="69"/>
        <v>-432</v>
      </c>
      <c r="S372">
        <f t="shared" si="70"/>
        <v>-87</v>
      </c>
      <c r="T372">
        <f t="shared" si="71"/>
        <v>-387</v>
      </c>
      <c r="U372">
        <f t="shared" si="72"/>
        <v>-300</v>
      </c>
      <c r="V372" s="9">
        <f t="shared" si="74"/>
        <v>285</v>
      </c>
      <c r="W372" s="9">
        <f t="shared" si="74"/>
        <v>330</v>
      </c>
      <c r="X372" s="9">
        <f t="shared" si="74"/>
        <v>417</v>
      </c>
      <c r="Y372" s="9">
        <f t="shared" si="74"/>
        <v>717</v>
      </c>
      <c r="Z372" s="9">
        <f t="shared" si="74"/>
        <v>45</v>
      </c>
      <c r="AA372" s="9">
        <f t="shared" ref="AA372:AE422" si="76">IF(Q372&gt;=0,Q372,-Q372)</f>
        <v>132</v>
      </c>
      <c r="AB372" s="9">
        <f t="shared" si="76"/>
        <v>432</v>
      </c>
      <c r="AC372" s="9">
        <f t="shared" si="76"/>
        <v>87</v>
      </c>
      <c r="AD372" s="9">
        <f t="shared" si="76"/>
        <v>387</v>
      </c>
      <c r="AE372" s="9">
        <f t="shared" si="76"/>
        <v>300</v>
      </c>
    </row>
    <row r="373" spans="2:31" x14ac:dyDescent="0.25">
      <c r="B373" s="6">
        <v>1229</v>
      </c>
      <c r="C373" s="6">
        <v>1345</v>
      </c>
      <c r="D373" s="6">
        <v>1507</v>
      </c>
      <c r="E373" s="6">
        <v>1678</v>
      </c>
      <c r="F373" s="6">
        <f t="shared" si="75"/>
        <v>1978</v>
      </c>
      <c r="L373">
        <f t="shared" si="63"/>
        <v>-116</v>
      </c>
      <c r="M373">
        <f t="shared" si="64"/>
        <v>-278</v>
      </c>
      <c r="N373">
        <f t="shared" si="65"/>
        <v>-449</v>
      </c>
      <c r="O373">
        <f t="shared" si="66"/>
        <v>-749</v>
      </c>
      <c r="P373">
        <f t="shared" si="67"/>
        <v>-162</v>
      </c>
      <c r="Q373">
        <f t="shared" si="68"/>
        <v>-333</v>
      </c>
      <c r="R373">
        <f t="shared" si="69"/>
        <v>-633</v>
      </c>
      <c r="S373">
        <f t="shared" si="70"/>
        <v>-171</v>
      </c>
      <c r="T373">
        <f t="shared" si="71"/>
        <v>-471</v>
      </c>
      <c r="U373">
        <f t="shared" si="72"/>
        <v>-300</v>
      </c>
      <c r="V373" s="9">
        <f t="shared" ref="V373:Z423" si="77">IF(L373&gt;=0,L373,-L373)</f>
        <v>116</v>
      </c>
      <c r="W373" s="9">
        <f t="shared" si="77"/>
        <v>278</v>
      </c>
      <c r="X373" s="9">
        <f t="shared" si="77"/>
        <v>449</v>
      </c>
      <c r="Y373" s="9">
        <f t="shared" si="77"/>
        <v>749</v>
      </c>
      <c r="Z373" s="9">
        <f t="shared" si="77"/>
        <v>162</v>
      </c>
      <c r="AA373" s="9">
        <f t="shared" si="76"/>
        <v>333</v>
      </c>
      <c r="AB373" s="9">
        <f t="shared" si="76"/>
        <v>633</v>
      </c>
      <c r="AC373" s="9">
        <f t="shared" si="76"/>
        <v>171</v>
      </c>
      <c r="AD373" s="9">
        <f t="shared" si="76"/>
        <v>471</v>
      </c>
      <c r="AE373" s="9">
        <f t="shared" si="76"/>
        <v>300</v>
      </c>
    </row>
    <row r="374" spans="2:31" x14ac:dyDescent="0.25">
      <c r="B374" s="6">
        <v>1559</v>
      </c>
      <c r="C374" s="6">
        <v>1670</v>
      </c>
      <c r="D374" s="6">
        <v>1777</v>
      </c>
      <c r="E374" s="6">
        <v>1845</v>
      </c>
      <c r="F374" s="6">
        <f t="shared" si="75"/>
        <v>2145</v>
      </c>
      <c r="L374">
        <f t="shared" si="63"/>
        <v>-111</v>
      </c>
      <c r="M374">
        <f t="shared" si="64"/>
        <v>-218</v>
      </c>
      <c r="N374">
        <f t="shared" si="65"/>
        <v>-286</v>
      </c>
      <c r="O374">
        <f t="shared" si="66"/>
        <v>-586</v>
      </c>
      <c r="P374">
        <f t="shared" si="67"/>
        <v>-107</v>
      </c>
      <c r="Q374">
        <f t="shared" si="68"/>
        <v>-175</v>
      </c>
      <c r="R374">
        <f t="shared" si="69"/>
        <v>-475</v>
      </c>
      <c r="S374">
        <f t="shared" si="70"/>
        <v>-68</v>
      </c>
      <c r="T374">
        <f t="shared" si="71"/>
        <v>-368</v>
      </c>
      <c r="U374">
        <f t="shared" si="72"/>
        <v>-300</v>
      </c>
      <c r="V374" s="9">
        <f t="shared" si="77"/>
        <v>111</v>
      </c>
      <c r="W374" s="9">
        <f t="shared" si="77"/>
        <v>218</v>
      </c>
      <c r="X374" s="9">
        <f t="shared" si="77"/>
        <v>286</v>
      </c>
      <c r="Y374" s="9">
        <f t="shared" si="77"/>
        <v>586</v>
      </c>
      <c r="Z374" s="9">
        <f t="shared" si="77"/>
        <v>107</v>
      </c>
      <c r="AA374" s="9">
        <f t="shared" si="76"/>
        <v>175</v>
      </c>
      <c r="AB374" s="9">
        <f t="shared" si="76"/>
        <v>475</v>
      </c>
      <c r="AC374" s="9">
        <f t="shared" si="76"/>
        <v>68</v>
      </c>
      <c r="AD374" s="9">
        <f t="shared" si="76"/>
        <v>368</v>
      </c>
      <c r="AE374" s="9">
        <f t="shared" si="76"/>
        <v>300</v>
      </c>
    </row>
    <row r="375" spans="2:31" x14ac:dyDescent="0.25">
      <c r="B375" s="6">
        <v>895</v>
      </c>
      <c r="C375" s="6">
        <v>987</v>
      </c>
      <c r="D375" s="6">
        <v>1289</v>
      </c>
      <c r="E375" s="6">
        <v>1346</v>
      </c>
      <c r="F375" s="6">
        <f t="shared" si="75"/>
        <v>1646</v>
      </c>
      <c r="L375">
        <f t="shared" si="63"/>
        <v>-92</v>
      </c>
      <c r="M375">
        <f t="shared" si="64"/>
        <v>-394</v>
      </c>
      <c r="N375">
        <f t="shared" si="65"/>
        <v>-451</v>
      </c>
      <c r="O375">
        <f t="shared" si="66"/>
        <v>-751</v>
      </c>
      <c r="P375">
        <f t="shared" si="67"/>
        <v>-302</v>
      </c>
      <c r="Q375">
        <f t="shared" si="68"/>
        <v>-359</v>
      </c>
      <c r="R375">
        <f t="shared" si="69"/>
        <v>-659</v>
      </c>
      <c r="S375">
        <f t="shared" si="70"/>
        <v>-57</v>
      </c>
      <c r="T375">
        <f t="shared" si="71"/>
        <v>-357</v>
      </c>
      <c r="U375">
        <f t="shared" si="72"/>
        <v>-300</v>
      </c>
      <c r="V375" s="9">
        <f t="shared" si="77"/>
        <v>92</v>
      </c>
      <c r="W375" s="9">
        <f t="shared" si="77"/>
        <v>394</v>
      </c>
      <c r="X375" s="9">
        <f t="shared" si="77"/>
        <v>451</v>
      </c>
      <c r="Y375" s="9">
        <f t="shared" si="77"/>
        <v>751</v>
      </c>
      <c r="Z375" s="9">
        <f t="shared" si="77"/>
        <v>302</v>
      </c>
      <c r="AA375" s="9">
        <f t="shared" si="76"/>
        <v>359</v>
      </c>
      <c r="AB375" s="9">
        <f t="shared" si="76"/>
        <v>659</v>
      </c>
      <c r="AC375" s="9">
        <f t="shared" si="76"/>
        <v>57</v>
      </c>
      <c r="AD375" s="9">
        <f t="shared" si="76"/>
        <v>357</v>
      </c>
      <c r="AE375" s="9">
        <f t="shared" si="76"/>
        <v>300</v>
      </c>
    </row>
    <row r="376" spans="2:31" x14ac:dyDescent="0.25">
      <c r="B376" s="6">
        <v>498</v>
      </c>
      <c r="C376" s="6">
        <v>780</v>
      </c>
      <c r="D376" s="6">
        <v>978</v>
      </c>
      <c r="E376" s="6">
        <v>1025</v>
      </c>
      <c r="F376" s="6">
        <v>1270</v>
      </c>
      <c r="L376">
        <f t="shared" si="63"/>
        <v>-282</v>
      </c>
      <c r="M376">
        <f t="shared" si="64"/>
        <v>-480</v>
      </c>
      <c r="N376">
        <f t="shared" si="65"/>
        <v>-527</v>
      </c>
      <c r="O376">
        <f t="shared" si="66"/>
        <v>-772</v>
      </c>
      <c r="P376">
        <f t="shared" si="67"/>
        <v>-198</v>
      </c>
      <c r="Q376">
        <f t="shared" si="68"/>
        <v>-245</v>
      </c>
      <c r="R376">
        <f t="shared" si="69"/>
        <v>-490</v>
      </c>
      <c r="S376">
        <f t="shared" si="70"/>
        <v>-47</v>
      </c>
      <c r="T376">
        <f t="shared" si="71"/>
        <v>-292</v>
      </c>
      <c r="U376">
        <f t="shared" si="72"/>
        <v>-245</v>
      </c>
      <c r="V376" s="9">
        <f t="shared" si="77"/>
        <v>282</v>
      </c>
      <c r="W376" s="9">
        <f t="shared" si="77"/>
        <v>480</v>
      </c>
      <c r="X376" s="9">
        <f t="shared" si="77"/>
        <v>527</v>
      </c>
      <c r="Y376" s="9">
        <f t="shared" si="77"/>
        <v>772</v>
      </c>
      <c r="Z376" s="9">
        <f t="shared" si="77"/>
        <v>198</v>
      </c>
      <c r="AA376" s="9">
        <f t="shared" si="76"/>
        <v>245</v>
      </c>
      <c r="AB376" s="9">
        <f t="shared" si="76"/>
        <v>490</v>
      </c>
      <c r="AC376" s="9">
        <f t="shared" si="76"/>
        <v>47</v>
      </c>
      <c r="AD376" s="9">
        <f t="shared" si="76"/>
        <v>292</v>
      </c>
      <c r="AE376" s="9">
        <f t="shared" si="76"/>
        <v>245</v>
      </c>
    </row>
    <row r="377" spans="2:31" x14ac:dyDescent="0.25">
      <c r="B377" s="6">
        <v>997</v>
      </c>
      <c r="C377" s="6">
        <v>897</v>
      </c>
      <c r="D377" s="6">
        <v>647</v>
      </c>
      <c r="E377" s="6">
        <v>1024</v>
      </c>
      <c r="F377" s="6">
        <f t="shared" si="75"/>
        <v>1324</v>
      </c>
      <c r="L377">
        <f t="shared" si="63"/>
        <v>100</v>
      </c>
      <c r="M377">
        <f t="shared" si="64"/>
        <v>350</v>
      </c>
      <c r="N377">
        <f t="shared" si="65"/>
        <v>-27</v>
      </c>
      <c r="O377">
        <f t="shared" si="66"/>
        <v>-327</v>
      </c>
      <c r="P377">
        <f t="shared" si="67"/>
        <v>250</v>
      </c>
      <c r="Q377">
        <f t="shared" si="68"/>
        <v>-127</v>
      </c>
      <c r="R377">
        <f t="shared" si="69"/>
        <v>-427</v>
      </c>
      <c r="S377">
        <f t="shared" si="70"/>
        <v>-377</v>
      </c>
      <c r="T377">
        <f t="shared" si="71"/>
        <v>-677</v>
      </c>
      <c r="U377">
        <f t="shared" si="72"/>
        <v>-300</v>
      </c>
      <c r="V377" s="9">
        <f t="shared" si="77"/>
        <v>100</v>
      </c>
      <c r="W377" s="9">
        <f t="shared" si="77"/>
        <v>350</v>
      </c>
      <c r="X377" s="9">
        <f t="shared" si="77"/>
        <v>27</v>
      </c>
      <c r="Y377" s="9">
        <f t="shared" si="77"/>
        <v>327</v>
      </c>
      <c r="Z377" s="9">
        <f t="shared" si="77"/>
        <v>250</v>
      </c>
      <c r="AA377" s="9">
        <f t="shared" si="76"/>
        <v>127</v>
      </c>
      <c r="AB377" s="9">
        <f t="shared" si="76"/>
        <v>427</v>
      </c>
      <c r="AC377" s="9">
        <f t="shared" si="76"/>
        <v>377</v>
      </c>
      <c r="AD377" s="9">
        <f t="shared" si="76"/>
        <v>677</v>
      </c>
      <c r="AE377" s="9">
        <f t="shared" si="76"/>
        <v>300</v>
      </c>
    </row>
    <row r="378" spans="2:31" x14ac:dyDescent="0.25">
      <c r="B378" s="6">
        <v>1228</v>
      </c>
      <c r="C378" s="6">
        <v>976</v>
      </c>
      <c r="D378" s="6">
        <v>1238</v>
      </c>
      <c r="E378" s="6">
        <v>1348</v>
      </c>
      <c r="F378" s="6">
        <f t="shared" si="75"/>
        <v>1648</v>
      </c>
      <c r="L378">
        <f t="shared" si="63"/>
        <v>252</v>
      </c>
      <c r="M378">
        <f t="shared" si="64"/>
        <v>-10</v>
      </c>
      <c r="N378">
        <f t="shared" si="65"/>
        <v>-120</v>
      </c>
      <c r="O378">
        <f t="shared" si="66"/>
        <v>-420</v>
      </c>
      <c r="P378">
        <f t="shared" si="67"/>
        <v>-262</v>
      </c>
      <c r="Q378">
        <f t="shared" si="68"/>
        <v>-372</v>
      </c>
      <c r="R378">
        <f t="shared" si="69"/>
        <v>-672</v>
      </c>
      <c r="S378">
        <f t="shared" si="70"/>
        <v>-110</v>
      </c>
      <c r="T378">
        <f t="shared" si="71"/>
        <v>-410</v>
      </c>
      <c r="U378">
        <f t="shared" si="72"/>
        <v>-300</v>
      </c>
      <c r="V378" s="9">
        <f t="shared" si="77"/>
        <v>252</v>
      </c>
      <c r="W378" s="9">
        <f t="shared" si="77"/>
        <v>10</v>
      </c>
      <c r="X378" s="9">
        <f t="shared" si="77"/>
        <v>120</v>
      </c>
      <c r="Y378" s="9">
        <f t="shared" si="77"/>
        <v>420</v>
      </c>
      <c r="Z378" s="9">
        <f t="shared" si="77"/>
        <v>262</v>
      </c>
      <c r="AA378" s="9">
        <f t="shared" si="76"/>
        <v>372</v>
      </c>
      <c r="AB378" s="9">
        <f t="shared" si="76"/>
        <v>672</v>
      </c>
      <c r="AC378" s="9">
        <f t="shared" si="76"/>
        <v>110</v>
      </c>
      <c r="AD378" s="9">
        <f t="shared" si="76"/>
        <v>410</v>
      </c>
      <c r="AE378" s="9">
        <f t="shared" si="76"/>
        <v>300</v>
      </c>
    </row>
    <row r="379" spans="2:31" x14ac:dyDescent="0.25">
      <c r="B379" s="6">
        <v>1684</v>
      </c>
      <c r="C379" s="6">
        <v>1225</v>
      </c>
      <c r="D379" s="6">
        <v>1436</v>
      </c>
      <c r="E379" s="6">
        <v>1564</v>
      </c>
      <c r="F379" s="6">
        <v>1574</v>
      </c>
      <c r="L379">
        <f t="shared" si="63"/>
        <v>459</v>
      </c>
      <c r="M379">
        <f t="shared" si="64"/>
        <v>248</v>
      </c>
      <c r="N379">
        <f t="shared" si="65"/>
        <v>120</v>
      </c>
      <c r="O379">
        <f t="shared" si="66"/>
        <v>110</v>
      </c>
      <c r="P379">
        <f t="shared" si="67"/>
        <v>-211</v>
      </c>
      <c r="Q379">
        <f t="shared" si="68"/>
        <v>-339</v>
      </c>
      <c r="R379">
        <f t="shared" si="69"/>
        <v>-349</v>
      </c>
      <c r="S379">
        <f t="shared" si="70"/>
        <v>-128</v>
      </c>
      <c r="T379">
        <f t="shared" si="71"/>
        <v>-138</v>
      </c>
      <c r="U379">
        <f t="shared" si="72"/>
        <v>-10</v>
      </c>
      <c r="V379" s="9">
        <f t="shared" si="77"/>
        <v>459</v>
      </c>
      <c r="W379" s="9">
        <f t="shared" si="77"/>
        <v>248</v>
      </c>
      <c r="X379" s="9">
        <f t="shared" si="77"/>
        <v>120</v>
      </c>
      <c r="Y379" s="9">
        <f t="shared" si="77"/>
        <v>110</v>
      </c>
      <c r="Z379" s="9">
        <f t="shared" si="77"/>
        <v>211</v>
      </c>
      <c r="AA379" s="9">
        <f t="shared" si="76"/>
        <v>339</v>
      </c>
      <c r="AB379" s="9">
        <f t="shared" si="76"/>
        <v>349</v>
      </c>
      <c r="AC379" s="9">
        <f t="shared" si="76"/>
        <v>128</v>
      </c>
      <c r="AD379" s="9">
        <f t="shared" si="76"/>
        <v>138</v>
      </c>
      <c r="AE379" s="9">
        <f t="shared" si="76"/>
        <v>10</v>
      </c>
    </row>
    <row r="380" spans="2:31" x14ac:dyDescent="0.25">
      <c r="B380" s="6">
        <v>1436</v>
      </c>
      <c r="C380" s="6">
        <v>1443</v>
      </c>
      <c r="D380" s="6">
        <v>1562</v>
      </c>
      <c r="E380" s="6">
        <v>1782</v>
      </c>
      <c r="F380" s="6">
        <f t="shared" si="75"/>
        <v>2082</v>
      </c>
      <c r="L380">
        <f t="shared" si="63"/>
        <v>-7</v>
      </c>
      <c r="M380">
        <f t="shared" si="64"/>
        <v>-126</v>
      </c>
      <c r="N380">
        <f t="shared" si="65"/>
        <v>-346</v>
      </c>
      <c r="O380">
        <f t="shared" si="66"/>
        <v>-646</v>
      </c>
      <c r="P380">
        <f t="shared" si="67"/>
        <v>-119</v>
      </c>
      <c r="Q380">
        <f t="shared" si="68"/>
        <v>-339</v>
      </c>
      <c r="R380">
        <f t="shared" si="69"/>
        <v>-639</v>
      </c>
      <c r="S380">
        <f t="shared" si="70"/>
        <v>-220</v>
      </c>
      <c r="T380">
        <f t="shared" si="71"/>
        <v>-520</v>
      </c>
      <c r="U380">
        <f t="shared" si="72"/>
        <v>-300</v>
      </c>
      <c r="V380" s="9">
        <f t="shared" si="77"/>
        <v>7</v>
      </c>
      <c r="W380" s="9">
        <f t="shared" si="77"/>
        <v>126</v>
      </c>
      <c r="X380" s="9">
        <f t="shared" si="77"/>
        <v>346</v>
      </c>
      <c r="Y380" s="9">
        <f t="shared" si="77"/>
        <v>646</v>
      </c>
      <c r="Z380" s="9">
        <f t="shared" si="77"/>
        <v>119</v>
      </c>
      <c r="AA380" s="9">
        <f t="shared" si="76"/>
        <v>339</v>
      </c>
      <c r="AB380" s="9">
        <f t="shared" si="76"/>
        <v>639</v>
      </c>
      <c r="AC380" s="9">
        <f t="shared" si="76"/>
        <v>220</v>
      </c>
      <c r="AD380" s="9">
        <f t="shared" si="76"/>
        <v>520</v>
      </c>
      <c r="AE380" s="9">
        <f t="shared" si="76"/>
        <v>300</v>
      </c>
    </row>
    <row r="381" spans="2:31" x14ac:dyDescent="0.25">
      <c r="B381" s="6">
        <v>899</v>
      </c>
      <c r="C381" s="6">
        <v>948</v>
      </c>
      <c r="D381" s="6">
        <v>1111</v>
      </c>
      <c r="E381" s="6">
        <v>1249</v>
      </c>
      <c r="F381" s="6">
        <f t="shared" si="75"/>
        <v>1549</v>
      </c>
      <c r="L381">
        <f t="shared" si="63"/>
        <v>-49</v>
      </c>
      <c r="M381">
        <f t="shared" si="64"/>
        <v>-212</v>
      </c>
      <c r="N381">
        <f t="shared" si="65"/>
        <v>-350</v>
      </c>
      <c r="O381">
        <f t="shared" si="66"/>
        <v>-650</v>
      </c>
      <c r="P381">
        <f t="shared" si="67"/>
        <v>-163</v>
      </c>
      <c r="Q381">
        <f t="shared" si="68"/>
        <v>-301</v>
      </c>
      <c r="R381">
        <f t="shared" si="69"/>
        <v>-601</v>
      </c>
      <c r="S381">
        <f t="shared" si="70"/>
        <v>-138</v>
      </c>
      <c r="T381">
        <f t="shared" si="71"/>
        <v>-438</v>
      </c>
      <c r="U381">
        <f t="shared" si="72"/>
        <v>-300</v>
      </c>
      <c r="V381" s="9">
        <f t="shared" si="77"/>
        <v>49</v>
      </c>
      <c r="W381" s="9">
        <f t="shared" si="77"/>
        <v>212</v>
      </c>
      <c r="X381" s="9">
        <f t="shared" si="77"/>
        <v>350</v>
      </c>
      <c r="Y381" s="9">
        <f t="shared" si="77"/>
        <v>650</v>
      </c>
      <c r="Z381" s="9">
        <f t="shared" si="77"/>
        <v>163</v>
      </c>
      <c r="AA381" s="9">
        <f t="shared" si="76"/>
        <v>301</v>
      </c>
      <c r="AB381" s="9">
        <f t="shared" si="76"/>
        <v>601</v>
      </c>
      <c r="AC381" s="9">
        <f t="shared" si="76"/>
        <v>138</v>
      </c>
      <c r="AD381" s="9">
        <f t="shared" si="76"/>
        <v>438</v>
      </c>
      <c r="AE381" s="9">
        <f t="shared" si="76"/>
        <v>300</v>
      </c>
    </row>
    <row r="382" spans="2:31" x14ac:dyDescent="0.25">
      <c r="B382" s="6">
        <v>1246</v>
      </c>
      <c r="C382" s="6">
        <v>1113</v>
      </c>
      <c r="D382" s="6">
        <v>1298</v>
      </c>
      <c r="E382" s="6">
        <v>1348</v>
      </c>
      <c r="F382" s="6">
        <f t="shared" si="75"/>
        <v>1648</v>
      </c>
      <c r="L382">
        <f t="shared" si="63"/>
        <v>133</v>
      </c>
      <c r="M382">
        <f t="shared" si="64"/>
        <v>-52</v>
      </c>
      <c r="N382">
        <f t="shared" si="65"/>
        <v>-102</v>
      </c>
      <c r="O382">
        <f t="shared" si="66"/>
        <v>-402</v>
      </c>
      <c r="P382">
        <f t="shared" si="67"/>
        <v>-185</v>
      </c>
      <c r="Q382">
        <f t="shared" si="68"/>
        <v>-235</v>
      </c>
      <c r="R382">
        <f t="shared" si="69"/>
        <v>-535</v>
      </c>
      <c r="S382">
        <f t="shared" si="70"/>
        <v>-50</v>
      </c>
      <c r="T382">
        <f t="shared" si="71"/>
        <v>-350</v>
      </c>
      <c r="U382">
        <f t="shared" si="72"/>
        <v>-300</v>
      </c>
      <c r="V382" s="9">
        <f t="shared" si="77"/>
        <v>133</v>
      </c>
      <c r="W382" s="9">
        <f t="shared" si="77"/>
        <v>52</v>
      </c>
      <c r="X382" s="9">
        <f t="shared" si="77"/>
        <v>102</v>
      </c>
      <c r="Y382" s="9">
        <f t="shared" si="77"/>
        <v>402</v>
      </c>
      <c r="Z382" s="9">
        <f t="shared" si="77"/>
        <v>185</v>
      </c>
      <c r="AA382" s="9">
        <f t="shared" si="76"/>
        <v>235</v>
      </c>
      <c r="AB382" s="9">
        <f t="shared" si="76"/>
        <v>535</v>
      </c>
      <c r="AC382" s="9">
        <f t="shared" si="76"/>
        <v>50</v>
      </c>
      <c r="AD382" s="9">
        <f t="shared" si="76"/>
        <v>350</v>
      </c>
      <c r="AE382" s="9">
        <f t="shared" si="76"/>
        <v>300</v>
      </c>
    </row>
    <row r="383" spans="2:31" x14ac:dyDescent="0.25">
      <c r="B383" s="6">
        <v>1654</v>
      </c>
      <c r="C383" s="6">
        <v>1754</v>
      </c>
      <c r="D383" s="6">
        <v>1875</v>
      </c>
      <c r="E383" s="6">
        <v>1857</v>
      </c>
      <c r="F383" s="6">
        <v>2014</v>
      </c>
      <c r="L383">
        <f t="shared" si="63"/>
        <v>-100</v>
      </c>
      <c r="M383">
        <f t="shared" si="64"/>
        <v>-221</v>
      </c>
      <c r="N383">
        <f t="shared" si="65"/>
        <v>-203</v>
      </c>
      <c r="O383">
        <f t="shared" si="66"/>
        <v>-360</v>
      </c>
      <c r="P383">
        <f t="shared" si="67"/>
        <v>-121</v>
      </c>
      <c r="Q383">
        <f t="shared" si="68"/>
        <v>-103</v>
      </c>
      <c r="R383">
        <f t="shared" si="69"/>
        <v>-260</v>
      </c>
      <c r="S383">
        <f t="shared" si="70"/>
        <v>18</v>
      </c>
      <c r="T383">
        <f t="shared" si="71"/>
        <v>-139</v>
      </c>
      <c r="U383">
        <f t="shared" si="72"/>
        <v>-157</v>
      </c>
      <c r="V383" s="9">
        <f t="shared" si="77"/>
        <v>100</v>
      </c>
      <c r="W383" s="9">
        <f t="shared" si="77"/>
        <v>221</v>
      </c>
      <c r="X383" s="9">
        <f t="shared" si="77"/>
        <v>203</v>
      </c>
      <c r="Y383" s="9">
        <f t="shared" si="77"/>
        <v>360</v>
      </c>
      <c r="Z383" s="9">
        <f t="shared" si="77"/>
        <v>121</v>
      </c>
      <c r="AA383" s="9">
        <f t="shared" si="76"/>
        <v>103</v>
      </c>
      <c r="AB383" s="9">
        <f t="shared" si="76"/>
        <v>260</v>
      </c>
      <c r="AC383" s="9">
        <f t="shared" si="76"/>
        <v>18</v>
      </c>
      <c r="AD383" s="9">
        <f t="shared" si="76"/>
        <v>139</v>
      </c>
      <c r="AE383" s="9">
        <f t="shared" si="76"/>
        <v>157</v>
      </c>
    </row>
    <row r="384" spans="2:31" x14ac:dyDescent="0.25">
      <c r="B384" s="6">
        <v>945</v>
      </c>
      <c r="C384" s="6">
        <v>1008</v>
      </c>
      <c r="D384" s="6">
        <v>1258</v>
      </c>
      <c r="E384" s="6">
        <v>1367</v>
      </c>
      <c r="F384" s="6">
        <f t="shared" si="75"/>
        <v>1667</v>
      </c>
      <c r="L384">
        <f t="shared" si="63"/>
        <v>-63</v>
      </c>
      <c r="M384">
        <f t="shared" si="64"/>
        <v>-313</v>
      </c>
      <c r="N384">
        <f t="shared" si="65"/>
        <v>-422</v>
      </c>
      <c r="O384">
        <f t="shared" si="66"/>
        <v>-722</v>
      </c>
      <c r="P384">
        <f t="shared" si="67"/>
        <v>-250</v>
      </c>
      <c r="Q384">
        <f t="shared" si="68"/>
        <v>-359</v>
      </c>
      <c r="R384">
        <f t="shared" si="69"/>
        <v>-659</v>
      </c>
      <c r="S384">
        <f t="shared" si="70"/>
        <v>-109</v>
      </c>
      <c r="T384">
        <f t="shared" si="71"/>
        <v>-409</v>
      </c>
      <c r="U384">
        <f t="shared" si="72"/>
        <v>-300</v>
      </c>
      <c r="V384" s="9">
        <f t="shared" si="77"/>
        <v>63</v>
      </c>
      <c r="W384" s="9">
        <f t="shared" si="77"/>
        <v>313</v>
      </c>
      <c r="X384" s="9">
        <f t="shared" si="77"/>
        <v>422</v>
      </c>
      <c r="Y384" s="9">
        <f t="shared" si="77"/>
        <v>722</v>
      </c>
      <c r="Z384" s="9">
        <f t="shared" si="77"/>
        <v>250</v>
      </c>
      <c r="AA384" s="9">
        <f t="shared" si="76"/>
        <v>359</v>
      </c>
      <c r="AB384" s="9">
        <f t="shared" si="76"/>
        <v>659</v>
      </c>
      <c r="AC384" s="9">
        <f t="shared" si="76"/>
        <v>109</v>
      </c>
      <c r="AD384" s="9">
        <f t="shared" si="76"/>
        <v>409</v>
      </c>
      <c r="AE384" s="9">
        <f t="shared" si="76"/>
        <v>300</v>
      </c>
    </row>
    <row r="385" spans="2:31" x14ac:dyDescent="0.25">
      <c r="B385" s="6">
        <v>1431</v>
      </c>
      <c r="C385" s="6">
        <v>1580</v>
      </c>
      <c r="D385" s="6">
        <v>1700</v>
      </c>
      <c r="E385" s="6">
        <v>1894</v>
      </c>
      <c r="F385" s="6">
        <f t="shared" si="75"/>
        <v>2194</v>
      </c>
      <c r="L385">
        <f t="shared" ref="L385:L448" si="78">B385-C385</f>
        <v>-149</v>
      </c>
      <c r="M385">
        <f t="shared" ref="M385:M448" si="79">B385-D385</f>
        <v>-269</v>
      </c>
      <c r="N385">
        <f t="shared" ref="N385:N448" si="80">B385-E385</f>
        <v>-463</v>
      </c>
      <c r="O385">
        <f t="shared" ref="O385:O448" si="81">B385-F385</f>
        <v>-763</v>
      </c>
      <c r="P385">
        <f t="shared" ref="P385:P448" si="82">C385-D385</f>
        <v>-120</v>
      </c>
      <c r="Q385">
        <f t="shared" ref="Q385:Q448" si="83">C385-E385</f>
        <v>-314</v>
      </c>
      <c r="R385">
        <f t="shared" ref="R385:R448" si="84">C385-F385</f>
        <v>-614</v>
      </c>
      <c r="S385">
        <f t="shared" ref="S385:S448" si="85">D385-E385</f>
        <v>-194</v>
      </c>
      <c r="T385">
        <f t="shared" ref="T385:T448" si="86">D385-F385</f>
        <v>-494</v>
      </c>
      <c r="U385">
        <f t="shared" ref="U385:U448" si="87">E385-F385</f>
        <v>-300</v>
      </c>
      <c r="V385" s="9">
        <f t="shared" si="77"/>
        <v>149</v>
      </c>
      <c r="W385" s="9">
        <f t="shared" si="77"/>
        <v>269</v>
      </c>
      <c r="X385" s="9">
        <f t="shared" si="77"/>
        <v>463</v>
      </c>
      <c r="Y385" s="9">
        <f t="shared" si="77"/>
        <v>763</v>
      </c>
      <c r="Z385" s="9">
        <f t="shared" si="77"/>
        <v>120</v>
      </c>
      <c r="AA385" s="9">
        <f t="shared" si="76"/>
        <v>314</v>
      </c>
      <c r="AB385" s="9">
        <f t="shared" si="76"/>
        <v>614</v>
      </c>
      <c r="AC385" s="9">
        <f t="shared" si="76"/>
        <v>194</v>
      </c>
      <c r="AD385" s="9">
        <f t="shared" si="76"/>
        <v>494</v>
      </c>
      <c r="AE385" s="9">
        <f t="shared" si="76"/>
        <v>300</v>
      </c>
    </row>
    <row r="386" spans="2:31" x14ac:dyDescent="0.25">
      <c r="B386" s="6">
        <v>1195</v>
      </c>
      <c r="C386" s="6">
        <v>987</v>
      </c>
      <c r="D386" s="6">
        <v>1335</v>
      </c>
      <c r="E386" s="6">
        <v>1544</v>
      </c>
      <c r="F386" s="6">
        <v>1798</v>
      </c>
      <c r="L386">
        <f t="shared" si="78"/>
        <v>208</v>
      </c>
      <c r="M386">
        <f t="shared" si="79"/>
        <v>-140</v>
      </c>
      <c r="N386">
        <f t="shared" si="80"/>
        <v>-349</v>
      </c>
      <c r="O386">
        <f t="shared" si="81"/>
        <v>-603</v>
      </c>
      <c r="P386">
        <f t="shared" si="82"/>
        <v>-348</v>
      </c>
      <c r="Q386">
        <f t="shared" si="83"/>
        <v>-557</v>
      </c>
      <c r="R386">
        <f t="shared" si="84"/>
        <v>-811</v>
      </c>
      <c r="S386">
        <f t="shared" si="85"/>
        <v>-209</v>
      </c>
      <c r="T386">
        <f t="shared" si="86"/>
        <v>-463</v>
      </c>
      <c r="U386">
        <f t="shared" si="87"/>
        <v>-254</v>
      </c>
      <c r="V386" s="9">
        <f t="shared" si="77"/>
        <v>208</v>
      </c>
      <c r="W386" s="9">
        <f t="shared" si="77"/>
        <v>140</v>
      </c>
      <c r="X386" s="9">
        <f t="shared" si="77"/>
        <v>349</v>
      </c>
      <c r="Y386" s="9">
        <f t="shared" si="77"/>
        <v>603</v>
      </c>
      <c r="Z386" s="9">
        <f t="shared" si="77"/>
        <v>348</v>
      </c>
      <c r="AA386" s="9">
        <f t="shared" si="76"/>
        <v>557</v>
      </c>
      <c r="AB386" s="9">
        <f t="shared" si="76"/>
        <v>811</v>
      </c>
      <c r="AC386" s="9">
        <f t="shared" si="76"/>
        <v>209</v>
      </c>
      <c r="AD386" s="9">
        <f t="shared" si="76"/>
        <v>463</v>
      </c>
      <c r="AE386" s="9">
        <f t="shared" si="76"/>
        <v>254</v>
      </c>
    </row>
    <row r="387" spans="2:31" x14ac:dyDescent="0.25">
      <c r="B387" s="6">
        <v>1265</v>
      </c>
      <c r="C387" s="6">
        <v>1456</v>
      </c>
      <c r="D387" s="6">
        <v>1654</v>
      </c>
      <c r="E387" s="6">
        <v>1596</v>
      </c>
      <c r="F387" s="6">
        <f t="shared" si="75"/>
        <v>1896</v>
      </c>
      <c r="L387">
        <f t="shared" si="78"/>
        <v>-191</v>
      </c>
      <c r="M387">
        <f t="shared" si="79"/>
        <v>-389</v>
      </c>
      <c r="N387">
        <f t="shared" si="80"/>
        <v>-331</v>
      </c>
      <c r="O387">
        <f t="shared" si="81"/>
        <v>-631</v>
      </c>
      <c r="P387">
        <f t="shared" si="82"/>
        <v>-198</v>
      </c>
      <c r="Q387">
        <f t="shared" si="83"/>
        <v>-140</v>
      </c>
      <c r="R387">
        <f t="shared" si="84"/>
        <v>-440</v>
      </c>
      <c r="S387">
        <f t="shared" si="85"/>
        <v>58</v>
      </c>
      <c r="T387">
        <f t="shared" si="86"/>
        <v>-242</v>
      </c>
      <c r="U387">
        <f t="shared" si="87"/>
        <v>-300</v>
      </c>
      <c r="V387" s="9">
        <f t="shared" si="77"/>
        <v>191</v>
      </c>
      <c r="W387" s="9">
        <f t="shared" si="77"/>
        <v>389</v>
      </c>
      <c r="X387" s="9">
        <f t="shared" si="77"/>
        <v>331</v>
      </c>
      <c r="Y387" s="9">
        <f t="shared" si="77"/>
        <v>631</v>
      </c>
      <c r="Z387" s="9">
        <f t="shared" si="77"/>
        <v>198</v>
      </c>
      <c r="AA387" s="9">
        <f t="shared" si="76"/>
        <v>140</v>
      </c>
      <c r="AB387" s="9">
        <f t="shared" si="76"/>
        <v>440</v>
      </c>
      <c r="AC387" s="9">
        <f t="shared" si="76"/>
        <v>58</v>
      </c>
      <c r="AD387" s="9">
        <f t="shared" si="76"/>
        <v>242</v>
      </c>
      <c r="AE387" s="9">
        <f t="shared" si="76"/>
        <v>300</v>
      </c>
    </row>
    <row r="388" spans="2:31" x14ac:dyDescent="0.25">
      <c r="B388" s="6">
        <v>1269</v>
      </c>
      <c r="C388" s="6">
        <v>1557</v>
      </c>
      <c r="D388" s="6">
        <v>1786</v>
      </c>
      <c r="E388" s="6">
        <v>1573</v>
      </c>
      <c r="F388" s="6">
        <v>1578</v>
      </c>
      <c r="L388">
        <f t="shared" si="78"/>
        <v>-288</v>
      </c>
      <c r="M388">
        <f t="shared" si="79"/>
        <v>-517</v>
      </c>
      <c r="N388">
        <f t="shared" si="80"/>
        <v>-304</v>
      </c>
      <c r="O388">
        <f t="shared" si="81"/>
        <v>-309</v>
      </c>
      <c r="P388">
        <f t="shared" si="82"/>
        <v>-229</v>
      </c>
      <c r="Q388">
        <f t="shared" si="83"/>
        <v>-16</v>
      </c>
      <c r="R388">
        <f t="shared" si="84"/>
        <v>-21</v>
      </c>
      <c r="S388">
        <f t="shared" si="85"/>
        <v>213</v>
      </c>
      <c r="T388">
        <f t="shared" si="86"/>
        <v>208</v>
      </c>
      <c r="U388">
        <f t="shared" si="87"/>
        <v>-5</v>
      </c>
      <c r="V388" s="9">
        <f t="shared" si="77"/>
        <v>288</v>
      </c>
      <c r="W388" s="9">
        <f t="shared" si="77"/>
        <v>517</v>
      </c>
      <c r="X388" s="9">
        <f t="shared" si="77"/>
        <v>304</v>
      </c>
      <c r="Y388" s="9">
        <f t="shared" si="77"/>
        <v>309</v>
      </c>
      <c r="Z388" s="9">
        <f t="shared" si="77"/>
        <v>229</v>
      </c>
      <c r="AA388" s="9">
        <f t="shared" si="76"/>
        <v>16</v>
      </c>
      <c r="AB388" s="9">
        <f t="shared" si="76"/>
        <v>21</v>
      </c>
      <c r="AC388" s="9">
        <f t="shared" si="76"/>
        <v>213</v>
      </c>
      <c r="AD388" s="9">
        <f t="shared" si="76"/>
        <v>208</v>
      </c>
      <c r="AE388" s="9">
        <f t="shared" si="76"/>
        <v>5</v>
      </c>
    </row>
    <row r="389" spans="2:31" x14ac:dyDescent="0.25">
      <c r="B389" s="6">
        <v>1005</v>
      </c>
      <c r="C389" s="6">
        <v>1223</v>
      </c>
      <c r="D389" s="6">
        <v>1648</v>
      </c>
      <c r="E389" s="6">
        <v>1846</v>
      </c>
      <c r="F389" s="6">
        <f t="shared" si="75"/>
        <v>2146</v>
      </c>
      <c r="L389">
        <f t="shared" si="78"/>
        <v>-218</v>
      </c>
      <c r="M389">
        <f t="shared" si="79"/>
        <v>-643</v>
      </c>
      <c r="N389">
        <f t="shared" si="80"/>
        <v>-841</v>
      </c>
      <c r="O389">
        <f t="shared" si="81"/>
        <v>-1141</v>
      </c>
      <c r="P389">
        <f t="shared" si="82"/>
        <v>-425</v>
      </c>
      <c r="Q389">
        <f t="shared" si="83"/>
        <v>-623</v>
      </c>
      <c r="R389">
        <f t="shared" si="84"/>
        <v>-923</v>
      </c>
      <c r="S389">
        <f t="shared" si="85"/>
        <v>-198</v>
      </c>
      <c r="T389">
        <f t="shared" si="86"/>
        <v>-498</v>
      </c>
      <c r="U389">
        <f t="shared" si="87"/>
        <v>-300</v>
      </c>
      <c r="V389" s="9">
        <f t="shared" si="77"/>
        <v>218</v>
      </c>
      <c r="W389" s="9">
        <f t="shared" si="77"/>
        <v>643</v>
      </c>
      <c r="X389" s="9">
        <f t="shared" si="77"/>
        <v>841</v>
      </c>
      <c r="Y389" s="9">
        <f t="shared" si="77"/>
        <v>1141</v>
      </c>
      <c r="Z389" s="9">
        <f t="shared" si="77"/>
        <v>425</v>
      </c>
      <c r="AA389" s="9">
        <f t="shared" si="76"/>
        <v>623</v>
      </c>
      <c r="AB389" s="9">
        <f t="shared" si="76"/>
        <v>923</v>
      </c>
      <c r="AC389" s="9">
        <f t="shared" si="76"/>
        <v>198</v>
      </c>
      <c r="AD389" s="9">
        <f t="shared" si="76"/>
        <v>498</v>
      </c>
      <c r="AE389" s="9">
        <f t="shared" si="76"/>
        <v>300</v>
      </c>
    </row>
    <row r="390" spans="2:31" x14ac:dyDescent="0.25">
      <c r="B390" s="6">
        <v>1489</v>
      </c>
      <c r="C390" s="6">
        <v>1647</v>
      </c>
      <c r="D390" s="6">
        <v>1698</v>
      </c>
      <c r="E390" s="6">
        <v>1754</v>
      </c>
      <c r="F390" s="6">
        <f t="shared" si="75"/>
        <v>2054</v>
      </c>
      <c r="L390">
        <f t="shared" si="78"/>
        <v>-158</v>
      </c>
      <c r="M390">
        <f t="shared" si="79"/>
        <v>-209</v>
      </c>
      <c r="N390">
        <f t="shared" si="80"/>
        <v>-265</v>
      </c>
      <c r="O390">
        <f t="shared" si="81"/>
        <v>-565</v>
      </c>
      <c r="P390">
        <f t="shared" si="82"/>
        <v>-51</v>
      </c>
      <c r="Q390">
        <f t="shared" si="83"/>
        <v>-107</v>
      </c>
      <c r="R390">
        <f t="shared" si="84"/>
        <v>-407</v>
      </c>
      <c r="S390">
        <f t="shared" si="85"/>
        <v>-56</v>
      </c>
      <c r="T390">
        <f t="shared" si="86"/>
        <v>-356</v>
      </c>
      <c r="U390">
        <f t="shared" si="87"/>
        <v>-300</v>
      </c>
      <c r="V390" s="9">
        <f t="shared" si="77"/>
        <v>158</v>
      </c>
      <c r="W390" s="9">
        <f t="shared" si="77"/>
        <v>209</v>
      </c>
      <c r="X390" s="9">
        <f t="shared" si="77"/>
        <v>265</v>
      </c>
      <c r="Y390" s="9">
        <f t="shared" si="77"/>
        <v>565</v>
      </c>
      <c r="Z390" s="9">
        <f t="shared" si="77"/>
        <v>51</v>
      </c>
      <c r="AA390" s="9">
        <f t="shared" si="76"/>
        <v>107</v>
      </c>
      <c r="AB390" s="9">
        <f t="shared" si="76"/>
        <v>407</v>
      </c>
      <c r="AC390" s="9">
        <f t="shared" si="76"/>
        <v>56</v>
      </c>
      <c r="AD390" s="9">
        <f t="shared" si="76"/>
        <v>356</v>
      </c>
      <c r="AE390" s="9">
        <f t="shared" si="76"/>
        <v>300</v>
      </c>
    </row>
    <row r="391" spans="2:31" x14ac:dyDescent="0.25">
      <c r="B391" s="6">
        <v>896</v>
      </c>
      <c r="C391" s="6">
        <v>847</v>
      </c>
      <c r="D391" s="6">
        <v>1000</v>
      </c>
      <c r="E391" s="6">
        <v>1224</v>
      </c>
      <c r="F391" s="6">
        <f t="shared" si="75"/>
        <v>1524</v>
      </c>
      <c r="L391">
        <f t="shared" si="78"/>
        <v>49</v>
      </c>
      <c r="M391">
        <f t="shared" si="79"/>
        <v>-104</v>
      </c>
      <c r="N391">
        <f t="shared" si="80"/>
        <v>-328</v>
      </c>
      <c r="O391">
        <f t="shared" si="81"/>
        <v>-628</v>
      </c>
      <c r="P391">
        <f t="shared" si="82"/>
        <v>-153</v>
      </c>
      <c r="Q391">
        <f t="shared" si="83"/>
        <v>-377</v>
      </c>
      <c r="R391">
        <f t="shared" si="84"/>
        <v>-677</v>
      </c>
      <c r="S391">
        <f t="shared" si="85"/>
        <v>-224</v>
      </c>
      <c r="T391">
        <f t="shared" si="86"/>
        <v>-524</v>
      </c>
      <c r="U391">
        <f t="shared" si="87"/>
        <v>-300</v>
      </c>
      <c r="V391" s="9">
        <f t="shared" si="77"/>
        <v>49</v>
      </c>
      <c r="W391" s="9">
        <f t="shared" si="77"/>
        <v>104</v>
      </c>
      <c r="X391" s="9">
        <f t="shared" si="77"/>
        <v>328</v>
      </c>
      <c r="Y391" s="9">
        <f t="shared" si="77"/>
        <v>628</v>
      </c>
      <c r="Z391" s="9">
        <f t="shared" si="77"/>
        <v>153</v>
      </c>
      <c r="AA391" s="9">
        <f t="shared" si="76"/>
        <v>377</v>
      </c>
      <c r="AB391" s="9">
        <f t="shared" si="76"/>
        <v>677</v>
      </c>
      <c r="AC391" s="9">
        <f t="shared" si="76"/>
        <v>224</v>
      </c>
      <c r="AD391" s="9">
        <f t="shared" si="76"/>
        <v>524</v>
      </c>
      <c r="AE391" s="9">
        <f t="shared" si="76"/>
        <v>300</v>
      </c>
    </row>
    <row r="392" spans="2:31" x14ac:dyDescent="0.25">
      <c r="B392" s="6">
        <v>1378</v>
      </c>
      <c r="C392" s="6">
        <v>1125</v>
      </c>
      <c r="D392" s="6">
        <v>1456</v>
      </c>
      <c r="E392" s="6">
        <v>1547</v>
      </c>
      <c r="F392" s="6">
        <f t="shared" si="75"/>
        <v>1847</v>
      </c>
      <c r="L392">
        <f t="shared" si="78"/>
        <v>253</v>
      </c>
      <c r="M392">
        <f t="shared" si="79"/>
        <v>-78</v>
      </c>
      <c r="N392">
        <f t="shared" si="80"/>
        <v>-169</v>
      </c>
      <c r="O392">
        <f t="shared" si="81"/>
        <v>-469</v>
      </c>
      <c r="P392">
        <f t="shared" si="82"/>
        <v>-331</v>
      </c>
      <c r="Q392">
        <f t="shared" si="83"/>
        <v>-422</v>
      </c>
      <c r="R392">
        <f t="shared" si="84"/>
        <v>-722</v>
      </c>
      <c r="S392">
        <f t="shared" si="85"/>
        <v>-91</v>
      </c>
      <c r="T392">
        <f t="shared" si="86"/>
        <v>-391</v>
      </c>
      <c r="U392">
        <f t="shared" si="87"/>
        <v>-300</v>
      </c>
      <c r="V392" s="9">
        <f t="shared" si="77"/>
        <v>253</v>
      </c>
      <c r="W392" s="9">
        <f t="shared" si="77"/>
        <v>78</v>
      </c>
      <c r="X392" s="9">
        <f t="shared" si="77"/>
        <v>169</v>
      </c>
      <c r="Y392" s="9">
        <f t="shared" si="77"/>
        <v>469</v>
      </c>
      <c r="Z392" s="9">
        <f t="shared" si="77"/>
        <v>331</v>
      </c>
      <c r="AA392" s="9">
        <f t="shared" si="76"/>
        <v>422</v>
      </c>
      <c r="AB392" s="9">
        <f t="shared" si="76"/>
        <v>722</v>
      </c>
      <c r="AC392" s="9">
        <f t="shared" si="76"/>
        <v>91</v>
      </c>
      <c r="AD392" s="9">
        <f t="shared" si="76"/>
        <v>391</v>
      </c>
      <c r="AE392" s="9">
        <f t="shared" si="76"/>
        <v>300</v>
      </c>
    </row>
    <row r="393" spans="2:31" x14ac:dyDescent="0.25">
      <c r="B393" s="6">
        <v>1264</v>
      </c>
      <c r="C393" s="6">
        <v>1564</v>
      </c>
      <c r="D393" s="6">
        <v>1892</v>
      </c>
      <c r="E393" s="6">
        <v>1958</v>
      </c>
      <c r="F393" s="6">
        <v>2048</v>
      </c>
      <c r="L393">
        <f t="shared" si="78"/>
        <v>-300</v>
      </c>
      <c r="M393">
        <f t="shared" si="79"/>
        <v>-628</v>
      </c>
      <c r="N393">
        <f t="shared" si="80"/>
        <v>-694</v>
      </c>
      <c r="O393">
        <f t="shared" si="81"/>
        <v>-784</v>
      </c>
      <c r="P393">
        <f t="shared" si="82"/>
        <v>-328</v>
      </c>
      <c r="Q393">
        <f t="shared" si="83"/>
        <v>-394</v>
      </c>
      <c r="R393">
        <f t="shared" si="84"/>
        <v>-484</v>
      </c>
      <c r="S393">
        <f t="shared" si="85"/>
        <v>-66</v>
      </c>
      <c r="T393">
        <f t="shared" si="86"/>
        <v>-156</v>
      </c>
      <c r="U393">
        <f t="shared" si="87"/>
        <v>-90</v>
      </c>
      <c r="V393" s="9">
        <f t="shared" si="77"/>
        <v>300</v>
      </c>
      <c r="W393" s="9">
        <f t="shared" si="77"/>
        <v>628</v>
      </c>
      <c r="X393" s="9">
        <f t="shared" si="77"/>
        <v>694</v>
      </c>
      <c r="Y393" s="9">
        <f t="shared" si="77"/>
        <v>784</v>
      </c>
      <c r="Z393" s="9">
        <f t="shared" si="77"/>
        <v>328</v>
      </c>
      <c r="AA393" s="9">
        <f t="shared" si="76"/>
        <v>394</v>
      </c>
      <c r="AB393" s="9">
        <f t="shared" si="76"/>
        <v>484</v>
      </c>
      <c r="AC393" s="9">
        <f t="shared" si="76"/>
        <v>66</v>
      </c>
      <c r="AD393" s="9">
        <f t="shared" si="76"/>
        <v>156</v>
      </c>
      <c r="AE393" s="9">
        <f t="shared" si="76"/>
        <v>90</v>
      </c>
    </row>
    <row r="394" spans="2:31" x14ac:dyDescent="0.25">
      <c r="B394" s="6">
        <v>1845</v>
      </c>
      <c r="C394" s="6">
        <v>1754</v>
      </c>
      <c r="D394" s="6">
        <v>1954</v>
      </c>
      <c r="E394" s="6">
        <v>2214</v>
      </c>
      <c r="F394" s="6">
        <f t="shared" si="75"/>
        <v>2514</v>
      </c>
      <c r="L394">
        <f t="shared" si="78"/>
        <v>91</v>
      </c>
      <c r="M394">
        <f t="shared" si="79"/>
        <v>-109</v>
      </c>
      <c r="N394">
        <f t="shared" si="80"/>
        <v>-369</v>
      </c>
      <c r="O394">
        <f t="shared" si="81"/>
        <v>-669</v>
      </c>
      <c r="P394">
        <f t="shared" si="82"/>
        <v>-200</v>
      </c>
      <c r="Q394">
        <f t="shared" si="83"/>
        <v>-460</v>
      </c>
      <c r="R394">
        <f t="shared" si="84"/>
        <v>-760</v>
      </c>
      <c r="S394">
        <f t="shared" si="85"/>
        <v>-260</v>
      </c>
      <c r="T394">
        <f t="shared" si="86"/>
        <v>-560</v>
      </c>
      <c r="U394">
        <f t="shared" si="87"/>
        <v>-300</v>
      </c>
      <c r="V394" s="9">
        <f t="shared" si="77"/>
        <v>91</v>
      </c>
      <c r="W394" s="9">
        <f t="shared" si="77"/>
        <v>109</v>
      </c>
      <c r="X394" s="9">
        <f t="shared" si="77"/>
        <v>369</v>
      </c>
      <c r="Y394" s="9">
        <f t="shared" si="77"/>
        <v>669</v>
      </c>
      <c r="Z394" s="9">
        <f t="shared" si="77"/>
        <v>200</v>
      </c>
      <c r="AA394" s="9">
        <f t="shared" si="76"/>
        <v>460</v>
      </c>
      <c r="AB394" s="9">
        <f t="shared" si="76"/>
        <v>760</v>
      </c>
      <c r="AC394" s="9">
        <f t="shared" si="76"/>
        <v>260</v>
      </c>
      <c r="AD394" s="9">
        <f t="shared" si="76"/>
        <v>560</v>
      </c>
      <c r="AE394" s="9">
        <f t="shared" si="76"/>
        <v>300</v>
      </c>
    </row>
    <row r="395" spans="2:31" x14ac:dyDescent="0.25">
      <c r="B395" s="6">
        <v>1672</v>
      </c>
      <c r="C395" s="6">
        <v>1640</v>
      </c>
      <c r="D395" s="6">
        <v>1789</v>
      </c>
      <c r="E395" s="6">
        <v>1945</v>
      </c>
      <c r="F395" s="6">
        <f t="shared" si="75"/>
        <v>2245</v>
      </c>
      <c r="L395">
        <f t="shared" si="78"/>
        <v>32</v>
      </c>
      <c r="M395">
        <f t="shared" si="79"/>
        <v>-117</v>
      </c>
      <c r="N395">
        <f t="shared" si="80"/>
        <v>-273</v>
      </c>
      <c r="O395">
        <f t="shared" si="81"/>
        <v>-573</v>
      </c>
      <c r="P395">
        <f t="shared" si="82"/>
        <v>-149</v>
      </c>
      <c r="Q395">
        <f t="shared" si="83"/>
        <v>-305</v>
      </c>
      <c r="R395">
        <f t="shared" si="84"/>
        <v>-605</v>
      </c>
      <c r="S395">
        <f t="shared" si="85"/>
        <v>-156</v>
      </c>
      <c r="T395">
        <f t="shared" si="86"/>
        <v>-456</v>
      </c>
      <c r="U395">
        <f t="shared" si="87"/>
        <v>-300</v>
      </c>
      <c r="V395" s="9">
        <f t="shared" si="77"/>
        <v>32</v>
      </c>
      <c r="W395" s="9">
        <f t="shared" si="77"/>
        <v>117</v>
      </c>
      <c r="X395" s="9">
        <f t="shared" si="77"/>
        <v>273</v>
      </c>
      <c r="Y395" s="9">
        <f t="shared" si="77"/>
        <v>573</v>
      </c>
      <c r="Z395" s="9">
        <f t="shared" si="77"/>
        <v>149</v>
      </c>
      <c r="AA395" s="9">
        <f t="shared" si="76"/>
        <v>305</v>
      </c>
      <c r="AB395" s="9">
        <f t="shared" si="76"/>
        <v>605</v>
      </c>
      <c r="AC395" s="9">
        <f t="shared" si="76"/>
        <v>156</v>
      </c>
      <c r="AD395" s="9">
        <f t="shared" si="76"/>
        <v>456</v>
      </c>
      <c r="AE395" s="9">
        <f t="shared" si="76"/>
        <v>300</v>
      </c>
    </row>
    <row r="396" spans="2:31" x14ac:dyDescent="0.25">
      <c r="B396" s="6">
        <v>1647</v>
      </c>
      <c r="C396" s="6">
        <v>1571</v>
      </c>
      <c r="D396" s="6">
        <v>1664</v>
      </c>
      <c r="E396" s="6">
        <v>2647</v>
      </c>
      <c r="F396" s="6">
        <f t="shared" si="75"/>
        <v>2947</v>
      </c>
      <c r="L396">
        <f t="shared" si="78"/>
        <v>76</v>
      </c>
      <c r="M396">
        <f t="shared" si="79"/>
        <v>-17</v>
      </c>
      <c r="N396">
        <f t="shared" si="80"/>
        <v>-1000</v>
      </c>
      <c r="O396">
        <f t="shared" si="81"/>
        <v>-1300</v>
      </c>
      <c r="P396">
        <f t="shared" si="82"/>
        <v>-93</v>
      </c>
      <c r="Q396">
        <f t="shared" si="83"/>
        <v>-1076</v>
      </c>
      <c r="R396">
        <f t="shared" si="84"/>
        <v>-1376</v>
      </c>
      <c r="S396">
        <f t="shared" si="85"/>
        <v>-983</v>
      </c>
      <c r="T396">
        <f t="shared" si="86"/>
        <v>-1283</v>
      </c>
      <c r="U396">
        <f t="shared" si="87"/>
        <v>-300</v>
      </c>
      <c r="V396" s="9">
        <f t="shared" si="77"/>
        <v>76</v>
      </c>
      <c r="W396" s="9">
        <f t="shared" si="77"/>
        <v>17</v>
      </c>
      <c r="X396" s="9">
        <f t="shared" si="77"/>
        <v>1000</v>
      </c>
      <c r="Y396" s="9">
        <f t="shared" si="77"/>
        <v>1300</v>
      </c>
      <c r="Z396" s="9">
        <f t="shared" si="77"/>
        <v>93</v>
      </c>
      <c r="AA396" s="9">
        <f t="shared" si="76"/>
        <v>1076</v>
      </c>
      <c r="AB396" s="9">
        <f t="shared" si="76"/>
        <v>1376</v>
      </c>
      <c r="AC396" s="9">
        <f t="shared" si="76"/>
        <v>983</v>
      </c>
      <c r="AD396" s="9">
        <f t="shared" si="76"/>
        <v>1283</v>
      </c>
      <c r="AE396" s="9">
        <f t="shared" si="76"/>
        <v>300</v>
      </c>
    </row>
    <row r="397" spans="2:31" x14ac:dyDescent="0.25">
      <c r="B397" s="6">
        <v>1116</v>
      </c>
      <c r="C397" s="6">
        <v>1264</v>
      </c>
      <c r="D397" s="6">
        <v>1269</v>
      </c>
      <c r="E397" s="6">
        <v>1360</v>
      </c>
      <c r="F397" s="6">
        <v>1247</v>
      </c>
      <c r="L397">
        <f t="shared" si="78"/>
        <v>-148</v>
      </c>
      <c r="M397">
        <f t="shared" si="79"/>
        <v>-153</v>
      </c>
      <c r="N397">
        <f t="shared" si="80"/>
        <v>-244</v>
      </c>
      <c r="O397">
        <f t="shared" si="81"/>
        <v>-131</v>
      </c>
      <c r="P397">
        <f t="shared" si="82"/>
        <v>-5</v>
      </c>
      <c r="Q397">
        <f t="shared" si="83"/>
        <v>-96</v>
      </c>
      <c r="R397">
        <f t="shared" si="84"/>
        <v>17</v>
      </c>
      <c r="S397">
        <f t="shared" si="85"/>
        <v>-91</v>
      </c>
      <c r="T397">
        <f t="shared" si="86"/>
        <v>22</v>
      </c>
      <c r="U397">
        <f t="shared" si="87"/>
        <v>113</v>
      </c>
      <c r="V397" s="9">
        <f t="shared" si="77"/>
        <v>148</v>
      </c>
      <c r="W397" s="9">
        <f t="shared" si="77"/>
        <v>153</v>
      </c>
      <c r="X397" s="9">
        <f t="shared" si="77"/>
        <v>244</v>
      </c>
      <c r="Y397" s="9">
        <f t="shared" si="77"/>
        <v>131</v>
      </c>
      <c r="Z397" s="9">
        <f t="shared" si="77"/>
        <v>5</v>
      </c>
      <c r="AA397" s="9">
        <f t="shared" si="76"/>
        <v>96</v>
      </c>
      <c r="AB397" s="9">
        <f t="shared" si="76"/>
        <v>17</v>
      </c>
      <c r="AC397" s="9">
        <f t="shared" si="76"/>
        <v>91</v>
      </c>
      <c r="AD397" s="9">
        <f t="shared" si="76"/>
        <v>22</v>
      </c>
      <c r="AE397" s="9">
        <f t="shared" si="76"/>
        <v>113</v>
      </c>
    </row>
    <row r="398" spans="2:31" x14ac:dyDescent="0.25">
      <c r="B398" s="6">
        <v>1245</v>
      </c>
      <c r="C398" s="6">
        <v>1671</v>
      </c>
      <c r="D398" s="6">
        <v>1883</v>
      </c>
      <c r="E398" s="6">
        <v>2015</v>
      </c>
      <c r="F398" s="6">
        <v>2379</v>
      </c>
      <c r="L398">
        <f t="shared" si="78"/>
        <v>-426</v>
      </c>
      <c r="M398">
        <f t="shared" si="79"/>
        <v>-638</v>
      </c>
      <c r="N398">
        <f t="shared" si="80"/>
        <v>-770</v>
      </c>
      <c r="O398">
        <f t="shared" si="81"/>
        <v>-1134</v>
      </c>
      <c r="P398">
        <f t="shared" si="82"/>
        <v>-212</v>
      </c>
      <c r="Q398">
        <f t="shared" si="83"/>
        <v>-344</v>
      </c>
      <c r="R398">
        <f t="shared" si="84"/>
        <v>-708</v>
      </c>
      <c r="S398">
        <f t="shared" si="85"/>
        <v>-132</v>
      </c>
      <c r="T398">
        <f t="shared" si="86"/>
        <v>-496</v>
      </c>
      <c r="U398">
        <f t="shared" si="87"/>
        <v>-364</v>
      </c>
      <c r="V398" s="9">
        <f t="shared" si="77"/>
        <v>426</v>
      </c>
      <c r="W398" s="9">
        <f t="shared" si="77"/>
        <v>638</v>
      </c>
      <c r="X398" s="9">
        <f t="shared" si="77"/>
        <v>770</v>
      </c>
      <c r="Y398" s="9">
        <f t="shared" si="77"/>
        <v>1134</v>
      </c>
      <c r="Z398" s="9">
        <f t="shared" si="77"/>
        <v>212</v>
      </c>
      <c r="AA398" s="9">
        <f t="shared" si="76"/>
        <v>344</v>
      </c>
      <c r="AB398" s="9">
        <f t="shared" si="76"/>
        <v>708</v>
      </c>
      <c r="AC398" s="9">
        <f t="shared" si="76"/>
        <v>132</v>
      </c>
      <c r="AD398" s="9">
        <f t="shared" si="76"/>
        <v>496</v>
      </c>
      <c r="AE398" s="9">
        <f t="shared" si="76"/>
        <v>364</v>
      </c>
    </row>
    <row r="399" spans="2:31" x14ac:dyDescent="0.25">
      <c r="B399" s="6">
        <v>1448</v>
      </c>
      <c r="C399" s="6">
        <v>1647</v>
      </c>
      <c r="D399" s="6">
        <v>1468</v>
      </c>
      <c r="E399" s="6">
        <v>1564</v>
      </c>
      <c r="F399" s="6">
        <f t="shared" si="75"/>
        <v>1864</v>
      </c>
      <c r="L399">
        <f t="shared" si="78"/>
        <v>-199</v>
      </c>
      <c r="M399">
        <f t="shared" si="79"/>
        <v>-20</v>
      </c>
      <c r="N399">
        <f t="shared" si="80"/>
        <v>-116</v>
      </c>
      <c r="O399">
        <f t="shared" si="81"/>
        <v>-416</v>
      </c>
      <c r="P399">
        <f t="shared" si="82"/>
        <v>179</v>
      </c>
      <c r="Q399">
        <f t="shared" si="83"/>
        <v>83</v>
      </c>
      <c r="R399">
        <f t="shared" si="84"/>
        <v>-217</v>
      </c>
      <c r="S399">
        <f t="shared" si="85"/>
        <v>-96</v>
      </c>
      <c r="T399">
        <f t="shared" si="86"/>
        <v>-396</v>
      </c>
      <c r="U399">
        <f t="shared" si="87"/>
        <v>-300</v>
      </c>
      <c r="V399" s="9">
        <f t="shared" si="77"/>
        <v>199</v>
      </c>
      <c r="W399" s="9">
        <f t="shared" si="77"/>
        <v>20</v>
      </c>
      <c r="X399" s="9">
        <f t="shared" si="77"/>
        <v>116</v>
      </c>
      <c r="Y399" s="9">
        <f t="shared" si="77"/>
        <v>416</v>
      </c>
      <c r="Z399" s="9">
        <f t="shared" si="77"/>
        <v>179</v>
      </c>
      <c r="AA399" s="9">
        <f t="shared" si="76"/>
        <v>83</v>
      </c>
      <c r="AB399" s="9">
        <f t="shared" si="76"/>
        <v>217</v>
      </c>
      <c r="AC399" s="9">
        <f t="shared" si="76"/>
        <v>96</v>
      </c>
      <c r="AD399" s="9">
        <f t="shared" si="76"/>
        <v>396</v>
      </c>
      <c r="AE399" s="9">
        <f t="shared" si="76"/>
        <v>300</v>
      </c>
    </row>
    <row r="400" spans="2:31" x14ac:dyDescent="0.25">
      <c r="B400" s="6">
        <v>1557</v>
      </c>
      <c r="C400" s="6">
        <v>1455</v>
      </c>
      <c r="D400" s="6">
        <v>1897</v>
      </c>
      <c r="E400" s="6">
        <v>1984</v>
      </c>
      <c r="F400" s="6">
        <f t="shared" si="75"/>
        <v>2284</v>
      </c>
      <c r="L400">
        <f t="shared" si="78"/>
        <v>102</v>
      </c>
      <c r="M400">
        <f t="shared" si="79"/>
        <v>-340</v>
      </c>
      <c r="N400">
        <f t="shared" si="80"/>
        <v>-427</v>
      </c>
      <c r="O400">
        <f t="shared" si="81"/>
        <v>-727</v>
      </c>
      <c r="P400">
        <f t="shared" si="82"/>
        <v>-442</v>
      </c>
      <c r="Q400">
        <f t="shared" si="83"/>
        <v>-529</v>
      </c>
      <c r="R400">
        <f t="shared" si="84"/>
        <v>-829</v>
      </c>
      <c r="S400">
        <f t="shared" si="85"/>
        <v>-87</v>
      </c>
      <c r="T400">
        <f t="shared" si="86"/>
        <v>-387</v>
      </c>
      <c r="U400">
        <f t="shared" si="87"/>
        <v>-300</v>
      </c>
      <c r="V400" s="9">
        <f t="shared" si="77"/>
        <v>102</v>
      </c>
      <c r="W400" s="9">
        <f t="shared" si="77"/>
        <v>340</v>
      </c>
      <c r="X400" s="9">
        <f t="shared" si="77"/>
        <v>427</v>
      </c>
      <c r="Y400" s="9">
        <f t="shared" si="77"/>
        <v>727</v>
      </c>
      <c r="Z400" s="9">
        <f t="shared" si="77"/>
        <v>442</v>
      </c>
      <c r="AA400" s="9">
        <f t="shared" si="76"/>
        <v>529</v>
      </c>
      <c r="AB400" s="9">
        <f t="shared" si="76"/>
        <v>829</v>
      </c>
      <c r="AC400" s="9">
        <f t="shared" si="76"/>
        <v>87</v>
      </c>
      <c r="AD400" s="9">
        <f t="shared" si="76"/>
        <v>387</v>
      </c>
      <c r="AE400" s="9">
        <f t="shared" si="76"/>
        <v>300</v>
      </c>
    </row>
    <row r="401" spans="2:31" x14ac:dyDescent="0.25">
      <c r="B401" s="6">
        <v>1094</v>
      </c>
      <c r="C401" s="6">
        <v>1354</v>
      </c>
      <c r="D401" s="6">
        <v>1456</v>
      </c>
      <c r="E401" s="6">
        <v>1567</v>
      </c>
      <c r="F401" s="6">
        <v>1480</v>
      </c>
      <c r="L401">
        <f t="shared" si="78"/>
        <v>-260</v>
      </c>
      <c r="M401">
        <f t="shared" si="79"/>
        <v>-362</v>
      </c>
      <c r="N401">
        <f t="shared" si="80"/>
        <v>-473</v>
      </c>
      <c r="O401">
        <f t="shared" si="81"/>
        <v>-386</v>
      </c>
      <c r="P401">
        <f t="shared" si="82"/>
        <v>-102</v>
      </c>
      <c r="Q401">
        <f t="shared" si="83"/>
        <v>-213</v>
      </c>
      <c r="R401">
        <f t="shared" si="84"/>
        <v>-126</v>
      </c>
      <c r="S401">
        <f t="shared" si="85"/>
        <v>-111</v>
      </c>
      <c r="T401">
        <f t="shared" si="86"/>
        <v>-24</v>
      </c>
      <c r="U401">
        <f t="shared" si="87"/>
        <v>87</v>
      </c>
      <c r="V401" s="9">
        <f t="shared" si="77"/>
        <v>260</v>
      </c>
      <c r="W401" s="9">
        <f t="shared" si="77"/>
        <v>362</v>
      </c>
      <c r="X401" s="9">
        <f t="shared" si="77"/>
        <v>473</v>
      </c>
      <c r="Y401" s="9">
        <f t="shared" si="77"/>
        <v>386</v>
      </c>
      <c r="Z401" s="9">
        <f t="shared" si="77"/>
        <v>102</v>
      </c>
      <c r="AA401" s="9">
        <f t="shared" si="76"/>
        <v>213</v>
      </c>
      <c r="AB401" s="9">
        <f t="shared" si="76"/>
        <v>126</v>
      </c>
      <c r="AC401" s="9">
        <f t="shared" si="76"/>
        <v>111</v>
      </c>
      <c r="AD401" s="9">
        <f t="shared" si="76"/>
        <v>24</v>
      </c>
      <c r="AE401" s="9">
        <f t="shared" si="76"/>
        <v>87</v>
      </c>
    </row>
    <row r="402" spans="2:31" x14ac:dyDescent="0.25">
      <c r="B402" s="6">
        <v>1246</v>
      </c>
      <c r="C402" s="6">
        <v>1642</v>
      </c>
      <c r="D402" s="6">
        <v>1689</v>
      </c>
      <c r="E402" s="6">
        <v>1748</v>
      </c>
      <c r="F402" s="6">
        <f t="shared" si="75"/>
        <v>2048</v>
      </c>
      <c r="L402">
        <f t="shared" si="78"/>
        <v>-396</v>
      </c>
      <c r="M402">
        <f t="shared" si="79"/>
        <v>-443</v>
      </c>
      <c r="N402">
        <f t="shared" si="80"/>
        <v>-502</v>
      </c>
      <c r="O402">
        <f t="shared" si="81"/>
        <v>-802</v>
      </c>
      <c r="P402">
        <f t="shared" si="82"/>
        <v>-47</v>
      </c>
      <c r="Q402">
        <f t="shared" si="83"/>
        <v>-106</v>
      </c>
      <c r="R402">
        <f t="shared" si="84"/>
        <v>-406</v>
      </c>
      <c r="S402">
        <f t="shared" si="85"/>
        <v>-59</v>
      </c>
      <c r="T402">
        <f t="shared" si="86"/>
        <v>-359</v>
      </c>
      <c r="U402">
        <f t="shared" si="87"/>
        <v>-300</v>
      </c>
      <c r="V402" s="9">
        <f t="shared" si="77"/>
        <v>396</v>
      </c>
      <c r="W402" s="9">
        <f t="shared" si="77"/>
        <v>443</v>
      </c>
      <c r="X402" s="9">
        <f t="shared" si="77"/>
        <v>502</v>
      </c>
      <c r="Y402" s="9">
        <f t="shared" si="77"/>
        <v>802</v>
      </c>
      <c r="Z402" s="9">
        <f t="shared" si="77"/>
        <v>47</v>
      </c>
      <c r="AA402" s="9">
        <f t="shared" si="76"/>
        <v>106</v>
      </c>
      <c r="AB402" s="9">
        <f t="shared" si="76"/>
        <v>406</v>
      </c>
      <c r="AC402" s="9">
        <f t="shared" si="76"/>
        <v>59</v>
      </c>
      <c r="AD402" s="9">
        <f t="shared" si="76"/>
        <v>359</v>
      </c>
      <c r="AE402" s="9">
        <f t="shared" si="76"/>
        <v>300</v>
      </c>
    </row>
    <row r="403" spans="2:31" x14ac:dyDescent="0.25">
      <c r="B403" s="6">
        <v>1579</v>
      </c>
      <c r="C403" s="6">
        <v>1597</v>
      </c>
      <c r="D403" s="6">
        <v>1800</v>
      </c>
      <c r="E403" s="6">
        <v>1946</v>
      </c>
      <c r="F403" s="6">
        <v>247</v>
      </c>
      <c r="L403">
        <f t="shared" si="78"/>
        <v>-18</v>
      </c>
      <c r="M403">
        <f t="shared" si="79"/>
        <v>-221</v>
      </c>
      <c r="N403">
        <f t="shared" si="80"/>
        <v>-367</v>
      </c>
      <c r="O403">
        <f t="shared" si="81"/>
        <v>1332</v>
      </c>
      <c r="P403">
        <f t="shared" si="82"/>
        <v>-203</v>
      </c>
      <c r="Q403">
        <f t="shared" si="83"/>
        <v>-349</v>
      </c>
      <c r="R403">
        <f t="shared" si="84"/>
        <v>1350</v>
      </c>
      <c r="S403">
        <f t="shared" si="85"/>
        <v>-146</v>
      </c>
      <c r="T403">
        <f t="shared" si="86"/>
        <v>1553</v>
      </c>
      <c r="U403">
        <f t="shared" si="87"/>
        <v>1699</v>
      </c>
      <c r="V403" s="9">
        <f t="shared" si="77"/>
        <v>18</v>
      </c>
      <c r="W403" s="9">
        <f t="shared" si="77"/>
        <v>221</v>
      </c>
      <c r="X403" s="9">
        <f t="shared" si="77"/>
        <v>367</v>
      </c>
      <c r="Y403" s="9">
        <f t="shared" si="77"/>
        <v>1332</v>
      </c>
      <c r="Z403" s="9">
        <f t="shared" si="77"/>
        <v>203</v>
      </c>
      <c r="AA403" s="9">
        <f t="shared" si="76"/>
        <v>349</v>
      </c>
      <c r="AB403" s="9">
        <f t="shared" si="76"/>
        <v>1350</v>
      </c>
      <c r="AC403" s="9">
        <f t="shared" si="76"/>
        <v>146</v>
      </c>
      <c r="AD403" s="9">
        <f t="shared" si="76"/>
        <v>1553</v>
      </c>
      <c r="AE403" s="9">
        <f t="shared" si="76"/>
        <v>1699</v>
      </c>
    </row>
    <row r="404" spans="2:31" x14ac:dyDescent="0.25">
      <c r="B404" s="6">
        <v>1649</v>
      </c>
      <c r="C404" s="6">
        <v>1785</v>
      </c>
      <c r="D404" s="6">
        <v>1784</v>
      </c>
      <c r="E404" s="6">
        <v>1834</v>
      </c>
      <c r="F404" s="6">
        <f t="shared" si="75"/>
        <v>2134</v>
      </c>
      <c r="L404">
        <f t="shared" si="78"/>
        <v>-136</v>
      </c>
      <c r="M404">
        <f t="shared" si="79"/>
        <v>-135</v>
      </c>
      <c r="N404">
        <f t="shared" si="80"/>
        <v>-185</v>
      </c>
      <c r="O404">
        <f t="shared" si="81"/>
        <v>-485</v>
      </c>
      <c r="P404">
        <f t="shared" si="82"/>
        <v>1</v>
      </c>
      <c r="Q404">
        <f t="shared" si="83"/>
        <v>-49</v>
      </c>
      <c r="R404">
        <f t="shared" si="84"/>
        <v>-349</v>
      </c>
      <c r="S404">
        <f t="shared" si="85"/>
        <v>-50</v>
      </c>
      <c r="T404">
        <f t="shared" si="86"/>
        <v>-350</v>
      </c>
      <c r="U404">
        <f t="shared" si="87"/>
        <v>-300</v>
      </c>
      <c r="V404" s="9">
        <f t="shared" si="77"/>
        <v>136</v>
      </c>
      <c r="W404" s="9">
        <f t="shared" si="77"/>
        <v>135</v>
      </c>
      <c r="X404" s="9">
        <f t="shared" si="77"/>
        <v>185</v>
      </c>
      <c r="Y404" s="9">
        <f t="shared" si="77"/>
        <v>485</v>
      </c>
      <c r="Z404" s="9">
        <f t="shared" si="77"/>
        <v>1</v>
      </c>
      <c r="AA404" s="9">
        <f t="shared" si="76"/>
        <v>49</v>
      </c>
      <c r="AB404" s="9">
        <f t="shared" si="76"/>
        <v>349</v>
      </c>
      <c r="AC404" s="9">
        <f t="shared" si="76"/>
        <v>50</v>
      </c>
      <c r="AD404" s="9">
        <f t="shared" si="76"/>
        <v>350</v>
      </c>
      <c r="AE404" s="9">
        <f t="shared" si="76"/>
        <v>300</v>
      </c>
    </row>
    <row r="405" spans="2:31" x14ac:dyDescent="0.25">
      <c r="B405" s="6">
        <v>1227</v>
      </c>
      <c r="C405" s="6">
        <v>1389</v>
      </c>
      <c r="D405" s="6">
        <v>1777</v>
      </c>
      <c r="E405" s="6">
        <v>1867</v>
      </c>
      <c r="F405" s="6">
        <f t="shared" si="75"/>
        <v>2167</v>
      </c>
      <c r="L405">
        <f t="shared" si="78"/>
        <v>-162</v>
      </c>
      <c r="M405">
        <f t="shared" si="79"/>
        <v>-550</v>
      </c>
      <c r="N405">
        <f t="shared" si="80"/>
        <v>-640</v>
      </c>
      <c r="O405">
        <f t="shared" si="81"/>
        <v>-940</v>
      </c>
      <c r="P405">
        <f t="shared" si="82"/>
        <v>-388</v>
      </c>
      <c r="Q405">
        <f t="shared" si="83"/>
        <v>-478</v>
      </c>
      <c r="R405">
        <f t="shared" si="84"/>
        <v>-778</v>
      </c>
      <c r="S405">
        <f t="shared" si="85"/>
        <v>-90</v>
      </c>
      <c r="T405">
        <f t="shared" si="86"/>
        <v>-390</v>
      </c>
      <c r="U405">
        <f t="shared" si="87"/>
        <v>-300</v>
      </c>
      <c r="V405" s="9">
        <f t="shared" si="77"/>
        <v>162</v>
      </c>
      <c r="W405" s="9">
        <f t="shared" si="77"/>
        <v>550</v>
      </c>
      <c r="X405" s="9">
        <f t="shared" si="77"/>
        <v>640</v>
      </c>
      <c r="Y405" s="9">
        <f t="shared" si="77"/>
        <v>940</v>
      </c>
      <c r="Z405" s="9">
        <f t="shared" si="77"/>
        <v>388</v>
      </c>
      <c r="AA405" s="9">
        <f t="shared" si="76"/>
        <v>478</v>
      </c>
      <c r="AB405" s="9">
        <f t="shared" si="76"/>
        <v>778</v>
      </c>
      <c r="AC405" s="9">
        <f t="shared" si="76"/>
        <v>90</v>
      </c>
      <c r="AD405" s="9">
        <f t="shared" si="76"/>
        <v>390</v>
      </c>
      <c r="AE405" s="9">
        <f t="shared" si="76"/>
        <v>300</v>
      </c>
    </row>
    <row r="406" spans="2:31" x14ac:dyDescent="0.25">
      <c r="B406" s="6">
        <v>1671</v>
      </c>
      <c r="C406" s="6">
        <v>1800</v>
      </c>
      <c r="D406" s="6">
        <v>1456</v>
      </c>
      <c r="E406" s="6">
        <v>1679</v>
      </c>
      <c r="F406" s="6">
        <v>1857</v>
      </c>
      <c r="L406">
        <f t="shared" si="78"/>
        <v>-129</v>
      </c>
      <c r="M406">
        <f t="shared" si="79"/>
        <v>215</v>
      </c>
      <c r="N406">
        <f t="shared" si="80"/>
        <v>-8</v>
      </c>
      <c r="O406">
        <f t="shared" si="81"/>
        <v>-186</v>
      </c>
      <c r="P406">
        <f t="shared" si="82"/>
        <v>344</v>
      </c>
      <c r="Q406">
        <f t="shared" si="83"/>
        <v>121</v>
      </c>
      <c r="R406">
        <f t="shared" si="84"/>
        <v>-57</v>
      </c>
      <c r="S406">
        <f t="shared" si="85"/>
        <v>-223</v>
      </c>
      <c r="T406">
        <f t="shared" si="86"/>
        <v>-401</v>
      </c>
      <c r="U406">
        <f t="shared" si="87"/>
        <v>-178</v>
      </c>
      <c r="V406" s="9">
        <f t="shared" si="77"/>
        <v>129</v>
      </c>
      <c r="W406" s="9">
        <f t="shared" si="77"/>
        <v>215</v>
      </c>
      <c r="X406" s="9">
        <f t="shared" si="77"/>
        <v>8</v>
      </c>
      <c r="Y406" s="9">
        <f t="shared" si="77"/>
        <v>186</v>
      </c>
      <c r="Z406" s="9">
        <f t="shared" si="77"/>
        <v>344</v>
      </c>
      <c r="AA406" s="9">
        <f t="shared" si="76"/>
        <v>121</v>
      </c>
      <c r="AB406" s="9">
        <f t="shared" si="76"/>
        <v>57</v>
      </c>
      <c r="AC406" s="9">
        <f t="shared" si="76"/>
        <v>223</v>
      </c>
      <c r="AD406" s="9">
        <f t="shared" si="76"/>
        <v>401</v>
      </c>
      <c r="AE406" s="9">
        <f t="shared" si="76"/>
        <v>178</v>
      </c>
    </row>
    <row r="407" spans="2:31" x14ac:dyDescent="0.25">
      <c r="B407" s="6">
        <v>1584</v>
      </c>
      <c r="C407" s="6">
        <v>1904</v>
      </c>
      <c r="D407" s="6">
        <v>2421</v>
      </c>
      <c r="E407" s="6">
        <v>2345</v>
      </c>
      <c r="F407" s="6">
        <f t="shared" si="75"/>
        <v>2645</v>
      </c>
      <c r="L407">
        <f t="shared" si="78"/>
        <v>-320</v>
      </c>
      <c r="M407">
        <f t="shared" si="79"/>
        <v>-837</v>
      </c>
      <c r="N407">
        <f t="shared" si="80"/>
        <v>-761</v>
      </c>
      <c r="O407">
        <f t="shared" si="81"/>
        <v>-1061</v>
      </c>
      <c r="P407">
        <f t="shared" si="82"/>
        <v>-517</v>
      </c>
      <c r="Q407">
        <f t="shared" si="83"/>
        <v>-441</v>
      </c>
      <c r="R407">
        <f t="shared" si="84"/>
        <v>-741</v>
      </c>
      <c r="S407">
        <f t="shared" si="85"/>
        <v>76</v>
      </c>
      <c r="T407">
        <f t="shared" si="86"/>
        <v>-224</v>
      </c>
      <c r="U407">
        <f t="shared" si="87"/>
        <v>-300</v>
      </c>
      <c r="V407" s="9">
        <f t="shared" si="77"/>
        <v>320</v>
      </c>
      <c r="W407" s="9">
        <f t="shared" si="77"/>
        <v>837</v>
      </c>
      <c r="X407" s="9">
        <f t="shared" si="77"/>
        <v>761</v>
      </c>
      <c r="Y407" s="9">
        <f t="shared" si="77"/>
        <v>1061</v>
      </c>
      <c r="Z407" s="9">
        <f t="shared" si="77"/>
        <v>517</v>
      </c>
      <c r="AA407" s="9">
        <f t="shared" si="76"/>
        <v>441</v>
      </c>
      <c r="AB407" s="9">
        <f t="shared" si="76"/>
        <v>741</v>
      </c>
      <c r="AC407" s="9">
        <f t="shared" si="76"/>
        <v>76</v>
      </c>
      <c r="AD407" s="9">
        <f t="shared" si="76"/>
        <v>224</v>
      </c>
      <c r="AE407" s="9">
        <f t="shared" si="76"/>
        <v>300</v>
      </c>
    </row>
    <row r="408" spans="2:31" x14ac:dyDescent="0.25">
      <c r="B408" s="6">
        <v>1791</v>
      </c>
      <c r="C408" s="6">
        <v>1924</v>
      </c>
      <c r="D408" s="6">
        <v>1899</v>
      </c>
      <c r="E408" s="6">
        <v>2004</v>
      </c>
      <c r="F408" s="6">
        <f t="shared" si="75"/>
        <v>2304</v>
      </c>
      <c r="L408">
        <f t="shared" si="78"/>
        <v>-133</v>
      </c>
      <c r="M408">
        <f t="shared" si="79"/>
        <v>-108</v>
      </c>
      <c r="N408">
        <f t="shared" si="80"/>
        <v>-213</v>
      </c>
      <c r="O408">
        <f t="shared" si="81"/>
        <v>-513</v>
      </c>
      <c r="P408">
        <f t="shared" si="82"/>
        <v>25</v>
      </c>
      <c r="Q408">
        <f t="shared" si="83"/>
        <v>-80</v>
      </c>
      <c r="R408">
        <f t="shared" si="84"/>
        <v>-380</v>
      </c>
      <c r="S408">
        <f t="shared" si="85"/>
        <v>-105</v>
      </c>
      <c r="T408">
        <f t="shared" si="86"/>
        <v>-405</v>
      </c>
      <c r="U408">
        <f t="shared" si="87"/>
        <v>-300</v>
      </c>
      <c r="V408" s="9">
        <f t="shared" si="77"/>
        <v>133</v>
      </c>
      <c r="W408" s="9">
        <f t="shared" si="77"/>
        <v>108</v>
      </c>
      <c r="X408" s="9">
        <f t="shared" si="77"/>
        <v>213</v>
      </c>
      <c r="Y408" s="9">
        <f t="shared" si="77"/>
        <v>513</v>
      </c>
      <c r="Z408" s="9">
        <f t="shared" si="77"/>
        <v>25</v>
      </c>
      <c r="AA408" s="9">
        <f t="shared" si="76"/>
        <v>80</v>
      </c>
      <c r="AB408" s="9">
        <f t="shared" si="76"/>
        <v>380</v>
      </c>
      <c r="AC408" s="9">
        <f t="shared" si="76"/>
        <v>105</v>
      </c>
      <c r="AD408" s="9">
        <f t="shared" si="76"/>
        <v>405</v>
      </c>
      <c r="AE408" s="9">
        <f t="shared" si="76"/>
        <v>300</v>
      </c>
    </row>
    <row r="409" spans="2:31" x14ac:dyDescent="0.25">
      <c r="B409" s="6">
        <v>1902</v>
      </c>
      <c r="C409" s="6">
        <v>1579</v>
      </c>
      <c r="D409" s="6">
        <v>2005</v>
      </c>
      <c r="E409" s="6">
        <v>1897</v>
      </c>
      <c r="F409" s="6">
        <f t="shared" si="75"/>
        <v>2197</v>
      </c>
      <c r="L409">
        <f t="shared" si="78"/>
        <v>323</v>
      </c>
      <c r="M409">
        <f t="shared" si="79"/>
        <v>-103</v>
      </c>
      <c r="N409">
        <f t="shared" si="80"/>
        <v>5</v>
      </c>
      <c r="O409">
        <f t="shared" si="81"/>
        <v>-295</v>
      </c>
      <c r="P409">
        <f t="shared" si="82"/>
        <v>-426</v>
      </c>
      <c r="Q409">
        <f t="shared" si="83"/>
        <v>-318</v>
      </c>
      <c r="R409">
        <f t="shared" si="84"/>
        <v>-618</v>
      </c>
      <c r="S409">
        <f t="shared" si="85"/>
        <v>108</v>
      </c>
      <c r="T409">
        <f t="shared" si="86"/>
        <v>-192</v>
      </c>
      <c r="U409">
        <f t="shared" si="87"/>
        <v>-300</v>
      </c>
      <c r="V409" s="9">
        <f t="shared" si="77"/>
        <v>323</v>
      </c>
      <c r="W409" s="9">
        <f t="shared" si="77"/>
        <v>103</v>
      </c>
      <c r="X409" s="9">
        <f t="shared" si="77"/>
        <v>5</v>
      </c>
      <c r="Y409" s="9">
        <f t="shared" si="77"/>
        <v>295</v>
      </c>
      <c r="Z409" s="9">
        <f t="shared" si="77"/>
        <v>426</v>
      </c>
      <c r="AA409" s="9">
        <f t="shared" si="76"/>
        <v>318</v>
      </c>
      <c r="AB409" s="9">
        <f t="shared" si="76"/>
        <v>618</v>
      </c>
      <c r="AC409" s="9">
        <f t="shared" si="76"/>
        <v>108</v>
      </c>
      <c r="AD409" s="9">
        <f t="shared" si="76"/>
        <v>192</v>
      </c>
      <c r="AE409" s="9">
        <f t="shared" si="76"/>
        <v>300</v>
      </c>
    </row>
    <row r="410" spans="2:31" x14ac:dyDescent="0.25">
      <c r="B410" s="6">
        <v>1847</v>
      </c>
      <c r="C410" s="6">
        <v>2004</v>
      </c>
      <c r="D410" s="6">
        <v>1348</v>
      </c>
      <c r="E410" s="6">
        <v>1567</v>
      </c>
      <c r="F410" s="6">
        <f t="shared" si="75"/>
        <v>1867</v>
      </c>
      <c r="L410">
        <f t="shared" si="78"/>
        <v>-157</v>
      </c>
      <c r="M410">
        <f t="shared" si="79"/>
        <v>499</v>
      </c>
      <c r="N410">
        <f t="shared" si="80"/>
        <v>280</v>
      </c>
      <c r="O410">
        <f t="shared" si="81"/>
        <v>-20</v>
      </c>
      <c r="P410">
        <f t="shared" si="82"/>
        <v>656</v>
      </c>
      <c r="Q410">
        <f t="shared" si="83"/>
        <v>437</v>
      </c>
      <c r="R410">
        <f t="shared" si="84"/>
        <v>137</v>
      </c>
      <c r="S410">
        <f t="shared" si="85"/>
        <v>-219</v>
      </c>
      <c r="T410">
        <f t="shared" si="86"/>
        <v>-519</v>
      </c>
      <c r="U410">
        <f t="shared" si="87"/>
        <v>-300</v>
      </c>
      <c r="V410" s="9">
        <f t="shared" si="77"/>
        <v>157</v>
      </c>
      <c r="W410" s="9">
        <f t="shared" si="77"/>
        <v>499</v>
      </c>
      <c r="X410" s="9">
        <f t="shared" si="77"/>
        <v>280</v>
      </c>
      <c r="Y410" s="9">
        <f t="shared" si="77"/>
        <v>20</v>
      </c>
      <c r="Z410" s="9">
        <f t="shared" si="77"/>
        <v>656</v>
      </c>
      <c r="AA410" s="9">
        <f t="shared" si="76"/>
        <v>437</v>
      </c>
      <c r="AB410" s="9">
        <f t="shared" si="76"/>
        <v>137</v>
      </c>
      <c r="AC410" s="9">
        <f t="shared" si="76"/>
        <v>219</v>
      </c>
      <c r="AD410" s="9">
        <f t="shared" si="76"/>
        <v>519</v>
      </c>
      <c r="AE410" s="9">
        <f t="shared" si="76"/>
        <v>300</v>
      </c>
    </row>
    <row r="411" spans="2:31" x14ac:dyDescent="0.25">
      <c r="B411" s="6">
        <v>1349</v>
      </c>
      <c r="C411" s="6">
        <v>1354</v>
      </c>
      <c r="D411" s="6">
        <v>1974</v>
      </c>
      <c r="E411" s="6">
        <v>1943</v>
      </c>
      <c r="F411" s="6">
        <v>2158</v>
      </c>
      <c r="L411">
        <f t="shared" si="78"/>
        <v>-5</v>
      </c>
      <c r="M411">
        <f t="shared" si="79"/>
        <v>-625</v>
      </c>
      <c r="N411">
        <f t="shared" si="80"/>
        <v>-594</v>
      </c>
      <c r="O411">
        <f t="shared" si="81"/>
        <v>-809</v>
      </c>
      <c r="P411">
        <f t="shared" si="82"/>
        <v>-620</v>
      </c>
      <c r="Q411">
        <f t="shared" si="83"/>
        <v>-589</v>
      </c>
      <c r="R411">
        <f t="shared" si="84"/>
        <v>-804</v>
      </c>
      <c r="S411">
        <f t="shared" si="85"/>
        <v>31</v>
      </c>
      <c r="T411">
        <f t="shared" si="86"/>
        <v>-184</v>
      </c>
      <c r="U411">
        <f t="shared" si="87"/>
        <v>-215</v>
      </c>
      <c r="V411" s="9">
        <f t="shared" si="77"/>
        <v>5</v>
      </c>
      <c r="W411" s="9">
        <f t="shared" si="77"/>
        <v>625</v>
      </c>
      <c r="X411" s="9">
        <f t="shared" si="77"/>
        <v>594</v>
      </c>
      <c r="Y411" s="9">
        <f t="shared" si="77"/>
        <v>809</v>
      </c>
      <c r="Z411" s="9">
        <f t="shared" si="77"/>
        <v>620</v>
      </c>
      <c r="AA411" s="9">
        <f t="shared" si="76"/>
        <v>589</v>
      </c>
      <c r="AB411" s="9">
        <f t="shared" si="76"/>
        <v>804</v>
      </c>
      <c r="AC411" s="9">
        <f t="shared" si="76"/>
        <v>31</v>
      </c>
      <c r="AD411" s="9">
        <f t="shared" si="76"/>
        <v>184</v>
      </c>
      <c r="AE411" s="9">
        <f t="shared" si="76"/>
        <v>215</v>
      </c>
    </row>
    <row r="412" spans="2:31" x14ac:dyDescent="0.25">
      <c r="B412" s="6">
        <v>1349</v>
      </c>
      <c r="C412" s="6">
        <v>1648</v>
      </c>
      <c r="D412" s="6">
        <v>1754</v>
      </c>
      <c r="E412" s="6">
        <v>1974</v>
      </c>
      <c r="F412" s="6">
        <f t="shared" si="75"/>
        <v>2274</v>
      </c>
      <c r="L412">
        <f t="shared" si="78"/>
        <v>-299</v>
      </c>
      <c r="M412">
        <f t="shared" si="79"/>
        <v>-405</v>
      </c>
      <c r="N412">
        <f t="shared" si="80"/>
        <v>-625</v>
      </c>
      <c r="O412">
        <f t="shared" si="81"/>
        <v>-925</v>
      </c>
      <c r="P412">
        <f t="shared" si="82"/>
        <v>-106</v>
      </c>
      <c r="Q412">
        <f t="shared" si="83"/>
        <v>-326</v>
      </c>
      <c r="R412">
        <f t="shared" si="84"/>
        <v>-626</v>
      </c>
      <c r="S412">
        <f t="shared" si="85"/>
        <v>-220</v>
      </c>
      <c r="T412">
        <f t="shared" si="86"/>
        <v>-520</v>
      </c>
      <c r="U412">
        <f t="shared" si="87"/>
        <v>-300</v>
      </c>
      <c r="V412" s="9">
        <f t="shared" si="77"/>
        <v>299</v>
      </c>
      <c r="W412" s="9">
        <f t="shared" si="77"/>
        <v>405</v>
      </c>
      <c r="X412" s="9">
        <f t="shared" si="77"/>
        <v>625</v>
      </c>
      <c r="Y412" s="9">
        <f t="shared" si="77"/>
        <v>925</v>
      </c>
      <c r="Z412" s="9">
        <f t="shared" si="77"/>
        <v>106</v>
      </c>
      <c r="AA412" s="9">
        <f t="shared" si="76"/>
        <v>326</v>
      </c>
      <c r="AB412" s="9">
        <f t="shared" si="76"/>
        <v>626</v>
      </c>
      <c r="AC412" s="9">
        <f t="shared" si="76"/>
        <v>220</v>
      </c>
      <c r="AD412" s="9">
        <f t="shared" si="76"/>
        <v>520</v>
      </c>
      <c r="AE412" s="9">
        <f t="shared" si="76"/>
        <v>300</v>
      </c>
    </row>
    <row r="413" spans="2:31" x14ac:dyDescent="0.25">
      <c r="B413" s="6">
        <v>1687</v>
      </c>
      <c r="C413" s="6">
        <v>1754</v>
      </c>
      <c r="D413" s="6">
        <v>1862</v>
      </c>
      <c r="E413" s="6">
        <v>2109</v>
      </c>
      <c r="F413" s="6">
        <v>2333</v>
      </c>
      <c r="L413">
        <f t="shared" si="78"/>
        <v>-67</v>
      </c>
      <c r="M413">
        <f t="shared" si="79"/>
        <v>-175</v>
      </c>
      <c r="N413">
        <f t="shared" si="80"/>
        <v>-422</v>
      </c>
      <c r="O413">
        <f t="shared" si="81"/>
        <v>-646</v>
      </c>
      <c r="P413">
        <f t="shared" si="82"/>
        <v>-108</v>
      </c>
      <c r="Q413">
        <f t="shared" si="83"/>
        <v>-355</v>
      </c>
      <c r="R413">
        <f t="shared" si="84"/>
        <v>-579</v>
      </c>
      <c r="S413">
        <f t="shared" si="85"/>
        <v>-247</v>
      </c>
      <c r="T413">
        <f t="shared" si="86"/>
        <v>-471</v>
      </c>
      <c r="U413">
        <f t="shared" si="87"/>
        <v>-224</v>
      </c>
      <c r="V413" s="9">
        <f t="shared" si="77"/>
        <v>67</v>
      </c>
      <c r="W413" s="9">
        <f t="shared" si="77"/>
        <v>175</v>
      </c>
      <c r="X413" s="9">
        <f t="shared" si="77"/>
        <v>422</v>
      </c>
      <c r="Y413" s="9">
        <f t="shared" si="77"/>
        <v>646</v>
      </c>
      <c r="Z413" s="9">
        <f t="shared" si="77"/>
        <v>108</v>
      </c>
      <c r="AA413" s="9">
        <f t="shared" si="76"/>
        <v>355</v>
      </c>
      <c r="AB413" s="9">
        <f t="shared" si="76"/>
        <v>579</v>
      </c>
      <c r="AC413" s="9">
        <f t="shared" si="76"/>
        <v>247</v>
      </c>
      <c r="AD413" s="9">
        <f t="shared" si="76"/>
        <v>471</v>
      </c>
      <c r="AE413" s="9">
        <f t="shared" si="76"/>
        <v>224</v>
      </c>
    </row>
    <row r="414" spans="2:31" x14ac:dyDescent="0.25">
      <c r="B414" s="6">
        <v>1940</v>
      </c>
      <c r="C414" s="6">
        <v>2214</v>
      </c>
      <c r="D414" s="6">
        <v>2564</v>
      </c>
      <c r="E414" s="6">
        <v>2347</v>
      </c>
      <c r="F414" s="6">
        <f t="shared" si="75"/>
        <v>2647</v>
      </c>
      <c r="L414">
        <f t="shared" si="78"/>
        <v>-274</v>
      </c>
      <c r="M414">
        <f t="shared" si="79"/>
        <v>-624</v>
      </c>
      <c r="N414">
        <f t="shared" si="80"/>
        <v>-407</v>
      </c>
      <c r="O414">
        <f t="shared" si="81"/>
        <v>-707</v>
      </c>
      <c r="P414">
        <f t="shared" si="82"/>
        <v>-350</v>
      </c>
      <c r="Q414">
        <f t="shared" si="83"/>
        <v>-133</v>
      </c>
      <c r="R414">
        <f t="shared" si="84"/>
        <v>-433</v>
      </c>
      <c r="S414">
        <f t="shared" si="85"/>
        <v>217</v>
      </c>
      <c r="T414">
        <f t="shared" si="86"/>
        <v>-83</v>
      </c>
      <c r="U414">
        <f t="shared" si="87"/>
        <v>-300</v>
      </c>
      <c r="V414" s="9">
        <f t="shared" si="77"/>
        <v>274</v>
      </c>
      <c r="W414" s="9">
        <f t="shared" si="77"/>
        <v>624</v>
      </c>
      <c r="X414" s="9">
        <f t="shared" si="77"/>
        <v>407</v>
      </c>
      <c r="Y414" s="9">
        <f t="shared" si="77"/>
        <v>707</v>
      </c>
      <c r="Z414" s="9">
        <f t="shared" si="77"/>
        <v>350</v>
      </c>
      <c r="AA414" s="9">
        <f t="shared" si="76"/>
        <v>133</v>
      </c>
      <c r="AB414" s="9">
        <f t="shared" si="76"/>
        <v>433</v>
      </c>
      <c r="AC414" s="9">
        <f t="shared" si="76"/>
        <v>217</v>
      </c>
      <c r="AD414" s="9">
        <f t="shared" si="76"/>
        <v>83</v>
      </c>
      <c r="AE414" s="9">
        <f t="shared" si="76"/>
        <v>300</v>
      </c>
    </row>
    <row r="415" spans="2:31" x14ac:dyDescent="0.25">
      <c r="B415" s="6">
        <v>1750</v>
      </c>
      <c r="C415" s="6">
        <v>1854</v>
      </c>
      <c r="D415" s="6">
        <v>2461</v>
      </c>
      <c r="E415" s="6">
        <v>2477</v>
      </c>
      <c r="F415" s="6">
        <v>2478</v>
      </c>
      <c r="L415">
        <f t="shared" si="78"/>
        <v>-104</v>
      </c>
      <c r="M415">
        <f t="shared" si="79"/>
        <v>-711</v>
      </c>
      <c r="N415">
        <f t="shared" si="80"/>
        <v>-727</v>
      </c>
      <c r="O415">
        <f t="shared" si="81"/>
        <v>-728</v>
      </c>
      <c r="P415">
        <f t="shared" si="82"/>
        <v>-607</v>
      </c>
      <c r="Q415">
        <f t="shared" si="83"/>
        <v>-623</v>
      </c>
      <c r="R415">
        <f t="shared" si="84"/>
        <v>-624</v>
      </c>
      <c r="S415">
        <f t="shared" si="85"/>
        <v>-16</v>
      </c>
      <c r="T415">
        <f t="shared" si="86"/>
        <v>-17</v>
      </c>
      <c r="U415">
        <f t="shared" si="87"/>
        <v>-1</v>
      </c>
      <c r="V415" s="9">
        <f t="shared" si="77"/>
        <v>104</v>
      </c>
      <c r="W415" s="9">
        <f t="shared" si="77"/>
        <v>711</v>
      </c>
      <c r="X415" s="9">
        <f t="shared" si="77"/>
        <v>727</v>
      </c>
      <c r="Y415" s="9">
        <f t="shared" si="77"/>
        <v>728</v>
      </c>
      <c r="Z415" s="9">
        <f t="shared" si="77"/>
        <v>607</v>
      </c>
      <c r="AA415" s="9">
        <f t="shared" si="76"/>
        <v>623</v>
      </c>
      <c r="AB415" s="9">
        <f t="shared" si="76"/>
        <v>624</v>
      </c>
      <c r="AC415" s="9">
        <f t="shared" si="76"/>
        <v>16</v>
      </c>
      <c r="AD415" s="9">
        <f t="shared" si="76"/>
        <v>17</v>
      </c>
      <c r="AE415" s="9">
        <f t="shared" si="76"/>
        <v>1</v>
      </c>
    </row>
    <row r="416" spans="2:31" x14ac:dyDescent="0.25">
      <c r="B416" s="6">
        <v>1946</v>
      </c>
      <c r="C416" s="6">
        <v>2175</v>
      </c>
      <c r="D416" s="6">
        <v>2547</v>
      </c>
      <c r="E416" s="6">
        <v>2467</v>
      </c>
      <c r="F416" s="6">
        <f t="shared" si="75"/>
        <v>2767</v>
      </c>
      <c r="L416">
        <f t="shared" si="78"/>
        <v>-229</v>
      </c>
      <c r="M416">
        <f t="shared" si="79"/>
        <v>-601</v>
      </c>
      <c r="N416">
        <f t="shared" si="80"/>
        <v>-521</v>
      </c>
      <c r="O416">
        <f t="shared" si="81"/>
        <v>-821</v>
      </c>
      <c r="P416">
        <f t="shared" si="82"/>
        <v>-372</v>
      </c>
      <c r="Q416">
        <f t="shared" si="83"/>
        <v>-292</v>
      </c>
      <c r="R416">
        <f t="shared" si="84"/>
        <v>-592</v>
      </c>
      <c r="S416">
        <f t="shared" si="85"/>
        <v>80</v>
      </c>
      <c r="T416">
        <f t="shared" si="86"/>
        <v>-220</v>
      </c>
      <c r="U416">
        <f t="shared" si="87"/>
        <v>-300</v>
      </c>
      <c r="V416" s="9">
        <f t="shared" si="77"/>
        <v>229</v>
      </c>
      <c r="W416" s="9">
        <f t="shared" si="77"/>
        <v>601</v>
      </c>
      <c r="X416" s="9">
        <f t="shared" si="77"/>
        <v>521</v>
      </c>
      <c r="Y416" s="9">
        <f t="shared" si="77"/>
        <v>821</v>
      </c>
      <c r="Z416" s="9">
        <f t="shared" si="77"/>
        <v>372</v>
      </c>
      <c r="AA416" s="9">
        <f t="shared" si="76"/>
        <v>292</v>
      </c>
      <c r="AB416" s="9">
        <f t="shared" si="76"/>
        <v>592</v>
      </c>
      <c r="AC416" s="9">
        <f t="shared" si="76"/>
        <v>80</v>
      </c>
      <c r="AD416" s="9">
        <f t="shared" si="76"/>
        <v>220</v>
      </c>
      <c r="AE416" s="9">
        <f t="shared" si="76"/>
        <v>300</v>
      </c>
    </row>
    <row r="417" spans="2:31" x14ac:dyDescent="0.25">
      <c r="B417" s="6">
        <v>2156</v>
      </c>
      <c r="C417" s="6">
        <v>2275</v>
      </c>
      <c r="D417" s="6">
        <v>2456</v>
      </c>
      <c r="E417" s="6">
        <v>2598</v>
      </c>
      <c r="F417" s="6">
        <v>2754</v>
      </c>
      <c r="L417">
        <f t="shared" si="78"/>
        <v>-119</v>
      </c>
      <c r="M417">
        <f t="shared" si="79"/>
        <v>-300</v>
      </c>
      <c r="N417">
        <f t="shared" si="80"/>
        <v>-442</v>
      </c>
      <c r="O417">
        <f t="shared" si="81"/>
        <v>-598</v>
      </c>
      <c r="P417">
        <f t="shared" si="82"/>
        <v>-181</v>
      </c>
      <c r="Q417">
        <f t="shared" si="83"/>
        <v>-323</v>
      </c>
      <c r="R417">
        <f t="shared" si="84"/>
        <v>-479</v>
      </c>
      <c r="S417">
        <f t="shared" si="85"/>
        <v>-142</v>
      </c>
      <c r="T417">
        <f t="shared" si="86"/>
        <v>-298</v>
      </c>
      <c r="U417">
        <f t="shared" si="87"/>
        <v>-156</v>
      </c>
      <c r="V417" s="9">
        <f t="shared" si="77"/>
        <v>119</v>
      </c>
      <c r="W417" s="9">
        <f t="shared" si="77"/>
        <v>300</v>
      </c>
      <c r="X417" s="9">
        <f t="shared" si="77"/>
        <v>442</v>
      </c>
      <c r="Y417" s="9">
        <f t="shared" si="77"/>
        <v>598</v>
      </c>
      <c r="Z417" s="9">
        <f t="shared" si="77"/>
        <v>181</v>
      </c>
      <c r="AA417" s="9">
        <f t="shared" si="76"/>
        <v>323</v>
      </c>
      <c r="AB417" s="9">
        <f t="shared" si="76"/>
        <v>479</v>
      </c>
      <c r="AC417" s="9">
        <f t="shared" si="76"/>
        <v>142</v>
      </c>
      <c r="AD417" s="9">
        <f t="shared" si="76"/>
        <v>298</v>
      </c>
      <c r="AE417" s="9">
        <f t="shared" si="76"/>
        <v>156</v>
      </c>
    </row>
    <row r="418" spans="2:31" x14ac:dyDescent="0.25">
      <c r="B418" s="6">
        <v>1720</v>
      </c>
      <c r="C418" s="6">
        <v>1852</v>
      </c>
      <c r="D418" s="6">
        <v>2345</v>
      </c>
      <c r="E418" s="6">
        <v>2470</v>
      </c>
      <c r="F418" s="6">
        <v>2974</v>
      </c>
      <c r="L418">
        <f t="shared" si="78"/>
        <v>-132</v>
      </c>
      <c r="M418">
        <f t="shared" si="79"/>
        <v>-625</v>
      </c>
      <c r="N418">
        <f t="shared" si="80"/>
        <v>-750</v>
      </c>
      <c r="O418">
        <f t="shared" si="81"/>
        <v>-1254</v>
      </c>
      <c r="P418">
        <f t="shared" si="82"/>
        <v>-493</v>
      </c>
      <c r="Q418">
        <f t="shared" si="83"/>
        <v>-618</v>
      </c>
      <c r="R418">
        <f t="shared" si="84"/>
        <v>-1122</v>
      </c>
      <c r="S418">
        <f t="shared" si="85"/>
        <v>-125</v>
      </c>
      <c r="T418">
        <f t="shared" si="86"/>
        <v>-629</v>
      </c>
      <c r="U418">
        <f t="shared" si="87"/>
        <v>-504</v>
      </c>
      <c r="V418" s="9">
        <f t="shared" si="77"/>
        <v>132</v>
      </c>
      <c r="W418" s="9">
        <f t="shared" si="77"/>
        <v>625</v>
      </c>
      <c r="X418" s="9">
        <f t="shared" si="77"/>
        <v>750</v>
      </c>
      <c r="Y418" s="9">
        <f t="shared" si="77"/>
        <v>1254</v>
      </c>
      <c r="Z418" s="9">
        <f t="shared" si="77"/>
        <v>493</v>
      </c>
      <c r="AA418" s="9">
        <f t="shared" si="76"/>
        <v>618</v>
      </c>
      <c r="AB418" s="9">
        <f t="shared" si="76"/>
        <v>1122</v>
      </c>
      <c r="AC418" s="9">
        <f t="shared" si="76"/>
        <v>125</v>
      </c>
      <c r="AD418" s="9">
        <f t="shared" si="76"/>
        <v>629</v>
      </c>
      <c r="AE418" s="9">
        <f t="shared" si="76"/>
        <v>504</v>
      </c>
    </row>
    <row r="419" spans="2:31" x14ac:dyDescent="0.25">
      <c r="B419" s="6">
        <v>1907</v>
      </c>
      <c r="C419" s="6">
        <v>2044</v>
      </c>
      <c r="D419" s="6">
        <v>2349</v>
      </c>
      <c r="E419" s="6">
        <v>2440</v>
      </c>
      <c r="F419" s="6">
        <v>2548</v>
      </c>
      <c r="L419">
        <f t="shared" si="78"/>
        <v>-137</v>
      </c>
      <c r="M419">
        <f t="shared" si="79"/>
        <v>-442</v>
      </c>
      <c r="N419">
        <f t="shared" si="80"/>
        <v>-533</v>
      </c>
      <c r="O419">
        <f t="shared" si="81"/>
        <v>-641</v>
      </c>
      <c r="P419">
        <f t="shared" si="82"/>
        <v>-305</v>
      </c>
      <c r="Q419">
        <f t="shared" si="83"/>
        <v>-396</v>
      </c>
      <c r="R419">
        <f t="shared" si="84"/>
        <v>-504</v>
      </c>
      <c r="S419">
        <f t="shared" si="85"/>
        <v>-91</v>
      </c>
      <c r="T419">
        <f t="shared" si="86"/>
        <v>-199</v>
      </c>
      <c r="U419">
        <f t="shared" si="87"/>
        <v>-108</v>
      </c>
      <c r="V419" s="9">
        <f t="shared" si="77"/>
        <v>137</v>
      </c>
      <c r="W419" s="9">
        <f t="shared" si="77"/>
        <v>442</v>
      </c>
      <c r="X419" s="9">
        <f t="shared" si="77"/>
        <v>533</v>
      </c>
      <c r="Y419" s="9">
        <f t="shared" si="77"/>
        <v>641</v>
      </c>
      <c r="Z419" s="9">
        <f t="shared" si="77"/>
        <v>305</v>
      </c>
      <c r="AA419" s="9">
        <f t="shared" si="76"/>
        <v>396</v>
      </c>
      <c r="AB419" s="9">
        <f t="shared" si="76"/>
        <v>504</v>
      </c>
      <c r="AC419" s="9">
        <f t="shared" si="76"/>
        <v>91</v>
      </c>
      <c r="AD419" s="9">
        <f t="shared" si="76"/>
        <v>199</v>
      </c>
      <c r="AE419" s="9">
        <f t="shared" si="76"/>
        <v>108</v>
      </c>
    </row>
    <row r="420" spans="2:31" x14ac:dyDescent="0.25">
      <c r="B420" s="6">
        <v>1597</v>
      </c>
      <c r="C420" s="6">
        <v>1798</v>
      </c>
      <c r="D420" s="6">
        <v>2138</v>
      </c>
      <c r="E420" s="6">
        <v>2246</v>
      </c>
      <c r="F420" s="6">
        <v>2359</v>
      </c>
      <c r="L420">
        <f t="shared" si="78"/>
        <v>-201</v>
      </c>
      <c r="M420">
        <f t="shared" si="79"/>
        <v>-541</v>
      </c>
      <c r="N420">
        <f t="shared" si="80"/>
        <v>-649</v>
      </c>
      <c r="O420">
        <f t="shared" si="81"/>
        <v>-762</v>
      </c>
      <c r="P420">
        <f t="shared" si="82"/>
        <v>-340</v>
      </c>
      <c r="Q420">
        <f t="shared" si="83"/>
        <v>-448</v>
      </c>
      <c r="R420">
        <f t="shared" si="84"/>
        <v>-561</v>
      </c>
      <c r="S420">
        <f t="shared" si="85"/>
        <v>-108</v>
      </c>
      <c r="T420">
        <f t="shared" si="86"/>
        <v>-221</v>
      </c>
      <c r="U420">
        <f t="shared" si="87"/>
        <v>-113</v>
      </c>
      <c r="V420" s="9">
        <f t="shared" si="77"/>
        <v>201</v>
      </c>
      <c r="W420" s="9">
        <f t="shared" si="77"/>
        <v>541</v>
      </c>
      <c r="X420" s="9">
        <f t="shared" si="77"/>
        <v>649</v>
      </c>
      <c r="Y420" s="9">
        <f t="shared" si="77"/>
        <v>762</v>
      </c>
      <c r="Z420" s="9">
        <f t="shared" si="77"/>
        <v>340</v>
      </c>
      <c r="AA420" s="9">
        <f t="shared" si="76"/>
        <v>448</v>
      </c>
      <c r="AB420" s="9">
        <f t="shared" si="76"/>
        <v>561</v>
      </c>
      <c r="AC420" s="9">
        <f t="shared" si="76"/>
        <v>108</v>
      </c>
      <c r="AD420" s="9">
        <f t="shared" si="76"/>
        <v>221</v>
      </c>
      <c r="AE420" s="9">
        <f t="shared" si="76"/>
        <v>113</v>
      </c>
    </row>
    <row r="421" spans="2:31" x14ac:dyDescent="0.25">
      <c r="B421" s="7">
        <v>2123</v>
      </c>
      <c r="C421" s="6">
        <v>2511</v>
      </c>
      <c r="D421" s="6">
        <v>2313</v>
      </c>
      <c r="E421" s="7">
        <v>2312</v>
      </c>
      <c r="F421" s="7">
        <v>2743</v>
      </c>
      <c r="L421">
        <f t="shared" si="78"/>
        <v>-388</v>
      </c>
      <c r="M421">
        <f t="shared" si="79"/>
        <v>-190</v>
      </c>
      <c r="N421">
        <f t="shared" si="80"/>
        <v>-189</v>
      </c>
      <c r="O421">
        <f t="shared" si="81"/>
        <v>-620</v>
      </c>
      <c r="P421">
        <f t="shared" si="82"/>
        <v>198</v>
      </c>
      <c r="Q421">
        <f t="shared" si="83"/>
        <v>199</v>
      </c>
      <c r="R421">
        <f t="shared" si="84"/>
        <v>-232</v>
      </c>
      <c r="S421">
        <f t="shared" si="85"/>
        <v>1</v>
      </c>
      <c r="T421">
        <f t="shared" si="86"/>
        <v>-430</v>
      </c>
      <c r="U421">
        <f t="shared" si="87"/>
        <v>-431</v>
      </c>
      <c r="V421" s="9">
        <f t="shared" si="77"/>
        <v>388</v>
      </c>
      <c r="W421" s="9">
        <f t="shared" si="77"/>
        <v>190</v>
      </c>
      <c r="X421" s="9">
        <f t="shared" si="77"/>
        <v>189</v>
      </c>
      <c r="Y421" s="9">
        <f t="shared" si="77"/>
        <v>620</v>
      </c>
      <c r="Z421" s="9">
        <f t="shared" si="77"/>
        <v>198</v>
      </c>
      <c r="AA421" s="9">
        <f t="shared" si="76"/>
        <v>199</v>
      </c>
      <c r="AB421" s="9">
        <f t="shared" si="76"/>
        <v>232</v>
      </c>
      <c r="AC421" s="9">
        <f t="shared" si="76"/>
        <v>1</v>
      </c>
      <c r="AD421" s="9">
        <f t="shared" si="76"/>
        <v>430</v>
      </c>
      <c r="AE421" s="9">
        <f t="shared" si="76"/>
        <v>431</v>
      </c>
    </row>
    <row r="422" spans="2:31" x14ac:dyDescent="0.25">
      <c r="B422" s="6">
        <v>2245</v>
      </c>
      <c r="C422" s="6">
        <v>2678</v>
      </c>
      <c r="D422" s="6">
        <v>2445</v>
      </c>
      <c r="E422" s="6">
        <v>2687</v>
      </c>
      <c r="F422" s="6">
        <v>2897</v>
      </c>
      <c r="L422">
        <f t="shared" si="78"/>
        <v>-433</v>
      </c>
      <c r="M422">
        <f t="shared" si="79"/>
        <v>-200</v>
      </c>
      <c r="N422">
        <f t="shared" si="80"/>
        <v>-442</v>
      </c>
      <c r="O422">
        <f t="shared" si="81"/>
        <v>-652</v>
      </c>
      <c r="P422">
        <f t="shared" si="82"/>
        <v>233</v>
      </c>
      <c r="Q422">
        <f t="shared" si="83"/>
        <v>-9</v>
      </c>
      <c r="R422">
        <f t="shared" si="84"/>
        <v>-219</v>
      </c>
      <c r="S422">
        <f t="shared" si="85"/>
        <v>-242</v>
      </c>
      <c r="T422">
        <f t="shared" si="86"/>
        <v>-452</v>
      </c>
      <c r="U422">
        <f t="shared" si="87"/>
        <v>-210</v>
      </c>
      <c r="V422" s="9">
        <f t="shared" si="77"/>
        <v>433</v>
      </c>
      <c r="W422" s="9">
        <f t="shared" si="77"/>
        <v>200</v>
      </c>
      <c r="X422" s="9">
        <f t="shared" si="77"/>
        <v>442</v>
      </c>
      <c r="Y422" s="9">
        <f t="shared" si="77"/>
        <v>652</v>
      </c>
      <c r="Z422" s="9">
        <f t="shared" si="77"/>
        <v>233</v>
      </c>
      <c r="AA422" s="9">
        <f t="shared" si="76"/>
        <v>9</v>
      </c>
      <c r="AB422" s="9">
        <f t="shared" si="76"/>
        <v>219</v>
      </c>
      <c r="AC422" s="9">
        <f t="shared" si="76"/>
        <v>242</v>
      </c>
      <c r="AD422" s="9">
        <f t="shared" si="76"/>
        <v>452</v>
      </c>
      <c r="AE422" s="9">
        <f t="shared" si="76"/>
        <v>210</v>
      </c>
    </row>
    <row r="423" spans="2:31" x14ac:dyDescent="0.25">
      <c r="B423" s="6">
        <v>1257</v>
      </c>
      <c r="C423" s="6">
        <v>1455</v>
      </c>
      <c r="D423" s="6">
        <v>1589</v>
      </c>
      <c r="E423" s="6">
        <v>1874</v>
      </c>
      <c r="F423" s="6">
        <v>1947</v>
      </c>
      <c r="L423">
        <f t="shared" si="78"/>
        <v>-198</v>
      </c>
      <c r="M423">
        <f t="shared" si="79"/>
        <v>-332</v>
      </c>
      <c r="N423">
        <f t="shared" si="80"/>
        <v>-617</v>
      </c>
      <c r="O423">
        <f t="shared" si="81"/>
        <v>-690</v>
      </c>
      <c r="P423">
        <f t="shared" si="82"/>
        <v>-134</v>
      </c>
      <c r="Q423">
        <f t="shared" si="83"/>
        <v>-419</v>
      </c>
      <c r="R423">
        <f t="shared" si="84"/>
        <v>-492</v>
      </c>
      <c r="S423">
        <f t="shared" si="85"/>
        <v>-285</v>
      </c>
      <c r="T423">
        <f t="shared" si="86"/>
        <v>-358</v>
      </c>
      <c r="U423">
        <f t="shared" si="87"/>
        <v>-73</v>
      </c>
      <c r="V423" s="9">
        <f t="shared" si="77"/>
        <v>198</v>
      </c>
      <c r="W423" s="9">
        <f t="shared" si="77"/>
        <v>332</v>
      </c>
      <c r="X423" s="9">
        <f t="shared" si="77"/>
        <v>617</v>
      </c>
      <c r="Y423" s="9">
        <f t="shared" si="77"/>
        <v>690</v>
      </c>
      <c r="Z423" s="9">
        <f t="shared" si="77"/>
        <v>134</v>
      </c>
      <c r="AA423" s="9">
        <f t="shared" ref="AA423:AE473" si="88">IF(Q423&gt;=0,Q423,-Q423)</f>
        <v>419</v>
      </c>
      <c r="AB423" s="9">
        <f t="shared" si="88"/>
        <v>492</v>
      </c>
      <c r="AC423" s="9">
        <f t="shared" si="88"/>
        <v>285</v>
      </c>
      <c r="AD423" s="9">
        <f t="shared" si="88"/>
        <v>358</v>
      </c>
      <c r="AE423" s="9">
        <f t="shared" si="88"/>
        <v>73</v>
      </c>
    </row>
    <row r="424" spans="2:31" x14ac:dyDescent="0.25">
      <c r="B424" s="6">
        <v>1115</v>
      </c>
      <c r="C424" s="6">
        <v>1225</v>
      </c>
      <c r="D424" s="6">
        <v>1354</v>
      </c>
      <c r="E424" s="6">
        <v>1458</v>
      </c>
      <c r="F424" s="6">
        <v>1582</v>
      </c>
      <c r="L424">
        <f t="shared" si="78"/>
        <v>-110</v>
      </c>
      <c r="M424">
        <f t="shared" si="79"/>
        <v>-239</v>
      </c>
      <c r="N424">
        <f t="shared" si="80"/>
        <v>-343</v>
      </c>
      <c r="O424">
        <f t="shared" si="81"/>
        <v>-467</v>
      </c>
      <c r="P424">
        <f t="shared" si="82"/>
        <v>-129</v>
      </c>
      <c r="Q424">
        <f t="shared" si="83"/>
        <v>-233</v>
      </c>
      <c r="R424">
        <f t="shared" si="84"/>
        <v>-357</v>
      </c>
      <c r="S424">
        <f t="shared" si="85"/>
        <v>-104</v>
      </c>
      <c r="T424">
        <f t="shared" si="86"/>
        <v>-228</v>
      </c>
      <c r="U424">
        <f t="shared" si="87"/>
        <v>-124</v>
      </c>
      <c r="V424" s="9">
        <f t="shared" ref="V424:Z474" si="89">IF(L424&gt;=0,L424,-L424)</f>
        <v>110</v>
      </c>
      <c r="W424" s="9">
        <f t="shared" si="89"/>
        <v>239</v>
      </c>
      <c r="X424" s="9">
        <f t="shared" si="89"/>
        <v>343</v>
      </c>
      <c r="Y424" s="9">
        <f t="shared" si="89"/>
        <v>467</v>
      </c>
      <c r="Z424" s="9">
        <f t="shared" si="89"/>
        <v>129</v>
      </c>
      <c r="AA424" s="9">
        <f t="shared" si="88"/>
        <v>233</v>
      </c>
      <c r="AB424" s="9">
        <f t="shared" si="88"/>
        <v>357</v>
      </c>
      <c r="AC424" s="9">
        <f t="shared" si="88"/>
        <v>104</v>
      </c>
      <c r="AD424" s="9">
        <f t="shared" si="88"/>
        <v>228</v>
      </c>
      <c r="AE424" s="9">
        <f t="shared" si="88"/>
        <v>124</v>
      </c>
    </row>
    <row r="425" spans="2:31" x14ac:dyDescent="0.25">
      <c r="B425" s="6">
        <v>1897</v>
      </c>
      <c r="C425" s="6">
        <v>1875</v>
      </c>
      <c r="D425" s="6">
        <v>1780</v>
      </c>
      <c r="E425" s="6">
        <v>1958</v>
      </c>
      <c r="F425" s="6">
        <v>1954</v>
      </c>
      <c r="L425">
        <f t="shared" si="78"/>
        <v>22</v>
      </c>
      <c r="M425">
        <f t="shared" si="79"/>
        <v>117</v>
      </c>
      <c r="N425">
        <f t="shared" si="80"/>
        <v>-61</v>
      </c>
      <c r="O425">
        <f t="shared" si="81"/>
        <v>-57</v>
      </c>
      <c r="P425">
        <f t="shared" si="82"/>
        <v>95</v>
      </c>
      <c r="Q425">
        <f t="shared" si="83"/>
        <v>-83</v>
      </c>
      <c r="R425">
        <f t="shared" si="84"/>
        <v>-79</v>
      </c>
      <c r="S425">
        <f t="shared" si="85"/>
        <v>-178</v>
      </c>
      <c r="T425">
        <f t="shared" si="86"/>
        <v>-174</v>
      </c>
      <c r="U425">
        <f t="shared" si="87"/>
        <v>4</v>
      </c>
      <c r="V425" s="9">
        <f t="shared" si="89"/>
        <v>22</v>
      </c>
      <c r="W425" s="9">
        <f t="shared" si="89"/>
        <v>117</v>
      </c>
      <c r="X425" s="9">
        <f t="shared" si="89"/>
        <v>61</v>
      </c>
      <c r="Y425" s="9">
        <f t="shared" si="89"/>
        <v>57</v>
      </c>
      <c r="Z425" s="9">
        <f t="shared" si="89"/>
        <v>95</v>
      </c>
      <c r="AA425" s="9">
        <f t="shared" si="88"/>
        <v>83</v>
      </c>
      <c r="AB425" s="9">
        <f t="shared" si="88"/>
        <v>79</v>
      </c>
      <c r="AC425" s="9">
        <f t="shared" si="88"/>
        <v>178</v>
      </c>
      <c r="AD425" s="9">
        <f t="shared" si="88"/>
        <v>174</v>
      </c>
      <c r="AE425" s="9">
        <f t="shared" si="88"/>
        <v>4</v>
      </c>
    </row>
    <row r="426" spans="2:31" x14ac:dyDescent="0.25">
      <c r="B426" s="6">
        <v>2004</v>
      </c>
      <c r="C426" s="6">
        <v>2354</v>
      </c>
      <c r="D426" s="6">
        <v>2487</v>
      </c>
      <c r="E426" s="6">
        <v>2782</v>
      </c>
      <c r="F426" s="6">
        <v>2874</v>
      </c>
      <c r="L426">
        <f t="shared" si="78"/>
        <v>-350</v>
      </c>
      <c r="M426">
        <f t="shared" si="79"/>
        <v>-483</v>
      </c>
      <c r="N426">
        <f t="shared" si="80"/>
        <v>-778</v>
      </c>
      <c r="O426">
        <f t="shared" si="81"/>
        <v>-870</v>
      </c>
      <c r="P426">
        <f t="shared" si="82"/>
        <v>-133</v>
      </c>
      <c r="Q426">
        <f t="shared" si="83"/>
        <v>-428</v>
      </c>
      <c r="R426">
        <f t="shared" si="84"/>
        <v>-520</v>
      </c>
      <c r="S426">
        <f t="shared" si="85"/>
        <v>-295</v>
      </c>
      <c r="T426">
        <f t="shared" si="86"/>
        <v>-387</v>
      </c>
      <c r="U426">
        <f t="shared" si="87"/>
        <v>-92</v>
      </c>
      <c r="V426" s="9">
        <f t="shared" si="89"/>
        <v>350</v>
      </c>
      <c r="W426" s="9">
        <f t="shared" si="89"/>
        <v>483</v>
      </c>
      <c r="X426" s="9">
        <f t="shared" si="89"/>
        <v>778</v>
      </c>
      <c r="Y426" s="9">
        <f t="shared" si="89"/>
        <v>870</v>
      </c>
      <c r="Z426" s="9">
        <f t="shared" si="89"/>
        <v>133</v>
      </c>
      <c r="AA426" s="9">
        <f t="shared" si="88"/>
        <v>428</v>
      </c>
      <c r="AB426" s="9">
        <f t="shared" si="88"/>
        <v>520</v>
      </c>
      <c r="AC426" s="9">
        <f t="shared" si="88"/>
        <v>295</v>
      </c>
      <c r="AD426" s="9">
        <f t="shared" si="88"/>
        <v>387</v>
      </c>
      <c r="AE426" s="9">
        <f t="shared" si="88"/>
        <v>92</v>
      </c>
    </row>
    <row r="427" spans="2:31" x14ac:dyDescent="0.25">
      <c r="B427" s="6">
        <v>2234</v>
      </c>
      <c r="C427" s="6">
        <v>2758</v>
      </c>
      <c r="D427" s="6">
        <v>2638</v>
      </c>
      <c r="E427" s="6">
        <v>3070</v>
      </c>
      <c r="F427" s="6">
        <v>3125</v>
      </c>
      <c r="L427">
        <f t="shared" si="78"/>
        <v>-524</v>
      </c>
      <c r="M427">
        <f t="shared" si="79"/>
        <v>-404</v>
      </c>
      <c r="N427">
        <f t="shared" si="80"/>
        <v>-836</v>
      </c>
      <c r="O427">
        <f t="shared" si="81"/>
        <v>-891</v>
      </c>
      <c r="P427">
        <f t="shared" si="82"/>
        <v>120</v>
      </c>
      <c r="Q427">
        <f t="shared" si="83"/>
        <v>-312</v>
      </c>
      <c r="R427">
        <f t="shared" si="84"/>
        <v>-367</v>
      </c>
      <c r="S427">
        <f t="shared" si="85"/>
        <v>-432</v>
      </c>
      <c r="T427">
        <f t="shared" si="86"/>
        <v>-487</v>
      </c>
      <c r="U427">
        <f t="shared" si="87"/>
        <v>-55</v>
      </c>
      <c r="V427" s="9">
        <f t="shared" si="89"/>
        <v>524</v>
      </c>
      <c r="W427" s="9">
        <f t="shared" si="89"/>
        <v>404</v>
      </c>
      <c r="X427" s="9">
        <f t="shared" si="89"/>
        <v>836</v>
      </c>
      <c r="Y427" s="9">
        <f t="shared" si="89"/>
        <v>891</v>
      </c>
      <c r="Z427" s="9">
        <f t="shared" si="89"/>
        <v>120</v>
      </c>
      <c r="AA427" s="9">
        <f t="shared" si="88"/>
        <v>312</v>
      </c>
      <c r="AB427" s="9">
        <f t="shared" si="88"/>
        <v>367</v>
      </c>
      <c r="AC427" s="9">
        <f t="shared" si="88"/>
        <v>432</v>
      </c>
      <c r="AD427" s="9">
        <f t="shared" si="88"/>
        <v>487</v>
      </c>
      <c r="AE427" s="9">
        <f t="shared" si="88"/>
        <v>55</v>
      </c>
    </row>
    <row r="428" spans="2:31" x14ac:dyDescent="0.25">
      <c r="B428" s="6">
        <v>1885</v>
      </c>
      <c r="C428" s="6">
        <v>1758</v>
      </c>
      <c r="D428" s="6">
        <v>2245</v>
      </c>
      <c r="E428" s="6">
        <v>2580</v>
      </c>
      <c r="F428" s="6">
        <v>2850</v>
      </c>
      <c r="L428">
        <f t="shared" si="78"/>
        <v>127</v>
      </c>
      <c r="M428">
        <f t="shared" si="79"/>
        <v>-360</v>
      </c>
      <c r="N428">
        <f t="shared" si="80"/>
        <v>-695</v>
      </c>
      <c r="O428">
        <f t="shared" si="81"/>
        <v>-965</v>
      </c>
      <c r="P428">
        <f t="shared" si="82"/>
        <v>-487</v>
      </c>
      <c r="Q428">
        <f t="shared" si="83"/>
        <v>-822</v>
      </c>
      <c r="R428">
        <f t="shared" si="84"/>
        <v>-1092</v>
      </c>
      <c r="S428">
        <f t="shared" si="85"/>
        <v>-335</v>
      </c>
      <c r="T428">
        <f t="shared" si="86"/>
        <v>-605</v>
      </c>
      <c r="U428">
        <f t="shared" si="87"/>
        <v>-270</v>
      </c>
      <c r="V428" s="9">
        <f t="shared" si="89"/>
        <v>127</v>
      </c>
      <c r="W428" s="9">
        <f t="shared" si="89"/>
        <v>360</v>
      </c>
      <c r="X428" s="9">
        <f t="shared" si="89"/>
        <v>695</v>
      </c>
      <c r="Y428" s="9">
        <f t="shared" si="89"/>
        <v>965</v>
      </c>
      <c r="Z428" s="9">
        <f t="shared" si="89"/>
        <v>487</v>
      </c>
      <c r="AA428" s="9">
        <f t="shared" si="88"/>
        <v>822</v>
      </c>
      <c r="AB428" s="9">
        <f t="shared" si="88"/>
        <v>1092</v>
      </c>
      <c r="AC428" s="9">
        <f t="shared" si="88"/>
        <v>335</v>
      </c>
      <c r="AD428" s="9">
        <f t="shared" si="88"/>
        <v>605</v>
      </c>
      <c r="AE428" s="9">
        <f t="shared" si="88"/>
        <v>270</v>
      </c>
    </row>
    <row r="429" spans="2:31" x14ac:dyDescent="0.25">
      <c r="B429" s="6">
        <v>1597</v>
      </c>
      <c r="C429" s="6">
        <v>1874</v>
      </c>
      <c r="D429" s="6">
        <v>1978</v>
      </c>
      <c r="E429" s="6">
        <v>2045</v>
      </c>
      <c r="F429" s="6">
        <v>2248</v>
      </c>
      <c r="L429">
        <f t="shared" si="78"/>
        <v>-277</v>
      </c>
      <c r="M429">
        <f t="shared" si="79"/>
        <v>-381</v>
      </c>
      <c r="N429">
        <f t="shared" si="80"/>
        <v>-448</v>
      </c>
      <c r="O429">
        <f t="shared" si="81"/>
        <v>-651</v>
      </c>
      <c r="P429">
        <f t="shared" si="82"/>
        <v>-104</v>
      </c>
      <c r="Q429">
        <f t="shared" si="83"/>
        <v>-171</v>
      </c>
      <c r="R429">
        <f t="shared" si="84"/>
        <v>-374</v>
      </c>
      <c r="S429">
        <f t="shared" si="85"/>
        <v>-67</v>
      </c>
      <c r="T429">
        <f t="shared" si="86"/>
        <v>-270</v>
      </c>
      <c r="U429">
        <f t="shared" si="87"/>
        <v>-203</v>
      </c>
      <c r="V429" s="9">
        <f t="shared" si="89"/>
        <v>277</v>
      </c>
      <c r="W429" s="9">
        <f t="shared" si="89"/>
        <v>381</v>
      </c>
      <c r="X429" s="9">
        <f t="shared" si="89"/>
        <v>448</v>
      </c>
      <c r="Y429" s="9">
        <f t="shared" si="89"/>
        <v>651</v>
      </c>
      <c r="Z429" s="9">
        <f t="shared" si="89"/>
        <v>104</v>
      </c>
      <c r="AA429" s="9">
        <f t="shared" si="88"/>
        <v>171</v>
      </c>
      <c r="AB429" s="9">
        <f t="shared" si="88"/>
        <v>374</v>
      </c>
      <c r="AC429" s="9">
        <f t="shared" si="88"/>
        <v>67</v>
      </c>
      <c r="AD429" s="9">
        <f t="shared" si="88"/>
        <v>270</v>
      </c>
      <c r="AE429" s="9">
        <f t="shared" si="88"/>
        <v>203</v>
      </c>
    </row>
    <row r="430" spans="2:31" x14ac:dyDescent="0.25">
      <c r="B430" s="6">
        <v>1774</v>
      </c>
      <c r="C430" s="6">
        <v>2045</v>
      </c>
      <c r="D430" s="6">
        <v>2240</v>
      </c>
      <c r="E430" s="6">
        <v>2356</v>
      </c>
      <c r="F430" s="6">
        <v>2564</v>
      </c>
      <c r="L430">
        <f t="shared" si="78"/>
        <v>-271</v>
      </c>
      <c r="M430">
        <f t="shared" si="79"/>
        <v>-466</v>
      </c>
      <c r="N430">
        <f t="shared" si="80"/>
        <v>-582</v>
      </c>
      <c r="O430">
        <f t="shared" si="81"/>
        <v>-790</v>
      </c>
      <c r="P430">
        <f t="shared" si="82"/>
        <v>-195</v>
      </c>
      <c r="Q430">
        <f t="shared" si="83"/>
        <v>-311</v>
      </c>
      <c r="R430">
        <f t="shared" si="84"/>
        <v>-519</v>
      </c>
      <c r="S430">
        <f t="shared" si="85"/>
        <v>-116</v>
      </c>
      <c r="T430">
        <f t="shared" si="86"/>
        <v>-324</v>
      </c>
      <c r="U430">
        <f t="shared" si="87"/>
        <v>-208</v>
      </c>
      <c r="V430" s="9">
        <f t="shared" si="89"/>
        <v>271</v>
      </c>
      <c r="W430" s="9">
        <f t="shared" si="89"/>
        <v>466</v>
      </c>
      <c r="X430" s="9">
        <f t="shared" si="89"/>
        <v>582</v>
      </c>
      <c r="Y430" s="9">
        <f t="shared" si="89"/>
        <v>790</v>
      </c>
      <c r="Z430" s="9">
        <f t="shared" si="89"/>
        <v>195</v>
      </c>
      <c r="AA430" s="9">
        <f t="shared" si="88"/>
        <v>311</v>
      </c>
      <c r="AB430" s="9">
        <f t="shared" si="88"/>
        <v>519</v>
      </c>
      <c r="AC430" s="9">
        <f t="shared" si="88"/>
        <v>116</v>
      </c>
      <c r="AD430" s="9">
        <f t="shared" si="88"/>
        <v>324</v>
      </c>
      <c r="AE430" s="9">
        <f t="shared" si="88"/>
        <v>208</v>
      </c>
    </row>
    <row r="431" spans="2:31" x14ac:dyDescent="0.25">
      <c r="B431" s="6">
        <v>2245</v>
      </c>
      <c r="C431" s="6">
        <v>2569</v>
      </c>
      <c r="D431" s="6">
        <v>2789</v>
      </c>
      <c r="E431" s="6">
        <v>2487</v>
      </c>
      <c r="F431" s="6">
        <v>2987</v>
      </c>
      <c r="L431">
        <f t="shared" si="78"/>
        <v>-324</v>
      </c>
      <c r="M431">
        <f t="shared" si="79"/>
        <v>-544</v>
      </c>
      <c r="N431">
        <f t="shared" si="80"/>
        <v>-242</v>
      </c>
      <c r="O431">
        <f t="shared" si="81"/>
        <v>-742</v>
      </c>
      <c r="P431">
        <f t="shared" si="82"/>
        <v>-220</v>
      </c>
      <c r="Q431">
        <f t="shared" si="83"/>
        <v>82</v>
      </c>
      <c r="R431">
        <f t="shared" si="84"/>
        <v>-418</v>
      </c>
      <c r="S431">
        <f t="shared" si="85"/>
        <v>302</v>
      </c>
      <c r="T431">
        <f t="shared" si="86"/>
        <v>-198</v>
      </c>
      <c r="U431">
        <f t="shared" si="87"/>
        <v>-500</v>
      </c>
      <c r="V431" s="9">
        <f t="shared" si="89"/>
        <v>324</v>
      </c>
      <c r="W431" s="9">
        <f t="shared" si="89"/>
        <v>544</v>
      </c>
      <c r="X431" s="9">
        <f t="shared" si="89"/>
        <v>242</v>
      </c>
      <c r="Y431" s="9">
        <f t="shared" si="89"/>
        <v>742</v>
      </c>
      <c r="Z431" s="9">
        <f t="shared" si="89"/>
        <v>220</v>
      </c>
      <c r="AA431" s="9">
        <f t="shared" si="88"/>
        <v>82</v>
      </c>
      <c r="AB431" s="9">
        <f t="shared" si="88"/>
        <v>418</v>
      </c>
      <c r="AC431" s="9">
        <f t="shared" si="88"/>
        <v>302</v>
      </c>
      <c r="AD431" s="9">
        <f t="shared" si="88"/>
        <v>198</v>
      </c>
      <c r="AE431" s="9">
        <f t="shared" si="88"/>
        <v>500</v>
      </c>
    </row>
    <row r="432" spans="2:31" x14ac:dyDescent="0.25">
      <c r="B432" s="6">
        <v>2489</v>
      </c>
      <c r="C432" s="6">
        <v>2784</v>
      </c>
      <c r="D432" s="6">
        <v>2897</v>
      </c>
      <c r="E432" s="6">
        <v>2777</v>
      </c>
      <c r="F432" s="6">
        <v>3024</v>
      </c>
      <c r="L432">
        <f t="shared" si="78"/>
        <v>-295</v>
      </c>
      <c r="M432">
        <f t="shared" si="79"/>
        <v>-408</v>
      </c>
      <c r="N432">
        <f t="shared" si="80"/>
        <v>-288</v>
      </c>
      <c r="O432">
        <f t="shared" si="81"/>
        <v>-535</v>
      </c>
      <c r="P432">
        <f t="shared" si="82"/>
        <v>-113</v>
      </c>
      <c r="Q432">
        <f t="shared" si="83"/>
        <v>7</v>
      </c>
      <c r="R432">
        <f t="shared" si="84"/>
        <v>-240</v>
      </c>
      <c r="S432">
        <f t="shared" si="85"/>
        <v>120</v>
      </c>
      <c r="T432">
        <f t="shared" si="86"/>
        <v>-127</v>
      </c>
      <c r="U432">
        <f t="shared" si="87"/>
        <v>-247</v>
      </c>
      <c r="V432" s="9">
        <f t="shared" si="89"/>
        <v>295</v>
      </c>
      <c r="W432" s="9">
        <f t="shared" si="89"/>
        <v>408</v>
      </c>
      <c r="X432" s="9">
        <f t="shared" si="89"/>
        <v>288</v>
      </c>
      <c r="Y432" s="9">
        <f t="shared" si="89"/>
        <v>535</v>
      </c>
      <c r="Z432" s="9">
        <f t="shared" si="89"/>
        <v>113</v>
      </c>
      <c r="AA432" s="9">
        <f t="shared" si="88"/>
        <v>7</v>
      </c>
      <c r="AB432" s="9">
        <f t="shared" si="88"/>
        <v>240</v>
      </c>
      <c r="AC432" s="9">
        <f t="shared" si="88"/>
        <v>120</v>
      </c>
      <c r="AD432" s="9">
        <f t="shared" si="88"/>
        <v>127</v>
      </c>
      <c r="AE432" s="9">
        <f t="shared" si="88"/>
        <v>247</v>
      </c>
    </row>
    <row r="433" spans="2:31" x14ac:dyDescent="0.25">
      <c r="B433" s="6">
        <v>2789</v>
      </c>
      <c r="C433" s="6">
        <v>2774</v>
      </c>
      <c r="D433" s="6">
        <v>3081</v>
      </c>
      <c r="E433" s="6">
        <v>3056</v>
      </c>
      <c r="F433" s="6">
        <v>3248</v>
      </c>
      <c r="L433">
        <f t="shared" si="78"/>
        <v>15</v>
      </c>
      <c r="M433">
        <f t="shared" si="79"/>
        <v>-292</v>
      </c>
      <c r="N433">
        <f t="shared" si="80"/>
        <v>-267</v>
      </c>
      <c r="O433">
        <f t="shared" si="81"/>
        <v>-459</v>
      </c>
      <c r="P433">
        <f t="shared" si="82"/>
        <v>-307</v>
      </c>
      <c r="Q433">
        <f t="shared" si="83"/>
        <v>-282</v>
      </c>
      <c r="R433">
        <f t="shared" si="84"/>
        <v>-474</v>
      </c>
      <c r="S433">
        <f t="shared" si="85"/>
        <v>25</v>
      </c>
      <c r="T433">
        <f t="shared" si="86"/>
        <v>-167</v>
      </c>
      <c r="U433">
        <f t="shared" si="87"/>
        <v>-192</v>
      </c>
      <c r="V433" s="9">
        <f t="shared" si="89"/>
        <v>15</v>
      </c>
      <c r="W433" s="9">
        <f t="shared" si="89"/>
        <v>292</v>
      </c>
      <c r="X433" s="9">
        <f t="shared" si="89"/>
        <v>267</v>
      </c>
      <c r="Y433" s="9">
        <f t="shared" si="89"/>
        <v>459</v>
      </c>
      <c r="Z433" s="9">
        <f t="shared" si="89"/>
        <v>307</v>
      </c>
      <c r="AA433" s="9">
        <f t="shared" si="88"/>
        <v>282</v>
      </c>
      <c r="AB433" s="9">
        <f t="shared" si="88"/>
        <v>474</v>
      </c>
      <c r="AC433" s="9">
        <f t="shared" si="88"/>
        <v>25</v>
      </c>
      <c r="AD433" s="9">
        <f t="shared" si="88"/>
        <v>167</v>
      </c>
      <c r="AE433" s="9">
        <f t="shared" si="88"/>
        <v>192</v>
      </c>
    </row>
    <row r="434" spans="2:31" x14ac:dyDescent="0.25">
      <c r="B434" s="6">
        <v>2547</v>
      </c>
      <c r="C434" s="6">
        <v>2554</v>
      </c>
      <c r="D434" s="6">
        <v>2875</v>
      </c>
      <c r="E434" s="6">
        <v>2899</v>
      </c>
      <c r="F434" s="6">
        <v>3024</v>
      </c>
      <c r="L434">
        <f t="shared" si="78"/>
        <v>-7</v>
      </c>
      <c r="M434">
        <f t="shared" si="79"/>
        <v>-328</v>
      </c>
      <c r="N434">
        <f t="shared" si="80"/>
        <v>-352</v>
      </c>
      <c r="O434">
        <f t="shared" si="81"/>
        <v>-477</v>
      </c>
      <c r="P434">
        <f t="shared" si="82"/>
        <v>-321</v>
      </c>
      <c r="Q434">
        <f t="shared" si="83"/>
        <v>-345</v>
      </c>
      <c r="R434">
        <f t="shared" si="84"/>
        <v>-470</v>
      </c>
      <c r="S434">
        <f t="shared" si="85"/>
        <v>-24</v>
      </c>
      <c r="T434">
        <f t="shared" si="86"/>
        <v>-149</v>
      </c>
      <c r="U434">
        <f t="shared" si="87"/>
        <v>-125</v>
      </c>
      <c r="V434" s="9">
        <f t="shared" si="89"/>
        <v>7</v>
      </c>
      <c r="W434" s="9">
        <f t="shared" si="89"/>
        <v>328</v>
      </c>
      <c r="X434" s="9">
        <f t="shared" si="89"/>
        <v>352</v>
      </c>
      <c r="Y434" s="9">
        <f t="shared" si="89"/>
        <v>477</v>
      </c>
      <c r="Z434" s="9">
        <f t="shared" si="89"/>
        <v>321</v>
      </c>
      <c r="AA434" s="9">
        <f t="shared" si="88"/>
        <v>345</v>
      </c>
      <c r="AB434" s="9">
        <f t="shared" si="88"/>
        <v>470</v>
      </c>
      <c r="AC434" s="9">
        <f t="shared" si="88"/>
        <v>24</v>
      </c>
      <c r="AD434" s="9">
        <f t="shared" si="88"/>
        <v>149</v>
      </c>
      <c r="AE434" s="9">
        <f t="shared" si="88"/>
        <v>125</v>
      </c>
    </row>
    <row r="435" spans="2:31" x14ac:dyDescent="0.25">
      <c r="B435" s="6">
        <v>1987</v>
      </c>
      <c r="C435" s="6">
        <v>2137</v>
      </c>
      <c r="D435" s="6">
        <v>2549</v>
      </c>
      <c r="E435" s="6">
        <v>2455</v>
      </c>
      <c r="F435" s="6">
        <v>2678</v>
      </c>
      <c r="L435">
        <f t="shared" si="78"/>
        <v>-150</v>
      </c>
      <c r="M435">
        <f t="shared" si="79"/>
        <v>-562</v>
      </c>
      <c r="N435">
        <f t="shared" si="80"/>
        <v>-468</v>
      </c>
      <c r="O435">
        <f t="shared" si="81"/>
        <v>-691</v>
      </c>
      <c r="P435">
        <f t="shared" si="82"/>
        <v>-412</v>
      </c>
      <c r="Q435">
        <f t="shared" si="83"/>
        <v>-318</v>
      </c>
      <c r="R435">
        <f t="shared" si="84"/>
        <v>-541</v>
      </c>
      <c r="S435">
        <f t="shared" si="85"/>
        <v>94</v>
      </c>
      <c r="T435">
        <f t="shared" si="86"/>
        <v>-129</v>
      </c>
      <c r="U435">
        <f t="shared" si="87"/>
        <v>-223</v>
      </c>
      <c r="V435" s="9">
        <f t="shared" si="89"/>
        <v>150</v>
      </c>
      <c r="W435" s="9">
        <f t="shared" si="89"/>
        <v>562</v>
      </c>
      <c r="X435" s="9">
        <f t="shared" si="89"/>
        <v>468</v>
      </c>
      <c r="Y435" s="9">
        <f t="shared" si="89"/>
        <v>691</v>
      </c>
      <c r="Z435" s="9">
        <f t="shared" si="89"/>
        <v>412</v>
      </c>
      <c r="AA435" s="9">
        <f t="shared" si="88"/>
        <v>318</v>
      </c>
      <c r="AB435" s="9">
        <f t="shared" si="88"/>
        <v>541</v>
      </c>
      <c r="AC435" s="9">
        <f t="shared" si="88"/>
        <v>94</v>
      </c>
      <c r="AD435" s="9">
        <f t="shared" si="88"/>
        <v>129</v>
      </c>
      <c r="AE435" s="9">
        <f t="shared" si="88"/>
        <v>223</v>
      </c>
    </row>
    <row r="436" spans="2:31" x14ac:dyDescent="0.25">
      <c r="B436" s="6">
        <v>2245</v>
      </c>
      <c r="C436" s="6">
        <v>2445</v>
      </c>
      <c r="D436" s="6">
        <v>2843</v>
      </c>
      <c r="E436" s="6">
        <v>2522</v>
      </c>
      <c r="F436" s="6">
        <v>2574</v>
      </c>
      <c r="L436">
        <f t="shared" si="78"/>
        <v>-200</v>
      </c>
      <c r="M436">
        <f t="shared" si="79"/>
        <v>-598</v>
      </c>
      <c r="N436">
        <f t="shared" si="80"/>
        <v>-277</v>
      </c>
      <c r="O436">
        <f t="shared" si="81"/>
        <v>-329</v>
      </c>
      <c r="P436">
        <f t="shared" si="82"/>
        <v>-398</v>
      </c>
      <c r="Q436">
        <f t="shared" si="83"/>
        <v>-77</v>
      </c>
      <c r="R436">
        <f t="shared" si="84"/>
        <v>-129</v>
      </c>
      <c r="S436">
        <f t="shared" si="85"/>
        <v>321</v>
      </c>
      <c r="T436">
        <f t="shared" si="86"/>
        <v>269</v>
      </c>
      <c r="U436">
        <f t="shared" si="87"/>
        <v>-52</v>
      </c>
      <c r="V436" s="9">
        <f t="shared" si="89"/>
        <v>200</v>
      </c>
      <c r="W436" s="9">
        <f t="shared" si="89"/>
        <v>598</v>
      </c>
      <c r="X436" s="9">
        <f t="shared" si="89"/>
        <v>277</v>
      </c>
      <c r="Y436" s="9">
        <f t="shared" si="89"/>
        <v>329</v>
      </c>
      <c r="Z436" s="9">
        <f t="shared" si="89"/>
        <v>398</v>
      </c>
      <c r="AA436" s="9">
        <f t="shared" si="88"/>
        <v>77</v>
      </c>
      <c r="AB436" s="9">
        <f t="shared" si="88"/>
        <v>129</v>
      </c>
      <c r="AC436" s="9">
        <f t="shared" si="88"/>
        <v>321</v>
      </c>
      <c r="AD436" s="9">
        <f t="shared" si="88"/>
        <v>269</v>
      </c>
      <c r="AE436" s="9">
        <f t="shared" si="88"/>
        <v>52</v>
      </c>
    </row>
    <row r="437" spans="2:31" x14ac:dyDescent="0.25">
      <c r="B437" s="6">
        <v>2680</v>
      </c>
      <c r="C437" s="6">
        <v>2541</v>
      </c>
      <c r="D437" s="6">
        <f>B437+550</f>
        <v>3230</v>
      </c>
      <c r="E437" s="6">
        <f>B437+900</f>
        <v>3580</v>
      </c>
      <c r="F437" s="6">
        <f>E437+400</f>
        <v>3980</v>
      </c>
      <c r="L437">
        <f t="shared" si="78"/>
        <v>139</v>
      </c>
      <c r="M437">
        <f t="shared" si="79"/>
        <v>-550</v>
      </c>
      <c r="N437">
        <f t="shared" si="80"/>
        <v>-900</v>
      </c>
      <c r="O437">
        <f t="shared" si="81"/>
        <v>-1300</v>
      </c>
      <c r="P437">
        <f t="shared" si="82"/>
        <v>-689</v>
      </c>
      <c r="Q437">
        <f t="shared" si="83"/>
        <v>-1039</v>
      </c>
      <c r="R437">
        <f t="shared" si="84"/>
        <v>-1439</v>
      </c>
      <c r="S437">
        <f t="shared" si="85"/>
        <v>-350</v>
      </c>
      <c r="T437">
        <f t="shared" si="86"/>
        <v>-750</v>
      </c>
      <c r="U437">
        <f t="shared" si="87"/>
        <v>-400</v>
      </c>
      <c r="V437" s="9">
        <f t="shared" si="89"/>
        <v>139</v>
      </c>
      <c r="W437" s="9">
        <f t="shared" si="89"/>
        <v>550</v>
      </c>
      <c r="X437" s="9">
        <f t="shared" si="89"/>
        <v>900</v>
      </c>
      <c r="Y437" s="9">
        <f t="shared" si="89"/>
        <v>1300</v>
      </c>
      <c r="Z437" s="9">
        <f t="shared" si="89"/>
        <v>689</v>
      </c>
      <c r="AA437" s="9">
        <f t="shared" si="88"/>
        <v>1039</v>
      </c>
      <c r="AB437" s="9">
        <f t="shared" si="88"/>
        <v>1439</v>
      </c>
      <c r="AC437" s="9">
        <f t="shared" si="88"/>
        <v>350</v>
      </c>
      <c r="AD437" s="9">
        <f t="shared" si="88"/>
        <v>750</v>
      </c>
      <c r="AE437" s="9">
        <f t="shared" si="88"/>
        <v>400</v>
      </c>
    </row>
    <row r="438" spans="2:31" x14ac:dyDescent="0.25">
      <c r="B438" s="6">
        <v>3288</v>
      </c>
      <c r="C438" s="6">
        <v>3304</v>
      </c>
      <c r="D438" s="6">
        <f t="shared" ref="D438:D480" si="90">B438+550</f>
        <v>3838</v>
      </c>
      <c r="E438" s="6">
        <f t="shared" ref="E438:E480" si="91">B438+900</f>
        <v>4188</v>
      </c>
      <c r="F438" s="6">
        <f t="shared" ref="F438:F480" si="92">E438+400</f>
        <v>4588</v>
      </c>
      <c r="L438">
        <f t="shared" si="78"/>
        <v>-16</v>
      </c>
      <c r="M438">
        <f t="shared" si="79"/>
        <v>-550</v>
      </c>
      <c r="N438">
        <f t="shared" si="80"/>
        <v>-900</v>
      </c>
      <c r="O438">
        <f t="shared" si="81"/>
        <v>-1300</v>
      </c>
      <c r="P438">
        <f t="shared" si="82"/>
        <v>-534</v>
      </c>
      <c r="Q438">
        <f t="shared" si="83"/>
        <v>-884</v>
      </c>
      <c r="R438">
        <f t="shared" si="84"/>
        <v>-1284</v>
      </c>
      <c r="S438">
        <f t="shared" si="85"/>
        <v>-350</v>
      </c>
      <c r="T438">
        <f t="shared" si="86"/>
        <v>-750</v>
      </c>
      <c r="U438">
        <f t="shared" si="87"/>
        <v>-400</v>
      </c>
      <c r="V438" s="9">
        <f t="shared" si="89"/>
        <v>16</v>
      </c>
      <c r="W438" s="9">
        <f t="shared" si="89"/>
        <v>550</v>
      </c>
      <c r="X438" s="9">
        <f t="shared" si="89"/>
        <v>900</v>
      </c>
      <c r="Y438" s="9">
        <f t="shared" si="89"/>
        <v>1300</v>
      </c>
      <c r="Z438" s="9">
        <f t="shared" si="89"/>
        <v>534</v>
      </c>
      <c r="AA438" s="9">
        <f t="shared" si="88"/>
        <v>884</v>
      </c>
      <c r="AB438" s="9">
        <f t="shared" si="88"/>
        <v>1284</v>
      </c>
      <c r="AC438" s="9">
        <f t="shared" si="88"/>
        <v>350</v>
      </c>
      <c r="AD438" s="9">
        <f t="shared" si="88"/>
        <v>750</v>
      </c>
      <c r="AE438" s="9">
        <f t="shared" si="88"/>
        <v>400</v>
      </c>
    </row>
    <row r="439" spans="2:31" x14ac:dyDescent="0.25">
      <c r="B439" s="6">
        <v>3458</v>
      </c>
      <c r="C439" s="6">
        <v>3216</v>
      </c>
      <c r="D439" s="6">
        <f t="shared" si="90"/>
        <v>4008</v>
      </c>
      <c r="E439" s="6">
        <f t="shared" si="91"/>
        <v>4358</v>
      </c>
      <c r="F439" s="6">
        <f t="shared" si="92"/>
        <v>4758</v>
      </c>
      <c r="L439">
        <f t="shared" si="78"/>
        <v>242</v>
      </c>
      <c r="M439">
        <f t="shared" si="79"/>
        <v>-550</v>
      </c>
      <c r="N439">
        <f t="shared" si="80"/>
        <v>-900</v>
      </c>
      <c r="O439">
        <f t="shared" si="81"/>
        <v>-1300</v>
      </c>
      <c r="P439">
        <f t="shared" si="82"/>
        <v>-792</v>
      </c>
      <c r="Q439">
        <f t="shared" si="83"/>
        <v>-1142</v>
      </c>
      <c r="R439">
        <f t="shared" si="84"/>
        <v>-1542</v>
      </c>
      <c r="S439">
        <f t="shared" si="85"/>
        <v>-350</v>
      </c>
      <c r="T439">
        <f t="shared" si="86"/>
        <v>-750</v>
      </c>
      <c r="U439">
        <f t="shared" si="87"/>
        <v>-400</v>
      </c>
      <c r="V439" s="9">
        <f t="shared" si="89"/>
        <v>242</v>
      </c>
      <c r="W439" s="9">
        <f t="shared" si="89"/>
        <v>550</v>
      </c>
      <c r="X439" s="9">
        <f t="shared" si="89"/>
        <v>900</v>
      </c>
      <c r="Y439" s="9">
        <f t="shared" si="89"/>
        <v>1300</v>
      </c>
      <c r="Z439" s="9">
        <f t="shared" si="89"/>
        <v>792</v>
      </c>
      <c r="AA439" s="9">
        <f t="shared" si="88"/>
        <v>1142</v>
      </c>
      <c r="AB439" s="9">
        <f t="shared" si="88"/>
        <v>1542</v>
      </c>
      <c r="AC439" s="9">
        <f t="shared" si="88"/>
        <v>350</v>
      </c>
      <c r="AD439" s="9">
        <f t="shared" si="88"/>
        <v>750</v>
      </c>
      <c r="AE439" s="9">
        <f t="shared" si="88"/>
        <v>400</v>
      </c>
    </row>
    <row r="440" spans="2:31" x14ac:dyDescent="0.25">
      <c r="B440" s="6">
        <v>3248</v>
      </c>
      <c r="C440" s="6">
        <v>3327</v>
      </c>
      <c r="D440" s="6">
        <f t="shared" si="90"/>
        <v>3798</v>
      </c>
      <c r="E440" s="6">
        <f t="shared" si="91"/>
        <v>4148</v>
      </c>
      <c r="F440" s="6">
        <f t="shared" si="92"/>
        <v>4548</v>
      </c>
      <c r="L440">
        <f t="shared" si="78"/>
        <v>-79</v>
      </c>
      <c r="M440">
        <f t="shared" si="79"/>
        <v>-550</v>
      </c>
      <c r="N440">
        <f t="shared" si="80"/>
        <v>-900</v>
      </c>
      <c r="O440">
        <f t="shared" si="81"/>
        <v>-1300</v>
      </c>
      <c r="P440">
        <f t="shared" si="82"/>
        <v>-471</v>
      </c>
      <c r="Q440">
        <f t="shared" si="83"/>
        <v>-821</v>
      </c>
      <c r="R440">
        <f t="shared" si="84"/>
        <v>-1221</v>
      </c>
      <c r="S440">
        <f t="shared" si="85"/>
        <v>-350</v>
      </c>
      <c r="T440">
        <f t="shared" si="86"/>
        <v>-750</v>
      </c>
      <c r="U440">
        <f t="shared" si="87"/>
        <v>-400</v>
      </c>
      <c r="V440" s="9">
        <f t="shared" si="89"/>
        <v>79</v>
      </c>
      <c r="W440" s="9">
        <f t="shared" si="89"/>
        <v>550</v>
      </c>
      <c r="X440" s="9">
        <f t="shared" si="89"/>
        <v>900</v>
      </c>
      <c r="Y440" s="9">
        <f t="shared" si="89"/>
        <v>1300</v>
      </c>
      <c r="Z440" s="9">
        <f t="shared" si="89"/>
        <v>471</v>
      </c>
      <c r="AA440" s="9">
        <f t="shared" si="88"/>
        <v>821</v>
      </c>
      <c r="AB440" s="9">
        <f t="shared" si="88"/>
        <v>1221</v>
      </c>
      <c r="AC440" s="9">
        <f t="shared" si="88"/>
        <v>350</v>
      </c>
      <c r="AD440" s="9">
        <f t="shared" si="88"/>
        <v>750</v>
      </c>
      <c r="AE440" s="9">
        <f t="shared" si="88"/>
        <v>400</v>
      </c>
    </row>
    <row r="441" spans="2:31" x14ac:dyDescent="0.25">
      <c r="B441" s="6">
        <v>2245</v>
      </c>
      <c r="C441" s="6">
        <v>2169</v>
      </c>
      <c r="D441" s="6">
        <f t="shared" si="90"/>
        <v>2795</v>
      </c>
      <c r="E441" s="6">
        <f t="shared" si="91"/>
        <v>3145</v>
      </c>
      <c r="F441" s="6">
        <f t="shared" si="92"/>
        <v>3545</v>
      </c>
      <c r="L441">
        <f t="shared" si="78"/>
        <v>76</v>
      </c>
      <c r="M441">
        <f t="shared" si="79"/>
        <v>-550</v>
      </c>
      <c r="N441">
        <f t="shared" si="80"/>
        <v>-900</v>
      </c>
      <c r="O441">
        <f t="shared" si="81"/>
        <v>-1300</v>
      </c>
      <c r="P441">
        <f t="shared" si="82"/>
        <v>-626</v>
      </c>
      <c r="Q441">
        <f t="shared" si="83"/>
        <v>-976</v>
      </c>
      <c r="R441">
        <f t="shared" si="84"/>
        <v>-1376</v>
      </c>
      <c r="S441">
        <f t="shared" si="85"/>
        <v>-350</v>
      </c>
      <c r="T441">
        <f t="shared" si="86"/>
        <v>-750</v>
      </c>
      <c r="U441">
        <f t="shared" si="87"/>
        <v>-400</v>
      </c>
      <c r="V441" s="9">
        <f t="shared" si="89"/>
        <v>76</v>
      </c>
      <c r="W441" s="9">
        <f t="shared" si="89"/>
        <v>550</v>
      </c>
      <c r="X441" s="9">
        <f t="shared" si="89"/>
        <v>900</v>
      </c>
      <c r="Y441" s="9">
        <f t="shared" si="89"/>
        <v>1300</v>
      </c>
      <c r="Z441" s="9">
        <f t="shared" si="89"/>
        <v>626</v>
      </c>
      <c r="AA441" s="9">
        <f t="shared" si="88"/>
        <v>976</v>
      </c>
      <c r="AB441" s="9">
        <f t="shared" si="88"/>
        <v>1376</v>
      </c>
      <c r="AC441" s="9">
        <f t="shared" si="88"/>
        <v>350</v>
      </c>
      <c r="AD441" s="9">
        <f t="shared" si="88"/>
        <v>750</v>
      </c>
      <c r="AE441" s="9">
        <f t="shared" si="88"/>
        <v>400</v>
      </c>
    </row>
    <row r="442" spans="2:31" x14ac:dyDescent="0.25">
      <c r="B442" s="6">
        <v>2854</v>
      </c>
      <c r="C442" s="6">
        <v>3024</v>
      </c>
      <c r="D442" s="6">
        <f t="shared" si="90"/>
        <v>3404</v>
      </c>
      <c r="E442" s="6">
        <f t="shared" si="91"/>
        <v>3754</v>
      </c>
      <c r="F442" s="6">
        <f t="shared" si="92"/>
        <v>4154</v>
      </c>
      <c r="L442">
        <f t="shared" si="78"/>
        <v>-170</v>
      </c>
      <c r="M442">
        <f t="shared" si="79"/>
        <v>-550</v>
      </c>
      <c r="N442">
        <f t="shared" si="80"/>
        <v>-900</v>
      </c>
      <c r="O442">
        <f t="shared" si="81"/>
        <v>-1300</v>
      </c>
      <c r="P442">
        <f t="shared" si="82"/>
        <v>-380</v>
      </c>
      <c r="Q442">
        <f t="shared" si="83"/>
        <v>-730</v>
      </c>
      <c r="R442">
        <f t="shared" si="84"/>
        <v>-1130</v>
      </c>
      <c r="S442">
        <f t="shared" si="85"/>
        <v>-350</v>
      </c>
      <c r="T442">
        <f t="shared" si="86"/>
        <v>-750</v>
      </c>
      <c r="U442">
        <f t="shared" si="87"/>
        <v>-400</v>
      </c>
      <c r="V442" s="9">
        <f t="shared" si="89"/>
        <v>170</v>
      </c>
      <c r="W442" s="9">
        <f t="shared" si="89"/>
        <v>550</v>
      </c>
      <c r="X442" s="9">
        <f t="shared" si="89"/>
        <v>900</v>
      </c>
      <c r="Y442" s="9">
        <f t="shared" si="89"/>
        <v>1300</v>
      </c>
      <c r="Z442" s="9">
        <f t="shared" si="89"/>
        <v>380</v>
      </c>
      <c r="AA442" s="9">
        <f t="shared" si="88"/>
        <v>730</v>
      </c>
      <c r="AB442" s="9">
        <f t="shared" si="88"/>
        <v>1130</v>
      </c>
      <c r="AC442" s="9">
        <f t="shared" si="88"/>
        <v>350</v>
      </c>
      <c r="AD442" s="9">
        <f t="shared" si="88"/>
        <v>750</v>
      </c>
      <c r="AE442" s="9">
        <f t="shared" si="88"/>
        <v>400</v>
      </c>
    </row>
    <row r="443" spans="2:31" x14ac:dyDescent="0.25">
      <c r="B443" s="6">
        <v>2274</v>
      </c>
      <c r="C443" s="6">
        <v>2745</v>
      </c>
      <c r="D443" s="6">
        <f t="shared" si="90"/>
        <v>2824</v>
      </c>
      <c r="E443" s="6">
        <f t="shared" si="91"/>
        <v>3174</v>
      </c>
      <c r="F443" s="6">
        <f t="shared" si="92"/>
        <v>3574</v>
      </c>
      <c r="L443">
        <f t="shared" si="78"/>
        <v>-471</v>
      </c>
      <c r="M443">
        <f t="shared" si="79"/>
        <v>-550</v>
      </c>
      <c r="N443">
        <f t="shared" si="80"/>
        <v>-900</v>
      </c>
      <c r="O443">
        <f t="shared" si="81"/>
        <v>-1300</v>
      </c>
      <c r="P443">
        <f t="shared" si="82"/>
        <v>-79</v>
      </c>
      <c r="Q443">
        <f t="shared" si="83"/>
        <v>-429</v>
      </c>
      <c r="R443">
        <f t="shared" si="84"/>
        <v>-829</v>
      </c>
      <c r="S443">
        <f t="shared" si="85"/>
        <v>-350</v>
      </c>
      <c r="T443">
        <f t="shared" si="86"/>
        <v>-750</v>
      </c>
      <c r="U443">
        <f t="shared" si="87"/>
        <v>-400</v>
      </c>
      <c r="V443" s="9">
        <f t="shared" si="89"/>
        <v>471</v>
      </c>
      <c r="W443" s="9">
        <f t="shared" si="89"/>
        <v>550</v>
      </c>
      <c r="X443" s="9">
        <f t="shared" si="89"/>
        <v>900</v>
      </c>
      <c r="Y443" s="9">
        <f t="shared" si="89"/>
        <v>1300</v>
      </c>
      <c r="Z443" s="9">
        <f t="shared" si="89"/>
        <v>79</v>
      </c>
      <c r="AA443" s="9">
        <f t="shared" si="88"/>
        <v>429</v>
      </c>
      <c r="AB443" s="9">
        <f t="shared" si="88"/>
        <v>829</v>
      </c>
      <c r="AC443" s="9">
        <f t="shared" si="88"/>
        <v>350</v>
      </c>
      <c r="AD443" s="9">
        <f t="shared" si="88"/>
        <v>750</v>
      </c>
      <c r="AE443" s="9">
        <f t="shared" si="88"/>
        <v>400</v>
      </c>
    </row>
    <row r="444" spans="2:31" x14ac:dyDescent="0.25">
      <c r="B444" s="6">
        <v>1456</v>
      </c>
      <c r="C444" s="6">
        <v>2234</v>
      </c>
      <c r="D444" s="6">
        <f t="shared" si="90"/>
        <v>2006</v>
      </c>
      <c r="E444" s="6">
        <f t="shared" si="91"/>
        <v>2356</v>
      </c>
      <c r="F444" s="6">
        <f t="shared" si="92"/>
        <v>2756</v>
      </c>
      <c r="L444">
        <f t="shared" si="78"/>
        <v>-778</v>
      </c>
      <c r="M444">
        <f t="shared" si="79"/>
        <v>-550</v>
      </c>
      <c r="N444">
        <f t="shared" si="80"/>
        <v>-900</v>
      </c>
      <c r="O444">
        <f t="shared" si="81"/>
        <v>-1300</v>
      </c>
      <c r="P444">
        <f t="shared" si="82"/>
        <v>228</v>
      </c>
      <c r="Q444">
        <f t="shared" si="83"/>
        <v>-122</v>
      </c>
      <c r="R444">
        <f t="shared" si="84"/>
        <v>-522</v>
      </c>
      <c r="S444">
        <f t="shared" si="85"/>
        <v>-350</v>
      </c>
      <c r="T444">
        <f t="shared" si="86"/>
        <v>-750</v>
      </c>
      <c r="U444">
        <f t="shared" si="87"/>
        <v>-400</v>
      </c>
      <c r="V444" s="9">
        <f t="shared" si="89"/>
        <v>778</v>
      </c>
      <c r="W444" s="9">
        <f t="shared" si="89"/>
        <v>550</v>
      </c>
      <c r="X444" s="9">
        <f t="shared" si="89"/>
        <v>900</v>
      </c>
      <c r="Y444" s="9">
        <f t="shared" si="89"/>
        <v>1300</v>
      </c>
      <c r="Z444" s="9">
        <f t="shared" si="89"/>
        <v>228</v>
      </c>
      <c r="AA444" s="9">
        <f t="shared" si="88"/>
        <v>122</v>
      </c>
      <c r="AB444" s="9">
        <f t="shared" si="88"/>
        <v>522</v>
      </c>
      <c r="AC444" s="9">
        <f t="shared" si="88"/>
        <v>350</v>
      </c>
      <c r="AD444" s="9">
        <f t="shared" si="88"/>
        <v>750</v>
      </c>
      <c r="AE444" s="9">
        <f t="shared" si="88"/>
        <v>400</v>
      </c>
    </row>
    <row r="445" spans="2:31" x14ac:dyDescent="0.25">
      <c r="B445" s="6">
        <v>1389</v>
      </c>
      <c r="C445" s="6">
        <v>1433</v>
      </c>
      <c r="D445" s="6">
        <f t="shared" si="90"/>
        <v>1939</v>
      </c>
      <c r="E445" s="6">
        <f t="shared" si="91"/>
        <v>2289</v>
      </c>
      <c r="F445" s="6">
        <f t="shared" si="92"/>
        <v>2689</v>
      </c>
      <c r="L445">
        <f t="shared" si="78"/>
        <v>-44</v>
      </c>
      <c r="M445">
        <f t="shared" si="79"/>
        <v>-550</v>
      </c>
      <c r="N445">
        <f t="shared" si="80"/>
        <v>-900</v>
      </c>
      <c r="O445">
        <f t="shared" si="81"/>
        <v>-1300</v>
      </c>
      <c r="P445">
        <f t="shared" si="82"/>
        <v>-506</v>
      </c>
      <c r="Q445">
        <f t="shared" si="83"/>
        <v>-856</v>
      </c>
      <c r="R445">
        <f t="shared" si="84"/>
        <v>-1256</v>
      </c>
      <c r="S445">
        <f t="shared" si="85"/>
        <v>-350</v>
      </c>
      <c r="T445">
        <f t="shared" si="86"/>
        <v>-750</v>
      </c>
      <c r="U445">
        <f t="shared" si="87"/>
        <v>-400</v>
      </c>
      <c r="V445" s="9">
        <f t="shared" si="89"/>
        <v>44</v>
      </c>
      <c r="W445" s="9">
        <f t="shared" si="89"/>
        <v>550</v>
      </c>
      <c r="X445" s="9">
        <f t="shared" si="89"/>
        <v>900</v>
      </c>
      <c r="Y445" s="9">
        <f t="shared" si="89"/>
        <v>1300</v>
      </c>
      <c r="Z445" s="9">
        <f t="shared" si="89"/>
        <v>506</v>
      </c>
      <c r="AA445" s="9">
        <f t="shared" si="88"/>
        <v>856</v>
      </c>
      <c r="AB445" s="9">
        <f t="shared" si="88"/>
        <v>1256</v>
      </c>
      <c r="AC445" s="9">
        <f t="shared" si="88"/>
        <v>350</v>
      </c>
      <c r="AD445" s="9">
        <f t="shared" si="88"/>
        <v>750</v>
      </c>
      <c r="AE445" s="9">
        <f t="shared" si="88"/>
        <v>400</v>
      </c>
    </row>
    <row r="446" spans="2:31" x14ac:dyDescent="0.25">
      <c r="B446" s="6">
        <v>2745</v>
      </c>
      <c r="C446" s="6">
        <v>3045</v>
      </c>
      <c r="D446" s="6">
        <f t="shared" si="90"/>
        <v>3295</v>
      </c>
      <c r="E446" s="6">
        <f t="shared" si="91"/>
        <v>3645</v>
      </c>
      <c r="F446" s="6">
        <f t="shared" si="92"/>
        <v>4045</v>
      </c>
      <c r="L446">
        <f t="shared" si="78"/>
        <v>-300</v>
      </c>
      <c r="M446">
        <f t="shared" si="79"/>
        <v>-550</v>
      </c>
      <c r="N446">
        <f t="shared" si="80"/>
        <v>-900</v>
      </c>
      <c r="O446">
        <f t="shared" si="81"/>
        <v>-1300</v>
      </c>
      <c r="P446">
        <f t="shared" si="82"/>
        <v>-250</v>
      </c>
      <c r="Q446">
        <f t="shared" si="83"/>
        <v>-600</v>
      </c>
      <c r="R446">
        <f t="shared" si="84"/>
        <v>-1000</v>
      </c>
      <c r="S446">
        <f t="shared" si="85"/>
        <v>-350</v>
      </c>
      <c r="T446">
        <f t="shared" si="86"/>
        <v>-750</v>
      </c>
      <c r="U446">
        <f t="shared" si="87"/>
        <v>-400</v>
      </c>
      <c r="V446" s="9">
        <f t="shared" si="89"/>
        <v>300</v>
      </c>
      <c r="W446" s="9">
        <f t="shared" si="89"/>
        <v>550</v>
      </c>
      <c r="X446" s="9">
        <f t="shared" si="89"/>
        <v>900</v>
      </c>
      <c r="Y446" s="9">
        <f t="shared" si="89"/>
        <v>1300</v>
      </c>
      <c r="Z446" s="9">
        <f t="shared" si="89"/>
        <v>250</v>
      </c>
      <c r="AA446" s="9">
        <f t="shared" si="88"/>
        <v>600</v>
      </c>
      <c r="AB446" s="9">
        <f t="shared" si="88"/>
        <v>1000</v>
      </c>
      <c r="AC446" s="9">
        <f t="shared" si="88"/>
        <v>350</v>
      </c>
      <c r="AD446" s="9">
        <f t="shared" si="88"/>
        <v>750</v>
      </c>
      <c r="AE446" s="9">
        <f t="shared" si="88"/>
        <v>400</v>
      </c>
    </row>
    <row r="447" spans="2:31" x14ac:dyDescent="0.25">
      <c r="B447" s="6">
        <v>3687</v>
      </c>
      <c r="C447" s="6">
        <v>3745</v>
      </c>
      <c r="D447" s="6">
        <f t="shared" si="90"/>
        <v>4237</v>
      </c>
      <c r="E447" s="6">
        <f t="shared" si="91"/>
        <v>4587</v>
      </c>
      <c r="F447" s="6">
        <f t="shared" si="92"/>
        <v>4987</v>
      </c>
      <c r="L447">
        <f t="shared" si="78"/>
        <v>-58</v>
      </c>
      <c r="M447">
        <f t="shared" si="79"/>
        <v>-550</v>
      </c>
      <c r="N447">
        <f t="shared" si="80"/>
        <v>-900</v>
      </c>
      <c r="O447">
        <f t="shared" si="81"/>
        <v>-1300</v>
      </c>
      <c r="P447">
        <f t="shared" si="82"/>
        <v>-492</v>
      </c>
      <c r="Q447">
        <f t="shared" si="83"/>
        <v>-842</v>
      </c>
      <c r="R447">
        <f t="shared" si="84"/>
        <v>-1242</v>
      </c>
      <c r="S447">
        <f t="shared" si="85"/>
        <v>-350</v>
      </c>
      <c r="T447">
        <f t="shared" si="86"/>
        <v>-750</v>
      </c>
      <c r="U447">
        <f t="shared" si="87"/>
        <v>-400</v>
      </c>
      <c r="V447" s="9">
        <f t="shared" si="89"/>
        <v>58</v>
      </c>
      <c r="W447" s="9">
        <f t="shared" si="89"/>
        <v>550</v>
      </c>
      <c r="X447" s="9">
        <f t="shared" si="89"/>
        <v>900</v>
      </c>
      <c r="Y447" s="9">
        <f t="shared" si="89"/>
        <v>1300</v>
      </c>
      <c r="Z447" s="9">
        <f t="shared" si="89"/>
        <v>492</v>
      </c>
      <c r="AA447" s="9">
        <f t="shared" si="88"/>
        <v>842</v>
      </c>
      <c r="AB447" s="9">
        <f t="shared" si="88"/>
        <v>1242</v>
      </c>
      <c r="AC447" s="9">
        <f t="shared" si="88"/>
        <v>350</v>
      </c>
      <c r="AD447" s="9">
        <f t="shared" si="88"/>
        <v>750</v>
      </c>
      <c r="AE447" s="9">
        <f t="shared" si="88"/>
        <v>400</v>
      </c>
    </row>
    <row r="448" spans="2:31" x14ac:dyDescent="0.25">
      <c r="B448" s="6">
        <v>3589</v>
      </c>
      <c r="C448" s="6">
        <v>3627</v>
      </c>
      <c r="D448" s="6">
        <f t="shared" si="90"/>
        <v>4139</v>
      </c>
      <c r="E448" s="6">
        <f t="shared" si="91"/>
        <v>4489</v>
      </c>
      <c r="F448" s="6">
        <f t="shared" si="92"/>
        <v>4889</v>
      </c>
      <c r="L448">
        <f t="shared" si="78"/>
        <v>-38</v>
      </c>
      <c r="M448">
        <f t="shared" si="79"/>
        <v>-550</v>
      </c>
      <c r="N448">
        <f t="shared" si="80"/>
        <v>-900</v>
      </c>
      <c r="O448">
        <f t="shared" si="81"/>
        <v>-1300</v>
      </c>
      <c r="P448">
        <f t="shared" si="82"/>
        <v>-512</v>
      </c>
      <c r="Q448">
        <f t="shared" si="83"/>
        <v>-862</v>
      </c>
      <c r="R448">
        <f t="shared" si="84"/>
        <v>-1262</v>
      </c>
      <c r="S448">
        <f t="shared" si="85"/>
        <v>-350</v>
      </c>
      <c r="T448">
        <f t="shared" si="86"/>
        <v>-750</v>
      </c>
      <c r="U448">
        <f t="shared" si="87"/>
        <v>-400</v>
      </c>
      <c r="V448" s="9">
        <f t="shared" si="89"/>
        <v>38</v>
      </c>
      <c r="W448" s="9">
        <f t="shared" si="89"/>
        <v>550</v>
      </c>
      <c r="X448" s="9">
        <f t="shared" si="89"/>
        <v>900</v>
      </c>
      <c r="Y448" s="9">
        <f t="shared" si="89"/>
        <v>1300</v>
      </c>
      <c r="Z448" s="9">
        <f t="shared" si="89"/>
        <v>512</v>
      </c>
      <c r="AA448" s="9">
        <f t="shared" si="88"/>
        <v>862</v>
      </c>
      <c r="AB448" s="9">
        <f t="shared" si="88"/>
        <v>1262</v>
      </c>
      <c r="AC448" s="9">
        <f t="shared" si="88"/>
        <v>350</v>
      </c>
      <c r="AD448" s="9">
        <f t="shared" si="88"/>
        <v>750</v>
      </c>
      <c r="AE448" s="9">
        <f t="shared" si="88"/>
        <v>400</v>
      </c>
    </row>
    <row r="449" spans="2:31" x14ac:dyDescent="0.25">
      <c r="B449" s="6">
        <v>3791</v>
      </c>
      <c r="C449" s="6">
        <v>3542</v>
      </c>
      <c r="D449" s="6">
        <f t="shared" si="90"/>
        <v>4341</v>
      </c>
      <c r="E449" s="6">
        <f t="shared" si="91"/>
        <v>4691</v>
      </c>
      <c r="F449" s="6">
        <f t="shared" si="92"/>
        <v>5091</v>
      </c>
      <c r="L449">
        <f t="shared" ref="L449:L512" si="93">B449-C449</f>
        <v>249</v>
      </c>
      <c r="M449">
        <f t="shared" ref="M449:M512" si="94">B449-D449</f>
        <v>-550</v>
      </c>
      <c r="N449">
        <f t="shared" ref="N449:N512" si="95">B449-E449</f>
        <v>-900</v>
      </c>
      <c r="O449">
        <f t="shared" ref="O449:O512" si="96">B449-F449</f>
        <v>-1300</v>
      </c>
      <c r="P449">
        <f t="shared" ref="P449:P512" si="97">C449-D449</f>
        <v>-799</v>
      </c>
      <c r="Q449">
        <f t="shared" ref="Q449:Q512" si="98">C449-E449</f>
        <v>-1149</v>
      </c>
      <c r="R449">
        <f t="shared" ref="R449:R512" si="99">C449-F449</f>
        <v>-1549</v>
      </c>
      <c r="S449">
        <f t="shared" ref="S449:S512" si="100">D449-E449</f>
        <v>-350</v>
      </c>
      <c r="T449">
        <f t="shared" ref="T449:T512" si="101">D449-F449</f>
        <v>-750</v>
      </c>
      <c r="U449">
        <f t="shared" ref="U449:U512" si="102">E449-F449</f>
        <v>-400</v>
      </c>
      <c r="V449" s="9">
        <f t="shared" si="89"/>
        <v>249</v>
      </c>
      <c r="W449" s="9">
        <f t="shared" si="89"/>
        <v>550</v>
      </c>
      <c r="X449" s="9">
        <f t="shared" si="89"/>
        <v>900</v>
      </c>
      <c r="Y449" s="9">
        <f t="shared" si="89"/>
        <v>1300</v>
      </c>
      <c r="Z449" s="9">
        <f t="shared" si="89"/>
        <v>799</v>
      </c>
      <c r="AA449" s="9">
        <f t="shared" si="88"/>
        <v>1149</v>
      </c>
      <c r="AB449" s="9">
        <f t="shared" si="88"/>
        <v>1549</v>
      </c>
      <c r="AC449" s="9">
        <f t="shared" si="88"/>
        <v>350</v>
      </c>
      <c r="AD449" s="9">
        <f t="shared" si="88"/>
        <v>750</v>
      </c>
      <c r="AE449" s="9">
        <f t="shared" si="88"/>
        <v>400</v>
      </c>
    </row>
    <row r="450" spans="2:31" x14ac:dyDescent="0.25">
      <c r="B450" s="6">
        <v>2247</v>
      </c>
      <c r="C450" s="6">
        <v>2573</v>
      </c>
      <c r="D450" s="6">
        <f t="shared" si="90"/>
        <v>2797</v>
      </c>
      <c r="E450" s="6">
        <f t="shared" si="91"/>
        <v>3147</v>
      </c>
      <c r="F450" s="6">
        <f t="shared" si="92"/>
        <v>3547</v>
      </c>
      <c r="L450">
        <f t="shared" si="93"/>
        <v>-326</v>
      </c>
      <c r="M450">
        <f t="shared" si="94"/>
        <v>-550</v>
      </c>
      <c r="N450">
        <f t="shared" si="95"/>
        <v>-900</v>
      </c>
      <c r="O450">
        <f t="shared" si="96"/>
        <v>-1300</v>
      </c>
      <c r="P450">
        <f t="shared" si="97"/>
        <v>-224</v>
      </c>
      <c r="Q450">
        <f t="shared" si="98"/>
        <v>-574</v>
      </c>
      <c r="R450">
        <f t="shared" si="99"/>
        <v>-974</v>
      </c>
      <c r="S450">
        <f t="shared" si="100"/>
        <v>-350</v>
      </c>
      <c r="T450">
        <f t="shared" si="101"/>
        <v>-750</v>
      </c>
      <c r="U450">
        <f t="shared" si="102"/>
        <v>-400</v>
      </c>
      <c r="V450" s="9">
        <f t="shared" si="89"/>
        <v>326</v>
      </c>
      <c r="W450" s="9">
        <f t="shared" si="89"/>
        <v>550</v>
      </c>
      <c r="X450" s="9">
        <f t="shared" si="89"/>
        <v>900</v>
      </c>
      <c r="Y450" s="9">
        <f t="shared" si="89"/>
        <v>1300</v>
      </c>
      <c r="Z450" s="9">
        <f t="shared" si="89"/>
        <v>224</v>
      </c>
      <c r="AA450" s="9">
        <f t="shared" si="88"/>
        <v>574</v>
      </c>
      <c r="AB450" s="9">
        <f t="shared" si="88"/>
        <v>974</v>
      </c>
      <c r="AC450" s="9">
        <f t="shared" si="88"/>
        <v>350</v>
      </c>
      <c r="AD450" s="9">
        <f t="shared" si="88"/>
        <v>750</v>
      </c>
      <c r="AE450" s="9">
        <f t="shared" si="88"/>
        <v>400</v>
      </c>
    </row>
    <row r="451" spans="2:31" x14ac:dyDescent="0.25">
      <c r="B451" s="6">
        <v>2437</v>
      </c>
      <c r="C451" s="6">
        <v>2678</v>
      </c>
      <c r="D451" s="6">
        <f t="shared" si="90"/>
        <v>2987</v>
      </c>
      <c r="E451" s="6">
        <f t="shared" si="91"/>
        <v>3337</v>
      </c>
      <c r="F451" s="6">
        <f t="shared" si="92"/>
        <v>3737</v>
      </c>
      <c r="L451">
        <f t="shared" si="93"/>
        <v>-241</v>
      </c>
      <c r="M451">
        <f t="shared" si="94"/>
        <v>-550</v>
      </c>
      <c r="N451">
        <f t="shared" si="95"/>
        <v>-900</v>
      </c>
      <c r="O451">
        <f t="shared" si="96"/>
        <v>-1300</v>
      </c>
      <c r="P451">
        <f t="shared" si="97"/>
        <v>-309</v>
      </c>
      <c r="Q451">
        <f t="shared" si="98"/>
        <v>-659</v>
      </c>
      <c r="R451">
        <f t="shared" si="99"/>
        <v>-1059</v>
      </c>
      <c r="S451">
        <f t="shared" si="100"/>
        <v>-350</v>
      </c>
      <c r="T451">
        <f t="shared" si="101"/>
        <v>-750</v>
      </c>
      <c r="U451">
        <f t="shared" si="102"/>
        <v>-400</v>
      </c>
      <c r="V451" s="9">
        <f t="shared" si="89"/>
        <v>241</v>
      </c>
      <c r="W451" s="9">
        <f t="shared" si="89"/>
        <v>550</v>
      </c>
      <c r="X451" s="9">
        <f t="shared" si="89"/>
        <v>900</v>
      </c>
      <c r="Y451" s="9">
        <f t="shared" si="89"/>
        <v>1300</v>
      </c>
      <c r="Z451" s="9">
        <f t="shared" si="89"/>
        <v>309</v>
      </c>
      <c r="AA451" s="9">
        <f t="shared" si="88"/>
        <v>659</v>
      </c>
      <c r="AB451" s="9">
        <f t="shared" si="88"/>
        <v>1059</v>
      </c>
      <c r="AC451" s="9">
        <f t="shared" si="88"/>
        <v>350</v>
      </c>
      <c r="AD451" s="9">
        <f t="shared" si="88"/>
        <v>750</v>
      </c>
      <c r="AE451" s="9">
        <f t="shared" si="88"/>
        <v>400</v>
      </c>
    </row>
    <row r="452" spans="2:31" x14ac:dyDescent="0.25">
      <c r="B452" s="6">
        <v>3874</v>
      </c>
      <c r="C452" s="6">
        <v>4033</v>
      </c>
      <c r="D452" s="6">
        <f t="shared" si="90"/>
        <v>4424</v>
      </c>
      <c r="E452" s="6">
        <f t="shared" si="91"/>
        <v>4774</v>
      </c>
      <c r="F452" s="6">
        <f t="shared" si="92"/>
        <v>5174</v>
      </c>
      <c r="L452">
        <f t="shared" si="93"/>
        <v>-159</v>
      </c>
      <c r="M452">
        <f t="shared" si="94"/>
        <v>-550</v>
      </c>
      <c r="N452">
        <f t="shared" si="95"/>
        <v>-900</v>
      </c>
      <c r="O452">
        <f t="shared" si="96"/>
        <v>-1300</v>
      </c>
      <c r="P452">
        <f t="shared" si="97"/>
        <v>-391</v>
      </c>
      <c r="Q452">
        <f t="shared" si="98"/>
        <v>-741</v>
      </c>
      <c r="R452">
        <f t="shared" si="99"/>
        <v>-1141</v>
      </c>
      <c r="S452">
        <f t="shared" si="100"/>
        <v>-350</v>
      </c>
      <c r="T452">
        <f t="shared" si="101"/>
        <v>-750</v>
      </c>
      <c r="U452">
        <f t="shared" si="102"/>
        <v>-400</v>
      </c>
      <c r="V452" s="9">
        <f t="shared" si="89"/>
        <v>159</v>
      </c>
      <c r="W452" s="9">
        <f t="shared" si="89"/>
        <v>550</v>
      </c>
      <c r="X452" s="9">
        <f t="shared" si="89"/>
        <v>900</v>
      </c>
      <c r="Y452" s="9">
        <f t="shared" si="89"/>
        <v>1300</v>
      </c>
      <c r="Z452" s="9">
        <f t="shared" si="89"/>
        <v>391</v>
      </c>
      <c r="AA452" s="9">
        <f t="shared" si="88"/>
        <v>741</v>
      </c>
      <c r="AB452" s="9">
        <f t="shared" si="88"/>
        <v>1141</v>
      </c>
      <c r="AC452" s="9">
        <f t="shared" si="88"/>
        <v>350</v>
      </c>
      <c r="AD452" s="9">
        <f t="shared" si="88"/>
        <v>750</v>
      </c>
      <c r="AE452" s="9">
        <f t="shared" si="88"/>
        <v>400</v>
      </c>
    </row>
    <row r="453" spans="2:31" x14ac:dyDescent="0.25">
      <c r="B453" s="6">
        <v>2378</v>
      </c>
      <c r="C453" s="6">
        <v>2754</v>
      </c>
      <c r="D453" s="6">
        <f t="shared" si="90"/>
        <v>2928</v>
      </c>
      <c r="E453" s="6">
        <f t="shared" si="91"/>
        <v>3278</v>
      </c>
      <c r="F453" s="6">
        <f t="shared" si="92"/>
        <v>3678</v>
      </c>
      <c r="L453">
        <f t="shared" si="93"/>
        <v>-376</v>
      </c>
      <c r="M453">
        <f t="shared" si="94"/>
        <v>-550</v>
      </c>
      <c r="N453">
        <f t="shared" si="95"/>
        <v>-900</v>
      </c>
      <c r="O453">
        <f t="shared" si="96"/>
        <v>-1300</v>
      </c>
      <c r="P453">
        <f t="shared" si="97"/>
        <v>-174</v>
      </c>
      <c r="Q453">
        <f t="shared" si="98"/>
        <v>-524</v>
      </c>
      <c r="R453">
        <f t="shared" si="99"/>
        <v>-924</v>
      </c>
      <c r="S453">
        <f t="shared" si="100"/>
        <v>-350</v>
      </c>
      <c r="T453">
        <f t="shared" si="101"/>
        <v>-750</v>
      </c>
      <c r="U453">
        <f t="shared" si="102"/>
        <v>-400</v>
      </c>
      <c r="V453" s="9">
        <f t="shared" si="89"/>
        <v>376</v>
      </c>
      <c r="W453" s="9">
        <f t="shared" si="89"/>
        <v>550</v>
      </c>
      <c r="X453" s="9">
        <f t="shared" si="89"/>
        <v>900</v>
      </c>
      <c r="Y453" s="9">
        <f t="shared" si="89"/>
        <v>1300</v>
      </c>
      <c r="Z453" s="9">
        <f t="shared" si="89"/>
        <v>174</v>
      </c>
      <c r="AA453" s="9">
        <f t="shared" si="88"/>
        <v>524</v>
      </c>
      <c r="AB453" s="9">
        <f t="shared" si="88"/>
        <v>924</v>
      </c>
      <c r="AC453" s="9">
        <f t="shared" si="88"/>
        <v>350</v>
      </c>
      <c r="AD453" s="9">
        <f t="shared" si="88"/>
        <v>750</v>
      </c>
      <c r="AE453" s="9">
        <f t="shared" si="88"/>
        <v>400</v>
      </c>
    </row>
    <row r="454" spans="2:31" x14ac:dyDescent="0.25">
      <c r="B454" s="6">
        <v>1478</v>
      </c>
      <c r="C454" s="6">
        <v>1834</v>
      </c>
      <c r="D454" s="6">
        <f t="shared" si="90"/>
        <v>2028</v>
      </c>
      <c r="E454" s="6">
        <f t="shared" si="91"/>
        <v>2378</v>
      </c>
      <c r="F454" s="6">
        <f t="shared" si="92"/>
        <v>2778</v>
      </c>
      <c r="L454">
        <f t="shared" si="93"/>
        <v>-356</v>
      </c>
      <c r="M454">
        <f t="shared" si="94"/>
        <v>-550</v>
      </c>
      <c r="N454">
        <f t="shared" si="95"/>
        <v>-900</v>
      </c>
      <c r="O454">
        <f t="shared" si="96"/>
        <v>-1300</v>
      </c>
      <c r="P454">
        <f t="shared" si="97"/>
        <v>-194</v>
      </c>
      <c r="Q454">
        <f t="shared" si="98"/>
        <v>-544</v>
      </c>
      <c r="R454">
        <f t="shared" si="99"/>
        <v>-944</v>
      </c>
      <c r="S454">
        <f t="shared" si="100"/>
        <v>-350</v>
      </c>
      <c r="T454">
        <f t="shared" si="101"/>
        <v>-750</v>
      </c>
      <c r="U454">
        <f t="shared" si="102"/>
        <v>-400</v>
      </c>
      <c r="V454" s="9">
        <f t="shared" si="89"/>
        <v>356</v>
      </c>
      <c r="W454" s="9">
        <f t="shared" si="89"/>
        <v>550</v>
      </c>
      <c r="X454" s="9">
        <f t="shared" si="89"/>
        <v>900</v>
      </c>
      <c r="Y454" s="9">
        <f t="shared" si="89"/>
        <v>1300</v>
      </c>
      <c r="Z454" s="9">
        <f t="shared" si="89"/>
        <v>194</v>
      </c>
      <c r="AA454" s="9">
        <f t="shared" si="88"/>
        <v>544</v>
      </c>
      <c r="AB454" s="9">
        <f t="shared" si="88"/>
        <v>944</v>
      </c>
      <c r="AC454" s="9">
        <f t="shared" si="88"/>
        <v>350</v>
      </c>
      <c r="AD454" s="9">
        <f t="shared" si="88"/>
        <v>750</v>
      </c>
      <c r="AE454" s="9">
        <f t="shared" si="88"/>
        <v>400</v>
      </c>
    </row>
    <row r="455" spans="2:31" x14ac:dyDescent="0.25">
      <c r="B455" s="6">
        <v>2574</v>
      </c>
      <c r="C455" s="6">
        <v>2754</v>
      </c>
      <c r="D455" s="6">
        <f t="shared" si="90"/>
        <v>3124</v>
      </c>
      <c r="E455" s="6">
        <f t="shared" si="91"/>
        <v>3474</v>
      </c>
      <c r="F455" s="6">
        <f t="shared" si="92"/>
        <v>3874</v>
      </c>
      <c r="L455">
        <f t="shared" si="93"/>
        <v>-180</v>
      </c>
      <c r="M455">
        <f t="shared" si="94"/>
        <v>-550</v>
      </c>
      <c r="N455">
        <f t="shared" si="95"/>
        <v>-900</v>
      </c>
      <c r="O455">
        <f t="shared" si="96"/>
        <v>-1300</v>
      </c>
      <c r="P455">
        <f t="shared" si="97"/>
        <v>-370</v>
      </c>
      <c r="Q455">
        <f t="shared" si="98"/>
        <v>-720</v>
      </c>
      <c r="R455">
        <f t="shared" si="99"/>
        <v>-1120</v>
      </c>
      <c r="S455">
        <f t="shared" si="100"/>
        <v>-350</v>
      </c>
      <c r="T455">
        <f t="shared" si="101"/>
        <v>-750</v>
      </c>
      <c r="U455">
        <f t="shared" si="102"/>
        <v>-400</v>
      </c>
      <c r="V455" s="9">
        <f t="shared" si="89"/>
        <v>180</v>
      </c>
      <c r="W455" s="9">
        <f t="shared" si="89"/>
        <v>550</v>
      </c>
      <c r="X455" s="9">
        <f t="shared" si="89"/>
        <v>900</v>
      </c>
      <c r="Y455" s="9">
        <f t="shared" si="89"/>
        <v>1300</v>
      </c>
      <c r="Z455" s="9">
        <f t="shared" si="89"/>
        <v>370</v>
      </c>
      <c r="AA455" s="9">
        <f t="shared" si="88"/>
        <v>720</v>
      </c>
      <c r="AB455" s="9">
        <f t="shared" si="88"/>
        <v>1120</v>
      </c>
      <c r="AC455" s="9">
        <f t="shared" si="88"/>
        <v>350</v>
      </c>
      <c r="AD455" s="9">
        <f t="shared" si="88"/>
        <v>750</v>
      </c>
      <c r="AE455" s="9">
        <f t="shared" si="88"/>
        <v>400</v>
      </c>
    </row>
    <row r="456" spans="2:31" x14ac:dyDescent="0.25">
      <c r="B456" s="6">
        <v>3346</v>
      </c>
      <c r="C456" s="6">
        <v>3547</v>
      </c>
      <c r="D456" s="6">
        <f t="shared" si="90"/>
        <v>3896</v>
      </c>
      <c r="E456" s="6">
        <f t="shared" si="91"/>
        <v>4246</v>
      </c>
      <c r="F456" s="6">
        <f t="shared" si="92"/>
        <v>4646</v>
      </c>
      <c r="L456">
        <f t="shared" si="93"/>
        <v>-201</v>
      </c>
      <c r="M456">
        <f t="shared" si="94"/>
        <v>-550</v>
      </c>
      <c r="N456">
        <f t="shared" si="95"/>
        <v>-900</v>
      </c>
      <c r="O456">
        <f t="shared" si="96"/>
        <v>-1300</v>
      </c>
      <c r="P456">
        <f t="shared" si="97"/>
        <v>-349</v>
      </c>
      <c r="Q456">
        <f t="shared" si="98"/>
        <v>-699</v>
      </c>
      <c r="R456">
        <f t="shared" si="99"/>
        <v>-1099</v>
      </c>
      <c r="S456">
        <f t="shared" si="100"/>
        <v>-350</v>
      </c>
      <c r="T456">
        <f t="shared" si="101"/>
        <v>-750</v>
      </c>
      <c r="U456">
        <f t="shared" si="102"/>
        <v>-400</v>
      </c>
      <c r="V456" s="9">
        <f t="shared" si="89"/>
        <v>201</v>
      </c>
      <c r="W456" s="9">
        <f t="shared" si="89"/>
        <v>550</v>
      </c>
      <c r="X456" s="9">
        <f t="shared" si="89"/>
        <v>900</v>
      </c>
      <c r="Y456" s="9">
        <f t="shared" si="89"/>
        <v>1300</v>
      </c>
      <c r="Z456" s="9">
        <f t="shared" si="89"/>
        <v>349</v>
      </c>
      <c r="AA456" s="9">
        <f t="shared" si="88"/>
        <v>699</v>
      </c>
      <c r="AB456" s="9">
        <f t="shared" si="88"/>
        <v>1099</v>
      </c>
      <c r="AC456" s="9">
        <f t="shared" si="88"/>
        <v>350</v>
      </c>
      <c r="AD456" s="9">
        <f t="shared" si="88"/>
        <v>750</v>
      </c>
      <c r="AE456" s="9">
        <f t="shared" si="88"/>
        <v>400</v>
      </c>
    </row>
    <row r="457" spans="2:31" x14ac:dyDescent="0.25">
      <c r="B457" s="6">
        <v>3871</v>
      </c>
      <c r="C457" s="6">
        <v>4026</v>
      </c>
      <c r="D457" s="6">
        <f t="shared" si="90"/>
        <v>4421</v>
      </c>
      <c r="E457" s="6">
        <f t="shared" si="91"/>
        <v>4771</v>
      </c>
      <c r="F457" s="6">
        <f t="shared" si="92"/>
        <v>5171</v>
      </c>
      <c r="L457">
        <f t="shared" si="93"/>
        <v>-155</v>
      </c>
      <c r="M457">
        <f t="shared" si="94"/>
        <v>-550</v>
      </c>
      <c r="N457">
        <f t="shared" si="95"/>
        <v>-900</v>
      </c>
      <c r="O457">
        <f t="shared" si="96"/>
        <v>-1300</v>
      </c>
      <c r="P457">
        <f t="shared" si="97"/>
        <v>-395</v>
      </c>
      <c r="Q457">
        <f t="shared" si="98"/>
        <v>-745</v>
      </c>
      <c r="R457">
        <f t="shared" si="99"/>
        <v>-1145</v>
      </c>
      <c r="S457">
        <f t="shared" si="100"/>
        <v>-350</v>
      </c>
      <c r="T457">
        <f t="shared" si="101"/>
        <v>-750</v>
      </c>
      <c r="U457">
        <f t="shared" si="102"/>
        <v>-400</v>
      </c>
      <c r="V457" s="9">
        <f t="shared" si="89"/>
        <v>155</v>
      </c>
      <c r="W457" s="9">
        <f t="shared" si="89"/>
        <v>550</v>
      </c>
      <c r="X457" s="9">
        <f t="shared" si="89"/>
        <v>900</v>
      </c>
      <c r="Y457" s="9">
        <f t="shared" si="89"/>
        <v>1300</v>
      </c>
      <c r="Z457" s="9">
        <f t="shared" si="89"/>
        <v>395</v>
      </c>
      <c r="AA457" s="9">
        <f t="shared" si="88"/>
        <v>745</v>
      </c>
      <c r="AB457" s="9">
        <f t="shared" si="88"/>
        <v>1145</v>
      </c>
      <c r="AC457" s="9">
        <f t="shared" si="88"/>
        <v>350</v>
      </c>
      <c r="AD457" s="9">
        <f t="shared" si="88"/>
        <v>750</v>
      </c>
      <c r="AE457" s="9">
        <f t="shared" si="88"/>
        <v>400</v>
      </c>
    </row>
    <row r="458" spans="2:31" x14ac:dyDescent="0.25">
      <c r="B458" s="6">
        <v>2678</v>
      </c>
      <c r="C458" s="6">
        <v>3077</v>
      </c>
      <c r="D458" s="6">
        <f t="shared" si="90"/>
        <v>3228</v>
      </c>
      <c r="E458" s="6">
        <f t="shared" si="91"/>
        <v>3578</v>
      </c>
      <c r="F458" s="6">
        <f t="shared" si="92"/>
        <v>3978</v>
      </c>
      <c r="L458">
        <f t="shared" si="93"/>
        <v>-399</v>
      </c>
      <c r="M458">
        <f t="shared" si="94"/>
        <v>-550</v>
      </c>
      <c r="N458">
        <f t="shared" si="95"/>
        <v>-900</v>
      </c>
      <c r="O458">
        <f t="shared" si="96"/>
        <v>-1300</v>
      </c>
      <c r="P458">
        <f t="shared" si="97"/>
        <v>-151</v>
      </c>
      <c r="Q458">
        <f t="shared" si="98"/>
        <v>-501</v>
      </c>
      <c r="R458">
        <f t="shared" si="99"/>
        <v>-901</v>
      </c>
      <c r="S458">
        <f t="shared" si="100"/>
        <v>-350</v>
      </c>
      <c r="T458">
        <f t="shared" si="101"/>
        <v>-750</v>
      </c>
      <c r="U458">
        <f t="shared" si="102"/>
        <v>-400</v>
      </c>
      <c r="V458" s="9">
        <f t="shared" si="89"/>
        <v>399</v>
      </c>
      <c r="W458" s="9">
        <f t="shared" si="89"/>
        <v>550</v>
      </c>
      <c r="X458" s="9">
        <f t="shared" si="89"/>
        <v>900</v>
      </c>
      <c r="Y458" s="9">
        <f t="shared" si="89"/>
        <v>1300</v>
      </c>
      <c r="Z458" s="9">
        <f t="shared" si="89"/>
        <v>151</v>
      </c>
      <c r="AA458" s="9">
        <f t="shared" si="88"/>
        <v>501</v>
      </c>
      <c r="AB458" s="9">
        <f t="shared" si="88"/>
        <v>901</v>
      </c>
      <c r="AC458" s="9">
        <f t="shared" si="88"/>
        <v>350</v>
      </c>
      <c r="AD458" s="9">
        <f t="shared" si="88"/>
        <v>750</v>
      </c>
      <c r="AE458" s="9">
        <f t="shared" si="88"/>
        <v>400</v>
      </c>
    </row>
    <row r="459" spans="2:31" x14ac:dyDescent="0.25">
      <c r="B459" s="6">
        <v>2957</v>
      </c>
      <c r="C459" s="6">
        <v>3210</v>
      </c>
      <c r="D459" s="6">
        <f t="shared" si="90"/>
        <v>3507</v>
      </c>
      <c r="E459" s="6">
        <f t="shared" si="91"/>
        <v>3857</v>
      </c>
      <c r="F459" s="6">
        <f t="shared" si="92"/>
        <v>4257</v>
      </c>
      <c r="L459">
        <f t="shared" si="93"/>
        <v>-253</v>
      </c>
      <c r="M459">
        <f t="shared" si="94"/>
        <v>-550</v>
      </c>
      <c r="N459">
        <f t="shared" si="95"/>
        <v>-900</v>
      </c>
      <c r="O459">
        <f t="shared" si="96"/>
        <v>-1300</v>
      </c>
      <c r="P459">
        <f t="shared" si="97"/>
        <v>-297</v>
      </c>
      <c r="Q459">
        <f t="shared" si="98"/>
        <v>-647</v>
      </c>
      <c r="R459">
        <f t="shared" si="99"/>
        <v>-1047</v>
      </c>
      <c r="S459">
        <f t="shared" si="100"/>
        <v>-350</v>
      </c>
      <c r="T459">
        <f t="shared" si="101"/>
        <v>-750</v>
      </c>
      <c r="U459">
        <f t="shared" si="102"/>
        <v>-400</v>
      </c>
      <c r="V459" s="9">
        <f t="shared" si="89"/>
        <v>253</v>
      </c>
      <c r="W459" s="9">
        <f t="shared" si="89"/>
        <v>550</v>
      </c>
      <c r="X459" s="9">
        <f t="shared" si="89"/>
        <v>900</v>
      </c>
      <c r="Y459" s="9">
        <f t="shared" si="89"/>
        <v>1300</v>
      </c>
      <c r="Z459" s="9">
        <f t="shared" si="89"/>
        <v>297</v>
      </c>
      <c r="AA459" s="9">
        <f t="shared" si="88"/>
        <v>647</v>
      </c>
      <c r="AB459" s="9">
        <f t="shared" si="88"/>
        <v>1047</v>
      </c>
      <c r="AC459" s="9">
        <f t="shared" si="88"/>
        <v>350</v>
      </c>
      <c r="AD459" s="9">
        <f t="shared" si="88"/>
        <v>750</v>
      </c>
      <c r="AE459" s="9">
        <f t="shared" si="88"/>
        <v>400</v>
      </c>
    </row>
    <row r="460" spans="2:31" x14ac:dyDescent="0.25">
      <c r="B460" s="6">
        <v>3586</v>
      </c>
      <c r="C460" s="6">
        <v>3271</v>
      </c>
      <c r="D460" s="6">
        <f t="shared" si="90"/>
        <v>4136</v>
      </c>
      <c r="E460" s="6">
        <v>4267</v>
      </c>
      <c r="F460" s="6">
        <v>4399</v>
      </c>
      <c r="L460">
        <f t="shared" si="93"/>
        <v>315</v>
      </c>
      <c r="M460">
        <f t="shared" si="94"/>
        <v>-550</v>
      </c>
      <c r="N460">
        <f t="shared" si="95"/>
        <v>-681</v>
      </c>
      <c r="O460">
        <f t="shared" si="96"/>
        <v>-813</v>
      </c>
      <c r="P460">
        <f t="shared" si="97"/>
        <v>-865</v>
      </c>
      <c r="Q460">
        <f t="shared" si="98"/>
        <v>-996</v>
      </c>
      <c r="R460">
        <f t="shared" si="99"/>
        <v>-1128</v>
      </c>
      <c r="S460">
        <f t="shared" si="100"/>
        <v>-131</v>
      </c>
      <c r="T460">
        <f t="shared" si="101"/>
        <v>-263</v>
      </c>
      <c r="U460">
        <f t="shared" si="102"/>
        <v>-132</v>
      </c>
      <c r="V460" s="9">
        <f t="shared" si="89"/>
        <v>315</v>
      </c>
      <c r="W460" s="9">
        <f t="shared" si="89"/>
        <v>550</v>
      </c>
      <c r="X460" s="9">
        <f t="shared" si="89"/>
        <v>681</v>
      </c>
      <c r="Y460" s="9">
        <f t="shared" si="89"/>
        <v>813</v>
      </c>
      <c r="Z460" s="9">
        <f t="shared" si="89"/>
        <v>865</v>
      </c>
      <c r="AA460" s="9">
        <f t="shared" si="88"/>
        <v>996</v>
      </c>
      <c r="AB460" s="9">
        <f t="shared" si="88"/>
        <v>1128</v>
      </c>
      <c r="AC460" s="9">
        <f t="shared" si="88"/>
        <v>131</v>
      </c>
      <c r="AD460" s="9">
        <f t="shared" si="88"/>
        <v>263</v>
      </c>
      <c r="AE460" s="9">
        <f t="shared" si="88"/>
        <v>132</v>
      </c>
    </row>
    <row r="461" spans="2:31" x14ac:dyDescent="0.25">
      <c r="B461" s="6">
        <v>3178</v>
      </c>
      <c r="C461" s="6">
        <v>3324</v>
      </c>
      <c r="D461" s="6">
        <v>3456</v>
      </c>
      <c r="E461" s="6">
        <f t="shared" si="91"/>
        <v>4078</v>
      </c>
      <c r="F461" s="6">
        <f t="shared" si="92"/>
        <v>4478</v>
      </c>
      <c r="L461">
        <f t="shared" si="93"/>
        <v>-146</v>
      </c>
      <c r="M461">
        <f t="shared" si="94"/>
        <v>-278</v>
      </c>
      <c r="N461">
        <f t="shared" si="95"/>
        <v>-900</v>
      </c>
      <c r="O461">
        <f t="shared" si="96"/>
        <v>-1300</v>
      </c>
      <c r="P461">
        <f t="shared" si="97"/>
        <v>-132</v>
      </c>
      <c r="Q461">
        <f t="shared" si="98"/>
        <v>-754</v>
      </c>
      <c r="R461">
        <f t="shared" si="99"/>
        <v>-1154</v>
      </c>
      <c r="S461">
        <f t="shared" si="100"/>
        <v>-622</v>
      </c>
      <c r="T461">
        <f t="shared" si="101"/>
        <v>-1022</v>
      </c>
      <c r="U461">
        <f t="shared" si="102"/>
        <v>-400</v>
      </c>
      <c r="V461" s="9">
        <f t="shared" si="89"/>
        <v>146</v>
      </c>
      <c r="W461" s="9">
        <f t="shared" si="89"/>
        <v>278</v>
      </c>
      <c r="X461" s="9">
        <f t="shared" si="89"/>
        <v>900</v>
      </c>
      <c r="Y461" s="9">
        <f t="shared" si="89"/>
        <v>1300</v>
      </c>
      <c r="Z461" s="9">
        <f t="shared" si="89"/>
        <v>132</v>
      </c>
      <c r="AA461" s="9">
        <f t="shared" si="88"/>
        <v>754</v>
      </c>
      <c r="AB461" s="9">
        <f t="shared" si="88"/>
        <v>1154</v>
      </c>
      <c r="AC461" s="9">
        <f t="shared" si="88"/>
        <v>622</v>
      </c>
      <c r="AD461" s="9">
        <f t="shared" si="88"/>
        <v>1022</v>
      </c>
      <c r="AE461" s="9">
        <f t="shared" si="88"/>
        <v>400</v>
      </c>
    </row>
    <row r="462" spans="2:31" x14ac:dyDescent="0.25">
      <c r="B462" s="6">
        <v>4100</v>
      </c>
      <c r="C462" s="6">
        <v>4216</v>
      </c>
      <c r="D462" s="6">
        <v>3678</v>
      </c>
      <c r="E462" s="6">
        <f t="shared" si="91"/>
        <v>5000</v>
      </c>
      <c r="F462" s="6">
        <f t="shared" si="92"/>
        <v>5400</v>
      </c>
      <c r="L462">
        <f t="shared" si="93"/>
        <v>-116</v>
      </c>
      <c r="M462">
        <f t="shared" si="94"/>
        <v>422</v>
      </c>
      <c r="N462">
        <f t="shared" si="95"/>
        <v>-900</v>
      </c>
      <c r="O462">
        <f t="shared" si="96"/>
        <v>-1300</v>
      </c>
      <c r="P462">
        <f t="shared" si="97"/>
        <v>538</v>
      </c>
      <c r="Q462">
        <f t="shared" si="98"/>
        <v>-784</v>
      </c>
      <c r="R462">
        <f t="shared" si="99"/>
        <v>-1184</v>
      </c>
      <c r="S462">
        <f t="shared" si="100"/>
        <v>-1322</v>
      </c>
      <c r="T462">
        <f t="shared" si="101"/>
        <v>-1722</v>
      </c>
      <c r="U462">
        <f t="shared" si="102"/>
        <v>-400</v>
      </c>
      <c r="V462" s="9">
        <f t="shared" si="89"/>
        <v>116</v>
      </c>
      <c r="W462" s="9">
        <f t="shared" si="89"/>
        <v>422</v>
      </c>
      <c r="X462" s="9">
        <f t="shared" si="89"/>
        <v>900</v>
      </c>
      <c r="Y462" s="9">
        <f t="shared" si="89"/>
        <v>1300</v>
      </c>
      <c r="Z462" s="9">
        <f t="shared" si="89"/>
        <v>538</v>
      </c>
      <c r="AA462" s="9">
        <f t="shared" si="88"/>
        <v>784</v>
      </c>
      <c r="AB462" s="9">
        <f t="shared" si="88"/>
        <v>1184</v>
      </c>
      <c r="AC462" s="9">
        <f t="shared" si="88"/>
        <v>1322</v>
      </c>
      <c r="AD462" s="9">
        <f t="shared" si="88"/>
        <v>1722</v>
      </c>
      <c r="AE462" s="9">
        <f t="shared" si="88"/>
        <v>400</v>
      </c>
    </row>
    <row r="463" spans="2:31" x14ac:dyDescent="0.25">
      <c r="B463" s="6">
        <v>3789</v>
      </c>
      <c r="C463" s="6">
        <v>3991</v>
      </c>
      <c r="D463" s="6">
        <f t="shared" si="90"/>
        <v>4339</v>
      </c>
      <c r="E463" s="6">
        <v>4278</v>
      </c>
      <c r="F463" s="6">
        <v>4627</v>
      </c>
      <c r="L463">
        <f t="shared" si="93"/>
        <v>-202</v>
      </c>
      <c r="M463">
        <f t="shared" si="94"/>
        <v>-550</v>
      </c>
      <c r="N463">
        <f t="shared" si="95"/>
        <v>-489</v>
      </c>
      <c r="O463">
        <f t="shared" si="96"/>
        <v>-838</v>
      </c>
      <c r="P463">
        <f t="shared" si="97"/>
        <v>-348</v>
      </c>
      <c r="Q463">
        <f t="shared" si="98"/>
        <v>-287</v>
      </c>
      <c r="R463">
        <f t="shared" si="99"/>
        <v>-636</v>
      </c>
      <c r="S463">
        <f t="shared" si="100"/>
        <v>61</v>
      </c>
      <c r="T463">
        <f t="shared" si="101"/>
        <v>-288</v>
      </c>
      <c r="U463">
        <f t="shared" si="102"/>
        <v>-349</v>
      </c>
      <c r="V463" s="9">
        <f t="shared" si="89"/>
        <v>202</v>
      </c>
      <c r="W463" s="9">
        <f t="shared" si="89"/>
        <v>550</v>
      </c>
      <c r="X463" s="9">
        <f t="shared" si="89"/>
        <v>489</v>
      </c>
      <c r="Y463" s="9">
        <f t="shared" si="89"/>
        <v>838</v>
      </c>
      <c r="Z463" s="9">
        <f t="shared" si="89"/>
        <v>348</v>
      </c>
      <c r="AA463" s="9">
        <f t="shared" si="88"/>
        <v>287</v>
      </c>
      <c r="AB463" s="9">
        <f t="shared" si="88"/>
        <v>636</v>
      </c>
      <c r="AC463" s="9">
        <f t="shared" si="88"/>
        <v>61</v>
      </c>
      <c r="AD463" s="9">
        <f t="shared" si="88"/>
        <v>288</v>
      </c>
      <c r="AE463" s="9">
        <f t="shared" si="88"/>
        <v>349</v>
      </c>
    </row>
    <row r="464" spans="2:31" x14ac:dyDescent="0.25">
      <c r="B464" s="6">
        <v>3894</v>
      </c>
      <c r="C464" s="6">
        <v>4027</v>
      </c>
      <c r="D464" s="6">
        <f t="shared" si="90"/>
        <v>4444</v>
      </c>
      <c r="E464" s="6">
        <f t="shared" si="91"/>
        <v>4794</v>
      </c>
      <c r="F464" s="6">
        <f t="shared" si="92"/>
        <v>5194</v>
      </c>
      <c r="L464">
        <f t="shared" si="93"/>
        <v>-133</v>
      </c>
      <c r="M464">
        <f t="shared" si="94"/>
        <v>-550</v>
      </c>
      <c r="N464">
        <f t="shared" si="95"/>
        <v>-900</v>
      </c>
      <c r="O464">
        <f t="shared" si="96"/>
        <v>-1300</v>
      </c>
      <c r="P464">
        <f t="shared" si="97"/>
        <v>-417</v>
      </c>
      <c r="Q464">
        <f t="shared" si="98"/>
        <v>-767</v>
      </c>
      <c r="R464">
        <f t="shared" si="99"/>
        <v>-1167</v>
      </c>
      <c r="S464">
        <f t="shared" si="100"/>
        <v>-350</v>
      </c>
      <c r="T464">
        <f t="shared" si="101"/>
        <v>-750</v>
      </c>
      <c r="U464">
        <f t="shared" si="102"/>
        <v>-400</v>
      </c>
      <c r="V464" s="9">
        <f t="shared" si="89"/>
        <v>133</v>
      </c>
      <c r="W464" s="9">
        <f t="shared" si="89"/>
        <v>550</v>
      </c>
      <c r="X464" s="9">
        <f t="shared" si="89"/>
        <v>900</v>
      </c>
      <c r="Y464" s="9">
        <f t="shared" si="89"/>
        <v>1300</v>
      </c>
      <c r="Z464" s="9">
        <f t="shared" si="89"/>
        <v>417</v>
      </c>
      <c r="AA464" s="9">
        <f t="shared" si="88"/>
        <v>767</v>
      </c>
      <c r="AB464" s="9">
        <f t="shared" si="88"/>
        <v>1167</v>
      </c>
      <c r="AC464" s="9">
        <f t="shared" si="88"/>
        <v>350</v>
      </c>
      <c r="AD464" s="9">
        <f t="shared" si="88"/>
        <v>750</v>
      </c>
      <c r="AE464" s="9">
        <f t="shared" si="88"/>
        <v>400</v>
      </c>
    </row>
    <row r="465" spans="2:31" x14ac:dyDescent="0.25">
      <c r="B465" s="6">
        <v>3547</v>
      </c>
      <c r="C465" s="6">
        <v>3547</v>
      </c>
      <c r="D465" s="6">
        <f t="shared" si="90"/>
        <v>4097</v>
      </c>
      <c r="E465" s="6">
        <f t="shared" si="91"/>
        <v>4447</v>
      </c>
      <c r="F465" s="6">
        <v>4570</v>
      </c>
      <c r="L465">
        <f t="shared" si="93"/>
        <v>0</v>
      </c>
      <c r="M465">
        <f t="shared" si="94"/>
        <v>-550</v>
      </c>
      <c r="N465">
        <f t="shared" si="95"/>
        <v>-900</v>
      </c>
      <c r="O465">
        <f t="shared" si="96"/>
        <v>-1023</v>
      </c>
      <c r="P465">
        <f t="shared" si="97"/>
        <v>-550</v>
      </c>
      <c r="Q465">
        <f t="shared" si="98"/>
        <v>-900</v>
      </c>
      <c r="R465">
        <f t="shared" si="99"/>
        <v>-1023</v>
      </c>
      <c r="S465">
        <f t="shared" si="100"/>
        <v>-350</v>
      </c>
      <c r="T465">
        <f t="shared" si="101"/>
        <v>-473</v>
      </c>
      <c r="U465">
        <f t="shared" si="102"/>
        <v>-123</v>
      </c>
      <c r="V465" s="9">
        <f t="shared" si="89"/>
        <v>0</v>
      </c>
      <c r="W465" s="9">
        <f t="shared" si="89"/>
        <v>550</v>
      </c>
      <c r="X465" s="9">
        <f t="shared" si="89"/>
        <v>900</v>
      </c>
      <c r="Y465" s="9">
        <f t="shared" si="89"/>
        <v>1023</v>
      </c>
      <c r="Z465" s="9">
        <f t="shared" si="89"/>
        <v>550</v>
      </c>
      <c r="AA465" s="9">
        <f t="shared" si="88"/>
        <v>900</v>
      </c>
      <c r="AB465" s="9">
        <f t="shared" si="88"/>
        <v>1023</v>
      </c>
      <c r="AC465" s="9">
        <f t="shared" si="88"/>
        <v>350</v>
      </c>
      <c r="AD465" s="9">
        <f t="shared" si="88"/>
        <v>473</v>
      </c>
      <c r="AE465" s="9">
        <f t="shared" si="88"/>
        <v>123</v>
      </c>
    </row>
    <row r="466" spans="2:31" x14ac:dyDescent="0.25">
      <c r="B466" s="6">
        <v>3678</v>
      </c>
      <c r="C466" s="6">
        <v>3749</v>
      </c>
      <c r="D466" s="6">
        <f t="shared" si="90"/>
        <v>4228</v>
      </c>
      <c r="E466" s="6">
        <f t="shared" si="91"/>
        <v>4578</v>
      </c>
      <c r="F466" s="6">
        <f t="shared" si="92"/>
        <v>4978</v>
      </c>
      <c r="L466">
        <f t="shared" si="93"/>
        <v>-71</v>
      </c>
      <c r="M466">
        <f t="shared" si="94"/>
        <v>-550</v>
      </c>
      <c r="N466">
        <f t="shared" si="95"/>
        <v>-900</v>
      </c>
      <c r="O466">
        <f t="shared" si="96"/>
        <v>-1300</v>
      </c>
      <c r="P466">
        <f t="shared" si="97"/>
        <v>-479</v>
      </c>
      <c r="Q466">
        <f t="shared" si="98"/>
        <v>-829</v>
      </c>
      <c r="R466">
        <f t="shared" si="99"/>
        <v>-1229</v>
      </c>
      <c r="S466">
        <f t="shared" si="100"/>
        <v>-350</v>
      </c>
      <c r="T466">
        <f t="shared" si="101"/>
        <v>-750</v>
      </c>
      <c r="U466">
        <f t="shared" si="102"/>
        <v>-400</v>
      </c>
      <c r="V466" s="9">
        <f t="shared" si="89"/>
        <v>71</v>
      </c>
      <c r="W466" s="9">
        <f t="shared" si="89"/>
        <v>550</v>
      </c>
      <c r="X466" s="9">
        <f t="shared" si="89"/>
        <v>900</v>
      </c>
      <c r="Y466" s="9">
        <f t="shared" si="89"/>
        <v>1300</v>
      </c>
      <c r="Z466" s="9">
        <f t="shared" si="89"/>
        <v>479</v>
      </c>
      <c r="AA466" s="9">
        <f t="shared" si="88"/>
        <v>829</v>
      </c>
      <c r="AB466" s="9">
        <f t="shared" si="88"/>
        <v>1229</v>
      </c>
      <c r="AC466" s="9">
        <f t="shared" si="88"/>
        <v>350</v>
      </c>
      <c r="AD466" s="9">
        <f t="shared" si="88"/>
        <v>750</v>
      </c>
      <c r="AE466" s="9">
        <f t="shared" si="88"/>
        <v>400</v>
      </c>
    </row>
    <row r="467" spans="2:31" x14ac:dyDescent="0.25">
      <c r="B467" s="6">
        <v>4587</v>
      </c>
      <c r="C467" s="6">
        <v>4821</v>
      </c>
      <c r="D467" s="6">
        <v>5279</v>
      </c>
      <c r="E467" s="6">
        <v>5347</v>
      </c>
      <c r="F467" s="6">
        <f t="shared" si="92"/>
        <v>5747</v>
      </c>
      <c r="L467">
        <f t="shared" si="93"/>
        <v>-234</v>
      </c>
      <c r="M467">
        <f t="shared" si="94"/>
        <v>-692</v>
      </c>
      <c r="N467">
        <f t="shared" si="95"/>
        <v>-760</v>
      </c>
      <c r="O467">
        <f t="shared" si="96"/>
        <v>-1160</v>
      </c>
      <c r="P467">
        <f t="shared" si="97"/>
        <v>-458</v>
      </c>
      <c r="Q467">
        <f t="shared" si="98"/>
        <v>-526</v>
      </c>
      <c r="R467">
        <f t="shared" si="99"/>
        <v>-926</v>
      </c>
      <c r="S467">
        <f t="shared" si="100"/>
        <v>-68</v>
      </c>
      <c r="T467">
        <f t="shared" si="101"/>
        <v>-468</v>
      </c>
      <c r="U467">
        <f t="shared" si="102"/>
        <v>-400</v>
      </c>
      <c r="V467" s="9">
        <f t="shared" si="89"/>
        <v>234</v>
      </c>
      <c r="W467" s="9">
        <f t="shared" si="89"/>
        <v>692</v>
      </c>
      <c r="X467" s="9">
        <f t="shared" si="89"/>
        <v>760</v>
      </c>
      <c r="Y467" s="9">
        <f t="shared" si="89"/>
        <v>1160</v>
      </c>
      <c r="Z467" s="9">
        <f t="shared" si="89"/>
        <v>458</v>
      </c>
      <c r="AA467" s="9">
        <f t="shared" si="88"/>
        <v>526</v>
      </c>
      <c r="AB467" s="9">
        <f t="shared" si="88"/>
        <v>926</v>
      </c>
      <c r="AC467" s="9">
        <f t="shared" si="88"/>
        <v>68</v>
      </c>
      <c r="AD467" s="9">
        <f t="shared" si="88"/>
        <v>468</v>
      </c>
      <c r="AE467" s="9">
        <f t="shared" si="88"/>
        <v>400</v>
      </c>
    </row>
    <row r="468" spans="2:31" x14ac:dyDescent="0.25">
      <c r="B468" s="6">
        <v>4236</v>
      </c>
      <c r="C468" s="6">
        <v>4521</v>
      </c>
      <c r="D468" s="6">
        <f t="shared" si="90"/>
        <v>4786</v>
      </c>
      <c r="E468" s="6">
        <f t="shared" si="91"/>
        <v>5136</v>
      </c>
      <c r="F468" s="6">
        <f t="shared" si="92"/>
        <v>5536</v>
      </c>
      <c r="L468">
        <f t="shared" si="93"/>
        <v>-285</v>
      </c>
      <c r="M468">
        <f t="shared" si="94"/>
        <v>-550</v>
      </c>
      <c r="N468">
        <f t="shared" si="95"/>
        <v>-900</v>
      </c>
      <c r="O468">
        <f t="shared" si="96"/>
        <v>-1300</v>
      </c>
      <c r="P468">
        <f t="shared" si="97"/>
        <v>-265</v>
      </c>
      <c r="Q468">
        <f t="shared" si="98"/>
        <v>-615</v>
      </c>
      <c r="R468">
        <f t="shared" si="99"/>
        <v>-1015</v>
      </c>
      <c r="S468">
        <f t="shared" si="100"/>
        <v>-350</v>
      </c>
      <c r="T468">
        <f t="shared" si="101"/>
        <v>-750</v>
      </c>
      <c r="U468">
        <f t="shared" si="102"/>
        <v>-400</v>
      </c>
      <c r="V468" s="9">
        <f t="shared" si="89"/>
        <v>285</v>
      </c>
      <c r="W468" s="9">
        <f t="shared" si="89"/>
        <v>550</v>
      </c>
      <c r="X468" s="9">
        <f t="shared" si="89"/>
        <v>900</v>
      </c>
      <c r="Y468" s="9">
        <f t="shared" si="89"/>
        <v>1300</v>
      </c>
      <c r="Z468" s="9">
        <f t="shared" si="89"/>
        <v>265</v>
      </c>
      <c r="AA468" s="9">
        <f t="shared" si="88"/>
        <v>615</v>
      </c>
      <c r="AB468" s="9">
        <f t="shared" si="88"/>
        <v>1015</v>
      </c>
      <c r="AC468" s="9">
        <f t="shared" si="88"/>
        <v>350</v>
      </c>
      <c r="AD468" s="9">
        <f t="shared" si="88"/>
        <v>750</v>
      </c>
      <c r="AE468" s="9">
        <f t="shared" si="88"/>
        <v>400</v>
      </c>
    </row>
    <row r="469" spans="2:31" x14ac:dyDescent="0.25">
      <c r="B469" s="6">
        <v>5549</v>
      </c>
      <c r="C469" s="6">
        <v>5749</v>
      </c>
      <c r="D469" s="6">
        <f t="shared" si="90"/>
        <v>6099</v>
      </c>
      <c r="E469" s="6">
        <f t="shared" si="91"/>
        <v>6449</v>
      </c>
      <c r="F469" s="6">
        <v>6758</v>
      </c>
      <c r="L469">
        <f t="shared" si="93"/>
        <v>-200</v>
      </c>
      <c r="M469">
        <f t="shared" si="94"/>
        <v>-550</v>
      </c>
      <c r="N469">
        <f t="shared" si="95"/>
        <v>-900</v>
      </c>
      <c r="O469">
        <f t="shared" si="96"/>
        <v>-1209</v>
      </c>
      <c r="P469">
        <f t="shared" si="97"/>
        <v>-350</v>
      </c>
      <c r="Q469">
        <f t="shared" si="98"/>
        <v>-700</v>
      </c>
      <c r="R469">
        <f t="shared" si="99"/>
        <v>-1009</v>
      </c>
      <c r="S469">
        <f t="shared" si="100"/>
        <v>-350</v>
      </c>
      <c r="T469">
        <f t="shared" si="101"/>
        <v>-659</v>
      </c>
      <c r="U469">
        <f t="shared" si="102"/>
        <v>-309</v>
      </c>
      <c r="V469" s="9">
        <f t="shared" si="89"/>
        <v>200</v>
      </c>
      <c r="W469" s="9">
        <f t="shared" si="89"/>
        <v>550</v>
      </c>
      <c r="X469" s="9">
        <f t="shared" si="89"/>
        <v>900</v>
      </c>
      <c r="Y469" s="9">
        <f t="shared" si="89"/>
        <v>1209</v>
      </c>
      <c r="Z469" s="9">
        <f t="shared" si="89"/>
        <v>350</v>
      </c>
      <c r="AA469" s="9">
        <f t="shared" si="88"/>
        <v>700</v>
      </c>
      <c r="AB469" s="9">
        <f t="shared" si="88"/>
        <v>1009</v>
      </c>
      <c r="AC469" s="9">
        <f t="shared" si="88"/>
        <v>350</v>
      </c>
      <c r="AD469" s="9">
        <f t="shared" si="88"/>
        <v>659</v>
      </c>
      <c r="AE469" s="9">
        <f t="shared" si="88"/>
        <v>309</v>
      </c>
    </row>
    <row r="470" spans="2:31" x14ac:dyDescent="0.25">
      <c r="B470" s="6">
        <v>5137</v>
      </c>
      <c r="C470" s="6">
        <v>5347</v>
      </c>
      <c r="D470" s="6">
        <v>5482</v>
      </c>
      <c r="E470" s="6">
        <f t="shared" si="91"/>
        <v>6037</v>
      </c>
      <c r="F470" s="6">
        <f t="shared" si="92"/>
        <v>6437</v>
      </c>
      <c r="L470">
        <f t="shared" si="93"/>
        <v>-210</v>
      </c>
      <c r="M470">
        <f t="shared" si="94"/>
        <v>-345</v>
      </c>
      <c r="N470">
        <f t="shared" si="95"/>
        <v>-900</v>
      </c>
      <c r="O470">
        <f t="shared" si="96"/>
        <v>-1300</v>
      </c>
      <c r="P470">
        <f t="shared" si="97"/>
        <v>-135</v>
      </c>
      <c r="Q470">
        <f t="shared" si="98"/>
        <v>-690</v>
      </c>
      <c r="R470">
        <f t="shared" si="99"/>
        <v>-1090</v>
      </c>
      <c r="S470">
        <f t="shared" si="100"/>
        <v>-555</v>
      </c>
      <c r="T470">
        <f t="shared" si="101"/>
        <v>-955</v>
      </c>
      <c r="U470">
        <f t="shared" si="102"/>
        <v>-400</v>
      </c>
      <c r="V470" s="9">
        <f t="shared" si="89"/>
        <v>210</v>
      </c>
      <c r="W470" s="9">
        <f t="shared" si="89"/>
        <v>345</v>
      </c>
      <c r="X470" s="9">
        <f t="shared" si="89"/>
        <v>900</v>
      </c>
      <c r="Y470" s="9">
        <f t="shared" si="89"/>
        <v>1300</v>
      </c>
      <c r="Z470" s="9">
        <f t="shared" si="89"/>
        <v>135</v>
      </c>
      <c r="AA470" s="9">
        <f t="shared" si="88"/>
        <v>690</v>
      </c>
      <c r="AB470" s="9">
        <f t="shared" si="88"/>
        <v>1090</v>
      </c>
      <c r="AC470" s="9">
        <f t="shared" si="88"/>
        <v>555</v>
      </c>
      <c r="AD470" s="9">
        <f t="shared" si="88"/>
        <v>955</v>
      </c>
      <c r="AE470" s="9">
        <f t="shared" si="88"/>
        <v>400</v>
      </c>
    </row>
    <row r="471" spans="2:31" x14ac:dyDescent="0.25">
      <c r="B471" s="6">
        <v>2480</v>
      </c>
      <c r="C471" s="6">
        <v>2564</v>
      </c>
      <c r="D471" s="6">
        <f t="shared" si="90"/>
        <v>3030</v>
      </c>
      <c r="E471" s="6">
        <v>3147</v>
      </c>
      <c r="F471" s="6">
        <f t="shared" si="92"/>
        <v>3547</v>
      </c>
      <c r="L471">
        <f t="shared" si="93"/>
        <v>-84</v>
      </c>
      <c r="M471">
        <f t="shared" si="94"/>
        <v>-550</v>
      </c>
      <c r="N471">
        <f t="shared" si="95"/>
        <v>-667</v>
      </c>
      <c r="O471">
        <f t="shared" si="96"/>
        <v>-1067</v>
      </c>
      <c r="P471">
        <f t="shared" si="97"/>
        <v>-466</v>
      </c>
      <c r="Q471">
        <f t="shared" si="98"/>
        <v>-583</v>
      </c>
      <c r="R471">
        <f t="shared" si="99"/>
        <v>-983</v>
      </c>
      <c r="S471">
        <f t="shared" si="100"/>
        <v>-117</v>
      </c>
      <c r="T471">
        <f t="shared" si="101"/>
        <v>-517</v>
      </c>
      <c r="U471">
        <f t="shared" si="102"/>
        <v>-400</v>
      </c>
      <c r="V471" s="9">
        <f t="shared" si="89"/>
        <v>84</v>
      </c>
      <c r="W471" s="9">
        <f t="shared" si="89"/>
        <v>550</v>
      </c>
      <c r="X471" s="9">
        <f t="shared" si="89"/>
        <v>667</v>
      </c>
      <c r="Y471" s="9">
        <f t="shared" si="89"/>
        <v>1067</v>
      </c>
      <c r="Z471" s="9">
        <f t="shared" si="89"/>
        <v>466</v>
      </c>
      <c r="AA471" s="9">
        <f t="shared" si="88"/>
        <v>583</v>
      </c>
      <c r="AB471" s="9">
        <f t="shared" si="88"/>
        <v>983</v>
      </c>
      <c r="AC471" s="9">
        <f t="shared" si="88"/>
        <v>117</v>
      </c>
      <c r="AD471" s="9">
        <f t="shared" si="88"/>
        <v>517</v>
      </c>
      <c r="AE471" s="9">
        <f t="shared" si="88"/>
        <v>400</v>
      </c>
    </row>
    <row r="472" spans="2:31" x14ac:dyDescent="0.25">
      <c r="B472" s="6">
        <v>3477</v>
      </c>
      <c r="C472" s="6">
        <v>4557</v>
      </c>
      <c r="D472" s="6">
        <v>4127</v>
      </c>
      <c r="E472" s="6">
        <f t="shared" si="91"/>
        <v>4377</v>
      </c>
      <c r="F472" s="6">
        <f t="shared" si="92"/>
        <v>4777</v>
      </c>
      <c r="L472">
        <f t="shared" si="93"/>
        <v>-1080</v>
      </c>
      <c r="M472">
        <f t="shared" si="94"/>
        <v>-650</v>
      </c>
      <c r="N472">
        <f t="shared" si="95"/>
        <v>-900</v>
      </c>
      <c r="O472">
        <f t="shared" si="96"/>
        <v>-1300</v>
      </c>
      <c r="P472">
        <f t="shared" si="97"/>
        <v>430</v>
      </c>
      <c r="Q472">
        <f t="shared" si="98"/>
        <v>180</v>
      </c>
      <c r="R472">
        <f t="shared" si="99"/>
        <v>-220</v>
      </c>
      <c r="S472">
        <f t="shared" si="100"/>
        <v>-250</v>
      </c>
      <c r="T472">
        <f t="shared" si="101"/>
        <v>-650</v>
      </c>
      <c r="U472">
        <f t="shared" si="102"/>
        <v>-400</v>
      </c>
      <c r="V472" s="9">
        <f t="shared" si="89"/>
        <v>1080</v>
      </c>
      <c r="W472" s="9">
        <f t="shared" si="89"/>
        <v>650</v>
      </c>
      <c r="X472" s="9">
        <f t="shared" si="89"/>
        <v>900</v>
      </c>
      <c r="Y472" s="9">
        <f t="shared" si="89"/>
        <v>1300</v>
      </c>
      <c r="Z472" s="9">
        <f t="shared" si="89"/>
        <v>430</v>
      </c>
      <c r="AA472" s="9">
        <f t="shared" si="88"/>
        <v>180</v>
      </c>
      <c r="AB472" s="9">
        <f t="shared" si="88"/>
        <v>220</v>
      </c>
      <c r="AC472" s="9">
        <f t="shared" si="88"/>
        <v>250</v>
      </c>
      <c r="AD472" s="9">
        <f t="shared" si="88"/>
        <v>650</v>
      </c>
      <c r="AE472" s="9">
        <f t="shared" si="88"/>
        <v>400</v>
      </c>
    </row>
    <row r="473" spans="2:31" x14ac:dyDescent="0.25">
      <c r="B473" s="6">
        <v>4895</v>
      </c>
      <c r="C473" s="6">
        <v>5488</v>
      </c>
      <c r="D473" s="6">
        <f t="shared" si="90"/>
        <v>5445</v>
      </c>
      <c r="E473" s="6">
        <f t="shared" si="91"/>
        <v>5795</v>
      </c>
      <c r="F473" s="6">
        <f t="shared" si="92"/>
        <v>6195</v>
      </c>
      <c r="L473">
        <f t="shared" si="93"/>
        <v>-593</v>
      </c>
      <c r="M473">
        <f t="shared" si="94"/>
        <v>-550</v>
      </c>
      <c r="N473">
        <f t="shared" si="95"/>
        <v>-900</v>
      </c>
      <c r="O473">
        <f t="shared" si="96"/>
        <v>-1300</v>
      </c>
      <c r="P473">
        <f t="shared" si="97"/>
        <v>43</v>
      </c>
      <c r="Q473">
        <f t="shared" si="98"/>
        <v>-307</v>
      </c>
      <c r="R473">
        <f t="shared" si="99"/>
        <v>-707</v>
      </c>
      <c r="S473">
        <f t="shared" si="100"/>
        <v>-350</v>
      </c>
      <c r="T473">
        <f t="shared" si="101"/>
        <v>-750</v>
      </c>
      <c r="U473">
        <f t="shared" si="102"/>
        <v>-400</v>
      </c>
      <c r="V473" s="9">
        <f t="shared" si="89"/>
        <v>593</v>
      </c>
      <c r="W473" s="9">
        <f t="shared" si="89"/>
        <v>550</v>
      </c>
      <c r="X473" s="9">
        <f t="shared" si="89"/>
        <v>900</v>
      </c>
      <c r="Y473" s="9">
        <f t="shared" si="89"/>
        <v>1300</v>
      </c>
      <c r="Z473" s="9">
        <f t="shared" si="89"/>
        <v>43</v>
      </c>
      <c r="AA473" s="9">
        <f t="shared" si="88"/>
        <v>307</v>
      </c>
      <c r="AB473" s="9">
        <f t="shared" si="88"/>
        <v>707</v>
      </c>
      <c r="AC473" s="9">
        <f t="shared" si="88"/>
        <v>350</v>
      </c>
      <c r="AD473" s="9">
        <f t="shared" si="88"/>
        <v>750</v>
      </c>
      <c r="AE473" s="9">
        <f t="shared" si="88"/>
        <v>400</v>
      </c>
    </row>
    <row r="474" spans="2:31" x14ac:dyDescent="0.25">
      <c r="B474" s="6">
        <v>5742</v>
      </c>
      <c r="C474" s="6">
        <v>5881</v>
      </c>
      <c r="D474" s="6">
        <f t="shared" si="90"/>
        <v>6292</v>
      </c>
      <c r="E474" s="6">
        <f t="shared" si="91"/>
        <v>6642</v>
      </c>
      <c r="F474" s="6">
        <f t="shared" si="92"/>
        <v>7042</v>
      </c>
      <c r="L474">
        <f t="shared" si="93"/>
        <v>-139</v>
      </c>
      <c r="M474">
        <f t="shared" si="94"/>
        <v>-550</v>
      </c>
      <c r="N474">
        <f t="shared" si="95"/>
        <v>-900</v>
      </c>
      <c r="O474">
        <f t="shared" si="96"/>
        <v>-1300</v>
      </c>
      <c r="P474">
        <f t="shared" si="97"/>
        <v>-411</v>
      </c>
      <c r="Q474">
        <f t="shared" si="98"/>
        <v>-761</v>
      </c>
      <c r="R474">
        <f t="shared" si="99"/>
        <v>-1161</v>
      </c>
      <c r="S474">
        <f t="shared" si="100"/>
        <v>-350</v>
      </c>
      <c r="T474">
        <f t="shared" si="101"/>
        <v>-750</v>
      </c>
      <c r="U474">
        <f t="shared" si="102"/>
        <v>-400</v>
      </c>
      <c r="V474" s="9">
        <f t="shared" si="89"/>
        <v>139</v>
      </c>
      <c r="W474" s="9">
        <f t="shared" si="89"/>
        <v>550</v>
      </c>
      <c r="X474" s="9">
        <f t="shared" si="89"/>
        <v>900</v>
      </c>
      <c r="Y474" s="9">
        <f t="shared" si="89"/>
        <v>1300</v>
      </c>
      <c r="Z474" s="9">
        <f t="shared" si="89"/>
        <v>411</v>
      </c>
      <c r="AA474" s="9">
        <f t="shared" ref="AA474:AE524" si="103">IF(Q474&gt;=0,Q474,-Q474)</f>
        <v>761</v>
      </c>
      <c r="AB474" s="9">
        <f t="shared" si="103"/>
        <v>1161</v>
      </c>
      <c r="AC474" s="9">
        <f t="shared" si="103"/>
        <v>350</v>
      </c>
      <c r="AD474" s="9">
        <f t="shared" si="103"/>
        <v>750</v>
      </c>
      <c r="AE474" s="9">
        <f t="shared" si="103"/>
        <v>400</v>
      </c>
    </row>
    <row r="475" spans="2:31" x14ac:dyDescent="0.25">
      <c r="B475" s="6">
        <v>4720</v>
      </c>
      <c r="C475" s="6">
        <v>4915</v>
      </c>
      <c r="D475" s="6">
        <f t="shared" si="90"/>
        <v>5270</v>
      </c>
      <c r="E475" s="6">
        <f t="shared" si="91"/>
        <v>5620</v>
      </c>
      <c r="F475" s="6">
        <f t="shared" si="92"/>
        <v>6020</v>
      </c>
      <c r="L475">
        <f t="shared" si="93"/>
        <v>-195</v>
      </c>
      <c r="M475">
        <f t="shared" si="94"/>
        <v>-550</v>
      </c>
      <c r="N475">
        <f t="shared" si="95"/>
        <v>-900</v>
      </c>
      <c r="O475">
        <f t="shared" si="96"/>
        <v>-1300</v>
      </c>
      <c r="P475">
        <f t="shared" si="97"/>
        <v>-355</v>
      </c>
      <c r="Q475">
        <f t="shared" si="98"/>
        <v>-705</v>
      </c>
      <c r="R475">
        <f t="shared" si="99"/>
        <v>-1105</v>
      </c>
      <c r="S475">
        <f t="shared" si="100"/>
        <v>-350</v>
      </c>
      <c r="T475">
        <f t="shared" si="101"/>
        <v>-750</v>
      </c>
      <c r="U475">
        <f t="shared" si="102"/>
        <v>-400</v>
      </c>
      <c r="V475" s="9">
        <f t="shared" ref="V475:Z525" si="104">IF(L475&gt;=0,L475,-L475)</f>
        <v>195</v>
      </c>
      <c r="W475" s="9">
        <f t="shared" si="104"/>
        <v>550</v>
      </c>
      <c r="X475" s="9">
        <f t="shared" si="104"/>
        <v>900</v>
      </c>
      <c r="Y475" s="9">
        <f t="shared" si="104"/>
        <v>1300</v>
      </c>
      <c r="Z475" s="9">
        <f t="shared" si="104"/>
        <v>355</v>
      </c>
      <c r="AA475" s="9">
        <f t="shared" si="103"/>
        <v>705</v>
      </c>
      <c r="AB475" s="9">
        <f t="shared" si="103"/>
        <v>1105</v>
      </c>
      <c r="AC475" s="9">
        <f t="shared" si="103"/>
        <v>350</v>
      </c>
      <c r="AD475" s="9">
        <f t="shared" si="103"/>
        <v>750</v>
      </c>
      <c r="AE475" s="9">
        <f t="shared" si="103"/>
        <v>400</v>
      </c>
    </row>
    <row r="476" spans="2:31" x14ac:dyDescent="0.25">
      <c r="B476" s="6">
        <v>5579</v>
      </c>
      <c r="C476" s="6">
        <v>5784</v>
      </c>
      <c r="D476" s="6">
        <f t="shared" si="90"/>
        <v>6129</v>
      </c>
      <c r="E476" s="6">
        <f t="shared" si="91"/>
        <v>6479</v>
      </c>
      <c r="F476" s="6">
        <f t="shared" si="92"/>
        <v>6879</v>
      </c>
      <c r="L476">
        <f t="shared" si="93"/>
        <v>-205</v>
      </c>
      <c r="M476">
        <f t="shared" si="94"/>
        <v>-550</v>
      </c>
      <c r="N476">
        <f t="shared" si="95"/>
        <v>-900</v>
      </c>
      <c r="O476">
        <f t="shared" si="96"/>
        <v>-1300</v>
      </c>
      <c r="P476">
        <f t="shared" si="97"/>
        <v>-345</v>
      </c>
      <c r="Q476">
        <f t="shared" si="98"/>
        <v>-695</v>
      </c>
      <c r="R476">
        <f t="shared" si="99"/>
        <v>-1095</v>
      </c>
      <c r="S476">
        <f t="shared" si="100"/>
        <v>-350</v>
      </c>
      <c r="T476">
        <f t="shared" si="101"/>
        <v>-750</v>
      </c>
      <c r="U476">
        <f t="shared" si="102"/>
        <v>-400</v>
      </c>
      <c r="V476" s="9">
        <f t="shared" si="104"/>
        <v>205</v>
      </c>
      <c r="W476" s="9">
        <f t="shared" si="104"/>
        <v>550</v>
      </c>
      <c r="X476" s="9">
        <f t="shared" si="104"/>
        <v>900</v>
      </c>
      <c r="Y476" s="9">
        <f t="shared" si="104"/>
        <v>1300</v>
      </c>
      <c r="Z476" s="9">
        <f t="shared" si="104"/>
        <v>345</v>
      </c>
      <c r="AA476" s="9">
        <f t="shared" si="103"/>
        <v>695</v>
      </c>
      <c r="AB476" s="9">
        <f t="shared" si="103"/>
        <v>1095</v>
      </c>
      <c r="AC476" s="9">
        <f t="shared" si="103"/>
        <v>350</v>
      </c>
      <c r="AD476" s="9">
        <f t="shared" si="103"/>
        <v>750</v>
      </c>
      <c r="AE476" s="9">
        <f t="shared" si="103"/>
        <v>400</v>
      </c>
    </row>
    <row r="477" spans="2:31" x14ac:dyDescent="0.25">
      <c r="B477" s="6">
        <v>6242</v>
      </c>
      <c r="C477" s="6">
        <v>6345</v>
      </c>
      <c r="D477" s="6">
        <v>6578</v>
      </c>
      <c r="E477" s="6">
        <v>6857</v>
      </c>
      <c r="F477" s="6">
        <v>7028</v>
      </c>
      <c r="L477">
        <f t="shared" si="93"/>
        <v>-103</v>
      </c>
      <c r="M477">
        <f t="shared" si="94"/>
        <v>-336</v>
      </c>
      <c r="N477">
        <f t="shared" si="95"/>
        <v>-615</v>
      </c>
      <c r="O477">
        <f t="shared" si="96"/>
        <v>-786</v>
      </c>
      <c r="P477">
        <f t="shared" si="97"/>
        <v>-233</v>
      </c>
      <c r="Q477">
        <f t="shared" si="98"/>
        <v>-512</v>
      </c>
      <c r="R477">
        <f t="shared" si="99"/>
        <v>-683</v>
      </c>
      <c r="S477">
        <f t="shared" si="100"/>
        <v>-279</v>
      </c>
      <c r="T477">
        <f t="shared" si="101"/>
        <v>-450</v>
      </c>
      <c r="U477">
        <f t="shared" si="102"/>
        <v>-171</v>
      </c>
      <c r="V477" s="9">
        <f t="shared" si="104"/>
        <v>103</v>
      </c>
      <c r="W477" s="9">
        <f t="shared" si="104"/>
        <v>336</v>
      </c>
      <c r="X477" s="9">
        <f t="shared" si="104"/>
        <v>615</v>
      </c>
      <c r="Y477" s="9">
        <f t="shared" si="104"/>
        <v>786</v>
      </c>
      <c r="Z477" s="9">
        <f t="shared" si="104"/>
        <v>233</v>
      </c>
      <c r="AA477" s="9">
        <f t="shared" si="103"/>
        <v>512</v>
      </c>
      <c r="AB477" s="9">
        <f t="shared" si="103"/>
        <v>683</v>
      </c>
      <c r="AC477" s="9">
        <f t="shared" si="103"/>
        <v>279</v>
      </c>
      <c r="AD477" s="9">
        <f t="shared" si="103"/>
        <v>450</v>
      </c>
      <c r="AE477" s="9">
        <f t="shared" si="103"/>
        <v>171</v>
      </c>
    </row>
    <row r="478" spans="2:31" x14ac:dyDescent="0.25">
      <c r="B478" s="6">
        <v>5400</v>
      </c>
      <c r="C478" s="6">
        <v>5189</v>
      </c>
      <c r="D478" s="6">
        <f t="shared" si="90"/>
        <v>5950</v>
      </c>
      <c r="E478" s="6">
        <f t="shared" si="91"/>
        <v>6300</v>
      </c>
      <c r="F478" s="6">
        <f t="shared" si="92"/>
        <v>6700</v>
      </c>
      <c r="L478">
        <f t="shared" si="93"/>
        <v>211</v>
      </c>
      <c r="M478">
        <f t="shared" si="94"/>
        <v>-550</v>
      </c>
      <c r="N478">
        <f t="shared" si="95"/>
        <v>-900</v>
      </c>
      <c r="O478">
        <f t="shared" si="96"/>
        <v>-1300</v>
      </c>
      <c r="P478">
        <f t="shared" si="97"/>
        <v>-761</v>
      </c>
      <c r="Q478">
        <f t="shared" si="98"/>
        <v>-1111</v>
      </c>
      <c r="R478">
        <f t="shared" si="99"/>
        <v>-1511</v>
      </c>
      <c r="S478">
        <f t="shared" si="100"/>
        <v>-350</v>
      </c>
      <c r="T478">
        <f t="shared" si="101"/>
        <v>-750</v>
      </c>
      <c r="U478">
        <f t="shared" si="102"/>
        <v>-400</v>
      </c>
      <c r="V478" s="9">
        <f t="shared" si="104"/>
        <v>211</v>
      </c>
      <c r="W478" s="9">
        <f t="shared" si="104"/>
        <v>550</v>
      </c>
      <c r="X478" s="9">
        <f t="shared" si="104"/>
        <v>900</v>
      </c>
      <c r="Y478" s="9">
        <f t="shared" si="104"/>
        <v>1300</v>
      </c>
      <c r="Z478" s="9">
        <f t="shared" si="104"/>
        <v>761</v>
      </c>
      <c r="AA478" s="9">
        <f t="shared" si="103"/>
        <v>1111</v>
      </c>
      <c r="AB478" s="9">
        <f t="shared" si="103"/>
        <v>1511</v>
      </c>
      <c r="AC478" s="9">
        <f t="shared" si="103"/>
        <v>350</v>
      </c>
      <c r="AD478" s="9">
        <f t="shared" si="103"/>
        <v>750</v>
      </c>
      <c r="AE478" s="9">
        <f t="shared" si="103"/>
        <v>400</v>
      </c>
    </row>
    <row r="479" spans="2:31" x14ac:dyDescent="0.25">
      <c r="B479" s="6">
        <v>5855</v>
      </c>
      <c r="C479" s="6">
        <v>6013</v>
      </c>
      <c r="D479" s="6">
        <f t="shared" si="90"/>
        <v>6405</v>
      </c>
      <c r="E479" s="6">
        <v>6438</v>
      </c>
      <c r="F479" s="6">
        <v>6479</v>
      </c>
      <c r="L479">
        <f t="shared" si="93"/>
        <v>-158</v>
      </c>
      <c r="M479">
        <f t="shared" si="94"/>
        <v>-550</v>
      </c>
      <c r="N479">
        <f t="shared" si="95"/>
        <v>-583</v>
      </c>
      <c r="O479">
        <f t="shared" si="96"/>
        <v>-624</v>
      </c>
      <c r="P479">
        <f t="shared" si="97"/>
        <v>-392</v>
      </c>
      <c r="Q479">
        <f t="shared" si="98"/>
        <v>-425</v>
      </c>
      <c r="R479">
        <f t="shared" si="99"/>
        <v>-466</v>
      </c>
      <c r="S479">
        <f t="shared" si="100"/>
        <v>-33</v>
      </c>
      <c r="T479">
        <f t="shared" si="101"/>
        <v>-74</v>
      </c>
      <c r="U479">
        <f t="shared" si="102"/>
        <v>-41</v>
      </c>
      <c r="V479" s="9">
        <f t="shared" si="104"/>
        <v>158</v>
      </c>
      <c r="W479" s="9">
        <f t="shared" si="104"/>
        <v>550</v>
      </c>
      <c r="X479" s="9">
        <f t="shared" si="104"/>
        <v>583</v>
      </c>
      <c r="Y479" s="9">
        <f t="shared" si="104"/>
        <v>624</v>
      </c>
      <c r="Z479" s="9">
        <f t="shared" si="104"/>
        <v>392</v>
      </c>
      <c r="AA479" s="9">
        <f t="shared" si="103"/>
        <v>425</v>
      </c>
      <c r="AB479" s="9">
        <f t="shared" si="103"/>
        <v>466</v>
      </c>
      <c r="AC479" s="9">
        <f t="shared" si="103"/>
        <v>33</v>
      </c>
      <c r="AD479" s="9">
        <f t="shared" si="103"/>
        <v>74</v>
      </c>
      <c r="AE479" s="9">
        <f t="shared" si="103"/>
        <v>41</v>
      </c>
    </row>
    <row r="480" spans="2:31" x14ac:dyDescent="0.25">
      <c r="B480" s="6">
        <v>5543</v>
      </c>
      <c r="C480" s="6">
        <v>5643</v>
      </c>
      <c r="D480" s="6">
        <f t="shared" si="90"/>
        <v>6093</v>
      </c>
      <c r="E480" s="6">
        <f t="shared" si="91"/>
        <v>6443</v>
      </c>
      <c r="F480" s="6">
        <f t="shared" si="92"/>
        <v>6843</v>
      </c>
      <c r="L480">
        <f t="shared" si="93"/>
        <v>-100</v>
      </c>
      <c r="M480">
        <f t="shared" si="94"/>
        <v>-550</v>
      </c>
      <c r="N480">
        <f t="shared" si="95"/>
        <v>-900</v>
      </c>
      <c r="O480">
        <f t="shared" si="96"/>
        <v>-1300</v>
      </c>
      <c r="P480">
        <f t="shared" si="97"/>
        <v>-450</v>
      </c>
      <c r="Q480">
        <f t="shared" si="98"/>
        <v>-800</v>
      </c>
      <c r="R480">
        <f t="shared" si="99"/>
        <v>-1200</v>
      </c>
      <c r="S480">
        <f t="shared" si="100"/>
        <v>-350</v>
      </c>
      <c r="T480">
        <f t="shared" si="101"/>
        <v>-750</v>
      </c>
      <c r="U480">
        <f t="shared" si="102"/>
        <v>-400</v>
      </c>
      <c r="V480" s="9">
        <f t="shared" si="104"/>
        <v>100</v>
      </c>
      <c r="W480" s="9">
        <f t="shared" si="104"/>
        <v>550</v>
      </c>
      <c r="X480" s="9">
        <f t="shared" si="104"/>
        <v>900</v>
      </c>
      <c r="Y480" s="9">
        <f t="shared" si="104"/>
        <v>1300</v>
      </c>
      <c r="Z480" s="9">
        <f t="shared" si="104"/>
        <v>450</v>
      </c>
      <c r="AA480" s="9">
        <f t="shared" si="103"/>
        <v>800</v>
      </c>
      <c r="AB480" s="9">
        <f t="shared" si="103"/>
        <v>1200</v>
      </c>
      <c r="AC480" s="9">
        <f t="shared" si="103"/>
        <v>350</v>
      </c>
      <c r="AD480" s="9">
        <f t="shared" si="103"/>
        <v>750</v>
      </c>
      <c r="AE480" s="9">
        <f t="shared" si="103"/>
        <v>400</v>
      </c>
    </row>
    <row r="481" spans="2:31" x14ac:dyDescent="0.25">
      <c r="B481" s="7">
        <v>5943</v>
      </c>
      <c r="C481" s="7">
        <v>5883</v>
      </c>
      <c r="D481" s="7">
        <v>6412</v>
      </c>
      <c r="E481" s="7">
        <v>6743</v>
      </c>
      <c r="F481" s="7">
        <v>7212</v>
      </c>
      <c r="L481">
        <f t="shared" si="93"/>
        <v>60</v>
      </c>
      <c r="M481">
        <f t="shared" si="94"/>
        <v>-469</v>
      </c>
      <c r="N481">
        <f t="shared" si="95"/>
        <v>-800</v>
      </c>
      <c r="O481">
        <f t="shared" si="96"/>
        <v>-1269</v>
      </c>
      <c r="P481">
        <f t="shared" si="97"/>
        <v>-529</v>
      </c>
      <c r="Q481">
        <f t="shared" si="98"/>
        <v>-860</v>
      </c>
      <c r="R481">
        <f t="shared" si="99"/>
        <v>-1329</v>
      </c>
      <c r="S481">
        <f t="shared" si="100"/>
        <v>-331</v>
      </c>
      <c r="T481">
        <f t="shared" si="101"/>
        <v>-800</v>
      </c>
      <c r="U481">
        <f t="shared" si="102"/>
        <v>-469</v>
      </c>
      <c r="V481" s="9">
        <f t="shared" si="104"/>
        <v>60</v>
      </c>
      <c r="W481" s="9">
        <f t="shared" si="104"/>
        <v>469</v>
      </c>
      <c r="X481" s="9">
        <f t="shared" si="104"/>
        <v>800</v>
      </c>
      <c r="Y481" s="9">
        <f t="shared" si="104"/>
        <v>1269</v>
      </c>
      <c r="Z481" s="9">
        <f t="shared" si="104"/>
        <v>529</v>
      </c>
      <c r="AA481" s="9">
        <f t="shared" si="103"/>
        <v>860</v>
      </c>
      <c r="AB481" s="9">
        <f t="shared" si="103"/>
        <v>1329</v>
      </c>
      <c r="AC481" s="9">
        <f t="shared" si="103"/>
        <v>331</v>
      </c>
      <c r="AD481" s="9">
        <f t="shared" si="103"/>
        <v>800</v>
      </c>
      <c r="AE481" s="9">
        <f t="shared" si="103"/>
        <v>469</v>
      </c>
    </row>
    <row r="482" spans="2:31" x14ac:dyDescent="0.25">
      <c r="B482" s="6">
        <v>5789</v>
      </c>
      <c r="C482" s="6">
        <v>5846</v>
      </c>
      <c r="D482" s="6">
        <f>C482+624</f>
        <v>6470</v>
      </c>
      <c r="E482" s="6">
        <v>6789</v>
      </c>
      <c r="F482" s="6">
        <f>E482+486</f>
        <v>7275</v>
      </c>
      <c r="L482">
        <f t="shared" si="93"/>
        <v>-57</v>
      </c>
      <c r="M482">
        <f t="shared" si="94"/>
        <v>-681</v>
      </c>
      <c r="N482">
        <f t="shared" si="95"/>
        <v>-1000</v>
      </c>
      <c r="O482">
        <f t="shared" si="96"/>
        <v>-1486</v>
      </c>
      <c r="P482">
        <f t="shared" si="97"/>
        <v>-624</v>
      </c>
      <c r="Q482">
        <f t="shared" si="98"/>
        <v>-943</v>
      </c>
      <c r="R482">
        <f t="shared" si="99"/>
        <v>-1429</v>
      </c>
      <c r="S482">
        <f t="shared" si="100"/>
        <v>-319</v>
      </c>
      <c r="T482">
        <f t="shared" si="101"/>
        <v>-805</v>
      </c>
      <c r="U482">
        <f t="shared" si="102"/>
        <v>-486</v>
      </c>
      <c r="V482" s="9">
        <f t="shared" si="104"/>
        <v>57</v>
      </c>
      <c r="W482" s="9">
        <f t="shared" si="104"/>
        <v>681</v>
      </c>
      <c r="X482" s="9">
        <f t="shared" si="104"/>
        <v>1000</v>
      </c>
      <c r="Y482" s="9">
        <f t="shared" si="104"/>
        <v>1486</v>
      </c>
      <c r="Z482" s="9">
        <f t="shared" si="104"/>
        <v>624</v>
      </c>
      <c r="AA482" s="9">
        <f t="shared" si="103"/>
        <v>943</v>
      </c>
      <c r="AB482" s="9">
        <f t="shared" si="103"/>
        <v>1429</v>
      </c>
      <c r="AC482" s="9">
        <f t="shared" si="103"/>
        <v>319</v>
      </c>
      <c r="AD482" s="9">
        <f t="shared" si="103"/>
        <v>805</v>
      </c>
      <c r="AE482" s="9">
        <f t="shared" si="103"/>
        <v>486</v>
      </c>
    </row>
    <row r="483" spans="2:31" x14ac:dyDescent="0.25">
      <c r="B483" s="6">
        <v>1274</v>
      </c>
      <c r="C483" s="6">
        <v>1844</v>
      </c>
      <c r="D483" s="6">
        <v>2437</v>
      </c>
      <c r="E483" s="6">
        <v>2567</v>
      </c>
      <c r="F483" s="6">
        <v>3127</v>
      </c>
      <c r="L483">
        <f t="shared" si="93"/>
        <v>-570</v>
      </c>
      <c r="M483">
        <f t="shared" si="94"/>
        <v>-1163</v>
      </c>
      <c r="N483">
        <f t="shared" si="95"/>
        <v>-1293</v>
      </c>
      <c r="O483">
        <f t="shared" si="96"/>
        <v>-1853</v>
      </c>
      <c r="P483">
        <f t="shared" si="97"/>
        <v>-593</v>
      </c>
      <c r="Q483">
        <f t="shared" si="98"/>
        <v>-723</v>
      </c>
      <c r="R483">
        <f t="shared" si="99"/>
        <v>-1283</v>
      </c>
      <c r="S483">
        <f t="shared" si="100"/>
        <v>-130</v>
      </c>
      <c r="T483">
        <f t="shared" si="101"/>
        <v>-690</v>
      </c>
      <c r="U483">
        <f t="shared" si="102"/>
        <v>-560</v>
      </c>
      <c r="V483" s="9">
        <f t="shared" si="104"/>
        <v>570</v>
      </c>
      <c r="W483" s="9">
        <f t="shared" si="104"/>
        <v>1163</v>
      </c>
      <c r="X483" s="9">
        <f t="shared" si="104"/>
        <v>1293</v>
      </c>
      <c r="Y483" s="9">
        <f t="shared" si="104"/>
        <v>1853</v>
      </c>
      <c r="Z483" s="9">
        <f t="shared" si="104"/>
        <v>593</v>
      </c>
      <c r="AA483" s="9">
        <f t="shared" si="103"/>
        <v>723</v>
      </c>
      <c r="AB483" s="9">
        <f t="shared" si="103"/>
        <v>1283</v>
      </c>
      <c r="AC483" s="9">
        <f t="shared" si="103"/>
        <v>130</v>
      </c>
      <c r="AD483" s="9">
        <f t="shared" si="103"/>
        <v>690</v>
      </c>
      <c r="AE483" s="9">
        <f t="shared" si="103"/>
        <v>560</v>
      </c>
    </row>
    <row r="484" spans="2:31" x14ac:dyDescent="0.25">
      <c r="B484" s="6">
        <f t="shared" ref="B484:B540" si="105">B424+550</f>
        <v>1665</v>
      </c>
      <c r="C484" s="6">
        <v>1973</v>
      </c>
      <c r="D484" s="6">
        <f t="shared" ref="D484:D539" si="106">C484+624</f>
        <v>2597</v>
      </c>
      <c r="E484" s="6">
        <v>3124</v>
      </c>
      <c r="F484" s="6">
        <v>3546</v>
      </c>
      <c r="L484">
        <f t="shared" si="93"/>
        <v>-308</v>
      </c>
      <c r="M484">
        <f t="shared" si="94"/>
        <v>-932</v>
      </c>
      <c r="N484">
        <f t="shared" si="95"/>
        <v>-1459</v>
      </c>
      <c r="O484">
        <f t="shared" si="96"/>
        <v>-1881</v>
      </c>
      <c r="P484">
        <f t="shared" si="97"/>
        <v>-624</v>
      </c>
      <c r="Q484">
        <f t="shared" si="98"/>
        <v>-1151</v>
      </c>
      <c r="R484">
        <f t="shared" si="99"/>
        <v>-1573</v>
      </c>
      <c r="S484">
        <f t="shared" si="100"/>
        <v>-527</v>
      </c>
      <c r="T484">
        <f t="shared" si="101"/>
        <v>-949</v>
      </c>
      <c r="U484">
        <f t="shared" si="102"/>
        <v>-422</v>
      </c>
      <c r="V484" s="9">
        <f t="shared" si="104"/>
        <v>308</v>
      </c>
      <c r="W484" s="9">
        <f t="shared" si="104"/>
        <v>932</v>
      </c>
      <c r="X484" s="9">
        <f t="shared" si="104"/>
        <v>1459</v>
      </c>
      <c r="Y484" s="9">
        <f t="shared" si="104"/>
        <v>1881</v>
      </c>
      <c r="Z484" s="9">
        <f t="shared" si="104"/>
        <v>624</v>
      </c>
      <c r="AA484" s="9">
        <f t="shared" si="103"/>
        <v>1151</v>
      </c>
      <c r="AB484" s="9">
        <f t="shared" si="103"/>
        <v>1573</v>
      </c>
      <c r="AC484" s="9">
        <f t="shared" si="103"/>
        <v>527</v>
      </c>
      <c r="AD484" s="9">
        <f t="shared" si="103"/>
        <v>949</v>
      </c>
      <c r="AE484" s="9">
        <f t="shared" si="103"/>
        <v>422</v>
      </c>
    </row>
    <row r="485" spans="2:31" x14ac:dyDescent="0.25">
      <c r="B485" s="6">
        <v>2546</v>
      </c>
      <c r="C485" s="6">
        <f t="shared" ref="C485:C539" si="107">B485+200</f>
        <v>2746</v>
      </c>
      <c r="D485" s="6">
        <v>2974</v>
      </c>
      <c r="E485" s="6">
        <v>3347</v>
      </c>
      <c r="F485" s="6">
        <v>3755</v>
      </c>
      <c r="L485">
        <f t="shared" si="93"/>
        <v>-200</v>
      </c>
      <c r="M485">
        <f t="shared" si="94"/>
        <v>-428</v>
      </c>
      <c r="N485">
        <f t="shared" si="95"/>
        <v>-801</v>
      </c>
      <c r="O485">
        <f t="shared" si="96"/>
        <v>-1209</v>
      </c>
      <c r="P485">
        <f t="shared" si="97"/>
        <v>-228</v>
      </c>
      <c r="Q485">
        <f t="shared" si="98"/>
        <v>-601</v>
      </c>
      <c r="R485">
        <f t="shared" si="99"/>
        <v>-1009</v>
      </c>
      <c r="S485">
        <f t="shared" si="100"/>
        <v>-373</v>
      </c>
      <c r="T485">
        <f t="shared" si="101"/>
        <v>-781</v>
      </c>
      <c r="U485">
        <f t="shared" si="102"/>
        <v>-408</v>
      </c>
      <c r="V485" s="9">
        <f t="shared" si="104"/>
        <v>200</v>
      </c>
      <c r="W485" s="9">
        <f t="shared" si="104"/>
        <v>428</v>
      </c>
      <c r="X485" s="9">
        <f t="shared" si="104"/>
        <v>801</v>
      </c>
      <c r="Y485" s="9">
        <f t="shared" si="104"/>
        <v>1209</v>
      </c>
      <c r="Z485" s="9">
        <f t="shared" si="104"/>
        <v>228</v>
      </c>
      <c r="AA485" s="9">
        <f t="shared" si="103"/>
        <v>601</v>
      </c>
      <c r="AB485" s="9">
        <f t="shared" si="103"/>
        <v>1009</v>
      </c>
      <c r="AC485" s="9">
        <f t="shared" si="103"/>
        <v>373</v>
      </c>
      <c r="AD485" s="9">
        <f t="shared" si="103"/>
        <v>781</v>
      </c>
      <c r="AE485" s="9">
        <f t="shared" si="103"/>
        <v>408</v>
      </c>
    </row>
    <row r="486" spans="2:31" x14ac:dyDescent="0.25">
      <c r="B486" s="6">
        <v>3598</v>
      </c>
      <c r="C486" s="6">
        <v>3695</v>
      </c>
      <c r="D486" s="6">
        <v>4437</v>
      </c>
      <c r="E486" s="6">
        <v>4681</v>
      </c>
      <c r="F486" s="6">
        <v>4957</v>
      </c>
      <c r="L486">
        <f t="shared" si="93"/>
        <v>-97</v>
      </c>
      <c r="M486">
        <f t="shared" si="94"/>
        <v>-839</v>
      </c>
      <c r="N486">
        <f t="shared" si="95"/>
        <v>-1083</v>
      </c>
      <c r="O486">
        <f t="shared" si="96"/>
        <v>-1359</v>
      </c>
      <c r="P486">
        <f t="shared" si="97"/>
        <v>-742</v>
      </c>
      <c r="Q486">
        <f t="shared" si="98"/>
        <v>-986</v>
      </c>
      <c r="R486">
        <f t="shared" si="99"/>
        <v>-1262</v>
      </c>
      <c r="S486">
        <f t="shared" si="100"/>
        <v>-244</v>
      </c>
      <c r="T486">
        <f t="shared" si="101"/>
        <v>-520</v>
      </c>
      <c r="U486">
        <f t="shared" si="102"/>
        <v>-276</v>
      </c>
      <c r="V486" s="9">
        <f t="shared" si="104"/>
        <v>97</v>
      </c>
      <c r="W486" s="9">
        <f t="shared" si="104"/>
        <v>839</v>
      </c>
      <c r="X486" s="9">
        <f t="shared" si="104"/>
        <v>1083</v>
      </c>
      <c r="Y486" s="9">
        <f t="shared" si="104"/>
        <v>1359</v>
      </c>
      <c r="Z486" s="9">
        <f t="shared" si="104"/>
        <v>742</v>
      </c>
      <c r="AA486" s="9">
        <f t="shared" si="103"/>
        <v>986</v>
      </c>
      <c r="AB486" s="9">
        <f t="shared" si="103"/>
        <v>1262</v>
      </c>
      <c r="AC486" s="9">
        <f t="shared" si="103"/>
        <v>244</v>
      </c>
      <c r="AD486" s="9">
        <f t="shared" si="103"/>
        <v>520</v>
      </c>
      <c r="AE486" s="9">
        <f t="shared" si="103"/>
        <v>276</v>
      </c>
    </row>
    <row r="487" spans="2:31" x14ac:dyDescent="0.25">
      <c r="B487" s="6">
        <v>3897</v>
      </c>
      <c r="C487" s="6">
        <f t="shared" si="107"/>
        <v>4097</v>
      </c>
      <c r="D487" s="6">
        <v>4875</v>
      </c>
      <c r="E487" s="6">
        <f t="shared" ref="E487:E539" si="108">D487+423</f>
        <v>5298</v>
      </c>
      <c r="F487" s="6">
        <v>5549</v>
      </c>
      <c r="L487">
        <f t="shared" si="93"/>
        <v>-200</v>
      </c>
      <c r="M487">
        <f t="shared" si="94"/>
        <v>-978</v>
      </c>
      <c r="N487">
        <f t="shared" si="95"/>
        <v>-1401</v>
      </c>
      <c r="O487">
        <f t="shared" si="96"/>
        <v>-1652</v>
      </c>
      <c r="P487">
        <f t="shared" si="97"/>
        <v>-778</v>
      </c>
      <c r="Q487">
        <f t="shared" si="98"/>
        <v>-1201</v>
      </c>
      <c r="R487">
        <f t="shared" si="99"/>
        <v>-1452</v>
      </c>
      <c r="S487">
        <f t="shared" si="100"/>
        <v>-423</v>
      </c>
      <c r="T487">
        <f t="shared" si="101"/>
        <v>-674</v>
      </c>
      <c r="U487">
        <f t="shared" si="102"/>
        <v>-251</v>
      </c>
      <c r="V487" s="9">
        <f t="shared" si="104"/>
        <v>200</v>
      </c>
      <c r="W487" s="9">
        <f t="shared" si="104"/>
        <v>978</v>
      </c>
      <c r="X487" s="9">
        <f t="shared" si="104"/>
        <v>1401</v>
      </c>
      <c r="Y487" s="9">
        <f t="shared" si="104"/>
        <v>1652</v>
      </c>
      <c r="Z487" s="9">
        <f t="shared" si="104"/>
        <v>778</v>
      </c>
      <c r="AA487" s="9">
        <f t="shared" si="103"/>
        <v>1201</v>
      </c>
      <c r="AB487" s="9">
        <f t="shared" si="103"/>
        <v>1452</v>
      </c>
      <c r="AC487" s="9">
        <f t="shared" si="103"/>
        <v>423</v>
      </c>
      <c r="AD487" s="9">
        <f t="shared" si="103"/>
        <v>674</v>
      </c>
      <c r="AE487" s="9">
        <f t="shared" si="103"/>
        <v>251</v>
      </c>
    </row>
    <row r="488" spans="2:31" x14ac:dyDescent="0.25">
      <c r="B488" s="6">
        <v>4581</v>
      </c>
      <c r="C488" s="6">
        <v>4627</v>
      </c>
      <c r="D488" s="6">
        <v>5127</v>
      </c>
      <c r="E488" s="6">
        <v>5429</v>
      </c>
      <c r="F488" s="6">
        <v>5846</v>
      </c>
      <c r="L488">
        <f t="shared" si="93"/>
        <v>-46</v>
      </c>
      <c r="M488">
        <f t="shared" si="94"/>
        <v>-546</v>
      </c>
      <c r="N488">
        <f t="shared" si="95"/>
        <v>-848</v>
      </c>
      <c r="O488">
        <f t="shared" si="96"/>
        <v>-1265</v>
      </c>
      <c r="P488">
        <f t="shared" si="97"/>
        <v>-500</v>
      </c>
      <c r="Q488">
        <f t="shared" si="98"/>
        <v>-802</v>
      </c>
      <c r="R488">
        <f t="shared" si="99"/>
        <v>-1219</v>
      </c>
      <c r="S488">
        <f t="shared" si="100"/>
        <v>-302</v>
      </c>
      <c r="T488">
        <f t="shared" si="101"/>
        <v>-719</v>
      </c>
      <c r="U488">
        <f t="shared" si="102"/>
        <v>-417</v>
      </c>
      <c r="V488" s="9">
        <f t="shared" si="104"/>
        <v>46</v>
      </c>
      <c r="W488" s="9">
        <f t="shared" si="104"/>
        <v>546</v>
      </c>
      <c r="X488" s="9">
        <f t="shared" si="104"/>
        <v>848</v>
      </c>
      <c r="Y488" s="9">
        <f t="shared" si="104"/>
        <v>1265</v>
      </c>
      <c r="Z488" s="9">
        <f t="shared" si="104"/>
        <v>500</v>
      </c>
      <c r="AA488" s="9">
        <f t="shared" si="103"/>
        <v>802</v>
      </c>
      <c r="AB488" s="9">
        <f t="shared" si="103"/>
        <v>1219</v>
      </c>
      <c r="AC488" s="9">
        <f t="shared" si="103"/>
        <v>302</v>
      </c>
      <c r="AD488" s="9">
        <f t="shared" si="103"/>
        <v>719</v>
      </c>
      <c r="AE488" s="9">
        <f t="shared" si="103"/>
        <v>417</v>
      </c>
    </row>
    <row r="489" spans="2:31" x14ac:dyDescent="0.25">
      <c r="B489" s="6">
        <v>5042</v>
      </c>
      <c r="C489" s="6">
        <f t="shared" si="107"/>
        <v>5242</v>
      </c>
      <c r="D489" s="6">
        <v>5678</v>
      </c>
      <c r="E489" s="6">
        <v>6274</v>
      </c>
      <c r="F489" s="6">
        <v>6542</v>
      </c>
      <c r="L489">
        <f t="shared" si="93"/>
        <v>-200</v>
      </c>
      <c r="M489">
        <f t="shared" si="94"/>
        <v>-636</v>
      </c>
      <c r="N489">
        <f t="shared" si="95"/>
        <v>-1232</v>
      </c>
      <c r="O489">
        <f t="shared" si="96"/>
        <v>-1500</v>
      </c>
      <c r="P489">
        <f t="shared" si="97"/>
        <v>-436</v>
      </c>
      <c r="Q489">
        <f t="shared" si="98"/>
        <v>-1032</v>
      </c>
      <c r="R489">
        <f t="shared" si="99"/>
        <v>-1300</v>
      </c>
      <c r="S489">
        <f t="shared" si="100"/>
        <v>-596</v>
      </c>
      <c r="T489">
        <f t="shared" si="101"/>
        <v>-864</v>
      </c>
      <c r="U489">
        <f t="shared" si="102"/>
        <v>-268</v>
      </c>
      <c r="V489" s="9">
        <f t="shared" si="104"/>
        <v>200</v>
      </c>
      <c r="W489" s="9">
        <f t="shared" si="104"/>
        <v>636</v>
      </c>
      <c r="X489" s="9">
        <f t="shared" si="104"/>
        <v>1232</v>
      </c>
      <c r="Y489" s="9">
        <f t="shared" si="104"/>
        <v>1500</v>
      </c>
      <c r="Z489" s="9">
        <f t="shared" si="104"/>
        <v>436</v>
      </c>
      <c r="AA489" s="9">
        <f t="shared" si="103"/>
        <v>1032</v>
      </c>
      <c r="AB489" s="9">
        <f t="shared" si="103"/>
        <v>1300</v>
      </c>
      <c r="AC489" s="9">
        <f t="shared" si="103"/>
        <v>596</v>
      </c>
      <c r="AD489" s="9">
        <f t="shared" si="103"/>
        <v>864</v>
      </c>
      <c r="AE489" s="9">
        <f t="shared" si="103"/>
        <v>268</v>
      </c>
    </row>
    <row r="490" spans="2:31" x14ac:dyDescent="0.25">
      <c r="B490" s="6">
        <v>4539</v>
      </c>
      <c r="C490" s="6">
        <f t="shared" si="107"/>
        <v>4739</v>
      </c>
      <c r="D490" s="6">
        <f t="shared" si="106"/>
        <v>5363</v>
      </c>
      <c r="E490" s="6">
        <v>5697</v>
      </c>
      <c r="F490" s="6">
        <v>6238</v>
      </c>
      <c r="L490">
        <f t="shared" si="93"/>
        <v>-200</v>
      </c>
      <c r="M490">
        <f t="shared" si="94"/>
        <v>-824</v>
      </c>
      <c r="N490">
        <f t="shared" si="95"/>
        <v>-1158</v>
      </c>
      <c r="O490">
        <f t="shared" si="96"/>
        <v>-1699</v>
      </c>
      <c r="P490">
        <f t="shared" si="97"/>
        <v>-624</v>
      </c>
      <c r="Q490">
        <f t="shared" si="98"/>
        <v>-958</v>
      </c>
      <c r="R490">
        <f t="shared" si="99"/>
        <v>-1499</v>
      </c>
      <c r="S490">
        <f t="shared" si="100"/>
        <v>-334</v>
      </c>
      <c r="T490">
        <f t="shared" si="101"/>
        <v>-875</v>
      </c>
      <c r="U490">
        <f t="shared" si="102"/>
        <v>-541</v>
      </c>
      <c r="V490" s="9">
        <f t="shared" si="104"/>
        <v>200</v>
      </c>
      <c r="W490" s="9">
        <f t="shared" si="104"/>
        <v>824</v>
      </c>
      <c r="X490" s="9">
        <f t="shared" si="104"/>
        <v>1158</v>
      </c>
      <c r="Y490" s="9">
        <f t="shared" si="104"/>
        <v>1699</v>
      </c>
      <c r="Z490" s="9">
        <f t="shared" si="104"/>
        <v>624</v>
      </c>
      <c r="AA490" s="9">
        <f t="shared" si="103"/>
        <v>958</v>
      </c>
      <c r="AB490" s="9">
        <f t="shared" si="103"/>
        <v>1499</v>
      </c>
      <c r="AC490" s="9">
        <f t="shared" si="103"/>
        <v>334</v>
      </c>
      <c r="AD490" s="9">
        <f t="shared" si="103"/>
        <v>875</v>
      </c>
      <c r="AE490" s="9">
        <f t="shared" si="103"/>
        <v>541</v>
      </c>
    </row>
    <row r="491" spans="2:31" x14ac:dyDescent="0.25">
      <c r="B491" s="6">
        <v>4039</v>
      </c>
      <c r="C491" s="6">
        <f t="shared" si="107"/>
        <v>4239</v>
      </c>
      <c r="D491" s="6">
        <f t="shared" si="106"/>
        <v>4863</v>
      </c>
      <c r="E491" s="6">
        <v>5524</v>
      </c>
      <c r="F491" s="6">
        <v>6177</v>
      </c>
      <c r="L491">
        <f t="shared" si="93"/>
        <v>-200</v>
      </c>
      <c r="M491">
        <f t="shared" si="94"/>
        <v>-824</v>
      </c>
      <c r="N491">
        <f t="shared" si="95"/>
        <v>-1485</v>
      </c>
      <c r="O491">
        <f t="shared" si="96"/>
        <v>-2138</v>
      </c>
      <c r="P491">
        <f t="shared" si="97"/>
        <v>-624</v>
      </c>
      <c r="Q491">
        <f t="shared" si="98"/>
        <v>-1285</v>
      </c>
      <c r="R491">
        <f t="shared" si="99"/>
        <v>-1938</v>
      </c>
      <c r="S491">
        <f t="shared" si="100"/>
        <v>-661</v>
      </c>
      <c r="T491">
        <f t="shared" si="101"/>
        <v>-1314</v>
      </c>
      <c r="U491">
        <f t="shared" si="102"/>
        <v>-653</v>
      </c>
      <c r="V491" s="9">
        <f t="shared" si="104"/>
        <v>200</v>
      </c>
      <c r="W491" s="9">
        <f t="shared" si="104"/>
        <v>824</v>
      </c>
      <c r="X491" s="9">
        <f t="shared" si="104"/>
        <v>1485</v>
      </c>
      <c r="Y491" s="9">
        <f t="shared" si="104"/>
        <v>2138</v>
      </c>
      <c r="Z491" s="9">
        <f t="shared" si="104"/>
        <v>624</v>
      </c>
      <c r="AA491" s="9">
        <f t="shared" si="103"/>
        <v>1285</v>
      </c>
      <c r="AB491" s="9">
        <f t="shared" si="103"/>
        <v>1938</v>
      </c>
      <c r="AC491" s="9">
        <f t="shared" si="103"/>
        <v>661</v>
      </c>
      <c r="AD491" s="9">
        <f t="shared" si="103"/>
        <v>1314</v>
      </c>
      <c r="AE491" s="9">
        <f t="shared" si="103"/>
        <v>653</v>
      </c>
    </row>
    <row r="492" spans="2:31" x14ac:dyDescent="0.25">
      <c r="B492" s="6">
        <v>4264</v>
      </c>
      <c r="C492" s="6">
        <f t="shared" si="107"/>
        <v>4464</v>
      </c>
      <c r="D492" s="6">
        <v>5296</v>
      </c>
      <c r="E492" s="6">
        <v>5744</v>
      </c>
      <c r="F492" s="6">
        <v>6351</v>
      </c>
      <c r="L492">
        <f t="shared" si="93"/>
        <v>-200</v>
      </c>
      <c r="M492">
        <f t="shared" si="94"/>
        <v>-1032</v>
      </c>
      <c r="N492">
        <f t="shared" si="95"/>
        <v>-1480</v>
      </c>
      <c r="O492">
        <f t="shared" si="96"/>
        <v>-2087</v>
      </c>
      <c r="P492">
        <f t="shared" si="97"/>
        <v>-832</v>
      </c>
      <c r="Q492">
        <f t="shared" si="98"/>
        <v>-1280</v>
      </c>
      <c r="R492">
        <f t="shared" si="99"/>
        <v>-1887</v>
      </c>
      <c r="S492">
        <f t="shared" si="100"/>
        <v>-448</v>
      </c>
      <c r="T492">
        <f t="shared" si="101"/>
        <v>-1055</v>
      </c>
      <c r="U492">
        <f t="shared" si="102"/>
        <v>-607</v>
      </c>
      <c r="V492" s="9">
        <f t="shared" si="104"/>
        <v>200</v>
      </c>
      <c r="W492" s="9">
        <f t="shared" si="104"/>
        <v>1032</v>
      </c>
      <c r="X492" s="9">
        <f t="shared" si="104"/>
        <v>1480</v>
      </c>
      <c r="Y492" s="9">
        <f t="shared" si="104"/>
        <v>2087</v>
      </c>
      <c r="Z492" s="9">
        <f t="shared" si="104"/>
        <v>832</v>
      </c>
      <c r="AA492" s="9">
        <f t="shared" si="103"/>
        <v>1280</v>
      </c>
      <c r="AB492" s="9">
        <f t="shared" si="103"/>
        <v>1887</v>
      </c>
      <c r="AC492" s="9">
        <f t="shared" si="103"/>
        <v>448</v>
      </c>
      <c r="AD492" s="9">
        <f t="shared" si="103"/>
        <v>1055</v>
      </c>
      <c r="AE492" s="9">
        <f t="shared" si="103"/>
        <v>607</v>
      </c>
    </row>
    <row r="493" spans="2:31" x14ac:dyDescent="0.25">
      <c r="B493" s="6">
        <v>5027</v>
      </c>
      <c r="C493" s="6">
        <v>5378</v>
      </c>
      <c r="D493" s="6">
        <v>6188</v>
      </c>
      <c r="E493" s="6">
        <v>6613</v>
      </c>
      <c r="F493" s="6">
        <v>6854</v>
      </c>
      <c r="L493">
        <f t="shared" si="93"/>
        <v>-351</v>
      </c>
      <c r="M493">
        <f t="shared" si="94"/>
        <v>-1161</v>
      </c>
      <c r="N493">
        <f t="shared" si="95"/>
        <v>-1586</v>
      </c>
      <c r="O493">
        <f t="shared" si="96"/>
        <v>-1827</v>
      </c>
      <c r="P493">
        <f t="shared" si="97"/>
        <v>-810</v>
      </c>
      <c r="Q493">
        <f t="shared" si="98"/>
        <v>-1235</v>
      </c>
      <c r="R493">
        <f t="shared" si="99"/>
        <v>-1476</v>
      </c>
      <c r="S493">
        <f t="shared" si="100"/>
        <v>-425</v>
      </c>
      <c r="T493">
        <f t="shared" si="101"/>
        <v>-666</v>
      </c>
      <c r="U493">
        <f t="shared" si="102"/>
        <v>-241</v>
      </c>
      <c r="V493" s="9">
        <f t="shared" si="104"/>
        <v>351</v>
      </c>
      <c r="W493" s="9">
        <f t="shared" si="104"/>
        <v>1161</v>
      </c>
      <c r="X493" s="9">
        <f t="shared" si="104"/>
        <v>1586</v>
      </c>
      <c r="Y493" s="9">
        <f t="shared" si="104"/>
        <v>1827</v>
      </c>
      <c r="Z493" s="9">
        <f t="shared" si="104"/>
        <v>810</v>
      </c>
      <c r="AA493" s="9">
        <f t="shared" si="103"/>
        <v>1235</v>
      </c>
      <c r="AB493" s="9">
        <f t="shared" si="103"/>
        <v>1476</v>
      </c>
      <c r="AC493" s="9">
        <f t="shared" si="103"/>
        <v>425</v>
      </c>
      <c r="AD493" s="9">
        <f t="shared" si="103"/>
        <v>666</v>
      </c>
      <c r="AE493" s="9">
        <f t="shared" si="103"/>
        <v>241</v>
      </c>
    </row>
    <row r="494" spans="2:31" x14ac:dyDescent="0.25">
      <c r="B494" s="6">
        <v>4861</v>
      </c>
      <c r="C494" s="6">
        <f t="shared" si="107"/>
        <v>5061</v>
      </c>
      <c r="D494" s="6">
        <v>5542</v>
      </c>
      <c r="E494" s="6">
        <v>6241</v>
      </c>
      <c r="F494" s="6">
        <v>6598</v>
      </c>
      <c r="L494">
        <f t="shared" si="93"/>
        <v>-200</v>
      </c>
      <c r="M494">
        <f t="shared" si="94"/>
        <v>-681</v>
      </c>
      <c r="N494">
        <f t="shared" si="95"/>
        <v>-1380</v>
      </c>
      <c r="O494">
        <f t="shared" si="96"/>
        <v>-1737</v>
      </c>
      <c r="P494">
        <f t="shared" si="97"/>
        <v>-481</v>
      </c>
      <c r="Q494">
        <f t="shared" si="98"/>
        <v>-1180</v>
      </c>
      <c r="R494">
        <f t="shared" si="99"/>
        <v>-1537</v>
      </c>
      <c r="S494">
        <f t="shared" si="100"/>
        <v>-699</v>
      </c>
      <c r="T494">
        <f t="shared" si="101"/>
        <v>-1056</v>
      </c>
      <c r="U494">
        <f t="shared" si="102"/>
        <v>-357</v>
      </c>
      <c r="V494" s="9">
        <f t="shared" si="104"/>
        <v>200</v>
      </c>
      <c r="W494" s="9">
        <f t="shared" si="104"/>
        <v>681</v>
      </c>
      <c r="X494" s="9">
        <f t="shared" si="104"/>
        <v>1380</v>
      </c>
      <c r="Y494" s="9">
        <f t="shared" si="104"/>
        <v>1737</v>
      </c>
      <c r="Z494" s="9">
        <f t="shared" si="104"/>
        <v>481</v>
      </c>
      <c r="AA494" s="9">
        <f t="shared" si="103"/>
        <v>1180</v>
      </c>
      <c r="AB494" s="9">
        <f t="shared" si="103"/>
        <v>1537</v>
      </c>
      <c r="AC494" s="9">
        <f t="shared" si="103"/>
        <v>699</v>
      </c>
      <c r="AD494" s="9">
        <f t="shared" si="103"/>
        <v>1056</v>
      </c>
      <c r="AE494" s="9">
        <f t="shared" si="103"/>
        <v>357</v>
      </c>
    </row>
    <row r="495" spans="2:31" x14ac:dyDescent="0.25">
      <c r="B495" s="6">
        <v>3949</v>
      </c>
      <c r="C495" s="6">
        <f t="shared" si="107"/>
        <v>4149</v>
      </c>
      <c r="D495" s="6">
        <v>4438</v>
      </c>
      <c r="E495" s="6">
        <v>5021</v>
      </c>
      <c r="F495" s="6">
        <v>5426</v>
      </c>
      <c r="L495">
        <f t="shared" si="93"/>
        <v>-200</v>
      </c>
      <c r="M495">
        <f t="shared" si="94"/>
        <v>-489</v>
      </c>
      <c r="N495">
        <f t="shared" si="95"/>
        <v>-1072</v>
      </c>
      <c r="O495">
        <f t="shared" si="96"/>
        <v>-1477</v>
      </c>
      <c r="P495">
        <f t="shared" si="97"/>
        <v>-289</v>
      </c>
      <c r="Q495">
        <f t="shared" si="98"/>
        <v>-872</v>
      </c>
      <c r="R495">
        <f t="shared" si="99"/>
        <v>-1277</v>
      </c>
      <c r="S495">
        <f t="shared" si="100"/>
        <v>-583</v>
      </c>
      <c r="T495">
        <f t="shared" si="101"/>
        <v>-988</v>
      </c>
      <c r="U495">
        <f t="shared" si="102"/>
        <v>-405</v>
      </c>
      <c r="V495" s="9">
        <f t="shared" si="104"/>
        <v>200</v>
      </c>
      <c r="W495" s="9">
        <f t="shared" si="104"/>
        <v>489</v>
      </c>
      <c r="X495" s="9">
        <f t="shared" si="104"/>
        <v>1072</v>
      </c>
      <c r="Y495" s="9">
        <f t="shared" si="104"/>
        <v>1477</v>
      </c>
      <c r="Z495" s="9">
        <f t="shared" si="104"/>
        <v>289</v>
      </c>
      <c r="AA495" s="9">
        <f t="shared" si="103"/>
        <v>872</v>
      </c>
      <c r="AB495" s="9">
        <f t="shared" si="103"/>
        <v>1277</v>
      </c>
      <c r="AC495" s="9">
        <f t="shared" si="103"/>
        <v>583</v>
      </c>
      <c r="AD495" s="9">
        <f t="shared" si="103"/>
        <v>988</v>
      </c>
      <c r="AE495" s="9">
        <f t="shared" si="103"/>
        <v>405</v>
      </c>
    </row>
    <row r="496" spans="2:31" x14ac:dyDescent="0.25">
      <c r="B496" s="6">
        <f t="shared" si="105"/>
        <v>2795</v>
      </c>
      <c r="C496" s="6">
        <f t="shared" si="107"/>
        <v>2995</v>
      </c>
      <c r="D496" s="6">
        <v>3546</v>
      </c>
      <c r="E496" s="6">
        <f t="shared" si="108"/>
        <v>3969</v>
      </c>
      <c r="F496" s="6">
        <v>4392</v>
      </c>
      <c r="L496">
        <f t="shared" si="93"/>
        <v>-200</v>
      </c>
      <c r="M496">
        <f t="shared" si="94"/>
        <v>-751</v>
      </c>
      <c r="N496">
        <f t="shared" si="95"/>
        <v>-1174</v>
      </c>
      <c r="O496">
        <f t="shared" si="96"/>
        <v>-1597</v>
      </c>
      <c r="P496">
        <f t="shared" si="97"/>
        <v>-551</v>
      </c>
      <c r="Q496">
        <f t="shared" si="98"/>
        <v>-974</v>
      </c>
      <c r="R496">
        <f t="shared" si="99"/>
        <v>-1397</v>
      </c>
      <c r="S496">
        <f t="shared" si="100"/>
        <v>-423</v>
      </c>
      <c r="T496">
        <f t="shared" si="101"/>
        <v>-846</v>
      </c>
      <c r="U496">
        <f t="shared" si="102"/>
        <v>-423</v>
      </c>
      <c r="V496" s="9">
        <f t="shared" si="104"/>
        <v>200</v>
      </c>
      <c r="W496" s="9">
        <f t="shared" si="104"/>
        <v>751</v>
      </c>
      <c r="X496" s="9">
        <f t="shared" si="104"/>
        <v>1174</v>
      </c>
      <c r="Y496" s="9">
        <f t="shared" si="104"/>
        <v>1597</v>
      </c>
      <c r="Z496" s="9">
        <f t="shared" si="104"/>
        <v>551</v>
      </c>
      <c r="AA496" s="9">
        <f t="shared" si="103"/>
        <v>974</v>
      </c>
      <c r="AB496" s="9">
        <f t="shared" si="103"/>
        <v>1397</v>
      </c>
      <c r="AC496" s="9">
        <f t="shared" si="103"/>
        <v>423</v>
      </c>
      <c r="AD496" s="9">
        <f t="shared" si="103"/>
        <v>846</v>
      </c>
      <c r="AE496" s="9">
        <f t="shared" si="103"/>
        <v>423</v>
      </c>
    </row>
    <row r="497" spans="2:31" x14ac:dyDescent="0.25">
      <c r="B497" s="6">
        <v>3597</v>
      </c>
      <c r="C497" s="6">
        <v>3456</v>
      </c>
      <c r="D497" s="6">
        <f t="shared" si="106"/>
        <v>4080</v>
      </c>
      <c r="E497" s="6">
        <v>4429</v>
      </c>
      <c r="F497" s="6">
        <v>4869</v>
      </c>
      <c r="L497">
        <f t="shared" si="93"/>
        <v>141</v>
      </c>
      <c r="M497">
        <f t="shared" si="94"/>
        <v>-483</v>
      </c>
      <c r="N497">
        <f t="shared" si="95"/>
        <v>-832</v>
      </c>
      <c r="O497">
        <f t="shared" si="96"/>
        <v>-1272</v>
      </c>
      <c r="P497">
        <f t="shared" si="97"/>
        <v>-624</v>
      </c>
      <c r="Q497">
        <f t="shared" si="98"/>
        <v>-973</v>
      </c>
      <c r="R497">
        <f t="shared" si="99"/>
        <v>-1413</v>
      </c>
      <c r="S497">
        <f t="shared" si="100"/>
        <v>-349</v>
      </c>
      <c r="T497">
        <f t="shared" si="101"/>
        <v>-789</v>
      </c>
      <c r="U497">
        <f t="shared" si="102"/>
        <v>-440</v>
      </c>
      <c r="V497" s="9">
        <f t="shared" si="104"/>
        <v>141</v>
      </c>
      <c r="W497" s="9">
        <f t="shared" si="104"/>
        <v>483</v>
      </c>
      <c r="X497" s="9">
        <f t="shared" si="104"/>
        <v>832</v>
      </c>
      <c r="Y497" s="9">
        <f t="shared" si="104"/>
        <v>1272</v>
      </c>
      <c r="Z497" s="9">
        <f t="shared" si="104"/>
        <v>624</v>
      </c>
      <c r="AA497" s="9">
        <f t="shared" si="103"/>
        <v>973</v>
      </c>
      <c r="AB497" s="9">
        <f t="shared" si="103"/>
        <v>1413</v>
      </c>
      <c r="AC497" s="9">
        <f t="shared" si="103"/>
        <v>349</v>
      </c>
      <c r="AD497" s="9">
        <f t="shared" si="103"/>
        <v>789</v>
      </c>
      <c r="AE497" s="9">
        <f t="shared" si="103"/>
        <v>440</v>
      </c>
    </row>
    <row r="498" spans="2:31" x14ac:dyDescent="0.25">
      <c r="B498" s="6">
        <v>3846</v>
      </c>
      <c r="C498" s="6">
        <f t="shared" si="107"/>
        <v>4046</v>
      </c>
      <c r="D498" s="6">
        <v>4597</v>
      </c>
      <c r="E498" s="6">
        <v>5127</v>
      </c>
      <c r="F498" s="6">
        <v>5529</v>
      </c>
      <c r="L498">
        <f t="shared" si="93"/>
        <v>-200</v>
      </c>
      <c r="M498">
        <f t="shared" si="94"/>
        <v>-751</v>
      </c>
      <c r="N498">
        <f t="shared" si="95"/>
        <v>-1281</v>
      </c>
      <c r="O498">
        <f t="shared" si="96"/>
        <v>-1683</v>
      </c>
      <c r="P498">
        <f t="shared" si="97"/>
        <v>-551</v>
      </c>
      <c r="Q498">
        <f t="shared" si="98"/>
        <v>-1081</v>
      </c>
      <c r="R498">
        <f t="shared" si="99"/>
        <v>-1483</v>
      </c>
      <c r="S498">
        <f t="shared" si="100"/>
        <v>-530</v>
      </c>
      <c r="T498">
        <f t="shared" si="101"/>
        <v>-932</v>
      </c>
      <c r="U498">
        <f t="shared" si="102"/>
        <v>-402</v>
      </c>
      <c r="V498" s="9">
        <f t="shared" si="104"/>
        <v>200</v>
      </c>
      <c r="W498" s="9">
        <f t="shared" si="104"/>
        <v>751</v>
      </c>
      <c r="X498" s="9">
        <f t="shared" si="104"/>
        <v>1281</v>
      </c>
      <c r="Y498" s="9">
        <f t="shared" si="104"/>
        <v>1683</v>
      </c>
      <c r="Z498" s="9">
        <f t="shared" si="104"/>
        <v>551</v>
      </c>
      <c r="AA498" s="9">
        <f t="shared" si="103"/>
        <v>1081</v>
      </c>
      <c r="AB498" s="9">
        <f t="shared" si="103"/>
        <v>1483</v>
      </c>
      <c r="AC498" s="9">
        <f t="shared" si="103"/>
        <v>530</v>
      </c>
      <c r="AD498" s="9">
        <f t="shared" si="103"/>
        <v>932</v>
      </c>
      <c r="AE498" s="9">
        <f t="shared" si="103"/>
        <v>402</v>
      </c>
    </row>
    <row r="499" spans="2:31" x14ac:dyDescent="0.25">
      <c r="B499" s="6">
        <f t="shared" si="105"/>
        <v>4008</v>
      </c>
      <c r="C499" s="6">
        <v>4478</v>
      </c>
      <c r="D499" s="6">
        <v>5216</v>
      </c>
      <c r="E499" s="6">
        <v>5534</v>
      </c>
      <c r="F499" s="6">
        <v>6249</v>
      </c>
      <c r="L499">
        <f t="shared" si="93"/>
        <v>-470</v>
      </c>
      <c r="M499">
        <f t="shared" si="94"/>
        <v>-1208</v>
      </c>
      <c r="N499">
        <f t="shared" si="95"/>
        <v>-1526</v>
      </c>
      <c r="O499">
        <f t="shared" si="96"/>
        <v>-2241</v>
      </c>
      <c r="P499">
        <f t="shared" si="97"/>
        <v>-738</v>
      </c>
      <c r="Q499">
        <f t="shared" si="98"/>
        <v>-1056</v>
      </c>
      <c r="R499">
        <f t="shared" si="99"/>
        <v>-1771</v>
      </c>
      <c r="S499">
        <f t="shared" si="100"/>
        <v>-318</v>
      </c>
      <c r="T499">
        <f t="shared" si="101"/>
        <v>-1033</v>
      </c>
      <c r="U499">
        <f t="shared" si="102"/>
        <v>-715</v>
      </c>
      <c r="V499" s="9">
        <f t="shared" si="104"/>
        <v>470</v>
      </c>
      <c r="W499" s="9">
        <f t="shared" si="104"/>
        <v>1208</v>
      </c>
      <c r="X499" s="9">
        <f t="shared" si="104"/>
        <v>1526</v>
      </c>
      <c r="Y499" s="9">
        <f t="shared" si="104"/>
        <v>2241</v>
      </c>
      <c r="Z499" s="9">
        <f t="shared" si="104"/>
        <v>738</v>
      </c>
      <c r="AA499" s="9">
        <f t="shared" si="103"/>
        <v>1056</v>
      </c>
      <c r="AB499" s="9">
        <f t="shared" si="103"/>
        <v>1771</v>
      </c>
      <c r="AC499" s="9">
        <f t="shared" si="103"/>
        <v>318</v>
      </c>
      <c r="AD499" s="9">
        <f t="shared" si="103"/>
        <v>1033</v>
      </c>
      <c r="AE499" s="9">
        <f t="shared" si="103"/>
        <v>715</v>
      </c>
    </row>
    <row r="500" spans="2:31" x14ac:dyDescent="0.25">
      <c r="B500" s="6">
        <f t="shared" si="105"/>
        <v>3798</v>
      </c>
      <c r="C500" s="6">
        <f t="shared" si="107"/>
        <v>3998</v>
      </c>
      <c r="D500" s="6">
        <v>4522</v>
      </c>
      <c r="E500" s="6">
        <v>4951</v>
      </c>
      <c r="F500" s="6">
        <v>5349</v>
      </c>
      <c r="L500">
        <f t="shared" si="93"/>
        <v>-200</v>
      </c>
      <c r="M500">
        <f t="shared" si="94"/>
        <v>-724</v>
      </c>
      <c r="N500">
        <f t="shared" si="95"/>
        <v>-1153</v>
      </c>
      <c r="O500">
        <f t="shared" si="96"/>
        <v>-1551</v>
      </c>
      <c r="P500">
        <f t="shared" si="97"/>
        <v>-524</v>
      </c>
      <c r="Q500">
        <f t="shared" si="98"/>
        <v>-953</v>
      </c>
      <c r="R500">
        <f t="shared" si="99"/>
        <v>-1351</v>
      </c>
      <c r="S500">
        <f t="shared" si="100"/>
        <v>-429</v>
      </c>
      <c r="T500">
        <f t="shared" si="101"/>
        <v>-827</v>
      </c>
      <c r="U500">
        <f t="shared" si="102"/>
        <v>-398</v>
      </c>
      <c r="V500" s="9">
        <f t="shared" si="104"/>
        <v>200</v>
      </c>
      <c r="W500" s="9">
        <f t="shared" si="104"/>
        <v>724</v>
      </c>
      <c r="X500" s="9">
        <f t="shared" si="104"/>
        <v>1153</v>
      </c>
      <c r="Y500" s="9">
        <f t="shared" si="104"/>
        <v>1551</v>
      </c>
      <c r="Z500" s="9">
        <f t="shared" si="104"/>
        <v>524</v>
      </c>
      <c r="AA500" s="9">
        <f t="shared" si="103"/>
        <v>953</v>
      </c>
      <c r="AB500" s="9">
        <f t="shared" si="103"/>
        <v>1351</v>
      </c>
      <c r="AC500" s="9">
        <f t="shared" si="103"/>
        <v>429</v>
      </c>
      <c r="AD500" s="9">
        <f t="shared" si="103"/>
        <v>827</v>
      </c>
      <c r="AE500" s="9">
        <f t="shared" si="103"/>
        <v>398</v>
      </c>
    </row>
    <row r="501" spans="2:31" x14ac:dyDescent="0.25">
      <c r="B501" s="6">
        <f t="shared" si="105"/>
        <v>2795</v>
      </c>
      <c r="C501" s="6">
        <f t="shared" si="107"/>
        <v>2995</v>
      </c>
      <c r="D501" s="6">
        <f t="shared" si="106"/>
        <v>3619</v>
      </c>
      <c r="E501" s="6">
        <v>3985</v>
      </c>
      <c r="F501" s="6">
        <v>4529</v>
      </c>
      <c r="L501">
        <f t="shared" si="93"/>
        <v>-200</v>
      </c>
      <c r="M501">
        <f t="shared" si="94"/>
        <v>-824</v>
      </c>
      <c r="N501">
        <f t="shared" si="95"/>
        <v>-1190</v>
      </c>
      <c r="O501">
        <f t="shared" si="96"/>
        <v>-1734</v>
      </c>
      <c r="P501">
        <f t="shared" si="97"/>
        <v>-624</v>
      </c>
      <c r="Q501">
        <f t="shared" si="98"/>
        <v>-990</v>
      </c>
      <c r="R501">
        <f t="shared" si="99"/>
        <v>-1534</v>
      </c>
      <c r="S501">
        <f t="shared" si="100"/>
        <v>-366</v>
      </c>
      <c r="T501">
        <f t="shared" si="101"/>
        <v>-910</v>
      </c>
      <c r="U501">
        <f t="shared" si="102"/>
        <v>-544</v>
      </c>
      <c r="V501" s="9">
        <f t="shared" si="104"/>
        <v>200</v>
      </c>
      <c r="W501" s="9">
        <f t="shared" si="104"/>
        <v>824</v>
      </c>
      <c r="X501" s="9">
        <f t="shared" si="104"/>
        <v>1190</v>
      </c>
      <c r="Y501" s="9">
        <f t="shared" si="104"/>
        <v>1734</v>
      </c>
      <c r="Z501" s="9">
        <f t="shared" si="104"/>
        <v>624</v>
      </c>
      <c r="AA501" s="9">
        <f t="shared" si="103"/>
        <v>990</v>
      </c>
      <c r="AB501" s="9">
        <f t="shared" si="103"/>
        <v>1534</v>
      </c>
      <c r="AC501" s="9">
        <f t="shared" si="103"/>
        <v>366</v>
      </c>
      <c r="AD501" s="9">
        <f t="shared" si="103"/>
        <v>910</v>
      </c>
      <c r="AE501" s="9">
        <f t="shared" si="103"/>
        <v>544</v>
      </c>
    </row>
    <row r="502" spans="2:31" x14ac:dyDescent="0.25">
      <c r="B502" s="6">
        <f t="shared" si="105"/>
        <v>3404</v>
      </c>
      <c r="C502" s="6">
        <f t="shared" si="107"/>
        <v>3604</v>
      </c>
      <c r="D502" s="6">
        <v>4395</v>
      </c>
      <c r="E502" s="6">
        <v>4529</v>
      </c>
      <c r="F502" s="6">
        <v>5129</v>
      </c>
      <c r="L502">
        <f t="shared" si="93"/>
        <v>-200</v>
      </c>
      <c r="M502">
        <f t="shared" si="94"/>
        <v>-991</v>
      </c>
      <c r="N502">
        <f t="shared" si="95"/>
        <v>-1125</v>
      </c>
      <c r="O502">
        <f t="shared" si="96"/>
        <v>-1725</v>
      </c>
      <c r="P502">
        <f t="shared" si="97"/>
        <v>-791</v>
      </c>
      <c r="Q502">
        <f t="shared" si="98"/>
        <v>-925</v>
      </c>
      <c r="R502">
        <f t="shared" si="99"/>
        <v>-1525</v>
      </c>
      <c r="S502">
        <f t="shared" si="100"/>
        <v>-134</v>
      </c>
      <c r="T502">
        <f t="shared" si="101"/>
        <v>-734</v>
      </c>
      <c r="U502">
        <f t="shared" si="102"/>
        <v>-600</v>
      </c>
      <c r="V502" s="9">
        <f t="shared" si="104"/>
        <v>200</v>
      </c>
      <c r="W502" s="9">
        <f t="shared" si="104"/>
        <v>991</v>
      </c>
      <c r="X502" s="9">
        <f t="shared" si="104"/>
        <v>1125</v>
      </c>
      <c r="Y502" s="9">
        <f t="shared" si="104"/>
        <v>1725</v>
      </c>
      <c r="Z502" s="9">
        <f t="shared" si="104"/>
        <v>791</v>
      </c>
      <c r="AA502" s="9">
        <f t="shared" si="103"/>
        <v>925</v>
      </c>
      <c r="AB502" s="9">
        <f t="shared" si="103"/>
        <v>1525</v>
      </c>
      <c r="AC502" s="9">
        <f t="shared" si="103"/>
        <v>134</v>
      </c>
      <c r="AD502" s="9">
        <f t="shared" si="103"/>
        <v>734</v>
      </c>
      <c r="AE502" s="9">
        <f t="shared" si="103"/>
        <v>600</v>
      </c>
    </row>
    <row r="503" spans="2:31" x14ac:dyDescent="0.25">
      <c r="B503" s="6">
        <f t="shared" si="105"/>
        <v>2824</v>
      </c>
      <c r="C503" s="6">
        <v>2978</v>
      </c>
      <c r="D503" s="6">
        <v>3976</v>
      </c>
      <c r="E503" s="6">
        <f t="shared" si="108"/>
        <v>4399</v>
      </c>
      <c r="F503" s="6">
        <f t="shared" ref="F503:F540" si="109">E503+486</f>
        <v>4885</v>
      </c>
      <c r="L503">
        <f t="shared" si="93"/>
        <v>-154</v>
      </c>
      <c r="M503">
        <f t="shared" si="94"/>
        <v>-1152</v>
      </c>
      <c r="N503">
        <f t="shared" si="95"/>
        <v>-1575</v>
      </c>
      <c r="O503">
        <f t="shared" si="96"/>
        <v>-2061</v>
      </c>
      <c r="P503">
        <f t="shared" si="97"/>
        <v>-998</v>
      </c>
      <c r="Q503">
        <f t="shared" si="98"/>
        <v>-1421</v>
      </c>
      <c r="R503">
        <f t="shared" si="99"/>
        <v>-1907</v>
      </c>
      <c r="S503">
        <f t="shared" si="100"/>
        <v>-423</v>
      </c>
      <c r="T503">
        <f t="shared" si="101"/>
        <v>-909</v>
      </c>
      <c r="U503">
        <f t="shared" si="102"/>
        <v>-486</v>
      </c>
      <c r="V503" s="9">
        <f t="shared" si="104"/>
        <v>154</v>
      </c>
      <c r="W503" s="9">
        <f t="shared" si="104"/>
        <v>1152</v>
      </c>
      <c r="X503" s="9">
        <f t="shared" si="104"/>
        <v>1575</v>
      </c>
      <c r="Y503" s="9">
        <f t="shared" si="104"/>
        <v>2061</v>
      </c>
      <c r="Z503" s="9">
        <f t="shared" si="104"/>
        <v>998</v>
      </c>
      <c r="AA503" s="9">
        <f t="shared" si="103"/>
        <v>1421</v>
      </c>
      <c r="AB503" s="9">
        <f t="shared" si="103"/>
        <v>1907</v>
      </c>
      <c r="AC503" s="9">
        <f t="shared" si="103"/>
        <v>423</v>
      </c>
      <c r="AD503" s="9">
        <f t="shared" si="103"/>
        <v>909</v>
      </c>
      <c r="AE503" s="9">
        <f t="shared" si="103"/>
        <v>486</v>
      </c>
    </row>
    <row r="504" spans="2:31" x14ac:dyDescent="0.25">
      <c r="B504" s="6">
        <f t="shared" si="105"/>
        <v>2006</v>
      </c>
      <c r="C504" s="6">
        <f t="shared" si="107"/>
        <v>2206</v>
      </c>
      <c r="D504" s="6">
        <v>2543</v>
      </c>
      <c r="E504" s="6">
        <v>2876</v>
      </c>
      <c r="F504" s="6">
        <f t="shared" si="109"/>
        <v>3362</v>
      </c>
      <c r="L504">
        <f t="shared" si="93"/>
        <v>-200</v>
      </c>
      <c r="M504">
        <f t="shared" si="94"/>
        <v>-537</v>
      </c>
      <c r="N504">
        <f t="shared" si="95"/>
        <v>-870</v>
      </c>
      <c r="O504">
        <f t="shared" si="96"/>
        <v>-1356</v>
      </c>
      <c r="P504">
        <f t="shared" si="97"/>
        <v>-337</v>
      </c>
      <c r="Q504">
        <f t="shared" si="98"/>
        <v>-670</v>
      </c>
      <c r="R504">
        <f t="shared" si="99"/>
        <v>-1156</v>
      </c>
      <c r="S504">
        <f t="shared" si="100"/>
        <v>-333</v>
      </c>
      <c r="T504">
        <f t="shared" si="101"/>
        <v>-819</v>
      </c>
      <c r="U504">
        <f t="shared" si="102"/>
        <v>-486</v>
      </c>
      <c r="V504" s="9">
        <f t="shared" si="104"/>
        <v>200</v>
      </c>
      <c r="W504" s="9">
        <f t="shared" si="104"/>
        <v>537</v>
      </c>
      <c r="X504" s="9">
        <f t="shared" si="104"/>
        <v>870</v>
      </c>
      <c r="Y504" s="9">
        <f t="shared" si="104"/>
        <v>1356</v>
      </c>
      <c r="Z504" s="9">
        <f t="shared" si="104"/>
        <v>337</v>
      </c>
      <c r="AA504" s="9">
        <f t="shared" si="103"/>
        <v>670</v>
      </c>
      <c r="AB504" s="9">
        <f t="shared" si="103"/>
        <v>1156</v>
      </c>
      <c r="AC504" s="9">
        <f t="shared" si="103"/>
        <v>333</v>
      </c>
      <c r="AD504" s="9">
        <f t="shared" si="103"/>
        <v>819</v>
      </c>
      <c r="AE504" s="9">
        <f t="shared" si="103"/>
        <v>486</v>
      </c>
    </row>
    <row r="505" spans="2:31" x14ac:dyDescent="0.25">
      <c r="B505" s="6">
        <f t="shared" si="105"/>
        <v>1939</v>
      </c>
      <c r="C505" s="6">
        <f>B505+198</f>
        <v>2137</v>
      </c>
      <c r="D505" s="6">
        <f t="shared" si="106"/>
        <v>2761</v>
      </c>
      <c r="E505" s="6">
        <f t="shared" si="108"/>
        <v>3184</v>
      </c>
      <c r="F505" s="6">
        <f t="shared" si="109"/>
        <v>3670</v>
      </c>
      <c r="L505">
        <f t="shared" si="93"/>
        <v>-198</v>
      </c>
      <c r="M505">
        <f t="shared" si="94"/>
        <v>-822</v>
      </c>
      <c r="N505">
        <f t="shared" si="95"/>
        <v>-1245</v>
      </c>
      <c r="O505">
        <f t="shared" si="96"/>
        <v>-1731</v>
      </c>
      <c r="P505">
        <f t="shared" si="97"/>
        <v>-624</v>
      </c>
      <c r="Q505">
        <f t="shared" si="98"/>
        <v>-1047</v>
      </c>
      <c r="R505">
        <f t="shared" si="99"/>
        <v>-1533</v>
      </c>
      <c r="S505">
        <f t="shared" si="100"/>
        <v>-423</v>
      </c>
      <c r="T505">
        <f t="shared" si="101"/>
        <v>-909</v>
      </c>
      <c r="U505">
        <f t="shared" si="102"/>
        <v>-486</v>
      </c>
      <c r="V505" s="9">
        <f t="shared" si="104"/>
        <v>198</v>
      </c>
      <c r="W505" s="9">
        <f t="shared" si="104"/>
        <v>822</v>
      </c>
      <c r="X505" s="9">
        <f t="shared" si="104"/>
        <v>1245</v>
      </c>
      <c r="Y505" s="9">
        <f t="shared" si="104"/>
        <v>1731</v>
      </c>
      <c r="Z505" s="9">
        <f t="shared" si="104"/>
        <v>624</v>
      </c>
      <c r="AA505" s="9">
        <f t="shared" si="103"/>
        <v>1047</v>
      </c>
      <c r="AB505" s="9">
        <f t="shared" si="103"/>
        <v>1533</v>
      </c>
      <c r="AC505" s="9">
        <f t="shared" si="103"/>
        <v>423</v>
      </c>
      <c r="AD505" s="9">
        <f t="shared" si="103"/>
        <v>909</v>
      </c>
      <c r="AE505" s="9">
        <f t="shared" si="103"/>
        <v>486</v>
      </c>
    </row>
    <row r="506" spans="2:31" x14ac:dyDescent="0.25">
      <c r="B506" s="6">
        <f t="shared" si="105"/>
        <v>3295</v>
      </c>
      <c r="C506" s="6">
        <v>3399</v>
      </c>
      <c r="D506" s="6">
        <v>3872</v>
      </c>
      <c r="E506" s="6">
        <f t="shared" si="108"/>
        <v>4295</v>
      </c>
      <c r="F506" s="6">
        <f t="shared" si="109"/>
        <v>4781</v>
      </c>
      <c r="L506">
        <f t="shared" si="93"/>
        <v>-104</v>
      </c>
      <c r="M506">
        <f t="shared" si="94"/>
        <v>-577</v>
      </c>
      <c r="N506">
        <f t="shared" si="95"/>
        <v>-1000</v>
      </c>
      <c r="O506">
        <f t="shared" si="96"/>
        <v>-1486</v>
      </c>
      <c r="P506">
        <f t="shared" si="97"/>
        <v>-473</v>
      </c>
      <c r="Q506">
        <f t="shared" si="98"/>
        <v>-896</v>
      </c>
      <c r="R506">
        <f t="shared" si="99"/>
        <v>-1382</v>
      </c>
      <c r="S506">
        <f t="shared" si="100"/>
        <v>-423</v>
      </c>
      <c r="T506">
        <f t="shared" si="101"/>
        <v>-909</v>
      </c>
      <c r="U506">
        <f t="shared" si="102"/>
        <v>-486</v>
      </c>
      <c r="V506" s="9">
        <f t="shared" si="104"/>
        <v>104</v>
      </c>
      <c r="W506" s="9">
        <f t="shared" si="104"/>
        <v>577</v>
      </c>
      <c r="X506" s="9">
        <f t="shared" si="104"/>
        <v>1000</v>
      </c>
      <c r="Y506" s="9">
        <f t="shared" si="104"/>
        <v>1486</v>
      </c>
      <c r="Z506" s="9">
        <f t="shared" si="104"/>
        <v>473</v>
      </c>
      <c r="AA506" s="9">
        <f t="shared" si="103"/>
        <v>896</v>
      </c>
      <c r="AB506" s="9">
        <f t="shared" si="103"/>
        <v>1382</v>
      </c>
      <c r="AC506" s="9">
        <f t="shared" si="103"/>
        <v>423</v>
      </c>
      <c r="AD506" s="9">
        <f t="shared" si="103"/>
        <v>909</v>
      </c>
      <c r="AE506" s="9">
        <f t="shared" si="103"/>
        <v>486</v>
      </c>
    </row>
    <row r="507" spans="2:31" x14ac:dyDescent="0.25">
      <c r="B507" s="6">
        <f t="shared" si="105"/>
        <v>4237</v>
      </c>
      <c r="C507" s="6">
        <f t="shared" si="107"/>
        <v>4437</v>
      </c>
      <c r="D507" s="6">
        <v>4681</v>
      </c>
      <c r="E507" s="6">
        <v>4956</v>
      </c>
      <c r="F507" s="6">
        <f t="shared" si="109"/>
        <v>5442</v>
      </c>
      <c r="L507">
        <f t="shared" si="93"/>
        <v>-200</v>
      </c>
      <c r="M507">
        <f t="shared" si="94"/>
        <v>-444</v>
      </c>
      <c r="N507">
        <f t="shared" si="95"/>
        <v>-719</v>
      </c>
      <c r="O507">
        <f t="shared" si="96"/>
        <v>-1205</v>
      </c>
      <c r="P507">
        <f t="shared" si="97"/>
        <v>-244</v>
      </c>
      <c r="Q507">
        <f t="shared" si="98"/>
        <v>-519</v>
      </c>
      <c r="R507">
        <f t="shared" si="99"/>
        <v>-1005</v>
      </c>
      <c r="S507">
        <f t="shared" si="100"/>
        <v>-275</v>
      </c>
      <c r="T507">
        <f t="shared" si="101"/>
        <v>-761</v>
      </c>
      <c r="U507">
        <f t="shared" si="102"/>
        <v>-486</v>
      </c>
      <c r="V507" s="9">
        <f t="shared" si="104"/>
        <v>200</v>
      </c>
      <c r="W507" s="9">
        <f t="shared" si="104"/>
        <v>444</v>
      </c>
      <c r="X507" s="9">
        <f t="shared" si="104"/>
        <v>719</v>
      </c>
      <c r="Y507" s="9">
        <f t="shared" si="104"/>
        <v>1205</v>
      </c>
      <c r="Z507" s="9">
        <f t="shared" si="104"/>
        <v>244</v>
      </c>
      <c r="AA507" s="9">
        <f t="shared" si="103"/>
        <v>519</v>
      </c>
      <c r="AB507" s="9">
        <f t="shared" si="103"/>
        <v>1005</v>
      </c>
      <c r="AC507" s="9">
        <f t="shared" si="103"/>
        <v>275</v>
      </c>
      <c r="AD507" s="9">
        <f t="shared" si="103"/>
        <v>761</v>
      </c>
      <c r="AE507" s="9">
        <f t="shared" si="103"/>
        <v>486</v>
      </c>
    </row>
    <row r="508" spans="2:31" x14ac:dyDescent="0.25">
      <c r="B508" s="6">
        <v>4523</v>
      </c>
      <c r="C508" s="6">
        <v>4755</v>
      </c>
      <c r="D508" s="6">
        <v>4958</v>
      </c>
      <c r="E508" s="6">
        <f t="shared" si="108"/>
        <v>5381</v>
      </c>
      <c r="F508" s="6">
        <v>5749</v>
      </c>
      <c r="L508">
        <f t="shared" si="93"/>
        <v>-232</v>
      </c>
      <c r="M508">
        <f t="shared" si="94"/>
        <v>-435</v>
      </c>
      <c r="N508">
        <f t="shared" si="95"/>
        <v>-858</v>
      </c>
      <c r="O508">
        <f t="shared" si="96"/>
        <v>-1226</v>
      </c>
      <c r="P508">
        <f t="shared" si="97"/>
        <v>-203</v>
      </c>
      <c r="Q508">
        <f t="shared" si="98"/>
        <v>-626</v>
      </c>
      <c r="R508">
        <f t="shared" si="99"/>
        <v>-994</v>
      </c>
      <c r="S508">
        <f t="shared" si="100"/>
        <v>-423</v>
      </c>
      <c r="T508">
        <f t="shared" si="101"/>
        <v>-791</v>
      </c>
      <c r="U508">
        <f t="shared" si="102"/>
        <v>-368</v>
      </c>
      <c r="V508" s="9">
        <f t="shared" si="104"/>
        <v>232</v>
      </c>
      <c r="W508" s="9">
        <f t="shared" si="104"/>
        <v>435</v>
      </c>
      <c r="X508" s="9">
        <f t="shared" si="104"/>
        <v>858</v>
      </c>
      <c r="Y508" s="9">
        <f t="shared" si="104"/>
        <v>1226</v>
      </c>
      <c r="Z508" s="9">
        <f t="shared" si="104"/>
        <v>203</v>
      </c>
      <c r="AA508" s="9">
        <f t="shared" si="103"/>
        <v>626</v>
      </c>
      <c r="AB508" s="9">
        <f t="shared" si="103"/>
        <v>994</v>
      </c>
      <c r="AC508" s="9">
        <f t="shared" si="103"/>
        <v>423</v>
      </c>
      <c r="AD508" s="9">
        <f t="shared" si="103"/>
        <v>791</v>
      </c>
      <c r="AE508" s="9">
        <f t="shared" si="103"/>
        <v>368</v>
      </c>
    </row>
    <row r="509" spans="2:31" x14ac:dyDescent="0.25">
      <c r="B509" s="6">
        <v>4795</v>
      </c>
      <c r="C509" s="6">
        <f t="shared" si="107"/>
        <v>4995</v>
      </c>
      <c r="D509" s="6">
        <v>5542</v>
      </c>
      <c r="E509" s="6">
        <v>5874</v>
      </c>
      <c r="F509" s="6">
        <v>6289</v>
      </c>
      <c r="L509">
        <f t="shared" si="93"/>
        <v>-200</v>
      </c>
      <c r="M509">
        <f t="shared" si="94"/>
        <v>-747</v>
      </c>
      <c r="N509">
        <f t="shared" si="95"/>
        <v>-1079</v>
      </c>
      <c r="O509">
        <f t="shared" si="96"/>
        <v>-1494</v>
      </c>
      <c r="P509">
        <f t="shared" si="97"/>
        <v>-547</v>
      </c>
      <c r="Q509">
        <f t="shared" si="98"/>
        <v>-879</v>
      </c>
      <c r="R509">
        <f t="shared" si="99"/>
        <v>-1294</v>
      </c>
      <c r="S509">
        <f t="shared" si="100"/>
        <v>-332</v>
      </c>
      <c r="T509">
        <f t="shared" si="101"/>
        <v>-747</v>
      </c>
      <c r="U509">
        <f t="shared" si="102"/>
        <v>-415</v>
      </c>
      <c r="V509" s="9">
        <f t="shared" si="104"/>
        <v>200</v>
      </c>
      <c r="W509" s="9">
        <f t="shared" si="104"/>
        <v>747</v>
      </c>
      <c r="X509" s="9">
        <f t="shared" si="104"/>
        <v>1079</v>
      </c>
      <c r="Y509" s="9">
        <f t="shared" si="104"/>
        <v>1494</v>
      </c>
      <c r="Z509" s="9">
        <f t="shared" si="104"/>
        <v>547</v>
      </c>
      <c r="AA509" s="9">
        <f t="shared" si="103"/>
        <v>879</v>
      </c>
      <c r="AB509" s="9">
        <f t="shared" si="103"/>
        <v>1294</v>
      </c>
      <c r="AC509" s="9">
        <f t="shared" si="103"/>
        <v>332</v>
      </c>
      <c r="AD509" s="9">
        <f t="shared" si="103"/>
        <v>747</v>
      </c>
      <c r="AE509" s="9">
        <f t="shared" si="103"/>
        <v>415</v>
      </c>
    </row>
    <row r="510" spans="2:31" x14ac:dyDescent="0.25">
      <c r="B510" s="6">
        <v>3327</v>
      </c>
      <c r="C510" s="6">
        <v>3427</v>
      </c>
      <c r="D510" s="6">
        <v>3954</v>
      </c>
      <c r="E510" s="6">
        <f t="shared" si="108"/>
        <v>4377</v>
      </c>
      <c r="F510" s="6">
        <v>4568</v>
      </c>
      <c r="L510">
        <f t="shared" si="93"/>
        <v>-100</v>
      </c>
      <c r="M510">
        <f t="shared" si="94"/>
        <v>-627</v>
      </c>
      <c r="N510">
        <f t="shared" si="95"/>
        <v>-1050</v>
      </c>
      <c r="O510">
        <f t="shared" si="96"/>
        <v>-1241</v>
      </c>
      <c r="P510">
        <f t="shared" si="97"/>
        <v>-527</v>
      </c>
      <c r="Q510">
        <f t="shared" si="98"/>
        <v>-950</v>
      </c>
      <c r="R510">
        <f t="shared" si="99"/>
        <v>-1141</v>
      </c>
      <c r="S510">
        <f t="shared" si="100"/>
        <v>-423</v>
      </c>
      <c r="T510">
        <f t="shared" si="101"/>
        <v>-614</v>
      </c>
      <c r="U510">
        <f t="shared" si="102"/>
        <v>-191</v>
      </c>
      <c r="V510" s="9">
        <f t="shared" si="104"/>
        <v>100</v>
      </c>
      <c r="W510" s="9">
        <f t="shared" si="104"/>
        <v>627</v>
      </c>
      <c r="X510" s="9">
        <f t="shared" si="104"/>
        <v>1050</v>
      </c>
      <c r="Y510" s="9">
        <f t="shared" si="104"/>
        <v>1241</v>
      </c>
      <c r="Z510" s="9">
        <f t="shared" si="104"/>
        <v>527</v>
      </c>
      <c r="AA510" s="9">
        <f t="shared" si="103"/>
        <v>950</v>
      </c>
      <c r="AB510" s="9">
        <f t="shared" si="103"/>
        <v>1141</v>
      </c>
      <c r="AC510" s="9">
        <f t="shared" si="103"/>
        <v>423</v>
      </c>
      <c r="AD510" s="9">
        <f t="shared" si="103"/>
        <v>614</v>
      </c>
      <c r="AE510" s="9">
        <f t="shared" si="103"/>
        <v>191</v>
      </c>
    </row>
    <row r="511" spans="2:31" x14ac:dyDescent="0.25">
      <c r="B511" s="6">
        <v>3926</v>
      </c>
      <c r="C511" s="6">
        <f t="shared" si="107"/>
        <v>4126</v>
      </c>
      <c r="D511" s="6">
        <v>4597</v>
      </c>
      <c r="E511" s="6">
        <f t="shared" si="108"/>
        <v>5020</v>
      </c>
      <c r="F511" s="6">
        <v>5429</v>
      </c>
      <c r="L511">
        <f t="shared" si="93"/>
        <v>-200</v>
      </c>
      <c r="M511">
        <f t="shared" si="94"/>
        <v>-671</v>
      </c>
      <c r="N511">
        <f t="shared" si="95"/>
        <v>-1094</v>
      </c>
      <c r="O511">
        <f t="shared" si="96"/>
        <v>-1503</v>
      </c>
      <c r="P511">
        <f t="shared" si="97"/>
        <v>-471</v>
      </c>
      <c r="Q511">
        <f t="shared" si="98"/>
        <v>-894</v>
      </c>
      <c r="R511">
        <f t="shared" si="99"/>
        <v>-1303</v>
      </c>
      <c r="S511">
        <f t="shared" si="100"/>
        <v>-423</v>
      </c>
      <c r="T511">
        <f t="shared" si="101"/>
        <v>-832</v>
      </c>
      <c r="U511">
        <f t="shared" si="102"/>
        <v>-409</v>
      </c>
      <c r="V511" s="9">
        <f t="shared" si="104"/>
        <v>200</v>
      </c>
      <c r="W511" s="9">
        <f t="shared" si="104"/>
        <v>671</v>
      </c>
      <c r="X511" s="9">
        <f t="shared" si="104"/>
        <v>1094</v>
      </c>
      <c r="Y511" s="9">
        <f t="shared" si="104"/>
        <v>1503</v>
      </c>
      <c r="Z511" s="9">
        <f t="shared" si="104"/>
        <v>471</v>
      </c>
      <c r="AA511" s="9">
        <f t="shared" si="103"/>
        <v>894</v>
      </c>
      <c r="AB511" s="9">
        <f t="shared" si="103"/>
        <v>1303</v>
      </c>
      <c r="AC511" s="9">
        <f t="shared" si="103"/>
        <v>423</v>
      </c>
      <c r="AD511" s="9">
        <f t="shared" si="103"/>
        <v>832</v>
      </c>
      <c r="AE511" s="9">
        <f t="shared" si="103"/>
        <v>409</v>
      </c>
    </row>
    <row r="512" spans="2:31" x14ac:dyDescent="0.25">
      <c r="B512" s="6">
        <f t="shared" si="105"/>
        <v>4424</v>
      </c>
      <c r="C512" s="6">
        <f t="shared" si="107"/>
        <v>4624</v>
      </c>
      <c r="D512" s="6">
        <v>2897</v>
      </c>
      <c r="E512" s="6">
        <v>3526</v>
      </c>
      <c r="F512" s="6">
        <v>3975</v>
      </c>
      <c r="L512">
        <f t="shared" si="93"/>
        <v>-200</v>
      </c>
      <c r="M512">
        <f t="shared" si="94"/>
        <v>1527</v>
      </c>
      <c r="N512">
        <f t="shared" si="95"/>
        <v>898</v>
      </c>
      <c r="O512">
        <f t="shared" si="96"/>
        <v>449</v>
      </c>
      <c r="P512">
        <f t="shared" si="97"/>
        <v>1727</v>
      </c>
      <c r="Q512">
        <f t="shared" si="98"/>
        <v>1098</v>
      </c>
      <c r="R512">
        <f t="shared" si="99"/>
        <v>649</v>
      </c>
      <c r="S512">
        <f t="shared" si="100"/>
        <v>-629</v>
      </c>
      <c r="T512">
        <f t="shared" si="101"/>
        <v>-1078</v>
      </c>
      <c r="U512">
        <f t="shared" si="102"/>
        <v>-449</v>
      </c>
      <c r="V512" s="9">
        <f t="shared" si="104"/>
        <v>200</v>
      </c>
      <c r="W512" s="9">
        <f t="shared" si="104"/>
        <v>1527</v>
      </c>
      <c r="X512" s="9">
        <f t="shared" si="104"/>
        <v>898</v>
      </c>
      <c r="Y512" s="9">
        <f t="shared" si="104"/>
        <v>449</v>
      </c>
      <c r="Z512" s="9">
        <f t="shared" si="104"/>
        <v>1727</v>
      </c>
      <c r="AA512" s="9">
        <f t="shared" si="103"/>
        <v>1098</v>
      </c>
      <c r="AB512" s="9">
        <f t="shared" si="103"/>
        <v>649</v>
      </c>
      <c r="AC512" s="9">
        <f t="shared" si="103"/>
        <v>629</v>
      </c>
      <c r="AD512" s="9">
        <f t="shared" si="103"/>
        <v>1078</v>
      </c>
      <c r="AE512" s="9">
        <f t="shared" si="103"/>
        <v>449</v>
      </c>
    </row>
    <row r="513" spans="2:31" x14ac:dyDescent="0.25">
      <c r="B513" s="6">
        <f t="shared" si="105"/>
        <v>2928</v>
      </c>
      <c r="C513" s="6">
        <f t="shared" si="107"/>
        <v>3128</v>
      </c>
      <c r="D513" s="6">
        <v>6347</v>
      </c>
      <c r="E513" s="6">
        <v>6847</v>
      </c>
      <c r="F513" s="6">
        <v>6859</v>
      </c>
      <c r="L513">
        <f t="shared" ref="L513:L576" si="110">B513-C513</f>
        <v>-200</v>
      </c>
      <c r="M513">
        <f t="shared" ref="M513:M576" si="111">B513-D513</f>
        <v>-3419</v>
      </c>
      <c r="N513">
        <f t="shared" ref="N513:N576" si="112">B513-E513</f>
        <v>-3919</v>
      </c>
      <c r="O513">
        <f t="shared" ref="O513:O576" si="113">B513-F513</f>
        <v>-3931</v>
      </c>
      <c r="P513">
        <f t="shared" ref="P513:P576" si="114">C513-D513</f>
        <v>-3219</v>
      </c>
      <c r="Q513">
        <f t="shared" ref="Q513:Q576" si="115">C513-E513</f>
        <v>-3719</v>
      </c>
      <c r="R513">
        <f t="shared" ref="R513:R576" si="116">C513-F513</f>
        <v>-3731</v>
      </c>
      <c r="S513">
        <f t="shared" ref="S513:S576" si="117">D513-E513</f>
        <v>-500</v>
      </c>
      <c r="T513">
        <f t="shared" ref="T513:T576" si="118">D513-F513</f>
        <v>-512</v>
      </c>
      <c r="U513">
        <f t="shared" ref="U513:U576" si="119">E513-F513</f>
        <v>-12</v>
      </c>
      <c r="V513" s="9">
        <f t="shared" si="104"/>
        <v>200</v>
      </c>
      <c r="W513" s="9">
        <f t="shared" si="104"/>
        <v>3419</v>
      </c>
      <c r="X513" s="9">
        <f t="shared" si="104"/>
        <v>3919</v>
      </c>
      <c r="Y513" s="9">
        <f t="shared" si="104"/>
        <v>3931</v>
      </c>
      <c r="Z513" s="9">
        <f t="shared" si="104"/>
        <v>3219</v>
      </c>
      <c r="AA513" s="9">
        <f t="shared" si="103"/>
        <v>3719</v>
      </c>
      <c r="AB513" s="9">
        <f t="shared" si="103"/>
        <v>3731</v>
      </c>
      <c r="AC513" s="9">
        <f t="shared" si="103"/>
        <v>500</v>
      </c>
      <c r="AD513" s="9">
        <f t="shared" si="103"/>
        <v>512</v>
      </c>
      <c r="AE513" s="9">
        <f t="shared" si="103"/>
        <v>12</v>
      </c>
    </row>
    <row r="514" spans="2:31" x14ac:dyDescent="0.25">
      <c r="B514" s="6">
        <f t="shared" si="105"/>
        <v>2028</v>
      </c>
      <c r="C514" s="6">
        <f t="shared" si="107"/>
        <v>2228</v>
      </c>
      <c r="D514" s="6">
        <f t="shared" si="106"/>
        <v>2852</v>
      </c>
      <c r="E514" s="6">
        <v>3325</v>
      </c>
      <c r="F514" s="6">
        <f t="shared" si="109"/>
        <v>3811</v>
      </c>
      <c r="L514">
        <f t="shared" si="110"/>
        <v>-200</v>
      </c>
      <c r="M514">
        <f t="shared" si="111"/>
        <v>-824</v>
      </c>
      <c r="N514">
        <f t="shared" si="112"/>
        <v>-1297</v>
      </c>
      <c r="O514">
        <f t="shared" si="113"/>
        <v>-1783</v>
      </c>
      <c r="P514">
        <f t="shared" si="114"/>
        <v>-624</v>
      </c>
      <c r="Q514">
        <f t="shared" si="115"/>
        <v>-1097</v>
      </c>
      <c r="R514">
        <f t="shared" si="116"/>
        <v>-1583</v>
      </c>
      <c r="S514">
        <f t="shared" si="117"/>
        <v>-473</v>
      </c>
      <c r="T514">
        <f t="shared" si="118"/>
        <v>-959</v>
      </c>
      <c r="U514">
        <f t="shared" si="119"/>
        <v>-486</v>
      </c>
      <c r="V514" s="9">
        <f t="shared" si="104"/>
        <v>200</v>
      </c>
      <c r="W514" s="9">
        <f t="shared" si="104"/>
        <v>824</v>
      </c>
      <c r="X514" s="9">
        <f t="shared" si="104"/>
        <v>1297</v>
      </c>
      <c r="Y514" s="9">
        <f t="shared" si="104"/>
        <v>1783</v>
      </c>
      <c r="Z514" s="9">
        <f t="shared" si="104"/>
        <v>624</v>
      </c>
      <c r="AA514" s="9">
        <f t="shared" si="103"/>
        <v>1097</v>
      </c>
      <c r="AB514" s="9">
        <f t="shared" si="103"/>
        <v>1583</v>
      </c>
      <c r="AC514" s="9">
        <f t="shared" si="103"/>
        <v>473</v>
      </c>
      <c r="AD514" s="9">
        <f t="shared" si="103"/>
        <v>959</v>
      </c>
      <c r="AE514" s="9">
        <f t="shared" si="103"/>
        <v>486</v>
      </c>
    </row>
    <row r="515" spans="2:31" x14ac:dyDescent="0.25">
      <c r="B515" s="6">
        <f t="shared" si="105"/>
        <v>3124</v>
      </c>
      <c r="C515" s="6">
        <v>3217</v>
      </c>
      <c r="D515" s="6">
        <v>6958</v>
      </c>
      <c r="E515" s="6">
        <v>7421</v>
      </c>
      <c r="F515" s="6">
        <v>7734</v>
      </c>
      <c r="L515">
        <f t="shared" si="110"/>
        <v>-93</v>
      </c>
      <c r="M515">
        <f t="shared" si="111"/>
        <v>-3834</v>
      </c>
      <c r="N515">
        <f t="shared" si="112"/>
        <v>-4297</v>
      </c>
      <c r="O515">
        <f t="shared" si="113"/>
        <v>-4610</v>
      </c>
      <c r="P515">
        <f t="shared" si="114"/>
        <v>-3741</v>
      </c>
      <c r="Q515">
        <f t="shared" si="115"/>
        <v>-4204</v>
      </c>
      <c r="R515">
        <f t="shared" si="116"/>
        <v>-4517</v>
      </c>
      <c r="S515">
        <f t="shared" si="117"/>
        <v>-463</v>
      </c>
      <c r="T515">
        <f t="shared" si="118"/>
        <v>-776</v>
      </c>
      <c r="U515">
        <f t="shared" si="119"/>
        <v>-313</v>
      </c>
      <c r="V515" s="9">
        <f t="shared" si="104"/>
        <v>93</v>
      </c>
      <c r="W515" s="9">
        <f t="shared" si="104"/>
        <v>3834</v>
      </c>
      <c r="X515" s="9">
        <f t="shared" si="104"/>
        <v>4297</v>
      </c>
      <c r="Y515" s="9">
        <f t="shared" si="104"/>
        <v>4610</v>
      </c>
      <c r="Z515" s="9">
        <f t="shared" si="104"/>
        <v>3741</v>
      </c>
      <c r="AA515" s="9">
        <f t="shared" si="103"/>
        <v>4204</v>
      </c>
      <c r="AB515" s="9">
        <f t="shared" si="103"/>
        <v>4517</v>
      </c>
      <c r="AC515" s="9">
        <f t="shared" si="103"/>
        <v>463</v>
      </c>
      <c r="AD515" s="9">
        <f t="shared" si="103"/>
        <v>776</v>
      </c>
      <c r="AE515" s="9">
        <f t="shared" si="103"/>
        <v>313</v>
      </c>
    </row>
    <row r="516" spans="2:31" x14ac:dyDescent="0.25">
      <c r="B516" s="6">
        <f t="shared" si="105"/>
        <v>3896</v>
      </c>
      <c r="C516" s="6">
        <f t="shared" si="107"/>
        <v>4096</v>
      </c>
      <c r="D516" s="6">
        <v>4968</v>
      </c>
      <c r="E516" s="6">
        <v>5216</v>
      </c>
      <c r="F516" s="6">
        <v>5841</v>
      </c>
      <c r="L516">
        <f t="shared" si="110"/>
        <v>-200</v>
      </c>
      <c r="M516">
        <f t="shared" si="111"/>
        <v>-1072</v>
      </c>
      <c r="N516">
        <f t="shared" si="112"/>
        <v>-1320</v>
      </c>
      <c r="O516">
        <f t="shared" si="113"/>
        <v>-1945</v>
      </c>
      <c r="P516">
        <f t="shared" si="114"/>
        <v>-872</v>
      </c>
      <c r="Q516">
        <f t="shared" si="115"/>
        <v>-1120</v>
      </c>
      <c r="R516">
        <f t="shared" si="116"/>
        <v>-1745</v>
      </c>
      <c r="S516">
        <f t="shared" si="117"/>
        <v>-248</v>
      </c>
      <c r="T516">
        <f t="shared" si="118"/>
        <v>-873</v>
      </c>
      <c r="U516">
        <f t="shared" si="119"/>
        <v>-625</v>
      </c>
      <c r="V516" s="9">
        <f t="shared" si="104"/>
        <v>200</v>
      </c>
      <c r="W516" s="9">
        <f t="shared" si="104"/>
        <v>1072</v>
      </c>
      <c r="X516" s="9">
        <f t="shared" si="104"/>
        <v>1320</v>
      </c>
      <c r="Y516" s="9">
        <f t="shared" si="104"/>
        <v>1945</v>
      </c>
      <c r="Z516" s="9">
        <f t="shared" si="104"/>
        <v>872</v>
      </c>
      <c r="AA516" s="9">
        <f t="shared" si="103"/>
        <v>1120</v>
      </c>
      <c r="AB516" s="9">
        <f t="shared" si="103"/>
        <v>1745</v>
      </c>
      <c r="AC516" s="9">
        <f t="shared" si="103"/>
        <v>248</v>
      </c>
      <c r="AD516" s="9">
        <f t="shared" si="103"/>
        <v>873</v>
      </c>
      <c r="AE516" s="9">
        <f t="shared" si="103"/>
        <v>625</v>
      </c>
    </row>
    <row r="517" spans="2:31" x14ac:dyDescent="0.25">
      <c r="B517" s="6">
        <f t="shared" si="105"/>
        <v>4421</v>
      </c>
      <c r="C517" s="6">
        <f t="shared" si="107"/>
        <v>4621</v>
      </c>
      <c r="D517" s="6">
        <v>2857</v>
      </c>
      <c r="E517" s="6">
        <v>3298</v>
      </c>
      <c r="F517" s="6">
        <f t="shared" si="109"/>
        <v>3784</v>
      </c>
      <c r="L517">
        <f t="shared" si="110"/>
        <v>-200</v>
      </c>
      <c r="M517">
        <f t="shared" si="111"/>
        <v>1564</v>
      </c>
      <c r="N517">
        <f t="shared" si="112"/>
        <v>1123</v>
      </c>
      <c r="O517">
        <f t="shared" si="113"/>
        <v>637</v>
      </c>
      <c r="P517">
        <f t="shared" si="114"/>
        <v>1764</v>
      </c>
      <c r="Q517">
        <f t="shared" si="115"/>
        <v>1323</v>
      </c>
      <c r="R517">
        <f t="shared" si="116"/>
        <v>837</v>
      </c>
      <c r="S517">
        <f t="shared" si="117"/>
        <v>-441</v>
      </c>
      <c r="T517">
        <f t="shared" si="118"/>
        <v>-927</v>
      </c>
      <c r="U517">
        <f t="shared" si="119"/>
        <v>-486</v>
      </c>
      <c r="V517" s="9">
        <f t="shared" si="104"/>
        <v>200</v>
      </c>
      <c r="W517" s="9">
        <f t="shared" si="104"/>
        <v>1564</v>
      </c>
      <c r="X517" s="9">
        <f t="shared" si="104"/>
        <v>1123</v>
      </c>
      <c r="Y517" s="9">
        <f t="shared" si="104"/>
        <v>637</v>
      </c>
      <c r="Z517" s="9">
        <f t="shared" si="104"/>
        <v>1764</v>
      </c>
      <c r="AA517" s="9">
        <f t="shared" si="103"/>
        <v>1323</v>
      </c>
      <c r="AB517" s="9">
        <f t="shared" si="103"/>
        <v>837</v>
      </c>
      <c r="AC517" s="9">
        <f t="shared" si="103"/>
        <v>441</v>
      </c>
      <c r="AD517" s="9">
        <f t="shared" si="103"/>
        <v>927</v>
      </c>
      <c r="AE517" s="9">
        <f t="shared" si="103"/>
        <v>486</v>
      </c>
    </row>
    <row r="518" spans="2:31" x14ac:dyDescent="0.25">
      <c r="B518" s="6">
        <v>2228</v>
      </c>
      <c r="C518" s="6">
        <f t="shared" si="107"/>
        <v>2428</v>
      </c>
      <c r="D518" s="6">
        <v>2852</v>
      </c>
      <c r="E518" s="6">
        <v>3216</v>
      </c>
      <c r="F518" s="6">
        <v>3578</v>
      </c>
      <c r="L518">
        <f t="shared" si="110"/>
        <v>-200</v>
      </c>
      <c r="M518">
        <f t="shared" si="111"/>
        <v>-624</v>
      </c>
      <c r="N518">
        <f t="shared" si="112"/>
        <v>-988</v>
      </c>
      <c r="O518">
        <f t="shared" si="113"/>
        <v>-1350</v>
      </c>
      <c r="P518">
        <f t="shared" si="114"/>
        <v>-424</v>
      </c>
      <c r="Q518">
        <f t="shared" si="115"/>
        <v>-788</v>
      </c>
      <c r="R518">
        <f t="shared" si="116"/>
        <v>-1150</v>
      </c>
      <c r="S518">
        <f t="shared" si="117"/>
        <v>-364</v>
      </c>
      <c r="T518">
        <f t="shared" si="118"/>
        <v>-726</v>
      </c>
      <c r="U518">
        <f t="shared" si="119"/>
        <v>-362</v>
      </c>
      <c r="V518" s="9">
        <f t="shared" si="104"/>
        <v>200</v>
      </c>
      <c r="W518" s="9">
        <f t="shared" si="104"/>
        <v>624</v>
      </c>
      <c r="X518" s="9">
        <f t="shared" si="104"/>
        <v>988</v>
      </c>
      <c r="Y518" s="9">
        <f t="shared" si="104"/>
        <v>1350</v>
      </c>
      <c r="Z518" s="9">
        <f t="shared" si="104"/>
        <v>424</v>
      </c>
      <c r="AA518" s="9">
        <f t="shared" si="103"/>
        <v>788</v>
      </c>
      <c r="AB518" s="9">
        <f t="shared" si="103"/>
        <v>1150</v>
      </c>
      <c r="AC518" s="9">
        <f t="shared" si="103"/>
        <v>364</v>
      </c>
      <c r="AD518" s="9">
        <f t="shared" si="103"/>
        <v>726</v>
      </c>
      <c r="AE518" s="9">
        <f t="shared" si="103"/>
        <v>362</v>
      </c>
    </row>
    <row r="519" spans="2:31" x14ac:dyDescent="0.25">
      <c r="B519" s="6">
        <v>4527</v>
      </c>
      <c r="C519" s="6">
        <v>4985</v>
      </c>
      <c r="D519" s="6">
        <v>5524</v>
      </c>
      <c r="E519" s="6">
        <v>5423</v>
      </c>
      <c r="F519" s="6">
        <f t="shared" si="109"/>
        <v>5909</v>
      </c>
      <c r="L519">
        <f t="shared" si="110"/>
        <v>-458</v>
      </c>
      <c r="M519">
        <f t="shared" si="111"/>
        <v>-997</v>
      </c>
      <c r="N519">
        <f t="shared" si="112"/>
        <v>-896</v>
      </c>
      <c r="O519">
        <f t="shared" si="113"/>
        <v>-1382</v>
      </c>
      <c r="P519">
        <f t="shared" si="114"/>
        <v>-539</v>
      </c>
      <c r="Q519">
        <f t="shared" si="115"/>
        <v>-438</v>
      </c>
      <c r="R519">
        <f t="shared" si="116"/>
        <v>-924</v>
      </c>
      <c r="S519">
        <f t="shared" si="117"/>
        <v>101</v>
      </c>
      <c r="T519">
        <f t="shared" si="118"/>
        <v>-385</v>
      </c>
      <c r="U519">
        <f t="shared" si="119"/>
        <v>-486</v>
      </c>
      <c r="V519" s="9">
        <f t="shared" si="104"/>
        <v>458</v>
      </c>
      <c r="W519" s="9">
        <f t="shared" si="104"/>
        <v>997</v>
      </c>
      <c r="X519" s="9">
        <f t="shared" si="104"/>
        <v>896</v>
      </c>
      <c r="Y519" s="9">
        <f t="shared" si="104"/>
        <v>1382</v>
      </c>
      <c r="Z519" s="9">
        <f t="shared" si="104"/>
        <v>539</v>
      </c>
      <c r="AA519" s="9">
        <f t="shared" si="103"/>
        <v>438</v>
      </c>
      <c r="AB519" s="9">
        <f t="shared" si="103"/>
        <v>924</v>
      </c>
      <c r="AC519" s="9">
        <f t="shared" si="103"/>
        <v>101</v>
      </c>
      <c r="AD519" s="9">
        <f t="shared" si="103"/>
        <v>385</v>
      </c>
      <c r="AE519" s="9">
        <f t="shared" si="103"/>
        <v>486</v>
      </c>
    </row>
    <row r="520" spans="2:31" x14ac:dyDescent="0.25">
      <c r="B520" s="6">
        <f t="shared" si="105"/>
        <v>4136</v>
      </c>
      <c r="C520" s="6">
        <f t="shared" si="107"/>
        <v>4336</v>
      </c>
      <c r="D520" s="6">
        <f t="shared" si="106"/>
        <v>4960</v>
      </c>
      <c r="E520" s="6">
        <v>5322</v>
      </c>
      <c r="F520" s="6">
        <f t="shared" si="109"/>
        <v>5808</v>
      </c>
      <c r="L520">
        <f t="shared" si="110"/>
        <v>-200</v>
      </c>
      <c r="M520">
        <f t="shared" si="111"/>
        <v>-824</v>
      </c>
      <c r="N520">
        <f t="shared" si="112"/>
        <v>-1186</v>
      </c>
      <c r="O520">
        <f t="shared" si="113"/>
        <v>-1672</v>
      </c>
      <c r="P520">
        <f t="shared" si="114"/>
        <v>-624</v>
      </c>
      <c r="Q520">
        <f t="shared" si="115"/>
        <v>-986</v>
      </c>
      <c r="R520">
        <f t="shared" si="116"/>
        <v>-1472</v>
      </c>
      <c r="S520">
        <f t="shared" si="117"/>
        <v>-362</v>
      </c>
      <c r="T520">
        <f t="shared" si="118"/>
        <v>-848</v>
      </c>
      <c r="U520">
        <f t="shared" si="119"/>
        <v>-486</v>
      </c>
      <c r="V520" s="9">
        <f t="shared" si="104"/>
        <v>200</v>
      </c>
      <c r="W520" s="9">
        <f t="shared" si="104"/>
        <v>824</v>
      </c>
      <c r="X520" s="9">
        <f t="shared" si="104"/>
        <v>1186</v>
      </c>
      <c r="Y520" s="9">
        <f t="shared" si="104"/>
        <v>1672</v>
      </c>
      <c r="Z520" s="9">
        <f t="shared" si="104"/>
        <v>624</v>
      </c>
      <c r="AA520" s="9">
        <f t="shared" si="103"/>
        <v>986</v>
      </c>
      <c r="AB520" s="9">
        <f t="shared" si="103"/>
        <v>1472</v>
      </c>
      <c r="AC520" s="9">
        <f t="shared" si="103"/>
        <v>362</v>
      </c>
      <c r="AD520" s="9">
        <f t="shared" si="103"/>
        <v>848</v>
      </c>
      <c r="AE520" s="9">
        <f t="shared" si="103"/>
        <v>486</v>
      </c>
    </row>
    <row r="521" spans="2:31" x14ac:dyDescent="0.25">
      <c r="B521" s="6">
        <v>4028</v>
      </c>
      <c r="C521" s="6">
        <v>4185</v>
      </c>
      <c r="D521" s="6">
        <v>4639</v>
      </c>
      <c r="E521" s="6">
        <v>5169</v>
      </c>
      <c r="F521" s="6">
        <f t="shared" si="109"/>
        <v>5655</v>
      </c>
      <c r="L521">
        <f t="shared" si="110"/>
        <v>-157</v>
      </c>
      <c r="M521">
        <f t="shared" si="111"/>
        <v>-611</v>
      </c>
      <c r="N521">
        <f t="shared" si="112"/>
        <v>-1141</v>
      </c>
      <c r="O521">
        <f t="shared" si="113"/>
        <v>-1627</v>
      </c>
      <c r="P521">
        <f t="shared" si="114"/>
        <v>-454</v>
      </c>
      <c r="Q521">
        <f t="shared" si="115"/>
        <v>-984</v>
      </c>
      <c r="R521">
        <f t="shared" si="116"/>
        <v>-1470</v>
      </c>
      <c r="S521">
        <f t="shared" si="117"/>
        <v>-530</v>
      </c>
      <c r="T521">
        <f t="shared" si="118"/>
        <v>-1016</v>
      </c>
      <c r="U521">
        <f t="shared" si="119"/>
        <v>-486</v>
      </c>
      <c r="V521" s="9">
        <f t="shared" si="104"/>
        <v>157</v>
      </c>
      <c r="W521" s="9">
        <f t="shared" si="104"/>
        <v>611</v>
      </c>
      <c r="X521" s="9">
        <f t="shared" si="104"/>
        <v>1141</v>
      </c>
      <c r="Y521" s="9">
        <f t="shared" si="104"/>
        <v>1627</v>
      </c>
      <c r="Z521" s="9">
        <f t="shared" si="104"/>
        <v>454</v>
      </c>
      <c r="AA521" s="9">
        <f t="shared" si="103"/>
        <v>984</v>
      </c>
      <c r="AB521" s="9">
        <f t="shared" si="103"/>
        <v>1470</v>
      </c>
      <c r="AC521" s="9">
        <f t="shared" si="103"/>
        <v>530</v>
      </c>
      <c r="AD521" s="9">
        <f t="shared" si="103"/>
        <v>1016</v>
      </c>
      <c r="AE521" s="9">
        <f t="shared" si="103"/>
        <v>486</v>
      </c>
    </row>
    <row r="522" spans="2:31" x14ac:dyDescent="0.25">
      <c r="B522" s="6">
        <f t="shared" si="105"/>
        <v>4650</v>
      </c>
      <c r="C522" s="6">
        <f t="shared" si="107"/>
        <v>4850</v>
      </c>
      <c r="D522" s="6">
        <v>5122</v>
      </c>
      <c r="E522" s="6">
        <v>5429</v>
      </c>
      <c r="F522" s="6">
        <f t="shared" si="109"/>
        <v>5915</v>
      </c>
      <c r="L522">
        <f t="shared" si="110"/>
        <v>-200</v>
      </c>
      <c r="M522">
        <f t="shared" si="111"/>
        <v>-472</v>
      </c>
      <c r="N522">
        <f t="shared" si="112"/>
        <v>-779</v>
      </c>
      <c r="O522">
        <f t="shared" si="113"/>
        <v>-1265</v>
      </c>
      <c r="P522">
        <f t="shared" si="114"/>
        <v>-272</v>
      </c>
      <c r="Q522">
        <f t="shared" si="115"/>
        <v>-579</v>
      </c>
      <c r="R522">
        <f t="shared" si="116"/>
        <v>-1065</v>
      </c>
      <c r="S522">
        <f t="shared" si="117"/>
        <v>-307</v>
      </c>
      <c r="T522">
        <f t="shared" si="118"/>
        <v>-793</v>
      </c>
      <c r="U522">
        <f t="shared" si="119"/>
        <v>-486</v>
      </c>
      <c r="V522" s="9">
        <f t="shared" si="104"/>
        <v>200</v>
      </c>
      <c r="W522" s="9">
        <f t="shared" si="104"/>
        <v>472</v>
      </c>
      <c r="X522" s="9">
        <f t="shared" si="104"/>
        <v>779</v>
      </c>
      <c r="Y522" s="9">
        <f t="shared" si="104"/>
        <v>1265</v>
      </c>
      <c r="Z522" s="9">
        <f t="shared" si="104"/>
        <v>272</v>
      </c>
      <c r="AA522" s="9">
        <f t="shared" si="103"/>
        <v>579</v>
      </c>
      <c r="AB522" s="9">
        <f t="shared" si="103"/>
        <v>1065</v>
      </c>
      <c r="AC522" s="9">
        <f t="shared" si="103"/>
        <v>307</v>
      </c>
      <c r="AD522" s="9">
        <f t="shared" si="103"/>
        <v>793</v>
      </c>
      <c r="AE522" s="9">
        <f t="shared" si="103"/>
        <v>486</v>
      </c>
    </row>
    <row r="523" spans="2:31" x14ac:dyDescent="0.25">
      <c r="B523" s="6">
        <f t="shared" si="105"/>
        <v>4339</v>
      </c>
      <c r="C523" s="6">
        <v>4389</v>
      </c>
      <c r="D523" s="6">
        <f t="shared" si="106"/>
        <v>5013</v>
      </c>
      <c r="E523" s="6">
        <v>5249</v>
      </c>
      <c r="F523" s="6">
        <f t="shared" si="109"/>
        <v>5735</v>
      </c>
      <c r="L523">
        <f t="shared" si="110"/>
        <v>-50</v>
      </c>
      <c r="M523">
        <f t="shared" si="111"/>
        <v>-674</v>
      </c>
      <c r="N523">
        <f t="shared" si="112"/>
        <v>-910</v>
      </c>
      <c r="O523">
        <f t="shared" si="113"/>
        <v>-1396</v>
      </c>
      <c r="P523">
        <f t="shared" si="114"/>
        <v>-624</v>
      </c>
      <c r="Q523">
        <f t="shared" si="115"/>
        <v>-860</v>
      </c>
      <c r="R523">
        <f t="shared" si="116"/>
        <v>-1346</v>
      </c>
      <c r="S523">
        <f t="shared" si="117"/>
        <v>-236</v>
      </c>
      <c r="T523">
        <f t="shared" si="118"/>
        <v>-722</v>
      </c>
      <c r="U523">
        <f t="shared" si="119"/>
        <v>-486</v>
      </c>
      <c r="V523" s="9">
        <f t="shared" si="104"/>
        <v>50</v>
      </c>
      <c r="W523" s="9">
        <f t="shared" si="104"/>
        <v>674</v>
      </c>
      <c r="X523" s="9">
        <f t="shared" si="104"/>
        <v>910</v>
      </c>
      <c r="Y523" s="9">
        <f t="shared" si="104"/>
        <v>1396</v>
      </c>
      <c r="Z523" s="9">
        <f t="shared" si="104"/>
        <v>624</v>
      </c>
      <c r="AA523" s="9">
        <f t="shared" si="103"/>
        <v>860</v>
      </c>
      <c r="AB523" s="9">
        <f t="shared" si="103"/>
        <v>1346</v>
      </c>
      <c r="AC523" s="9">
        <f t="shared" si="103"/>
        <v>236</v>
      </c>
      <c r="AD523" s="9">
        <f t="shared" si="103"/>
        <v>722</v>
      </c>
      <c r="AE523" s="9">
        <f t="shared" si="103"/>
        <v>486</v>
      </c>
    </row>
    <row r="524" spans="2:31" x14ac:dyDescent="0.25">
      <c r="B524" s="6">
        <f t="shared" si="105"/>
        <v>4444</v>
      </c>
      <c r="C524" s="6">
        <f t="shared" si="107"/>
        <v>4644</v>
      </c>
      <c r="D524" s="6">
        <f t="shared" si="106"/>
        <v>5268</v>
      </c>
      <c r="E524" s="6">
        <v>5496</v>
      </c>
      <c r="F524" s="6">
        <f t="shared" si="109"/>
        <v>5982</v>
      </c>
      <c r="L524">
        <f t="shared" si="110"/>
        <v>-200</v>
      </c>
      <c r="M524">
        <f t="shared" si="111"/>
        <v>-824</v>
      </c>
      <c r="N524">
        <f t="shared" si="112"/>
        <v>-1052</v>
      </c>
      <c r="O524">
        <f t="shared" si="113"/>
        <v>-1538</v>
      </c>
      <c r="P524">
        <f t="shared" si="114"/>
        <v>-624</v>
      </c>
      <c r="Q524">
        <f t="shared" si="115"/>
        <v>-852</v>
      </c>
      <c r="R524">
        <f t="shared" si="116"/>
        <v>-1338</v>
      </c>
      <c r="S524">
        <f t="shared" si="117"/>
        <v>-228</v>
      </c>
      <c r="T524">
        <f t="shared" si="118"/>
        <v>-714</v>
      </c>
      <c r="U524">
        <f t="shared" si="119"/>
        <v>-486</v>
      </c>
      <c r="V524" s="9">
        <f t="shared" si="104"/>
        <v>200</v>
      </c>
      <c r="W524" s="9">
        <f t="shared" si="104"/>
        <v>824</v>
      </c>
      <c r="X524" s="9">
        <f t="shared" si="104"/>
        <v>1052</v>
      </c>
      <c r="Y524" s="9">
        <f t="shared" si="104"/>
        <v>1538</v>
      </c>
      <c r="Z524" s="9">
        <f t="shared" si="104"/>
        <v>624</v>
      </c>
      <c r="AA524" s="9">
        <f t="shared" si="103"/>
        <v>852</v>
      </c>
      <c r="AB524" s="9">
        <f t="shared" si="103"/>
        <v>1338</v>
      </c>
      <c r="AC524" s="9">
        <f t="shared" si="103"/>
        <v>228</v>
      </c>
      <c r="AD524" s="9">
        <f t="shared" si="103"/>
        <v>714</v>
      </c>
      <c r="AE524" s="9">
        <f t="shared" si="103"/>
        <v>486</v>
      </c>
    </row>
    <row r="525" spans="2:31" x14ac:dyDescent="0.25">
      <c r="B525" s="6">
        <f t="shared" si="105"/>
        <v>4097</v>
      </c>
      <c r="C525" s="6">
        <f t="shared" si="107"/>
        <v>4297</v>
      </c>
      <c r="D525" s="6">
        <v>4896</v>
      </c>
      <c r="E525" s="6">
        <v>5163</v>
      </c>
      <c r="F525" s="6">
        <f t="shared" si="109"/>
        <v>5649</v>
      </c>
      <c r="L525">
        <f t="shared" si="110"/>
        <v>-200</v>
      </c>
      <c r="M525">
        <f t="shared" si="111"/>
        <v>-799</v>
      </c>
      <c r="N525">
        <f t="shared" si="112"/>
        <v>-1066</v>
      </c>
      <c r="O525">
        <f t="shared" si="113"/>
        <v>-1552</v>
      </c>
      <c r="P525">
        <f t="shared" si="114"/>
        <v>-599</v>
      </c>
      <c r="Q525">
        <f t="shared" si="115"/>
        <v>-866</v>
      </c>
      <c r="R525">
        <f t="shared" si="116"/>
        <v>-1352</v>
      </c>
      <c r="S525">
        <f t="shared" si="117"/>
        <v>-267</v>
      </c>
      <c r="T525">
        <f t="shared" si="118"/>
        <v>-753</v>
      </c>
      <c r="U525">
        <f t="shared" si="119"/>
        <v>-486</v>
      </c>
      <c r="V525" s="9">
        <f t="shared" si="104"/>
        <v>200</v>
      </c>
      <c r="W525" s="9">
        <f t="shared" si="104"/>
        <v>799</v>
      </c>
      <c r="X525" s="9">
        <f t="shared" si="104"/>
        <v>1066</v>
      </c>
      <c r="Y525" s="9">
        <f t="shared" si="104"/>
        <v>1552</v>
      </c>
      <c r="Z525" s="9">
        <f t="shared" si="104"/>
        <v>599</v>
      </c>
      <c r="AA525" s="9">
        <f t="shared" ref="AA525:AE575" si="120">IF(Q525&gt;=0,Q525,-Q525)</f>
        <v>866</v>
      </c>
      <c r="AB525" s="9">
        <f t="shared" si="120"/>
        <v>1352</v>
      </c>
      <c r="AC525" s="9">
        <f t="shared" si="120"/>
        <v>267</v>
      </c>
      <c r="AD525" s="9">
        <f t="shared" si="120"/>
        <v>753</v>
      </c>
      <c r="AE525" s="9">
        <f t="shared" si="120"/>
        <v>486</v>
      </c>
    </row>
    <row r="526" spans="2:31" x14ac:dyDescent="0.25">
      <c r="B526" s="6">
        <f t="shared" si="105"/>
        <v>4228</v>
      </c>
      <c r="C526" s="6">
        <f t="shared" si="107"/>
        <v>4428</v>
      </c>
      <c r="D526" s="6">
        <f t="shared" si="106"/>
        <v>5052</v>
      </c>
      <c r="E526" s="6">
        <v>5398</v>
      </c>
      <c r="F526" s="6">
        <f t="shared" si="109"/>
        <v>5884</v>
      </c>
      <c r="L526">
        <f t="shared" si="110"/>
        <v>-200</v>
      </c>
      <c r="M526">
        <f t="shared" si="111"/>
        <v>-824</v>
      </c>
      <c r="N526">
        <f t="shared" si="112"/>
        <v>-1170</v>
      </c>
      <c r="O526">
        <f t="shared" si="113"/>
        <v>-1656</v>
      </c>
      <c r="P526">
        <f t="shared" si="114"/>
        <v>-624</v>
      </c>
      <c r="Q526">
        <f t="shared" si="115"/>
        <v>-970</v>
      </c>
      <c r="R526">
        <f t="shared" si="116"/>
        <v>-1456</v>
      </c>
      <c r="S526">
        <f t="shared" si="117"/>
        <v>-346</v>
      </c>
      <c r="T526">
        <f t="shared" si="118"/>
        <v>-832</v>
      </c>
      <c r="U526">
        <f t="shared" si="119"/>
        <v>-486</v>
      </c>
      <c r="V526" s="9">
        <f t="shared" ref="V526:Z576" si="121">IF(L526&gt;=0,L526,-L526)</f>
        <v>200</v>
      </c>
      <c r="W526" s="9">
        <f t="shared" si="121"/>
        <v>824</v>
      </c>
      <c r="X526" s="9">
        <f t="shared" si="121"/>
        <v>1170</v>
      </c>
      <c r="Y526" s="9">
        <f t="shared" si="121"/>
        <v>1656</v>
      </c>
      <c r="Z526" s="9">
        <f t="shared" si="121"/>
        <v>624</v>
      </c>
      <c r="AA526" s="9">
        <f t="shared" si="120"/>
        <v>970</v>
      </c>
      <c r="AB526" s="9">
        <f t="shared" si="120"/>
        <v>1456</v>
      </c>
      <c r="AC526" s="9">
        <f t="shared" si="120"/>
        <v>346</v>
      </c>
      <c r="AD526" s="9">
        <f t="shared" si="120"/>
        <v>832</v>
      </c>
      <c r="AE526" s="9">
        <f t="shared" si="120"/>
        <v>486</v>
      </c>
    </row>
    <row r="527" spans="2:31" x14ac:dyDescent="0.25">
      <c r="B527" s="6">
        <f t="shared" si="105"/>
        <v>5137</v>
      </c>
      <c r="C527" s="6">
        <f t="shared" si="107"/>
        <v>5337</v>
      </c>
      <c r="D527" s="6">
        <v>5791</v>
      </c>
      <c r="E527" s="6">
        <v>6177</v>
      </c>
      <c r="F527" s="6">
        <f t="shared" si="109"/>
        <v>6663</v>
      </c>
      <c r="L527">
        <f t="shared" si="110"/>
        <v>-200</v>
      </c>
      <c r="M527">
        <f t="shared" si="111"/>
        <v>-654</v>
      </c>
      <c r="N527">
        <f t="shared" si="112"/>
        <v>-1040</v>
      </c>
      <c r="O527">
        <f t="shared" si="113"/>
        <v>-1526</v>
      </c>
      <c r="P527">
        <f t="shared" si="114"/>
        <v>-454</v>
      </c>
      <c r="Q527">
        <f t="shared" si="115"/>
        <v>-840</v>
      </c>
      <c r="R527">
        <f t="shared" si="116"/>
        <v>-1326</v>
      </c>
      <c r="S527">
        <f t="shared" si="117"/>
        <v>-386</v>
      </c>
      <c r="T527">
        <f t="shared" si="118"/>
        <v>-872</v>
      </c>
      <c r="U527">
        <f t="shared" si="119"/>
        <v>-486</v>
      </c>
      <c r="V527" s="9">
        <f t="shared" si="121"/>
        <v>200</v>
      </c>
      <c r="W527" s="9">
        <f t="shared" si="121"/>
        <v>654</v>
      </c>
      <c r="X527" s="9">
        <f t="shared" si="121"/>
        <v>1040</v>
      </c>
      <c r="Y527" s="9">
        <f t="shared" si="121"/>
        <v>1526</v>
      </c>
      <c r="Z527" s="9">
        <f t="shared" si="121"/>
        <v>454</v>
      </c>
      <c r="AA527" s="9">
        <f t="shared" si="120"/>
        <v>840</v>
      </c>
      <c r="AB527" s="9">
        <f t="shared" si="120"/>
        <v>1326</v>
      </c>
      <c r="AC527" s="9">
        <f t="shared" si="120"/>
        <v>386</v>
      </c>
      <c r="AD527" s="9">
        <f t="shared" si="120"/>
        <v>872</v>
      </c>
      <c r="AE527" s="9">
        <f t="shared" si="120"/>
        <v>486</v>
      </c>
    </row>
    <row r="528" spans="2:31" x14ac:dyDescent="0.25">
      <c r="B528" s="6">
        <f t="shared" si="105"/>
        <v>4786</v>
      </c>
      <c r="C528" s="6">
        <f t="shared" si="107"/>
        <v>4986</v>
      </c>
      <c r="D528" s="6">
        <v>5589</v>
      </c>
      <c r="E528" s="6">
        <v>6024</v>
      </c>
      <c r="F528" s="6">
        <f t="shared" si="109"/>
        <v>6510</v>
      </c>
      <c r="L528">
        <f t="shared" si="110"/>
        <v>-200</v>
      </c>
      <c r="M528">
        <f t="shared" si="111"/>
        <v>-803</v>
      </c>
      <c r="N528">
        <f t="shared" si="112"/>
        <v>-1238</v>
      </c>
      <c r="O528">
        <f t="shared" si="113"/>
        <v>-1724</v>
      </c>
      <c r="P528">
        <f t="shared" si="114"/>
        <v>-603</v>
      </c>
      <c r="Q528">
        <f t="shared" si="115"/>
        <v>-1038</v>
      </c>
      <c r="R528">
        <f t="shared" si="116"/>
        <v>-1524</v>
      </c>
      <c r="S528">
        <f t="shared" si="117"/>
        <v>-435</v>
      </c>
      <c r="T528">
        <f t="shared" si="118"/>
        <v>-921</v>
      </c>
      <c r="U528">
        <f t="shared" si="119"/>
        <v>-486</v>
      </c>
      <c r="V528" s="9">
        <f t="shared" si="121"/>
        <v>200</v>
      </c>
      <c r="W528" s="9">
        <f t="shared" si="121"/>
        <v>803</v>
      </c>
      <c r="X528" s="9">
        <f t="shared" si="121"/>
        <v>1238</v>
      </c>
      <c r="Y528" s="9">
        <f t="shared" si="121"/>
        <v>1724</v>
      </c>
      <c r="Z528" s="9">
        <f t="shared" si="121"/>
        <v>603</v>
      </c>
      <c r="AA528" s="9">
        <f t="shared" si="120"/>
        <v>1038</v>
      </c>
      <c r="AB528" s="9">
        <f t="shared" si="120"/>
        <v>1524</v>
      </c>
      <c r="AC528" s="9">
        <f t="shared" si="120"/>
        <v>435</v>
      </c>
      <c r="AD528" s="9">
        <f t="shared" si="120"/>
        <v>921</v>
      </c>
      <c r="AE528" s="9">
        <f t="shared" si="120"/>
        <v>486</v>
      </c>
    </row>
    <row r="529" spans="2:31" x14ac:dyDescent="0.25">
      <c r="B529" s="6">
        <f t="shared" si="105"/>
        <v>6099</v>
      </c>
      <c r="C529" s="6">
        <v>6344</v>
      </c>
      <c r="D529" s="6">
        <v>6817</v>
      </c>
      <c r="E529" s="6">
        <f t="shared" si="108"/>
        <v>7240</v>
      </c>
      <c r="F529" s="6">
        <f t="shared" si="109"/>
        <v>7726</v>
      </c>
      <c r="L529">
        <f t="shared" si="110"/>
        <v>-245</v>
      </c>
      <c r="M529">
        <f t="shared" si="111"/>
        <v>-718</v>
      </c>
      <c r="N529">
        <f t="shared" si="112"/>
        <v>-1141</v>
      </c>
      <c r="O529">
        <f t="shared" si="113"/>
        <v>-1627</v>
      </c>
      <c r="P529">
        <f t="shared" si="114"/>
        <v>-473</v>
      </c>
      <c r="Q529">
        <f t="shared" si="115"/>
        <v>-896</v>
      </c>
      <c r="R529">
        <f t="shared" si="116"/>
        <v>-1382</v>
      </c>
      <c r="S529">
        <f t="shared" si="117"/>
        <v>-423</v>
      </c>
      <c r="T529">
        <f t="shared" si="118"/>
        <v>-909</v>
      </c>
      <c r="U529">
        <f t="shared" si="119"/>
        <v>-486</v>
      </c>
      <c r="V529" s="9">
        <f t="shared" si="121"/>
        <v>245</v>
      </c>
      <c r="W529" s="9">
        <f t="shared" si="121"/>
        <v>718</v>
      </c>
      <c r="X529" s="9">
        <f t="shared" si="121"/>
        <v>1141</v>
      </c>
      <c r="Y529" s="9">
        <f t="shared" si="121"/>
        <v>1627</v>
      </c>
      <c r="Z529" s="9">
        <f t="shared" si="121"/>
        <v>473</v>
      </c>
      <c r="AA529" s="9">
        <f t="shared" si="120"/>
        <v>896</v>
      </c>
      <c r="AB529" s="9">
        <f t="shared" si="120"/>
        <v>1382</v>
      </c>
      <c r="AC529" s="9">
        <f t="shared" si="120"/>
        <v>423</v>
      </c>
      <c r="AD529" s="9">
        <f t="shared" si="120"/>
        <v>909</v>
      </c>
      <c r="AE529" s="9">
        <f t="shared" si="120"/>
        <v>486</v>
      </c>
    </row>
    <row r="530" spans="2:31" x14ac:dyDescent="0.25">
      <c r="B530" s="6">
        <f t="shared" si="105"/>
        <v>5687</v>
      </c>
      <c r="C530" s="6">
        <f t="shared" si="107"/>
        <v>5887</v>
      </c>
      <c r="D530" s="6">
        <v>6428</v>
      </c>
      <c r="E530" s="6">
        <v>6475</v>
      </c>
      <c r="F530" s="6">
        <f t="shared" si="109"/>
        <v>6961</v>
      </c>
      <c r="L530">
        <f t="shared" si="110"/>
        <v>-200</v>
      </c>
      <c r="M530">
        <f t="shared" si="111"/>
        <v>-741</v>
      </c>
      <c r="N530">
        <f t="shared" si="112"/>
        <v>-788</v>
      </c>
      <c r="O530">
        <f t="shared" si="113"/>
        <v>-1274</v>
      </c>
      <c r="P530">
        <f t="shared" si="114"/>
        <v>-541</v>
      </c>
      <c r="Q530">
        <f t="shared" si="115"/>
        <v>-588</v>
      </c>
      <c r="R530">
        <f t="shared" si="116"/>
        <v>-1074</v>
      </c>
      <c r="S530">
        <f t="shared" si="117"/>
        <v>-47</v>
      </c>
      <c r="T530">
        <f t="shared" si="118"/>
        <v>-533</v>
      </c>
      <c r="U530">
        <f t="shared" si="119"/>
        <v>-486</v>
      </c>
      <c r="V530" s="9">
        <f t="shared" si="121"/>
        <v>200</v>
      </c>
      <c r="W530" s="9">
        <f t="shared" si="121"/>
        <v>741</v>
      </c>
      <c r="X530" s="9">
        <f t="shared" si="121"/>
        <v>788</v>
      </c>
      <c r="Y530" s="9">
        <f t="shared" si="121"/>
        <v>1274</v>
      </c>
      <c r="Z530" s="9">
        <f t="shared" si="121"/>
        <v>541</v>
      </c>
      <c r="AA530" s="9">
        <f t="shared" si="120"/>
        <v>588</v>
      </c>
      <c r="AB530" s="9">
        <f t="shared" si="120"/>
        <v>1074</v>
      </c>
      <c r="AC530" s="9">
        <f t="shared" si="120"/>
        <v>47</v>
      </c>
      <c r="AD530" s="9">
        <f t="shared" si="120"/>
        <v>533</v>
      </c>
      <c r="AE530" s="9">
        <f t="shared" si="120"/>
        <v>486</v>
      </c>
    </row>
    <row r="531" spans="2:31" x14ac:dyDescent="0.25">
      <c r="B531" s="6">
        <v>4528</v>
      </c>
      <c r="C531" s="6">
        <v>4525</v>
      </c>
      <c r="D531" s="6">
        <v>4890</v>
      </c>
      <c r="E531" s="6">
        <v>5219</v>
      </c>
      <c r="F531" s="6">
        <f t="shared" si="109"/>
        <v>5705</v>
      </c>
      <c r="L531">
        <f t="shared" si="110"/>
        <v>3</v>
      </c>
      <c r="M531">
        <f t="shared" si="111"/>
        <v>-362</v>
      </c>
      <c r="N531">
        <f t="shared" si="112"/>
        <v>-691</v>
      </c>
      <c r="O531">
        <f t="shared" si="113"/>
        <v>-1177</v>
      </c>
      <c r="P531">
        <f t="shared" si="114"/>
        <v>-365</v>
      </c>
      <c r="Q531">
        <f t="shared" si="115"/>
        <v>-694</v>
      </c>
      <c r="R531">
        <f t="shared" si="116"/>
        <v>-1180</v>
      </c>
      <c r="S531">
        <f t="shared" si="117"/>
        <v>-329</v>
      </c>
      <c r="T531">
        <f t="shared" si="118"/>
        <v>-815</v>
      </c>
      <c r="U531">
        <f t="shared" si="119"/>
        <v>-486</v>
      </c>
      <c r="V531" s="9">
        <f t="shared" si="121"/>
        <v>3</v>
      </c>
      <c r="W531" s="9">
        <f t="shared" si="121"/>
        <v>362</v>
      </c>
      <c r="X531" s="9">
        <f t="shared" si="121"/>
        <v>691</v>
      </c>
      <c r="Y531" s="9">
        <f t="shared" si="121"/>
        <v>1177</v>
      </c>
      <c r="Z531" s="9">
        <f t="shared" si="121"/>
        <v>365</v>
      </c>
      <c r="AA531" s="9">
        <f t="shared" si="120"/>
        <v>694</v>
      </c>
      <c r="AB531" s="9">
        <f t="shared" si="120"/>
        <v>1180</v>
      </c>
      <c r="AC531" s="9">
        <f t="shared" si="120"/>
        <v>329</v>
      </c>
      <c r="AD531" s="9">
        <f t="shared" si="120"/>
        <v>815</v>
      </c>
      <c r="AE531" s="9">
        <f t="shared" si="120"/>
        <v>486</v>
      </c>
    </row>
    <row r="532" spans="2:31" x14ac:dyDescent="0.25">
      <c r="B532" s="6">
        <f t="shared" si="105"/>
        <v>4027</v>
      </c>
      <c r="C532" s="6">
        <f t="shared" si="107"/>
        <v>4227</v>
      </c>
      <c r="D532" s="6">
        <f t="shared" si="106"/>
        <v>4851</v>
      </c>
      <c r="E532" s="6">
        <f t="shared" si="108"/>
        <v>5274</v>
      </c>
      <c r="F532" s="6">
        <f t="shared" si="109"/>
        <v>5760</v>
      </c>
      <c r="L532">
        <f t="shared" si="110"/>
        <v>-200</v>
      </c>
      <c r="M532">
        <f t="shared" si="111"/>
        <v>-824</v>
      </c>
      <c r="N532">
        <f t="shared" si="112"/>
        <v>-1247</v>
      </c>
      <c r="O532">
        <f t="shared" si="113"/>
        <v>-1733</v>
      </c>
      <c r="P532">
        <f t="shared" si="114"/>
        <v>-624</v>
      </c>
      <c r="Q532">
        <f t="shared" si="115"/>
        <v>-1047</v>
      </c>
      <c r="R532">
        <f t="shared" si="116"/>
        <v>-1533</v>
      </c>
      <c r="S532">
        <f t="shared" si="117"/>
        <v>-423</v>
      </c>
      <c r="T532">
        <f t="shared" si="118"/>
        <v>-909</v>
      </c>
      <c r="U532">
        <f t="shared" si="119"/>
        <v>-486</v>
      </c>
      <c r="V532" s="9">
        <f t="shared" si="121"/>
        <v>200</v>
      </c>
      <c r="W532" s="9">
        <f t="shared" si="121"/>
        <v>824</v>
      </c>
      <c r="X532" s="9">
        <f t="shared" si="121"/>
        <v>1247</v>
      </c>
      <c r="Y532" s="9">
        <f t="shared" si="121"/>
        <v>1733</v>
      </c>
      <c r="Z532" s="9">
        <f t="shared" si="121"/>
        <v>624</v>
      </c>
      <c r="AA532" s="9">
        <f t="shared" si="120"/>
        <v>1047</v>
      </c>
      <c r="AB532" s="9">
        <f t="shared" si="120"/>
        <v>1533</v>
      </c>
      <c r="AC532" s="9">
        <f t="shared" si="120"/>
        <v>423</v>
      </c>
      <c r="AD532" s="9">
        <f t="shared" si="120"/>
        <v>909</v>
      </c>
      <c r="AE532" s="9">
        <f t="shared" si="120"/>
        <v>486</v>
      </c>
    </row>
    <row r="533" spans="2:31" x14ac:dyDescent="0.25">
      <c r="B533" s="6">
        <f t="shared" si="105"/>
        <v>5445</v>
      </c>
      <c r="C533" s="6">
        <f t="shared" si="107"/>
        <v>5645</v>
      </c>
      <c r="D533" s="6">
        <v>6417</v>
      </c>
      <c r="E533" s="6">
        <v>6759</v>
      </c>
      <c r="F533" s="6">
        <f t="shared" si="109"/>
        <v>7245</v>
      </c>
      <c r="L533">
        <f t="shared" si="110"/>
        <v>-200</v>
      </c>
      <c r="M533">
        <f t="shared" si="111"/>
        <v>-972</v>
      </c>
      <c r="N533">
        <f t="shared" si="112"/>
        <v>-1314</v>
      </c>
      <c r="O533">
        <f t="shared" si="113"/>
        <v>-1800</v>
      </c>
      <c r="P533">
        <f t="shared" si="114"/>
        <v>-772</v>
      </c>
      <c r="Q533">
        <f t="shared" si="115"/>
        <v>-1114</v>
      </c>
      <c r="R533">
        <f t="shared" si="116"/>
        <v>-1600</v>
      </c>
      <c r="S533">
        <f t="shared" si="117"/>
        <v>-342</v>
      </c>
      <c r="T533">
        <f t="shared" si="118"/>
        <v>-828</v>
      </c>
      <c r="U533">
        <f t="shared" si="119"/>
        <v>-486</v>
      </c>
      <c r="V533" s="9">
        <f t="shared" si="121"/>
        <v>200</v>
      </c>
      <c r="W533" s="9">
        <f t="shared" si="121"/>
        <v>972</v>
      </c>
      <c r="X533" s="9">
        <f t="shared" si="121"/>
        <v>1314</v>
      </c>
      <c r="Y533" s="9">
        <f t="shared" si="121"/>
        <v>1800</v>
      </c>
      <c r="Z533" s="9">
        <f t="shared" si="121"/>
        <v>772</v>
      </c>
      <c r="AA533" s="9">
        <f t="shared" si="120"/>
        <v>1114</v>
      </c>
      <c r="AB533" s="9">
        <f t="shared" si="120"/>
        <v>1600</v>
      </c>
      <c r="AC533" s="9">
        <f t="shared" si="120"/>
        <v>342</v>
      </c>
      <c r="AD533" s="9">
        <f t="shared" si="120"/>
        <v>828</v>
      </c>
      <c r="AE533" s="9">
        <f t="shared" si="120"/>
        <v>486</v>
      </c>
    </row>
    <row r="534" spans="2:31" x14ac:dyDescent="0.25">
      <c r="B534" s="6">
        <f t="shared" si="105"/>
        <v>6292</v>
      </c>
      <c r="C534" s="6">
        <f t="shared" si="107"/>
        <v>6492</v>
      </c>
      <c r="D534" s="6">
        <f t="shared" si="106"/>
        <v>7116</v>
      </c>
      <c r="E534" s="6">
        <v>7384</v>
      </c>
      <c r="F534" s="6">
        <f t="shared" si="109"/>
        <v>7870</v>
      </c>
      <c r="L534">
        <f t="shared" si="110"/>
        <v>-200</v>
      </c>
      <c r="M534">
        <f t="shared" si="111"/>
        <v>-824</v>
      </c>
      <c r="N534">
        <f t="shared" si="112"/>
        <v>-1092</v>
      </c>
      <c r="O534">
        <f t="shared" si="113"/>
        <v>-1578</v>
      </c>
      <c r="P534">
        <f t="shared" si="114"/>
        <v>-624</v>
      </c>
      <c r="Q534">
        <f t="shared" si="115"/>
        <v>-892</v>
      </c>
      <c r="R534">
        <f t="shared" si="116"/>
        <v>-1378</v>
      </c>
      <c r="S534">
        <f t="shared" si="117"/>
        <v>-268</v>
      </c>
      <c r="T534">
        <f t="shared" si="118"/>
        <v>-754</v>
      </c>
      <c r="U534">
        <f t="shared" si="119"/>
        <v>-486</v>
      </c>
      <c r="V534" s="9">
        <f t="shared" si="121"/>
        <v>200</v>
      </c>
      <c r="W534" s="9">
        <f t="shared" si="121"/>
        <v>824</v>
      </c>
      <c r="X534" s="9">
        <f t="shared" si="121"/>
        <v>1092</v>
      </c>
      <c r="Y534" s="9">
        <f t="shared" si="121"/>
        <v>1578</v>
      </c>
      <c r="Z534" s="9">
        <f t="shared" si="121"/>
        <v>624</v>
      </c>
      <c r="AA534" s="9">
        <f t="shared" si="120"/>
        <v>892</v>
      </c>
      <c r="AB534" s="9">
        <f t="shared" si="120"/>
        <v>1378</v>
      </c>
      <c r="AC534" s="9">
        <f t="shared" si="120"/>
        <v>268</v>
      </c>
      <c r="AD534" s="9">
        <f t="shared" si="120"/>
        <v>754</v>
      </c>
      <c r="AE534" s="9">
        <f t="shared" si="120"/>
        <v>486</v>
      </c>
    </row>
    <row r="535" spans="2:31" x14ac:dyDescent="0.25">
      <c r="B535" s="6">
        <f t="shared" si="105"/>
        <v>5270</v>
      </c>
      <c r="C535" s="6">
        <v>5237</v>
      </c>
      <c r="D535" s="6">
        <v>5974</v>
      </c>
      <c r="E535" s="6">
        <v>6271</v>
      </c>
      <c r="F535" s="6">
        <f t="shared" si="109"/>
        <v>6757</v>
      </c>
      <c r="L535">
        <f t="shared" si="110"/>
        <v>33</v>
      </c>
      <c r="M535">
        <f t="shared" si="111"/>
        <v>-704</v>
      </c>
      <c r="N535">
        <f t="shared" si="112"/>
        <v>-1001</v>
      </c>
      <c r="O535">
        <f t="shared" si="113"/>
        <v>-1487</v>
      </c>
      <c r="P535">
        <f t="shared" si="114"/>
        <v>-737</v>
      </c>
      <c r="Q535">
        <f t="shared" si="115"/>
        <v>-1034</v>
      </c>
      <c r="R535">
        <f t="shared" si="116"/>
        <v>-1520</v>
      </c>
      <c r="S535">
        <f t="shared" si="117"/>
        <v>-297</v>
      </c>
      <c r="T535">
        <f t="shared" si="118"/>
        <v>-783</v>
      </c>
      <c r="U535">
        <f t="shared" si="119"/>
        <v>-486</v>
      </c>
      <c r="V535" s="9">
        <f t="shared" si="121"/>
        <v>33</v>
      </c>
      <c r="W535" s="9">
        <f t="shared" si="121"/>
        <v>704</v>
      </c>
      <c r="X535" s="9">
        <f t="shared" si="121"/>
        <v>1001</v>
      </c>
      <c r="Y535" s="9">
        <f t="shared" si="121"/>
        <v>1487</v>
      </c>
      <c r="Z535" s="9">
        <f t="shared" si="121"/>
        <v>737</v>
      </c>
      <c r="AA535" s="9">
        <f t="shared" si="120"/>
        <v>1034</v>
      </c>
      <c r="AB535" s="9">
        <f t="shared" si="120"/>
        <v>1520</v>
      </c>
      <c r="AC535" s="9">
        <f t="shared" si="120"/>
        <v>297</v>
      </c>
      <c r="AD535" s="9">
        <f t="shared" si="120"/>
        <v>783</v>
      </c>
      <c r="AE535" s="9">
        <f t="shared" si="120"/>
        <v>486</v>
      </c>
    </row>
    <row r="536" spans="2:31" x14ac:dyDescent="0.25">
      <c r="B536" s="6">
        <f t="shared" si="105"/>
        <v>6129</v>
      </c>
      <c r="C536" s="6">
        <f t="shared" si="107"/>
        <v>6329</v>
      </c>
      <c r="D536" s="6">
        <f t="shared" si="106"/>
        <v>6953</v>
      </c>
      <c r="E536" s="6">
        <v>7377</v>
      </c>
      <c r="F536" s="6">
        <f t="shared" si="109"/>
        <v>7863</v>
      </c>
      <c r="L536">
        <f t="shared" si="110"/>
        <v>-200</v>
      </c>
      <c r="M536">
        <f t="shared" si="111"/>
        <v>-824</v>
      </c>
      <c r="N536">
        <f t="shared" si="112"/>
        <v>-1248</v>
      </c>
      <c r="O536">
        <f t="shared" si="113"/>
        <v>-1734</v>
      </c>
      <c r="P536">
        <f t="shared" si="114"/>
        <v>-624</v>
      </c>
      <c r="Q536">
        <f t="shared" si="115"/>
        <v>-1048</v>
      </c>
      <c r="R536">
        <f t="shared" si="116"/>
        <v>-1534</v>
      </c>
      <c r="S536">
        <f t="shared" si="117"/>
        <v>-424</v>
      </c>
      <c r="T536">
        <f t="shared" si="118"/>
        <v>-910</v>
      </c>
      <c r="U536">
        <f t="shared" si="119"/>
        <v>-486</v>
      </c>
      <c r="V536" s="9">
        <f t="shared" si="121"/>
        <v>200</v>
      </c>
      <c r="W536" s="9">
        <f t="shared" si="121"/>
        <v>824</v>
      </c>
      <c r="X536" s="9">
        <f t="shared" si="121"/>
        <v>1248</v>
      </c>
      <c r="Y536" s="9">
        <f t="shared" si="121"/>
        <v>1734</v>
      </c>
      <c r="Z536" s="9">
        <f t="shared" si="121"/>
        <v>624</v>
      </c>
      <c r="AA536" s="9">
        <f t="shared" si="120"/>
        <v>1048</v>
      </c>
      <c r="AB536" s="9">
        <f t="shared" si="120"/>
        <v>1534</v>
      </c>
      <c r="AC536" s="9">
        <f t="shared" si="120"/>
        <v>424</v>
      </c>
      <c r="AD536" s="9">
        <f t="shared" si="120"/>
        <v>910</v>
      </c>
      <c r="AE536" s="9">
        <f t="shared" si="120"/>
        <v>486</v>
      </c>
    </row>
    <row r="537" spans="2:31" x14ac:dyDescent="0.25">
      <c r="B537" s="6">
        <v>6589</v>
      </c>
      <c r="C537" s="6">
        <v>6679</v>
      </c>
      <c r="D537" s="6">
        <v>7239</v>
      </c>
      <c r="E537" s="6">
        <v>7528</v>
      </c>
      <c r="F537" s="6">
        <f t="shared" si="109"/>
        <v>8014</v>
      </c>
      <c r="L537">
        <f t="shared" si="110"/>
        <v>-90</v>
      </c>
      <c r="M537">
        <f t="shared" si="111"/>
        <v>-650</v>
      </c>
      <c r="N537">
        <f t="shared" si="112"/>
        <v>-939</v>
      </c>
      <c r="O537">
        <f t="shared" si="113"/>
        <v>-1425</v>
      </c>
      <c r="P537">
        <f t="shared" si="114"/>
        <v>-560</v>
      </c>
      <c r="Q537">
        <f t="shared" si="115"/>
        <v>-849</v>
      </c>
      <c r="R537">
        <f t="shared" si="116"/>
        <v>-1335</v>
      </c>
      <c r="S537">
        <f t="shared" si="117"/>
        <v>-289</v>
      </c>
      <c r="T537">
        <f t="shared" si="118"/>
        <v>-775</v>
      </c>
      <c r="U537">
        <f t="shared" si="119"/>
        <v>-486</v>
      </c>
      <c r="V537" s="9">
        <f t="shared" si="121"/>
        <v>90</v>
      </c>
      <c r="W537" s="9">
        <f t="shared" si="121"/>
        <v>650</v>
      </c>
      <c r="X537" s="9">
        <f t="shared" si="121"/>
        <v>939</v>
      </c>
      <c r="Y537" s="9">
        <f t="shared" si="121"/>
        <v>1425</v>
      </c>
      <c r="Z537" s="9">
        <f t="shared" si="121"/>
        <v>560</v>
      </c>
      <c r="AA537" s="9">
        <f t="shared" si="120"/>
        <v>849</v>
      </c>
      <c r="AB537" s="9">
        <f t="shared" si="120"/>
        <v>1335</v>
      </c>
      <c r="AC537" s="9">
        <f t="shared" si="120"/>
        <v>289</v>
      </c>
      <c r="AD537" s="9">
        <f t="shared" si="120"/>
        <v>775</v>
      </c>
      <c r="AE537" s="9">
        <f t="shared" si="120"/>
        <v>486</v>
      </c>
    </row>
    <row r="538" spans="2:31" x14ac:dyDescent="0.25">
      <c r="B538" s="6">
        <f t="shared" si="105"/>
        <v>5950</v>
      </c>
      <c r="C538" s="6">
        <f t="shared" si="107"/>
        <v>6150</v>
      </c>
      <c r="D538" s="6">
        <v>6581</v>
      </c>
      <c r="E538" s="6">
        <f t="shared" si="108"/>
        <v>7004</v>
      </c>
      <c r="F538" s="6">
        <f t="shared" si="109"/>
        <v>7490</v>
      </c>
      <c r="L538">
        <f t="shared" si="110"/>
        <v>-200</v>
      </c>
      <c r="M538">
        <f t="shared" si="111"/>
        <v>-631</v>
      </c>
      <c r="N538">
        <f t="shared" si="112"/>
        <v>-1054</v>
      </c>
      <c r="O538">
        <f t="shared" si="113"/>
        <v>-1540</v>
      </c>
      <c r="P538">
        <f t="shared" si="114"/>
        <v>-431</v>
      </c>
      <c r="Q538">
        <f t="shared" si="115"/>
        <v>-854</v>
      </c>
      <c r="R538">
        <f t="shared" si="116"/>
        <v>-1340</v>
      </c>
      <c r="S538">
        <f t="shared" si="117"/>
        <v>-423</v>
      </c>
      <c r="T538">
        <f t="shared" si="118"/>
        <v>-909</v>
      </c>
      <c r="U538">
        <f t="shared" si="119"/>
        <v>-486</v>
      </c>
      <c r="V538" s="9">
        <f t="shared" si="121"/>
        <v>200</v>
      </c>
      <c r="W538" s="9">
        <f t="shared" si="121"/>
        <v>631</v>
      </c>
      <c r="X538" s="9">
        <f t="shared" si="121"/>
        <v>1054</v>
      </c>
      <c r="Y538" s="9">
        <f t="shared" si="121"/>
        <v>1540</v>
      </c>
      <c r="Z538" s="9">
        <f t="shared" si="121"/>
        <v>431</v>
      </c>
      <c r="AA538" s="9">
        <f t="shared" si="120"/>
        <v>854</v>
      </c>
      <c r="AB538" s="9">
        <f t="shared" si="120"/>
        <v>1340</v>
      </c>
      <c r="AC538" s="9">
        <f t="shared" si="120"/>
        <v>423</v>
      </c>
      <c r="AD538" s="9">
        <f t="shared" si="120"/>
        <v>909</v>
      </c>
      <c r="AE538" s="9">
        <f t="shared" si="120"/>
        <v>486</v>
      </c>
    </row>
    <row r="539" spans="2:31" x14ac:dyDescent="0.25">
      <c r="B539" s="6">
        <v>6527</v>
      </c>
      <c r="C539" s="6">
        <f t="shared" si="107"/>
        <v>6727</v>
      </c>
      <c r="D539" s="6">
        <f t="shared" si="106"/>
        <v>7351</v>
      </c>
      <c r="E539" s="6">
        <f t="shared" si="108"/>
        <v>7774</v>
      </c>
      <c r="F539" s="6">
        <f t="shared" si="109"/>
        <v>8260</v>
      </c>
      <c r="L539">
        <f t="shared" si="110"/>
        <v>-200</v>
      </c>
      <c r="M539">
        <f t="shared" si="111"/>
        <v>-824</v>
      </c>
      <c r="N539">
        <f t="shared" si="112"/>
        <v>-1247</v>
      </c>
      <c r="O539">
        <f t="shared" si="113"/>
        <v>-1733</v>
      </c>
      <c r="P539">
        <f t="shared" si="114"/>
        <v>-624</v>
      </c>
      <c r="Q539">
        <f t="shared" si="115"/>
        <v>-1047</v>
      </c>
      <c r="R539">
        <f t="shared" si="116"/>
        <v>-1533</v>
      </c>
      <c r="S539">
        <f t="shared" si="117"/>
        <v>-423</v>
      </c>
      <c r="T539">
        <f t="shared" si="118"/>
        <v>-909</v>
      </c>
      <c r="U539">
        <f t="shared" si="119"/>
        <v>-486</v>
      </c>
      <c r="V539" s="9">
        <f t="shared" si="121"/>
        <v>200</v>
      </c>
      <c r="W539" s="9">
        <f t="shared" si="121"/>
        <v>824</v>
      </c>
      <c r="X539" s="9">
        <f t="shared" si="121"/>
        <v>1247</v>
      </c>
      <c r="Y539" s="9">
        <f t="shared" si="121"/>
        <v>1733</v>
      </c>
      <c r="Z539" s="9">
        <f t="shared" si="121"/>
        <v>624</v>
      </c>
      <c r="AA539" s="9">
        <f t="shared" si="120"/>
        <v>1047</v>
      </c>
      <c r="AB539" s="9">
        <f t="shared" si="120"/>
        <v>1533</v>
      </c>
      <c r="AC539" s="9">
        <f t="shared" si="120"/>
        <v>423</v>
      </c>
      <c r="AD539" s="9">
        <f t="shared" si="120"/>
        <v>909</v>
      </c>
      <c r="AE539" s="9">
        <f t="shared" si="120"/>
        <v>486</v>
      </c>
    </row>
    <row r="540" spans="2:31" x14ac:dyDescent="0.25">
      <c r="B540" s="6">
        <f t="shared" si="105"/>
        <v>6093</v>
      </c>
      <c r="C540" s="6">
        <v>6942</v>
      </c>
      <c r="D540" s="6">
        <v>7429</v>
      </c>
      <c r="E540" s="6">
        <v>7853</v>
      </c>
      <c r="F540" s="6">
        <f t="shared" si="109"/>
        <v>8339</v>
      </c>
      <c r="L540">
        <f t="shared" si="110"/>
        <v>-849</v>
      </c>
      <c r="M540">
        <f t="shared" si="111"/>
        <v>-1336</v>
      </c>
      <c r="N540">
        <f t="shared" si="112"/>
        <v>-1760</v>
      </c>
      <c r="O540">
        <f t="shared" si="113"/>
        <v>-2246</v>
      </c>
      <c r="P540">
        <f t="shared" si="114"/>
        <v>-487</v>
      </c>
      <c r="Q540">
        <f t="shared" si="115"/>
        <v>-911</v>
      </c>
      <c r="R540">
        <f t="shared" si="116"/>
        <v>-1397</v>
      </c>
      <c r="S540">
        <f t="shared" si="117"/>
        <v>-424</v>
      </c>
      <c r="T540">
        <f t="shared" si="118"/>
        <v>-910</v>
      </c>
      <c r="U540">
        <f t="shared" si="119"/>
        <v>-486</v>
      </c>
      <c r="V540" s="9">
        <f t="shared" si="121"/>
        <v>849</v>
      </c>
      <c r="W540" s="9">
        <f t="shared" si="121"/>
        <v>1336</v>
      </c>
      <c r="X540" s="9">
        <f t="shared" si="121"/>
        <v>1760</v>
      </c>
      <c r="Y540" s="9">
        <f t="shared" si="121"/>
        <v>2246</v>
      </c>
      <c r="Z540" s="9">
        <f t="shared" si="121"/>
        <v>487</v>
      </c>
      <c r="AA540" s="9">
        <f t="shared" si="120"/>
        <v>911</v>
      </c>
      <c r="AB540" s="9">
        <f t="shared" si="120"/>
        <v>1397</v>
      </c>
      <c r="AC540" s="9">
        <f t="shared" si="120"/>
        <v>424</v>
      </c>
      <c r="AD540" s="9">
        <f t="shared" si="120"/>
        <v>910</v>
      </c>
      <c r="AE540" s="9">
        <f t="shared" si="120"/>
        <v>486</v>
      </c>
    </row>
    <row r="541" spans="2:31" x14ac:dyDescent="0.25">
      <c r="B541" s="7">
        <v>6434</v>
      </c>
      <c r="C541" s="7">
        <v>7341</v>
      </c>
      <c r="D541" s="7">
        <v>8342</v>
      </c>
      <c r="E541" s="7">
        <v>7843</v>
      </c>
      <c r="F541" s="7">
        <v>8843</v>
      </c>
      <c r="L541">
        <f t="shared" si="110"/>
        <v>-907</v>
      </c>
      <c r="M541">
        <f t="shared" si="111"/>
        <v>-1908</v>
      </c>
      <c r="N541">
        <f t="shared" si="112"/>
        <v>-1409</v>
      </c>
      <c r="O541">
        <f t="shared" si="113"/>
        <v>-2409</v>
      </c>
      <c r="P541">
        <f t="shared" si="114"/>
        <v>-1001</v>
      </c>
      <c r="Q541">
        <f t="shared" si="115"/>
        <v>-502</v>
      </c>
      <c r="R541">
        <f t="shared" si="116"/>
        <v>-1502</v>
      </c>
      <c r="S541">
        <f t="shared" si="117"/>
        <v>499</v>
      </c>
      <c r="T541">
        <f t="shared" si="118"/>
        <v>-501</v>
      </c>
      <c r="U541">
        <f t="shared" si="119"/>
        <v>-1000</v>
      </c>
      <c r="V541" s="9">
        <f t="shared" si="121"/>
        <v>907</v>
      </c>
      <c r="W541" s="9">
        <f t="shared" si="121"/>
        <v>1908</v>
      </c>
      <c r="X541" s="9">
        <f t="shared" si="121"/>
        <v>1409</v>
      </c>
      <c r="Y541" s="9">
        <f t="shared" si="121"/>
        <v>2409</v>
      </c>
      <c r="Z541" s="9">
        <f t="shared" si="121"/>
        <v>1001</v>
      </c>
      <c r="AA541" s="9">
        <f t="shared" si="120"/>
        <v>502</v>
      </c>
      <c r="AB541" s="9">
        <f t="shared" si="120"/>
        <v>1502</v>
      </c>
      <c r="AC541" s="9">
        <f t="shared" si="120"/>
        <v>499</v>
      </c>
      <c r="AD541" s="9">
        <f t="shared" si="120"/>
        <v>501</v>
      </c>
      <c r="AE541" s="9">
        <f t="shared" si="120"/>
        <v>1000</v>
      </c>
    </row>
    <row r="542" spans="2:31" x14ac:dyDescent="0.25">
      <c r="B542" s="6">
        <v>7854</v>
      </c>
      <c r="C542" s="6">
        <f>B542+824</f>
        <v>8678</v>
      </c>
      <c r="D542" s="6">
        <v>10248</v>
      </c>
      <c r="E542" s="6">
        <f>D542-429</f>
        <v>9819</v>
      </c>
      <c r="F542" s="6">
        <v>10759</v>
      </c>
      <c r="L542">
        <f t="shared" si="110"/>
        <v>-824</v>
      </c>
      <c r="M542">
        <f t="shared" si="111"/>
        <v>-2394</v>
      </c>
      <c r="N542">
        <f t="shared" si="112"/>
        <v>-1965</v>
      </c>
      <c r="O542">
        <f t="shared" si="113"/>
        <v>-2905</v>
      </c>
      <c r="P542">
        <f t="shared" si="114"/>
        <v>-1570</v>
      </c>
      <c r="Q542">
        <f t="shared" si="115"/>
        <v>-1141</v>
      </c>
      <c r="R542">
        <f t="shared" si="116"/>
        <v>-2081</v>
      </c>
      <c r="S542">
        <f t="shared" si="117"/>
        <v>429</v>
      </c>
      <c r="T542">
        <f t="shared" si="118"/>
        <v>-511</v>
      </c>
      <c r="U542">
        <f t="shared" si="119"/>
        <v>-940</v>
      </c>
      <c r="V542" s="9">
        <f t="shared" si="121"/>
        <v>824</v>
      </c>
      <c r="W542" s="9">
        <f t="shared" si="121"/>
        <v>2394</v>
      </c>
      <c r="X542" s="9">
        <f t="shared" si="121"/>
        <v>1965</v>
      </c>
      <c r="Y542" s="9">
        <f t="shared" si="121"/>
        <v>2905</v>
      </c>
      <c r="Z542" s="9">
        <f t="shared" si="121"/>
        <v>1570</v>
      </c>
      <c r="AA542" s="9">
        <f t="shared" si="120"/>
        <v>1141</v>
      </c>
      <c r="AB542" s="9">
        <f t="shared" si="120"/>
        <v>2081</v>
      </c>
      <c r="AC542" s="9">
        <f t="shared" si="120"/>
        <v>429</v>
      </c>
      <c r="AD542" s="9">
        <f t="shared" si="120"/>
        <v>511</v>
      </c>
      <c r="AE542" s="9">
        <f t="shared" si="120"/>
        <v>940</v>
      </c>
    </row>
    <row r="543" spans="2:31" x14ac:dyDescent="0.25">
      <c r="B543" s="6">
        <v>8245</v>
      </c>
      <c r="C543" s="6">
        <v>8975</v>
      </c>
      <c r="D543" s="6">
        <v>9438</v>
      </c>
      <c r="E543" s="6">
        <v>10282</v>
      </c>
      <c r="F543" s="6">
        <f t="shared" ref="F543:F594" si="122">E543+1000</f>
        <v>11282</v>
      </c>
      <c r="L543">
        <f t="shared" si="110"/>
        <v>-730</v>
      </c>
      <c r="M543">
        <f t="shared" si="111"/>
        <v>-1193</v>
      </c>
      <c r="N543">
        <f t="shared" si="112"/>
        <v>-2037</v>
      </c>
      <c r="O543">
        <f t="shared" si="113"/>
        <v>-3037</v>
      </c>
      <c r="P543">
        <f t="shared" si="114"/>
        <v>-463</v>
      </c>
      <c r="Q543">
        <f t="shared" si="115"/>
        <v>-1307</v>
      </c>
      <c r="R543">
        <f t="shared" si="116"/>
        <v>-2307</v>
      </c>
      <c r="S543">
        <f t="shared" si="117"/>
        <v>-844</v>
      </c>
      <c r="T543">
        <f t="shared" si="118"/>
        <v>-1844</v>
      </c>
      <c r="U543">
        <f t="shared" si="119"/>
        <v>-1000</v>
      </c>
      <c r="V543" s="9">
        <f t="shared" si="121"/>
        <v>730</v>
      </c>
      <c r="W543" s="9">
        <f t="shared" si="121"/>
        <v>1193</v>
      </c>
      <c r="X543" s="9">
        <f t="shared" si="121"/>
        <v>2037</v>
      </c>
      <c r="Y543" s="9">
        <f t="shared" si="121"/>
        <v>3037</v>
      </c>
      <c r="Z543" s="9">
        <f t="shared" si="121"/>
        <v>463</v>
      </c>
      <c r="AA543" s="9">
        <f t="shared" si="120"/>
        <v>1307</v>
      </c>
      <c r="AB543" s="9">
        <f t="shared" si="120"/>
        <v>2307</v>
      </c>
      <c r="AC543" s="9">
        <f t="shared" si="120"/>
        <v>844</v>
      </c>
      <c r="AD543" s="9">
        <f t="shared" si="120"/>
        <v>1844</v>
      </c>
      <c r="AE543" s="9">
        <f t="shared" si="120"/>
        <v>1000</v>
      </c>
    </row>
    <row r="544" spans="2:31" x14ac:dyDescent="0.25">
      <c r="B544" s="6">
        <v>4255</v>
      </c>
      <c r="C544" s="6">
        <v>4597</v>
      </c>
      <c r="D544" s="6">
        <v>7749</v>
      </c>
      <c r="E544" s="6">
        <v>7025</v>
      </c>
      <c r="F544" s="6">
        <v>8129</v>
      </c>
      <c r="L544">
        <f t="shared" si="110"/>
        <v>-342</v>
      </c>
      <c r="M544">
        <f t="shared" si="111"/>
        <v>-3494</v>
      </c>
      <c r="N544">
        <f t="shared" si="112"/>
        <v>-2770</v>
      </c>
      <c r="O544">
        <f t="shared" si="113"/>
        <v>-3874</v>
      </c>
      <c r="P544">
        <f t="shared" si="114"/>
        <v>-3152</v>
      </c>
      <c r="Q544">
        <f t="shared" si="115"/>
        <v>-2428</v>
      </c>
      <c r="R544">
        <f t="shared" si="116"/>
        <v>-3532</v>
      </c>
      <c r="S544">
        <f t="shared" si="117"/>
        <v>724</v>
      </c>
      <c r="T544">
        <f t="shared" si="118"/>
        <v>-380</v>
      </c>
      <c r="U544">
        <f t="shared" si="119"/>
        <v>-1104</v>
      </c>
      <c r="V544" s="9">
        <f t="shared" si="121"/>
        <v>342</v>
      </c>
      <c r="W544" s="9">
        <f t="shared" si="121"/>
        <v>3494</v>
      </c>
      <c r="X544" s="9">
        <f t="shared" si="121"/>
        <v>2770</v>
      </c>
      <c r="Y544" s="9">
        <f t="shared" si="121"/>
        <v>3874</v>
      </c>
      <c r="Z544" s="9">
        <f t="shared" si="121"/>
        <v>3152</v>
      </c>
      <c r="AA544" s="9">
        <f t="shared" si="120"/>
        <v>2428</v>
      </c>
      <c r="AB544" s="9">
        <f t="shared" si="120"/>
        <v>3532</v>
      </c>
      <c r="AC544" s="9">
        <f t="shared" si="120"/>
        <v>724</v>
      </c>
      <c r="AD544" s="9">
        <f t="shared" si="120"/>
        <v>380</v>
      </c>
      <c r="AE544" s="9">
        <f t="shared" si="120"/>
        <v>1104</v>
      </c>
    </row>
    <row r="545" spans="2:31" x14ac:dyDescent="0.25">
      <c r="B545" s="6">
        <v>2357</v>
      </c>
      <c r="C545" s="6">
        <f t="shared" ref="C545:D600" si="123">B545+824</f>
        <v>3181</v>
      </c>
      <c r="D545" s="6">
        <v>3384</v>
      </c>
      <c r="E545" s="6">
        <f t="shared" ref="E545:E594" si="124">D545-429</f>
        <v>2955</v>
      </c>
      <c r="F545" s="6">
        <v>4039</v>
      </c>
      <c r="L545">
        <f t="shared" si="110"/>
        <v>-824</v>
      </c>
      <c r="M545">
        <f t="shared" si="111"/>
        <v>-1027</v>
      </c>
      <c r="N545">
        <f t="shared" si="112"/>
        <v>-598</v>
      </c>
      <c r="O545">
        <f t="shared" si="113"/>
        <v>-1682</v>
      </c>
      <c r="P545">
        <f t="shared" si="114"/>
        <v>-203</v>
      </c>
      <c r="Q545">
        <f t="shared" si="115"/>
        <v>226</v>
      </c>
      <c r="R545">
        <f t="shared" si="116"/>
        <v>-858</v>
      </c>
      <c r="S545">
        <f t="shared" si="117"/>
        <v>429</v>
      </c>
      <c r="T545">
        <f t="shared" si="118"/>
        <v>-655</v>
      </c>
      <c r="U545">
        <f t="shared" si="119"/>
        <v>-1084</v>
      </c>
      <c r="V545" s="9">
        <f t="shared" si="121"/>
        <v>824</v>
      </c>
      <c r="W545" s="9">
        <f t="shared" si="121"/>
        <v>1027</v>
      </c>
      <c r="X545" s="9">
        <f t="shared" si="121"/>
        <v>598</v>
      </c>
      <c r="Y545" s="9">
        <f t="shared" si="121"/>
        <v>1682</v>
      </c>
      <c r="Z545" s="9">
        <f t="shared" si="121"/>
        <v>203</v>
      </c>
      <c r="AA545" s="9">
        <f t="shared" si="120"/>
        <v>226</v>
      </c>
      <c r="AB545" s="9">
        <f t="shared" si="120"/>
        <v>858</v>
      </c>
      <c r="AC545" s="9">
        <f t="shared" si="120"/>
        <v>429</v>
      </c>
      <c r="AD545" s="9">
        <f t="shared" si="120"/>
        <v>655</v>
      </c>
      <c r="AE545" s="9">
        <f t="shared" si="120"/>
        <v>1084</v>
      </c>
    </row>
    <row r="546" spans="2:31" x14ac:dyDescent="0.25">
      <c r="B546" s="6">
        <v>1349</v>
      </c>
      <c r="C546" s="6">
        <v>2248</v>
      </c>
      <c r="D546" s="6">
        <v>2598</v>
      </c>
      <c r="E546" s="6">
        <f t="shared" si="124"/>
        <v>2169</v>
      </c>
      <c r="F546" s="6">
        <v>3258</v>
      </c>
      <c r="L546">
        <f t="shared" si="110"/>
        <v>-899</v>
      </c>
      <c r="M546">
        <f t="shared" si="111"/>
        <v>-1249</v>
      </c>
      <c r="N546">
        <f t="shared" si="112"/>
        <v>-820</v>
      </c>
      <c r="O546">
        <f t="shared" si="113"/>
        <v>-1909</v>
      </c>
      <c r="P546">
        <f t="shared" si="114"/>
        <v>-350</v>
      </c>
      <c r="Q546">
        <f t="shared" si="115"/>
        <v>79</v>
      </c>
      <c r="R546">
        <f t="shared" si="116"/>
        <v>-1010</v>
      </c>
      <c r="S546">
        <f t="shared" si="117"/>
        <v>429</v>
      </c>
      <c r="T546">
        <f t="shared" si="118"/>
        <v>-660</v>
      </c>
      <c r="U546">
        <f t="shared" si="119"/>
        <v>-1089</v>
      </c>
      <c r="V546" s="9">
        <f t="shared" si="121"/>
        <v>899</v>
      </c>
      <c r="W546" s="9">
        <f t="shared" si="121"/>
        <v>1249</v>
      </c>
      <c r="X546" s="9">
        <f t="shared" si="121"/>
        <v>820</v>
      </c>
      <c r="Y546" s="9">
        <f t="shared" si="121"/>
        <v>1909</v>
      </c>
      <c r="Z546" s="9">
        <f t="shared" si="121"/>
        <v>350</v>
      </c>
      <c r="AA546" s="9">
        <f t="shared" si="120"/>
        <v>79</v>
      </c>
      <c r="AB546" s="9">
        <f t="shared" si="120"/>
        <v>1010</v>
      </c>
      <c r="AC546" s="9">
        <f t="shared" si="120"/>
        <v>429</v>
      </c>
      <c r="AD546" s="9">
        <f t="shared" si="120"/>
        <v>660</v>
      </c>
      <c r="AE546" s="9">
        <f t="shared" si="120"/>
        <v>1089</v>
      </c>
    </row>
    <row r="547" spans="2:31" x14ac:dyDescent="0.25">
      <c r="B547" s="6">
        <v>1855</v>
      </c>
      <c r="C547" s="6">
        <v>2478</v>
      </c>
      <c r="D547" s="6">
        <v>4857</v>
      </c>
      <c r="E547" s="6">
        <f t="shared" si="124"/>
        <v>4428</v>
      </c>
      <c r="F547" s="6">
        <v>5548</v>
      </c>
      <c r="L547">
        <f t="shared" si="110"/>
        <v>-623</v>
      </c>
      <c r="M547">
        <f t="shared" si="111"/>
        <v>-3002</v>
      </c>
      <c r="N547">
        <f t="shared" si="112"/>
        <v>-2573</v>
      </c>
      <c r="O547">
        <f t="shared" si="113"/>
        <v>-3693</v>
      </c>
      <c r="P547">
        <f t="shared" si="114"/>
        <v>-2379</v>
      </c>
      <c r="Q547">
        <f t="shared" si="115"/>
        <v>-1950</v>
      </c>
      <c r="R547">
        <f t="shared" si="116"/>
        <v>-3070</v>
      </c>
      <c r="S547">
        <f t="shared" si="117"/>
        <v>429</v>
      </c>
      <c r="T547">
        <f t="shared" si="118"/>
        <v>-691</v>
      </c>
      <c r="U547">
        <f t="shared" si="119"/>
        <v>-1120</v>
      </c>
      <c r="V547" s="9">
        <f t="shared" si="121"/>
        <v>623</v>
      </c>
      <c r="W547" s="9">
        <f t="shared" si="121"/>
        <v>3002</v>
      </c>
      <c r="X547" s="9">
        <f t="shared" si="121"/>
        <v>2573</v>
      </c>
      <c r="Y547" s="9">
        <f t="shared" si="121"/>
        <v>3693</v>
      </c>
      <c r="Z547" s="9">
        <f t="shared" si="121"/>
        <v>2379</v>
      </c>
      <c r="AA547" s="9">
        <f t="shared" si="120"/>
        <v>1950</v>
      </c>
      <c r="AB547" s="9">
        <f t="shared" si="120"/>
        <v>3070</v>
      </c>
      <c r="AC547" s="9">
        <f t="shared" si="120"/>
        <v>429</v>
      </c>
      <c r="AD547" s="9">
        <f t="shared" si="120"/>
        <v>691</v>
      </c>
      <c r="AE547" s="9">
        <f t="shared" si="120"/>
        <v>1120</v>
      </c>
    </row>
    <row r="548" spans="2:31" x14ac:dyDescent="0.25">
      <c r="B548" s="6">
        <v>1956</v>
      </c>
      <c r="C548" s="6">
        <v>2597</v>
      </c>
      <c r="D548" s="6">
        <f t="shared" si="123"/>
        <v>3421</v>
      </c>
      <c r="E548" s="6">
        <v>4857</v>
      </c>
      <c r="F548" s="6">
        <v>6027</v>
      </c>
      <c r="L548">
        <f t="shared" si="110"/>
        <v>-641</v>
      </c>
      <c r="M548">
        <f t="shared" si="111"/>
        <v>-1465</v>
      </c>
      <c r="N548">
        <f t="shared" si="112"/>
        <v>-2901</v>
      </c>
      <c r="O548">
        <f t="shared" si="113"/>
        <v>-4071</v>
      </c>
      <c r="P548">
        <f t="shared" si="114"/>
        <v>-824</v>
      </c>
      <c r="Q548">
        <f t="shared" si="115"/>
        <v>-2260</v>
      </c>
      <c r="R548">
        <f t="shared" si="116"/>
        <v>-3430</v>
      </c>
      <c r="S548">
        <f t="shared" si="117"/>
        <v>-1436</v>
      </c>
      <c r="T548">
        <f t="shared" si="118"/>
        <v>-2606</v>
      </c>
      <c r="U548">
        <f t="shared" si="119"/>
        <v>-1170</v>
      </c>
      <c r="V548" s="9">
        <f t="shared" si="121"/>
        <v>641</v>
      </c>
      <c r="W548" s="9">
        <f t="shared" si="121"/>
        <v>1465</v>
      </c>
      <c r="X548" s="9">
        <f t="shared" si="121"/>
        <v>2901</v>
      </c>
      <c r="Y548" s="9">
        <f t="shared" si="121"/>
        <v>4071</v>
      </c>
      <c r="Z548" s="9">
        <f t="shared" si="121"/>
        <v>824</v>
      </c>
      <c r="AA548" s="9">
        <f t="shared" si="120"/>
        <v>2260</v>
      </c>
      <c r="AB548" s="9">
        <f t="shared" si="120"/>
        <v>3430</v>
      </c>
      <c r="AC548" s="9">
        <f t="shared" si="120"/>
        <v>1436</v>
      </c>
      <c r="AD548" s="9">
        <f t="shared" si="120"/>
        <v>2606</v>
      </c>
      <c r="AE548" s="9">
        <f t="shared" si="120"/>
        <v>1170</v>
      </c>
    </row>
    <row r="549" spans="2:31" x14ac:dyDescent="0.25">
      <c r="B549" s="6">
        <v>3327</v>
      </c>
      <c r="C549" s="6">
        <v>3789</v>
      </c>
      <c r="D549" s="6">
        <f t="shared" si="123"/>
        <v>4613</v>
      </c>
      <c r="E549" s="6">
        <f t="shared" si="124"/>
        <v>4184</v>
      </c>
      <c r="F549" s="6">
        <v>5278</v>
      </c>
      <c r="L549">
        <f t="shared" si="110"/>
        <v>-462</v>
      </c>
      <c r="M549">
        <f t="shared" si="111"/>
        <v>-1286</v>
      </c>
      <c r="N549">
        <f t="shared" si="112"/>
        <v>-857</v>
      </c>
      <c r="O549">
        <f t="shared" si="113"/>
        <v>-1951</v>
      </c>
      <c r="P549">
        <f t="shared" si="114"/>
        <v>-824</v>
      </c>
      <c r="Q549">
        <f t="shared" si="115"/>
        <v>-395</v>
      </c>
      <c r="R549">
        <f t="shared" si="116"/>
        <v>-1489</v>
      </c>
      <c r="S549">
        <f t="shared" si="117"/>
        <v>429</v>
      </c>
      <c r="T549">
        <f t="shared" si="118"/>
        <v>-665</v>
      </c>
      <c r="U549">
        <f t="shared" si="119"/>
        <v>-1094</v>
      </c>
      <c r="V549" s="9">
        <f t="shared" si="121"/>
        <v>462</v>
      </c>
      <c r="W549" s="9">
        <f t="shared" si="121"/>
        <v>1286</v>
      </c>
      <c r="X549" s="9">
        <f t="shared" si="121"/>
        <v>857</v>
      </c>
      <c r="Y549" s="9">
        <f t="shared" si="121"/>
        <v>1951</v>
      </c>
      <c r="Z549" s="9">
        <f t="shared" si="121"/>
        <v>824</v>
      </c>
      <c r="AA549" s="9">
        <f t="shared" si="120"/>
        <v>395</v>
      </c>
      <c r="AB549" s="9">
        <f t="shared" si="120"/>
        <v>1489</v>
      </c>
      <c r="AC549" s="9">
        <f t="shared" si="120"/>
        <v>429</v>
      </c>
      <c r="AD549" s="9">
        <f t="shared" si="120"/>
        <v>665</v>
      </c>
      <c r="AE549" s="9">
        <f t="shared" si="120"/>
        <v>1094</v>
      </c>
    </row>
    <row r="550" spans="2:31" x14ac:dyDescent="0.25">
      <c r="B550" s="6">
        <v>5947</v>
      </c>
      <c r="C550" s="6">
        <f t="shared" si="123"/>
        <v>6771</v>
      </c>
      <c r="D550" s="6">
        <v>8428</v>
      </c>
      <c r="E550" s="6">
        <f t="shared" si="124"/>
        <v>7999</v>
      </c>
      <c r="F550" s="6">
        <v>9027</v>
      </c>
      <c r="L550">
        <f t="shared" si="110"/>
        <v>-824</v>
      </c>
      <c r="M550">
        <f t="shared" si="111"/>
        <v>-2481</v>
      </c>
      <c r="N550">
        <f t="shared" si="112"/>
        <v>-2052</v>
      </c>
      <c r="O550">
        <f t="shared" si="113"/>
        <v>-3080</v>
      </c>
      <c r="P550">
        <f t="shared" si="114"/>
        <v>-1657</v>
      </c>
      <c r="Q550">
        <f t="shared" si="115"/>
        <v>-1228</v>
      </c>
      <c r="R550">
        <f t="shared" si="116"/>
        <v>-2256</v>
      </c>
      <c r="S550">
        <f t="shared" si="117"/>
        <v>429</v>
      </c>
      <c r="T550">
        <f t="shared" si="118"/>
        <v>-599</v>
      </c>
      <c r="U550">
        <f t="shared" si="119"/>
        <v>-1028</v>
      </c>
      <c r="V550" s="9">
        <f t="shared" si="121"/>
        <v>824</v>
      </c>
      <c r="W550" s="9">
        <f t="shared" si="121"/>
        <v>2481</v>
      </c>
      <c r="X550" s="9">
        <f t="shared" si="121"/>
        <v>2052</v>
      </c>
      <c r="Y550" s="9">
        <f t="shared" si="121"/>
        <v>3080</v>
      </c>
      <c r="Z550" s="9">
        <f t="shared" si="121"/>
        <v>1657</v>
      </c>
      <c r="AA550" s="9">
        <f t="shared" si="120"/>
        <v>1228</v>
      </c>
      <c r="AB550" s="9">
        <f t="shared" si="120"/>
        <v>2256</v>
      </c>
      <c r="AC550" s="9">
        <f t="shared" si="120"/>
        <v>429</v>
      </c>
      <c r="AD550" s="9">
        <f t="shared" si="120"/>
        <v>599</v>
      </c>
      <c r="AE550" s="9">
        <f t="shared" si="120"/>
        <v>1028</v>
      </c>
    </row>
    <row r="551" spans="2:31" x14ac:dyDescent="0.25">
      <c r="B551" s="6">
        <v>6473</v>
      </c>
      <c r="C551" s="6">
        <v>7589</v>
      </c>
      <c r="D551" s="6">
        <v>11397</v>
      </c>
      <c r="E551" s="6">
        <f t="shared" si="124"/>
        <v>10968</v>
      </c>
      <c r="F551" s="6">
        <v>12398</v>
      </c>
      <c r="L551">
        <f t="shared" si="110"/>
        <v>-1116</v>
      </c>
      <c r="M551">
        <f t="shared" si="111"/>
        <v>-4924</v>
      </c>
      <c r="N551">
        <f t="shared" si="112"/>
        <v>-4495</v>
      </c>
      <c r="O551">
        <f t="shared" si="113"/>
        <v>-5925</v>
      </c>
      <c r="P551">
        <f t="shared" si="114"/>
        <v>-3808</v>
      </c>
      <c r="Q551">
        <f t="shared" si="115"/>
        <v>-3379</v>
      </c>
      <c r="R551">
        <f t="shared" si="116"/>
        <v>-4809</v>
      </c>
      <c r="S551">
        <f t="shared" si="117"/>
        <v>429</v>
      </c>
      <c r="T551">
        <f t="shared" si="118"/>
        <v>-1001</v>
      </c>
      <c r="U551">
        <f t="shared" si="119"/>
        <v>-1430</v>
      </c>
      <c r="V551" s="9">
        <f t="shared" si="121"/>
        <v>1116</v>
      </c>
      <c r="W551" s="9">
        <f t="shared" si="121"/>
        <v>4924</v>
      </c>
      <c r="X551" s="9">
        <f t="shared" si="121"/>
        <v>4495</v>
      </c>
      <c r="Y551" s="9">
        <f t="shared" si="121"/>
        <v>5925</v>
      </c>
      <c r="Z551" s="9">
        <f t="shared" si="121"/>
        <v>3808</v>
      </c>
      <c r="AA551" s="9">
        <f t="shared" si="120"/>
        <v>3379</v>
      </c>
      <c r="AB551" s="9">
        <f t="shared" si="120"/>
        <v>4809</v>
      </c>
      <c r="AC551" s="9">
        <f t="shared" si="120"/>
        <v>429</v>
      </c>
      <c r="AD551" s="9">
        <f t="shared" si="120"/>
        <v>1001</v>
      </c>
      <c r="AE551" s="9">
        <f t="shared" si="120"/>
        <v>1430</v>
      </c>
    </row>
    <row r="552" spans="2:31" x14ac:dyDescent="0.25">
      <c r="B552" s="6">
        <v>8529</v>
      </c>
      <c r="C552" s="6">
        <v>9857</v>
      </c>
      <c r="D552" s="6">
        <f t="shared" si="123"/>
        <v>10681</v>
      </c>
      <c r="E552" s="6">
        <v>8957</v>
      </c>
      <c r="F552" s="6">
        <v>10258</v>
      </c>
      <c r="L552">
        <f t="shared" si="110"/>
        <v>-1328</v>
      </c>
      <c r="M552">
        <f t="shared" si="111"/>
        <v>-2152</v>
      </c>
      <c r="N552">
        <f t="shared" si="112"/>
        <v>-428</v>
      </c>
      <c r="O552">
        <f t="shared" si="113"/>
        <v>-1729</v>
      </c>
      <c r="P552">
        <f t="shared" si="114"/>
        <v>-824</v>
      </c>
      <c r="Q552">
        <f t="shared" si="115"/>
        <v>900</v>
      </c>
      <c r="R552">
        <f t="shared" si="116"/>
        <v>-401</v>
      </c>
      <c r="S552">
        <f t="shared" si="117"/>
        <v>1724</v>
      </c>
      <c r="T552">
        <f t="shared" si="118"/>
        <v>423</v>
      </c>
      <c r="U552">
        <f t="shared" si="119"/>
        <v>-1301</v>
      </c>
      <c r="V552" s="9">
        <f t="shared" si="121"/>
        <v>1328</v>
      </c>
      <c r="W552" s="9">
        <f t="shared" si="121"/>
        <v>2152</v>
      </c>
      <c r="X552" s="9">
        <f t="shared" si="121"/>
        <v>428</v>
      </c>
      <c r="Y552" s="9">
        <f t="shared" si="121"/>
        <v>1729</v>
      </c>
      <c r="Z552" s="9">
        <f t="shared" si="121"/>
        <v>824</v>
      </c>
      <c r="AA552" s="9">
        <f t="shared" si="120"/>
        <v>900</v>
      </c>
      <c r="AB552" s="9">
        <f t="shared" si="120"/>
        <v>401</v>
      </c>
      <c r="AC552" s="9">
        <f t="shared" si="120"/>
        <v>1724</v>
      </c>
      <c r="AD552" s="9">
        <f t="shared" si="120"/>
        <v>423</v>
      </c>
      <c r="AE552" s="9">
        <f t="shared" si="120"/>
        <v>1301</v>
      </c>
    </row>
    <row r="553" spans="2:31" x14ac:dyDescent="0.25">
      <c r="B553" s="6">
        <v>7289</v>
      </c>
      <c r="C553" s="6">
        <v>7854</v>
      </c>
      <c r="D553" s="6">
        <v>4569</v>
      </c>
      <c r="E553" s="6">
        <f t="shared" si="124"/>
        <v>4140</v>
      </c>
      <c r="F553" s="6">
        <f t="shared" si="122"/>
        <v>5140</v>
      </c>
      <c r="L553">
        <f t="shared" si="110"/>
        <v>-565</v>
      </c>
      <c r="M553">
        <f t="shared" si="111"/>
        <v>2720</v>
      </c>
      <c r="N553">
        <f t="shared" si="112"/>
        <v>3149</v>
      </c>
      <c r="O553">
        <f t="shared" si="113"/>
        <v>2149</v>
      </c>
      <c r="P553">
        <f t="shared" si="114"/>
        <v>3285</v>
      </c>
      <c r="Q553">
        <f t="shared" si="115"/>
        <v>3714</v>
      </c>
      <c r="R553">
        <f t="shared" si="116"/>
        <v>2714</v>
      </c>
      <c r="S553">
        <f t="shared" si="117"/>
        <v>429</v>
      </c>
      <c r="T553">
        <f t="shared" si="118"/>
        <v>-571</v>
      </c>
      <c r="U553">
        <f t="shared" si="119"/>
        <v>-1000</v>
      </c>
      <c r="V553" s="9">
        <f t="shared" si="121"/>
        <v>565</v>
      </c>
      <c r="W553" s="9">
        <f t="shared" si="121"/>
        <v>2720</v>
      </c>
      <c r="X553" s="9">
        <f t="shared" si="121"/>
        <v>3149</v>
      </c>
      <c r="Y553" s="9">
        <f t="shared" si="121"/>
        <v>2149</v>
      </c>
      <c r="Z553" s="9">
        <f t="shared" si="121"/>
        <v>3285</v>
      </c>
      <c r="AA553" s="9">
        <f t="shared" si="120"/>
        <v>3714</v>
      </c>
      <c r="AB553" s="9">
        <f t="shared" si="120"/>
        <v>2714</v>
      </c>
      <c r="AC553" s="9">
        <f t="shared" si="120"/>
        <v>429</v>
      </c>
      <c r="AD553" s="9">
        <f t="shared" si="120"/>
        <v>571</v>
      </c>
      <c r="AE553" s="9">
        <f t="shared" si="120"/>
        <v>1000</v>
      </c>
    </row>
    <row r="554" spans="2:31" x14ac:dyDescent="0.25">
      <c r="B554" s="6">
        <v>8588</v>
      </c>
      <c r="C554" s="6">
        <v>9004</v>
      </c>
      <c r="D554" s="6">
        <v>7859</v>
      </c>
      <c r="E554" s="6">
        <v>7425</v>
      </c>
      <c r="F554" s="6">
        <f t="shared" si="122"/>
        <v>8425</v>
      </c>
      <c r="L554">
        <f t="shared" si="110"/>
        <v>-416</v>
      </c>
      <c r="M554">
        <f t="shared" si="111"/>
        <v>729</v>
      </c>
      <c r="N554">
        <f t="shared" si="112"/>
        <v>1163</v>
      </c>
      <c r="O554">
        <f t="shared" si="113"/>
        <v>163</v>
      </c>
      <c r="P554">
        <f t="shared" si="114"/>
        <v>1145</v>
      </c>
      <c r="Q554">
        <f t="shared" si="115"/>
        <v>1579</v>
      </c>
      <c r="R554">
        <f t="shared" si="116"/>
        <v>579</v>
      </c>
      <c r="S554">
        <f t="shared" si="117"/>
        <v>434</v>
      </c>
      <c r="T554">
        <f t="shared" si="118"/>
        <v>-566</v>
      </c>
      <c r="U554">
        <f t="shared" si="119"/>
        <v>-1000</v>
      </c>
      <c r="V554" s="9">
        <f t="shared" si="121"/>
        <v>416</v>
      </c>
      <c r="W554" s="9">
        <f t="shared" si="121"/>
        <v>729</v>
      </c>
      <c r="X554" s="9">
        <f t="shared" si="121"/>
        <v>1163</v>
      </c>
      <c r="Y554" s="9">
        <f t="shared" si="121"/>
        <v>163</v>
      </c>
      <c r="Z554" s="9">
        <f t="shared" si="121"/>
        <v>1145</v>
      </c>
      <c r="AA554" s="9">
        <f t="shared" si="120"/>
        <v>1579</v>
      </c>
      <c r="AB554" s="9">
        <f t="shared" si="120"/>
        <v>579</v>
      </c>
      <c r="AC554" s="9">
        <f t="shared" si="120"/>
        <v>434</v>
      </c>
      <c r="AD554" s="9">
        <f t="shared" si="120"/>
        <v>566</v>
      </c>
      <c r="AE554" s="9">
        <f t="shared" si="120"/>
        <v>1000</v>
      </c>
    </row>
    <row r="555" spans="2:31" x14ac:dyDescent="0.25">
      <c r="B555" s="6">
        <v>7642</v>
      </c>
      <c r="C555" s="6">
        <v>8567</v>
      </c>
      <c r="D555" s="6">
        <v>9487</v>
      </c>
      <c r="E555" s="6">
        <f t="shared" si="124"/>
        <v>9058</v>
      </c>
      <c r="F555" s="6">
        <v>10398</v>
      </c>
      <c r="L555">
        <f t="shared" si="110"/>
        <v>-925</v>
      </c>
      <c r="M555">
        <f t="shared" si="111"/>
        <v>-1845</v>
      </c>
      <c r="N555">
        <f t="shared" si="112"/>
        <v>-1416</v>
      </c>
      <c r="O555">
        <f t="shared" si="113"/>
        <v>-2756</v>
      </c>
      <c r="P555">
        <f t="shared" si="114"/>
        <v>-920</v>
      </c>
      <c r="Q555">
        <f t="shared" si="115"/>
        <v>-491</v>
      </c>
      <c r="R555">
        <f t="shared" si="116"/>
        <v>-1831</v>
      </c>
      <c r="S555">
        <f t="shared" si="117"/>
        <v>429</v>
      </c>
      <c r="T555">
        <f t="shared" si="118"/>
        <v>-911</v>
      </c>
      <c r="U555">
        <f t="shared" si="119"/>
        <v>-1340</v>
      </c>
      <c r="V555" s="9">
        <f t="shared" si="121"/>
        <v>925</v>
      </c>
      <c r="W555" s="9">
        <f t="shared" si="121"/>
        <v>1845</v>
      </c>
      <c r="X555" s="9">
        <f t="shared" si="121"/>
        <v>1416</v>
      </c>
      <c r="Y555" s="9">
        <f t="shared" si="121"/>
        <v>2756</v>
      </c>
      <c r="Z555" s="9">
        <f t="shared" si="121"/>
        <v>920</v>
      </c>
      <c r="AA555" s="9">
        <f t="shared" si="120"/>
        <v>491</v>
      </c>
      <c r="AB555" s="9">
        <f t="shared" si="120"/>
        <v>1831</v>
      </c>
      <c r="AC555" s="9">
        <f t="shared" si="120"/>
        <v>429</v>
      </c>
      <c r="AD555" s="9">
        <f t="shared" si="120"/>
        <v>911</v>
      </c>
      <c r="AE555" s="9">
        <f t="shared" si="120"/>
        <v>1340</v>
      </c>
    </row>
    <row r="556" spans="2:31" x14ac:dyDescent="0.25">
      <c r="B556" s="6">
        <v>7954</v>
      </c>
      <c r="C556" s="6">
        <v>9105</v>
      </c>
      <c r="D556" s="6">
        <v>9578</v>
      </c>
      <c r="E556" s="6">
        <f t="shared" si="124"/>
        <v>9149</v>
      </c>
      <c r="F556" s="6">
        <v>11089</v>
      </c>
      <c r="L556">
        <f t="shared" si="110"/>
        <v>-1151</v>
      </c>
      <c r="M556">
        <f t="shared" si="111"/>
        <v>-1624</v>
      </c>
      <c r="N556">
        <f t="shared" si="112"/>
        <v>-1195</v>
      </c>
      <c r="O556">
        <f t="shared" si="113"/>
        <v>-3135</v>
      </c>
      <c r="P556">
        <f t="shared" si="114"/>
        <v>-473</v>
      </c>
      <c r="Q556">
        <f t="shared" si="115"/>
        <v>-44</v>
      </c>
      <c r="R556">
        <f t="shared" si="116"/>
        <v>-1984</v>
      </c>
      <c r="S556">
        <f t="shared" si="117"/>
        <v>429</v>
      </c>
      <c r="T556">
        <f t="shared" si="118"/>
        <v>-1511</v>
      </c>
      <c r="U556">
        <f t="shared" si="119"/>
        <v>-1940</v>
      </c>
      <c r="V556" s="9">
        <f t="shared" si="121"/>
        <v>1151</v>
      </c>
      <c r="W556" s="9">
        <f t="shared" si="121"/>
        <v>1624</v>
      </c>
      <c r="X556" s="9">
        <f t="shared" si="121"/>
        <v>1195</v>
      </c>
      <c r="Y556" s="9">
        <f t="shared" si="121"/>
        <v>3135</v>
      </c>
      <c r="Z556" s="9">
        <f t="shared" si="121"/>
        <v>473</v>
      </c>
      <c r="AA556" s="9">
        <f t="shared" si="120"/>
        <v>44</v>
      </c>
      <c r="AB556" s="9">
        <f t="shared" si="120"/>
        <v>1984</v>
      </c>
      <c r="AC556" s="9">
        <f t="shared" si="120"/>
        <v>429</v>
      </c>
      <c r="AD556" s="9">
        <f t="shared" si="120"/>
        <v>1511</v>
      </c>
      <c r="AE556" s="9">
        <f t="shared" si="120"/>
        <v>1940</v>
      </c>
    </row>
    <row r="557" spans="2:31" x14ac:dyDescent="0.25">
      <c r="B557" s="6">
        <v>6775</v>
      </c>
      <c r="C557" s="6">
        <v>7345</v>
      </c>
      <c r="D557" s="6">
        <v>8574</v>
      </c>
      <c r="E557" s="6">
        <f t="shared" si="124"/>
        <v>8145</v>
      </c>
      <c r="F557" s="6">
        <v>9038</v>
      </c>
      <c r="L557">
        <f t="shared" si="110"/>
        <v>-570</v>
      </c>
      <c r="M557">
        <f t="shared" si="111"/>
        <v>-1799</v>
      </c>
      <c r="N557">
        <f t="shared" si="112"/>
        <v>-1370</v>
      </c>
      <c r="O557">
        <f t="shared" si="113"/>
        <v>-2263</v>
      </c>
      <c r="P557">
        <f t="shared" si="114"/>
        <v>-1229</v>
      </c>
      <c r="Q557">
        <f t="shared" si="115"/>
        <v>-800</v>
      </c>
      <c r="R557">
        <f t="shared" si="116"/>
        <v>-1693</v>
      </c>
      <c r="S557">
        <f t="shared" si="117"/>
        <v>429</v>
      </c>
      <c r="T557">
        <f t="shared" si="118"/>
        <v>-464</v>
      </c>
      <c r="U557">
        <f t="shared" si="119"/>
        <v>-893</v>
      </c>
      <c r="V557" s="9">
        <f t="shared" si="121"/>
        <v>570</v>
      </c>
      <c r="W557" s="9">
        <f t="shared" si="121"/>
        <v>1799</v>
      </c>
      <c r="X557" s="9">
        <f t="shared" si="121"/>
        <v>1370</v>
      </c>
      <c r="Y557" s="9">
        <f t="shared" si="121"/>
        <v>2263</v>
      </c>
      <c r="Z557" s="9">
        <f t="shared" si="121"/>
        <v>1229</v>
      </c>
      <c r="AA557" s="9">
        <f t="shared" si="120"/>
        <v>800</v>
      </c>
      <c r="AB557" s="9">
        <f t="shared" si="120"/>
        <v>1693</v>
      </c>
      <c r="AC557" s="9">
        <f t="shared" si="120"/>
        <v>429</v>
      </c>
      <c r="AD557" s="9">
        <f t="shared" si="120"/>
        <v>464</v>
      </c>
      <c r="AE557" s="9">
        <f t="shared" si="120"/>
        <v>893</v>
      </c>
    </row>
    <row r="558" spans="2:31" x14ac:dyDescent="0.25">
      <c r="B558" s="6">
        <v>4237</v>
      </c>
      <c r="C558" s="6">
        <v>4972</v>
      </c>
      <c r="D558" s="6">
        <v>5542</v>
      </c>
      <c r="E558" s="6">
        <v>6875</v>
      </c>
      <c r="F558" s="6">
        <f t="shared" si="122"/>
        <v>7875</v>
      </c>
      <c r="L558">
        <f t="shared" si="110"/>
        <v>-735</v>
      </c>
      <c r="M558">
        <f t="shared" si="111"/>
        <v>-1305</v>
      </c>
      <c r="N558">
        <f t="shared" si="112"/>
        <v>-2638</v>
      </c>
      <c r="O558">
        <f t="shared" si="113"/>
        <v>-3638</v>
      </c>
      <c r="P558">
        <f t="shared" si="114"/>
        <v>-570</v>
      </c>
      <c r="Q558">
        <f t="shared" si="115"/>
        <v>-1903</v>
      </c>
      <c r="R558">
        <f t="shared" si="116"/>
        <v>-2903</v>
      </c>
      <c r="S558">
        <f t="shared" si="117"/>
        <v>-1333</v>
      </c>
      <c r="T558">
        <f t="shared" si="118"/>
        <v>-2333</v>
      </c>
      <c r="U558">
        <f t="shared" si="119"/>
        <v>-1000</v>
      </c>
      <c r="V558" s="9">
        <f t="shared" si="121"/>
        <v>735</v>
      </c>
      <c r="W558" s="9">
        <f t="shared" si="121"/>
        <v>1305</v>
      </c>
      <c r="X558" s="9">
        <f t="shared" si="121"/>
        <v>2638</v>
      </c>
      <c r="Y558" s="9">
        <f t="shared" si="121"/>
        <v>3638</v>
      </c>
      <c r="Z558" s="9">
        <f t="shared" si="121"/>
        <v>570</v>
      </c>
      <c r="AA558" s="9">
        <f t="shared" si="120"/>
        <v>1903</v>
      </c>
      <c r="AB558" s="9">
        <f t="shared" si="120"/>
        <v>2903</v>
      </c>
      <c r="AC558" s="9">
        <f t="shared" si="120"/>
        <v>1333</v>
      </c>
      <c r="AD558" s="9">
        <f t="shared" si="120"/>
        <v>2333</v>
      </c>
      <c r="AE558" s="9">
        <f t="shared" si="120"/>
        <v>1000</v>
      </c>
    </row>
    <row r="559" spans="2:31" x14ac:dyDescent="0.25">
      <c r="B559" s="6">
        <v>2242</v>
      </c>
      <c r="C559" s="6">
        <v>3359</v>
      </c>
      <c r="D559" s="6">
        <v>1359</v>
      </c>
      <c r="E559" s="6">
        <v>1859</v>
      </c>
      <c r="F559" s="6">
        <v>3069</v>
      </c>
      <c r="L559">
        <f t="shared" si="110"/>
        <v>-1117</v>
      </c>
      <c r="M559">
        <f t="shared" si="111"/>
        <v>883</v>
      </c>
      <c r="N559">
        <f t="shared" si="112"/>
        <v>383</v>
      </c>
      <c r="O559">
        <f t="shared" si="113"/>
        <v>-827</v>
      </c>
      <c r="P559">
        <f t="shared" si="114"/>
        <v>2000</v>
      </c>
      <c r="Q559">
        <f t="shared" si="115"/>
        <v>1500</v>
      </c>
      <c r="R559">
        <f t="shared" si="116"/>
        <v>290</v>
      </c>
      <c r="S559">
        <f t="shared" si="117"/>
        <v>-500</v>
      </c>
      <c r="T559">
        <f t="shared" si="118"/>
        <v>-1710</v>
      </c>
      <c r="U559">
        <f t="shared" si="119"/>
        <v>-1210</v>
      </c>
      <c r="V559" s="9">
        <f t="shared" si="121"/>
        <v>1117</v>
      </c>
      <c r="W559" s="9">
        <f t="shared" si="121"/>
        <v>883</v>
      </c>
      <c r="X559" s="9">
        <f t="shared" si="121"/>
        <v>383</v>
      </c>
      <c r="Y559" s="9">
        <f t="shared" si="121"/>
        <v>827</v>
      </c>
      <c r="Z559" s="9">
        <f t="shared" si="121"/>
        <v>2000</v>
      </c>
      <c r="AA559" s="9">
        <f t="shared" si="120"/>
        <v>1500</v>
      </c>
      <c r="AB559" s="9">
        <f t="shared" si="120"/>
        <v>290</v>
      </c>
      <c r="AC559" s="9">
        <f t="shared" si="120"/>
        <v>500</v>
      </c>
      <c r="AD559" s="9">
        <f t="shared" si="120"/>
        <v>1710</v>
      </c>
      <c r="AE559" s="9">
        <f t="shared" si="120"/>
        <v>1210</v>
      </c>
    </row>
    <row r="560" spans="2:31" x14ac:dyDescent="0.25">
      <c r="B560" s="6">
        <v>2654</v>
      </c>
      <c r="C560" s="6">
        <v>3258</v>
      </c>
      <c r="D560" s="6">
        <v>3587</v>
      </c>
      <c r="E560" s="6">
        <f t="shared" si="124"/>
        <v>3158</v>
      </c>
      <c r="F560" s="6">
        <f t="shared" si="122"/>
        <v>4158</v>
      </c>
      <c r="L560">
        <f t="shared" si="110"/>
        <v>-604</v>
      </c>
      <c r="M560">
        <f t="shared" si="111"/>
        <v>-933</v>
      </c>
      <c r="N560">
        <f t="shared" si="112"/>
        <v>-504</v>
      </c>
      <c r="O560">
        <f t="shared" si="113"/>
        <v>-1504</v>
      </c>
      <c r="P560">
        <f t="shared" si="114"/>
        <v>-329</v>
      </c>
      <c r="Q560">
        <f t="shared" si="115"/>
        <v>100</v>
      </c>
      <c r="R560">
        <f t="shared" si="116"/>
        <v>-900</v>
      </c>
      <c r="S560">
        <f t="shared" si="117"/>
        <v>429</v>
      </c>
      <c r="T560">
        <f t="shared" si="118"/>
        <v>-571</v>
      </c>
      <c r="U560">
        <f t="shared" si="119"/>
        <v>-1000</v>
      </c>
      <c r="V560" s="9">
        <f t="shared" si="121"/>
        <v>604</v>
      </c>
      <c r="W560" s="9">
        <f t="shared" si="121"/>
        <v>933</v>
      </c>
      <c r="X560" s="9">
        <f t="shared" si="121"/>
        <v>504</v>
      </c>
      <c r="Y560" s="9">
        <f t="shared" si="121"/>
        <v>1504</v>
      </c>
      <c r="Z560" s="9">
        <f t="shared" si="121"/>
        <v>329</v>
      </c>
      <c r="AA560" s="9">
        <f t="shared" si="120"/>
        <v>100</v>
      </c>
      <c r="AB560" s="9">
        <f t="shared" si="120"/>
        <v>900</v>
      </c>
      <c r="AC560" s="9">
        <f t="shared" si="120"/>
        <v>429</v>
      </c>
      <c r="AD560" s="9">
        <f t="shared" si="120"/>
        <v>571</v>
      </c>
      <c r="AE560" s="9">
        <f t="shared" si="120"/>
        <v>1000</v>
      </c>
    </row>
    <row r="561" spans="2:31" x14ac:dyDescent="0.25">
      <c r="B561" s="6">
        <v>3489</v>
      </c>
      <c r="C561" s="6">
        <v>4459</v>
      </c>
      <c r="D561" s="6">
        <v>4987</v>
      </c>
      <c r="E561" s="6">
        <v>5528</v>
      </c>
      <c r="F561" s="6">
        <v>6479</v>
      </c>
      <c r="L561">
        <f t="shared" si="110"/>
        <v>-970</v>
      </c>
      <c r="M561">
        <f t="shared" si="111"/>
        <v>-1498</v>
      </c>
      <c r="N561">
        <f t="shared" si="112"/>
        <v>-2039</v>
      </c>
      <c r="O561">
        <f t="shared" si="113"/>
        <v>-2990</v>
      </c>
      <c r="P561">
        <f t="shared" si="114"/>
        <v>-528</v>
      </c>
      <c r="Q561">
        <f t="shared" si="115"/>
        <v>-1069</v>
      </c>
      <c r="R561">
        <f t="shared" si="116"/>
        <v>-2020</v>
      </c>
      <c r="S561">
        <f t="shared" si="117"/>
        <v>-541</v>
      </c>
      <c r="T561">
        <f t="shared" si="118"/>
        <v>-1492</v>
      </c>
      <c r="U561">
        <f t="shared" si="119"/>
        <v>-951</v>
      </c>
      <c r="V561" s="9">
        <f t="shared" si="121"/>
        <v>970</v>
      </c>
      <c r="W561" s="9">
        <f t="shared" si="121"/>
        <v>1498</v>
      </c>
      <c r="X561" s="9">
        <f t="shared" si="121"/>
        <v>2039</v>
      </c>
      <c r="Y561" s="9">
        <f t="shared" si="121"/>
        <v>2990</v>
      </c>
      <c r="Z561" s="9">
        <f t="shared" si="121"/>
        <v>528</v>
      </c>
      <c r="AA561" s="9">
        <f t="shared" si="120"/>
        <v>1069</v>
      </c>
      <c r="AB561" s="9">
        <f t="shared" si="120"/>
        <v>2020</v>
      </c>
      <c r="AC561" s="9">
        <f t="shared" si="120"/>
        <v>541</v>
      </c>
      <c r="AD561" s="9">
        <f t="shared" si="120"/>
        <v>1492</v>
      </c>
      <c r="AE561" s="9">
        <f t="shared" si="120"/>
        <v>951</v>
      </c>
    </row>
    <row r="562" spans="2:31" x14ac:dyDescent="0.25">
      <c r="B562" s="6">
        <v>5397</v>
      </c>
      <c r="C562" s="6">
        <v>5987</v>
      </c>
      <c r="D562" s="6">
        <v>6348</v>
      </c>
      <c r="E562" s="6">
        <f t="shared" si="124"/>
        <v>5919</v>
      </c>
      <c r="F562" s="6">
        <f t="shared" si="122"/>
        <v>6919</v>
      </c>
      <c r="L562">
        <f t="shared" si="110"/>
        <v>-590</v>
      </c>
      <c r="M562">
        <f t="shared" si="111"/>
        <v>-951</v>
      </c>
      <c r="N562">
        <f t="shared" si="112"/>
        <v>-522</v>
      </c>
      <c r="O562">
        <f t="shared" si="113"/>
        <v>-1522</v>
      </c>
      <c r="P562">
        <f t="shared" si="114"/>
        <v>-361</v>
      </c>
      <c r="Q562">
        <f t="shared" si="115"/>
        <v>68</v>
      </c>
      <c r="R562">
        <f t="shared" si="116"/>
        <v>-932</v>
      </c>
      <c r="S562">
        <f t="shared" si="117"/>
        <v>429</v>
      </c>
      <c r="T562">
        <f t="shared" si="118"/>
        <v>-571</v>
      </c>
      <c r="U562">
        <f t="shared" si="119"/>
        <v>-1000</v>
      </c>
      <c r="V562" s="9">
        <f t="shared" si="121"/>
        <v>590</v>
      </c>
      <c r="W562" s="9">
        <f t="shared" si="121"/>
        <v>951</v>
      </c>
      <c r="X562" s="9">
        <f t="shared" si="121"/>
        <v>522</v>
      </c>
      <c r="Y562" s="9">
        <f t="shared" si="121"/>
        <v>1522</v>
      </c>
      <c r="Z562" s="9">
        <f t="shared" si="121"/>
        <v>361</v>
      </c>
      <c r="AA562" s="9">
        <f t="shared" si="120"/>
        <v>68</v>
      </c>
      <c r="AB562" s="9">
        <f t="shared" si="120"/>
        <v>932</v>
      </c>
      <c r="AC562" s="9">
        <f t="shared" si="120"/>
        <v>429</v>
      </c>
      <c r="AD562" s="9">
        <f t="shared" si="120"/>
        <v>571</v>
      </c>
      <c r="AE562" s="9">
        <f t="shared" si="120"/>
        <v>1000</v>
      </c>
    </row>
    <row r="563" spans="2:31" x14ac:dyDescent="0.25">
      <c r="B563" s="6">
        <v>6278</v>
      </c>
      <c r="C563" s="6">
        <v>6857</v>
      </c>
      <c r="D563" s="6">
        <v>6877</v>
      </c>
      <c r="E563" s="6">
        <v>7597</v>
      </c>
      <c r="F563" s="6">
        <v>8574</v>
      </c>
      <c r="L563">
        <f t="shared" si="110"/>
        <v>-579</v>
      </c>
      <c r="M563">
        <f t="shared" si="111"/>
        <v>-599</v>
      </c>
      <c r="N563">
        <f t="shared" si="112"/>
        <v>-1319</v>
      </c>
      <c r="O563">
        <f t="shared" si="113"/>
        <v>-2296</v>
      </c>
      <c r="P563">
        <f t="shared" si="114"/>
        <v>-20</v>
      </c>
      <c r="Q563">
        <f t="shared" si="115"/>
        <v>-740</v>
      </c>
      <c r="R563">
        <f t="shared" si="116"/>
        <v>-1717</v>
      </c>
      <c r="S563">
        <f t="shared" si="117"/>
        <v>-720</v>
      </c>
      <c r="T563">
        <f t="shared" si="118"/>
        <v>-1697</v>
      </c>
      <c r="U563">
        <f t="shared" si="119"/>
        <v>-977</v>
      </c>
      <c r="V563" s="9">
        <f t="shared" si="121"/>
        <v>579</v>
      </c>
      <c r="W563" s="9">
        <f t="shared" si="121"/>
        <v>599</v>
      </c>
      <c r="X563" s="9">
        <f t="shared" si="121"/>
        <v>1319</v>
      </c>
      <c r="Y563" s="9">
        <f t="shared" si="121"/>
        <v>2296</v>
      </c>
      <c r="Z563" s="9">
        <f t="shared" si="121"/>
        <v>20</v>
      </c>
      <c r="AA563" s="9">
        <f t="shared" si="120"/>
        <v>740</v>
      </c>
      <c r="AB563" s="9">
        <f t="shared" si="120"/>
        <v>1717</v>
      </c>
      <c r="AC563" s="9">
        <f t="shared" si="120"/>
        <v>720</v>
      </c>
      <c r="AD563" s="9">
        <f t="shared" si="120"/>
        <v>1697</v>
      </c>
      <c r="AE563" s="9">
        <f t="shared" si="120"/>
        <v>977</v>
      </c>
    </row>
    <row r="564" spans="2:31" x14ac:dyDescent="0.25">
      <c r="B564" s="6">
        <v>7894</v>
      </c>
      <c r="C564" s="6">
        <v>8574</v>
      </c>
      <c r="D564" s="6">
        <v>8544</v>
      </c>
      <c r="E564" s="6">
        <f t="shared" si="124"/>
        <v>8115</v>
      </c>
      <c r="F564" s="6">
        <f t="shared" si="122"/>
        <v>9115</v>
      </c>
      <c r="L564">
        <f t="shared" si="110"/>
        <v>-680</v>
      </c>
      <c r="M564">
        <f t="shared" si="111"/>
        <v>-650</v>
      </c>
      <c r="N564">
        <f t="shared" si="112"/>
        <v>-221</v>
      </c>
      <c r="O564">
        <f t="shared" si="113"/>
        <v>-1221</v>
      </c>
      <c r="P564">
        <f t="shared" si="114"/>
        <v>30</v>
      </c>
      <c r="Q564">
        <f t="shared" si="115"/>
        <v>459</v>
      </c>
      <c r="R564">
        <f t="shared" si="116"/>
        <v>-541</v>
      </c>
      <c r="S564">
        <f t="shared" si="117"/>
        <v>429</v>
      </c>
      <c r="T564">
        <f t="shared" si="118"/>
        <v>-571</v>
      </c>
      <c r="U564">
        <f t="shared" si="119"/>
        <v>-1000</v>
      </c>
      <c r="V564" s="9">
        <f t="shared" si="121"/>
        <v>680</v>
      </c>
      <c r="W564" s="9">
        <f t="shared" si="121"/>
        <v>650</v>
      </c>
      <c r="X564" s="9">
        <f t="shared" si="121"/>
        <v>221</v>
      </c>
      <c r="Y564" s="9">
        <f t="shared" si="121"/>
        <v>1221</v>
      </c>
      <c r="Z564" s="9">
        <f t="shared" si="121"/>
        <v>30</v>
      </c>
      <c r="AA564" s="9">
        <f t="shared" si="120"/>
        <v>459</v>
      </c>
      <c r="AB564" s="9">
        <f t="shared" si="120"/>
        <v>541</v>
      </c>
      <c r="AC564" s="9">
        <f t="shared" si="120"/>
        <v>429</v>
      </c>
      <c r="AD564" s="9">
        <f t="shared" si="120"/>
        <v>571</v>
      </c>
      <c r="AE564" s="9">
        <f t="shared" si="120"/>
        <v>1000</v>
      </c>
    </row>
    <row r="565" spans="2:31" x14ac:dyDescent="0.25">
      <c r="B565" s="6">
        <v>6579</v>
      </c>
      <c r="C565" s="6">
        <v>7349</v>
      </c>
      <c r="D565" s="6">
        <v>6744</v>
      </c>
      <c r="E565" s="6">
        <f t="shared" si="124"/>
        <v>6315</v>
      </c>
      <c r="F565" s="6">
        <f t="shared" si="122"/>
        <v>7315</v>
      </c>
      <c r="L565">
        <f t="shared" si="110"/>
        <v>-770</v>
      </c>
      <c r="M565">
        <f t="shared" si="111"/>
        <v>-165</v>
      </c>
      <c r="N565">
        <f t="shared" si="112"/>
        <v>264</v>
      </c>
      <c r="O565">
        <f t="shared" si="113"/>
        <v>-736</v>
      </c>
      <c r="P565">
        <f t="shared" si="114"/>
        <v>605</v>
      </c>
      <c r="Q565">
        <f t="shared" si="115"/>
        <v>1034</v>
      </c>
      <c r="R565">
        <f t="shared" si="116"/>
        <v>34</v>
      </c>
      <c r="S565">
        <f t="shared" si="117"/>
        <v>429</v>
      </c>
      <c r="T565">
        <f t="shared" si="118"/>
        <v>-571</v>
      </c>
      <c r="U565">
        <f t="shared" si="119"/>
        <v>-1000</v>
      </c>
      <c r="V565" s="9">
        <f t="shared" si="121"/>
        <v>770</v>
      </c>
      <c r="W565" s="9">
        <f t="shared" si="121"/>
        <v>165</v>
      </c>
      <c r="X565" s="9">
        <f t="shared" si="121"/>
        <v>264</v>
      </c>
      <c r="Y565" s="9">
        <f t="shared" si="121"/>
        <v>736</v>
      </c>
      <c r="Z565" s="9">
        <f t="shared" si="121"/>
        <v>605</v>
      </c>
      <c r="AA565" s="9">
        <f t="shared" si="120"/>
        <v>1034</v>
      </c>
      <c r="AB565" s="9">
        <f t="shared" si="120"/>
        <v>34</v>
      </c>
      <c r="AC565" s="9">
        <f t="shared" si="120"/>
        <v>429</v>
      </c>
      <c r="AD565" s="9">
        <f t="shared" si="120"/>
        <v>571</v>
      </c>
      <c r="AE565" s="9">
        <f t="shared" si="120"/>
        <v>1000</v>
      </c>
    </row>
    <row r="566" spans="2:31" x14ac:dyDescent="0.25">
      <c r="B566" s="6">
        <v>8764</v>
      </c>
      <c r="C566" s="6">
        <v>9589</v>
      </c>
      <c r="D566" s="6">
        <v>7597</v>
      </c>
      <c r="E566" s="6">
        <v>8597</v>
      </c>
      <c r="F566" s="6">
        <v>9657</v>
      </c>
      <c r="L566">
        <f t="shared" si="110"/>
        <v>-825</v>
      </c>
      <c r="M566">
        <f t="shared" si="111"/>
        <v>1167</v>
      </c>
      <c r="N566">
        <f t="shared" si="112"/>
        <v>167</v>
      </c>
      <c r="O566">
        <f t="shared" si="113"/>
        <v>-893</v>
      </c>
      <c r="P566">
        <f t="shared" si="114"/>
        <v>1992</v>
      </c>
      <c r="Q566">
        <f t="shared" si="115"/>
        <v>992</v>
      </c>
      <c r="R566">
        <f t="shared" si="116"/>
        <v>-68</v>
      </c>
      <c r="S566">
        <f t="shared" si="117"/>
        <v>-1000</v>
      </c>
      <c r="T566">
        <f t="shared" si="118"/>
        <v>-2060</v>
      </c>
      <c r="U566">
        <f t="shared" si="119"/>
        <v>-1060</v>
      </c>
      <c r="V566" s="9">
        <f t="shared" si="121"/>
        <v>825</v>
      </c>
      <c r="W566" s="9">
        <f t="shared" si="121"/>
        <v>1167</v>
      </c>
      <c r="X566" s="9">
        <f t="shared" si="121"/>
        <v>167</v>
      </c>
      <c r="Y566" s="9">
        <f t="shared" si="121"/>
        <v>893</v>
      </c>
      <c r="Z566" s="9">
        <f t="shared" si="121"/>
        <v>1992</v>
      </c>
      <c r="AA566" s="9">
        <f t="shared" si="120"/>
        <v>992</v>
      </c>
      <c r="AB566" s="9">
        <f t="shared" si="120"/>
        <v>68</v>
      </c>
      <c r="AC566" s="9">
        <f t="shared" si="120"/>
        <v>1000</v>
      </c>
      <c r="AD566" s="9">
        <f t="shared" si="120"/>
        <v>2060</v>
      </c>
      <c r="AE566" s="9">
        <f t="shared" si="120"/>
        <v>1060</v>
      </c>
    </row>
    <row r="567" spans="2:31" x14ac:dyDescent="0.25">
      <c r="B567" s="6">
        <v>7854</v>
      </c>
      <c r="C567" s="6">
        <v>9249</v>
      </c>
      <c r="D567" s="6">
        <v>7789</v>
      </c>
      <c r="E567" s="6">
        <v>9587</v>
      </c>
      <c r="F567" s="6">
        <v>10957</v>
      </c>
      <c r="L567">
        <f t="shared" si="110"/>
        <v>-1395</v>
      </c>
      <c r="M567">
        <f t="shared" si="111"/>
        <v>65</v>
      </c>
      <c r="N567">
        <f t="shared" si="112"/>
        <v>-1733</v>
      </c>
      <c r="O567">
        <f t="shared" si="113"/>
        <v>-3103</v>
      </c>
      <c r="P567">
        <f t="shared" si="114"/>
        <v>1460</v>
      </c>
      <c r="Q567">
        <f t="shared" si="115"/>
        <v>-338</v>
      </c>
      <c r="R567">
        <f t="shared" si="116"/>
        <v>-1708</v>
      </c>
      <c r="S567">
        <f t="shared" si="117"/>
        <v>-1798</v>
      </c>
      <c r="T567">
        <f t="shared" si="118"/>
        <v>-3168</v>
      </c>
      <c r="U567">
        <f t="shared" si="119"/>
        <v>-1370</v>
      </c>
      <c r="V567" s="9">
        <f t="shared" si="121"/>
        <v>1395</v>
      </c>
      <c r="W567" s="9">
        <f t="shared" si="121"/>
        <v>65</v>
      </c>
      <c r="X567" s="9">
        <f t="shared" si="121"/>
        <v>1733</v>
      </c>
      <c r="Y567" s="9">
        <f t="shared" si="121"/>
        <v>3103</v>
      </c>
      <c r="Z567" s="9">
        <f t="shared" si="121"/>
        <v>1460</v>
      </c>
      <c r="AA567" s="9">
        <f t="shared" si="120"/>
        <v>338</v>
      </c>
      <c r="AB567" s="9">
        <f t="shared" si="120"/>
        <v>1708</v>
      </c>
      <c r="AC567" s="9">
        <f t="shared" si="120"/>
        <v>1798</v>
      </c>
      <c r="AD567" s="9">
        <f t="shared" si="120"/>
        <v>3168</v>
      </c>
      <c r="AE567" s="9">
        <f t="shared" si="120"/>
        <v>1370</v>
      </c>
    </row>
    <row r="568" spans="2:31" x14ac:dyDescent="0.25">
      <c r="B568" s="6">
        <v>6847</v>
      </c>
      <c r="C568" s="6">
        <v>7946</v>
      </c>
      <c r="D568" s="6">
        <v>6974</v>
      </c>
      <c r="E568" s="6">
        <f t="shared" si="124"/>
        <v>6545</v>
      </c>
      <c r="F568" s="6">
        <v>7857</v>
      </c>
      <c r="L568">
        <f t="shared" si="110"/>
        <v>-1099</v>
      </c>
      <c r="M568">
        <f t="shared" si="111"/>
        <v>-127</v>
      </c>
      <c r="N568">
        <f t="shared" si="112"/>
        <v>302</v>
      </c>
      <c r="O568">
        <f t="shared" si="113"/>
        <v>-1010</v>
      </c>
      <c r="P568">
        <f t="shared" si="114"/>
        <v>972</v>
      </c>
      <c r="Q568">
        <f t="shared" si="115"/>
        <v>1401</v>
      </c>
      <c r="R568">
        <f t="shared" si="116"/>
        <v>89</v>
      </c>
      <c r="S568">
        <f t="shared" si="117"/>
        <v>429</v>
      </c>
      <c r="T568">
        <f t="shared" si="118"/>
        <v>-883</v>
      </c>
      <c r="U568">
        <f t="shared" si="119"/>
        <v>-1312</v>
      </c>
      <c r="V568" s="9">
        <f t="shared" si="121"/>
        <v>1099</v>
      </c>
      <c r="W568" s="9">
        <f t="shared" si="121"/>
        <v>127</v>
      </c>
      <c r="X568" s="9">
        <f t="shared" si="121"/>
        <v>302</v>
      </c>
      <c r="Y568" s="9">
        <f t="shared" si="121"/>
        <v>1010</v>
      </c>
      <c r="Z568" s="9">
        <f t="shared" si="121"/>
        <v>972</v>
      </c>
      <c r="AA568" s="9">
        <f t="shared" si="120"/>
        <v>1401</v>
      </c>
      <c r="AB568" s="9">
        <f t="shared" si="120"/>
        <v>89</v>
      </c>
      <c r="AC568" s="9">
        <f t="shared" si="120"/>
        <v>429</v>
      </c>
      <c r="AD568" s="9">
        <f t="shared" si="120"/>
        <v>883</v>
      </c>
      <c r="AE568" s="9">
        <f t="shared" si="120"/>
        <v>1312</v>
      </c>
    </row>
    <row r="569" spans="2:31" x14ac:dyDescent="0.25">
      <c r="B569" s="6">
        <v>4558</v>
      </c>
      <c r="C569" s="6">
        <f t="shared" si="123"/>
        <v>5382</v>
      </c>
      <c r="D569" s="6">
        <v>5579</v>
      </c>
      <c r="E569" s="6">
        <v>7158</v>
      </c>
      <c r="F569" s="6">
        <f t="shared" si="122"/>
        <v>8158</v>
      </c>
      <c r="L569">
        <f t="shared" si="110"/>
        <v>-824</v>
      </c>
      <c r="M569">
        <f t="shared" si="111"/>
        <v>-1021</v>
      </c>
      <c r="N569">
        <f t="shared" si="112"/>
        <v>-2600</v>
      </c>
      <c r="O569">
        <f t="shared" si="113"/>
        <v>-3600</v>
      </c>
      <c r="P569">
        <f t="shared" si="114"/>
        <v>-197</v>
      </c>
      <c r="Q569">
        <f t="shared" si="115"/>
        <v>-1776</v>
      </c>
      <c r="R569">
        <f t="shared" si="116"/>
        <v>-2776</v>
      </c>
      <c r="S569">
        <f t="shared" si="117"/>
        <v>-1579</v>
      </c>
      <c r="T569">
        <f t="shared" si="118"/>
        <v>-2579</v>
      </c>
      <c r="U569">
        <f t="shared" si="119"/>
        <v>-1000</v>
      </c>
      <c r="V569" s="9">
        <f t="shared" si="121"/>
        <v>824</v>
      </c>
      <c r="W569" s="9">
        <f t="shared" si="121"/>
        <v>1021</v>
      </c>
      <c r="X569" s="9">
        <f t="shared" si="121"/>
        <v>2600</v>
      </c>
      <c r="Y569" s="9">
        <f t="shared" si="121"/>
        <v>3600</v>
      </c>
      <c r="Z569" s="9">
        <f t="shared" si="121"/>
        <v>197</v>
      </c>
      <c r="AA569" s="9">
        <f t="shared" si="120"/>
        <v>1776</v>
      </c>
      <c r="AB569" s="9">
        <f t="shared" si="120"/>
        <v>2776</v>
      </c>
      <c r="AC569" s="9">
        <f t="shared" si="120"/>
        <v>1579</v>
      </c>
      <c r="AD569" s="9">
        <f t="shared" si="120"/>
        <v>2579</v>
      </c>
      <c r="AE569" s="9">
        <f t="shared" si="120"/>
        <v>1000</v>
      </c>
    </row>
    <row r="570" spans="2:31" x14ac:dyDescent="0.25">
      <c r="B570" s="6">
        <v>3598</v>
      </c>
      <c r="C570" s="6">
        <v>4958</v>
      </c>
      <c r="D570" s="6">
        <v>5428</v>
      </c>
      <c r="E570" s="6">
        <f t="shared" si="124"/>
        <v>4999</v>
      </c>
      <c r="F570" s="6">
        <v>6142</v>
      </c>
      <c r="L570">
        <f t="shared" si="110"/>
        <v>-1360</v>
      </c>
      <c r="M570">
        <f t="shared" si="111"/>
        <v>-1830</v>
      </c>
      <c r="N570">
        <f t="shared" si="112"/>
        <v>-1401</v>
      </c>
      <c r="O570">
        <f t="shared" si="113"/>
        <v>-2544</v>
      </c>
      <c r="P570">
        <f t="shared" si="114"/>
        <v>-470</v>
      </c>
      <c r="Q570">
        <f t="shared" si="115"/>
        <v>-41</v>
      </c>
      <c r="R570">
        <f t="shared" si="116"/>
        <v>-1184</v>
      </c>
      <c r="S570">
        <f t="shared" si="117"/>
        <v>429</v>
      </c>
      <c r="T570">
        <f t="shared" si="118"/>
        <v>-714</v>
      </c>
      <c r="U570">
        <f t="shared" si="119"/>
        <v>-1143</v>
      </c>
      <c r="V570" s="9">
        <f t="shared" si="121"/>
        <v>1360</v>
      </c>
      <c r="W570" s="9">
        <f t="shared" si="121"/>
        <v>1830</v>
      </c>
      <c r="X570" s="9">
        <f t="shared" si="121"/>
        <v>1401</v>
      </c>
      <c r="Y570" s="9">
        <f t="shared" si="121"/>
        <v>2544</v>
      </c>
      <c r="Z570" s="9">
        <f t="shared" si="121"/>
        <v>470</v>
      </c>
      <c r="AA570" s="9">
        <f t="shared" si="120"/>
        <v>41</v>
      </c>
      <c r="AB570" s="9">
        <f t="shared" si="120"/>
        <v>1184</v>
      </c>
      <c r="AC570" s="9">
        <f t="shared" si="120"/>
        <v>429</v>
      </c>
      <c r="AD570" s="9">
        <f t="shared" si="120"/>
        <v>714</v>
      </c>
      <c r="AE570" s="9">
        <f t="shared" si="120"/>
        <v>1143</v>
      </c>
    </row>
    <row r="571" spans="2:31" x14ac:dyDescent="0.25">
      <c r="B571" s="6">
        <v>4468</v>
      </c>
      <c r="C571" s="6">
        <v>6578</v>
      </c>
      <c r="D571" s="6">
        <v>6974</v>
      </c>
      <c r="E571" s="6">
        <f t="shared" si="124"/>
        <v>6545</v>
      </c>
      <c r="F571" s="6">
        <f t="shared" si="122"/>
        <v>7545</v>
      </c>
      <c r="L571">
        <f t="shared" si="110"/>
        <v>-2110</v>
      </c>
      <c r="M571">
        <f t="shared" si="111"/>
        <v>-2506</v>
      </c>
      <c r="N571">
        <f t="shared" si="112"/>
        <v>-2077</v>
      </c>
      <c r="O571">
        <f t="shared" si="113"/>
        <v>-3077</v>
      </c>
      <c r="P571">
        <f t="shared" si="114"/>
        <v>-396</v>
      </c>
      <c r="Q571">
        <f t="shared" si="115"/>
        <v>33</v>
      </c>
      <c r="R571">
        <f t="shared" si="116"/>
        <v>-967</v>
      </c>
      <c r="S571">
        <f t="shared" si="117"/>
        <v>429</v>
      </c>
      <c r="T571">
        <f t="shared" si="118"/>
        <v>-571</v>
      </c>
      <c r="U571">
        <f t="shared" si="119"/>
        <v>-1000</v>
      </c>
      <c r="V571" s="9">
        <f t="shared" si="121"/>
        <v>2110</v>
      </c>
      <c r="W571" s="9">
        <f t="shared" si="121"/>
        <v>2506</v>
      </c>
      <c r="X571" s="9">
        <f t="shared" si="121"/>
        <v>2077</v>
      </c>
      <c r="Y571" s="9">
        <f t="shared" si="121"/>
        <v>3077</v>
      </c>
      <c r="Z571" s="9">
        <f t="shared" si="121"/>
        <v>396</v>
      </c>
      <c r="AA571" s="9">
        <f t="shared" si="120"/>
        <v>33</v>
      </c>
      <c r="AB571" s="9">
        <f t="shared" si="120"/>
        <v>967</v>
      </c>
      <c r="AC571" s="9">
        <f t="shared" si="120"/>
        <v>429</v>
      </c>
      <c r="AD571" s="9">
        <f t="shared" si="120"/>
        <v>571</v>
      </c>
      <c r="AE571" s="9">
        <f t="shared" si="120"/>
        <v>1000</v>
      </c>
    </row>
    <row r="572" spans="2:31" x14ac:dyDescent="0.25">
      <c r="B572" s="6">
        <v>5892</v>
      </c>
      <c r="C572" s="6">
        <v>6987</v>
      </c>
      <c r="D572" s="6">
        <v>7428</v>
      </c>
      <c r="E572" s="6">
        <v>9948</v>
      </c>
      <c r="F572" s="6">
        <f t="shared" si="122"/>
        <v>10948</v>
      </c>
      <c r="L572">
        <f t="shared" si="110"/>
        <v>-1095</v>
      </c>
      <c r="M572">
        <f t="shared" si="111"/>
        <v>-1536</v>
      </c>
      <c r="N572">
        <f t="shared" si="112"/>
        <v>-4056</v>
      </c>
      <c r="O572">
        <f t="shared" si="113"/>
        <v>-5056</v>
      </c>
      <c r="P572">
        <f t="shared" si="114"/>
        <v>-441</v>
      </c>
      <c r="Q572">
        <f t="shared" si="115"/>
        <v>-2961</v>
      </c>
      <c r="R572">
        <f t="shared" si="116"/>
        <v>-3961</v>
      </c>
      <c r="S572">
        <f t="shared" si="117"/>
        <v>-2520</v>
      </c>
      <c r="T572">
        <f t="shared" si="118"/>
        <v>-3520</v>
      </c>
      <c r="U572">
        <f t="shared" si="119"/>
        <v>-1000</v>
      </c>
      <c r="V572" s="9">
        <f t="shared" si="121"/>
        <v>1095</v>
      </c>
      <c r="W572" s="9">
        <f t="shared" si="121"/>
        <v>1536</v>
      </c>
      <c r="X572" s="9">
        <f t="shared" si="121"/>
        <v>4056</v>
      </c>
      <c r="Y572" s="9">
        <f t="shared" si="121"/>
        <v>5056</v>
      </c>
      <c r="Z572" s="9">
        <f t="shared" si="121"/>
        <v>441</v>
      </c>
      <c r="AA572" s="9">
        <f t="shared" si="120"/>
        <v>2961</v>
      </c>
      <c r="AB572" s="9">
        <f t="shared" si="120"/>
        <v>3961</v>
      </c>
      <c r="AC572" s="9">
        <f t="shared" si="120"/>
        <v>2520</v>
      </c>
      <c r="AD572" s="9">
        <f t="shared" si="120"/>
        <v>3520</v>
      </c>
      <c r="AE572" s="9">
        <f t="shared" si="120"/>
        <v>1000</v>
      </c>
    </row>
    <row r="573" spans="2:31" x14ac:dyDescent="0.25">
      <c r="B573" s="6">
        <v>8439</v>
      </c>
      <c r="C573" s="6">
        <v>8967</v>
      </c>
      <c r="D573" s="6">
        <v>7420</v>
      </c>
      <c r="E573" s="6">
        <v>8991</v>
      </c>
      <c r="F573" s="6">
        <f t="shared" si="122"/>
        <v>9991</v>
      </c>
      <c r="L573">
        <f t="shared" si="110"/>
        <v>-528</v>
      </c>
      <c r="M573">
        <f t="shared" si="111"/>
        <v>1019</v>
      </c>
      <c r="N573">
        <f t="shared" si="112"/>
        <v>-552</v>
      </c>
      <c r="O573">
        <f t="shared" si="113"/>
        <v>-1552</v>
      </c>
      <c r="P573">
        <f t="shared" si="114"/>
        <v>1547</v>
      </c>
      <c r="Q573">
        <f t="shared" si="115"/>
        <v>-24</v>
      </c>
      <c r="R573">
        <f t="shared" si="116"/>
        <v>-1024</v>
      </c>
      <c r="S573">
        <f t="shared" si="117"/>
        <v>-1571</v>
      </c>
      <c r="T573">
        <f t="shared" si="118"/>
        <v>-2571</v>
      </c>
      <c r="U573">
        <f t="shared" si="119"/>
        <v>-1000</v>
      </c>
      <c r="V573" s="9">
        <f t="shared" si="121"/>
        <v>528</v>
      </c>
      <c r="W573" s="9">
        <f t="shared" si="121"/>
        <v>1019</v>
      </c>
      <c r="X573" s="9">
        <f t="shared" si="121"/>
        <v>552</v>
      </c>
      <c r="Y573" s="9">
        <f t="shared" si="121"/>
        <v>1552</v>
      </c>
      <c r="Z573" s="9">
        <f t="shared" si="121"/>
        <v>1547</v>
      </c>
      <c r="AA573" s="9">
        <f t="shared" si="120"/>
        <v>24</v>
      </c>
      <c r="AB573" s="9">
        <f t="shared" si="120"/>
        <v>1024</v>
      </c>
      <c r="AC573" s="9">
        <f t="shared" si="120"/>
        <v>1571</v>
      </c>
      <c r="AD573" s="9">
        <f t="shared" si="120"/>
        <v>2571</v>
      </c>
      <c r="AE573" s="9">
        <f t="shared" si="120"/>
        <v>1000</v>
      </c>
    </row>
    <row r="574" spans="2:31" x14ac:dyDescent="0.25">
      <c r="B574" s="6">
        <v>7854</v>
      </c>
      <c r="C574" s="6">
        <v>8857</v>
      </c>
      <c r="D574" s="6">
        <v>6897</v>
      </c>
      <c r="E574" s="6">
        <f t="shared" si="124"/>
        <v>6468</v>
      </c>
      <c r="F574" s="6">
        <f t="shared" si="122"/>
        <v>7468</v>
      </c>
      <c r="L574">
        <f t="shared" si="110"/>
        <v>-1003</v>
      </c>
      <c r="M574">
        <f t="shared" si="111"/>
        <v>957</v>
      </c>
      <c r="N574">
        <f t="shared" si="112"/>
        <v>1386</v>
      </c>
      <c r="O574">
        <f t="shared" si="113"/>
        <v>386</v>
      </c>
      <c r="P574">
        <f t="shared" si="114"/>
        <v>1960</v>
      </c>
      <c r="Q574">
        <f t="shared" si="115"/>
        <v>2389</v>
      </c>
      <c r="R574">
        <f t="shared" si="116"/>
        <v>1389</v>
      </c>
      <c r="S574">
        <f t="shared" si="117"/>
        <v>429</v>
      </c>
      <c r="T574">
        <f t="shared" si="118"/>
        <v>-571</v>
      </c>
      <c r="U574">
        <f t="shared" si="119"/>
        <v>-1000</v>
      </c>
      <c r="V574" s="9">
        <f t="shared" si="121"/>
        <v>1003</v>
      </c>
      <c r="W574" s="9">
        <f t="shared" si="121"/>
        <v>957</v>
      </c>
      <c r="X574" s="9">
        <f t="shared" si="121"/>
        <v>1386</v>
      </c>
      <c r="Y574" s="9">
        <f t="shared" si="121"/>
        <v>386</v>
      </c>
      <c r="Z574" s="9">
        <f t="shared" si="121"/>
        <v>1960</v>
      </c>
      <c r="AA574" s="9">
        <f t="shared" si="120"/>
        <v>2389</v>
      </c>
      <c r="AB574" s="9">
        <f t="shared" si="120"/>
        <v>1389</v>
      </c>
      <c r="AC574" s="9">
        <f t="shared" si="120"/>
        <v>429</v>
      </c>
      <c r="AD574" s="9">
        <f t="shared" si="120"/>
        <v>571</v>
      </c>
      <c r="AE574" s="9">
        <f t="shared" si="120"/>
        <v>1000</v>
      </c>
    </row>
    <row r="575" spans="2:31" x14ac:dyDescent="0.25">
      <c r="B575" s="6">
        <v>8848</v>
      </c>
      <c r="C575" s="6">
        <v>9579</v>
      </c>
      <c r="D575" s="6">
        <v>10138</v>
      </c>
      <c r="E575" s="6">
        <f t="shared" si="124"/>
        <v>9709</v>
      </c>
      <c r="F575" s="6">
        <v>10897</v>
      </c>
      <c r="L575">
        <f t="shared" si="110"/>
        <v>-731</v>
      </c>
      <c r="M575">
        <f t="shared" si="111"/>
        <v>-1290</v>
      </c>
      <c r="N575">
        <f t="shared" si="112"/>
        <v>-861</v>
      </c>
      <c r="O575">
        <f t="shared" si="113"/>
        <v>-2049</v>
      </c>
      <c r="P575">
        <f t="shared" si="114"/>
        <v>-559</v>
      </c>
      <c r="Q575">
        <f t="shared" si="115"/>
        <v>-130</v>
      </c>
      <c r="R575">
        <f t="shared" si="116"/>
        <v>-1318</v>
      </c>
      <c r="S575">
        <f t="shared" si="117"/>
        <v>429</v>
      </c>
      <c r="T575">
        <f t="shared" si="118"/>
        <v>-759</v>
      </c>
      <c r="U575">
        <f t="shared" si="119"/>
        <v>-1188</v>
      </c>
      <c r="V575" s="9">
        <f t="shared" si="121"/>
        <v>731</v>
      </c>
      <c r="W575" s="9">
        <f t="shared" si="121"/>
        <v>1290</v>
      </c>
      <c r="X575" s="9">
        <f t="shared" si="121"/>
        <v>861</v>
      </c>
      <c r="Y575" s="9">
        <f t="shared" si="121"/>
        <v>2049</v>
      </c>
      <c r="Z575" s="9">
        <f t="shared" si="121"/>
        <v>559</v>
      </c>
      <c r="AA575" s="9">
        <f t="shared" si="120"/>
        <v>130</v>
      </c>
      <c r="AB575" s="9">
        <f t="shared" si="120"/>
        <v>1318</v>
      </c>
      <c r="AC575" s="9">
        <f t="shared" si="120"/>
        <v>429</v>
      </c>
      <c r="AD575" s="9">
        <f t="shared" si="120"/>
        <v>759</v>
      </c>
      <c r="AE575" s="9">
        <f t="shared" si="120"/>
        <v>1188</v>
      </c>
    </row>
    <row r="576" spans="2:31" x14ac:dyDescent="0.25">
      <c r="B576" s="6">
        <v>9489</v>
      </c>
      <c r="C576" s="6">
        <f t="shared" si="123"/>
        <v>10313</v>
      </c>
      <c r="D576" s="6">
        <v>8577</v>
      </c>
      <c r="E576" s="6">
        <f t="shared" si="124"/>
        <v>8148</v>
      </c>
      <c r="F576" s="6">
        <v>9247</v>
      </c>
      <c r="L576">
        <f t="shared" si="110"/>
        <v>-824</v>
      </c>
      <c r="M576">
        <f t="shared" si="111"/>
        <v>912</v>
      </c>
      <c r="N576">
        <f t="shared" si="112"/>
        <v>1341</v>
      </c>
      <c r="O576">
        <f t="shared" si="113"/>
        <v>242</v>
      </c>
      <c r="P576">
        <f t="shared" si="114"/>
        <v>1736</v>
      </c>
      <c r="Q576">
        <f t="shared" si="115"/>
        <v>2165</v>
      </c>
      <c r="R576">
        <f t="shared" si="116"/>
        <v>1066</v>
      </c>
      <c r="S576">
        <f t="shared" si="117"/>
        <v>429</v>
      </c>
      <c r="T576">
        <f t="shared" si="118"/>
        <v>-670</v>
      </c>
      <c r="U576">
        <f t="shared" si="119"/>
        <v>-1099</v>
      </c>
      <c r="V576" s="9">
        <f t="shared" si="121"/>
        <v>824</v>
      </c>
      <c r="W576" s="9">
        <f t="shared" si="121"/>
        <v>912</v>
      </c>
      <c r="X576" s="9">
        <f t="shared" si="121"/>
        <v>1341</v>
      </c>
      <c r="Y576" s="9">
        <f t="shared" si="121"/>
        <v>242</v>
      </c>
      <c r="Z576" s="9">
        <f t="shared" si="121"/>
        <v>1736</v>
      </c>
      <c r="AA576" s="9">
        <f t="shared" ref="AA576:AE626" si="125">IF(Q576&gt;=0,Q576,-Q576)</f>
        <v>2165</v>
      </c>
      <c r="AB576" s="9">
        <f t="shared" si="125"/>
        <v>1066</v>
      </c>
      <c r="AC576" s="9">
        <f t="shared" si="125"/>
        <v>429</v>
      </c>
      <c r="AD576" s="9">
        <f t="shared" si="125"/>
        <v>670</v>
      </c>
      <c r="AE576" s="9">
        <f t="shared" si="125"/>
        <v>1099</v>
      </c>
    </row>
    <row r="577" spans="2:31" x14ac:dyDescent="0.25">
      <c r="B577" s="6">
        <v>8876</v>
      </c>
      <c r="C577" s="6">
        <v>12394</v>
      </c>
      <c r="D577" s="6">
        <v>9958</v>
      </c>
      <c r="E577" s="6">
        <v>11529</v>
      </c>
      <c r="F577" s="6">
        <v>12267</v>
      </c>
      <c r="L577">
        <f t="shared" ref="L577:L640" si="126">B577-C577</f>
        <v>-3518</v>
      </c>
      <c r="M577">
        <f t="shared" ref="M577:M640" si="127">B577-D577</f>
        <v>-1082</v>
      </c>
      <c r="N577">
        <f t="shared" ref="N577:N640" si="128">B577-E577</f>
        <v>-2653</v>
      </c>
      <c r="O577">
        <f t="shared" ref="O577:O640" si="129">B577-F577</f>
        <v>-3391</v>
      </c>
      <c r="P577">
        <f t="shared" ref="P577:P640" si="130">C577-D577</f>
        <v>2436</v>
      </c>
      <c r="Q577">
        <f t="shared" ref="Q577:Q640" si="131">C577-E577</f>
        <v>865</v>
      </c>
      <c r="R577">
        <f t="shared" ref="R577:R640" si="132">C577-F577</f>
        <v>127</v>
      </c>
      <c r="S577">
        <f t="shared" ref="S577:S640" si="133">D577-E577</f>
        <v>-1571</v>
      </c>
      <c r="T577">
        <f t="shared" ref="T577:T640" si="134">D577-F577</f>
        <v>-2309</v>
      </c>
      <c r="U577">
        <f t="shared" ref="U577:U640" si="135">E577-F577</f>
        <v>-738</v>
      </c>
      <c r="V577" s="9">
        <f t="shared" ref="V577:Z627" si="136">IF(L577&gt;=0,L577,-L577)</f>
        <v>3518</v>
      </c>
      <c r="W577" s="9">
        <f t="shared" si="136"/>
        <v>1082</v>
      </c>
      <c r="X577" s="9">
        <f t="shared" si="136"/>
        <v>2653</v>
      </c>
      <c r="Y577" s="9">
        <f t="shared" si="136"/>
        <v>3391</v>
      </c>
      <c r="Z577" s="9">
        <f t="shared" si="136"/>
        <v>2436</v>
      </c>
      <c r="AA577" s="9">
        <f t="shared" si="125"/>
        <v>865</v>
      </c>
      <c r="AB577" s="9">
        <f t="shared" si="125"/>
        <v>127</v>
      </c>
      <c r="AC577" s="9">
        <f t="shared" si="125"/>
        <v>1571</v>
      </c>
      <c r="AD577" s="9">
        <f t="shared" si="125"/>
        <v>2309</v>
      </c>
      <c r="AE577" s="9">
        <f t="shared" si="125"/>
        <v>738</v>
      </c>
    </row>
    <row r="578" spans="2:31" x14ac:dyDescent="0.25">
      <c r="B578" s="6">
        <v>5348</v>
      </c>
      <c r="C578" s="6">
        <v>7984</v>
      </c>
      <c r="D578" s="6">
        <v>4577</v>
      </c>
      <c r="E578" s="6">
        <f t="shared" si="124"/>
        <v>4148</v>
      </c>
      <c r="F578" s="6">
        <f t="shared" si="122"/>
        <v>5148</v>
      </c>
      <c r="L578">
        <f t="shared" si="126"/>
        <v>-2636</v>
      </c>
      <c r="M578">
        <f t="shared" si="127"/>
        <v>771</v>
      </c>
      <c r="N578">
        <f t="shared" si="128"/>
        <v>1200</v>
      </c>
      <c r="O578">
        <f t="shared" si="129"/>
        <v>200</v>
      </c>
      <c r="P578">
        <f t="shared" si="130"/>
        <v>3407</v>
      </c>
      <c r="Q578">
        <f t="shared" si="131"/>
        <v>3836</v>
      </c>
      <c r="R578">
        <f t="shared" si="132"/>
        <v>2836</v>
      </c>
      <c r="S578">
        <f t="shared" si="133"/>
        <v>429</v>
      </c>
      <c r="T578">
        <f t="shared" si="134"/>
        <v>-571</v>
      </c>
      <c r="U578">
        <f t="shared" si="135"/>
        <v>-1000</v>
      </c>
      <c r="V578" s="9">
        <f t="shared" si="136"/>
        <v>2636</v>
      </c>
      <c r="W578" s="9">
        <f t="shared" si="136"/>
        <v>771</v>
      </c>
      <c r="X578" s="9">
        <f t="shared" si="136"/>
        <v>1200</v>
      </c>
      <c r="Y578" s="9">
        <f t="shared" si="136"/>
        <v>200</v>
      </c>
      <c r="Z578" s="9">
        <f t="shared" si="136"/>
        <v>3407</v>
      </c>
      <c r="AA578" s="9">
        <f t="shared" si="125"/>
        <v>3836</v>
      </c>
      <c r="AB578" s="9">
        <f t="shared" si="125"/>
        <v>2836</v>
      </c>
      <c r="AC578" s="9">
        <f t="shared" si="125"/>
        <v>429</v>
      </c>
      <c r="AD578" s="9">
        <f t="shared" si="125"/>
        <v>571</v>
      </c>
      <c r="AE578" s="9">
        <f t="shared" si="125"/>
        <v>1000</v>
      </c>
    </row>
    <row r="579" spans="2:31" x14ac:dyDescent="0.25">
      <c r="B579" s="6">
        <v>5477</v>
      </c>
      <c r="C579" s="6">
        <v>6944</v>
      </c>
      <c r="D579" s="6">
        <v>4389</v>
      </c>
      <c r="E579" s="6">
        <v>5789</v>
      </c>
      <c r="F579" s="6">
        <f t="shared" si="122"/>
        <v>6789</v>
      </c>
      <c r="L579">
        <f t="shared" si="126"/>
        <v>-1467</v>
      </c>
      <c r="M579">
        <f t="shared" si="127"/>
        <v>1088</v>
      </c>
      <c r="N579">
        <f t="shared" si="128"/>
        <v>-312</v>
      </c>
      <c r="O579">
        <f t="shared" si="129"/>
        <v>-1312</v>
      </c>
      <c r="P579">
        <f t="shared" si="130"/>
        <v>2555</v>
      </c>
      <c r="Q579">
        <f t="shared" si="131"/>
        <v>1155</v>
      </c>
      <c r="R579">
        <f t="shared" si="132"/>
        <v>155</v>
      </c>
      <c r="S579">
        <f t="shared" si="133"/>
        <v>-1400</v>
      </c>
      <c r="T579">
        <f t="shared" si="134"/>
        <v>-2400</v>
      </c>
      <c r="U579">
        <f t="shared" si="135"/>
        <v>-1000</v>
      </c>
      <c r="V579" s="9">
        <f t="shared" si="136"/>
        <v>1467</v>
      </c>
      <c r="W579" s="9">
        <f t="shared" si="136"/>
        <v>1088</v>
      </c>
      <c r="X579" s="9">
        <f t="shared" si="136"/>
        <v>312</v>
      </c>
      <c r="Y579" s="9">
        <f t="shared" si="136"/>
        <v>1312</v>
      </c>
      <c r="Z579" s="9">
        <f t="shared" si="136"/>
        <v>2555</v>
      </c>
      <c r="AA579" s="9">
        <f t="shared" si="125"/>
        <v>1155</v>
      </c>
      <c r="AB579" s="9">
        <f t="shared" si="125"/>
        <v>155</v>
      </c>
      <c r="AC579" s="9">
        <f t="shared" si="125"/>
        <v>1400</v>
      </c>
      <c r="AD579" s="9">
        <f t="shared" si="125"/>
        <v>2400</v>
      </c>
      <c r="AE579" s="9">
        <f t="shared" si="125"/>
        <v>1000</v>
      </c>
    </row>
    <row r="580" spans="2:31" x14ac:dyDescent="0.25">
      <c r="B580" s="6">
        <v>6874</v>
      </c>
      <c r="C580" s="6">
        <v>8764</v>
      </c>
      <c r="D580" s="6">
        <v>6974</v>
      </c>
      <c r="E580" s="6">
        <f t="shared" si="124"/>
        <v>6545</v>
      </c>
      <c r="F580" s="6">
        <f t="shared" si="122"/>
        <v>7545</v>
      </c>
      <c r="L580">
        <f t="shared" si="126"/>
        <v>-1890</v>
      </c>
      <c r="M580">
        <f t="shared" si="127"/>
        <v>-100</v>
      </c>
      <c r="N580">
        <f t="shared" si="128"/>
        <v>329</v>
      </c>
      <c r="O580">
        <f t="shared" si="129"/>
        <v>-671</v>
      </c>
      <c r="P580">
        <f t="shared" si="130"/>
        <v>1790</v>
      </c>
      <c r="Q580">
        <f t="shared" si="131"/>
        <v>2219</v>
      </c>
      <c r="R580">
        <f t="shared" si="132"/>
        <v>1219</v>
      </c>
      <c r="S580">
        <f t="shared" si="133"/>
        <v>429</v>
      </c>
      <c r="T580">
        <f t="shared" si="134"/>
        <v>-571</v>
      </c>
      <c r="U580">
        <f t="shared" si="135"/>
        <v>-1000</v>
      </c>
      <c r="V580" s="9">
        <f t="shared" si="136"/>
        <v>1890</v>
      </c>
      <c r="W580" s="9">
        <f t="shared" si="136"/>
        <v>100</v>
      </c>
      <c r="X580" s="9">
        <f t="shared" si="136"/>
        <v>329</v>
      </c>
      <c r="Y580" s="9">
        <f t="shared" si="136"/>
        <v>671</v>
      </c>
      <c r="Z580" s="9">
        <f t="shared" si="136"/>
        <v>1790</v>
      </c>
      <c r="AA580" s="9">
        <f t="shared" si="125"/>
        <v>2219</v>
      </c>
      <c r="AB580" s="9">
        <f t="shared" si="125"/>
        <v>1219</v>
      </c>
      <c r="AC580" s="9">
        <f t="shared" si="125"/>
        <v>429</v>
      </c>
      <c r="AD580" s="9">
        <f t="shared" si="125"/>
        <v>571</v>
      </c>
      <c r="AE580" s="9">
        <f t="shared" si="125"/>
        <v>1000</v>
      </c>
    </row>
    <row r="581" spans="2:31" x14ac:dyDescent="0.25">
      <c r="B581" s="6">
        <v>9857</v>
      </c>
      <c r="C581" s="6">
        <v>12897</v>
      </c>
      <c r="D581" s="6">
        <v>10287</v>
      </c>
      <c r="E581" s="6">
        <f t="shared" si="124"/>
        <v>9858</v>
      </c>
      <c r="F581" s="6">
        <v>11037</v>
      </c>
      <c r="L581">
        <f t="shared" si="126"/>
        <v>-3040</v>
      </c>
      <c r="M581">
        <f t="shared" si="127"/>
        <v>-430</v>
      </c>
      <c r="N581">
        <f t="shared" si="128"/>
        <v>-1</v>
      </c>
      <c r="O581">
        <f t="shared" si="129"/>
        <v>-1180</v>
      </c>
      <c r="P581">
        <f t="shared" si="130"/>
        <v>2610</v>
      </c>
      <c r="Q581">
        <f t="shared" si="131"/>
        <v>3039</v>
      </c>
      <c r="R581">
        <f t="shared" si="132"/>
        <v>1860</v>
      </c>
      <c r="S581">
        <f t="shared" si="133"/>
        <v>429</v>
      </c>
      <c r="T581">
        <f t="shared" si="134"/>
        <v>-750</v>
      </c>
      <c r="U581">
        <f t="shared" si="135"/>
        <v>-1179</v>
      </c>
      <c r="V581" s="9">
        <f t="shared" si="136"/>
        <v>3040</v>
      </c>
      <c r="W581" s="9">
        <f t="shared" si="136"/>
        <v>430</v>
      </c>
      <c r="X581" s="9">
        <f t="shared" si="136"/>
        <v>1</v>
      </c>
      <c r="Y581" s="9">
        <f t="shared" si="136"/>
        <v>1180</v>
      </c>
      <c r="Z581" s="9">
        <f t="shared" si="136"/>
        <v>2610</v>
      </c>
      <c r="AA581" s="9">
        <f t="shared" si="125"/>
        <v>3039</v>
      </c>
      <c r="AB581" s="9">
        <f t="shared" si="125"/>
        <v>1860</v>
      </c>
      <c r="AC581" s="9">
        <f t="shared" si="125"/>
        <v>429</v>
      </c>
      <c r="AD581" s="9">
        <f t="shared" si="125"/>
        <v>750</v>
      </c>
      <c r="AE581" s="9">
        <f t="shared" si="125"/>
        <v>1179</v>
      </c>
    </row>
    <row r="582" spans="2:31" x14ac:dyDescent="0.25">
      <c r="B582" s="6">
        <v>5549</v>
      </c>
      <c r="C582" s="6">
        <v>7854</v>
      </c>
      <c r="D582" s="6">
        <v>6587</v>
      </c>
      <c r="E582" s="6">
        <v>8159</v>
      </c>
      <c r="F582" s="6">
        <v>8573</v>
      </c>
      <c r="L582">
        <f t="shared" si="126"/>
        <v>-2305</v>
      </c>
      <c r="M582">
        <f t="shared" si="127"/>
        <v>-1038</v>
      </c>
      <c r="N582">
        <f t="shared" si="128"/>
        <v>-2610</v>
      </c>
      <c r="O582">
        <f t="shared" si="129"/>
        <v>-3024</v>
      </c>
      <c r="P582">
        <f t="shared" si="130"/>
        <v>1267</v>
      </c>
      <c r="Q582">
        <f t="shared" si="131"/>
        <v>-305</v>
      </c>
      <c r="R582">
        <f t="shared" si="132"/>
        <v>-719</v>
      </c>
      <c r="S582">
        <f t="shared" si="133"/>
        <v>-1572</v>
      </c>
      <c r="T582">
        <f t="shared" si="134"/>
        <v>-1986</v>
      </c>
      <c r="U582">
        <f t="shared" si="135"/>
        <v>-414</v>
      </c>
      <c r="V582" s="9">
        <f t="shared" si="136"/>
        <v>2305</v>
      </c>
      <c r="W582" s="9">
        <f t="shared" si="136"/>
        <v>1038</v>
      </c>
      <c r="X582" s="9">
        <f t="shared" si="136"/>
        <v>2610</v>
      </c>
      <c r="Y582" s="9">
        <f t="shared" si="136"/>
        <v>3024</v>
      </c>
      <c r="Z582" s="9">
        <f t="shared" si="136"/>
        <v>1267</v>
      </c>
      <c r="AA582" s="9">
        <f t="shared" si="125"/>
        <v>305</v>
      </c>
      <c r="AB582" s="9">
        <f t="shared" si="125"/>
        <v>719</v>
      </c>
      <c r="AC582" s="9">
        <f t="shared" si="125"/>
        <v>1572</v>
      </c>
      <c r="AD582" s="9">
        <f t="shared" si="125"/>
        <v>1986</v>
      </c>
      <c r="AE582" s="9">
        <f t="shared" si="125"/>
        <v>414</v>
      </c>
    </row>
    <row r="583" spans="2:31" x14ac:dyDescent="0.25">
      <c r="B583" s="6">
        <v>6671</v>
      </c>
      <c r="C583" s="6">
        <v>8857</v>
      </c>
      <c r="D583" s="6">
        <v>8896</v>
      </c>
      <c r="E583" s="6">
        <v>11347</v>
      </c>
      <c r="F583" s="6">
        <v>13262</v>
      </c>
      <c r="L583">
        <f t="shared" si="126"/>
        <v>-2186</v>
      </c>
      <c r="M583">
        <f t="shared" si="127"/>
        <v>-2225</v>
      </c>
      <c r="N583">
        <f t="shared" si="128"/>
        <v>-4676</v>
      </c>
      <c r="O583">
        <f t="shared" si="129"/>
        <v>-6591</v>
      </c>
      <c r="P583">
        <f t="shared" si="130"/>
        <v>-39</v>
      </c>
      <c r="Q583">
        <f t="shared" si="131"/>
        <v>-2490</v>
      </c>
      <c r="R583">
        <f t="shared" si="132"/>
        <v>-4405</v>
      </c>
      <c r="S583">
        <f t="shared" si="133"/>
        <v>-2451</v>
      </c>
      <c r="T583">
        <f t="shared" si="134"/>
        <v>-4366</v>
      </c>
      <c r="U583">
        <f t="shared" si="135"/>
        <v>-1915</v>
      </c>
      <c r="V583" s="9">
        <f t="shared" si="136"/>
        <v>2186</v>
      </c>
      <c r="W583" s="9">
        <f t="shared" si="136"/>
        <v>2225</v>
      </c>
      <c r="X583" s="9">
        <f t="shared" si="136"/>
        <v>4676</v>
      </c>
      <c r="Y583" s="9">
        <f t="shared" si="136"/>
        <v>6591</v>
      </c>
      <c r="Z583" s="9">
        <f t="shared" si="136"/>
        <v>39</v>
      </c>
      <c r="AA583" s="9">
        <f t="shared" si="125"/>
        <v>2490</v>
      </c>
      <c r="AB583" s="9">
        <f t="shared" si="125"/>
        <v>4405</v>
      </c>
      <c r="AC583" s="9">
        <f t="shared" si="125"/>
        <v>2451</v>
      </c>
      <c r="AD583" s="9">
        <f t="shared" si="125"/>
        <v>4366</v>
      </c>
      <c r="AE583" s="9">
        <f t="shared" si="125"/>
        <v>1915</v>
      </c>
    </row>
    <row r="584" spans="2:31" x14ac:dyDescent="0.25">
      <c r="B584" s="6">
        <v>4324</v>
      </c>
      <c r="C584" s="6">
        <f t="shared" si="123"/>
        <v>5148</v>
      </c>
      <c r="D584" s="6">
        <v>6789</v>
      </c>
      <c r="E584" s="6">
        <v>8597</v>
      </c>
      <c r="F584" s="6">
        <f t="shared" si="122"/>
        <v>9597</v>
      </c>
      <c r="L584">
        <f t="shared" si="126"/>
        <v>-824</v>
      </c>
      <c r="M584">
        <f t="shared" si="127"/>
        <v>-2465</v>
      </c>
      <c r="N584">
        <f t="shared" si="128"/>
        <v>-4273</v>
      </c>
      <c r="O584">
        <f t="shared" si="129"/>
        <v>-5273</v>
      </c>
      <c r="P584">
        <f t="shared" si="130"/>
        <v>-1641</v>
      </c>
      <c r="Q584">
        <f t="shared" si="131"/>
        <v>-3449</v>
      </c>
      <c r="R584">
        <f t="shared" si="132"/>
        <v>-4449</v>
      </c>
      <c r="S584">
        <f t="shared" si="133"/>
        <v>-1808</v>
      </c>
      <c r="T584">
        <f t="shared" si="134"/>
        <v>-2808</v>
      </c>
      <c r="U584">
        <f t="shared" si="135"/>
        <v>-1000</v>
      </c>
      <c r="V584" s="9">
        <f t="shared" si="136"/>
        <v>824</v>
      </c>
      <c r="W584" s="9">
        <f t="shared" si="136"/>
        <v>2465</v>
      </c>
      <c r="X584" s="9">
        <f t="shared" si="136"/>
        <v>4273</v>
      </c>
      <c r="Y584" s="9">
        <f t="shared" si="136"/>
        <v>5273</v>
      </c>
      <c r="Z584" s="9">
        <f t="shared" si="136"/>
        <v>1641</v>
      </c>
      <c r="AA584" s="9">
        <f t="shared" si="125"/>
        <v>3449</v>
      </c>
      <c r="AB584" s="9">
        <f t="shared" si="125"/>
        <v>4449</v>
      </c>
      <c r="AC584" s="9">
        <f t="shared" si="125"/>
        <v>1808</v>
      </c>
      <c r="AD584" s="9">
        <f t="shared" si="125"/>
        <v>2808</v>
      </c>
      <c r="AE584" s="9">
        <f t="shared" si="125"/>
        <v>1000</v>
      </c>
    </row>
    <row r="585" spans="2:31" x14ac:dyDescent="0.25">
      <c r="B585" s="6">
        <v>2674</v>
      </c>
      <c r="C585" s="6">
        <f t="shared" si="123"/>
        <v>3498</v>
      </c>
      <c r="D585" s="6">
        <v>4437</v>
      </c>
      <c r="E585" s="6">
        <v>4598</v>
      </c>
      <c r="F585" s="6">
        <v>5847</v>
      </c>
      <c r="L585">
        <f t="shared" si="126"/>
        <v>-824</v>
      </c>
      <c r="M585">
        <f t="shared" si="127"/>
        <v>-1763</v>
      </c>
      <c r="N585">
        <f t="shared" si="128"/>
        <v>-1924</v>
      </c>
      <c r="O585">
        <f t="shared" si="129"/>
        <v>-3173</v>
      </c>
      <c r="P585">
        <f t="shared" si="130"/>
        <v>-939</v>
      </c>
      <c r="Q585">
        <f t="shared" si="131"/>
        <v>-1100</v>
      </c>
      <c r="R585">
        <f t="shared" si="132"/>
        <v>-2349</v>
      </c>
      <c r="S585">
        <f t="shared" si="133"/>
        <v>-161</v>
      </c>
      <c r="T585">
        <f t="shared" si="134"/>
        <v>-1410</v>
      </c>
      <c r="U585">
        <f t="shared" si="135"/>
        <v>-1249</v>
      </c>
      <c r="V585" s="9">
        <f t="shared" si="136"/>
        <v>824</v>
      </c>
      <c r="W585" s="9">
        <f t="shared" si="136"/>
        <v>1763</v>
      </c>
      <c r="X585" s="9">
        <f t="shared" si="136"/>
        <v>1924</v>
      </c>
      <c r="Y585" s="9">
        <f t="shared" si="136"/>
        <v>3173</v>
      </c>
      <c r="Z585" s="9">
        <f t="shared" si="136"/>
        <v>939</v>
      </c>
      <c r="AA585" s="9">
        <f t="shared" si="125"/>
        <v>1100</v>
      </c>
      <c r="AB585" s="9">
        <f t="shared" si="125"/>
        <v>2349</v>
      </c>
      <c r="AC585" s="9">
        <f t="shared" si="125"/>
        <v>161</v>
      </c>
      <c r="AD585" s="9">
        <f t="shared" si="125"/>
        <v>1410</v>
      </c>
      <c r="AE585" s="9">
        <f t="shared" si="125"/>
        <v>1249</v>
      </c>
    </row>
    <row r="586" spans="2:31" x14ac:dyDescent="0.25">
      <c r="B586" s="6">
        <v>7892</v>
      </c>
      <c r="C586" s="6">
        <v>10248</v>
      </c>
      <c r="D586" s="6">
        <v>8754</v>
      </c>
      <c r="E586" s="6">
        <f t="shared" si="124"/>
        <v>8325</v>
      </c>
      <c r="F586" s="6">
        <f t="shared" si="122"/>
        <v>9325</v>
      </c>
      <c r="L586">
        <f t="shared" si="126"/>
        <v>-2356</v>
      </c>
      <c r="M586">
        <f t="shared" si="127"/>
        <v>-862</v>
      </c>
      <c r="N586">
        <f t="shared" si="128"/>
        <v>-433</v>
      </c>
      <c r="O586">
        <f t="shared" si="129"/>
        <v>-1433</v>
      </c>
      <c r="P586">
        <f t="shared" si="130"/>
        <v>1494</v>
      </c>
      <c r="Q586">
        <f t="shared" si="131"/>
        <v>1923</v>
      </c>
      <c r="R586">
        <f t="shared" si="132"/>
        <v>923</v>
      </c>
      <c r="S586">
        <f t="shared" si="133"/>
        <v>429</v>
      </c>
      <c r="T586">
        <f t="shared" si="134"/>
        <v>-571</v>
      </c>
      <c r="U586">
        <f t="shared" si="135"/>
        <v>-1000</v>
      </c>
      <c r="V586" s="9">
        <f t="shared" si="136"/>
        <v>2356</v>
      </c>
      <c r="W586" s="9">
        <f t="shared" si="136"/>
        <v>862</v>
      </c>
      <c r="X586" s="9">
        <f t="shared" si="136"/>
        <v>433</v>
      </c>
      <c r="Y586" s="9">
        <f t="shared" si="136"/>
        <v>1433</v>
      </c>
      <c r="Z586" s="9">
        <f t="shared" si="136"/>
        <v>1494</v>
      </c>
      <c r="AA586" s="9">
        <f t="shared" si="125"/>
        <v>1923</v>
      </c>
      <c r="AB586" s="9">
        <f t="shared" si="125"/>
        <v>923</v>
      </c>
      <c r="AC586" s="9">
        <f t="shared" si="125"/>
        <v>429</v>
      </c>
      <c r="AD586" s="9">
        <f t="shared" si="125"/>
        <v>571</v>
      </c>
      <c r="AE586" s="9">
        <f t="shared" si="125"/>
        <v>1000</v>
      </c>
    </row>
    <row r="587" spans="2:31" x14ac:dyDescent="0.25">
      <c r="B587" s="6">
        <v>9544</v>
      </c>
      <c r="C587" s="6">
        <v>11397</v>
      </c>
      <c r="D587" s="6">
        <v>8845</v>
      </c>
      <c r="E587" s="6">
        <f t="shared" si="124"/>
        <v>8416</v>
      </c>
      <c r="F587" s="6">
        <v>9547</v>
      </c>
      <c r="L587">
        <f t="shared" si="126"/>
        <v>-1853</v>
      </c>
      <c r="M587">
        <f t="shared" si="127"/>
        <v>699</v>
      </c>
      <c r="N587">
        <f t="shared" si="128"/>
        <v>1128</v>
      </c>
      <c r="O587">
        <f t="shared" si="129"/>
        <v>-3</v>
      </c>
      <c r="P587">
        <f t="shared" si="130"/>
        <v>2552</v>
      </c>
      <c r="Q587">
        <f t="shared" si="131"/>
        <v>2981</v>
      </c>
      <c r="R587">
        <f t="shared" si="132"/>
        <v>1850</v>
      </c>
      <c r="S587">
        <f t="shared" si="133"/>
        <v>429</v>
      </c>
      <c r="T587">
        <f t="shared" si="134"/>
        <v>-702</v>
      </c>
      <c r="U587">
        <f t="shared" si="135"/>
        <v>-1131</v>
      </c>
      <c r="V587" s="9">
        <f t="shared" si="136"/>
        <v>1853</v>
      </c>
      <c r="W587" s="9">
        <f t="shared" si="136"/>
        <v>699</v>
      </c>
      <c r="X587" s="9">
        <f t="shared" si="136"/>
        <v>1128</v>
      </c>
      <c r="Y587" s="9">
        <f t="shared" si="136"/>
        <v>3</v>
      </c>
      <c r="Z587" s="9">
        <f t="shared" si="136"/>
        <v>2552</v>
      </c>
      <c r="AA587" s="9">
        <f t="shared" si="125"/>
        <v>2981</v>
      </c>
      <c r="AB587" s="9">
        <f t="shared" si="125"/>
        <v>1850</v>
      </c>
      <c r="AC587" s="9">
        <f t="shared" si="125"/>
        <v>429</v>
      </c>
      <c r="AD587" s="9">
        <f t="shared" si="125"/>
        <v>702</v>
      </c>
      <c r="AE587" s="9">
        <f t="shared" si="125"/>
        <v>1131</v>
      </c>
    </row>
    <row r="588" spans="2:31" x14ac:dyDescent="0.25">
      <c r="B588" s="6">
        <v>10285</v>
      </c>
      <c r="C588" s="6">
        <f t="shared" si="123"/>
        <v>11109</v>
      </c>
      <c r="D588" s="6">
        <v>7948</v>
      </c>
      <c r="E588" s="6">
        <f t="shared" si="124"/>
        <v>7519</v>
      </c>
      <c r="F588" s="6">
        <v>8812</v>
      </c>
      <c r="L588">
        <f t="shared" si="126"/>
        <v>-824</v>
      </c>
      <c r="M588">
        <f t="shared" si="127"/>
        <v>2337</v>
      </c>
      <c r="N588">
        <f t="shared" si="128"/>
        <v>2766</v>
      </c>
      <c r="O588">
        <f t="shared" si="129"/>
        <v>1473</v>
      </c>
      <c r="P588">
        <f t="shared" si="130"/>
        <v>3161</v>
      </c>
      <c r="Q588">
        <f t="shared" si="131"/>
        <v>3590</v>
      </c>
      <c r="R588">
        <f t="shared" si="132"/>
        <v>2297</v>
      </c>
      <c r="S588">
        <f t="shared" si="133"/>
        <v>429</v>
      </c>
      <c r="T588">
        <f t="shared" si="134"/>
        <v>-864</v>
      </c>
      <c r="U588">
        <f t="shared" si="135"/>
        <v>-1293</v>
      </c>
      <c r="V588" s="9">
        <f t="shared" si="136"/>
        <v>824</v>
      </c>
      <c r="W588" s="9">
        <f t="shared" si="136"/>
        <v>2337</v>
      </c>
      <c r="X588" s="9">
        <f t="shared" si="136"/>
        <v>2766</v>
      </c>
      <c r="Y588" s="9">
        <f t="shared" si="136"/>
        <v>1473</v>
      </c>
      <c r="Z588" s="9">
        <f t="shared" si="136"/>
        <v>3161</v>
      </c>
      <c r="AA588" s="9">
        <f t="shared" si="125"/>
        <v>3590</v>
      </c>
      <c r="AB588" s="9">
        <f t="shared" si="125"/>
        <v>2297</v>
      </c>
      <c r="AC588" s="9">
        <f t="shared" si="125"/>
        <v>429</v>
      </c>
      <c r="AD588" s="9">
        <f t="shared" si="125"/>
        <v>864</v>
      </c>
      <c r="AE588" s="9">
        <f t="shared" si="125"/>
        <v>1293</v>
      </c>
    </row>
    <row r="589" spans="2:31" x14ac:dyDescent="0.25">
      <c r="B589" s="6">
        <v>8947</v>
      </c>
      <c r="C589" s="6">
        <f t="shared" si="123"/>
        <v>9771</v>
      </c>
      <c r="D589" s="6">
        <v>10288</v>
      </c>
      <c r="E589" s="6">
        <f t="shared" si="124"/>
        <v>9859</v>
      </c>
      <c r="F589" s="6">
        <v>9978</v>
      </c>
      <c r="L589">
        <f t="shared" si="126"/>
        <v>-824</v>
      </c>
      <c r="M589">
        <f t="shared" si="127"/>
        <v>-1341</v>
      </c>
      <c r="N589">
        <f t="shared" si="128"/>
        <v>-912</v>
      </c>
      <c r="O589">
        <f t="shared" si="129"/>
        <v>-1031</v>
      </c>
      <c r="P589">
        <f t="shared" si="130"/>
        <v>-517</v>
      </c>
      <c r="Q589">
        <f t="shared" si="131"/>
        <v>-88</v>
      </c>
      <c r="R589">
        <f t="shared" si="132"/>
        <v>-207</v>
      </c>
      <c r="S589">
        <f t="shared" si="133"/>
        <v>429</v>
      </c>
      <c r="T589">
        <f t="shared" si="134"/>
        <v>310</v>
      </c>
      <c r="U589">
        <f t="shared" si="135"/>
        <v>-119</v>
      </c>
      <c r="V589" s="9">
        <f t="shared" si="136"/>
        <v>824</v>
      </c>
      <c r="W589" s="9">
        <f t="shared" si="136"/>
        <v>1341</v>
      </c>
      <c r="X589" s="9">
        <f t="shared" si="136"/>
        <v>912</v>
      </c>
      <c r="Y589" s="9">
        <f t="shared" si="136"/>
        <v>1031</v>
      </c>
      <c r="Z589" s="9">
        <f t="shared" si="136"/>
        <v>517</v>
      </c>
      <c r="AA589" s="9">
        <f t="shared" si="125"/>
        <v>88</v>
      </c>
      <c r="AB589" s="9">
        <f t="shared" si="125"/>
        <v>207</v>
      </c>
      <c r="AC589" s="9">
        <f t="shared" si="125"/>
        <v>429</v>
      </c>
      <c r="AD589" s="9">
        <f t="shared" si="125"/>
        <v>310</v>
      </c>
      <c r="AE589" s="9">
        <f t="shared" si="125"/>
        <v>119</v>
      </c>
    </row>
    <row r="590" spans="2:31" x14ac:dyDescent="0.25">
      <c r="B590" s="6">
        <v>10389</v>
      </c>
      <c r="C590" s="6">
        <v>13897</v>
      </c>
      <c r="D590" s="6">
        <v>10258</v>
      </c>
      <c r="E590" s="6">
        <v>12394</v>
      </c>
      <c r="F590" s="6">
        <v>13424</v>
      </c>
      <c r="L590">
        <f t="shared" si="126"/>
        <v>-3508</v>
      </c>
      <c r="M590">
        <f t="shared" si="127"/>
        <v>131</v>
      </c>
      <c r="N590">
        <f t="shared" si="128"/>
        <v>-2005</v>
      </c>
      <c r="O590">
        <f t="shared" si="129"/>
        <v>-3035</v>
      </c>
      <c r="P590">
        <f t="shared" si="130"/>
        <v>3639</v>
      </c>
      <c r="Q590">
        <f t="shared" si="131"/>
        <v>1503</v>
      </c>
      <c r="R590">
        <f t="shared" si="132"/>
        <v>473</v>
      </c>
      <c r="S590">
        <f t="shared" si="133"/>
        <v>-2136</v>
      </c>
      <c r="T590">
        <f t="shared" si="134"/>
        <v>-3166</v>
      </c>
      <c r="U590">
        <f t="shared" si="135"/>
        <v>-1030</v>
      </c>
      <c r="V590" s="9">
        <f t="shared" si="136"/>
        <v>3508</v>
      </c>
      <c r="W590" s="9">
        <f t="shared" si="136"/>
        <v>131</v>
      </c>
      <c r="X590" s="9">
        <f t="shared" si="136"/>
        <v>2005</v>
      </c>
      <c r="Y590" s="9">
        <f t="shared" si="136"/>
        <v>3035</v>
      </c>
      <c r="Z590" s="9">
        <f t="shared" si="136"/>
        <v>3639</v>
      </c>
      <c r="AA590" s="9">
        <f t="shared" si="125"/>
        <v>1503</v>
      </c>
      <c r="AB590" s="9">
        <f t="shared" si="125"/>
        <v>473</v>
      </c>
      <c r="AC590" s="9">
        <f t="shared" si="125"/>
        <v>2136</v>
      </c>
      <c r="AD590" s="9">
        <f t="shared" si="125"/>
        <v>3166</v>
      </c>
      <c r="AE590" s="9">
        <f t="shared" si="125"/>
        <v>1030</v>
      </c>
    </row>
    <row r="591" spans="2:31" x14ac:dyDescent="0.25">
      <c r="B591" s="6">
        <v>11289</v>
      </c>
      <c r="C591" s="6">
        <f t="shared" si="123"/>
        <v>12113</v>
      </c>
      <c r="D591" s="6">
        <v>9548</v>
      </c>
      <c r="E591" s="6">
        <v>10298</v>
      </c>
      <c r="F591" s="6">
        <v>12573</v>
      </c>
      <c r="L591">
        <f t="shared" si="126"/>
        <v>-824</v>
      </c>
      <c r="M591">
        <f t="shared" si="127"/>
        <v>1741</v>
      </c>
      <c r="N591">
        <f t="shared" si="128"/>
        <v>991</v>
      </c>
      <c r="O591">
        <f t="shared" si="129"/>
        <v>-1284</v>
      </c>
      <c r="P591">
        <f t="shared" si="130"/>
        <v>2565</v>
      </c>
      <c r="Q591">
        <f t="shared" si="131"/>
        <v>1815</v>
      </c>
      <c r="R591">
        <f t="shared" si="132"/>
        <v>-460</v>
      </c>
      <c r="S591">
        <f t="shared" si="133"/>
        <v>-750</v>
      </c>
      <c r="T591">
        <f t="shared" si="134"/>
        <v>-3025</v>
      </c>
      <c r="U591">
        <f t="shared" si="135"/>
        <v>-2275</v>
      </c>
      <c r="V591" s="9">
        <f t="shared" si="136"/>
        <v>824</v>
      </c>
      <c r="W591" s="9">
        <f t="shared" si="136"/>
        <v>1741</v>
      </c>
      <c r="X591" s="9">
        <f t="shared" si="136"/>
        <v>991</v>
      </c>
      <c r="Y591" s="9">
        <f t="shared" si="136"/>
        <v>1284</v>
      </c>
      <c r="Z591" s="9">
        <f t="shared" si="136"/>
        <v>2565</v>
      </c>
      <c r="AA591" s="9">
        <f t="shared" si="125"/>
        <v>1815</v>
      </c>
      <c r="AB591" s="9">
        <f t="shared" si="125"/>
        <v>460</v>
      </c>
      <c r="AC591" s="9">
        <f t="shared" si="125"/>
        <v>750</v>
      </c>
      <c r="AD591" s="9">
        <f t="shared" si="125"/>
        <v>3025</v>
      </c>
      <c r="AE591" s="9">
        <f t="shared" si="125"/>
        <v>2275</v>
      </c>
    </row>
    <row r="592" spans="2:31" x14ac:dyDescent="0.25">
      <c r="B592" s="6">
        <v>8527</v>
      </c>
      <c r="C592" s="6">
        <f t="shared" si="123"/>
        <v>9351</v>
      </c>
      <c r="D592" s="6">
        <v>8754</v>
      </c>
      <c r="E592" s="6">
        <f t="shared" si="124"/>
        <v>8325</v>
      </c>
      <c r="F592" s="6">
        <f t="shared" si="122"/>
        <v>9325</v>
      </c>
      <c r="L592">
        <f t="shared" si="126"/>
        <v>-824</v>
      </c>
      <c r="M592">
        <f t="shared" si="127"/>
        <v>-227</v>
      </c>
      <c r="N592">
        <f t="shared" si="128"/>
        <v>202</v>
      </c>
      <c r="O592">
        <f t="shared" si="129"/>
        <v>-798</v>
      </c>
      <c r="P592">
        <f t="shared" si="130"/>
        <v>597</v>
      </c>
      <c r="Q592">
        <f t="shared" si="131"/>
        <v>1026</v>
      </c>
      <c r="R592">
        <f t="shared" si="132"/>
        <v>26</v>
      </c>
      <c r="S592">
        <f t="shared" si="133"/>
        <v>429</v>
      </c>
      <c r="T592">
        <f t="shared" si="134"/>
        <v>-571</v>
      </c>
      <c r="U592">
        <f t="shared" si="135"/>
        <v>-1000</v>
      </c>
      <c r="V592" s="9">
        <f t="shared" si="136"/>
        <v>824</v>
      </c>
      <c r="W592" s="9">
        <f t="shared" si="136"/>
        <v>227</v>
      </c>
      <c r="X592" s="9">
        <f t="shared" si="136"/>
        <v>202</v>
      </c>
      <c r="Y592" s="9">
        <f t="shared" si="136"/>
        <v>798</v>
      </c>
      <c r="Z592" s="9">
        <f t="shared" si="136"/>
        <v>597</v>
      </c>
      <c r="AA592" s="9">
        <f t="shared" si="125"/>
        <v>1026</v>
      </c>
      <c r="AB592" s="9">
        <f t="shared" si="125"/>
        <v>26</v>
      </c>
      <c r="AC592" s="9">
        <f t="shared" si="125"/>
        <v>429</v>
      </c>
      <c r="AD592" s="9">
        <f t="shared" si="125"/>
        <v>571</v>
      </c>
      <c r="AE592" s="9">
        <f t="shared" si="125"/>
        <v>1000</v>
      </c>
    </row>
    <row r="593" spans="2:31" x14ac:dyDescent="0.25">
      <c r="B593" s="6">
        <v>5479</v>
      </c>
      <c r="C593" s="6">
        <v>7428</v>
      </c>
      <c r="D593" s="6">
        <v>8857</v>
      </c>
      <c r="E593" s="6">
        <v>9527</v>
      </c>
      <c r="F593" s="6">
        <f t="shared" si="122"/>
        <v>10527</v>
      </c>
      <c r="L593">
        <f t="shared" si="126"/>
        <v>-1949</v>
      </c>
      <c r="M593">
        <f t="shared" si="127"/>
        <v>-3378</v>
      </c>
      <c r="N593">
        <f t="shared" si="128"/>
        <v>-4048</v>
      </c>
      <c r="O593">
        <f t="shared" si="129"/>
        <v>-5048</v>
      </c>
      <c r="P593">
        <f t="shared" si="130"/>
        <v>-1429</v>
      </c>
      <c r="Q593">
        <f t="shared" si="131"/>
        <v>-2099</v>
      </c>
      <c r="R593">
        <f t="shared" si="132"/>
        <v>-3099</v>
      </c>
      <c r="S593">
        <f t="shared" si="133"/>
        <v>-670</v>
      </c>
      <c r="T593">
        <f t="shared" si="134"/>
        <v>-1670</v>
      </c>
      <c r="U593">
        <f t="shared" si="135"/>
        <v>-1000</v>
      </c>
      <c r="V593" s="9">
        <f t="shared" si="136"/>
        <v>1949</v>
      </c>
      <c r="W593" s="9">
        <f t="shared" si="136"/>
        <v>3378</v>
      </c>
      <c r="X593" s="9">
        <f t="shared" si="136"/>
        <v>4048</v>
      </c>
      <c r="Y593" s="9">
        <f t="shared" si="136"/>
        <v>5048</v>
      </c>
      <c r="Z593" s="9">
        <f t="shared" si="136"/>
        <v>1429</v>
      </c>
      <c r="AA593" s="9">
        <f t="shared" si="125"/>
        <v>2099</v>
      </c>
      <c r="AB593" s="9">
        <f t="shared" si="125"/>
        <v>3099</v>
      </c>
      <c r="AC593" s="9">
        <f t="shared" si="125"/>
        <v>670</v>
      </c>
      <c r="AD593" s="9">
        <f t="shared" si="125"/>
        <v>1670</v>
      </c>
      <c r="AE593" s="9">
        <f t="shared" si="125"/>
        <v>1000</v>
      </c>
    </row>
    <row r="594" spans="2:31" x14ac:dyDescent="0.25">
      <c r="B594" s="6">
        <v>6857</v>
      </c>
      <c r="C594" s="6">
        <f t="shared" si="123"/>
        <v>7681</v>
      </c>
      <c r="D594" s="6">
        <v>7946</v>
      </c>
      <c r="E594" s="6">
        <f t="shared" si="124"/>
        <v>7517</v>
      </c>
      <c r="F594" s="6">
        <f t="shared" si="122"/>
        <v>8517</v>
      </c>
      <c r="L594">
        <f t="shared" si="126"/>
        <v>-824</v>
      </c>
      <c r="M594">
        <f t="shared" si="127"/>
        <v>-1089</v>
      </c>
      <c r="N594">
        <f t="shared" si="128"/>
        <v>-660</v>
      </c>
      <c r="O594">
        <f t="shared" si="129"/>
        <v>-1660</v>
      </c>
      <c r="P594">
        <f t="shared" si="130"/>
        <v>-265</v>
      </c>
      <c r="Q594">
        <f t="shared" si="131"/>
        <v>164</v>
      </c>
      <c r="R594">
        <f t="shared" si="132"/>
        <v>-836</v>
      </c>
      <c r="S594">
        <f t="shared" si="133"/>
        <v>429</v>
      </c>
      <c r="T594">
        <f t="shared" si="134"/>
        <v>-571</v>
      </c>
      <c r="U594">
        <f t="shared" si="135"/>
        <v>-1000</v>
      </c>
      <c r="V594" s="9">
        <f t="shared" si="136"/>
        <v>824</v>
      </c>
      <c r="W594" s="9">
        <f t="shared" si="136"/>
        <v>1089</v>
      </c>
      <c r="X594" s="9">
        <f t="shared" si="136"/>
        <v>660</v>
      </c>
      <c r="Y594" s="9">
        <f t="shared" si="136"/>
        <v>1660</v>
      </c>
      <c r="Z594" s="9">
        <f t="shared" si="136"/>
        <v>265</v>
      </c>
      <c r="AA594" s="9">
        <f t="shared" si="125"/>
        <v>164</v>
      </c>
      <c r="AB594" s="9">
        <f t="shared" si="125"/>
        <v>836</v>
      </c>
      <c r="AC594" s="9">
        <f t="shared" si="125"/>
        <v>429</v>
      </c>
      <c r="AD594" s="9">
        <f t="shared" si="125"/>
        <v>571</v>
      </c>
      <c r="AE594" s="9">
        <f t="shared" si="125"/>
        <v>1000</v>
      </c>
    </row>
    <row r="595" spans="2:31" x14ac:dyDescent="0.25">
      <c r="B595" s="6">
        <v>8888</v>
      </c>
      <c r="C595" s="6">
        <v>9875</v>
      </c>
      <c r="D595" s="6">
        <v>8947</v>
      </c>
      <c r="E595" s="6">
        <v>10148</v>
      </c>
      <c r="F595" s="6">
        <v>10958</v>
      </c>
      <c r="L595">
        <f t="shared" si="126"/>
        <v>-987</v>
      </c>
      <c r="M595">
        <f t="shared" si="127"/>
        <v>-59</v>
      </c>
      <c r="N595">
        <f t="shared" si="128"/>
        <v>-1260</v>
      </c>
      <c r="O595">
        <f t="shared" si="129"/>
        <v>-2070</v>
      </c>
      <c r="P595">
        <f t="shared" si="130"/>
        <v>928</v>
      </c>
      <c r="Q595">
        <f t="shared" si="131"/>
        <v>-273</v>
      </c>
      <c r="R595">
        <f t="shared" si="132"/>
        <v>-1083</v>
      </c>
      <c r="S595">
        <f t="shared" si="133"/>
        <v>-1201</v>
      </c>
      <c r="T595">
        <f t="shared" si="134"/>
        <v>-2011</v>
      </c>
      <c r="U595">
        <f t="shared" si="135"/>
        <v>-810</v>
      </c>
      <c r="V595" s="9">
        <f t="shared" si="136"/>
        <v>987</v>
      </c>
      <c r="W595" s="9">
        <f t="shared" si="136"/>
        <v>59</v>
      </c>
      <c r="X595" s="9">
        <f t="shared" si="136"/>
        <v>1260</v>
      </c>
      <c r="Y595" s="9">
        <f t="shared" si="136"/>
        <v>2070</v>
      </c>
      <c r="Z595" s="9">
        <f t="shared" si="136"/>
        <v>928</v>
      </c>
      <c r="AA595" s="9">
        <f t="shared" si="125"/>
        <v>273</v>
      </c>
      <c r="AB595" s="9">
        <f t="shared" si="125"/>
        <v>1083</v>
      </c>
      <c r="AC595" s="9">
        <f t="shared" si="125"/>
        <v>1201</v>
      </c>
      <c r="AD595" s="9">
        <f t="shared" si="125"/>
        <v>2011</v>
      </c>
      <c r="AE595" s="9">
        <f t="shared" si="125"/>
        <v>810</v>
      </c>
    </row>
    <row r="596" spans="2:31" x14ac:dyDescent="0.25">
      <c r="B596" s="6">
        <v>9687</v>
      </c>
      <c r="C596" s="6">
        <f t="shared" si="123"/>
        <v>10511</v>
      </c>
      <c r="D596" s="6">
        <v>10571</v>
      </c>
      <c r="E596" s="6">
        <v>12859</v>
      </c>
      <c r="F596" s="6">
        <v>14257</v>
      </c>
      <c r="L596">
        <f t="shared" si="126"/>
        <v>-824</v>
      </c>
      <c r="M596">
        <f t="shared" si="127"/>
        <v>-884</v>
      </c>
      <c r="N596">
        <f t="shared" si="128"/>
        <v>-3172</v>
      </c>
      <c r="O596">
        <f t="shared" si="129"/>
        <v>-4570</v>
      </c>
      <c r="P596">
        <f t="shared" si="130"/>
        <v>-60</v>
      </c>
      <c r="Q596">
        <f t="shared" si="131"/>
        <v>-2348</v>
      </c>
      <c r="R596">
        <f t="shared" si="132"/>
        <v>-3746</v>
      </c>
      <c r="S596">
        <f t="shared" si="133"/>
        <v>-2288</v>
      </c>
      <c r="T596">
        <f t="shared" si="134"/>
        <v>-3686</v>
      </c>
      <c r="U596">
        <f t="shared" si="135"/>
        <v>-1398</v>
      </c>
      <c r="V596" s="9">
        <f t="shared" si="136"/>
        <v>824</v>
      </c>
      <c r="W596" s="9">
        <f t="shared" si="136"/>
        <v>884</v>
      </c>
      <c r="X596" s="9">
        <f t="shared" si="136"/>
        <v>3172</v>
      </c>
      <c r="Y596" s="9">
        <f t="shared" si="136"/>
        <v>4570</v>
      </c>
      <c r="Z596" s="9">
        <f t="shared" si="136"/>
        <v>60</v>
      </c>
      <c r="AA596" s="9">
        <f t="shared" si="125"/>
        <v>2348</v>
      </c>
      <c r="AB596" s="9">
        <f t="shared" si="125"/>
        <v>3746</v>
      </c>
      <c r="AC596" s="9">
        <f t="shared" si="125"/>
        <v>2288</v>
      </c>
      <c r="AD596" s="9">
        <f t="shared" si="125"/>
        <v>3686</v>
      </c>
      <c r="AE596" s="9">
        <f t="shared" si="125"/>
        <v>1398</v>
      </c>
    </row>
    <row r="597" spans="2:31" x14ac:dyDescent="0.25">
      <c r="B597" s="6">
        <v>12354</v>
      </c>
      <c r="C597" s="6">
        <v>15298</v>
      </c>
      <c r="D597" s="6">
        <v>11297</v>
      </c>
      <c r="E597" s="6">
        <v>13497</v>
      </c>
      <c r="F597" s="6">
        <v>13985</v>
      </c>
      <c r="L597">
        <f t="shared" si="126"/>
        <v>-2944</v>
      </c>
      <c r="M597">
        <f t="shared" si="127"/>
        <v>1057</v>
      </c>
      <c r="N597">
        <f t="shared" si="128"/>
        <v>-1143</v>
      </c>
      <c r="O597">
        <f t="shared" si="129"/>
        <v>-1631</v>
      </c>
      <c r="P597">
        <f t="shared" si="130"/>
        <v>4001</v>
      </c>
      <c r="Q597">
        <f t="shared" si="131"/>
        <v>1801</v>
      </c>
      <c r="R597">
        <f t="shared" si="132"/>
        <v>1313</v>
      </c>
      <c r="S597">
        <f t="shared" si="133"/>
        <v>-2200</v>
      </c>
      <c r="T597">
        <f t="shared" si="134"/>
        <v>-2688</v>
      </c>
      <c r="U597">
        <f t="shared" si="135"/>
        <v>-488</v>
      </c>
      <c r="V597" s="9">
        <f t="shared" si="136"/>
        <v>2944</v>
      </c>
      <c r="W597" s="9">
        <f t="shared" si="136"/>
        <v>1057</v>
      </c>
      <c r="X597" s="9">
        <f t="shared" si="136"/>
        <v>1143</v>
      </c>
      <c r="Y597" s="9">
        <f t="shared" si="136"/>
        <v>1631</v>
      </c>
      <c r="Z597" s="9">
        <f t="shared" si="136"/>
        <v>4001</v>
      </c>
      <c r="AA597" s="9">
        <f t="shared" si="125"/>
        <v>1801</v>
      </c>
      <c r="AB597" s="9">
        <f t="shared" si="125"/>
        <v>1313</v>
      </c>
      <c r="AC597" s="9">
        <f t="shared" si="125"/>
        <v>2200</v>
      </c>
      <c r="AD597" s="9">
        <f t="shared" si="125"/>
        <v>2688</v>
      </c>
      <c r="AE597" s="9">
        <f t="shared" si="125"/>
        <v>488</v>
      </c>
    </row>
    <row r="598" spans="2:31" x14ac:dyDescent="0.25">
      <c r="B598" s="6">
        <v>8947</v>
      </c>
      <c r="C598" s="6">
        <v>12278</v>
      </c>
      <c r="D598" s="6">
        <v>9527</v>
      </c>
      <c r="E598" s="6">
        <v>13975</v>
      </c>
      <c r="F598" s="6">
        <v>10387</v>
      </c>
      <c r="L598">
        <f t="shared" si="126"/>
        <v>-3331</v>
      </c>
      <c r="M598">
        <f t="shared" si="127"/>
        <v>-580</v>
      </c>
      <c r="N598">
        <f t="shared" si="128"/>
        <v>-5028</v>
      </c>
      <c r="O598">
        <f t="shared" si="129"/>
        <v>-1440</v>
      </c>
      <c r="P598">
        <f t="shared" si="130"/>
        <v>2751</v>
      </c>
      <c r="Q598">
        <f t="shared" si="131"/>
        <v>-1697</v>
      </c>
      <c r="R598">
        <f t="shared" si="132"/>
        <v>1891</v>
      </c>
      <c r="S598">
        <f t="shared" si="133"/>
        <v>-4448</v>
      </c>
      <c r="T598">
        <f t="shared" si="134"/>
        <v>-860</v>
      </c>
      <c r="U598">
        <f t="shared" si="135"/>
        <v>3588</v>
      </c>
      <c r="V598" s="9">
        <f t="shared" si="136"/>
        <v>3331</v>
      </c>
      <c r="W598" s="9">
        <f t="shared" si="136"/>
        <v>580</v>
      </c>
      <c r="X598" s="9">
        <f t="shared" si="136"/>
        <v>5028</v>
      </c>
      <c r="Y598" s="9">
        <f t="shared" si="136"/>
        <v>1440</v>
      </c>
      <c r="Z598" s="9">
        <f t="shared" si="136"/>
        <v>2751</v>
      </c>
      <c r="AA598" s="9">
        <f t="shared" si="125"/>
        <v>1697</v>
      </c>
      <c r="AB598" s="9">
        <f t="shared" si="125"/>
        <v>1891</v>
      </c>
      <c r="AC598" s="9">
        <f t="shared" si="125"/>
        <v>4448</v>
      </c>
      <c r="AD598" s="9">
        <f t="shared" si="125"/>
        <v>860</v>
      </c>
      <c r="AE598" s="9">
        <f t="shared" si="125"/>
        <v>3588</v>
      </c>
    </row>
    <row r="599" spans="2:31" x14ac:dyDescent="0.25">
      <c r="B599" s="6">
        <v>7858</v>
      </c>
      <c r="C599" s="6">
        <f t="shared" si="123"/>
        <v>8682</v>
      </c>
      <c r="D599" s="6">
        <v>8577</v>
      </c>
      <c r="E599" s="6">
        <v>10289</v>
      </c>
      <c r="F599" s="6">
        <v>12263</v>
      </c>
      <c r="L599">
        <f t="shared" si="126"/>
        <v>-824</v>
      </c>
      <c r="M599">
        <f t="shared" si="127"/>
        <v>-719</v>
      </c>
      <c r="N599">
        <f t="shared" si="128"/>
        <v>-2431</v>
      </c>
      <c r="O599">
        <f t="shared" si="129"/>
        <v>-4405</v>
      </c>
      <c r="P599">
        <f t="shared" si="130"/>
        <v>105</v>
      </c>
      <c r="Q599">
        <f t="shared" si="131"/>
        <v>-1607</v>
      </c>
      <c r="R599">
        <f t="shared" si="132"/>
        <v>-3581</v>
      </c>
      <c r="S599">
        <f t="shared" si="133"/>
        <v>-1712</v>
      </c>
      <c r="T599">
        <f t="shared" si="134"/>
        <v>-3686</v>
      </c>
      <c r="U599">
        <f t="shared" si="135"/>
        <v>-1974</v>
      </c>
      <c r="V599" s="9">
        <f t="shared" si="136"/>
        <v>824</v>
      </c>
      <c r="W599" s="9">
        <f t="shared" si="136"/>
        <v>719</v>
      </c>
      <c r="X599" s="9">
        <f t="shared" si="136"/>
        <v>2431</v>
      </c>
      <c r="Y599" s="9">
        <f t="shared" si="136"/>
        <v>4405</v>
      </c>
      <c r="Z599" s="9">
        <f t="shared" si="136"/>
        <v>105</v>
      </c>
      <c r="AA599" s="9">
        <f t="shared" si="125"/>
        <v>1607</v>
      </c>
      <c r="AB599" s="9">
        <f t="shared" si="125"/>
        <v>3581</v>
      </c>
      <c r="AC599" s="9">
        <f t="shared" si="125"/>
        <v>1712</v>
      </c>
      <c r="AD599" s="9">
        <f t="shared" si="125"/>
        <v>3686</v>
      </c>
      <c r="AE599" s="9">
        <f t="shared" si="125"/>
        <v>1974</v>
      </c>
    </row>
    <row r="600" spans="2:31" x14ac:dyDescent="0.25">
      <c r="B600" s="6">
        <v>9456</v>
      </c>
      <c r="C600" s="6">
        <f t="shared" si="123"/>
        <v>10280</v>
      </c>
      <c r="D600" s="6">
        <v>8897</v>
      </c>
      <c r="E600" s="6">
        <v>11493</v>
      </c>
      <c r="F600" s="6">
        <v>11958</v>
      </c>
      <c r="L600">
        <f t="shared" si="126"/>
        <v>-824</v>
      </c>
      <c r="M600">
        <f t="shared" si="127"/>
        <v>559</v>
      </c>
      <c r="N600">
        <f t="shared" si="128"/>
        <v>-2037</v>
      </c>
      <c r="O600">
        <f t="shared" si="129"/>
        <v>-2502</v>
      </c>
      <c r="P600">
        <f t="shared" si="130"/>
        <v>1383</v>
      </c>
      <c r="Q600">
        <f t="shared" si="131"/>
        <v>-1213</v>
      </c>
      <c r="R600">
        <f t="shared" si="132"/>
        <v>-1678</v>
      </c>
      <c r="S600">
        <f t="shared" si="133"/>
        <v>-2596</v>
      </c>
      <c r="T600">
        <f t="shared" si="134"/>
        <v>-3061</v>
      </c>
      <c r="U600">
        <f t="shared" si="135"/>
        <v>-465</v>
      </c>
      <c r="V600" s="9">
        <f t="shared" si="136"/>
        <v>824</v>
      </c>
      <c r="W600" s="9">
        <f t="shared" si="136"/>
        <v>559</v>
      </c>
      <c r="X600" s="9">
        <f t="shared" si="136"/>
        <v>2037</v>
      </c>
      <c r="Y600" s="9">
        <f t="shared" si="136"/>
        <v>2502</v>
      </c>
      <c r="Z600" s="9">
        <f t="shared" si="136"/>
        <v>1383</v>
      </c>
      <c r="AA600" s="9">
        <f t="shared" si="125"/>
        <v>1213</v>
      </c>
      <c r="AB600" s="9">
        <f t="shared" si="125"/>
        <v>1678</v>
      </c>
      <c r="AC600" s="9">
        <f t="shared" si="125"/>
        <v>2596</v>
      </c>
      <c r="AD600" s="9">
        <f t="shared" si="125"/>
        <v>3061</v>
      </c>
      <c r="AE600" s="9">
        <f t="shared" si="125"/>
        <v>465</v>
      </c>
    </row>
    <row r="601" spans="2:31" x14ac:dyDescent="0.25">
      <c r="B601" s="7">
        <v>10231</v>
      </c>
      <c r="C601" s="7">
        <v>13121</v>
      </c>
      <c r="D601" s="7">
        <v>9341</v>
      </c>
      <c r="E601" s="7">
        <v>12134</v>
      </c>
      <c r="F601" s="7">
        <v>13411</v>
      </c>
      <c r="L601">
        <f t="shared" si="126"/>
        <v>-2890</v>
      </c>
      <c r="M601">
        <f t="shared" si="127"/>
        <v>890</v>
      </c>
      <c r="N601">
        <f t="shared" si="128"/>
        <v>-1903</v>
      </c>
      <c r="O601">
        <f t="shared" si="129"/>
        <v>-3180</v>
      </c>
      <c r="P601">
        <f t="shared" si="130"/>
        <v>3780</v>
      </c>
      <c r="Q601">
        <f t="shared" si="131"/>
        <v>987</v>
      </c>
      <c r="R601">
        <f t="shared" si="132"/>
        <v>-290</v>
      </c>
      <c r="S601">
        <f t="shared" si="133"/>
        <v>-2793</v>
      </c>
      <c r="T601">
        <f t="shared" si="134"/>
        <v>-4070</v>
      </c>
      <c r="U601">
        <f t="shared" si="135"/>
        <v>-1277</v>
      </c>
      <c r="V601" s="9">
        <f t="shared" si="136"/>
        <v>2890</v>
      </c>
      <c r="W601" s="9">
        <f t="shared" si="136"/>
        <v>890</v>
      </c>
      <c r="X601" s="9">
        <f t="shared" si="136"/>
        <v>1903</v>
      </c>
      <c r="Y601" s="9">
        <f t="shared" si="136"/>
        <v>3180</v>
      </c>
      <c r="Z601" s="9">
        <f t="shared" si="136"/>
        <v>3780</v>
      </c>
      <c r="AA601" s="9">
        <f t="shared" si="125"/>
        <v>987</v>
      </c>
      <c r="AB601" s="9">
        <f t="shared" si="125"/>
        <v>290</v>
      </c>
      <c r="AC601" s="9">
        <f t="shared" si="125"/>
        <v>2793</v>
      </c>
      <c r="AD601" s="9">
        <f t="shared" si="125"/>
        <v>4070</v>
      </c>
      <c r="AE601" s="9">
        <f t="shared" si="125"/>
        <v>1277</v>
      </c>
    </row>
    <row r="602" spans="2:31" x14ac:dyDescent="0.25">
      <c r="B602" s="6">
        <v>9985</v>
      </c>
      <c r="C602" s="6">
        <v>10354</v>
      </c>
      <c r="D602" s="6">
        <v>8454</v>
      </c>
      <c r="E602" s="6">
        <v>12325</v>
      </c>
      <c r="F602" s="6">
        <v>14254</v>
      </c>
      <c r="L602">
        <f t="shared" si="126"/>
        <v>-369</v>
      </c>
      <c r="M602">
        <f t="shared" si="127"/>
        <v>1531</v>
      </c>
      <c r="N602">
        <f t="shared" si="128"/>
        <v>-2340</v>
      </c>
      <c r="O602">
        <f t="shared" si="129"/>
        <v>-4269</v>
      </c>
      <c r="P602">
        <f t="shared" si="130"/>
        <v>1900</v>
      </c>
      <c r="Q602">
        <f t="shared" si="131"/>
        <v>-1971</v>
      </c>
      <c r="R602">
        <f t="shared" si="132"/>
        <v>-3900</v>
      </c>
      <c r="S602">
        <f t="shared" si="133"/>
        <v>-3871</v>
      </c>
      <c r="T602">
        <f t="shared" si="134"/>
        <v>-5800</v>
      </c>
      <c r="U602">
        <f t="shared" si="135"/>
        <v>-1929</v>
      </c>
      <c r="V602" s="9">
        <f t="shared" si="136"/>
        <v>369</v>
      </c>
      <c r="W602" s="9">
        <f t="shared" si="136"/>
        <v>1531</v>
      </c>
      <c r="X602" s="9">
        <f t="shared" si="136"/>
        <v>2340</v>
      </c>
      <c r="Y602" s="9">
        <f t="shared" si="136"/>
        <v>4269</v>
      </c>
      <c r="Z602" s="9">
        <f t="shared" si="136"/>
        <v>1900</v>
      </c>
      <c r="AA602" s="9">
        <f t="shared" si="125"/>
        <v>1971</v>
      </c>
      <c r="AB602" s="9">
        <f t="shared" si="125"/>
        <v>3900</v>
      </c>
      <c r="AC602" s="9">
        <f t="shared" si="125"/>
        <v>3871</v>
      </c>
      <c r="AD602" s="9">
        <f t="shared" si="125"/>
        <v>5800</v>
      </c>
      <c r="AE602" s="9">
        <f t="shared" si="125"/>
        <v>1929</v>
      </c>
    </row>
    <row r="603" spans="2:31" x14ac:dyDescent="0.25">
      <c r="B603" s="6">
        <v>11204</v>
      </c>
      <c r="C603" s="6">
        <v>12674</v>
      </c>
      <c r="D603" s="6">
        <v>8645</v>
      </c>
      <c r="E603" s="6">
        <v>12454</v>
      </c>
      <c r="F603" s="6">
        <v>14512</v>
      </c>
      <c r="L603">
        <f t="shared" si="126"/>
        <v>-1470</v>
      </c>
      <c r="M603">
        <f t="shared" si="127"/>
        <v>2559</v>
      </c>
      <c r="N603">
        <f t="shared" si="128"/>
        <v>-1250</v>
      </c>
      <c r="O603">
        <f t="shared" si="129"/>
        <v>-3308</v>
      </c>
      <c r="P603">
        <f t="shared" si="130"/>
        <v>4029</v>
      </c>
      <c r="Q603">
        <f t="shared" si="131"/>
        <v>220</v>
      </c>
      <c r="R603">
        <f t="shared" si="132"/>
        <v>-1838</v>
      </c>
      <c r="S603">
        <f t="shared" si="133"/>
        <v>-3809</v>
      </c>
      <c r="T603">
        <f t="shared" si="134"/>
        <v>-5867</v>
      </c>
      <c r="U603">
        <f t="shared" si="135"/>
        <v>-2058</v>
      </c>
      <c r="V603" s="9">
        <f t="shared" si="136"/>
        <v>1470</v>
      </c>
      <c r="W603" s="9">
        <f t="shared" si="136"/>
        <v>2559</v>
      </c>
      <c r="X603" s="9">
        <f t="shared" si="136"/>
        <v>1250</v>
      </c>
      <c r="Y603" s="9">
        <f t="shared" si="136"/>
        <v>3308</v>
      </c>
      <c r="Z603" s="9">
        <f t="shared" si="136"/>
        <v>4029</v>
      </c>
      <c r="AA603" s="9">
        <f t="shared" si="125"/>
        <v>220</v>
      </c>
      <c r="AB603" s="9">
        <f t="shared" si="125"/>
        <v>1838</v>
      </c>
      <c r="AC603" s="9">
        <f t="shared" si="125"/>
        <v>3809</v>
      </c>
      <c r="AD603" s="9">
        <f t="shared" si="125"/>
        <v>5867</v>
      </c>
      <c r="AE603" s="9">
        <f t="shared" si="125"/>
        <v>2058</v>
      </c>
    </row>
    <row r="604" spans="2:31" x14ac:dyDescent="0.25">
      <c r="B604" s="6">
        <v>8547</v>
      </c>
      <c r="C604" s="6">
        <v>9362</v>
      </c>
      <c r="D604" s="6">
        <v>6452</v>
      </c>
      <c r="E604" s="6">
        <v>8461</v>
      </c>
      <c r="F604" s="6">
        <v>9457</v>
      </c>
      <c r="L604">
        <f t="shared" si="126"/>
        <v>-815</v>
      </c>
      <c r="M604">
        <f t="shared" si="127"/>
        <v>2095</v>
      </c>
      <c r="N604">
        <f t="shared" si="128"/>
        <v>86</v>
      </c>
      <c r="O604">
        <f t="shared" si="129"/>
        <v>-910</v>
      </c>
      <c r="P604">
        <f t="shared" si="130"/>
        <v>2910</v>
      </c>
      <c r="Q604">
        <f t="shared" si="131"/>
        <v>901</v>
      </c>
      <c r="R604">
        <f t="shared" si="132"/>
        <v>-95</v>
      </c>
      <c r="S604">
        <f t="shared" si="133"/>
        <v>-2009</v>
      </c>
      <c r="T604">
        <f t="shared" si="134"/>
        <v>-3005</v>
      </c>
      <c r="U604">
        <f t="shared" si="135"/>
        <v>-996</v>
      </c>
      <c r="V604" s="9">
        <f t="shared" si="136"/>
        <v>815</v>
      </c>
      <c r="W604" s="9">
        <f t="shared" si="136"/>
        <v>2095</v>
      </c>
      <c r="X604" s="9">
        <f t="shared" si="136"/>
        <v>86</v>
      </c>
      <c r="Y604" s="9">
        <f t="shared" si="136"/>
        <v>910</v>
      </c>
      <c r="Z604" s="9">
        <f t="shared" si="136"/>
        <v>2910</v>
      </c>
      <c r="AA604" s="9">
        <f t="shared" si="125"/>
        <v>901</v>
      </c>
      <c r="AB604" s="9">
        <f t="shared" si="125"/>
        <v>95</v>
      </c>
      <c r="AC604" s="9">
        <f t="shared" si="125"/>
        <v>2009</v>
      </c>
      <c r="AD604" s="9">
        <f t="shared" si="125"/>
        <v>3005</v>
      </c>
      <c r="AE604" s="9">
        <f t="shared" si="125"/>
        <v>996</v>
      </c>
    </row>
    <row r="605" spans="2:31" x14ac:dyDescent="0.25">
      <c r="B605" s="6">
        <v>12340</v>
      </c>
      <c r="C605" s="6">
        <v>11517</v>
      </c>
      <c r="D605" s="6">
        <v>6482</v>
      </c>
      <c r="E605" s="6">
        <v>7515</v>
      </c>
      <c r="F605" s="6">
        <v>8779</v>
      </c>
      <c r="L605">
        <f t="shared" si="126"/>
        <v>823</v>
      </c>
      <c r="M605">
        <f t="shared" si="127"/>
        <v>5858</v>
      </c>
      <c r="N605">
        <f t="shared" si="128"/>
        <v>4825</v>
      </c>
      <c r="O605">
        <f t="shared" si="129"/>
        <v>3561</v>
      </c>
      <c r="P605">
        <f t="shared" si="130"/>
        <v>5035</v>
      </c>
      <c r="Q605">
        <f t="shared" si="131"/>
        <v>4002</v>
      </c>
      <c r="R605">
        <f t="shared" si="132"/>
        <v>2738</v>
      </c>
      <c r="S605">
        <f t="shared" si="133"/>
        <v>-1033</v>
      </c>
      <c r="T605">
        <f t="shared" si="134"/>
        <v>-2297</v>
      </c>
      <c r="U605">
        <f t="shared" si="135"/>
        <v>-1264</v>
      </c>
      <c r="V605" s="9">
        <f t="shared" si="136"/>
        <v>823</v>
      </c>
      <c r="W605" s="9">
        <f t="shared" si="136"/>
        <v>5858</v>
      </c>
      <c r="X605" s="9">
        <f t="shared" si="136"/>
        <v>4825</v>
      </c>
      <c r="Y605" s="9">
        <f t="shared" si="136"/>
        <v>3561</v>
      </c>
      <c r="Z605" s="9">
        <f t="shared" si="136"/>
        <v>5035</v>
      </c>
      <c r="AA605" s="9">
        <f t="shared" si="125"/>
        <v>4002</v>
      </c>
      <c r="AB605" s="9">
        <f t="shared" si="125"/>
        <v>2738</v>
      </c>
      <c r="AC605" s="9">
        <f t="shared" si="125"/>
        <v>1033</v>
      </c>
      <c r="AD605" s="9">
        <f t="shared" si="125"/>
        <v>2297</v>
      </c>
      <c r="AE605" s="9">
        <f t="shared" si="125"/>
        <v>1264</v>
      </c>
    </row>
    <row r="606" spans="2:31" x14ac:dyDescent="0.25">
      <c r="B606" s="6">
        <v>9845</v>
      </c>
      <c r="C606" s="6">
        <v>9917</v>
      </c>
      <c r="D606" s="6">
        <v>5642</v>
      </c>
      <c r="E606" s="6">
        <v>6548</v>
      </c>
      <c r="F606" s="6">
        <v>7812</v>
      </c>
      <c r="L606">
        <f t="shared" si="126"/>
        <v>-72</v>
      </c>
      <c r="M606">
        <f t="shared" si="127"/>
        <v>4203</v>
      </c>
      <c r="N606">
        <f t="shared" si="128"/>
        <v>3297</v>
      </c>
      <c r="O606">
        <f t="shared" si="129"/>
        <v>2033</v>
      </c>
      <c r="P606">
        <f t="shared" si="130"/>
        <v>4275</v>
      </c>
      <c r="Q606">
        <f t="shared" si="131"/>
        <v>3369</v>
      </c>
      <c r="R606">
        <f t="shared" si="132"/>
        <v>2105</v>
      </c>
      <c r="S606">
        <f t="shared" si="133"/>
        <v>-906</v>
      </c>
      <c r="T606">
        <f t="shared" si="134"/>
        <v>-2170</v>
      </c>
      <c r="U606">
        <f t="shared" si="135"/>
        <v>-1264</v>
      </c>
      <c r="V606" s="9">
        <f t="shared" si="136"/>
        <v>72</v>
      </c>
      <c r="W606" s="9">
        <f t="shared" si="136"/>
        <v>4203</v>
      </c>
      <c r="X606" s="9">
        <f t="shared" si="136"/>
        <v>3297</v>
      </c>
      <c r="Y606" s="9">
        <f t="shared" si="136"/>
        <v>2033</v>
      </c>
      <c r="Z606" s="9">
        <f t="shared" si="136"/>
        <v>4275</v>
      </c>
      <c r="AA606" s="9">
        <f t="shared" si="125"/>
        <v>3369</v>
      </c>
      <c r="AB606" s="9">
        <f t="shared" si="125"/>
        <v>2105</v>
      </c>
      <c r="AC606" s="9">
        <f t="shared" si="125"/>
        <v>906</v>
      </c>
      <c r="AD606" s="9">
        <f t="shared" si="125"/>
        <v>2170</v>
      </c>
      <c r="AE606" s="9">
        <f t="shared" si="125"/>
        <v>1264</v>
      </c>
    </row>
    <row r="607" spans="2:31" x14ac:dyDescent="0.25">
      <c r="B607" s="6">
        <v>9475</v>
      </c>
      <c r="C607" s="6">
        <v>8437</v>
      </c>
      <c r="D607" s="6">
        <v>6452</v>
      </c>
      <c r="E607" s="6">
        <v>8457</v>
      </c>
      <c r="F607" s="6">
        <v>10244</v>
      </c>
      <c r="L607">
        <f t="shared" si="126"/>
        <v>1038</v>
      </c>
      <c r="M607">
        <f t="shared" si="127"/>
        <v>3023</v>
      </c>
      <c r="N607">
        <f t="shared" si="128"/>
        <v>1018</v>
      </c>
      <c r="O607">
        <f t="shared" si="129"/>
        <v>-769</v>
      </c>
      <c r="P607">
        <f t="shared" si="130"/>
        <v>1985</v>
      </c>
      <c r="Q607">
        <f t="shared" si="131"/>
        <v>-20</v>
      </c>
      <c r="R607">
        <f t="shared" si="132"/>
        <v>-1807</v>
      </c>
      <c r="S607">
        <f t="shared" si="133"/>
        <v>-2005</v>
      </c>
      <c r="T607">
        <f t="shared" si="134"/>
        <v>-3792</v>
      </c>
      <c r="U607">
        <f t="shared" si="135"/>
        <v>-1787</v>
      </c>
      <c r="V607" s="9">
        <f t="shared" si="136"/>
        <v>1038</v>
      </c>
      <c r="W607" s="9">
        <f t="shared" si="136"/>
        <v>3023</v>
      </c>
      <c r="X607" s="9">
        <f t="shared" si="136"/>
        <v>1018</v>
      </c>
      <c r="Y607" s="9">
        <f t="shared" si="136"/>
        <v>769</v>
      </c>
      <c r="Z607" s="9">
        <f t="shared" si="136"/>
        <v>1985</v>
      </c>
      <c r="AA607" s="9">
        <f t="shared" si="125"/>
        <v>20</v>
      </c>
      <c r="AB607" s="9">
        <f t="shared" si="125"/>
        <v>1807</v>
      </c>
      <c r="AC607" s="9">
        <f t="shared" si="125"/>
        <v>2005</v>
      </c>
      <c r="AD607" s="9">
        <f t="shared" si="125"/>
        <v>3792</v>
      </c>
      <c r="AE607" s="9">
        <f t="shared" si="125"/>
        <v>1787</v>
      </c>
    </row>
    <row r="608" spans="2:31" x14ac:dyDescent="0.25">
      <c r="B608" s="6">
        <v>8547</v>
      </c>
      <c r="C608" s="6">
        <v>7618</v>
      </c>
      <c r="D608" s="6">
        <v>8524</v>
      </c>
      <c r="E608" s="6">
        <v>7542</v>
      </c>
      <c r="F608" s="6">
        <v>8806</v>
      </c>
      <c r="L608">
        <f t="shared" si="126"/>
        <v>929</v>
      </c>
      <c r="M608">
        <f t="shared" si="127"/>
        <v>23</v>
      </c>
      <c r="N608">
        <f t="shared" si="128"/>
        <v>1005</v>
      </c>
      <c r="O608">
        <f t="shared" si="129"/>
        <v>-259</v>
      </c>
      <c r="P608">
        <f t="shared" si="130"/>
        <v>-906</v>
      </c>
      <c r="Q608">
        <f t="shared" si="131"/>
        <v>76</v>
      </c>
      <c r="R608">
        <f t="shared" si="132"/>
        <v>-1188</v>
      </c>
      <c r="S608">
        <f t="shared" si="133"/>
        <v>982</v>
      </c>
      <c r="T608">
        <f t="shared" si="134"/>
        <v>-282</v>
      </c>
      <c r="U608">
        <f t="shared" si="135"/>
        <v>-1264</v>
      </c>
      <c r="V608" s="9">
        <f t="shared" si="136"/>
        <v>929</v>
      </c>
      <c r="W608" s="9">
        <f t="shared" si="136"/>
        <v>23</v>
      </c>
      <c r="X608" s="9">
        <f t="shared" si="136"/>
        <v>1005</v>
      </c>
      <c r="Y608" s="9">
        <f t="shared" si="136"/>
        <v>259</v>
      </c>
      <c r="Z608" s="9">
        <f t="shared" si="136"/>
        <v>906</v>
      </c>
      <c r="AA608" s="9">
        <f t="shared" si="125"/>
        <v>76</v>
      </c>
      <c r="AB608" s="9">
        <f t="shared" si="125"/>
        <v>1188</v>
      </c>
      <c r="AC608" s="9">
        <f t="shared" si="125"/>
        <v>982</v>
      </c>
      <c r="AD608" s="9">
        <f t="shared" si="125"/>
        <v>282</v>
      </c>
      <c r="AE608" s="9">
        <f t="shared" si="125"/>
        <v>1264</v>
      </c>
    </row>
    <row r="609" spans="2:31" x14ac:dyDescent="0.25">
      <c r="B609" s="6">
        <v>6587</v>
      </c>
      <c r="C609" s="6">
        <v>8264</v>
      </c>
      <c r="D609" s="6">
        <v>6545</v>
      </c>
      <c r="E609" s="6">
        <v>7548</v>
      </c>
      <c r="F609" s="6">
        <v>9245</v>
      </c>
      <c r="L609">
        <f t="shared" si="126"/>
        <v>-1677</v>
      </c>
      <c r="M609">
        <f t="shared" si="127"/>
        <v>42</v>
      </c>
      <c r="N609">
        <f t="shared" si="128"/>
        <v>-961</v>
      </c>
      <c r="O609">
        <f t="shared" si="129"/>
        <v>-2658</v>
      </c>
      <c r="P609">
        <f t="shared" si="130"/>
        <v>1719</v>
      </c>
      <c r="Q609">
        <f t="shared" si="131"/>
        <v>716</v>
      </c>
      <c r="R609">
        <f t="shared" si="132"/>
        <v>-981</v>
      </c>
      <c r="S609">
        <f t="shared" si="133"/>
        <v>-1003</v>
      </c>
      <c r="T609">
        <f t="shared" si="134"/>
        <v>-2700</v>
      </c>
      <c r="U609">
        <f t="shared" si="135"/>
        <v>-1697</v>
      </c>
      <c r="V609" s="9">
        <f t="shared" si="136"/>
        <v>1677</v>
      </c>
      <c r="W609" s="9">
        <f t="shared" si="136"/>
        <v>42</v>
      </c>
      <c r="X609" s="9">
        <f t="shared" si="136"/>
        <v>961</v>
      </c>
      <c r="Y609" s="9">
        <f t="shared" si="136"/>
        <v>2658</v>
      </c>
      <c r="Z609" s="9">
        <f t="shared" si="136"/>
        <v>1719</v>
      </c>
      <c r="AA609" s="9">
        <f t="shared" si="125"/>
        <v>716</v>
      </c>
      <c r="AB609" s="9">
        <f t="shared" si="125"/>
        <v>981</v>
      </c>
      <c r="AC609" s="9">
        <f t="shared" si="125"/>
        <v>1003</v>
      </c>
      <c r="AD609" s="9">
        <f t="shared" si="125"/>
        <v>2700</v>
      </c>
      <c r="AE609" s="9">
        <f t="shared" si="125"/>
        <v>1697</v>
      </c>
    </row>
    <row r="610" spans="2:31" x14ac:dyDescent="0.25">
      <c r="B610" s="6">
        <v>7548</v>
      </c>
      <c r="C610" s="6">
        <v>8047</v>
      </c>
      <c r="D610" s="6">
        <v>7892</v>
      </c>
      <c r="E610" s="6">
        <v>8524</v>
      </c>
      <c r="F610" s="6">
        <v>10645</v>
      </c>
      <c r="L610">
        <f t="shared" si="126"/>
        <v>-499</v>
      </c>
      <c r="M610">
        <f t="shared" si="127"/>
        <v>-344</v>
      </c>
      <c r="N610">
        <f t="shared" si="128"/>
        <v>-976</v>
      </c>
      <c r="O610">
        <f t="shared" si="129"/>
        <v>-3097</v>
      </c>
      <c r="P610">
        <f t="shared" si="130"/>
        <v>155</v>
      </c>
      <c r="Q610">
        <f t="shared" si="131"/>
        <v>-477</v>
      </c>
      <c r="R610">
        <f t="shared" si="132"/>
        <v>-2598</v>
      </c>
      <c r="S610">
        <f t="shared" si="133"/>
        <v>-632</v>
      </c>
      <c r="T610">
        <f t="shared" si="134"/>
        <v>-2753</v>
      </c>
      <c r="U610">
        <f t="shared" si="135"/>
        <v>-2121</v>
      </c>
      <c r="V610" s="9">
        <f t="shared" si="136"/>
        <v>499</v>
      </c>
      <c r="W610" s="9">
        <f t="shared" si="136"/>
        <v>344</v>
      </c>
      <c r="X610" s="9">
        <f t="shared" si="136"/>
        <v>976</v>
      </c>
      <c r="Y610" s="9">
        <f t="shared" si="136"/>
        <v>3097</v>
      </c>
      <c r="Z610" s="9">
        <f t="shared" si="136"/>
        <v>155</v>
      </c>
      <c r="AA610" s="9">
        <f t="shared" si="125"/>
        <v>477</v>
      </c>
      <c r="AB610" s="9">
        <f t="shared" si="125"/>
        <v>2598</v>
      </c>
      <c r="AC610" s="9">
        <f t="shared" si="125"/>
        <v>632</v>
      </c>
      <c r="AD610" s="9">
        <f t="shared" si="125"/>
        <v>2753</v>
      </c>
      <c r="AE610" s="9">
        <f t="shared" si="125"/>
        <v>2121</v>
      </c>
    </row>
    <row r="611" spans="2:31" x14ac:dyDescent="0.25">
      <c r="B611" s="6">
        <v>9752</v>
      </c>
      <c r="C611" s="6">
        <v>11159</v>
      </c>
      <c r="D611" s="6">
        <v>8452</v>
      </c>
      <c r="E611" s="6">
        <v>9542</v>
      </c>
      <c r="F611" s="6">
        <v>10806</v>
      </c>
      <c r="L611">
        <f t="shared" si="126"/>
        <v>-1407</v>
      </c>
      <c r="M611">
        <f t="shared" si="127"/>
        <v>1300</v>
      </c>
      <c r="N611">
        <f t="shared" si="128"/>
        <v>210</v>
      </c>
      <c r="O611">
        <f t="shared" si="129"/>
        <v>-1054</v>
      </c>
      <c r="P611">
        <f t="shared" si="130"/>
        <v>2707</v>
      </c>
      <c r="Q611">
        <f t="shared" si="131"/>
        <v>1617</v>
      </c>
      <c r="R611">
        <f t="shared" si="132"/>
        <v>353</v>
      </c>
      <c r="S611">
        <f t="shared" si="133"/>
        <v>-1090</v>
      </c>
      <c r="T611">
        <f t="shared" si="134"/>
        <v>-2354</v>
      </c>
      <c r="U611">
        <f t="shared" si="135"/>
        <v>-1264</v>
      </c>
      <c r="V611" s="9">
        <f t="shared" si="136"/>
        <v>1407</v>
      </c>
      <c r="W611" s="9">
        <f t="shared" si="136"/>
        <v>1300</v>
      </c>
      <c r="X611" s="9">
        <f t="shared" si="136"/>
        <v>210</v>
      </c>
      <c r="Y611" s="9">
        <f t="shared" si="136"/>
        <v>1054</v>
      </c>
      <c r="Z611" s="9">
        <f t="shared" si="136"/>
        <v>2707</v>
      </c>
      <c r="AA611" s="9">
        <f t="shared" si="125"/>
        <v>1617</v>
      </c>
      <c r="AB611" s="9">
        <f t="shared" si="125"/>
        <v>353</v>
      </c>
      <c r="AC611" s="9">
        <f t="shared" si="125"/>
        <v>1090</v>
      </c>
      <c r="AD611" s="9">
        <f t="shared" si="125"/>
        <v>2354</v>
      </c>
      <c r="AE611" s="9">
        <f t="shared" si="125"/>
        <v>1264</v>
      </c>
    </row>
    <row r="612" spans="2:31" x14ac:dyDescent="0.25">
      <c r="B612" s="6">
        <v>11045</v>
      </c>
      <c r="C612" s="6">
        <v>13158</v>
      </c>
      <c r="D612" s="6">
        <v>10224</v>
      </c>
      <c r="E612" s="6">
        <v>13456</v>
      </c>
      <c r="F612" s="6">
        <v>14720</v>
      </c>
      <c r="L612">
        <f t="shared" si="126"/>
        <v>-2113</v>
      </c>
      <c r="M612">
        <f t="shared" si="127"/>
        <v>821</v>
      </c>
      <c r="N612">
        <f t="shared" si="128"/>
        <v>-2411</v>
      </c>
      <c r="O612">
        <f t="shared" si="129"/>
        <v>-3675</v>
      </c>
      <c r="P612">
        <f t="shared" si="130"/>
        <v>2934</v>
      </c>
      <c r="Q612">
        <f t="shared" si="131"/>
        <v>-298</v>
      </c>
      <c r="R612">
        <f t="shared" si="132"/>
        <v>-1562</v>
      </c>
      <c r="S612">
        <f t="shared" si="133"/>
        <v>-3232</v>
      </c>
      <c r="T612">
        <f t="shared" si="134"/>
        <v>-4496</v>
      </c>
      <c r="U612">
        <f t="shared" si="135"/>
        <v>-1264</v>
      </c>
      <c r="V612" s="9">
        <f t="shared" si="136"/>
        <v>2113</v>
      </c>
      <c r="W612" s="9">
        <f t="shared" si="136"/>
        <v>821</v>
      </c>
      <c r="X612" s="9">
        <f t="shared" si="136"/>
        <v>2411</v>
      </c>
      <c r="Y612" s="9">
        <f t="shared" si="136"/>
        <v>3675</v>
      </c>
      <c r="Z612" s="9">
        <f t="shared" si="136"/>
        <v>2934</v>
      </c>
      <c r="AA612" s="9">
        <f t="shared" si="125"/>
        <v>298</v>
      </c>
      <c r="AB612" s="9">
        <f t="shared" si="125"/>
        <v>1562</v>
      </c>
      <c r="AC612" s="9">
        <f t="shared" si="125"/>
        <v>3232</v>
      </c>
      <c r="AD612" s="9">
        <f t="shared" si="125"/>
        <v>4496</v>
      </c>
      <c r="AE612" s="9">
        <f t="shared" si="125"/>
        <v>1264</v>
      </c>
    </row>
    <row r="613" spans="2:31" x14ac:dyDescent="0.25">
      <c r="B613" s="6">
        <v>13345</v>
      </c>
      <c r="C613" s="6">
        <v>13654</v>
      </c>
      <c r="D613" s="6">
        <v>10254</v>
      </c>
      <c r="E613" s="6">
        <v>16455</v>
      </c>
      <c r="F613" s="6">
        <v>15424</v>
      </c>
      <c r="L613">
        <f t="shared" si="126"/>
        <v>-309</v>
      </c>
      <c r="M613">
        <f t="shared" si="127"/>
        <v>3091</v>
      </c>
      <c r="N613">
        <f t="shared" si="128"/>
        <v>-3110</v>
      </c>
      <c r="O613">
        <f t="shared" si="129"/>
        <v>-2079</v>
      </c>
      <c r="P613">
        <f t="shared" si="130"/>
        <v>3400</v>
      </c>
      <c r="Q613">
        <f t="shared" si="131"/>
        <v>-2801</v>
      </c>
      <c r="R613">
        <f t="shared" si="132"/>
        <v>-1770</v>
      </c>
      <c r="S613">
        <f t="shared" si="133"/>
        <v>-6201</v>
      </c>
      <c r="T613">
        <f t="shared" si="134"/>
        <v>-5170</v>
      </c>
      <c r="U613">
        <f t="shared" si="135"/>
        <v>1031</v>
      </c>
      <c r="V613" s="9">
        <f t="shared" si="136"/>
        <v>309</v>
      </c>
      <c r="W613" s="9">
        <f t="shared" si="136"/>
        <v>3091</v>
      </c>
      <c r="X613" s="9">
        <f t="shared" si="136"/>
        <v>3110</v>
      </c>
      <c r="Y613" s="9">
        <f t="shared" si="136"/>
        <v>2079</v>
      </c>
      <c r="Z613" s="9">
        <f t="shared" si="136"/>
        <v>3400</v>
      </c>
      <c r="AA613" s="9">
        <f t="shared" si="125"/>
        <v>2801</v>
      </c>
      <c r="AB613" s="9">
        <f t="shared" si="125"/>
        <v>1770</v>
      </c>
      <c r="AC613" s="9">
        <f t="shared" si="125"/>
        <v>6201</v>
      </c>
      <c r="AD613" s="9">
        <f t="shared" si="125"/>
        <v>5170</v>
      </c>
      <c r="AE613" s="9">
        <f t="shared" si="125"/>
        <v>1031</v>
      </c>
    </row>
    <row r="614" spans="2:31" x14ac:dyDescent="0.25">
      <c r="B614" s="6">
        <v>9834</v>
      </c>
      <c r="C614" s="6">
        <v>11354</v>
      </c>
      <c r="D614" s="6">
        <v>8542</v>
      </c>
      <c r="E614" s="6">
        <v>11568</v>
      </c>
      <c r="F614" s="6">
        <v>11452</v>
      </c>
      <c r="L614">
        <f t="shared" si="126"/>
        <v>-1520</v>
      </c>
      <c r="M614">
        <f t="shared" si="127"/>
        <v>1292</v>
      </c>
      <c r="N614">
        <f t="shared" si="128"/>
        <v>-1734</v>
      </c>
      <c r="O614">
        <f t="shared" si="129"/>
        <v>-1618</v>
      </c>
      <c r="P614">
        <f t="shared" si="130"/>
        <v>2812</v>
      </c>
      <c r="Q614">
        <f t="shared" si="131"/>
        <v>-214</v>
      </c>
      <c r="R614">
        <f t="shared" si="132"/>
        <v>-98</v>
      </c>
      <c r="S614">
        <f t="shared" si="133"/>
        <v>-3026</v>
      </c>
      <c r="T614">
        <f t="shared" si="134"/>
        <v>-2910</v>
      </c>
      <c r="U614">
        <f t="shared" si="135"/>
        <v>116</v>
      </c>
      <c r="V614" s="9">
        <f t="shared" si="136"/>
        <v>1520</v>
      </c>
      <c r="W614" s="9">
        <f t="shared" si="136"/>
        <v>1292</v>
      </c>
      <c r="X614" s="9">
        <f t="shared" si="136"/>
        <v>1734</v>
      </c>
      <c r="Y614" s="9">
        <f t="shared" si="136"/>
        <v>1618</v>
      </c>
      <c r="Z614" s="9">
        <f t="shared" si="136"/>
        <v>2812</v>
      </c>
      <c r="AA614" s="9">
        <f t="shared" si="125"/>
        <v>214</v>
      </c>
      <c r="AB614" s="9">
        <f t="shared" si="125"/>
        <v>98</v>
      </c>
      <c r="AC614" s="9">
        <f t="shared" si="125"/>
        <v>3026</v>
      </c>
      <c r="AD614" s="9">
        <f t="shared" si="125"/>
        <v>2910</v>
      </c>
      <c r="AE614" s="9">
        <f t="shared" si="125"/>
        <v>116</v>
      </c>
    </row>
    <row r="615" spans="2:31" x14ac:dyDescent="0.25">
      <c r="B615" s="6">
        <v>7654</v>
      </c>
      <c r="C615" s="6">
        <v>8246</v>
      </c>
      <c r="D615" s="6">
        <v>7566</v>
      </c>
      <c r="E615" s="6">
        <v>8246</v>
      </c>
      <c r="F615" s="6">
        <v>10245</v>
      </c>
      <c r="L615">
        <f t="shared" si="126"/>
        <v>-592</v>
      </c>
      <c r="M615">
        <f t="shared" si="127"/>
        <v>88</v>
      </c>
      <c r="N615">
        <f t="shared" si="128"/>
        <v>-592</v>
      </c>
      <c r="O615">
        <f t="shared" si="129"/>
        <v>-2591</v>
      </c>
      <c r="P615">
        <f t="shared" si="130"/>
        <v>680</v>
      </c>
      <c r="Q615">
        <f t="shared" si="131"/>
        <v>0</v>
      </c>
      <c r="R615">
        <f t="shared" si="132"/>
        <v>-1999</v>
      </c>
      <c r="S615">
        <f t="shared" si="133"/>
        <v>-680</v>
      </c>
      <c r="T615">
        <f t="shared" si="134"/>
        <v>-2679</v>
      </c>
      <c r="U615">
        <f t="shared" si="135"/>
        <v>-1999</v>
      </c>
      <c r="V615" s="9">
        <f t="shared" si="136"/>
        <v>592</v>
      </c>
      <c r="W615" s="9">
        <f t="shared" si="136"/>
        <v>88</v>
      </c>
      <c r="X615" s="9">
        <f t="shared" si="136"/>
        <v>592</v>
      </c>
      <c r="Y615" s="9">
        <f t="shared" si="136"/>
        <v>2591</v>
      </c>
      <c r="Z615" s="9">
        <f t="shared" si="136"/>
        <v>680</v>
      </c>
      <c r="AA615" s="9">
        <f t="shared" si="125"/>
        <v>0</v>
      </c>
      <c r="AB615" s="9">
        <f t="shared" si="125"/>
        <v>1999</v>
      </c>
      <c r="AC615" s="9">
        <f t="shared" si="125"/>
        <v>680</v>
      </c>
      <c r="AD615" s="9">
        <f t="shared" si="125"/>
        <v>2679</v>
      </c>
      <c r="AE615" s="9">
        <f t="shared" si="125"/>
        <v>1999</v>
      </c>
    </row>
    <row r="616" spans="2:31" x14ac:dyDescent="0.25">
      <c r="B616" s="6">
        <v>9547</v>
      </c>
      <c r="C616" s="6">
        <v>11567</v>
      </c>
      <c r="D616" s="6">
        <v>8524</v>
      </c>
      <c r="E616" s="6">
        <v>9545</v>
      </c>
      <c r="F616" s="6">
        <v>10809</v>
      </c>
      <c r="L616">
        <f t="shared" si="126"/>
        <v>-2020</v>
      </c>
      <c r="M616">
        <f t="shared" si="127"/>
        <v>1023</v>
      </c>
      <c r="N616">
        <f t="shared" si="128"/>
        <v>2</v>
      </c>
      <c r="O616">
        <f t="shared" si="129"/>
        <v>-1262</v>
      </c>
      <c r="P616">
        <f t="shared" si="130"/>
        <v>3043</v>
      </c>
      <c r="Q616">
        <f t="shared" si="131"/>
        <v>2022</v>
      </c>
      <c r="R616">
        <f t="shared" si="132"/>
        <v>758</v>
      </c>
      <c r="S616">
        <f t="shared" si="133"/>
        <v>-1021</v>
      </c>
      <c r="T616">
        <f t="shared" si="134"/>
        <v>-2285</v>
      </c>
      <c r="U616">
        <f t="shared" si="135"/>
        <v>-1264</v>
      </c>
      <c r="V616" s="9">
        <f t="shared" si="136"/>
        <v>2020</v>
      </c>
      <c r="W616" s="9">
        <f t="shared" si="136"/>
        <v>1023</v>
      </c>
      <c r="X616" s="9">
        <f t="shared" si="136"/>
        <v>2</v>
      </c>
      <c r="Y616" s="9">
        <f t="shared" si="136"/>
        <v>1262</v>
      </c>
      <c r="Z616" s="9">
        <f t="shared" si="136"/>
        <v>3043</v>
      </c>
      <c r="AA616" s="9">
        <f t="shared" si="125"/>
        <v>2022</v>
      </c>
      <c r="AB616" s="9">
        <f t="shared" si="125"/>
        <v>758</v>
      </c>
      <c r="AC616" s="9">
        <f t="shared" si="125"/>
        <v>1021</v>
      </c>
      <c r="AD616" s="9">
        <f t="shared" si="125"/>
        <v>2285</v>
      </c>
      <c r="AE616" s="9">
        <f t="shared" si="125"/>
        <v>1264</v>
      </c>
    </row>
    <row r="617" spans="2:31" x14ac:dyDescent="0.25">
      <c r="B617" s="6">
        <v>13548</v>
      </c>
      <c r="C617" s="6">
        <v>10515</v>
      </c>
      <c r="D617" s="6">
        <v>6489</v>
      </c>
      <c r="E617" s="6">
        <v>7548</v>
      </c>
      <c r="F617" s="6">
        <v>8942</v>
      </c>
      <c r="L617">
        <f t="shared" si="126"/>
        <v>3033</v>
      </c>
      <c r="M617">
        <f t="shared" si="127"/>
        <v>7059</v>
      </c>
      <c r="N617">
        <f t="shared" si="128"/>
        <v>6000</v>
      </c>
      <c r="O617">
        <f t="shared" si="129"/>
        <v>4606</v>
      </c>
      <c r="P617">
        <f t="shared" si="130"/>
        <v>4026</v>
      </c>
      <c r="Q617">
        <f t="shared" si="131"/>
        <v>2967</v>
      </c>
      <c r="R617">
        <f t="shared" si="132"/>
        <v>1573</v>
      </c>
      <c r="S617">
        <f t="shared" si="133"/>
        <v>-1059</v>
      </c>
      <c r="T617">
        <f t="shared" si="134"/>
        <v>-2453</v>
      </c>
      <c r="U617">
        <f t="shared" si="135"/>
        <v>-1394</v>
      </c>
      <c r="V617" s="9">
        <f t="shared" si="136"/>
        <v>3033</v>
      </c>
      <c r="W617" s="9">
        <f t="shared" si="136"/>
        <v>7059</v>
      </c>
      <c r="X617" s="9">
        <f t="shared" si="136"/>
        <v>6000</v>
      </c>
      <c r="Y617" s="9">
        <f t="shared" si="136"/>
        <v>4606</v>
      </c>
      <c r="Z617" s="9">
        <f t="shared" si="136"/>
        <v>4026</v>
      </c>
      <c r="AA617" s="9">
        <f t="shared" si="125"/>
        <v>2967</v>
      </c>
      <c r="AB617" s="9">
        <f t="shared" si="125"/>
        <v>1573</v>
      </c>
      <c r="AC617" s="9">
        <f t="shared" si="125"/>
        <v>1059</v>
      </c>
      <c r="AD617" s="9">
        <f t="shared" si="125"/>
        <v>2453</v>
      </c>
      <c r="AE617" s="9">
        <f t="shared" si="125"/>
        <v>1394</v>
      </c>
    </row>
    <row r="618" spans="2:31" x14ac:dyDescent="0.25">
      <c r="B618" s="6">
        <v>8512</v>
      </c>
      <c r="C618" s="6">
        <v>9324</v>
      </c>
      <c r="D618" s="6">
        <v>7541</v>
      </c>
      <c r="E618" s="6">
        <v>8547</v>
      </c>
      <c r="F618" s="6">
        <v>9475</v>
      </c>
      <c r="L618">
        <f t="shared" si="126"/>
        <v>-812</v>
      </c>
      <c r="M618">
        <f t="shared" si="127"/>
        <v>971</v>
      </c>
      <c r="N618">
        <f t="shared" si="128"/>
        <v>-35</v>
      </c>
      <c r="O618">
        <f t="shared" si="129"/>
        <v>-963</v>
      </c>
      <c r="P618">
        <f t="shared" si="130"/>
        <v>1783</v>
      </c>
      <c r="Q618">
        <f t="shared" si="131"/>
        <v>777</v>
      </c>
      <c r="R618">
        <f t="shared" si="132"/>
        <v>-151</v>
      </c>
      <c r="S618">
        <f t="shared" si="133"/>
        <v>-1006</v>
      </c>
      <c r="T618">
        <f t="shared" si="134"/>
        <v>-1934</v>
      </c>
      <c r="U618">
        <f t="shared" si="135"/>
        <v>-928</v>
      </c>
      <c r="V618" s="9">
        <f t="shared" si="136"/>
        <v>812</v>
      </c>
      <c r="W618" s="9">
        <f t="shared" si="136"/>
        <v>971</v>
      </c>
      <c r="X618" s="9">
        <f t="shared" si="136"/>
        <v>35</v>
      </c>
      <c r="Y618" s="9">
        <f t="shared" si="136"/>
        <v>963</v>
      </c>
      <c r="Z618" s="9">
        <f t="shared" si="136"/>
        <v>1783</v>
      </c>
      <c r="AA618" s="9">
        <f t="shared" si="125"/>
        <v>777</v>
      </c>
      <c r="AB618" s="9">
        <f t="shared" si="125"/>
        <v>151</v>
      </c>
      <c r="AC618" s="9">
        <f t="shared" si="125"/>
        <v>1006</v>
      </c>
      <c r="AD618" s="9">
        <f t="shared" si="125"/>
        <v>1934</v>
      </c>
      <c r="AE618" s="9">
        <f t="shared" si="125"/>
        <v>928</v>
      </c>
    </row>
    <row r="619" spans="2:31" x14ac:dyDescent="0.25">
      <c r="B619" s="6">
        <v>7534</v>
      </c>
      <c r="C619" s="6">
        <v>9959</v>
      </c>
      <c r="D619" s="6">
        <v>8547</v>
      </c>
      <c r="E619" s="6">
        <v>9548</v>
      </c>
      <c r="F619" s="6">
        <v>9578</v>
      </c>
      <c r="L619">
        <f t="shared" si="126"/>
        <v>-2425</v>
      </c>
      <c r="M619">
        <f t="shared" si="127"/>
        <v>-1013</v>
      </c>
      <c r="N619">
        <f t="shared" si="128"/>
        <v>-2014</v>
      </c>
      <c r="O619">
        <f t="shared" si="129"/>
        <v>-2044</v>
      </c>
      <c r="P619">
        <f t="shared" si="130"/>
        <v>1412</v>
      </c>
      <c r="Q619">
        <f t="shared" si="131"/>
        <v>411</v>
      </c>
      <c r="R619">
        <f t="shared" si="132"/>
        <v>381</v>
      </c>
      <c r="S619">
        <f t="shared" si="133"/>
        <v>-1001</v>
      </c>
      <c r="T619">
        <f t="shared" si="134"/>
        <v>-1031</v>
      </c>
      <c r="U619">
        <f t="shared" si="135"/>
        <v>-30</v>
      </c>
      <c r="V619" s="9">
        <f t="shared" si="136"/>
        <v>2425</v>
      </c>
      <c r="W619" s="9">
        <f t="shared" si="136"/>
        <v>1013</v>
      </c>
      <c r="X619" s="9">
        <f t="shared" si="136"/>
        <v>2014</v>
      </c>
      <c r="Y619" s="9">
        <f t="shared" si="136"/>
        <v>2044</v>
      </c>
      <c r="Z619" s="9">
        <f t="shared" si="136"/>
        <v>1412</v>
      </c>
      <c r="AA619" s="9">
        <f t="shared" si="125"/>
        <v>411</v>
      </c>
      <c r="AB619" s="9">
        <f t="shared" si="125"/>
        <v>381</v>
      </c>
      <c r="AC619" s="9">
        <f t="shared" si="125"/>
        <v>1001</v>
      </c>
      <c r="AD619" s="9">
        <f t="shared" si="125"/>
        <v>1031</v>
      </c>
      <c r="AE619" s="9">
        <f t="shared" si="125"/>
        <v>30</v>
      </c>
    </row>
    <row r="620" spans="2:31" x14ac:dyDescent="0.25">
      <c r="B620" s="6">
        <v>11065</v>
      </c>
      <c r="C620" s="6">
        <v>14180</v>
      </c>
      <c r="D620" s="6">
        <v>9547</v>
      </c>
      <c r="E620" s="6">
        <v>9541</v>
      </c>
      <c r="F620" s="6">
        <v>9991</v>
      </c>
      <c r="L620">
        <f t="shared" si="126"/>
        <v>-3115</v>
      </c>
      <c r="M620">
        <f t="shared" si="127"/>
        <v>1518</v>
      </c>
      <c r="N620">
        <f t="shared" si="128"/>
        <v>1524</v>
      </c>
      <c r="O620">
        <f t="shared" si="129"/>
        <v>1074</v>
      </c>
      <c r="P620">
        <f t="shared" si="130"/>
        <v>4633</v>
      </c>
      <c r="Q620">
        <f t="shared" si="131"/>
        <v>4639</v>
      </c>
      <c r="R620">
        <f t="shared" si="132"/>
        <v>4189</v>
      </c>
      <c r="S620">
        <f t="shared" si="133"/>
        <v>6</v>
      </c>
      <c r="T620">
        <f t="shared" si="134"/>
        <v>-444</v>
      </c>
      <c r="U620">
        <f t="shared" si="135"/>
        <v>-450</v>
      </c>
      <c r="V620" s="9">
        <f t="shared" si="136"/>
        <v>3115</v>
      </c>
      <c r="W620" s="9">
        <f t="shared" si="136"/>
        <v>1518</v>
      </c>
      <c r="X620" s="9">
        <f t="shared" si="136"/>
        <v>1524</v>
      </c>
      <c r="Y620" s="9">
        <f t="shared" si="136"/>
        <v>1074</v>
      </c>
      <c r="Z620" s="9">
        <f t="shared" si="136"/>
        <v>4633</v>
      </c>
      <c r="AA620" s="9">
        <f t="shared" si="125"/>
        <v>4639</v>
      </c>
      <c r="AB620" s="9">
        <f t="shared" si="125"/>
        <v>4189</v>
      </c>
      <c r="AC620" s="9">
        <f t="shared" si="125"/>
        <v>6</v>
      </c>
      <c r="AD620" s="9">
        <f t="shared" si="125"/>
        <v>444</v>
      </c>
      <c r="AE620" s="9">
        <f t="shared" si="125"/>
        <v>450</v>
      </c>
    </row>
    <row r="621" spans="2:31" x14ac:dyDescent="0.25">
      <c r="B621" s="6">
        <v>8846</v>
      </c>
      <c r="C621" s="6">
        <v>9664</v>
      </c>
      <c r="D621" s="6">
        <v>7854</v>
      </c>
      <c r="E621" s="6">
        <v>9542</v>
      </c>
      <c r="F621" s="6">
        <v>9472</v>
      </c>
      <c r="L621">
        <f t="shared" si="126"/>
        <v>-818</v>
      </c>
      <c r="M621">
        <f t="shared" si="127"/>
        <v>992</v>
      </c>
      <c r="N621">
        <f t="shared" si="128"/>
        <v>-696</v>
      </c>
      <c r="O621">
        <f t="shared" si="129"/>
        <v>-626</v>
      </c>
      <c r="P621">
        <f t="shared" si="130"/>
        <v>1810</v>
      </c>
      <c r="Q621">
        <f t="shared" si="131"/>
        <v>122</v>
      </c>
      <c r="R621">
        <f t="shared" si="132"/>
        <v>192</v>
      </c>
      <c r="S621">
        <f t="shared" si="133"/>
        <v>-1688</v>
      </c>
      <c r="T621">
        <f t="shared" si="134"/>
        <v>-1618</v>
      </c>
      <c r="U621">
        <f t="shared" si="135"/>
        <v>70</v>
      </c>
      <c r="V621" s="9">
        <f t="shared" si="136"/>
        <v>818</v>
      </c>
      <c r="W621" s="9">
        <f t="shared" si="136"/>
        <v>992</v>
      </c>
      <c r="X621" s="9">
        <f t="shared" si="136"/>
        <v>696</v>
      </c>
      <c r="Y621" s="9">
        <f t="shared" si="136"/>
        <v>626</v>
      </c>
      <c r="Z621" s="9">
        <f t="shared" si="136"/>
        <v>1810</v>
      </c>
      <c r="AA621" s="9">
        <f t="shared" si="125"/>
        <v>122</v>
      </c>
      <c r="AB621" s="9">
        <f t="shared" si="125"/>
        <v>192</v>
      </c>
      <c r="AC621" s="9">
        <f t="shared" si="125"/>
        <v>1688</v>
      </c>
      <c r="AD621" s="9">
        <f t="shared" si="125"/>
        <v>1618</v>
      </c>
      <c r="AE621" s="9">
        <f t="shared" si="125"/>
        <v>70</v>
      </c>
    </row>
    <row r="622" spans="2:31" x14ac:dyDescent="0.25">
      <c r="B622" s="6">
        <v>6549</v>
      </c>
      <c r="C622" s="6">
        <v>8063</v>
      </c>
      <c r="D622" s="6">
        <v>7524</v>
      </c>
      <c r="E622" s="6">
        <v>7855</v>
      </c>
      <c r="F622" s="6">
        <v>8424</v>
      </c>
      <c r="L622">
        <f t="shared" si="126"/>
        <v>-1514</v>
      </c>
      <c r="M622">
        <f t="shared" si="127"/>
        <v>-975</v>
      </c>
      <c r="N622">
        <f t="shared" si="128"/>
        <v>-1306</v>
      </c>
      <c r="O622">
        <f t="shared" si="129"/>
        <v>-1875</v>
      </c>
      <c r="P622">
        <f t="shared" si="130"/>
        <v>539</v>
      </c>
      <c r="Q622">
        <f t="shared" si="131"/>
        <v>208</v>
      </c>
      <c r="R622">
        <f t="shared" si="132"/>
        <v>-361</v>
      </c>
      <c r="S622">
        <f t="shared" si="133"/>
        <v>-331</v>
      </c>
      <c r="T622">
        <f t="shared" si="134"/>
        <v>-900</v>
      </c>
      <c r="U622">
        <f t="shared" si="135"/>
        <v>-569</v>
      </c>
      <c r="V622" s="9">
        <f t="shared" si="136"/>
        <v>1514</v>
      </c>
      <c r="W622" s="9">
        <f t="shared" si="136"/>
        <v>975</v>
      </c>
      <c r="X622" s="9">
        <f t="shared" si="136"/>
        <v>1306</v>
      </c>
      <c r="Y622" s="9">
        <f t="shared" si="136"/>
        <v>1875</v>
      </c>
      <c r="Z622" s="9">
        <f t="shared" si="136"/>
        <v>539</v>
      </c>
      <c r="AA622" s="9">
        <f t="shared" si="125"/>
        <v>208</v>
      </c>
      <c r="AB622" s="9">
        <f t="shared" si="125"/>
        <v>361</v>
      </c>
      <c r="AC622" s="9">
        <f t="shared" si="125"/>
        <v>331</v>
      </c>
      <c r="AD622" s="9">
        <f t="shared" si="125"/>
        <v>900</v>
      </c>
      <c r="AE622" s="9">
        <f t="shared" si="125"/>
        <v>569</v>
      </c>
    </row>
    <row r="623" spans="2:31" x14ac:dyDescent="0.25">
      <c r="B623" s="6">
        <v>5462</v>
      </c>
      <c r="C623" s="6">
        <v>6578</v>
      </c>
      <c r="D623" s="6">
        <v>5345</v>
      </c>
      <c r="E623" s="6">
        <v>6548</v>
      </c>
      <c r="F623" s="6">
        <v>7542</v>
      </c>
      <c r="L623">
        <f t="shared" si="126"/>
        <v>-1116</v>
      </c>
      <c r="M623">
        <f t="shared" si="127"/>
        <v>117</v>
      </c>
      <c r="N623">
        <f t="shared" si="128"/>
        <v>-1086</v>
      </c>
      <c r="O623">
        <f t="shared" si="129"/>
        <v>-2080</v>
      </c>
      <c r="P623">
        <f t="shared" si="130"/>
        <v>1233</v>
      </c>
      <c r="Q623">
        <f t="shared" si="131"/>
        <v>30</v>
      </c>
      <c r="R623">
        <f t="shared" si="132"/>
        <v>-964</v>
      </c>
      <c r="S623">
        <f t="shared" si="133"/>
        <v>-1203</v>
      </c>
      <c r="T623">
        <f t="shared" si="134"/>
        <v>-2197</v>
      </c>
      <c r="U623">
        <f t="shared" si="135"/>
        <v>-994</v>
      </c>
      <c r="V623" s="9">
        <f t="shared" si="136"/>
        <v>1116</v>
      </c>
      <c r="W623" s="9">
        <f t="shared" si="136"/>
        <v>117</v>
      </c>
      <c r="X623" s="9">
        <f t="shared" si="136"/>
        <v>1086</v>
      </c>
      <c r="Y623" s="9">
        <f t="shared" si="136"/>
        <v>2080</v>
      </c>
      <c r="Z623" s="9">
        <f t="shared" si="136"/>
        <v>1233</v>
      </c>
      <c r="AA623" s="9">
        <f t="shared" si="125"/>
        <v>30</v>
      </c>
      <c r="AB623" s="9">
        <f t="shared" si="125"/>
        <v>964</v>
      </c>
      <c r="AC623" s="9">
        <f t="shared" si="125"/>
        <v>1203</v>
      </c>
      <c r="AD623" s="9">
        <f t="shared" si="125"/>
        <v>2197</v>
      </c>
      <c r="AE623" s="9">
        <f t="shared" si="125"/>
        <v>994</v>
      </c>
    </row>
    <row r="624" spans="2:31" x14ac:dyDescent="0.25">
      <c r="B624" s="6">
        <v>8838</v>
      </c>
      <c r="C624" s="6">
        <v>9548</v>
      </c>
      <c r="D624" s="6">
        <v>8546</v>
      </c>
      <c r="E624" s="6">
        <v>9542</v>
      </c>
      <c r="F624" s="6">
        <v>11454</v>
      </c>
      <c r="L624">
        <f t="shared" si="126"/>
        <v>-710</v>
      </c>
      <c r="M624">
        <f t="shared" si="127"/>
        <v>292</v>
      </c>
      <c r="N624">
        <f t="shared" si="128"/>
        <v>-704</v>
      </c>
      <c r="O624">
        <f t="shared" si="129"/>
        <v>-2616</v>
      </c>
      <c r="P624">
        <f t="shared" si="130"/>
        <v>1002</v>
      </c>
      <c r="Q624">
        <f t="shared" si="131"/>
        <v>6</v>
      </c>
      <c r="R624">
        <f t="shared" si="132"/>
        <v>-1906</v>
      </c>
      <c r="S624">
        <f t="shared" si="133"/>
        <v>-996</v>
      </c>
      <c r="T624">
        <f t="shared" si="134"/>
        <v>-2908</v>
      </c>
      <c r="U624">
        <f t="shared" si="135"/>
        <v>-1912</v>
      </c>
      <c r="V624" s="9">
        <f t="shared" si="136"/>
        <v>710</v>
      </c>
      <c r="W624" s="9">
        <f t="shared" si="136"/>
        <v>292</v>
      </c>
      <c r="X624" s="9">
        <f t="shared" si="136"/>
        <v>704</v>
      </c>
      <c r="Y624" s="9">
        <f t="shared" si="136"/>
        <v>2616</v>
      </c>
      <c r="Z624" s="9">
        <f t="shared" si="136"/>
        <v>1002</v>
      </c>
      <c r="AA624" s="9">
        <f t="shared" si="125"/>
        <v>6</v>
      </c>
      <c r="AB624" s="9">
        <f t="shared" si="125"/>
        <v>1906</v>
      </c>
      <c r="AC624" s="9">
        <f t="shared" si="125"/>
        <v>996</v>
      </c>
      <c r="AD624" s="9">
        <f t="shared" si="125"/>
        <v>2908</v>
      </c>
      <c r="AE624" s="9">
        <f t="shared" si="125"/>
        <v>1912</v>
      </c>
    </row>
    <row r="625" spans="2:31" x14ac:dyDescent="0.25">
      <c r="B625" s="6">
        <v>12587</v>
      </c>
      <c r="C625" s="6">
        <v>14046</v>
      </c>
      <c r="D625" s="6">
        <v>13645</v>
      </c>
      <c r="E625" s="6">
        <v>11245</v>
      </c>
      <c r="F625" s="6">
        <v>13454</v>
      </c>
      <c r="L625">
        <f t="shared" si="126"/>
        <v>-1459</v>
      </c>
      <c r="M625">
        <f t="shared" si="127"/>
        <v>-1058</v>
      </c>
      <c r="N625">
        <f t="shared" si="128"/>
        <v>1342</v>
      </c>
      <c r="O625">
        <f t="shared" si="129"/>
        <v>-867</v>
      </c>
      <c r="P625">
        <f t="shared" si="130"/>
        <v>401</v>
      </c>
      <c r="Q625">
        <f t="shared" si="131"/>
        <v>2801</v>
      </c>
      <c r="R625">
        <f t="shared" si="132"/>
        <v>592</v>
      </c>
      <c r="S625">
        <f t="shared" si="133"/>
        <v>2400</v>
      </c>
      <c r="T625">
        <f t="shared" si="134"/>
        <v>191</v>
      </c>
      <c r="U625">
        <f t="shared" si="135"/>
        <v>-2209</v>
      </c>
      <c r="V625" s="9">
        <f t="shared" si="136"/>
        <v>1459</v>
      </c>
      <c r="W625" s="9">
        <f t="shared" si="136"/>
        <v>1058</v>
      </c>
      <c r="X625" s="9">
        <f t="shared" si="136"/>
        <v>1342</v>
      </c>
      <c r="Y625" s="9">
        <f t="shared" si="136"/>
        <v>867</v>
      </c>
      <c r="Z625" s="9">
        <f t="shared" si="136"/>
        <v>401</v>
      </c>
      <c r="AA625" s="9">
        <f t="shared" si="125"/>
        <v>2801</v>
      </c>
      <c r="AB625" s="9">
        <f t="shared" si="125"/>
        <v>592</v>
      </c>
      <c r="AC625" s="9">
        <f t="shared" si="125"/>
        <v>2400</v>
      </c>
      <c r="AD625" s="9">
        <f t="shared" si="125"/>
        <v>191</v>
      </c>
      <c r="AE625" s="9">
        <f t="shared" si="125"/>
        <v>2209</v>
      </c>
    </row>
    <row r="626" spans="2:31" x14ac:dyDescent="0.25">
      <c r="B626" s="6">
        <v>15587</v>
      </c>
      <c r="C626" s="6">
        <v>11000</v>
      </c>
      <c r="D626" s="6">
        <v>8244</v>
      </c>
      <c r="E626" s="6">
        <v>9512</v>
      </c>
      <c r="F626" s="6">
        <v>12452</v>
      </c>
      <c r="L626">
        <f t="shared" si="126"/>
        <v>4587</v>
      </c>
      <c r="M626">
        <f t="shared" si="127"/>
        <v>7343</v>
      </c>
      <c r="N626">
        <f t="shared" si="128"/>
        <v>6075</v>
      </c>
      <c r="O626">
        <f t="shared" si="129"/>
        <v>3135</v>
      </c>
      <c r="P626">
        <f t="shared" si="130"/>
        <v>2756</v>
      </c>
      <c r="Q626">
        <f t="shared" si="131"/>
        <v>1488</v>
      </c>
      <c r="R626">
        <f t="shared" si="132"/>
        <v>-1452</v>
      </c>
      <c r="S626">
        <f t="shared" si="133"/>
        <v>-1268</v>
      </c>
      <c r="T626">
        <f t="shared" si="134"/>
        <v>-4208</v>
      </c>
      <c r="U626">
        <f t="shared" si="135"/>
        <v>-2940</v>
      </c>
      <c r="V626" s="9">
        <f t="shared" si="136"/>
        <v>4587</v>
      </c>
      <c r="W626" s="9">
        <f t="shared" si="136"/>
        <v>7343</v>
      </c>
      <c r="X626" s="9">
        <f t="shared" si="136"/>
        <v>6075</v>
      </c>
      <c r="Y626" s="9">
        <f t="shared" si="136"/>
        <v>3135</v>
      </c>
      <c r="Z626" s="9">
        <f t="shared" si="136"/>
        <v>2756</v>
      </c>
      <c r="AA626" s="9">
        <f t="shared" si="125"/>
        <v>1488</v>
      </c>
      <c r="AB626" s="9">
        <f t="shared" si="125"/>
        <v>1452</v>
      </c>
      <c r="AC626" s="9">
        <f t="shared" si="125"/>
        <v>1268</v>
      </c>
      <c r="AD626" s="9">
        <f t="shared" si="125"/>
        <v>4208</v>
      </c>
      <c r="AE626" s="9">
        <f t="shared" si="125"/>
        <v>2940</v>
      </c>
    </row>
    <row r="627" spans="2:31" x14ac:dyDescent="0.25">
      <c r="B627" s="6">
        <v>12468</v>
      </c>
      <c r="C627" s="6">
        <v>9548</v>
      </c>
      <c r="D627" s="6">
        <v>6542</v>
      </c>
      <c r="E627" s="6">
        <v>8245</v>
      </c>
      <c r="F627" s="6">
        <v>8988</v>
      </c>
      <c r="L627">
        <f t="shared" si="126"/>
        <v>2920</v>
      </c>
      <c r="M627">
        <f t="shared" si="127"/>
        <v>5926</v>
      </c>
      <c r="N627">
        <f t="shared" si="128"/>
        <v>4223</v>
      </c>
      <c r="O627">
        <f t="shared" si="129"/>
        <v>3480</v>
      </c>
      <c r="P627">
        <f t="shared" si="130"/>
        <v>3006</v>
      </c>
      <c r="Q627">
        <f t="shared" si="131"/>
        <v>1303</v>
      </c>
      <c r="R627">
        <f t="shared" si="132"/>
        <v>560</v>
      </c>
      <c r="S627">
        <f t="shared" si="133"/>
        <v>-1703</v>
      </c>
      <c r="T627">
        <f t="shared" si="134"/>
        <v>-2446</v>
      </c>
      <c r="U627">
        <f t="shared" si="135"/>
        <v>-743</v>
      </c>
      <c r="V627" s="9">
        <f t="shared" si="136"/>
        <v>2920</v>
      </c>
      <c r="W627" s="9">
        <f t="shared" si="136"/>
        <v>5926</v>
      </c>
      <c r="X627" s="9">
        <f t="shared" si="136"/>
        <v>4223</v>
      </c>
      <c r="Y627" s="9">
        <f t="shared" si="136"/>
        <v>3480</v>
      </c>
      <c r="Z627" s="9">
        <f t="shared" si="136"/>
        <v>3006</v>
      </c>
      <c r="AA627" s="9">
        <f t="shared" ref="AA627:AE677" si="137">IF(Q627&gt;=0,Q627,-Q627)</f>
        <v>1303</v>
      </c>
      <c r="AB627" s="9">
        <f t="shared" si="137"/>
        <v>560</v>
      </c>
      <c r="AC627" s="9">
        <f t="shared" si="137"/>
        <v>1703</v>
      </c>
      <c r="AD627" s="9">
        <f t="shared" si="137"/>
        <v>2446</v>
      </c>
      <c r="AE627" s="9">
        <f t="shared" si="137"/>
        <v>743</v>
      </c>
    </row>
    <row r="628" spans="2:31" x14ac:dyDescent="0.25">
      <c r="B628" s="6">
        <v>10364</v>
      </c>
      <c r="C628" s="6">
        <v>12648</v>
      </c>
      <c r="D628" s="6">
        <v>4524</v>
      </c>
      <c r="E628" s="6">
        <v>4568</v>
      </c>
      <c r="F628" s="6">
        <v>5942</v>
      </c>
      <c r="L628">
        <f t="shared" si="126"/>
        <v>-2284</v>
      </c>
      <c r="M628">
        <f t="shared" si="127"/>
        <v>5840</v>
      </c>
      <c r="N628">
        <f t="shared" si="128"/>
        <v>5796</v>
      </c>
      <c r="O628">
        <f t="shared" si="129"/>
        <v>4422</v>
      </c>
      <c r="P628">
        <f t="shared" si="130"/>
        <v>8124</v>
      </c>
      <c r="Q628">
        <f t="shared" si="131"/>
        <v>8080</v>
      </c>
      <c r="R628">
        <f t="shared" si="132"/>
        <v>6706</v>
      </c>
      <c r="S628">
        <f t="shared" si="133"/>
        <v>-44</v>
      </c>
      <c r="T628">
        <f t="shared" si="134"/>
        <v>-1418</v>
      </c>
      <c r="U628">
        <f t="shared" si="135"/>
        <v>-1374</v>
      </c>
      <c r="V628" s="9">
        <f t="shared" ref="V628:Z678" si="138">IF(L628&gt;=0,L628,-L628)</f>
        <v>2284</v>
      </c>
      <c r="W628" s="9">
        <f t="shared" si="138"/>
        <v>5840</v>
      </c>
      <c r="X628" s="9">
        <f t="shared" si="138"/>
        <v>5796</v>
      </c>
      <c r="Y628" s="9">
        <f t="shared" si="138"/>
        <v>4422</v>
      </c>
      <c r="Z628" s="9">
        <f t="shared" si="138"/>
        <v>8124</v>
      </c>
      <c r="AA628" s="9">
        <f t="shared" si="137"/>
        <v>8080</v>
      </c>
      <c r="AB628" s="9">
        <f t="shared" si="137"/>
        <v>6706</v>
      </c>
      <c r="AC628" s="9">
        <f t="shared" si="137"/>
        <v>44</v>
      </c>
      <c r="AD628" s="9">
        <f t="shared" si="137"/>
        <v>1418</v>
      </c>
      <c r="AE628" s="9">
        <f t="shared" si="137"/>
        <v>1374</v>
      </c>
    </row>
    <row r="629" spans="2:31" x14ac:dyDescent="0.25">
      <c r="B629" s="6">
        <v>9975</v>
      </c>
      <c r="C629" s="6">
        <v>8548</v>
      </c>
      <c r="D629" s="6">
        <v>5245</v>
      </c>
      <c r="E629" s="6">
        <v>6542</v>
      </c>
      <c r="F629" s="6">
        <v>7821</v>
      </c>
      <c r="L629">
        <f t="shared" si="126"/>
        <v>1427</v>
      </c>
      <c r="M629">
        <f t="shared" si="127"/>
        <v>4730</v>
      </c>
      <c r="N629">
        <f t="shared" si="128"/>
        <v>3433</v>
      </c>
      <c r="O629">
        <f t="shared" si="129"/>
        <v>2154</v>
      </c>
      <c r="P629">
        <f t="shared" si="130"/>
        <v>3303</v>
      </c>
      <c r="Q629">
        <f t="shared" si="131"/>
        <v>2006</v>
      </c>
      <c r="R629">
        <f t="shared" si="132"/>
        <v>727</v>
      </c>
      <c r="S629">
        <f t="shared" si="133"/>
        <v>-1297</v>
      </c>
      <c r="T629">
        <f t="shared" si="134"/>
        <v>-2576</v>
      </c>
      <c r="U629">
        <f t="shared" si="135"/>
        <v>-1279</v>
      </c>
      <c r="V629" s="9">
        <f t="shared" si="138"/>
        <v>1427</v>
      </c>
      <c r="W629" s="9">
        <f t="shared" si="138"/>
        <v>4730</v>
      </c>
      <c r="X629" s="9">
        <f t="shared" si="138"/>
        <v>3433</v>
      </c>
      <c r="Y629" s="9">
        <f t="shared" si="138"/>
        <v>2154</v>
      </c>
      <c r="Z629" s="9">
        <f t="shared" si="138"/>
        <v>3303</v>
      </c>
      <c r="AA629" s="9">
        <f t="shared" si="137"/>
        <v>2006</v>
      </c>
      <c r="AB629" s="9">
        <f t="shared" si="137"/>
        <v>727</v>
      </c>
      <c r="AC629" s="9">
        <f t="shared" si="137"/>
        <v>1297</v>
      </c>
      <c r="AD629" s="9">
        <f t="shared" si="137"/>
        <v>2576</v>
      </c>
      <c r="AE629" s="9">
        <f t="shared" si="137"/>
        <v>1279</v>
      </c>
    </row>
    <row r="630" spans="2:31" x14ac:dyDescent="0.25">
      <c r="B630" s="6">
        <v>7553</v>
      </c>
      <c r="C630" s="6">
        <v>8814</v>
      </c>
      <c r="D630" s="6">
        <v>3697</v>
      </c>
      <c r="E630" s="6">
        <v>5458</v>
      </c>
      <c r="F630" s="6">
        <v>6447</v>
      </c>
      <c r="L630">
        <f t="shared" si="126"/>
        <v>-1261</v>
      </c>
      <c r="M630">
        <f t="shared" si="127"/>
        <v>3856</v>
      </c>
      <c r="N630">
        <f t="shared" si="128"/>
        <v>2095</v>
      </c>
      <c r="O630">
        <f t="shared" si="129"/>
        <v>1106</v>
      </c>
      <c r="P630">
        <f t="shared" si="130"/>
        <v>5117</v>
      </c>
      <c r="Q630">
        <f t="shared" si="131"/>
        <v>3356</v>
      </c>
      <c r="R630">
        <f t="shared" si="132"/>
        <v>2367</v>
      </c>
      <c r="S630">
        <f t="shared" si="133"/>
        <v>-1761</v>
      </c>
      <c r="T630">
        <f t="shared" si="134"/>
        <v>-2750</v>
      </c>
      <c r="U630">
        <f t="shared" si="135"/>
        <v>-989</v>
      </c>
      <c r="V630" s="9">
        <f t="shared" si="138"/>
        <v>1261</v>
      </c>
      <c r="W630" s="9">
        <f t="shared" si="138"/>
        <v>3856</v>
      </c>
      <c r="X630" s="9">
        <f t="shared" si="138"/>
        <v>2095</v>
      </c>
      <c r="Y630" s="9">
        <f t="shared" si="138"/>
        <v>1106</v>
      </c>
      <c r="Z630" s="9">
        <f t="shared" si="138"/>
        <v>5117</v>
      </c>
      <c r="AA630" s="9">
        <f t="shared" si="137"/>
        <v>3356</v>
      </c>
      <c r="AB630" s="9">
        <f t="shared" si="137"/>
        <v>2367</v>
      </c>
      <c r="AC630" s="9">
        <f t="shared" si="137"/>
        <v>1761</v>
      </c>
      <c r="AD630" s="9">
        <f t="shared" si="137"/>
        <v>2750</v>
      </c>
      <c r="AE630" s="9">
        <f t="shared" si="137"/>
        <v>989</v>
      </c>
    </row>
    <row r="631" spans="2:31" x14ac:dyDescent="0.25">
      <c r="B631" s="6">
        <v>8619</v>
      </c>
      <c r="C631" s="6">
        <v>7854</v>
      </c>
      <c r="D631" s="6">
        <v>5245</v>
      </c>
      <c r="E631" s="6">
        <v>5942</v>
      </c>
      <c r="F631" s="6">
        <v>7206</v>
      </c>
      <c r="L631">
        <f t="shared" si="126"/>
        <v>765</v>
      </c>
      <c r="M631">
        <f t="shared" si="127"/>
        <v>3374</v>
      </c>
      <c r="N631">
        <f t="shared" si="128"/>
        <v>2677</v>
      </c>
      <c r="O631">
        <f t="shared" si="129"/>
        <v>1413</v>
      </c>
      <c r="P631">
        <f t="shared" si="130"/>
        <v>2609</v>
      </c>
      <c r="Q631">
        <f t="shared" si="131"/>
        <v>1912</v>
      </c>
      <c r="R631">
        <f t="shared" si="132"/>
        <v>648</v>
      </c>
      <c r="S631">
        <f t="shared" si="133"/>
        <v>-697</v>
      </c>
      <c r="T631">
        <f t="shared" si="134"/>
        <v>-1961</v>
      </c>
      <c r="U631">
        <f t="shared" si="135"/>
        <v>-1264</v>
      </c>
      <c r="V631" s="9">
        <f t="shared" si="138"/>
        <v>765</v>
      </c>
      <c r="W631" s="9">
        <f t="shared" si="138"/>
        <v>3374</v>
      </c>
      <c r="X631" s="9">
        <f t="shared" si="138"/>
        <v>2677</v>
      </c>
      <c r="Y631" s="9">
        <f t="shared" si="138"/>
        <v>1413</v>
      </c>
      <c r="Z631" s="9">
        <f t="shared" si="138"/>
        <v>2609</v>
      </c>
      <c r="AA631" s="9">
        <f t="shared" si="137"/>
        <v>1912</v>
      </c>
      <c r="AB631" s="9">
        <f t="shared" si="137"/>
        <v>648</v>
      </c>
      <c r="AC631" s="9">
        <f t="shared" si="137"/>
        <v>697</v>
      </c>
      <c r="AD631" s="9">
        <f t="shared" si="137"/>
        <v>1961</v>
      </c>
      <c r="AE631" s="9">
        <f t="shared" si="137"/>
        <v>1264</v>
      </c>
    </row>
    <row r="632" spans="2:31" x14ac:dyDescent="0.25">
      <c r="B632" s="6">
        <v>12634</v>
      </c>
      <c r="C632" s="6">
        <v>11648</v>
      </c>
      <c r="D632" s="6">
        <v>8247</v>
      </c>
      <c r="E632" s="6">
        <v>8452</v>
      </c>
      <c r="F632" s="6">
        <v>8955</v>
      </c>
      <c r="L632">
        <f t="shared" si="126"/>
        <v>986</v>
      </c>
      <c r="M632">
        <f t="shared" si="127"/>
        <v>4387</v>
      </c>
      <c r="N632">
        <f t="shared" si="128"/>
        <v>4182</v>
      </c>
      <c r="O632">
        <f t="shared" si="129"/>
        <v>3679</v>
      </c>
      <c r="P632">
        <f t="shared" si="130"/>
        <v>3401</v>
      </c>
      <c r="Q632">
        <f t="shared" si="131"/>
        <v>3196</v>
      </c>
      <c r="R632">
        <f t="shared" si="132"/>
        <v>2693</v>
      </c>
      <c r="S632">
        <f t="shared" si="133"/>
        <v>-205</v>
      </c>
      <c r="T632">
        <f t="shared" si="134"/>
        <v>-708</v>
      </c>
      <c r="U632">
        <f t="shared" si="135"/>
        <v>-503</v>
      </c>
      <c r="V632" s="9">
        <f t="shared" si="138"/>
        <v>986</v>
      </c>
      <c r="W632" s="9">
        <f t="shared" si="138"/>
        <v>4387</v>
      </c>
      <c r="X632" s="9">
        <f t="shared" si="138"/>
        <v>4182</v>
      </c>
      <c r="Y632" s="9">
        <f t="shared" si="138"/>
        <v>3679</v>
      </c>
      <c r="Z632" s="9">
        <f t="shared" si="138"/>
        <v>3401</v>
      </c>
      <c r="AA632" s="9">
        <f t="shared" si="137"/>
        <v>3196</v>
      </c>
      <c r="AB632" s="9">
        <f t="shared" si="137"/>
        <v>2693</v>
      </c>
      <c r="AC632" s="9">
        <f t="shared" si="137"/>
        <v>205</v>
      </c>
      <c r="AD632" s="9">
        <f t="shared" si="137"/>
        <v>708</v>
      </c>
      <c r="AE632" s="9">
        <f t="shared" si="137"/>
        <v>503</v>
      </c>
    </row>
    <row r="633" spans="2:31" x14ac:dyDescent="0.25">
      <c r="B633" s="6">
        <v>15794</v>
      </c>
      <c r="C633" s="6">
        <v>11858</v>
      </c>
      <c r="D633" s="6">
        <v>11024</v>
      </c>
      <c r="E633" s="6">
        <v>10278</v>
      </c>
      <c r="F633" s="6">
        <v>11542</v>
      </c>
      <c r="L633">
        <f t="shared" si="126"/>
        <v>3936</v>
      </c>
      <c r="M633">
        <f t="shared" si="127"/>
        <v>4770</v>
      </c>
      <c r="N633">
        <f t="shared" si="128"/>
        <v>5516</v>
      </c>
      <c r="O633">
        <f t="shared" si="129"/>
        <v>4252</v>
      </c>
      <c r="P633">
        <f t="shared" si="130"/>
        <v>834</v>
      </c>
      <c r="Q633">
        <f t="shared" si="131"/>
        <v>1580</v>
      </c>
      <c r="R633">
        <f t="shared" si="132"/>
        <v>316</v>
      </c>
      <c r="S633">
        <f t="shared" si="133"/>
        <v>746</v>
      </c>
      <c r="T633">
        <f t="shared" si="134"/>
        <v>-518</v>
      </c>
      <c r="U633">
        <f t="shared" si="135"/>
        <v>-1264</v>
      </c>
      <c r="V633" s="9">
        <f t="shared" si="138"/>
        <v>3936</v>
      </c>
      <c r="W633" s="9">
        <f t="shared" si="138"/>
        <v>4770</v>
      </c>
      <c r="X633" s="9">
        <f t="shared" si="138"/>
        <v>5516</v>
      </c>
      <c r="Y633" s="9">
        <f t="shared" si="138"/>
        <v>4252</v>
      </c>
      <c r="Z633" s="9">
        <f t="shared" si="138"/>
        <v>834</v>
      </c>
      <c r="AA633" s="9">
        <f t="shared" si="137"/>
        <v>1580</v>
      </c>
      <c r="AB633" s="9">
        <f t="shared" si="137"/>
        <v>316</v>
      </c>
      <c r="AC633" s="9">
        <f t="shared" si="137"/>
        <v>746</v>
      </c>
      <c r="AD633" s="9">
        <f t="shared" si="137"/>
        <v>518</v>
      </c>
      <c r="AE633" s="9">
        <f t="shared" si="137"/>
        <v>1264</v>
      </c>
    </row>
    <row r="634" spans="2:31" x14ac:dyDescent="0.25">
      <c r="B634" s="6">
        <v>16459</v>
      </c>
      <c r="C634" s="6">
        <v>12670</v>
      </c>
      <c r="D634" s="6">
        <v>10325</v>
      </c>
      <c r="E634" s="6">
        <v>8642</v>
      </c>
      <c r="F634" s="6">
        <v>9906</v>
      </c>
      <c r="L634">
        <f t="shared" si="126"/>
        <v>3789</v>
      </c>
      <c r="M634">
        <f t="shared" si="127"/>
        <v>6134</v>
      </c>
      <c r="N634">
        <f t="shared" si="128"/>
        <v>7817</v>
      </c>
      <c r="O634">
        <f t="shared" si="129"/>
        <v>6553</v>
      </c>
      <c r="P634">
        <f t="shared" si="130"/>
        <v>2345</v>
      </c>
      <c r="Q634">
        <f t="shared" si="131"/>
        <v>4028</v>
      </c>
      <c r="R634">
        <f t="shared" si="132"/>
        <v>2764</v>
      </c>
      <c r="S634">
        <f t="shared" si="133"/>
        <v>1683</v>
      </c>
      <c r="T634">
        <f t="shared" si="134"/>
        <v>419</v>
      </c>
      <c r="U634">
        <f t="shared" si="135"/>
        <v>-1264</v>
      </c>
      <c r="V634" s="9">
        <f t="shared" si="138"/>
        <v>3789</v>
      </c>
      <c r="W634" s="9">
        <f t="shared" si="138"/>
        <v>6134</v>
      </c>
      <c r="X634" s="9">
        <f t="shared" si="138"/>
        <v>7817</v>
      </c>
      <c r="Y634" s="9">
        <f t="shared" si="138"/>
        <v>6553</v>
      </c>
      <c r="Z634" s="9">
        <f t="shared" si="138"/>
        <v>2345</v>
      </c>
      <c r="AA634" s="9">
        <f t="shared" si="137"/>
        <v>4028</v>
      </c>
      <c r="AB634" s="9">
        <f t="shared" si="137"/>
        <v>2764</v>
      </c>
      <c r="AC634" s="9">
        <f t="shared" si="137"/>
        <v>1683</v>
      </c>
      <c r="AD634" s="9">
        <f t="shared" si="137"/>
        <v>419</v>
      </c>
      <c r="AE634" s="9">
        <f t="shared" si="137"/>
        <v>1264</v>
      </c>
    </row>
    <row r="635" spans="2:31" x14ac:dyDescent="0.25">
      <c r="B635" s="6">
        <v>8539</v>
      </c>
      <c r="C635" s="6">
        <v>6495</v>
      </c>
      <c r="D635" s="6">
        <v>7556</v>
      </c>
      <c r="E635" s="6">
        <v>8214</v>
      </c>
      <c r="F635" s="6">
        <v>9452</v>
      </c>
      <c r="L635">
        <f t="shared" si="126"/>
        <v>2044</v>
      </c>
      <c r="M635">
        <f t="shared" si="127"/>
        <v>983</v>
      </c>
      <c r="N635">
        <f t="shared" si="128"/>
        <v>325</v>
      </c>
      <c r="O635">
        <f t="shared" si="129"/>
        <v>-913</v>
      </c>
      <c r="P635">
        <f t="shared" si="130"/>
        <v>-1061</v>
      </c>
      <c r="Q635">
        <f t="shared" si="131"/>
        <v>-1719</v>
      </c>
      <c r="R635">
        <f t="shared" si="132"/>
        <v>-2957</v>
      </c>
      <c r="S635">
        <f t="shared" si="133"/>
        <v>-658</v>
      </c>
      <c r="T635">
        <f t="shared" si="134"/>
        <v>-1896</v>
      </c>
      <c r="U635">
        <f t="shared" si="135"/>
        <v>-1238</v>
      </c>
      <c r="V635" s="9">
        <f t="shared" si="138"/>
        <v>2044</v>
      </c>
      <c r="W635" s="9">
        <f t="shared" si="138"/>
        <v>983</v>
      </c>
      <c r="X635" s="9">
        <f t="shared" si="138"/>
        <v>325</v>
      </c>
      <c r="Y635" s="9">
        <f t="shared" si="138"/>
        <v>913</v>
      </c>
      <c r="Z635" s="9">
        <f t="shared" si="138"/>
        <v>1061</v>
      </c>
      <c r="AA635" s="9">
        <f t="shared" si="137"/>
        <v>1719</v>
      </c>
      <c r="AB635" s="9">
        <f t="shared" si="137"/>
        <v>2957</v>
      </c>
      <c r="AC635" s="9">
        <f t="shared" si="137"/>
        <v>658</v>
      </c>
      <c r="AD635" s="9">
        <f t="shared" si="137"/>
        <v>1896</v>
      </c>
      <c r="AE635" s="9">
        <f t="shared" si="137"/>
        <v>1238</v>
      </c>
    </row>
    <row r="636" spans="2:31" x14ac:dyDescent="0.25">
      <c r="B636" s="6">
        <v>5346</v>
      </c>
      <c r="C636" s="6">
        <v>7648</v>
      </c>
      <c r="D636" s="6">
        <v>3546</v>
      </c>
      <c r="E636" s="6">
        <v>4541</v>
      </c>
      <c r="F636" s="6">
        <v>5805</v>
      </c>
      <c r="L636">
        <f t="shared" si="126"/>
        <v>-2302</v>
      </c>
      <c r="M636">
        <f t="shared" si="127"/>
        <v>1800</v>
      </c>
      <c r="N636">
        <f t="shared" si="128"/>
        <v>805</v>
      </c>
      <c r="O636">
        <f t="shared" si="129"/>
        <v>-459</v>
      </c>
      <c r="P636">
        <f t="shared" si="130"/>
        <v>4102</v>
      </c>
      <c r="Q636">
        <f t="shared" si="131"/>
        <v>3107</v>
      </c>
      <c r="R636">
        <f t="shared" si="132"/>
        <v>1843</v>
      </c>
      <c r="S636">
        <f t="shared" si="133"/>
        <v>-995</v>
      </c>
      <c r="T636">
        <f t="shared" si="134"/>
        <v>-2259</v>
      </c>
      <c r="U636">
        <f t="shared" si="135"/>
        <v>-1264</v>
      </c>
      <c r="V636" s="9">
        <f t="shared" si="138"/>
        <v>2302</v>
      </c>
      <c r="W636" s="9">
        <f t="shared" si="138"/>
        <v>1800</v>
      </c>
      <c r="X636" s="9">
        <f t="shared" si="138"/>
        <v>805</v>
      </c>
      <c r="Y636" s="9">
        <f t="shared" si="138"/>
        <v>459</v>
      </c>
      <c r="Z636" s="9">
        <f t="shared" si="138"/>
        <v>4102</v>
      </c>
      <c r="AA636" s="9">
        <f t="shared" si="137"/>
        <v>3107</v>
      </c>
      <c r="AB636" s="9">
        <f t="shared" si="137"/>
        <v>1843</v>
      </c>
      <c r="AC636" s="9">
        <f t="shared" si="137"/>
        <v>995</v>
      </c>
      <c r="AD636" s="9">
        <f t="shared" si="137"/>
        <v>2259</v>
      </c>
      <c r="AE636" s="9">
        <f t="shared" si="137"/>
        <v>1264</v>
      </c>
    </row>
    <row r="637" spans="2:31" x14ac:dyDescent="0.25">
      <c r="B637" s="6">
        <v>8761</v>
      </c>
      <c r="C637" s="6">
        <v>10697</v>
      </c>
      <c r="D637" s="6">
        <v>7565</v>
      </c>
      <c r="E637" s="6">
        <v>7842</v>
      </c>
      <c r="F637" s="6">
        <v>9456</v>
      </c>
      <c r="L637">
        <f t="shared" si="126"/>
        <v>-1936</v>
      </c>
      <c r="M637">
        <f t="shared" si="127"/>
        <v>1196</v>
      </c>
      <c r="N637">
        <f t="shared" si="128"/>
        <v>919</v>
      </c>
      <c r="O637">
        <f t="shared" si="129"/>
        <v>-695</v>
      </c>
      <c r="P637">
        <f t="shared" si="130"/>
        <v>3132</v>
      </c>
      <c r="Q637">
        <f t="shared" si="131"/>
        <v>2855</v>
      </c>
      <c r="R637">
        <f t="shared" si="132"/>
        <v>1241</v>
      </c>
      <c r="S637">
        <f t="shared" si="133"/>
        <v>-277</v>
      </c>
      <c r="T637">
        <f t="shared" si="134"/>
        <v>-1891</v>
      </c>
      <c r="U637">
        <f t="shared" si="135"/>
        <v>-1614</v>
      </c>
      <c r="V637" s="9">
        <f t="shared" si="138"/>
        <v>1936</v>
      </c>
      <c r="W637" s="9">
        <f t="shared" si="138"/>
        <v>1196</v>
      </c>
      <c r="X637" s="9">
        <f t="shared" si="138"/>
        <v>919</v>
      </c>
      <c r="Y637" s="9">
        <f t="shared" si="138"/>
        <v>695</v>
      </c>
      <c r="Z637" s="9">
        <f t="shared" si="138"/>
        <v>3132</v>
      </c>
      <c r="AA637" s="9">
        <f t="shared" si="137"/>
        <v>2855</v>
      </c>
      <c r="AB637" s="9">
        <f t="shared" si="137"/>
        <v>1241</v>
      </c>
      <c r="AC637" s="9">
        <f t="shared" si="137"/>
        <v>277</v>
      </c>
      <c r="AD637" s="9">
        <f t="shared" si="137"/>
        <v>1891</v>
      </c>
      <c r="AE637" s="9">
        <f t="shared" si="137"/>
        <v>1614</v>
      </c>
    </row>
    <row r="638" spans="2:31" x14ac:dyDescent="0.25">
      <c r="B638" s="6">
        <v>13347</v>
      </c>
      <c r="C638" s="6">
        <v>14326</v>
      </c>
      <c r="D638" s="6">
        <v>11245</v>
      </c>
      <c r="E638" s="6">
        <v>10542</v>
      </c>
      <c r="F638" s="6">
        <v>10452</v>
      </c>
      <c r="L638">
        <f t="shared" si="126"/>
        <v>-979</v>
      </c>
      <c r="M638">
        <f t="shared" si="127"/>
        <v>2102</v>
      </c>
      <c r="N638">
        <f t="shared" si="128"/>
        <v>2805</v>
      </c>
      <c r="O638">
        <f t="shared" si="129"/>
        <v>2895</v>
      </c>
      <c r="P638">
        <f t="shared" si="130"/>
        <v>3081</v>
      </c>
      <c r="Q638">
        <f t="shared" si="131"/>
        <v>3784</v>
      </c>
      <c r="R638">
        <f t="shared" si="132"/>
        <v>3874</v>
      </c>
      <c r="S638">
        <f t="shared" si="133"/>
        <v>703</v>
      </c>
      <c r="T638">
        <f t="shared" si="134"/>
        <v>793</v>
      </c>
      <c r="U638">
        <f t="shared" si="135"/>
        <v>90</v>
      </c>
      <c r="V638" s="9">
        <f t="shared" si="138"/>
        <v>979</v>
      </c>
      <c r="W638" s="9">
        <f t="shared" si="138"/>
        <v>2102</v>
      </c>
      <c r="X638" s="9">
        <f t="shared" si="138"/>
        <v>2805</v>
      </c>
      <c r="Y638" s="9">
        <f t="shared" si="138"/>
        <v>2895</v>
      </c>
      <c r="Z638" s="9">
        <f t="shared" si="138"/>
        <v>3081</v>
      </c>
      <c r="AA638" s="9">
        <f t="shared" si="137"/>
        <v>3784</v>
      </c>
      <c r="AB638" s="9">
        <f t="shared" si="137"/>
        <v>3874</v>
      </c>
      <c r="AC638" s="9">
        <f t="shared" si="137"/>
        <v>703</v>
      </c>
      <c r="AD638" s="9">
        <f t="shared" si="137"/>
        <v>793</v>
      </c>
      <c r="AE638" s="9">
        <f t="shared" si="137"/>
        <v>90</v>
      </c>
    </row>
    <row r="639" spans="2:31" x14ac:dyDescent="0.25">
      <c r="B639" s="6">
        <v>12436</v>
      </c>
      <c r="C639" s="6">
        <v>11062</v>
      </c>
      <c r="D639" s="6">
        <v>8242</v>
      </c>
      <c r="E639" s="6">
        <v>9424</v>
      </c>
      <c r="F639" s="6">
        <v>9452</v>
      </c>
      <c r="L639">
        <f t="shared" si="126"/>
        <v>1374</v>
      </c>
      <c r="M639">
        <f t="shared" si="127"/>
        <v>4194</v>
      </c>
      <c r="N639">
        <f t="shared" si="128"/>
        <v>3012</v>
      </c>
      <c r="O639">
        <f t="shared" si="129"/>
        <v>2984</v>
      </c>
      <c r="P639">
        <f t="shared" si="130"/>
        <v>2820</v>
      </c>
      <c r="Q639">
        <f t="shared" si="131"/>
        <v>1638</v>
      </c>
      <c r="R639">
        <f t="shared" si="132"/>
        <v>1610</v>
      </c>
      <c r="S639">
        <f t="shared" si="133"/>
        <v>-1182</v>
      </c>
      <c r="T639">
        <f t="shared" si="134"/>
        <v>-1210</v>
      </c>
      <c r="U639">
        <f t="shared" si="135"/>
        <v>-28</v>
      </c>
      <c r="V639" s="9">
        <f t="shared" si="138"/>
        <v>1374</v>
      </c>
      <c r="W639" s="9">
        <f t="shared" si="138"/>
        <v>4194</v>
      </c>
      <c r="X639" s="9">
        <f t="shared" si="138"/>
        <v>3012</v>
      </c>
      <c r="Y639" s="9">
        <f t="shared" si="138"/>
        <v>2984</v>
      </c>
      <c r="Z639" s="9">
        <f t="shared" si="138"/>
        <v>2820</v>
      </c>
      <c r="AA639" s="9">
        <f t="shared" si="137"/>
        <v>1638</v>
      </c>
      <c r="AB639" s="9">
        <f t="shared" si="137"/>
        <v>1610</v>
      </c>
      <c r="AC639" s="9">
        <f t="shared" si="137"/>
        <v>1182</v>
      </c>
      <c r="AD639" s="9">
        <f t="shared" si="137"/>
        <v>1210</v>
      </c>
      <c r="AE639" s="9">
        <f t="shared" si="137"/>
        <v>28</v>
      </c>
    </row>
    <row r="640" spans="2:31" x14ac:dyDescent="0.25">
      <c r="B640" s="6">
        <v>9954</v>
      </c>
      <c r="C640" s="6">
        <v>7906</v>
      </c>
      <c r="D640" s="6">
        <v>6542</v>
      </c>
      <c r="E640" s="6">
        <v>6547</v>
      </c>
      <c r="F640" s="6">
        <v>7841</v>
      </c>
      <c r="L640">
        <f t="shared" si="126"/>
        <v>2048</v>
      </c>
      <c r="M640">
        <f t="shared" si="127"/>
        <v>3412</v>
      </c>
      <c r="N640">
        <f t="shared" si="128"/>
        <v>3407</v>
      </c>
      <c r="O640">
        <f t="shared" si="129"/>
        <v>2113</v>
      </c>
      <c r="P640">
        <f t="shared" si="130"/>
        <v>1364</v>
      </c>
      <c r="Q640">
        <f t="shared" si="131"/>
        <v>1359</v>
      </c>
      <c r="R640">
        <f t="shared" si="132"/>
        <v>65</v>
      </c>
      <c r="S640">
        <f t="shared" si="133"/>
        <v>-5</v>
      </c>
      <c r="T640">
        <f t="shared" si="134"/>
        <v>-1299</v>
      </c>
      <c r="U640">
        <f t="shared" si="135"/>
        <v>-1294</v>
      </c>
      <c r="V640" s="9">
        <f t="shared" si="138"/>
        <v>2048</v>
      </c>
      <c r="W640" s="9">
        <f t="shared" si="138"/>
        <v>3412</v>
      </c>
      <c r="X640" s="9">
        <f t="shared" si="138"/>
        <v>3407</v>
      </c>
      <c r="Y640" s="9">
        <f t="shared" si="138"/>
        <v>2113</v>
      </c>
      <c r="Z640" s="9">
        <f t="shared" si="138"/>
        <v>1364</v>
      </c>
      <c r="AA640" s="9">
        <f t="shared" si="137"/>
        <v>1359</v>
      </c>
      <c r="AB640" s="9">
        <f t="shared" si="137"/>
        <v>65</v>
      </c>
      <c r="AC640" s="9">
        <f t="shared" si="137"/>
        <v>5</v>
      </c>
      <c r="AD640" s="9">
        <f t="shared" si="137"/>
        <v>1299</v>
      </c>
      <c r="AE640" s="9">
        <f t="shared" si="137"/>
        <v>1294</v>
      </c>
    </row>
    <row r="641" spans="2:31" x14ac:dyDescent="0.25">
      <c r="B641" s="6">
        <v>7638</v>
      </c>
      <c r="C641" s="6">
        <v>6972</v>
      </c>
      <c r="D641" s="6">
        <v>5246</v>
      </c>
      <c r="E641" s="6">
        <v>6542</v>
      </c>
      <c r="F641" s="6">
        <v>7806</v>
      </c>
      <c r="L641">
        <f t="shared" ref="L641:L704" si="139">B641-C641</f>
        <v>666</v>
      </c>
      <c r="M641">
        <f t="shared" ref="M641:M704" si="140">B641-D641</f>
        <v>2392</v>
      </c>
      <c r="N641">
        <f t="shared" ref="N641:N704" si="141">B641-E641</f>
        <v>1096</v>
      </c>
      <c r="O641">
        <f t="shared" ref="O641:O704" si="142">B641-F641</f>
        <v>-168</v>
      </c>
      <c r="P641">
        <f t="shared" ref="P641:P704" si="143">C641-D641</f>
        <v>1726</v>
      </c>
      <c r="Q641">
        <f t="shared" ref="Q641:Q704" si="144">C641-E641</f>
        <v>430</v>
      </c>
      <c r="R641">
        <f t="shared" ref="R641:R704" si="145">C641-F641</f>
        <v>-834</v>
      </c>
      <c r="S641">
        <f t="shared" ref="S641:S704" si="146">D641-E641</f>
        <v>-1296</v>
      </c>
      <c r="T641">
        <f t="shared" ref="T641:T704" si="147">D641-F641</f>
        <v>-2560</v>
      </c>
      <c r="U641">
        <f t="shared" ref="U641:U704" si="148">E641-F641</f>
        <v>-1264</v>
      </c>
      <c r="V641" s="9">
        <f t="shared" si="138"/>
        <v>666</v>
      </c>
      <c r="W641" s="9">
        <f t="shared" si="138"/>
        <v>2392</v>
      </c>
      <c r="X641" s="9">
        <f t="shared" si="138"/>
        <v>1096</v>
      </c>
      <c r="Y641" s="9">
        <f t="shared" si="138"/>
        <v>168</v>
      </c>
      <c r="Z641" s="9">
        <f t="shared" si="138"/>
        <v>1726</v>
      </c>
      <c r="AA641" s="9">
        <f t="shared" si="137"/>
        <v>430</v>
      </c>
      <c r="AB641" s="9">
        <f t="shared" si="137"/>
        <v>834</v>
      </c>
      <c r="AC641" s="9">
        <f t="shared" si="137"/>
        <v>1296</v>
      </c>
      <c r="AD641" s="9">
        <f t="shared" si="137"/>
        <v>2560</v>
      </c>
      <c r="AE641" s="9">
        <f t="shared" si="137"/>
        <v>1264</v>
      </c>
    </row>
    <row r="642" spans="2:31" x14ac:dyDescent="0.25">
      <c r="B642" s="6">
        <v>5591</v>
      </c>
      <c r="C642" s="6">
        <v>7564</v>
      </c>
      <c r="D642" s="6">
        <v>3654</v>
      </c>
      <c r="E642" s="6">
        <v>4568</v>
      </c>
      <c r="F642" s="6">
        <v>5942</v>
      </c>
      <c r="L642">
        <f t="shared" si="139"/>
        <v>-1973</v>
      </c>
      <c r="M642">
        <f t="shared" si="140"/>
        <v>1937</v>
      </c>
      <c r="N642">
        <f t="shared" si="141"/>
        <v>1023</v>
      </c>
      <c r="O642">
        <f t="shared" si="142"/>
        <v>-351</v>
      </c>
      <c r="P642">
        <f t="shared" si="143"/>
        <v>3910</v>
      </c>
      <c r="Q642">
        <f t="shared" si="144"/>
        <v>2996</v>
      </c>
      <c r="R642">
        <f t="shared" si="145"/>
        <v>1622</v>
      </c>
      <c r="S642">
        <f t="shared" si="146"/>
        <v>-914</v>
      </c>
      <c r="T642">
        <f t="shared" si="147"/>
        <v>-2288</v>
      </c>
      <c r="U642">
        <f t="shared" si="148"/>
        <v>-1374</v>
      </c>
      <c r="V642" s="9">
        <f t="shared" si="138"/>
        <v>1973</v>
      </c>
      <c r="W642" s="9">
        <f t="shared" si="138"/>
        <v>1937</v>
      </c>
      <c r="X642" s="9">
        <f t="shared" si="138"/>
        <v>1023</v>
      </c>
      <c r="Y642" s="9">
        <f t="shared" si="138"/>
        <v>351</v>
      </c>
      <c r="Z642" s="9">
        <f t="shared" si="138"/>
        <v>3910</v>
      </c>
      <c r="AA642" s="9">
        <f t="shared" si="137"/>
        <v>2996</v>
      </c>
      <c r="AB642" s="9">
        <f t="shared" si="137"/>
        <v>1622</v>
      </c>
      <c r="AC642" s="9">
        <f t="shared" si="137"/>
        <v>914</v>
      </c>
      <c r="AD642" s="9">
        <f t="shared" si="137"/>
        <v>2288</v>
      </c>
      <c r="AE642" s="9">
        <f t="shared" si="137"/>
        <v>1374</v>
      </c>
    </row>
    <row r="643" spans="2:31" x14ac:dyDescent="0.25">
      <c r="B643" s="6">
        <v>6537</v>
      </c>
      <c r="C643" s="6">
        <v>8531</v>
      </c>
      <c r="D643" s="6">
        <v>5634</v>
      </c>
      <c r="E643" s="6">
        <v>6542</v>
      </c>
      <c r="F643" s="6">
        <v>7806</v>
      </c>
      <c r="L643">
        <f t="shared" si="139"/>
        <v>-1994</v>
      </c>
      <c r="M643">
        <f t="shared" si="140"/>
        <v>903</v>
      </c>
      <c r="N643">
        <f t="shared" si="141"/>
        <v>-5</v>
      </c>
      <c r="O643">
        <f t="shared" si="142"/>
        <v>-1269</v>
      </c>
      <c r="P643">
        <f t="shared" si="143"/>
        <v>2897</v>
      </c>
      <c r="Q643">
        <f t="shared" si="144"/>
        <v>1989</v>
      </c>
      <c r="R643">
        <f t="shared" si="145"/>
        <v>725</v>
      </c>
      <c r="S643">
        <f t="shared" si="146"/>
        <v>-908</v>
      </c>
      <c r="T643">
        <f t="shared" si="147"/>
        <v>-2172</v>
      </c>
      <c r="U643">
        <f t="shared" si="148"/>
        <v>-1264</v>
      </c>
      <c r="V643" s="9">
        <f t="shared" si="138"/>
        <v>1994</v>
      </c>
      <c r="W643" s="9">
        <f t="shared" si="138"/>
        <v>903</v>
      </c>
      <c r="X643" s="9">
        <f t="shared" si="138"/>
        <v>5</v>
      </c>
      <c r="Y643" s="9">
        <f t="shared" si="138"/>
        <v>1269</v>
      </c>
      <c r="Z643" s="9">
        <f t="shared" si="138"/>
        <v>2897</v>
      </c>
      <c r="AA643" s="9">
        <f t="shared" si="137"/>
        <v>1989</v>
      </c>
      <c r="AB643" s="9">
        <f t="shared" si="137"/>
        <v>725</v>
      </c>
      <c r="AC643" s="9">
        <f t="shared" si="137"/>
        <v>908</v>
      </c>
      <c r="AD643" s="9">
        <f t="shared" si="137"/>
        <v>2172</v>
      </c>
      <c r="AE643" s="9">
        <f t="shared" si="137"/>
        <v>1264</v>
      </c>
    </row>
    <row r="644" spans="2:31" x14ac:dyDescent="0.25">
      <c r="B644" s="6">
        <v>8946</v>
      </c>
      <c r="C644" s="6">
        <v>9664</v>
      </c>
      <c r="D644" s="6">
        <v>8545</v>
      </c>
      <c r="E644" s="6">
        <v>9542</v>
      </c>
      <c r="F644" s="6">
        <v>11245</v>
      </c>
      <c r="L644">
        <f t="shared" si="139"/>
        <v>-718</v>
      </c>
      <c r="M644">
        <f t="shared" si="140"/>
        <v>401</v>
      </c>
      <c r="N644">
        <f t="shared" si="141"/>
        <v>-596</v>
      </c>
      <c r="O644">
        <f t="shared" si="142"/>
        <v>-2299</v>
      </c>
      <c r="P644">
        <f t="shared" si="143"/>
        <v>1119</v>
      </c>
      <c r="Q644">
        <f t="shared" si="144"/>
        <v>122</v>
      </c>
      <c r="R644">
        <f t="shared" si="145"/>
        <v>-1581</v>
      </c>
      <c r="S644">
        <f t="shared" si="146"/>
        <v>-997</v>
      </c>
      <c r="T644">
        <f t="shared" si="147"/>
        <v>-2700</v>
      </c>
      <c r="U644">
        <f t="shared" si="148"/>
        <v>-1703</v>
      </c>
      <c r="V644" s="9">
        <f t="shared" si="138"/>
        <v>718</v>
      </c>
      <c r="W644" s="9">
        <f t="shared" si="138"/>
        <v>401</v>
      </c>
      <c r="X644" s="9">
        <f t="shared" si="138"/>
        <v>596</v>
      </c>
      <c r="Y644" s="9">
        <f t="shared" si="138"/>
        <v>2299</v>
      </c>
      <c r="Z644" s="9">
        <f t="shared" si="138"/>
        <v>1119</v>
      </c>
      <c r="AA644" s="9">
        <f t="shared" si="137"/>
        <v>122</v>
      </c>
      <c r="AB644" s="9">
        <f t="shared" si="137"/>
        <v>1581</v>
      </c>
      <c r="AC644" s="9">
        <f t="shared" si="137"/>
        <v>997</v>
      </c>
      <c r="AD644" s="9">
        <f t="shared" si="137"/>
        <v>2700</v>
      </c>
      <c r="AE644" s="9">
        <f t="shared" si="137"/>
        <v>1703</v>
      </c>
    </row>
    <row r="645" spans="2:31" x14ac:dyDescent="0.25">
      <c r="B645" s="6">
        <v>9761</v>
      </c>
      <c r="C645" s="6">
        <v>12552</v>
      </c>
      <c r="D645" s="6">
        <v>10258</v>
      </c>
      <c r="E645" s="6">
        <v>11255</v>
      </c>
      <c r="F645" s="6">
        <v>13452</v>
      </c>
      <c r="L645">
        <f t="shared" si="139"/>
        <v>-2791</v>
      </c>
      <c r="M645">
        <f t="shared" si="140"/>
        <v>-497</v>
      </c>
      <c r="N645">
        <f t="shared" si="141"/>
        <v>-1494</v>
      </c>
      <c r="O645">
        <f t="shared" si="142"/>
        <v>-3691</v>
      </c>
      <c r="P645">
        <f t="shared" si="143"/>
        <v>2294</v>
      </c>
      <c r="Q645">
        <f t="shared" si="144"/>
        <v>1297</v>
      </c>
      <c r="R645">
        <f t="shared" si="145"/>
        <v>-900</v>
      </c>
      <c r="S645">
        <f t="shared" si="146"/>
        <v>-997</v>
      </c>
      <c r="T645">
        <f t="shared" si="147"/>
        <v>-3194</v>
      </c>
      <c r="U645">
        <f t="shared" si="148"/>
        <v>-2197</v>
      </c>
      <c r="V645" s="9">
        <f t="shared" si="138"/>
        <v>2791</v>
      </c>
      <c r="W645" s="9">
        <f t="shared" si="138"/>
        <v>497</v>
      </c>
      <c r="X645" s="9">
        <f t="shared" si="138"/>
        <v>1494</v>
      </c>
      <c r="Y645" s="9">
        <f t="shared" si="138"/>
        <v>3691</v>
      </c>
      <c r="Z645" s="9">
        <f t="shared" si="138"/>
        <v>2294</v>
      </c>
      <c r="AA645" s="9">
        <f t="shared" si="137"/>
        <v>1297</v>
      </c>
      <c r="AB645" s="9">
        <f t="shared" si="137"/>
        <v>900</v>
      </c>
      <c r="AC645" s="9">
        <f t="shared" si="137"/>
        <v>997</v>
      </c>
      <c r="AD645" s="9">
        <f t="shared" si="137"/>
        <v>3194</v>
      </c>
      <c r="AE645" s="9">
        <f t="shared" si="137"/>
        <v>2197</v>
      </c>
    </row>
    <row r="646" spans="2:31" x14ac:dyDescent="0.25">
      <c r="B646" s="6">
        <v>12237</v>
      </c>
      <c r="C646" s="6">
        <v>10279</v>
      </c>
      <c r="D646" s="6">
        <v>8545</v>
      </c>
      <c r="E646" s="6">
        <v>9542</v>
      </c>
      <c r="F646" s="6">
        <v>10806</v>
      </c>
      <c r="L646">
        <f t="shared" si="139"/>
        <v>1958</v>
      </c>
      <c r="M646">
        <f t="shared" si="140"/>
        <v>3692</v>
      </c>
      <c r="N646">
        <f t="shared" si="141"/>
        <v>2695</v>
      </c>
      <c r="O646">
        <f t="shared" si="142"/>
        <v>1431</v>
      </c>
      <c r="P646">
        <f t="shared" si="143"/>
        <v>1734</v>
      </c>
      <c r="Q646">
        <f t="shared" si="144"/>
        <v>737</v>
      </c>
      <c r="R646">
        <f t="shared" si="145"/>
        <v>-527</v>
      </c>
      <c r="S646">
        <f t="shared" si="146"/>
        <v>-997</v>
      </c>
      <c r="T646">
        <f t="shared" si="147"/>
        <v>-2261</v>
      </c>
      <c r="U646">
        <f t="shared" si="148"/>
        <v>-1264</v>
      </c>
      <c r="V646" s="9">
        <f t="shared" si="138"/>
        <v>1958</v>
      </c>
      <c r="W646" s="9">
        <f t="shared" si="138"/>
        <v>3692</v>
      </c>
      <c r="X646" s="9">
        <f t="shared" si="138"/>
        <v>2695</v>
      </c>
      <c r="Y646" s="9">
        <f t="shared" si="138"/>
        <v>1431</v>
      </c>
      <c r="Z646" s="9">
        <f t="shared" si="138"/>
        <v>1734</v>
      </c>
      <c r="AA646" s="9">
        <f t="shared" si="137"/>
        <v>737</v>
      </c>
      <c r="AB646" s="9">
        <f t="shared" si="137"/>
        <v>527</v>
      </c>
      <c r="AC646" s="9">
        <f t="shared" si="137"/>
        <v>997</v>
      </c>
      <c r="AD646" s="9">
        <f t="shared" si="137"/>
        <v>2261</v>
      </c>
      <c r="AE646" s="9">
        <f t="shared" si="137"/>
        <v>1264</v>
      </c>
    </row>
    <row r="647" spans="2:31" x14ac:dyDescent="0.25">
      <c r="B647" s="6">
        <v>9764</v>
      </c>
      <c r="C647" s="6">
        <v>10325</v>
      </c>
      <c r="D647" s="6">
        <v>8246</v>
      </c>
      <c r="E647" s="6">
        <v>8542</v>
      </c>
      <c r="F647" s="6">
        <v>10242</v>
      </c>
      <c r="L647">
        <f t="shared" si="139"/>
        <v>-561</v>
      </c>
      <c r="M647">
        <f t="shared" si="140"/>
        <v>1518</v>
      </c>
      <c r="N647">
        <f t="shared" si="141"/>
        <v>1222</v>
      </c>
      <c r="O647">
        <f t="shared" si="142"/>
        <v>-478</v>
      </c>
      <c r="P647">
        <f t="shared" si="143"/>
        <v>2079</v>
      </c>
      <c r="Q647">
        <f t="shared" si="144"/>
        <v>1783</v>
      </c>
      <c r="R647">
        <f t="shared" si="145"/>
        <v>83</v>
      </c>
      <c r="S647">
        <f t="shared" si="146"/>
        <v>-296</v>
      </c>
      <c r="T647">
        <f t="shared" si="147"/>
        <v>-1996</v>
      </c>
      <c r="U647">
        <f t="shared" si="148"/>
        <v>-1700</v>
      </c>
      <c r="V647" s="9">
        <f t="shared" si="138"/>
        <v>561</v>
      </c>
      <c r="W647" s="9">
        <f t="shared" si="138"/>
        <v>1518</v>
      </c>
      <c r="X647" s="9">
        <f t="shared" si="138"/>
        <v>1222</v>
      </c>
      <c r="Y647" s="9">
        <f t="shared" si="138"/>
        <v>478</v>
      </c>
      <c r="Z647" s="9">
        <f t="shared" si="138"/>
        <v>2079</v>
      </c>
      <c r="AA647" s="9">
        <f t="shared" si="137"/>
        <v>1783</v>
      </c>
      <c r="AB647" s="9">
        <f t="shared" si="137"/>
        <v>83</v>
      </c>
      <c r="AC647" s="9">
        <f t="shared" si="137"/>
        <v>296</v>
      </c>
      <c r="AD647" s="9">
        <f t="shared" si="137"/>
        <v>1996</v>
      </c>
      <c r="AE647" s="9">
        <f t="shared" si="137"/>
        <v>1700</v>
      </c>
    </row>
    <row r="648" spans="2:31" x14ac:dyDescent="0.25">
      <c r="B648" s="6">
        <v>8647</v>
      </c>
      <c r="C648" s="6">
        <v>8007</v>
      </c>
      <c r="D648" s="6">
        <v>7533</v>
      </c>
      <c r="E648" s="6">
        <v>8164</v>
      </c>
      <c r="F648" s="6">
        <v>9428</v>
      </c>
      <c r="L648">
        <f t="shared" si="139"/>
        <v>640</v>
      </c>
      <c r="M648">
        <f t="shared" si="140"/>
        <v>1114</v>
      </c>
      <c r="N648">
        <f t="shared" si="141"/>
        <v>483</v>
      </c>
      <c r="O648">
        <f t="shared" si="142"/>
        <v>-781</v>
      </c>
      <c r="P648">
        <f t="shared" si="143"/>
        <v>474</v>
      </c>
      <c r="Q648">
        <f t="shared" si="144"/>
        <v>-157</v>
      </c>
      <c r="R648">
        <f t="shared" si="145"/>
        <v>-1421</v>
      </c>
      <c r="S648">
        <f t="shared" si="146"/>
        <v>-631</v>
      </c>
      <c r="T648">
        <f t="shared" si="147"/>
        <v>-1895</v>
      </c>
      <c r="U648">
        <f t="shared" si="148"/>
        <v>-1264</v>
      </c>
      <c r="V648" s="9">
        <f t="shared" si="138"/>
        <v>640</v>
      </c>
      <c r="W648" s="9">
        <f t="shared" si="138"/>
        <v>1114</v>
      </c>
      <c r="X648" s="9">
        <f t="shared" si="138"/>
        <v>483</v>
      </c>
      <c r="Y648" s="9">
        <f t="shared" si="138"/>
        <v>781</v>
      </c>
      <c r="Z648" s="9">
        <f t="shared" si="138"/>
        <v>474</v>
      </c>
      <c r="AA648" s="9">
        <f t="shared" si="137"/>
        <v>157</v>
      </c>
      <c r="AB648" s="9">
        <f t="shared" si="137"/>
        <v>1421</v>
      </c>
      <c r="AC648" s="9">
        <f t="shared" si="137"/>
        <v>631</v>
      </c>
      <c r="AD648" s="9">
        <f t="shared" si="137"/>
        <v>1895</v>
      </c>
      <c r="AE648" s="9">
        <f t="shared" si="137"/>
        <v>1264</v>
      </c>
    </row>
    <row r="649" spans="2:31" x14ac:dyDescent="0.25">
      <c r="B649" s="6">
        <v>6597</v>
      </c>
      <c r="C649" s="6">
        <v>8183</v>
      </c>
      <c r="D649" s="6">
        <v>5344</v>
      </c>
      <c r="E649" s="6">
        <v>6482</v>
      </c>
      <c r="F649" s="6">
        <v>8824</v>
      </c>
      <c r="L649">
        <f t="shared" si="139"/>
        <v>-1586</v>
      </c>
      <c r="M649">
        <f t="shared" si="140"/>
        <v>1253</v>
      </c>
      <c r="N649">
        <f t="shared" si="141"/>
        <v>115</v>
      </c>
      <c r="O649">
        <f t="shared" si="142"/>
        <v>-2227</v>
      </c>
      <c r="P649">
        <f t="shared" si="143"/>
        <v>2839</v>
      </c>
      <c r="Q649">
        <f t="shared" si="144"/>
        <v>1701</v>
      </c>
      <c r="R649">
        <f t="shared" si="145"/>
        <v>-641</v>
      </c>
      <c r="S649">
        <f t="shared" si="146"/>
        <v>-1138</v>
      </c>
      <c r="T649">
        <f t="shared" si="147"/>
        <v>-3480</v>
      </c>
      <c r="U649">
        <f t="shared" si="148"/>
        <v>-2342</v>
      </c>
      <c r="V649" s="9">
        <f t="shared" si="138"/>
        <v>1586</v>
      </c>
      <c r="W649" s="9">
        <f t="shared" si="138"/>
        <v>1253</v>
      </c>
      <c r="X649" s="9">
        <f t="shared" si="138"/>
        <v>115</v>
      </c>
      <c r="Y649" s="9">
        <f t="shared" si="138"/>
        <v>2227</v>
      </c>
      <c r="Z649" s="9">
        <f t="shared" si="138"/>
        <v>2839</v>
      </c>
      <c r="AA649" s="9">
        <f t="shared" si="137"/>
        <v>1701</v>
      </c>
      <c r="AB649" s="9">
        <f t="shared" si="137"/>
        <v>641</v>
      </c>
      <c r="AC649" s="9">
        <f t="shared" si="137"/>
        <v>1138</v>
      </c>
      <c r="AD649" s="9">
        <f t="shared" si="137"/>
        <v>3480</v>
      </c>
      <c r="AE649" s="9">
        <f t="shared" si="137"/>
        <v>2342</v>
      </c>
    </row>
    <row r="650" spans="2:31" x14ac:dyDescent="0.25">
      <c r="B650" s="6">
        <v>9569</v>
      </c>
      <c r="C650" s="6">
        <v>9159</v>
      </c>
      <c r="D650" s="6">
        <v>7662</v>
      </c>
      <c r="E650" s="6">
        <v>8244</v>
      </c>
      <c r="F650" s="6">
        <v>9508</v>
      </c>
      <c r="L650">
        <f t="shared" si="139"/>
        <v>410</v>
      </c>
      <c r="M650">
        <f t="shared" si="140"/>
        <v>1907</v>
      </c>
      <c r="N650">
        <f t="shared" si="141"/>
        <v>1325</v>
      </c>
      <c r="O650">
        <f t="shared" si="142"/>
        <v>61</v>
      </c>
      <c r="P650">
        <f t="shared" si="143"/>
        <v>1497</v>
      </c>
      <c r="Q650">
        <f t="shared" si="144"/>
        <v>915</v>
      </c>
      <c r="R650">
        <f t="shared" si="145"/>
        <v>-349</v>
      </c>
      <c r="S650">
        <f t="shared" si="146"/>
        <v>-582</v>
      </c>
      <c r="T650">
        <f t="shared" si="147"/>
        <v>-1846</v>
      </c>
      <c r="U650">
        <f t="shared" si="148"/>
        <v>-1264</v>
      </c>
      <c r="V650" s="9">
        <f t="shared" si="138"/>
        <v>410</v>
      </c>
      <c r="W650" s="9">
        <f t="shared" si="138"/>
        <v>1907</v>
      </c>
      <c r="X650" s="9">
        <f t="shared" si="138"/>
        <v>1325</v>
      </c>
      <c r="Y650" s="9">
        <f t="shared" si="138"/>
        <v>61</v>
      </c>
      <c r="Z650" s="9">
        <f t="shared" si="138"/>
        <v>1497</v>
      </c>
      <c r="AA650" s="9">
        <f t="shared" si="137"/>
        <v>915</v>
      </c>
      <c r="AB650" s="9">
        <f t="shared" si="137"/>
        <v>349</v>
      </c>
      <c r="AC650" s="9">
        <f t="shared" si="137"/>
        <v>582</v>
      </c>
      <c r="AD650" s="9">
        <f t="shared" si="137"/>
        <v>1846</v>
      </c>
      <c r="AE650" s="9">
        <f t="shared" si="137"/>
        <v>1264</v>
      </c>
    </row>
    <row r="651" spans="2:31" x14ac:dyDescent="0.25">
      <c r="B651" s="6">
        <v>13348</v>
      </c>
      <c r="C651" s="6">
        <v>14115</v>
      </c>
      <c r="D651" s="6">
        <v>8552</v>
      </c>
      <c r="E651" s="6">
        <v>9542</v>
      </c>
      <c r="F651" s="6">
        <v>11242</v>
      </c>
      <c r="L651">
        <f t="shared" si="139"/>
        <v>-767</v>
      </c>
      <c r="M651">
        <f t="shared" si="140"/>
        <v>4796</v>
      </c>
      <c r="N651">
        <f t="shared" si="141"/>
        <v>3806</v>
      </c>
      <c r="O651">
        <f t="shared" si="142"/>
        <v>2106</v>
      </c>
      <c r="P651">
        <f t="shared" si="143"/>
        <v>5563</v>
      </c>
      <c r="Q651">
        <f t="shared" si="144"/>
        <v>4573</v>
      </c>
      <c r="R651">
        <f t="shared" si="145"/>
        <v>2873</v>
      </c>
      <c r="S651">
        <f t="shared" si="146"/>
        <v>-990</v>
      </c>
      <c r="T651">
        <f t="shared" si="147"/>
        <v>-2690</v>
      </c>
      <c r="U651">
        <f t="shared" si="148"/>
        <v>-1700</v>
      </c>
      <c r="V651" s="9">
        <f t="shared" si="138"/>
        <v>767</v>
      </c>
      <c r="W651" s="9">
        <f t="shared" si="138"/>
        <v>4796</v>
      </c>
      <c r="X651" s="9">
        <f t="shared" si="138"/>
        <v>3806</v>
      </c>
      <c r="Y651" s="9">
        <f t="shared" si="138"/>
        <v>2106</v>
      </c>
      <c r="Z651" s="9">
        <f t="shared" si="138"/>
        <v>5563</v>
      </c>
      <c r="AA651" s="9">
        <f t="shared" si="137"/>
        <v>4573</v>
      </c>
      <c r="AB651" s="9">
        <f t="shared" si="137"/>
        <v>2873</v>
      </c>
      <c r="AC651" s="9">
        <f t="shared" si="137"/>
        <v>990</v>
      </c>
      <c r="AD651" s="9">
        <f t="shared" si="137"/>
        <v>2690</v>
      </c>
      <c r="AE651" s="9">
        <f t="shared" si="137"/>
        <v>1700</v>
      </c>
    </row>
    <row r="652" spans="2:31" x14ac:dyDescent="0.25">
      <c r="B652" s="6">
        <v>10452</v>
      </c>
      <c r="C652" s="6">
        <v>11869</v>
      </c>
      <c r="D652" s="6">
        <v>10546</v>
      </c>
      <c r="E652" s="6">
        <v>11254</v>
      </c>
      <c r="F652" s="6">
        <v>12518</v>
      </c>
      <c r="L652">
        <f t="shared" si="139"/>
        <v>-1417</v>
      </c>
      <c r="M652">
        <f t="shared" si="140"/>
        <v>-94</v>
      </c>
      <c r="N652">
        <f t="shared" si="141"/>
        <v>-802</v>
      </c>
      <c r="O652">
        <f t="shared" si="142"/>
        <v>-2066</v>
      </c>
      <c r="P652">
        <f t="shared" si="143"/>
        <v>1323</v>
      </c>
      <c r="Q652">
        <f t="shared" si="144"/>
        <v>615</v>
      </c>
      <c r="R652">
        <f t="shared" si="145"/>
        <v>-649</v>
      </c>
      <c r="S652">
        <f t="shared" si="146"/>
        <v>-708</v>
      </c>
      <c r="T652">
        <f t="shared" si="147"/>
        <v>-1972</v>
      </c>
      <c r="U652">
        <f t="shared" si="148"/>
        <v>-1264</v>
      </c>
      <c r="V652" s="9">
        <f t="shared" si="138"/>
        <v>1417</v>
      </c>
      <c r="W652" s="9">
        <f t="shared" si="138"/>
        <v>94</v>
      </c>
      <c r="X652" s="9">
        <f t="shared" si="138"/>
        <v>802</v>
      </c>
      <c r="Y652" s="9">
        <f t="shared" si="138"/>
        <v>2066</v>
      </c>
      <c r="Z652" s="9">
        <f t="shared" si="138"/>
        <v>1323</v>
      </c>
      <c r="AA652" s="9">
        <f t="shared" si="137"/>
        <v>615</v>
      </c>
      <c r="AB652" s="9">
        <f t="shared" si="137"/>
        <v>649</v>
      </c>
      <c r="AC652" s="9">
        <f t="shared" si="137"/>
        <v>708</v>
      </c>
      <c r="AD652" s="9">
        <f t="shared" si="137"/>
        <v>1972</v>
      </c>
      <c r="AE652" s="9">
        <f t="shared" si="137"/>
        <v>1264</v>
      </c>
    </row>
    <row r="653" spans="2:31" x14ac:dyDescent="0.25">
      <c r="B653" s="6">
        <v>8596</v>
      </c>
      <c r="C653" s="6">
        <v>8517</v>
      </c>
      <c r="D653" s="6">
        <v>8246</v>
      </c>
      <c r="E653" s="6">
        <v>9542</v>
      </c>
      <c r="F653" s="6">
        <v>10546</v>
      </c>
      <c r="L653">
        <f t="shared" si="139"/>
        <v>79</v>
      </c>
      <c r="M653">
        <f t="shared" si="140"/>
        <v>350</v>
      </c>
      <c r="N653">
        <f t="shared" si="141"/>
        <v>-946</v>
      </c>
      <c r="O653">
        <f t="shared" si="142"/>
        <v>-1950</v>
      </c>
      <c r="P653">
        <f t="shared" si="143"/>
        <v>271</v>
      </c>
      <c r="Q653">
        <f t="shared" si="144"/>
        <v>-1025</v>
      </c>
      <c r="R653">
        <f t="shared" si="145"/>
        <v>-2029</v>
      </c>
      <c r="S653">
        <f t="shared" si="146"/>
        <v>-1296</v>
      </c>
      <c r="T653">
        <f t="shared" si="147"/>
        <v>-2300</v>
      </c>
      <c r="U653">
        <f t="shared" si="148"/>
        <v>-1004</v>
      </c>
      <c r="V653" s="9">
        <f t="shared" si="138"/>
        <v>79</v>
      </c>
      <c r="W653" s="9">
        <f t="shared" si="138"/>
        <v>350</v>
      </c>
      <c r="X653" s="9">
        <f t="shared" si="138"/>
        <v>946</v>
      </c>
      <c r="Y653" s="9">
        <f t="shared" si="138"/>
        <v>1950</v>
      </c>
      <c r="Z653" s="9">
        <f t="shared" si="138"/>
        <v>271</v>
      </c>
      <c r="AA653" s="9">
        <f t="shared" si="137"/>
        <v>1025</v>
      </c>
      <c r="AB653" s="9">
        <f t="shared" si="137"/>
        <v>2029</v>
      </c>
      <c r="AC653" s="9">
        <f t="shared" si="137"/>
        <v>1296</v>
      </c>
      <c r="AD653" s="9">
        <f t="shared" si="137"/>
        <v>2300</v>
      </c>
      <c r="AE653" s="9">
        <f t="shared" si="137"/>
        <v>1004</v>
      </c>
    </row>
    <row r="654" spans="2:31" x14ac:dyDescent="0.25">
      <c r="B654" s="6">
        <v>6598</v>
      </c>
      <c r="C654" s="6">
        <v>6526</v>
      </c>
      <c r="D654" s="6">
        <v>4000</v>
      </c>
      <c r="E654" s="6">
        <v>6548</v>
      </c>
      <c r="F654" s="6">
        <v>7812</v>
      </c>
      <c r="L654">
        <f t="shared" si="139"/>
        <v>72</v>
      </c>
      <c r="M654">
        <f t="shared" si="140"/>
        <v>2598</v>
      </c>
      <c r="N654">
        <f t="shared" si="141"/>
        <v>50</v>
      </c>
      <c r="O654">
        <f t="shared" si="142"/>
        <v>-1214</v>
      </c>
      <c r="P654">
        <f t="shared" si="143"/>
        <v>2526</v>
      </c>
      <c r="Q654">
        <f t="shared" si="144"/>
        <v>-22</v>
      </c>
      <c r="R654">
        <f t="shared" si="145"/>
        <v>-1286</v>
      </c>
      <c r="S654">
        <f t="shared" si="146"/>
        <v>-2548</v>
      </c>
      <c r="T654">
        <f t="shared" si="147"/>
        <v>-3812</v>
      </c>
      <c r="U654">
        <f t="shared" si="148"/>
        <v>-1264</v>
      </c>
      <c r="V654" s="9">
        <f t="shared" si="138"/>
        <v>72</v>
      </c>
      <c r="W654" s="9">
        <f t="shared" si="138"/>
        <v>2598</v>
      </c>
      <c r="X654" s="9">
        <f t="shared" si="138"/>
        <v>50</v>
      </c>
      <c r="Y654" s="9">
        <f t="shared" si="138"/>
        <v>1214</v>
      </c>
      <c r="Z654" s="9">
        <f t="shared" si="138"/>
        <v>2526</v>
      </c>
      <c r="AA654" s="9">
        <f t="shared" si="137"/>
        <v>22</v>
      </c>
      <c r="AB654" s="9">
        <f t="shared" si="137"/>
        <v>1286</v>
      </c>
      <c r="AC654" s="9">
        <f t="shared" si="137"/>
        <v>2548</v>
      </c>
      <c r="AD654" s="9">
        <f t="shared" si="137"/>
        <v>3812</v>
      </c>
      <c r="AE654" s="9">
        <f t="shared" si="137"/>
        <v>1264</v>
      </c>
    </row>
    <row r="655" spans="2:31" x14ac:dyDescent="0.25">
      <c r="B655" s="6">
        <v>9463</v>
      </c>
      <c r="C655" s="6">
        <v>9372</v>
      </c>
      <c r="D655" s="6">
        <v>5224</v>
      </c>
      <c r="E655" s="6">
        <v>6489</v>
      </c>
      <c r="F655" s="6">
        <v>8425</v>
      </c>
      <c r="L655">
        <f t="shared" si="139"/>
        <v>91</v>
      </c>
      <c r="M655">
        <f t="shared" si="140"/>
        <v>4239</v>
      </c>
      <c r="N655">
        <f t="shared" si="141"/>
        <v>2974</v>
      </c>
      <c r="O655">
        <f t="shared" si="142"/>
        <v>1038</v>
      </c>
      <c r="P655">
        <f t="shared" si="143"/>
        <v>4148</v>
      </c>
      <c r="Q655">
        <f t="shared" si="144"/>
        <v>2883</v>
      </c>
      <c r="R655">
        <f t="shared" si="145"/>
        <v>947</v>
      </c>
      <c r="S655">
        <f t="shared" si="146"/>
        <v>-1265</v>
      </c>
      <c r="T655">
        <f t="shared" si="147"/>
        <v>-3201</v>
      </c>
      <c r="U655">
        <f t="shared" si="148"/>
        <v>-1936</v>
      </c>
      <c r="V655" s="9">
        <f t="shared" si="138"/>
        <v>91</v>
      </c>
      <c r="W655" s="9">
        <f t="shared" si="138"/>
        <v>4239</v>
      </c>
      <c r="X655" s="9">
        <f t="shared" si="138"/>
        <v>2974</v>
      </c>
      <c r="Y655" s="9">
        <f t="shared" si="138"/>
        <v>1038</v>
      </c>
      <c r="Z655" s="9">
        <f t="shared" si="138"/>
        <v>4148</v>
      </c>
      <c r="AA655" s="9">
        <f t="shared" si="137"/>
        <v>2883</v>
      </c>
      <c r="AB655" s="9">
        <f t="shared" si="137"/>
        <v>947</v>
      </c>
      <c r="AC655" s="9">
        <f t="shared" si="137"/>
        <v>1265</v>
      </c>
      <c r="AD655" s="9">
        <f t="shared" si="137"/>
        <v>3201</v>
      </c>
      <c r="AE655" s="9">
        <f t="shared" si="137"/>
        <v>1936</v>
      </c>
    </row>
    <row r="656" spans="2:31" x14ac:dyDescent="0.25">
      <c r="B656" s="6">
        <v>12697</v>
      </c>
      <c r="C656" s="6">
        <v>11055</v>
      </c>
      <c r="D656" s="6">
        <v>6984</v>
      </c>
      <c r="E656" s="6">
        <v>7994</v>
      </c>
      <c r="F656" s="6">
        <v>10424</v>
      </c>
      <c r="L656">
        <f t="shared" si="139"/>
        <v>1642</v>
      </c>
      <c r="M656">
        <f t="shared" si="140"/>
        <v>5713</v>
      </c>
      <c r="N656">
        <f t="shared" si="141"/>
        <v>4703</v>
      </c>
      <c r="O656">
        <f t="shared" si="142"/>
        <v>2273</v>
      </c>
      <c r="P656">
        <f t="shared" si="143"/>
        <v>4071</v>
      </c>
      <c r="Q656">
        <f t="shared" si="144"/>
        <v>3061</v>
      </c>
      <c r="R656">
        <f t="shared" si="145"/>
        <v>631</v>
      </c>
      <c r="S656">
        <f t="shared" si="146"/>
        <v>-1010</v>
      </c>
      <c r="T656">
        <f t="shared" si="147"/>
        <v>-3440</v>
      </c>
      <c r="U656">
        <f t="shared" si="148"/>
        <v>-2430</v>
      </c>
      <c r="V656" s="9">
        <f t="shared" si="138"/>
        <v>1642</v>
      </c>
      <c r="W656" s="9">
        <f t="shared" si="138"/>
        <v>5713</v>
      </c>
      <c r="X656" s="9">
        <f t="shared" si="138"/>
        <v>4703</v>
      </c>
      <c r="Y656" s="9">
        <f t="shared" si="138"/>
        <v>2273</v>
      </c>
      <c r="Z656" s="9">
        <f t="shared" si="138"/>
        <v>4071</v>
      </c>
      <c r="AA656" s="9">
        <f t="shared" si="137"/>
        <v>3061</v>
      </c>
      <c r="AB656" s="9">
        <f t="shared" si="137"/>
        <v>631</v>
      </c>
      <c r="AC656" s="9">
        <f t="shared" si="137"/>
        <v>1010</v>
      </c>
      <c r="AD656" s="9">
        <f t="shared" si="137"/>
        <v>3440</v>
      </c>
      <c r="AE656" s="9">
        <f t="shared" si="137"/>
        <v>2430</v>
      </c>
    </row>
    <row r="657" spans="2:31" x14ac:dyDescent="0.25">
      <c r="B657" s="6">
        <v>8647</v>
      </c>
      <c r="C657" s="6">
        <v>9488</v>
      </c>
      <c r="D657" s="6">
        <v>5485</v>
      </c>
      <c r="E657" s="6">
        <v>6492</v>
      </c>
      <c r="F657" s="6">
        <v>8485</v>
      </c>
      <c r="L657">
        <f t="shared" si="139"/>
        <v>-841</v>
      </c>
      <c r="M657">
        <f t="shared" si="140"/>
        <v>3162</v>
      </c>
      <c r="N657">
        <f t="shared" si="141"/>
        <v>2155</v>
      </c>
      <c r="O657">
        <f t="shared" si="142"/>
        <v>162</v>
      </c>
      <c r="P657">
        <f t="shared" si="143"/>
        <v>4003</v>
      </c>
      <c r="Q657">
        <f t="shared" si="144"/>
        <v>2996</v>
      </c>
      <c r="R657">
        <f t="shared" si="145"/>
        <v>1003</v>
      </c>
      <c r="S657">
        <f t="shared" si="146"/>
        <v>-1007</v>
      </c>
      <c r="T657">
        <f t="shared" si="147"/>
        <v>-3000</v>
      </c>
      <c r="U657">
        <f t="shared" si="148"/>
        <v>-1993</v>
      </c>
      <c r="V657" s="9">
        <f t="shared" si="138"/>
        <v>841</v>
      </c>
      <c r="W657" s="9">
        <f t="shared" si="138"/>
        <v>3162</v>
      </c>
      <c r="X657" s="9">
        <f t="shared" si="138"/>
        <v>2155</v>
      </c>
      <c r="Y657" s="9">
        <f t="shared" si="138"/>
        <v>162</v>
      </c>
      <c r="Z657" s="9">
        <f t="shared" si="138"/>
        <v>4003</v>
      </c>
      <c r="AA657" s="9">
        <f t="shared" si="137"/>
        <v>2996</v>
      </c>
      <c r="AB657" s="9">
        <f t="shared" si="137"/>
        <v>1003</v>
      </c>
      <c r="AC657" s="9">
        <f t="shared" si="137"/>
        <v>1007</v>
      </c>
      <c r="AD657" s="9">
        <f t="shared" si="137"/>
        <v>3000</v>
      </c>
      <c r="AE657" s="9">
        <f t="shared" si="137"/>
        <v>1993</v>
      </c>
    </row>
    <row r="658" spans="2:31" x14ac:dyDescent="0.25">
      <c r="B658" s="6">
        <v>9528</v>
      </c>
      <c r="C658" s="6">
        <v>10354</v>
      </c>
      <c r="D658" s="6">
        <v>7521</v>
      </c>
      <c r="E658" s="6">
        <v>8462</v>
      </c>
      <c r="F658" s="6">
        <v>10245</v>
      </c>
      <c r="L658">
        <f t="shared" si="139"/>
        <v>-826</v>
      </c>
      <c r="M658">
        <f t="shared" si="140"/>
        <v>2007</v>
      </c>
      <c r="N658">
        <f t="shared" si="141"/>
        <v>1066</v>
      </c>
      <c r="O658">
        <f t="shared" si="142"/>
        <v>-717</v>
      </c>
      <c r="P658">
        <f t="shared" si="143"/>
        <v>2833</v>
      </c>
      <c r="Q658">
        <f t="shared" si="144"/>
        <v>1892</v>
      </c>
      <c r="R658">
        <f t="shared" si="145"/>
        <v>109</v>
      </c>
      <c r="S658">
        <f t="shared" si="146"/>
        <v>-941</v>
      </c>
      <c r="T658">
        <f t="shared" si="147"/>
        <v>-2724</v>
      </c>
      <c r="U658">
        <f t="shared" si="148"/>
        <v>-1783</v>
      </c>
      <c r="V658" s="9">
        <f t="shared" si="138"/>
        <v>826</v>
      </c>
      <c r="W658" s="9">
        <f t="shared" si="138"/>
        <v>2007</v>
      </c>
      <c r="X658" s="9">
        <f t="shared" si="138"/>
        <v>1066</v>
      </c>
      <c r="Y658" s="9">
        <f t="shared" si="138"/>
        <v>717</v>
      </c>
      <c r="Z658" s="9">
        <f t="shared" si="138"/>
        <v>2833</v>
      </c>
      <c r="AA658" s="9">
        <f t="shared" si="137"/>
        <v>1892</v>
      </c>
      <c r="AB658" s="9">
        <f t="shared" si="137"/>
        <v>109</v>
      </c>
      <c r="AC658" s="9">
        <f t="shared" si="137"/>
        <v>941</v>
      </c>
      <c r="AD658" s="9">
        <f t="shared" si="137"/>
        <v>2724</v>
      </c>
      <c r="AE658" s="9">
        <f t="shared" si="137"/>
        <v>1783</v>
      </c>
    </row>
    <row r="659" spans="2:31" x14ac:dyDescent="0.25">
      <c r="B659" s="6">
        <v>11362</v>
      </c>
      <c r="C659" s="6">
        <v>11917</v>
      </c>
      <c r="D659" s="6">
        <v>8245</v>
      </c>
      <c r="E659" s="6">
        <v>9478</v>
      </c>
      <c r="F659" s="6">
        <v>10742</v>
      </c>
      <c r="L659">
        <f t="shared" si="139"/>
        <v>-555</v>
      </c>
      <c r="M659">
        <f t="shared" si="140"/>
        <v>3117</v>
      </c>
      <c r="N659">
        <f t="shared" si="141"/>
        <v>1884</v>
      </c>
      <c r="O659">
        <f t="shared" si="142"/>
        <v>620</v>
      </c>
      <c r="P659">
        <f t="shared" si="143"/>
        <v>3672</v>
      </c>
      <c r="Q659">
        <f t="shared" si="144"/>
        <v>2439</v>
      </c>
      <c r="R659">
        <f t="shared" si="145"/>
        <v>1175</v>
      </c>
      <c r="S659">
        <f t="shared" si="146"/>
        <v>-1233</v>
      </c>
      <c r="T659">
        <f t="shared" si="147"/>
        <v>-2497</v>
      </c>
      <c r="U659">
        <f t="shared" si="148"/>
        <v>-1264</v>
      </c>
      <c r="V659" s="9">
        <f t="shared" si="138"/>
        <v>555</v>
      </c>
      <c r="W659" s="9">
        <f t="shared" si="138"/>
        <v>3117</v>
      </c>
      <c r="X659" s="9">
        <f t="shared" si="138"/>
        <v>1884</v>
      </c>
      <c r="Y659" s="9">
        <f t="shared" si="138"/>
        <v>620</v>
      </c>
      <c r="Z659" s="9">
        <f t="shared" si="138"/>
        <v>3672</v>
      </c>
      <c r="AA659" s="9">
        <f t="shared" si="137"/>
        <v>2439</v>
      </c>
      <c r="AB659" s="9">
        <f t="shared" si="137"/>
        <v>1175</v>
      </c>
      <c r="AC659" s="9">
        <f t="shared" si="137"/>
        <v>1233</v>
      </c>
      <c r="AD659" s="9">
        <f t="shared" si="137"/>
        <v>2497</v>
      </c>
      <c r="AE659" s="9">
        <f t="shared" si="137"/>
        <v>1264</v>
      </c>
    </row>
    <row r="660" spans="2:31" x14ac:dyDescent="0.25">
      <c r="B660" s="6">
        <v>12873</v>
      </c>
      <c r="C660" s="6">
        <v>11823</v>
      </c>
      <c r="D660" s="6">
        <v>7542</v>
      </c>
      <c r="E660" s="6">
        <v>8466</v>
      </c>
      <c r="F660" s="6">
        <v>9485</v>
      </c>
      <c r="L660">
        <f t="shared" si="139"/>
        <v>1050</v>
      </c>
      <c r="M660">
        <f t="shared" si="140"/>
        <v>5331</v>
      </c>
      <c r="N660">
        <f t="shared" si="141"/>
        <v>4407</v>
      </c>
      <c r="O660">
        <f t="shared" si="142"/>
        <v>3388</v>
      </c>
      <c r="P660">
        <f t="shared" si="143"/>
        <v>4281</v>
      </c>
      <c r="Q660">
        <f t="shared" si="144"/>
        <v>3357</v>
      </c>
      <c r="R660">
        <f t="shared" si="145"/>
        <v>2338</v>
      </c>
      <c r="S660">
        <f t="shared" si="146"/>
        <v>-924</v>
      </c>
      <c r="T660">
        <f t="shared" si="147"/>
        <v>-1943</v>
      </c>
      <c r="U660">
        <f t="shared" si="148"/>
        <v>-1019</v>
      </c>
      <c r="V660" s="9">
        <f t="shared" si="138"/>
        <v>1050</v>
      </c>
      <c r="W660" s="9">
        <f t="shared" si="138"/>
        <v>5331</v>
      </c>
      <c r="X660" s="9">
        <f t="shared" si="138"/>
        <v>4407</v>
      </c>
      <c r="Y660" s="9">
        <f t="shared" si="138"/>
        <v>3388</v>
      </c>
      <c r="Z660" s="9">
        <f t="shared" si="138"/>
        <v>4281</v>
      </c>
      <c r="AA660" s="9">
        <f t="shared" si="137"/>
        <v>3357</v>
      </c>
      <c r="AB660" s="9">
        <f t="shared" si="137"/>
        <v>2338</v>
      </c>
      <c r="AC660" s="9">
        <f t="shared" si="137"/>
        <v>924</v>
      </c>
      <c r="AD660" s="9">
        <f t="shared" si="137"/>
        <v>1943</v>
      </c>
      <c r="AE660" s="9">
        <f t="shared" si="137"/>
        <v>1019</v>
      </c>
    </row>
    <row r="661" spans="2:31" x14ac:dyDescent="0.25">
      <c r="B661" s="7">
        <v>14710</v>
      </c>
      <c r="C661" s="7">
        <v>12820</v>
      </c>
      <c r="D661" s="7">
        <v>6962</v>
      </c>
      <c r="E661" s="7">
        <v>8713</v>
      </c>
      <c r="F661" s="7">
        <v>10280</v>
      </c>
      <c r="L661">
        <f t="shared" si="139"/>
        <v>1890</v>
      </c>
      <c r="M661">
        <f t="shared" si="140"/>
        <v>7748</v>
      </c>
      <c r="N661">
        <f t="shared" si="141"/>
        <v>5997</v>
      </c>
      <c r="O661">
        <f t="shared" si="142"/>
        <v>4430</v>
      </c>
      <c r="P661">
        <f t="shared" si="143"/>
        <v>5858</v>
      </c>
      <c r="Q661">
        <f t="shared" si="144"/>
        <v>4107</v>
      </c>
      <c r="R661">
        <f t="shared" si="145"/>
        <v>2540</v>
      </c>
      <c r="S661">
        <f t="shared" si="146"/>
        <v>-1751</v>
      </c>
      <c r="T661">
        <f t="shared" si="147"/>
        <v>-3318</v>
      </c>
      <c r="U661">
        <f t="shared" si="148"/>
        <v>-1567</v>
      </c>
      <c r="V661" s="9">
        <f t="shared" si="138"/>
        <v>1890</v>
      </c>
      <c r="W661" s="9">
        <f t="shared" si="138"/>
        <v>7748</v>
      </c>
      <c r="X661" s="9">
        <f t="shared" si="138"/>
        <v>5997</v>
      </c>
      <c r="Y661" s="9">
        <f t="shared" si="138"/>
        <v>4430</v>
      </c>
      <c r="Z661" s="9">
        <f t="shared" si="138"/>
        <v>5858</v>
      </c>
      <c r="AA661" s="9">
        <f t="shared" si="137"/>
        <v>4107</v>
      </c>
      <c r="AB661" s="9">
        <f t="shared" si="137"/>
        <v>2540</v>
      </c>
      <c r="AC661" s="9">
        <f t="shared" si="137"/>
        <v>1751</v>
      </c>
      <c r="AD661" s="9">
        <f t="shared" si="137"/>
        <v>3318</v>
      </c>
      <c r="AE661" s="9">
        <f t="shared" si="137"/>
        <v>1567</v>
      </c>
    </row>
    <row r="662" spans="2:31" x14ac:dyDescent="0.25">
      <c r="B662" s="6">
        <v>13452</v>
      </c>
      <c r="C662" s="6">
        <v>11228</v>
      </c>
      <c r="D662" s="6">
        <v>8674</v>
      </c>
      <c r="E662" s="6">
        <v>10245</v>
      </c>
      <c r="F662" s="8">
        <f t="shared" ref="F662" si="149">D662+1264</f>
        <v>9938</v>
      </c>
      <c r="L662">
        <f t="shared" si="139"/>
        <v>2224</v>
      </c>
      <c r="M662">
        <f t="shared" si="140"/>
        <v>4778</v>
      </c>
      <c r="N662">
        <f t="shared" si="141"/>
        <v>3207</v>
      </c>
      <c r="O662">
        <f t="shared" si="142"/>
        <v>3514</v>
      </c>
      <c r="P662">
        <f t="shared" si="143"/>
        <v>2554</v>
      </c>
      <c r="Q662">
        <f t="shared" si="144"/>
        <v>983</v>
      </c>
      <c r="R662">
        <f t="shared" si="145"/>
        <v>1290</v>
      </c>
      <c r="S662">
        <f t="shared" si="146"/>
        <v>-1571</v>
      </c>
      <c r="T662">
        <f t="shared" si="147"/>
        <v>-1264</v>
      </c>
      <c r="U662">
        <f t="shared" si="148"/>
        <v>307</v>
      </c>
      <c r="V662" s="9">
        <f t="shared" si="138"/>
        <v>2224</v>
      </c>
      <c r="W662" s="9">
        <f t="shared" si="138"/>
        <v>4778</v>
      </c>
      <c r="X662" s="9">
        <f t="shared" si="138"/>
        <v>3207</v>
      </c>
      <c r="Y662" s="9">
        <f t="shared" si="138"/>
        <v>3514</v>
      </c>
      <c r="Z662" s="9">
        <f t="shared" si="138"/>
        <v>2554</v>
      </c>
      <c r="AA662" s="9">
        <f t="shared" si="137"/>
        <v>983</v>
      </c>
      <c r="AB662" s="9">
        <f t="shared" si="137"/>
        <v>1290</v>
      </c>
      <c r="AC662" s="9">
        <f t="shared" si="137"/>
        <v>1571</v>
      </c>
      <c r="AD662" s="9">
        <f t="shared" si="137"/>
        <v>1264</v>
      </c>
      <c r="AE662" s="9">
        <f t="shared" si="137"/>
        <v>307</v>
      </c>
    </row>
    <row r="663" spans="2:31" x14ac:dyDescent="0.25">
      <c r="B663" s="6">
        <v>13548</v>
      </c>
      <c r="C663" s="6">
        <v>11229</v>
      </c>
      <c r="D663" s="6">
        <v>13896</v>
      </c>
      <c r="E663" s="6">
        <v>13454</v>
      </c>
      <c r="F663" s="8">
        <v>15421</v>
      </c>
      <c r="L663">
        <f t="shared" si="139"/>
        <v>2319</v>
      </c>
      <c r="M663">
        <f t="shared" si="140"/>
        <v>-348</v>
      </c>
      <c r="N663">
        <f t="shared" si="141"/>
        <v>94</v>
      </c>
      <c r="O663">
        <f t="shared" si="142"/>
        <v>-1873</v>
      </c>
      <c r="P663">
        <f t="shared" si="143"/>
        <v>-2667</v>
      </c>
      <c r="Q663">
        <f t="shared" si="144"/>
        <v>-2225</v>
      </c>
      <c r="R663">
        <f t="shared" si="145"/>
        <v>-4192</v>
      </c>
      <c r="S663">
        <f t="shared" si="146"/>
        <v>442</v>
      </c>
      <c r="T663">
        <f t="shared" si="147"/>
        <v>-1525</v>
      </c>
      <c r="U663">
        <f t="shared" si="148"/>
        <v>-1967</v>
      </c>
      <c r="V663" s="9">
        <f t="shared" si="138"/>
        <v>2319</v>
      </c>
      <c r="W663" s="9">
        <f t="shared" si="138"/>
        <v>348</v>
      </c>
      <c r="X663" s="9">
        <f t="shared" si="138"/>
        <v>94</v>
      </c>
      <c r="Y663" s="9">
        <f t="shared" si="138"/>
        <v>1873</v>
      </c>
      <c r="Z663" s="9">
        <f t="shared" si="138"/>
        <v>2667</v>
      </c>
      <c r="AA663" s="9">
        <f t="shared" si="137"/>
        <v>2225</v>
      </c>
      <c r="AB663" s="9">
        <f t="shared" si="137"/>
        <v>4192</v>
      </c>
      <c r="AC663" s="9">
        <f t="shared" si="137"/>
        <v>442</v>
      </c>
      <c r="AD663" s="9">
        <f t="shared" si="137"/>
        <v>1525</v>
      </c>
      <c r="AE663" s="9">
        <f t="shared" si="137"/>
        <v>1967</v>
      </c>
    </row>
    <row r="664" spans="2:31" x14ac:dyDescent="0.25">
      <c r="B664" s="6">
        <v>9564</v>
      </c>
      <c r="C664" s="6">
        <v>9370</v>
      </c>
      <c r="D664" s="6">
        <v>8421</v>
      </c>
      <c r="E664" s="6">
        <v>11252</v>
      </c>
      <c r="F664" s="8">
        <v>9464</v>
      </c>
      <c r="L664">
        <f t="shared" si="139"/>
        <v>194</v>
      </c>
      <c r="M664">
        <f t="shared" si="140"/>
        <v>1143</v>
      </c>
      <c r="N664">
        <f t="shared" si="141"/>
        <v>-1688</v>
      </c>
      <c r="O664">
        <f t="shared" si="142"/>
        <v>100</v>
      </c>
      <c r="P664">
        <f t="shared" si="143"/>
        <v>949</v>
      </c>
      <c r="Q664">
        <f t="shared" si="144"/>
        <v>-1882</v>
      </c>
      <c r="R664">
        <f t="shared" si="145"/>
        <v>-94</v>
      </c>
      <c r="S664">
        <f t="shared" si="146"/>
        <v>-2831</v>
      </c>
      <c r="T664">
        <f t="shared" si="147"/>
        <v>-1043</v>
      </c>
      <c r="U664">
        <f t="shared" si="148"/>
        <v>1788</v>
      </c>
      <c r="V664" s="9">
        <f t="shared" si="138"/>
        <v>194</v>
      </c>
      <c r="W664" s="9">
        <f t="shared" si="138"/>
        <v>1143</v>
      </c>
      <c r="X664" s="9">
        <f t="shared" si="138"/>
        <v>1688</v>
      </c>
      <c r="Y664" s="9">
        <f t="shared" si="138"/>
        <v>100</v>
      </c>
      <c r="Z664" s="9">
        <f t="shared" si="138"/>
        <v>949</v>
      </c>
      <c r="AA664" s="9">
        <f t="shared" si="137"/>
        <v>1882</v>
      </c>
      <c r="AB664" s="9">
        <f t="shared" si="137"/>
        <v>94</v>
      </c>
      <c r="AC664" s="9">
        <f t="shared" si="137"/>
        <v>2831</v>
      </c>
      <c r="AD664" s="9">
        <f t="shared" si="137"/>
        <v>1043</v>
      </c>
      <c r="AE664" s="9">
        <f t="shared" si="137"/>
        <v>1788</v>
      </c>
    </row>
    <row r="665" spans="2:31" x14ac:dyDescent="0.25">
      <c r="B665" s="6">
        <v>10350</v>
      </c>
      <c r="C665" s="6">
        <v>8362</v>
      </c>
      <c r="D665" s="6">
        <v>8524</v>
      </c>
      <c r="E665" s="6">
        <v>12042</v>
      </c>
      <c r="F665" s="8">
        <v>9488</v>
      </c>
      <c r="L665">
        <f t="shared" si="139"/>
        <v>1988</v>
      </c>
      <c r="M665">
        <f t="shared" si="140"/>
        <v>1826</v>
      </c>
      <c r="N665">
        <f t="shared" si="141"/>
        <v>-1692</v>
      </c>
      <c r="O665">
        <f t="shared" si="142"/>
        <v>862</v>
      </c>
      <c r="P665">
        <f t="shared" si="143"/>
        <v>-162</v>
      </c>
      <c r="Q665">
        <f t="shared" si="144"/>
        <v>-3680</v>
      </c>
      <c r="R665">
        <f t="shared" si="145"/>
        <v>-1126</v>
      </c>
      <c r="S665">
        <f t="shared" si="146"/>
        <v>-3518</v>
      </c>
      <c r="T665">
        <f t="shared" si="147"/>
        <v>-964</v>
      </c>
      <c r="U665">
        <f t="shared" si="148"/>
        <v>2554</v>
      </c>
      <c r="V665" s="9">
        <f t="shared" si="138"/>
        <v>1988</v>
      </c>
      <c r="W665" s="9">
        <f t="shared" si="138"/>
        <v>1826</v>
      </c>
      <c r="X665" s="9">
        <f t="shared" si="138"/>
        <v>1692</v>
      </c>
      <c r="Y665" s="9">
        <f t="shared" si="138"/>
        <v>862</v>
      </c>
      <c r="Z665" s="9">
        <f t="shared" si="138"/>
        <v>162</v>
      </c>
      <c r="AA665" s="9">
        <f t="shared" si="137"/>
        <v>3680</v>
      </c>
      <c r="AB665" s="9">
        <f t="shared" si="137"/>
        <v>1126</v>
      </c>
      <c r="AC665" s="9">
        <f t="shared" si="137"/>
        <v>3518</v>
      </c>
      <c r="AD665" s="9">
        <f t="shared" si="137"/>
        <v>964</v>
      </c>
      <c r="AE665" s="9">
        <f t="shared" si="137"/>
        <v>2554</v>
      </c>
    </row>
    <row r="666" spans="2:31" x14ac:dyDescent="0.25">
      <c r="B666" s="6">
        <v>15589</v>
      </c>
      <c r="C666" s="6">
        <v>10536</v>
      </c>
      <c r="D666" s="6">
        <v>12225</v>
      </c>
      <c r="E666" s="6">
        <v>13452</v>
      </c>
      <c r="F666" s="8">
        <v>12454</v>
      </c>
      <c r="L666">
        <f t="shared" si="139"/>
        <v>5053</v>
      </c>
      <c r="M666">
        <f t="shared" si="140"/>
        <v>3364</v>
      </c>
      <c r="N666">
        <f t="shared" si="141"/>
        <v>2137</v>
      </c>
      <c r="O666">
        <f t="shared" si="142"/>
        <v>3135</v>
      </c>
      <c r="P666">
        <f t="shared" si="143"/>
        <v>-1689</v>
      </c>
      <c r="Q666">
        <f t="shared" si="144"/>
        <v>-2916</v>
      </c>
      <c r="R666">
        <f t="shared" si="145"/>
        <v>-1918</v>
      </c>
      <c r="S666">
        <f t="shared" si="146"/>
        <v>-1227</v>
      </c>
      <c r="T666">
        <f t="shared" si="147"/>
        <v>-229</v>
      </c>
      <c r="U666">
        <f t="shared" si="148"/>
        <v>998</v>
      </c>
      <c r="V666" s="9">
        <f t="shared" si="138"/>
        <v>5053</v>
      </c>
      <c r="W666" s="9">
        <f t="shared" si="138"/>
        <v>3364</v>
      </c>
      <c r="X666" s="9">
        <f t="shared" si="138"/>
        <v>2137</v>
      </c>
      <c r="Y666" s="9">
        <f t="shared" si="138"/>
        <v>3135</v>
      </c>
      <c r="Z666" s="9">
        <f t="shared" si="138"/>
        <v>1689</v>
      </c>
      <c r="AA666" s="9">
        <f t="shared" si="137"/>
        <v>2916</v>
      </c>
      <c r="AB666" s="9">
        <f t="shared" si="137"/>
        <v>1918</v>
      </c>
      <c r="AC666" s="9">
        <f t="shared" si="137"/>
        <v>1227</v>
      </c>
      <c r="AD666" s="9">
        <f t="shared" si="137"/>
        <v>229</v>
      </c>
      <c r="AE666" s="9">
        <f t="shared" si="137"/>
        <v>998</v>
      </c>
    </row>
    <row r="667" spans="2:31" x14ac:dyDescent="0.25">
      <c r="B667" s="6">
        <v>12345</v>
      </c>
      <c r="C667" s="6">
        <v>9548</v>
      </c>
      <c r="D667" s="6">
        <v>10254</v>
      </c>
      <c r="E667" s="6">
        <v>12462</v>
      </c>
      <c r="F667" s="8">
        <v>13454</v>
      </c>
      <c r="L667">
        <f t="shared" si="139"/>
        <v>2797</v>
      </c>
      <c r="M667">
        <f t="shared" si="140"/>
        <v>2091</v>
      </c>
      <c r="N667">
        <f t="shared" si="141"/>
        <v>-117</v>
      </c>
      <c r="O667">
        <f t="shared" si="142"/>
        <v>-1109</v>
      </c>
      <c r="P667">
        <f t="shared" si="143"/>
        <v>-706</v>
      </c>
      <c r="Q667">
        <f t="shared" si="144"/>
        <v>-2914</v>
      </c>
      <c r="R667">
        <f t="shared" si="145"/>
        <v>-3906</v>
      </c>
      <c r="S667">
        <f t="shared" si="146"/>
        <v>-2208</v>
      </c>
      <c r="T667">
        <f t="shared" si="147"/>
        <v>-3200</v>
      </c>
      <c r="U667">
        <f t="shared" si="148"/>
        <v>-992</v>
      </c>
      <c r="V667" s="9">
        <f t="shared" si="138"/>
        <v>2797</v>
      </c>
      <c r="W667" s="9">
        <f t="shared" si="138"/>
        <v>2091</v>
      </c>
      <c r="X667" s="9">
        <f t="shared" si="138"/>
        <v>117</v>
      </c>
      <c r="Y667" s="9">
        <f t="shared" si="138"/>
        <v>1109</v>
      </c>
      <c r="Z667" s="9">
        <f t="shared" si="138"/>
        <v>706</v>
      </c>
      <c r="AA667" s="9">
        <f t="shared" si="137"/>
        <v>2914</v>
      </c>
      <c r="AB667" s="9">
        <f t="shared" si="137"/>
        <v>3906</v>
      </c>
      <c r="AC667" s="9">
        <f t="shared" si="137"/>
        <v>2208</v>
      </c>
      <c r="AD667" s="9">
        <f t="shared" si="137"/>
        <v>3200</v>
      </c>
      <c r="AE667" s="9">
        <f t="shared" si="137"/>
        <v>992</v>
      </c>
    </row>
    <row r="668" spans="2:31" x14ac:dyDescent="0.25">
      <c r="B668" s="6">
        <v>9356</v>
      </c>
      <c r="C668" s="6">
        <v>10364</v>
      </c>
      <c r="D668" s="6">
        <v>8645</v>
      </c>
      <c r="E668" s="6">
        <v>10546</v>
      </c>
      <c r="F668" s="8">
        <f t="shared" ref="F668:F711" si="150">D668+1264</f>
        <v>9909</v>
      </c>
      <c r="L668">
        <f t="shared" si="139"/>
        <v>-1008</v>
      </c>
      <c r="M668">
        <f t="shared" si="140"/>
        <v>711</v>
      </c>
      <c r="N668">
        <f t="shared" si="141"/>
        <v>-1190</v>
      </c>
      <c r="O668">
        <f t="shared" si="142"/>
        <v>-553</v>
      </c>
      <c r="P668">
        <f t="shared" si="143"/>
        <v>1719</v>
      </c>
      <c r="Q668">
        <f t="shared" si="144"/>
        <v>-182</v>
      </c>
      <c r="R668">
        <f t="shared" si="145"/>
        <v>455</v>
      </c>
      <c r="S668">
        <f t="shared" si="146"/>
        <v>-1901</v>
      </c>
      <c r="T668">
        <f t="shared" si="147"/>
        <v>-1264</v>
      </c>
      <c r="U668">
        <f t="shared" si="148"/>
        <v>637</v>
      </c>
      <c r="V668" s="9">
        <f t="shared" si="138"/>
        <v>1008</v>
      </c>
      <c r="W668" s="9">
        <f t="shared" si="138"/>
        <v>711</v>
      </c>
      <c r="X668" s="9">
        <f t="shared" si="138"/>
        <v>1190</v>
      </c>
      <c r="Y668" s="9">
        <f t="shared" si="138"/>
        <v>553</v>
      </c>
      <c r="Z668" s="9">
        <f t="shared" si="138"/>
        <v>1719</v>
      </c>
      <c r="AA668" s="9">
        <f t="shared" si="137"/>
        <v>182</v>
      </c>
      <c r="AB668" s="9">
        <f t="shared" si="137"/>
        <v>455</v>
      </c>
      <c r="AC668" s="9">
        <f t="shared" si="137"/>
        <v>1901</v>
      </c>
      <c r="AD668" s="9">
        <f t="shared" si="137"/>
        <v>1264</v>
      </c>
      <c r="AE668" s="9">
        <f t="shared" si="137"/>
        <v>637</v>
      </c>
    </row>
    <row r="669" spans="2:31" x14ac:dyDescent="0.25">
      <c r="B669" s="6">
        <v>13645</v>
      </c>
      <c r="C669" s="6">
        <v>10354</v>
      </c>
      <c r="D669" s="6">
        <v>12458</v>
      </c>
      <c r="E669" s="6">
        <v>13088</v>
      </c>
      <c r="F669" s="8">
        <v>12452</v>
      </c>
      <c r="L669">
        <f t="shared" si="139"/>
        <v>3291</v>
      </c>
      <c r="M669">
        <f t="shared" si="140"/>
        <v>1187</v>
      </c>
      <c r="N669">
        <f t="shared" si="141"/>
        <v>557</v>
      </c>
      <c r="O669">
        <f t="shared" si="142"/>
        <v>1193</v>
      </c>
      <c r="P669">
        <f t="shared" si="143"/>
        <v>-2104</v>
      </c>
      <c r="Q669">
        <f t="shared" si="144"/>
        <v>-2734</v>
      </c>
      <c r="R669">
        <f t="shared" si="145"/>
        <v>-2098</v>
      </c>
      <c r="S669">
        <f t="shared" si="146"/>
        <v>-630</v>
      </c>
      <c r="T669">
        <f t="shared" si="147"/>
        <v>6</v>
      </c>
      <c r="U669">
        <f t="shared" si="148"/>
        <v>636</v>
      </c>
      <c r="V669" s="9">
        <f t="shared" si="138"/>
        <v>3291</v>
      </c>
      <c r="W669" s="9">
        <f t="shared" si="138"/>
        <v>1187</v>
      </c>
      <c r="X669" s="9">
        <f t="shared" si="138"/>
        <v>557</v>
      </c>
      <c r="Y669" s="9">
        <f t="shared" si="138"/>
        <v>1193</v>
      </c>
      <c r="Z669" s="9">
        <f t="shared" si="138"/>
        <v>2104</v>
      </c>
      <c r="AA669" s="9">
        <f t="shared" si="137"/>
        <v>2734</v>
      </c>
      <c r="AB669" s="9">
        <f t="shared" si="137"/>
        <v>2098</v>
      </c>
      <c r="AC669" s="9">
        <f t="shared" si="137"/>
        <v>630</v>
      </c>
      <c r="AD669" s="9">
        <f t="shared" si="137"/>
        <v>6</v>
      </c>
      <c r="AE669" s="9">
        <f t="shared" si="137"/>
        <v>636</v>
      </c>
    </row>
    <row r="670" spans="2:31" x14ac:dyDescent="0.25">
      <c r="B670" s="6">
        <v>9564</v>
      </c>
      <c r="C670" s="6">
        <v>10354</v>
      </c>
      <c r="D670" s="6">
        <v>10354</v>
      </c>
      <c r="E670" s="6">
        <v>12647</v>
      </c>
      <c r="F670" s="8">
        <v>13448</v>
      </c>
      <c r="L670">
        <f t="shared" si="139"/>
        <v>-790</v>
      </c>
      <c r="M670">
        <f t="shared" si="140"/>
        <v>-790</v>
      </c>
      <c r="N670">
        <f t="shared" si="141"/>
        <v>-3083</v>
      </c>
      <c r="O670">
        <f t="shared" si="142"/>
        <v>-3884</v>
      </c>
      <c r="P670">
        <f t="shared" si="143"/>
        <v>0</v>
      </c>
      <c r="Q670">
        <f t="shared" si="144"/>
        <v>-2293</v>
      </c>
      <c r="R670">
        <f t="shared" si="145"/>
        <v>-3094</v>
      </c>
      <c r="S670">
        <f t="shared" si="146"/>
        <v>-2293</v>
      </c>
      <c r="T670">
        <f t="shared" si="147"/>
        <v>-3094</v>
      </c>
      <c r="U670">
        <f t="shared" si="148"/>
        <v>-801</v>
      </c>
      <c r="V670" s="9">
        <f t="shared" si="138"/>
        <v>790</v>
      </c>
      <c r="W670" s="9">
        <f t="shared" si="138"/>
        <v>790</v>
      </c>
      <c r="X670" s="9">
        <f t="shared" si="138"/>
        <v>3083</v>
      </c>
      <c r="Y670" s="9">
        <f t="shared" si="138"/>
        <v>3884</v>
      </c>
      <c r="Z670" s="9">
        <f t="shared" si="138"/>
        <v>0</v>
      </c>
      <c r="AA670" s="9">
        <f t="shared" si="137"/>
        <v>2293</v>
      </c>
      <c r="AB670" s="9">
        <f t="shared" si="137"/>
        <v>3094</v>
      </c>
      <c r="AC670" s="9">
        <f t="shared" si="137"/>
        <v>2293</v>
      </c>
      <c r="AD670" s="9">
        <f t="shared" si="137"/>
        <v>3094</v>
      </c>
      <c r="AE670" s="9">
        <f t="shared" si="137"/>
        <v>801</v>
      </c>
    </row>
    <row r="671" spans="2:31" x14ac:dyDescent="0.25">
      <c r="B671" s="6">
        <v>17357</v>
      </c>
      <c r="C671" s="6">
        <v>15457</v>
      </c>
      <c r="D671" s="6">
        <v>10254</v>
      </c>
      <c r="E671" s="6">
        <v>11648</v>
      </c>
      <c r="F671" s="8">
        <v>14542</v>
      </c>
      <c r="L671">
        <f t="shared" si="139"/>
        <v>1900</v>
      </c>
      <c r="M671">
        <f t="shared" si="140"/>
        <v>7103</v>
      </c>
      <c r="N671">
        <f t="shared" si="141"/>
        <v>5709</v>
      </c>
      <c r="O671">
        <f t="shared" si="142"/>
        <v>2815</v>
      </c>
      <c r="P671">
        <f t="shared" si="143"/>
        <v>5203</v>
      </c>
      <c r="Q671">
        <f t="shared" si="144"/>
        <v>3809</v>
      </c>
      <c r="R671">
        <f t="shared" si="145"/>
        <v>915</v>
      </c>
      <c r="S671">
        <f t="shared" si="146"/>
        <v>-1394</v>
      </c>
      <c r="T671">
        <f t="shared" si="147"/>
        <v>-4288</v>
      </c>
      <c r="U671">
        <f t="shared" si="148"/>
        <v>-2894</v>
      </c>
      <c r="V671" s="9">
        <f t="shared" si="138"/>
        <v>1900</v>
      </c>
      <c r="W671" s="9">
        <f t="shared" si="138"/>
        <v>7103</v>
      </c>
      <c r="X671" s="9">
        <f t="shared" si="138"/>
        <v>5709</v>
      </c>
      <c r="Y671" s="9">
        <f t="shared" si="138"/>
        <v>2815</v>
      </c>
      <c r="Z671" s="9">
        <f t="shared" si="138"/>
        <v>5203</v>
      </c>
      <c r="AA671" s="9">
        <f t="shared" si="137"/>
        <v>3809</v>
      </c>
      <c r="AB671" s="9">
        <f t="shared" si="137"/>
        <v>915</v>
      </c>
      <c r="AC671" s="9">
        <f t="shared" si="137"/>
        <v>1394</v>
      </c>
      <c r="AD671" s="9">
        <f t="shared" si="137"/>
        <v>4288</v>
      </c>
      <c r="AE671" s="9">
        <f t="shared" si="137"/>
        <v>2894</v>
      </c>
    </row>
    <row r="672" spans="2:31" x14ac:dyDescent="0.25">
      <c r="B672" s="6">
        <v>9531</v>
      </c>
      <c r="C672" s="6">
        <v>11235</v>
      </c>
      <c r="D672" s="6">
        <v>10548</v>
      </c>
      <c r="E672" s="6">
        <v>11364</v>
      </c>
      <c r="F672" s="8">
        <v>12455</v>
      </c>
      <c r="L672">
        <f t="shared" si="139"/>
        <v>-1704</v>
      </c>
      <c r="M672">
        <f t="shared" si="140"/>
        <v>-1017</v>
      </c>
      <c r="N672">
        <f t="shared" si="141"/>
        <v>-1833</v>
      </c>
      <c r="O672">
        <f t="shared" si="142"/>
        <v>-2924</v>
      </c>
      <c r="P672">
        <f t="shared" si="143"/>
        <v>687</v>
      </c>
      <c r="Q672">
        <f t="shared" si="144"/>
        <v>-129</v>
      </c>
      <c r="R672">
        <f t="shared" si="145"/>
        <v>-1220</v>
      </c>
      <c r="S672">
        <f t="shared" si="146"/>
        <v>-816</v>
      </c>
      <c r="T672">
        <f t="shared" si="147"/>
        <v>-1907</v>
      </c>
      <c r="U672">
        <f t="shared" si="148"/>
        <v>-1091</v>
      </c>
      <c r="V672" s="9">
        <f t="shared" si="138"/>
        <v>1704</v>
      </c>
      <c r="W672" s="9">
        <f t="shared" si="138"/>
        <v>1017</v>
      </c>
      <c r="X672" s="9">
        <f t="shared" si="138"/>
        <v>1833</v>
      </c>
      <c r="Y672" s="9">
        <f t="shared" si="138"/>
        <v>2924</v>
      </c>
      <c r="Z672" s="9">
        <f t="shared" si="138"/>
        <v>687</v>
      </c>
      <c r="AA672" s="9">
        <f t="shared" si="137"/>
        <v>129</v>
      </c>
      <c r="AB672" s="9">
        <f t="shared" si="137"/>
        <v>1220</v>
      </c>
      <c r="AC672" s="9">
        <f t="shared" si="137"/>
        <v>816</v>
      </c>
      <c r="AD672" s="9">
        <f t="shared" si="137"/>
        <v>1907</v>
      </c>
      <c r="AE672" s="9">
        <f t="shared" si="137"/>
        <v>1091</v>
      </c>
    </row>
    <row r="673" spans="2:31" x14ac:dyDescent="0.25">
      <c r="B673" s="6">
        <v>7526</v>
      </c>
      <c r="C673" s="6">
        <v>9507</v>
      </c>
      <c r="D673" s="6">
        <v>8541</v>
      </c>
      <c r="E673" s="6">
        <v>8495</v>
      </c>
      <c r="F673" s="8">
        <v>10545</v>
      </c>
      <c r="L673">
        <f t="shared" si="139"/>
        <v>-1981</v>
      </c>
      <c r="M673">
        <f t="shared" si="140"/>
        <v>-1015</v>
      </c>
      <c r="N673">
        <f t="shared" si="141"/>
        <v>-969</v>
      </c>
      <c r="O673">
        <f t="shared" si="142"/>
        <v>-3019</v>
      </c>
      <c r="P673">
        <f t="shared" si="143"/>
        <v>966</v>
      </c>
      <c r="Q673">
        <f t="shared" si="144"/>
        <v>1012</v>
      </c>
      <c r="R673">
        <f t="shared" si="145"/>
        <v>-1038</v>
      </c>
      <c r="S673">
        <f t="shared" si="146"/>
        <v>46</v>
      </c>
      <c r="T673">
        <f t="shared" si="147"/>
        <v>-2004</v>
      </c>
      <c r="U673">
        <f t="shared" si="148"/>
        <v>-2050</v>
      </c>
      <c r="V673" s="9">
        <f t="shared" si="138"/>
        <v>1981</v>
      </c>
      <c r="W673" s="9">
        <f t="shared" si="138"/>
        <v>1015</v>
      </c>
      <c r="X673" s="9">
        <f t="shared" si="138"/>
        <v>969</v>
      </c>
      <c r="Y673" s="9">
        <f t="shared" si="138"/>
        <v>3019</v>
      </c>
      <c r="Z673" s="9">
        <f t="shared" si="138"/>
        <v>966</v>
      </c>
      <c r="AA673" s="9">
        <f t="shared" si="137"/>
        <v>1012</v>
      </c>
      <c r="AB673" s="9">
        <f t="shared" si="137"/>
        <v>1038</v>
      </c>
      <c r="AC673" s="9">
        <f t="shared" si="137"/>
        <v>46</v>
      </c>
      <c r="AD673" s="9">
        <f t="shared" si="137"/>
        <v>2004</v>
      </c>
      <c r="AE673" s="9">
        <f t="shared" si="137"/>
        <v>2050</v>
      </c>
    </row>
    <row r="674" spans="2:31" x14ac:dyDescent="0.25">
      <c r="B674" s="6">
        <v>6214</v>
      </c>
      <c r="C674" s="6">
        <v>8647</v>
      </c>
      <c r="D674" s="6">
        <v>8642</v>
      </c>
      <c r="E674" s="6">
        <v>9642</v>
      </c>
      <c r="F674" s="8">
        <f t="shared" si="150"/>
        <v>9906</v>
      </c>
      <c r="L674">
        <f t="shared" si="139"/>
        <v>-2433</v>
      </c>
      <c r="M674">
        <f t="shared" si="140"/>
        <v>-2428</v>
      </c>
      <c r="N674">
        <f t="shared" si="141"/>
        <v>-3428</v>
      </c>
      <c r="O674">
        <f t="shared" si="142"/>
        <v>-3692</v>
      </c>
      <c r="P674">
        <f t="shared" si="143"/>
        <v>5</v>
      </c>
      <c r="Q674">
        <f t="shared" si="144"/>
        <v>-995</v>
      </c>
      <c r="R674">
        <f t="shared" si="145"/>
        <v>-1259</v>
      </c>
      <c r="S674">
        <f t="shared" si="146"/>
        <v>-1000</v>
      </c>
      <c r="T674">
        <f t="shared" si="147"/>
        <v>-1264</v>
      </c>
      <c r="U674">
        <f t="shared" si="148"/>
        <v>-264</v>
      </c>
      <c r="V674" s="9">
        <f t="shared" si="138"/>
        <v>2433</v>
      </c>
      <c r="W674" s="9">
        <f t="shared" si="138"/>
        <v>2428</v>
      </c>
      <c r="X674" s="9">
        <f t="shared" si="138"/>
        <v>3428</v>
      </c>
      <c r="Y674" s="9">
        <f t="shared" si="138"/>
        <v>3692</v>
      </c>
      <c r="Z674" s="9">
        <f t="shared" si="138"/>
        <v>5</v>
      </c>
      <c r="AA674" s="9">
        <f t="shared" si="137"/>
        <v>995</v>
      </c>
      <c r="AB674" s="9">
        <f t="shared" si="137"/>
        <v>1259</v>
      </c>
      <c r="AC674" s="9">
        <f t="shared" si="137"/>
        <v>1000</v>
      </c>
      <c r="AD674" s="9">
        <f t="shared" si="137"/>
        <v>1264</v>
      </c>
      <c r="AE674" s="9">
        <f t="shared" si="137"/>
        <v>264</v>
      </c>
    </row>
    <row r="675" spans="2:31" x14ac:dyDescent="0.25">
      <c r="B675" s="6">
        <v>8642</v>
      </c>
      <c r="C675" s="6">
        <v>9964</v>
      </c>
      <c r="D675" s="6">
        <v>8985</v>
      </c>
      <c r="E675" s="6">
        <v>8954</v>
      </c>
      <c r="F675" s="8">
        <v>11245</v>
      </c>
      <c r="L675">
        <f t="shared" si="139"/>
        <v>-1322</v>
      </c>
      <c r="M675">
        <f t="shared" si="140"/>
        <v>-343</v>
      </c>
      <c r="N675">
        <f t="shared" si="141"/>
        <v>-312</v>
      </c>
      <c r="O675">
        <f t="shared" si="142"/>
        <v>-2603</v>
      </c>
      <c r="P675">
        <f t="shared" si="143"/>
        <v>979</v>
      </c>
      <c r="Q675">
        <f t="shared" si="144"/>
        <v>1010</v>
      </c>
      <c r="R675">
        <f t="shared" si="145"/>
        <v>-1281</v>
      </c>
      <c r="S675">
        <f t="shared" si="146"/>
        <v>31</v>
      </c>
      <c r="T675">
        <f t="shared" si="147"/>
        <v>-2260</v>
      </c>
      <c r="U675">
        <f t="shared" si="148"/>
        <v>-2291</v>
      </c>
      <c r="V675" s="9">
        <f t="shared" si="138"/>
        <v>1322</v>
      </c>
      <c r="W675" s="9">
        <f t="shared" si="138"/>
        <v>343</v>
      </c>
      <c r="X675" s="9">
        <f t="shared" si="138"/>
        <v>312</v>
      </c>
      <c r="Y675" s="9">
        <f t="shared" si="138"/>
        <v>2603</v>
      </c>
      <c r="Z675" s="9">
        <f t="shared" si="138"/>
        <v>979</v>
      </c>
      <c r="AA675" s="9">
        <f t="shared" si="137"/>
        <v>1010</v>
      </c>
      <c r="AB675" s="9">
        <f t="shared" si="137"/>
        <v>1281</v>
      </c>
      <c r="AC675" s="9">
        <f t="shared" si="137"/>
        <v>31</v>
      </c>
      <c r="AD675" s="9">
        <f t="shared" si="137"/>
        <v>2260</v>
      </c>
      <c r="AE675" s="9">
        <f t="shared" si="137"/>
        <v>2291</v>
      </c>
    </row>
    <row r="676" spans="2:31" x14ac:dyDescent="0.25">
      <c r="B676" s="6">
        <v>10356</v>
      </c>
      <c r="C676" s="6">
        <v>15248</v>
      </c>
      <c r="D676" s="6">
        <v>12564</v>
      </c>
      <c r="E676" s="6">
        <v>16485</v>
      </c>
      <c r="F676" s="8">
        <v>14562</v>
      </c>
      <c r="L676">
        <f t="shared" si="139"/>
        <v>-4892</v>
      </c>
      <c r="M676">
        <f t="shared" si="140"/>
        <v>-2208</v>
      </c>
      <c r="N676">
        <f t="shared" si="141"/>
        <v>-6129</v>
      </c>
      <c r="O676">
        <f t="shared" si="142"/>
        <v>-4206</v>
      </c>
      <c r="P676">
        <f t="shared" si="143"/>
        <v>2684</v>
      </c>
      <c r="Q676">
        <f t="shared" si="144"/>
        <v>-1237</v>
      </c>
      <c r="R676">
        <f t="shared" si="145"/>
        <v>686</v>
      </c>
      <c r="S676">
        <f t="shared" si="146"/>
        <v>-3921</v>
      </c>
      <c r="T676">
        <f t="shared" si="147"/>
        <v>-1998</v>
      </c>
      <c r="U676">
        <f t="shared" si="148"/>
        <v>1923</v>
      </c>
      <c r="V676" s="9">
        <f t="shared" si="138"/>
        <v>4892</v>
      </c>
      <c r="W676" s="9">
        <f t="shared" si="138"/>
        <v>2208</v>
      </c>
      <c r="X676" s="9">
        <f t="shared" si="138"/>
        <v>6129</v>
      </c>
      <c r="Y676" s="9">
        <f t="shared" si="138"/>
        <v>4206</v>
      </c>
      <c r="Z676" s="9">
        <f t="shared" si="138"/>
        <v>2684</v>
      </c>
      <c r="AA676" s="9">
        <f t="shared" si="137"/>
        <v>1237</v>
      </c>
      <c r="AB676" s="9">
        <f t="shared" si="137"/>
        <v>686</v>
      </c>
      <c r="AC676" s="9">
        <f t="shared" si="137"/>
        <v>3921</v>
      </c>
      <c r="AD676" s="9">
        <f t="shared" si="137"/>
        <v>1998</v>
      </c>
      <c r="AE676" s="9">
        <f t="shared" si="137"/>
        <v>1923</v>
      </c>
    </row>
    <row r="677" spans="2:31" x14ac:dyDescent="0.25">
      <c r="B677" s="6">
        <v>13647</v>
      </c>
      <c r="C677" s="6">
        <v>18421</v>
      </c>
      <c r="D677" s="6">
        <v>14528</v>
      </c>
      <c r="E677" s="6">
        <v>18452</v>
      </c>
      <c r="F677" s="8">
        <v>13645</v>
      </c>
      <c r="L677">
        <f t="shared" si="139"/>
        <v>-4774</v>
      </c>
      <c r="M677">
        <f t="shared" si="140"/>
        <v>-881</v>
      </c>
      <c r="N677">
        <f t="shared" si="141"/>
        <v>-4805</v>
      </c>
      <c r="O677">
        <f t="shared" si="142"/>
        <v>2</v>
      </c>
      <c r="P677">
        <f t="shared" si="143"/>
        <v>3893</v>
      </c>
      <c r="Q677">
        <f t="shared" si="144"/>
        <v>-31</v>
      </c>
      <c r="R677">
        <f t="shared" si="145"/>
        <v>4776</v>
      </c>
      <c r="S677">
        <f t="shared" si="146"/>
        <v>-3924</v>
      </c>
      <c r="T677">
        <f t="shared" si="147"/>
        <v>883</v>
      </c>
      <c r="U677">
        <f t="shared" si="148"/>
        <v>4807</v>
      </c>
      <c r="V677" s="9">
        <f t="shared" si="138"/>
        <v>4774</v>
      </c>
      <c r="W677" s="9">
        <f t="shared" si="138"/>
        <v>881</v>
      </c>
      <c r="X677" s="9">
        <f t="shared" si="138"/>
        <v>4805</v>
      </c>
      <c r="Y677" s="9">
        <f t="shared" si="138"/>
        <v>2</v>
      </c>
      <c r="Z677" s="9">
        <f t="shared" si="138"/>
        <v>3893</v>
      </c>
      <c r="AA677" s="9">
        <f t="shared" si="137"/>
        <v>31</v>
      </c>
      <c r="AB677" s="9">
        <f t="shared" si="137"/>
        <v>4776</v>
      </c>
      <c r="AC677" s="9">
        <f t="shared" si="137"/>
        <v>3924</v>
      </c>
      <c r="AD677" s="9">
        <f t="shared" si="137"/>
        <v>883</v>
      </c>
      <c r="AE677" s="9">
        <f t="shared" si="137"/>
        <v>4807</v>
      </c>
    </row>
    <row r="678" spans="2:31" x14ac:dyDescent="0.25">
      <c r="B678" s="6">
        <v>16648</v>
      </c>
      <c r="C678" s="6">
        <v>12344</v>
      </c>
      <c r="D678" s="6">
        <v>16452</v>
      </c>
      <c r="E678" s="6">
        <v>25491</v>
      </c>
      <c r="F678" s="8">
        <v>15462</v>
      </c>
      <c r="L678">
        <f t="shared" si="139"/>
        <v>4304</v>
      </c>
      <c r="M678">
        <f t="shared" si="140"/>
        <v>196</v>
      </c>
      <c r="N678">
        <f t="shared" si="141"/>
        <v>-8843</v>
      </c>
      <c r="O678">
        <f t="shared" si="142"/>
        <v>1186</v>
      </c>
      <c r="P678">
        <f t="shared" si="143"/>
        <v>-4108</v>
      </c>
      <c r="Q678">
        <f t="shared" si="144"/>
        <v>-13147</v>
      </c>
      <c r="R678">
        <f t="shared" si="145"/>
        <v>-3118</v>
      </c>
      <c r="S678">
        <f t="shared" si="146"/>
        <v>-9039</v>
      </c>
      <c r="T678">
        <f t="shared" si="147"/>
        <v>990</v>
      </c>
      <c r="U678">
        <f t="shared" si="148"/>
        <v>10029</v>
      </c>
      <c r="V678" s="9">
        <f t="shared" si="138"/>
        <v>4304</v>
      </c>
      <c r="W678" s="9">
        <f t="shared" si="138"/>
        <v>196</v>
      </c>
      <c r="X678" s="9">
        <f t="shared" si="138"/>
        <v>8843</v>
      </c>
      <c r="Y678" s="9">
        <f t="shared" si="138"/>
        <v>1186</v>
      </c>
      <c r="Z678" s="9">
        <f t="shared" si="138"/>
        <v>4108</v>
      </c>
      <c r="AA678" s="9">
        <f t="shared" ref="AA678:AE728" si="151">IF(Q678&gt;=0,Q678,-Q678)</f>
        <v>13147</v>
      </c>
      <c r="AB678" s="9">
        <f t="shared" si="151"/>
        <v>3118</v>
      </c>
      <c r="AC678" s="9">
        <f t="shared" si="151"/>
        <v>9039</v>
      </c>
      <c r="AD678" s="9">
        <f t="shared" si="151"/>
        <v>990</v>
      </c>
      <c r="AE678" s="9">
        <f t="shared" si="151"/>
        <v>10029</v>
      </c>
    </row>
    <row r="679" spans="2:31" x14ac:dyDescent="0.25">
      <c r="B679" s="6">
        <v>13465</v>
      </c>
      <c r="C679" s="6">
        <v>11264</v>
      </c>
      <c r="D679" s="6">
        <v>14528</v>
      </c>
      <c r="E679" s="6">
        <v>18634</v>
      </c>
      <c r="F679" s="8">
        <v>16482</v>
      </c>
      <c r="L679">
        <f t="shared" si="139"/>
        <v>2201</v>
      </c>
      <c r="M679">
        <f t="shared" si="140"/>
        <v>-1063</v>
      </c>
      <c r="N679">
        <f t="shared" si="141"/>
        <v>-5169</v>
      </c>
      <c r="O679">
        <f t="shared" si="142"/>
        <v>-3017</v>
      </c>
      <c r="P679">
        <f t="shared" si="143"/>
        <v>-3264</v>
      </c>
      <c r="Q679">
        <f t="shared" si="144"/>
        <v>-7370</v>
      </c>
      <c r="R679">
        <f t="shared" si="145"/>
        <v>-5218</v>
      </c>
      <c r="S679">
        <f t="shared" si="146"/>
        <v>-4106</v>
      </c>
      <c r="T679">
        <f t="shared" si="147"/>
        <v>-1954</v>
      </c>
      <c r="U679">
        <f t="shared" si="148"/>
        <v>2152</v>
      </c>
      <c r="V679" s="9">
        <f t="shared" ref="V679:Z729" si="152">IF(L679&gt;=0,L679,-L679)</f>
        <v>2201</v>
      </c>
      <c r="W679" s="9">
        <f t="shared" si="152"/>
        <v>1063</v>
      </c>
      <c r="X679" s="9">
        <f t="shared" si="152"/>
        <v>5169</v>
      </c>
      <c r="Y679" s="9">
        <f t="shared" si="152"/>
        <v>3017</v>
      </c>
      <c r="Z679" s="9">
        <f t="shared" si="152"/>
        <v>3264</v>
      </c>
      <c r="AA679" s="9">
        <f t="shared" si="151"/>
        <v>7370</v>
      </c>
      <c r="AB679" s="9">
        <f t="shared" si="151"/>
        <v>5218</v>
      </c>
      <c r="AC679" s="9">
        <f t="shared" si="151"/>
        <v>4106</v>
      </c>
      <c r="AD679" s="9">
        <f t="shared" si="151"/>
        <v>1954</v>
      </c>
      <c r="AE679" s="9">
        <f t="shared" si="151"/>
        <v>2152</v>
      </c>
    </row>
    <row r="680" spans="2:31" x14ac:dyDescent="0.25">
      <c r="B680" s="6">
        <v>7648</v>
      </c>
      <c r="C680" s="6">
        <v>7895</v>
      </c>
      <c r="D680" s="6">
        <v>8542</v>
      </c>
      <c r="E680" s="6">
        <v>10245</v>
      </c>
      <c r="F680" s="8">
        <v>9587</v>
      </c>
      <c r="L680">
        <f t="shared" si="139"/>
        <v>-247</v>
      </c>
      <c r="M680">
        <f t="shared" si="140"/>
        <v>-894</v>
      </c>
      <c r="N680">
        <f t="shared" si="141"/>
        <v>-2597</v>
      </c>
      <c r="O680">
        <f t="shared" si="142"/>
        <v>-1939</v>
      </c>
      <c r="P680">
        <f t="shared" si="143"/>
        <v>-647</v>
      </c>
      <c r="Q680">
        <f t="shared" si="144"/>
        <v>-2350</v>
      </c>
      <c r="R680">
        <f t="shared" si="145"/>
        <v>-1692</v>
      </c>
      <c r="S680">
        <f t="shared" si="146"/>
        <v>-1703</v>
      </c>
      <c r="T680">
        <f t="shared" si="147"/>
        <v>-1045</v>
      </c>
      <c r="U680">
        <f t="shared" si="148"/>
        <v>658</v>
      </c>
      <c r="V680" s="9">
        <f t="shared" si="152"/>
        <v>247</v>
      </c>
      <c r="W680" s="9">
        <f t="shared" si="152"/>
        <v>894</v>
      </c>
      <c r="X680" s="9">
        <f t="shared" si="152"/>
        <v>2597</v>
      </c>
      <c r="Y680" s="9">
        <f t="shared" si="152"/>
        <v>1939</v>
      </c>
      <c r="Z680" s="9">
        <f t="shared" si="152"/>
        <v>647</v>
      </c>
      <c r="AA680" s="9">
        <f t="shared" si="151"/>
        <v>2350</v>
      </c>
      <c r="AB680" s="9">
        <f t="shared" si="151"/>
        <v>1692</v>
      </c>
      <c r="AC680" s="9">
        <f t="shared" si="151"/>
        <v>1703</v>
      </c>
      <c r="AD680" s="9">
        <f t="shared" si="151"/>
        <v>1045</v>
      </c>
      <c r="AE680" s="9">
        <f t="shared" si="151"/>
        <v>658</v>
      </c>
    </row>
    <row r="681" spans="2:31" x14ac:dyDescent="0.25">
      <c r="B681" s="6">
        <v>14672</v>
      </c>
      <c r="C681" s="6">
        <v>13545</v>
      </c>
      <c r="D681" s="6">
        <v>15246</v>
      </c>
      <c r="E681" s="6">
        <v>16942</v>
      </c>
      <c r="F681" s="8">
        <v>14565</v>
      </c>
      <c r="L681">
        <f t="shared" si="139"/>
        <v>1127</v>
      </c>
      <c r="M681">
        <f t="shared" si="140"/>
        <v>-574</v>
      </c>
      <c r="N681">
        <f t="shared" si="141"/>
        <v>-2270</v>
      </c>
      <c r="O681">
        <f t="shared" si="142"/>
        <v>107</v>
      </c>
      <c r="P681">
        <f t="shared" si="143"/>
        <v>-1701</v>
      </c>
      <c r="Q681">
        <f t="shared" si="144"/>
        <v>-3397</v>
      </c>
      <c r="R681">
        <f t="shared" si="145"/>
        <v>-1020</v>
      </c>
      <c r="S681">
        <f t="shared" si="146"/>
        <v>-1696</v>
      </c>
      <c r="T681">
        <f t="shared" si="147"/>
        <v>681</v>
      </c>
      <c r="U681">
        <f t="shared" si="148"/>
        <v>2377</v>
      </c>
      <c r="V681" s="9">
        <f t="shared" si="152"/>
        <v>1127</v>
      </c>
      <c r="W681" s="9">
        <f t="shared" si="152"/>
        <v>574</v>
      </c>
      <c r="X681" s="9">
        <f t="shared" si="152"/>
        <v>2270</v>
      </c>
      <c r="Y681" s="9">
        <f t="shared" si="152"/>
        <v>107</v>
      </c>
      <c r="Z681" s="9">
        <f t="shared" si="152"/>
        <v>1701</v>
      </c>
      <c r="AA681" s="9">
        <f t="shared" si="151"/>
        <v>3397</v>
      </c>
      <c r="AB681" s="9">
        <f t="shared" si="151"/>
        <v>1020</v>
      </c>
      <c r="AC681" s="9">
        <f t="shared" si="151"/>
        <v>1696</v>
      </c>
      <c r="AD681" s="9">
        <f t="shared" si="151"/>
        <v>681</v>
      </c>
      <c r="AE681" s="9">
        <f t="shared" si="151"/>
        <v>2377</v>
      </c>
    </row>
    <row r="682" spans="2:31" x14ac:dyDescent="0.25">
      <c r="B682" s="6">
        <v>13405</v>
      </c>
      <c r="C682" s="6">
        <v>16771</v>
      </c>
      <c r="D682" s="6">
        <v>10867</v>
      </c>
      <c r="E682" s="6">
        <v>8546</v>
      </c>
      <c r="F682" s="8">
        <v>10245</v>
      </c>
      <c r="L682">
        <f t="shared" si="139"/>
        <v>-3366</v>
      </c>
      <c r="M682">
        <f t="shared" si="140"/>
        <v>2538</v>
      </c>
      <c r="N682">
        <f t="shared" si="141"/>
        <v>4859</v>
      </c>
      <c r="O682">
        <f t="shared" si="142"/>
        <v>3160</v>
      </c>
      <c r="P682">
        <f t="shared" si="143"/>
        <v>5904</v>
      </c>
      <c r="Q682">
        <f t="shared" si="144"/>
        <v>8225</v>
      </c>
      <c r="R682">
        <f t="shared" si="145"/>
        <v>6526</v>
      </c>
      <c r="S682">
        <f t="shared" si="146"/>
        <v>2321</v>
      </c>
      <c r="T682">
        <f t="shared" si="147"/>
        <v>622</v>
      </c>
      <c r="U682">
        <f t="shared" si="148"/>
        <v>-1699</v>
      </c>
      <c r="V682" s="9">
        <f t="shared" si="152"/>
        <v>3366</v>
      </c>
      <c r="W682" s="9">
        <f t="shared" si="152"/>
        <v>2538</v>
      </c>
      <c r="X682" s="9">
        <f t="shared" si="152"/>
        <v>4859</v>
      </c>
      <c r="Y682" s="9">
        <f t="shared" si="152"/>
        <v>3160</v>
      </c>
      <c r="Z682" s="9">
        <f t="shared" si="152"/>
        <v>5904</v>
      </c>
      <c r="AA682" s="9">
        <f t="shared" si="151"/>
        <v>8225</v>
      </c>
      <c r="AB682" s="9">
        <f t="shared" si="151"/>
        <v>6526</v>
      </c>
      <c r="AC682" s="9">
        <f t="shared" si="151"/>
        <v>2321</v>
      </c>
      <c r="AD682" s="9">
        <f t="shared" si="151"/>
        <v>622</v>
      </c>
      <c r="AE682" s="9">
        <f t="shared" si="151"/>
        <v>1699</v>
      </c>
    </row>
    <row r="683" spans="2:31" x14ac:dyDescent="0.25">
      <c r="B683" s="6">
        <v>9264</v>
      </c>
      <c r="C683" s="6">
        <v>6038</v>
      </c>
      <c r="D683" s="6">
        <v>8546</v>
      </c>
      <c r="E683" s="6">
        <v>10346</v>
      </c>
      <c r="F683" s="8">
        <f t="shared" si="150"/>
        <v>9810</v>
      </c>
      <c r="L683">
        <f t="shared" si="139"/>
        <v>3226</v>
      </c>
      <c r="M683">
        <f t="shared" si="140"/>
        <v>718</v>
      </c>
      <c r="N683">
        <f t="shared" si="141"/>
        <v>-1082</v>
      </c>
      <c r="O683">
        <f t="shared" si="142"/>
        <v>-546</v>
      </c>
      <c r="P683">
        <f t="shared" si="143"/>
        <v>-2508</v>
      </c>
      <c r="Q683">
        <f t="shared" si="144"/>
        <v>-4308</v>
      </c>
      <c r="R683">
        <f t="shared" si="145"/>
        <v>-3772</v>
      </c>
      <c r="S683">
        <f t="shared" si="146"/>
        <v>-1800</v>
      </c>
      <c r="T683">
        <f t="shared" si="147"/>
        <v>-1264</v>
      </c>
      <c r="U683">
        <f t="shared" si="148"/>
        <v>536</v>
      </c>
      <c r="V683" s="9">
        <f t="shared" si="152"/>
        <v>3226</v>
      </c>
      <c r="W683" s="9">
        <f t="shared" si="152"/>
        <v>718</v>
      </c>
      <c r="X683" s="9">
        <f t="shared" si="152"/>
        <v>1082</v>
      </c>
      <c r="Y683" s="9">
        <f t="shared" si="152"/>
        <v>546</v>
      </c>
      <c r="Z683" s="9">
        <f t="shared" si="152"/>
        <v>2508</v>
      </c>
      <c r="AA683" s="9">
        <f t="shared" si="151"/>
        <v>4308</v>
      </c>
      <c r="AB683" s="9">
        <f t="shared" si="151"/>
        <v>3772</v>
      </c>
      <c r="AC683" s="9">
        <f t="shared" si="151"/>
        <v>1800</v>
      </c>
      <c r="AD683" s="9">
        <f t="shared" si="151"/>
        <v>1264</v>
      </c>
      <c r="AE683" s="9">
        <f t="shared" si="151"/>
        <v>536</v>
      </c>
    </row>
    <row r="684" spans="2:31" x14ac:dyDescent="0.25">
      <c r="B684" s="6">
        <v>4675</v>
      </c>
      <c r="C684" s="6">
        <v>5826</v>
      </c>
      <c r="D684" s="6">
        <v>5246</v>
      </c>
      <c r="E684" s="6">
        <v>7564</v>
      </c>
      <c r="F684" s="8">
        <v>8745</v>
      </c>
      <c r="L684">
        <f t="shared" si="139"/>
        <v>-1151</v>
      </c>
      <c r="M684">
        <f t="shared" si="140"/>
        <v>-571</v>
      </c>
      <c r="N684">
        <f t="shared" si="141"/>
        <v>-2889</v>
      </c>
      <c r="O684">
        <f t="shared" si="142"/>
        <v>-4070</v>
      </c>
      <c r="P684">
        <f t="shared" si="143"/>
        <v>580</v>
      </c>
      <c r="Q684">
        <f t="shared" si="144"/>
        <v>-1738</v>
      </c>
      <c r="R684">
        <f t="shared" si="145"/>
        <v>-2919</v>
      </c>
      <c r="S684">
        <f t="shared" si="146"/>
        <v>-2318</v>
      </c>
      <c r="T684">
        <f t="shared" si="147"/>
        <v>-3499</v>
      </c>
      <c r="U684">
        <f t="shared" si="148"/>
        <v>-1181</v>
      </c>
      <c r="V684" s="9">
        <f t="shared" si="152"/>
        <v>1151</v>
      </c>
      <c r="W684" s="9">
        <f t="shared" si="152"/>
        <v>571</v>
      </c>
      <c r="X684" s="9">
        <f t="shared" si="152"/>
        <v>2889</v>
      </c>
      <c r="Y684" s="9">
        <f t="shared" si="152"/>
        <v>4070</v>
      </c>
      <c r="Z684" s="9">
        <f t="shared" si="152"/>
        <v>580</v>
      </c>
      <c r="AA684" s="9">
        <f t="shared" si="151"/>
        <v>1738</v>
      </c>
      <c r="AB684" s="9">
        <f t="shared" si="151"/>
        <v>2919</v>
      </c>
      <c r="AC684" s="9">
        <f t="shared" si="151"/>
        <v>2318</v>
      </c>
      <c r="AD684" s="9">
        <f t="shared" si="151"/>
        <v>3499</v>
      </c>
      <c r="AE684" s="9">
        <f t="shared" si="151"/>
        <v>1181</v>
      </c>
    </row>
    <row r="685" spans="2:31" x14ac:dyDescent="0.25">
      <c r="B685" s="6">
        <v>8347</v>
      </c>
      <c r="C685" s="6">
        <v>9946</v>
      </c>
      <c r="D685" s="6">
        <v>10549</v>
      </c>
      <c r="E685" s="6">
        <v>12456</v>
      </c>
      <c r="F685" s="8">
        <f t="shared" si="150"/>
        <v>11813</v>
      </c>
      <c r="L685">
        <f t="shared" si="139"/>
        <v>-1599</v>
      </c>
      <c r="M685">
        <f t="shared" si="140"/>
        <v>-2202</v>
      </c>
      <c r="N685">
        <f t="shared" si="141"/>
        <v>-4109</v>
      </c>
      <c r="O685">
        <f t="shared" si="142"/>
        <v>-3466</v>
      </c>
      <c r="P685">
        <f t="shared" si="143"/>
        <v>-603</v>
      </c>
      <c r="Q685">
        <f t="shared" si="144"/>
        <v>-2510</v>
      </c>
      <c r="R685">
        <f t="shared" si="145"/>
        <v>-1867</v>
      </c>
      <c r="S685">
        <f t="shared" si="146"/>
        <v>-1907</v>
      </c>
      <c r="T685">
        <f t="shared" si="147"/>
        <v>-1264</v>
      </c>
      <c r="U685">
        <f t="shared" si="148"/>
        <v>643</v>
      </c>
      <c r="V685" s="9">
        <f t="shared" si="152"/>
        <v>1599</v>
      </c>
      <c r="W685" s="9">
        <f t="shared" si="152"/>
        <v>2202</v>
      </c>
      <c r="X685" s="9">
        <f t="shared" si="152"/>
        <v>4109</v>
      </c>
      <c r="Y685" s="9">
        <f t="shared" si="152"/>
        <v>3466</v>
      </c>
      <c r="Z685" s="9">
        <f t="shared" si="152"/>
        <v>603</v>
      </c>
      <c r="AA685" s="9">
        <f t="shared" si="151"/>
        <v>2510</v>
      </c>
      <c r="AB685" s="9">
        <f t="shared" si="151"/>
        <v>1867</v>
      </c>
      <c r="AC685" s="9">
        <f t="shared" si="151"/>
        <v>1907</v>
      </c>
      <c r="AD685" s="9">
        <f t="shared" si="151"/>
        <v>1264</v>
      </c>
      <c r="AE685" s="9">
        <f t="shared" si="151"/>
        <v>643</v>
      </c>
    </row>
    <row r="686" spans="2:31" x14ac:dyDescent="0.25">
      <c r="B686" s="6">
        <v>9834</v>
      </c>
      <c r="C686" s="6">
        <v>14382</v>
      </c>
      <c r="D686" s="6">
        <v>14058</v>
      </c>
      <c r="E686" s="6">
        <v>18452</v>
      </c>
      <c r="F686" s="8">
        <v>16452</v>
      </c>
      <c r="L686">
        <f t="shared" si="139"/>
        <v>-4548</v>
      </c>
      <c r="M686">
        <f t="shared" si="140"/>
        <v>-4224</v>
      </c>
      <c r="N686">
        <f t="shared" si="141"/>
        <v>-8618</v>
      </c>
      <c r="O686">
        <f t="shared" si="142"/>
        <v>-6618</v>
      </c>
      <c r="P686">
        <f t="shared" si="143"/>
        <v>324</v>
      </c>
      <c r="Q686">
        <f t="shared" si="144"/>
        <v>-4070</v>
      </c>
      <c r="R686">
        <f t="shared" si="145"/>
        <v>-2070</v>
      </c>
      <c r="S686">
        <f t="shared" si="146"/>
        <v>-4394</v>
      </c>
      <c r="T686">
        <f t="shared" si="147"/>
        <v>-2394</v>
      </c>
      <c r="U686">
        <f t="shared" si="148"/>
        <v>2000</v>
      </c>
      <c r="V686" s="9">
        <f t="shared" si="152"/>
        <v>4548</v>
      </c>
      <c r="W686" s="9">
        <f t="shared" si="152"/>
        <v>4224</v>
      </c>
      <c r="X686" s="9">
        <f t="shared" si="152"/>
        <v>8618</v>
      </c>
      <c r="Y686" s="9">
        <f t="shared" si="152"/>
        <v>6618</v>
      </c>
      <c r="Z686" s="9">
        <f t="shared" si="152"/>
        <v>324</v>
      </c>
      <c r="AA686" s="9">
        <f t="shared" si="151"/>
        <v>4070</v>
      </c>
      <c r="AB686" s="9">
        <f t="shared" si="151"/>
        <v>2070</v>
      </c>
      <c r="AC686" s="9">
        <f t="shared" si="151"/>
        <v>4394</v>
      </c>
      <c r="AD686" s="9">
        <f t="shared" si="151"/>
        <v>2394</v>
      </c>
      <c r="AE686" s="9">
        <f t="shared" si="151"/>
        <v>2000</v>
      </c>
    </row>
    <row r="687" spans="2:31" x14ac:dyDescent="0.25">
      <c r="B687" s="6">
        <v>12697</v>
      </c>
      <c r="C687" s="6">
        <v>12540</v>
      </c>
      <c r="D687" s="6">
        <v>12346</v>
      </c>
      <c r="E687" s="6">
        <v>15452</v>
      </c>
      <c r="F687" s="8">
        <v>13458</v>
      </c>
      <c r="L687">
        <f t="shared" si="139"/>
        <v>157</v>
      </c>
      <c r="M687">
        <f t="shared" si="140"/>
        <v>351</v>
      </c>
      <c r="N687">
        <f t="shared" si="141"/>
        <v>-2755</v>
      </c>
      <c r="O687">
        <f t="shared" si="142"/>
        <v>-761</v>
      </c>
      <c r="P687">
        <f t="shared" si="143"/>
        <v>194</v>
      </c>
      <c r="Q687">
        <f t="shared" si="144"/>
        <v>-2912</v>
      </c>
      <c r="R687">
        <f t="shared" si="145"/>
        <v>-918</v>
      </c>
      <c r="S687">
        <f t="shared" si="146"/>
        <v>-3106</v>
      </c>
      <c r="T687">
        <f t="shared" si="147"/>
        <v>-1112</v>
      </c>
      <c r="U687">
        <f t="shared" si="148"/>
        <v>1994</v>
      </c>
      <c r="V687" s="9">
        <f t="shared" si="152"/>
        <v>157</v>
      </c>
      <c r="W687" s="9">
        <f t="shared" si="152"/>
        <v>351</v>
      </c>
      <c r="X687" s="9">
        <f t="shared" si="152"/>
        <v>2755</v>
      </c>
      <c r="Y687" s="9">
        <f t="shared" si="152"/>
        <v>761</v>
      </c>
      <c r="Z687" s="9">
        <f t="shared" si="152"/>
        <v>194</v>
      </c>
      <c r="AA687" s="9">
        <f t="shared" si="151"/>
        <v>2912</v>
      </c>
      <c r="AB687" s="9">
        <f t="shared" si="151"/>
        <v>918</v>
      </c>
      <c r="AC687" s="9">
        <f t="shared" si="151"/>
        <v>3106</v>
      </c>
      <c r="AD687" s="9">
        <f t="shared" si="151"/>
        <v>1112</v>
      </c>
      <c r="AE687" s="9">
        <f t="shared" si="151"/>
        <v>1994</v>
      </c>
    </row>
    <row r="688" spans="2:31" x14ac:dyDescent="0.25">
      <c r="B688" s="6">
        <v>16479</v>
      </c>
      <c r="C688" s="6">
        <v>14119</v>
      </c>
      <c r="D688" s="6">
        <v>15462</v>
      </c>
      <c r="E688" s="6">
        <v>17524</v>
      </c>
      <c r="F688" s="8">
        <v>15455</v>
      </c>
      <c r="L688">
        <f t="shared" si="139"/>
        <v>2360</v>
      </c>
      <c r="M688">
        <f t="shared" si="140"/>
        <v>1017</v>
      </c>
      <c r="N688">
        <f t="shared" si="141"/>
        <v>-1045</v>
      </c>
      <c r="O688">
        <f t="shared" si="142"/>
        <v>1024</v>
      </c>
      <c r="P688">
        <f t="shared" si="143"/>
        <v>-1343</v>
      </c>
      <c r="Q688">
        <f t="shared" si="144"/>
        <v>-3405</v>
      </c>
      <c r="R688">
        <f t="shared" si="145"/>
        <v>-1336</v>
      </c>
      <c r="S688">
        <f t="shared" si="146"/>
        <v>-2062</v>
      </c>
      <c r="T688">
        <f t="shared" si="147"/>
        <v>7</v>
      </c>
      <c r="U688">
        <f t="shared" si="148"/>
        <v>2069</v>
      </c>
      <c r="V688" s="9">
        <f t="shared" si="152"/>
        <v>2360</v>
      </c>
      <c r="W688" s="9">
        <f t="shared" si="152"/>
        <v>1017</v>
      </c>
      <c r="X688" s="9">
        <f t="shared" si="152"/>
        <v>1045</v>
      </c>
      <c r="Y688" s="9">
        <f t="shared" si="152"/>
        <v>1024</v>
      </c>
      <c r="Z688" s="9">
        <f t="shared" si="152"/>
        <v>1343</v>
      </c>
      <c r="AA688" s="9">
        <f t="shared" si="151"/>
        <v>3405</v>
      </c>
      <c r="AB688" s="9">
        <f t="shared" si="151"/>
        <v>1336</v>
      </c>
      <c r="AC688" s="9">
        <f t="shared" si="151"/>
        <v>2062</v>
      </c>
      <c r="AD688" s="9">
        <f t="shared" si="151"/>
        <v>7</v>
      </c>
      <c r="AE688" s="9">
        <f t="shared" si="151"/>
        <v>2069</v>
      </c>
    </row>
    <row r="689" spans="2:31" x14ac:dyDescent="0.25">
      <c r="B689" s="6">
        <v>13697</v>
      </c>
      <c r="C689" s="6">
        <v>16869</v>
      </c>
      <c r="D689" s="6">
        <v>8545</v>
      </c>
      <c r="E689" s="6">
        <v>10545</v>
      </c>
      <c r="F689" s="8">
        <f t="shared" si="150"/>
        <v>9809</v>
      </c>
      <c r="L689">
        <f t="shared" si="139"/>
        <v>-3172</v>
      </c>
      <c r="M689">
        <f t="shared" si="140"/>
        <v>5152</v>
      </c>
      <c r="N689">
        <f t="shared" si="141"/>
        <v>3152</v>
      </c>
      <c r="O689">
        <f t="shared" si="142"/>
        <v>3888</v>
      </c>
      <c r="P689">
        <f t="shared" si="143"/>
        <v>8324</v>
      </c>
      <c r="Q689">
        <f t="shared" si="144"/>
        <v>6324</v>
      </c>
      <c r="R689">
        <f t="shared" si="145"/>
        <v>7060</v>
      </c>
      <c r="S689">
        <f t="shared" si="146"/>
        <v>-2000</v>
      </c>
      <c r="T689">
        <f t="shared" si="147"/>
        <v>-1264</v>
      </c>
      <c r="U689">
        <f t="shared" si="148"/>
        <v>736</v>
      </c>
      <c r="V689" s="9">
        <f t="shared" si="152"/>
        <v>3172</v>
      </c>
      <c r="W689" s="9">
        <f t="shared" si="152"/>
        <v>5152</v>
      </c>
      <c r="X689" s="9">
        <f t="shared" si="152"/>
        <v>3152</v>
      </c>
      <c r="Y689" s="9">
        <f t="shared" si="152"/>
        <v>3888</v>
      </c>
      <c r="Z689" s="9">
        <f t="shared" si="152"/>
        <v>8324</v>
      </c>
      <c r="AA689" s="9">
        <f t="shared" si="151"/>
        <v>6324</v>
      </c>
      <c r="AB689" s="9">
        <f t="shared" si="151"/>
        <v>7060</v>
      </c>
      <c r="AC689" s="9">
        <f t="shared" si="151"/>
        <v>2000</v>
      </c>
      <c r="AD689" s="9">
        <f t="shared" si="151"/>
        <v>1264</v>
      </c>
      <c r="AE689" s="9">
        <f t="shared" si="151"/>
        <v>736</v>
      </c>
    </row>
    <row r="690" spans="2:31" x14ac:dyDescent="0.25">
      <c r="B690" s="6">
        <v>15924</v>
      </c>
      <c r="C690" s="6">
        <v>17410</v>
      </c>
      <c r="D690" s="6">
        <v>13645</v>
      </c>
      <c r="E690" s="6">
        <v>10246</v>
      </c>
      <c r="F690" s="8">
        <f t="shared" si="150"/>
        <v>14909</v>
      </c>
      <c r="L690">
        <f t="shared" si="139"/>
        <v>-1486</v>
      </c>
      <c r="M690">
        <f t="shared" si="140"/>
        <v>2279</v>
      </c>
      <c r="N690">
        <f t="shared" si="141"/>
        <v>5678</v>
      </c>
      <c r="O690">
        <f t="shared" si="142"/>
        <v>1015</v>
      </c>
      <c r="P690">
        <f t="shared" si="143"/>
        <v>3765</v>
      </c>
      <c r="Q690">
        <f t="shared" si="144"/>
        <v>7164</v>
      </c>
      <c r="R690">
        <f t="shared" si="145"/>
        <v>2501</v>
      </c>
      <c r="S690">
        <f t="shared" si="146"/>
        <v>3399</v>
      </c>
      <c r="T690">
        <f t="shared" si="147"/>
        <v>-1264</v>
      </c>
      <c r="U690">
        <f t="shared" si="148"/>
        <v>-4663</v>
      </c>
      <c r="V690" s="9">
        <f t="shared" si="152"/>
        <v>1486</v>
      </c>
      <c r="W690" s="9">
        <f t="shared" si="152"/>
        <v>2279</v>
      </c>
      <c r="X690" s="9">
        <f t="shared" si="152"/>
        <v>5678</v>
      </c>
      <c r="Y690" s="9">
        <f t="shared" si="152"/>
        <v>1015</v>
      </c>
      <c r="Z690" s="9">
        <f t="shared" si="152"/>
        <v>3765</v>
      </c>
      <c r="AA690" s="9">
        <f t="shared" si="151"/>
        <v>7164</v>
      </c>
      <c r="AB690" s="9">
        <f t="shared" si="151"/>
        <v>2501</v>
      </c>
      <c r="AC690" s="9">
        <f t="shared" si="151"/>
        <v>3399</v>
      </c>
      <c r="AD690" s="9">
        <f t="shared" si="151"/>
        <v>1264</v>
      </c>
      <c r="AE690" s="9">
        <f t="shared" si="151"/>
        <v>4663</v>
      </c>
    </row>
    <row r="691" spans="2:31" x14ac:dyDescent="0.25">
      <c r="B691" s="6">
        <v>16702</v>
      </c>
      <c r="C691" s="6">
        <v>14460</v>
      </c>
      <c r="D691" s="6">
        <v>12452</v>
      </c>
      <c r="E691" s="6">
        <v>10275</v>
      </c>
      <c r="F691" s="8">
        <v>12485</v>
      </c>
      <c r="L691">
        <f t="shared" si="139"/>
        <v>2242</v>
      </c>
      <c r="M691">
        <f t="shared" si="140"/>
        <v>4250</v>
      </c>
      <c r="N691">
        <f t="shared" si="141"/>
        <v>6427</v>
      </c>
      <c r="O691">
        <f t="shared" si="142"/>
        <v>4217</v>
      </c>
      <c r="P691">
        <f t="shared" si="143"/>
        <v>2008</v>
      </c>
      <c r="Q691">
        <f t="shared" si="144"/>
        <v>4185</v>
      </c>
      <c r="R691">
        <f t="shared" si="145"/>
        <v>1975</v>
      </c>
      <c r="S691">
        <f t="shared" si="146"/>
        <v>2177</v>
      </c>
      <c r="T691">
        <f t="shared" si="147"/>
        <v>-33</v>
      </c>
      <c r="U691">
        <f t="shared" si="148"/>
        <v>-2210</v>
      </c>
      <c r="V691" s="9">
        <f t="shared" si="152"/>
        <v>2242</v>
      </c>
      <c r="W691" s="9">
        <f t="shared" si="152"/>
        <v>4250</v>
      </c>
      <c r="X691" s="9">
        <f t="shared" si="152"/>
        <v>6427</v>
      </c>
      <c r="Y691" s="9">
        <f t="shared" si="152"/>
        <v>4217</v>
      </c>
      <c r="Z691" s="9">
        <f t="shared" si="152"/>
        <v>2008</v>
      </c>
      <c r="AA691" s="9">
        <f t="shared" si="151"/>
        <v>4185</v>
      </c>
      <c r="AB691" s="9">
        <f t="shared" si="151"/>
        <v>1975</v>
      </c>
      <c r="AC691" s="9">
        <f t="shared" si="151"/>
        <v>2177</v>
      </c>
      <c r="AD691" s="9">
        <f t="shared" si="151"/>
        <v>33</v>
      </c>
      <c r="AE691" s="9">
        <f t="shared" si="151"/>
        <v>2210</v>
      </c>
    </row>
    <row r="692" spans="2:31" x14ac:dyDescent="0.25">
      <c r="B692" s="6">
        <v>12347</v>
      </c>
      <c r="C692" s="6">
        <v>20943</v>
      </c>
      <c r="D692" s="6">
        <v>16485</v>
      </c>
      <c r="E692" s="6">
        <v>18454</v>
      </c>
      <c r="F692" s="8">
        <v>16458</v>
      </c>
      <c r="L692">
        <f t="shared" si="139"/>
        <v>-8596</v>
      </c>
      <c r="M692">
        <f t="shared" si="140"/>
        <v>-4138</v>
      </c>
      <c r="N692">
        <f t="shared" si="141"/>
        <v>-6107</v>
      </c>
      <c r="O692">
        <f t="shared" si="142"/>
        <v>-4111</v>
      </c>
      <c r="P692">
        <f t="shared" si="143"/>
        <v>4458</v>
      </c>
      <c r="Q692">
        <f t="shared" si="144"/>
        <v>2489</v>
      </c>
      <c r="R692">
        <f t="shared" si="145"/>
        <v>4485</v>
      </c>
      <c r="S692">
        <f t="shared" si="146"/>
        <v>-1969</v>
      </c>
      <c r="T692">
        <f t="shared" si="147"/>
        <v>27</v>
      </c>
      <c r="U692">
        <f t="shared" si="148"/>
        <v>1996</v>
      </c>
      <c r="V692" s="9">
        <f t="shared" si="152"/>
        <v>8596</v>
      </c>
      <c r="W692" s="9">
        <f t="shared" si="152"/>
        <v>4138</v>
      </c>
      <c r="X692" s="9">
        <f t="shared" si="152"/>
        <v>6107</v>
      </c>
      <c r="Y692" s="9">
        <f t="shared" si="152"/>
        <v>4111</v>
      </c>
      <c r="Z692" s="9">
        <f t="shared" si="152"/>
        <v>4458</v>
      </c>
      <c r="AA692" s="9">
        <f t="shared" si="151"/>
        <v>2489</v>
      </c>
      <c r="AB692" s="9">
        <f t="shared" si="151"/>
        <v>4485</v>
      </c>
      <c r="AC692" s="9">
        <f t="shared" si="151"/>
        <v>1969</v>
      </c>
      <c r="AD692" s="9">
        <f t="shared" si="151"/>
        <v>27</v>
      </c>
      <c r="AE692" s="9">
        <f t="shared" si="151"/>
        <v>1996</v>
      </c>
    </row>
    <row r="693" spans="2:31" x14ac:dyDescent="0.25">
      <c r="B693" s="6">
        <v>18645</v>
      </c>
      <c r="C693" s="6">
        <v>25245</v>
      </c>
      <c r="D693" s="6">
        <v>17679</v>
      </c>
      <c r="E693" s="6">
        <v>15648</v>
      </c>
      <c r="F693" s="8">
        <v>15482</v>
      </c>
      <c r="L693">
        <f t="shared" si="139"/>
        <v>-6600</v>
      </c>
      <c r="M693">
        <f t="shared" si="140"/>
        <v>966</v>
      </c>
      <c r="N693">
        <f t="shared" si="141"/>
        <v>2997</v>
      </c>
      <c r="O693">
        <f t="shared" si="142"/>
        <v>3163</v>
      </c>
      <c r="P693">
        <f t="shared" si="143"/>
        <v>7566</v>
      </c>
      <c r="Q693">
        <f t="shared" si="144"/>
        <v>9597</v>
      </c>
      <c r="R693">
        <f t="shared" si="145"/>
        <v>9763</v>
      </c>
      <c r="S693">
        <f t="shared" si="146"/>
        <v>2031</v>
      </c>
      <c r="T693">
        <f t="shared" si="147"/>
        <v>2197</v>
      </c>
      <c r="U693">
        <f t="shared" si="148"/>
        <v>166</v>
      </c>
      <c r="V693" s="9">
        <f t="shared" si="152"/>
        <v>6600</v>
      </c>
      <c r="W693" s="9">
        <f t="shared" si="152"/>
        <v>966</v>
      </c>
      <c r="X693" s="9">
        <f t="shared" si="152"/>
        <v>2997</v>
      </c>
      <c r="Y693" s="9">
        <f t="shared" si="152"/>
        <v>3163</v>
      </c>
      <c r="Z693" s="9">
        <f t="shared" si="152"/>
        <v>7566</v>
      </c>
      <c r="AA693" s="9">
        <f t="shared" si="151"/>
        <v>9597</v>
      </c>
      <c r="AB693" s="9">
        <f t="shared" si="151"/>
        <v>9763</v>
      </c>
      <c r="AC693" s="9">
        <f t="shared" si="151"/>
        <v>2031</v>
      </c>
      <c r="AD693" s="9">
        <f t="shared" si="151"/>
        <v>2197</v>
      </c>
      <c r="AE693" s="9">
        <f t="shared" si="151"/>
        <v>166</v>
      </c>
    </row>
    <row r="694" spans="2:31" x14ac:dyDescent="0.25">
      <c r="B694" s="6">
        <v>13457</v>
      </c>
      <c r="C694" s="6">
        <v>8940</v>
      </c>
      <c r="D694" s="6">
        <v>7542</v>
      </c>
      <c r="E694" s="6">
        <v>8014</v>
      </c>
      <c r="F694" s="8">
        <v>9452</v>
      </c>
      <c r="L694">
        <f t="shared" si="139"/>
        <v>4517</v>
      </c>
      <c r="M694">
        <f t="shared" si="140"/>
        <v>5915</v>
      </c>
      <c r="N694">
        <f t="shared" si="141"/>
        <v>5443</v>
      </c>
      <c r="O694">
        <f t="shared" si="142"/>
        <v>4005</v>
      </c>
      <c r="P694">
        <f t="shared" si="143"/>
        <v>1398</v>
      </c>
      <c r="Q694">
        <f t="shared" si="144"/>
        <v>926</v>
      </c>
      <c r="R694">
        <f t="shared" si="145"/>
        <v>-512</v>
      </c>
      <c r="S694">
        <f t="shared" si="146"/>
        <v>-472</v>
      </c>
      <c r="T694">
        <f t="shared" si="147"/>
        <v>-1910</v>
      </c>
      <c r="U694">
        <f t="shared" si="148"/>
        <v>-1438</v>
      </c>
      <c r="V694" s="9">
        <f t="shared" si="152"/>
        <v>4517</v>
      </c>
      <c r="W694" s="9">
        <f t="shared" si="152"/>
        <v>5915</v>
      </c>
      <c r="X694" s="9">
        <f t="shared" si="152"/>
        <v>5443</v>
      </c>
      <c r="Y694" s="9">
        <f t="shared" si="152"/>
        <v>4005</v>
      </c>
      <c r="Z694" s="9">
        <f t="shared" si="152"/>
        <v>1398</v>
      </c>
      <c r="AA694" s="9">
        <f t="shared" si="151"/>
        <v>926</v>
      </c>
      <c r="AB694" s="9">
        <f t="shared" si="151"/>
        <v>512</v>
      </c>
      <c r="AC694" s="9">
        <f t="shared" si="151"/>
        <v>472</v>
      </c>
      <c r="AD694" s="9">
        <f t="shared" si="151"/>
        <v>1910</v>
      </c>
      <c r="AE694" s="9">
        <f t="shared" si="151"/>
        <v>1438</v>
      </c>
    </row>
    <row r="695" spans="2:31" x14ac:dyDescent="0.25">
      <c r="B695" s="6">
        <v>19546</v>
      </c>
      <c r="C695" s="6">
        <v>11694</v>
      </c>
      <c r="D695" s="6">
        <v>13556</v>
      </c>
      <c r="E695" s="6">
        <v>12456</v>
      </c>
      <c r="F695" s="8">
        <f t="shared" si="150"/>
        <v>14820</v>
      </c>
      <c r="L695">
        <f t="shared" si="139"/>
        <v>7852</v>
      </c>
      <c r="M695">
        <f t="shared" si="140"/>
        <v>5990</v>
      </c>
      <c r="N695">
        <f t="shared" si="141"/>
        <v>7090</v>
      </c>
      <c r="O695">
        <f t="shared" si="142"/>
        <v>4726</v>
      </c>
      <c r="P695">
        <f t="shared" si="143"/>
        <v>-1862</v>
      </c>
      <c r="Q695">
        <f t="shared" si="144"/>
        <v>-762</v>
      </c>
      <c r="R695">
        <f t="shared" si="145"/>
        <v>-3126</v>
      </c>
      <c r="S695">
        <f t="shared" si="146"/>
        <v>1100</v>
      </c>
      <c r="T695">
        <f t="shared" si="147"/>
        <v>-1264</v>
      </c>
      <c r="U695">
        <f t="shared" si="148"/>
        <v>-2364</v>
      </c>
      <c r="V695" s="9">
        <f t="shared" si="152"/>
        <v>7852</v>
      </c>
      <c r="W695" s="9">
        <f t="shared" si="152"/>
        <v>5990</v>
      </c>
      <c r="X695" s="9">
        <f t="shared" si="152"/>
        <v>7090</v>
      </c>
      <c r="Y695" s="9">
        <f t="shared" si="152"/>
        <v>4726</v>
      </c>
      <c r="Z695" s="9">
        <f t="shared" si="152"/>
        <v>1862</v>
      </c>
      <c r="AA695" s="9">
        <f t="shared" si="151"/>
        <v>762</v>
      </c>
      <c r="AB695" s="9">
        <f t="shared" si="151"/>
        <v>3126</v>
      </c>
      <c r="AC695" s="9">
        <f t="shared" si="151"/>
        <v>1100</v>
      </c>
      <c r="AD695" s="9">
        <f t="shared" si="151"/>
        <v>1264</v>
      </c>
      <c r="AE695" s="9">
        <f t="shared" si="151"/>
        <v>2364</v>
      </c>
    </row>
    <row r="696" spans="2:31" x14ac:dyDescent="0.25">
      <c r="B696" s="6">
        <v>10264</v>
      </c>
      <c r="C696" s="6">
        <v>16559</v>
      </c>
      <c r="D696" s="6">
        <v>14483</v>
      </c>
      <c r="E696" s="6">
        <v>16489</v>
      </c>
      <c r="F696" s="8">
        <v>16452</v>
      </c>
      <c r="L696">
        <f t="shared" si="139"/>
        <v>-6295</v>
      </c>
      <c r="M696">
        <f t="shared" si="140"/>
        <v>-4219</v>
      </c>
      <c r="N696">
        <f t="shared" si="141"/>
        <v>-6225</v>
      </c>
      <c r="O696">
        <f t="shared" si="142"/>
        <v>-6188</v>
      </c>
      <c r="P696">
        <f t="shared" si="143"/>
        <v>2076</v>
      </c>
      <c r="Q696">
        <f t="shared" si="144"/>
        <v>70</v>
      </c>
      <c r="R696">
        <f t="shared" si="145"/>
        <v>107</v>
      </c>
      <c r="S696">
        <f t="shared" si="146"/>
        <v>-2006</v>
      </c>
      <c r="T696">
        <f t="shared" si="147"/>
        <v>-1969</v>
      </c>
      <c r="U696">
        <f t="shared" si="148"/>
        <v>37</v>
      </c>
      <c r="V696" s="9">
        <f t="shared" si="152"/>
        <v>6295</v>
      </c>
      <c r="W696" s="9">
        <f t="shared" si="152"/>
        <v>4219</v>
      </c>
      <c r="X696" s="9">
        <f t="shared" si="152"/>
        <v>6225</v>
      </c>
      <c r="Y696" s="9">
        <f t="shared" si="152"/>
        <v>6188</v>
      </c>
      <c r="Z696" s="9">
        <f t="shared" si="152"/>
        <v>2076</v>
      </c>
      <c r="AA696" s="9">
        <f t="shared" si="151"/>
        <v>70</v>
      </c>
      <c r="AB696" s="9">
        <f t="shared" si="151"/>
        <v>107</v>
      </c>
      <c r="AC696" s="9">
        <f t="shared" si="151"/>
        <v>2006</v>
      </c>
      <c r="AD696" s="9">
        <f t="shared" si="151"/>
        <v>1969</v>
      </c>
      <c r="AE696" s="9">
        <f t="shared" si="151"/>
        <v>37</v>
      </c>
    </row>
    <row r="697" spans="2:31" x14ac:dyDescent="0.25">
      <c r="B697" s="6">
        <v>12695</v>
      </c>
      <c r="C697" s="6">
        <v>25841</v>
      </c>
      <c r="D697" s="6">
        <v>16584</v>
      </c>
      <c r="E697" s="6">
        <v>14568</v>
      </c>
      <c r="F697" s="8">
        <v>15248</v>
      </c>
      <c r="L697">
        <f t="shared" si="139"/>
        <v>-13146</v>
      </c>
      <c r="M697">
        <f t="shared" si="140"/>
        <v>-3889</v>
      </c>
      <c r="N697">
        <f t="shared" si="141"/>
        <v>-1873</v>
      </c>
      <c r="O697">
        <f t="shared" si="142"/>
        <v>-2553</v>
      </c>
      <c r="P697">
        <f t="shared" si="143"/>
        <v>9257</v>
      </c>
      <c r="Q697">
        <f t="shared" si="144"/>
        <v>11273</v>
      </c>
      <c r="R697">
        <f t="shared" si="145"/>
        <v>10593</v>
      </c>
      <c r="S697">
        <f t="shared" si="146"/>
        <v>2016</v>
      </c>
      <c r="T697">
        <f t="shared" si="147"/>
        <v>1336</v>
      </c>
      <c r="U697">
        <f t="shared" si="148"/>
        <v>-680</v>
      </c>
      <c r="V697" s="9">
        <f t="shared" si="152"/>
        <v>13146</v>
      </c>
      <c r="W697" s="9">
        <f t="shared" si="152"/>
        <v>3889</v>
      </c>
      <c r="X697" s="9">
        <f t="shared" si="152"/>
        <v>1873</v>
      </c>
      <c r="Y697" s="9">
        <f t="shared" si="152"/>
        <v>2553</v>
      </c>
      <c r="Z697" s="9">
        <f t="shared" si="152"/>
        <v>9257</v>
      </c>
      <c r="AA697" s="9">
        <f t="shared" si="151"/>
        <v>11273</v>
      </c>
      <c r="AB697" s="9">
        <f t="shared" si="151"/>
        <v>10593</v>
      </c>
      <c r="AC697" s="9">
        <f t="shared" si="151"/>
        <v>2016</v>
      </c>
      <c r="AD697" s="9">
        <f t="shared" si="151"/>
        <v>1336</v>
      </c>
      <c r="AE697" s="9">
        <f t="shared" si="151"/>
        <v>680</v>
      </c>
    </row>
    <row r="698" spans="2:31" x14ac:dyDescent="0.25">
      <c r="B698" s="6">
        <v>16478</v>
      </c>
      <c r="C698" s="6">
        <v>12620</v>
      </c>
      <c r="D698" s="6">
        <v>15462</v>
      </c>
      <c r="E698" s="6">
        <v>16482</v>
      </c>
      <c r="F698" s="8">
        <f t="shared" si="150"/>
        <v>16726</v>
      </c>
      <c r="L698">
        <f t="shared" si="139"/>
        <v>3858</v>
      </c>
      <c r="M698">
        <f t="shared" si="140"/>
        <v>1016</v>
      </c>
      <c r="N698">
        <f t="shared" si="141"/>
        <v>-4</v>
      </c>
      <c r="O698">
        <f t="shared" si="142"/>
        <v>-248</v>
      </c>
      <c r="P698">
        <f t="shared" si="143"/>
        <v>-2842</v>
      </c>
      <c r="Q698">
        <f t="shared" si="144"/>
        <v>-3862</v>
      </c>
      <c r="R698">
        <f t="shared" si="145"/>
        <v>-4106</v>
      </c>
      <c r="S698">
        <f t="shared" si="146"/>
        <v>-1020</v>
      </c>
      <c r="T698">
        <f t="shared" si="147"/>
        <v>-1264</v>
      </c>
      <c r="U698">
        <f t="shared" si="148"/>
        <v>-244</v>
      </c>
      <c r="V698" s="9">
        <f t="shared" si="152"/>
        <v>3858</v>
      </c>
      <c r="W698" s="9">
        <f t="shared" si="152"/>
        <v>1016</v>
      </c>
      <c r="X698" s="9">
        <f t="shared" si="152"/>
        <v>4</v>
      </c>
      <c r="Y698" s="9">
        <f t="shared" si="152"/>
        <v>248</v>
      </c>
      <c r="Z698" s="9">
        <f t="shared" si="152"/>
        <v>2842</v>
      </c>
      <c r="AA698" s="9">
        <f t="shared" si="151"/>
        <v>3862</v>
      </c>
      <c r="AB698" s="9">
        <f t="shared" si="151"/>
        <v>4106</v>
      </c>
      <c r="AC698" s="9">
        <f t="shared" si="151"/>
        <v>1020</v>
      </c>
      <c r="AD698" s="9">
        <f t="shared" si="151"/>
        <v>1264</v>
      </c>
      <c r="AE698" s="9">
        <f t="shared" si="151"/>
        <v>244</v>
      </c>
    </row>
    <row r="699" spans="2:31" x14ac:dyDescent="0.25">
      <c r="B699" s="6">
        <v>12364</v>
      </c>
      <c r="C699" s="6">
        <v>25654</v>
      </c>
      <c r="D699" s="6">
        <v>19136</v>
      </c>
      <c r="E699" s="6">
        <v>17594</v>
      </c>
      <c r="F699" s="8">
        <f t="shared" si="150"/>
        <v>20400</v>
      </c>
      <c r="L699">
        <f t="shared" si="139"/>
        <v>-13290</v>
      </c>
      <c r="M699">
        <f t="shared" si="140"/>
        <v>-6772</v>
      </c>
      <c r="N699">
        <f t="shared" si="141"/>
        <v>-5230</v>
      </c>
      <c r="O699">
        <f t="shared" si="142"/>
        <v>-8036</v>
      </c>
      <c r="P699">
        <f t="shared" si="143"/>
        <v>6518</v>
      </c>
      <c r="Q699">
        <f t="shared" si="144"/>
        <v>8060</v>
      </c>
      <c r="R699">
        <f t="shared" si="145"/>
        <v>5254</v>
      </c>
      <c r="S699">
        <f t="shared" si="146"/>
        <v>1542</v>
      </c>
      <c r="T699">
        <f t="shared" si="147"/>
        <v>-1264</v>
      </c>
      <c r="U699">
        <f t="shared" si="148"/>
        <v>-2806</v>
      </c>
      <c r="V699" s="9">
        <f t="shared" si="152"/>
        <v>13290</v>
      </c>
      <c r="W699" s="9">
        <f t="shared" si="152"/>
        <v>6772</v>
      </c>
      <c r="X699" s="9">
        <f t="shared" si="152"/>
        <v>5230</v>
      </c>
      <c r="Y699" s="9">
        <f t="shared" si="152"/>
        <v>8036</v>
      </c>
      <c r="Z699" s="9">
        <f t="shared" si="152"/>
        <v>6518</v>
      </c>
      <c r="AA699" s="9">
        <f t="shared" si="151"/>
        <v>8060</v>
      </c>
      <c r="AB699" s="9">
        <f t="shared" si="151"/>
        <v>5254</v>
      </c>
      <c r="AC699" s="9">
        <f t="shared" si="151"/>
        <v>1542</v>
      </c>
      <c r="AD699" s="9">
        <f t="shared" si="151"/>
        <v>1264</v>
      </c>
      <c r="AE699" s="9">
        <f t="shared" si="151"/>
        <v>2806</v>
      </c>
    </row>
    <row r="700" spans="2:31" x14ac:dyDescent="0.25">
      <c r="B700" s="6">
        <v>8647</v>
      </c>
      <c r="C700" s="6">
        <v>14683</v>
      </c>
      <c r="D700" s="6">
        <v>12648</v>
      </c>
      <c r="E700" s="6">
        <v>13549</v>
      </c>
      <c r="F700" s="8">
        <f t="shared" si="150"/>
        <v>13912</v>
      </c>
      <c r="L700">
        <f t="shared" si="139"/>
        <v>-6036</v>
      </c>
      <c r="M700">
        <f t="shared" si="140"/>
        <v>-4001</v>
      </c>
      <c r="N700">
        <f t="shared" si="141"/>
        <v>-4902</v>
      </c>
      <c r="O700">
        <f t="shared" si="142"/>
        <v>-5265</v>
      </c>
      <c r="P700">
        <f t="shared" si="143"/>
        <v>2035</v>
      </c>
      <c r="Q700">
        <f t="shared" si="144"/>
        <v>1134</v>
      </c>
      <c r="R700">
        <f t="shared" si="145"/>
        <v>771</v>
      </c>
      <c r="S700">
        <f t="shared" si="146"/>
        <v>-901</v>
      </c>
      <c r="T700">
        <f t="shared" si="147"/>
        <v>-1264</v>
      </c>
      <c r="U700">
        <f t="shared" si="148"/>
        <v>-363</v>
      </c>
      <c r="V700" s="9">
        <f t="shared" si="152"/>
        <v>6036</v>
      </c>
      <c r="W700" s="9">
        <f t="shared" si="152"/>
        <v>4001</v>
      </c>
      <c r="X700" s="9">
        <f t="shared" si="152"/>
        <v>4902</v>
      </c>
      <c r="Y700" s="9">
        <f t="shared" si="152"/>
        <v>5265</v>
      </c>
      <c r="Z700" s="9">
        <f t="shared" si="152"/>
        <v>2035</v>
      </c>
      <c r="AA700" s="9">
        <f t="shared" si="151"/>
        <v>1134</v>
      </c>
      <c r="AB700" s="9">
        <f t="shared" si="151"/>
        <v>771</v>
      </c>
      <c r="AC700" s="9">
        <f t="shared" si="151"/>
        <v>901</v>
      </c>
      <c r="AD700" s="9">
        <f t="shared" si="151"/>
        <v>1264</v>
      </c>
      <c r="AE700" s="9">
        <f t="shared" si="151"/>
        <v>363</v>
      </c>
    </row>
    <row r="701" spans="2:31" x14ac:dyDescent="0.25">
      <c r="B701" s="6">
        <v>6592</v>
      </c>
      <c r="C701" s="6">
        <v>8057</v>
      </c>
      <c r="D701" s="6">
        <v>9245</v>
      </c>
      <c r="E701" s="6">
        <v>10648</v>
      </c>
      <c r="F701" s="8">
        <f t="shared" si="150"/>
        <v>10509</v>
      </c>
      <c r="L701">
        <f t="shared" si="139"/>
        <v>-1465</v>
      </c>
      <c r="M701">
        <f t="shared" si="140"/>
        <v>-2653</v>
      </c>
      <c r="N701">
        <f t="shared" si="141"/>
        <v>-4056</v>
      </c>
      <c r="O701">
        <f t="shared" si="142"/>
        <v>-3917</v>
      </c>
      <c r="P701">
        <f t="shared" si="143"/>
        <v>-1188</v>
      </c>
      <c r="Q701">
        <f t="shared" si="144"/>
        <v>-2591</v>
      </c>
      <c r="R701">
        <f t="shared" si="145"/>
        <v>-2452</v>
      </c>
      <c r="S701">
        <f t="shared" si="146"/>
        <v>-1403</v>
      </c>
      <c r="T701">
        <f t="shared" si="147"/>
        <v>-1264</v>
      </c>
      <c r="U701">
        <f t="shared" si="148"/>
        <v>139</v>
      </c>
      <c r="V701" s="9">
        <f t="shared" si="152"/>
        <v>1465</v>
      </c>
      <c r="W701" s="9">
        <f t="shared" si="152"/>
        <v>2653</v>
      </c>
      <c r="X701" s="9">
        <f t="shared" si="152"/>
        <v>4056</v>
      </c>
      <c r="Y701" s="9">
        <f t="shared" si="152"/>
        <v>3917</v>
      </c>
      <c r="Z701" s="9">
        <f t="shared" si="152"/>
        <v>1188</v>
      </c>
      <c r="AA701" s="9">
        <f t="shared" si="151"/>
        <v>2591</v>
      </c>
      <c r="AB701" s="9">
        <f t="shared" si="151"/>
        <v>2452</v>
      </c>
      <c r="AC701" s="9">
        <f t="shared" si="151"/>
        <v>1403</v>
      </c>
      <c r="AD701" s="9">
        <f t="shared" si="151"/>
        <v>1264</v>
      </c>
      <c r="AE701" s="9">
        <f t="shared" si="151"/>
        <v>139</v>
      </c>
    </row>
    <row r="702" spans="2:31" x14ac:dyDescent="0.25">
      <c r="B702" s="6">
        <v>4435</v>
      </c>
      <c r="C702" s="6">
        <v>11995</v>
      </c>
      <c r="D702" s="6">
        <v>17524</v>
      </c>
      <c r="E702" s="6">
        <v>16485</v>
      </c>
      <c r="F702" s="8">
        <v>17584</v>
      </c>
      <c r="L702">
        <f t="shared" si="139"/>
        <v>-7560</v>
      </c>
      <c r="M702">
        <f t="shared" si="140"/>
        <v>-13089</v>
      </c>
      <c r="N702">
        <f t="shared" si="141"/>
        <v>-12050</v>
      </c>
      <c r="O702">
        <f t="shared" si="142"/>
        <v>-13149</v>
      </c>
      <c r="P702">
        <f t="shared" si="143"/>
        <v>-5529</v>
      </c>
      <c r="Q702">
        <f t="shared" si="144"/>
        <v>-4490</v>
      </c>
      <c r="R702">
        <f t="shared" si="145"/>
        <v>-5589</v>
      </c>
      <c r="S702">
        <f t="shared" si="146"/>
        <v>1039</v>
      </c>
      <c r="T702">
        <f t="shared" si="147"/>
        <v>-60</v>
      </c>
      <c r="U702">
        <f t="shared" si="148"/>
        <v>-1099</v>
      </c>
      <c r="V702" s="9">
        <f t="shared" si="152"/>
        <v>7560</v>
      </c>
      <c r="W702" s="9">
        <f t="shared" si="152"/>
        <v>13089</v>
      </c>
      <c r="X702" s="9">
        <f t="shared" si="152"/>
        <v>12050</v>
      </c>
      <c r="Y702" s="9">
        <f t="shared" si="152"/>
        <v>13149</v>
      </c>
      <c r="Z702" s="9">
        <f t="shared" si="152"/>
        <v>5529</v>
      </c>
      <c r="AA702" s="9">
        <f t="shared" si="151"/>
        <v>4490</v>
      </c>
      <c r="AB702" s="9">
        <f t="shared" si="151"/>
        <v>5589</v>
      </c>
      <c r="AC702" s="9">
        <f t="shared" si="151"/>
        <v>1039</v>
      </c>
      <c r="AD702" s="9">
        <f t="shared" si="151"/>
        <v>60</v>
      </c>
      <c r="AE702" s="9">
        <f t="shared" si="151"/>
        <v>1099</v>
      </c>
    </row>
    <row r="703" spans="2:31" x14ac:dyDescent="0.25">
      <c r="B703" s="6">
        <v>8365</v>
      </c>
      <c r="C703" s="6">
        <v>10052</v>
      </c>
      <c r="D703" s="6">
        <v>8174</v>
      </c>
      <c r="E703" s="6">
        <v>9456</v>
      </c>
      <c r="F703" s="8">
        <f t="shared" si="150"/>
        <v>9438</v>
      </c>
      <c r="L703">
        <f t="shared" si="139"/>
        <v>-1687</v>
      </c>
      <c r="M703">
        <f t="shared" si="140"/>
        <v>191</v>
      </c>
      <c r="N703">
        <f t="shared" si="141"/>
        <v>-1091</v>
      </c>
      <c r="O703">
        <f t="shared" si="142"/>
        <v>-1073</v>
      </c>
      <c r="P703">
        <f t="shared" si="143"/>
        <v>1878</v>
      </c>
      <c r="Q703">
        <f t="shared" si="144"/>
        <v>596</v>
      </c>
      <c r="R703">
        <f t="shared" si="145"/>
        <v>614</v>
      </c>
      <c r="S703">
        <f t="shared" si="146"/>
        <v>-1282</v>
      </c>
      <c r="T703">
        <f t="shared" si="147"/>
        <v>-1264</v>
      </c>
      <c r="U703">
        <f t="shared" si="148"/>
        <v>18</v>
      </c>
      <c r="V703" s="9">
        <f t="shared" si="152"/>
        <v>1687</v>
      </c>
      <c r="W703" s="9">
        <f t="shared" si="152"/>
        <v>191</v>
      </c>
      <c r="X703" s="9">
        <f t="shared" si="152"/>
        <v>1091</v>
      </c>
      <c r="Y703" s="9">
        <f t="shared" si="152"/>
        <v>1073</v>
      </c>
      <c r="Z703" s="9">
        <f t="shared" si="152"/>
        <v>1878</v>
      </c>
      <c r="AA703" s="9">
        <f t="shared" si="151"/>
        <v>596</v>
      </c>
      <c r="AB703" s="9">
        <f t="shared" si="151"/>
        <v>614</v>
      </c>
      <c r="AC703" s="9">
        <f t="shared" si="151"/>
        <v>1282</v>
      </c>
      <c r="AD703" s="9">
        <f t="shared" si="151"/>
        <v>1264</v>
      </c>
      <c r="AE703" s="9">
        <f t="shared" si="151"/>
        <v>18</v>
      </c>
    </row>
    <row r="704" spans="2:31" x14ac:dyDescent="0.25">
      <c r="B704" s="6">
        <v>11264</v>
      </c>
      <c r="C704" s="6">
        <v>8125</v>
      </c>
      <c r="D704" s="6">
        <v>12245</v>
      </c>
      <c r="E704" s="6">
        <v>10245</v>
      </c>
      <c r="F704" s="8">
        <v>12456</v>
      </c>
      <c r="L704">
        <f t="shared" si="139"/>
        <v>3139</v>
      </c>
      <c r="M704">
        <f t="shared" si="140"/>
        <v>-981</v>
      </c>
      <c r="N704">
        <f t="shared" si="141"/>
        <v>1019</v>
      </c>
      <c r="O704">
        <f t="shared" si="142"/>
        <v>-1192</v>
      </c>
      <c r="P704">
        <f t="shared" si="143"/>
        <v>-4120</v>
      </c>
      <c r="Q704">
        <f t="shared" si="144"/>
        <v>-2120</v>
      </c>
      <c r="R704">
        <f t="shared" si="145"/>
        <v>-4331</v>
      </c>
      <c r="S704">
        <f t="shared" si="146"/>
        <v>2000</v>
      </c>
      <c r="T704">
        <f t="shared" si="147"/>
        <v>-211</v>
      </c>
      <c r="U704">
        <f t="shared" si="148"/>
        <v>-2211</v>
      </c>
      <c r="V704" s="9">
        <f t="shared" si="152"/>
        <v>3139</v>
      </c>
      <c r="W704" s="9">
        <f t="shared" si="152"/>
        <v>981</v>
      </c>
      <c r="X704" s="9">
        <f t="shared" si="152"/>
        <v>1019</v>
      </c>
      <c r="Y704" s="9">
        <f t="shared" si="152"/>
        <v>1192</v>
      </c>
      <c r="Z704" s="9">
        <f t="shared" si="152"/>
        <v>4120</v>
      </c>
      <c r="AA704" s="9">
        <f t="shared" si="151"/>
        <v>2120</v>
      </c>
      <c r="AB704" s="9">
        <f t="shared" si="151"/>
        <v>4331</v>
      </c>
      <c r="AC704" s="9">
        <f t="shared" si="151"/>
        <v>2000</v>
      </c>
      <c r="AD704" s="9">
        <f t="shared" si="151"/>
        <v>211</v>
      </c>
      <c r="AE704" s="9">
        <f t="shared" si="151"/>
        <v>2211</v>
      </c>
    </row>
    <row r="705" spans="2:31" x14ac:dyDescent="0.25">
      <c r="B705" s="6">
        <v>14530</v>
      </c>
      <c r="C705" s="6">
        <v>8419</v>
      </c>
      <c r="D705" s="6">
        <v>12454</v>
      </c>
      <c r="E705" s="6">
        <v>11245</v>
      </c>
      <c r="F705" s="8">
        <v>13545</v>
      </c>
      <c r="L705">
        <f t="shared" ref="L705:L768" si="153">B705-C705</f>
        <v>6111</v>
      </c>
      <c r="M705">
        <f t="shared" ref="M705:M768" si="154">B705-D705</f>
        <v>2076</v>
      </c>
      <c r="N705">
        <f t="shared" ref="N705:N768" si="155">B705-E705</f>
        <v>3285</v>
      </c>
      <c r="O705">
        <f t="shared" ref="O705:O768" si="156">B705-F705</f>
        <v>985</v>
      </c>
      <c r="P705">
        <f t="shared" ref="P705:P768" si="157">C705-D705</f>
        <v>-4035</v>
      </c>
      <c r="Q705">
        <f t="shared" ref="Q705:Q768" si="158">C705-E705</f>
        <v>-2826</v>
      </c>
      <c r="R705">
        <f t="shared" ref="R705:R768" si="159">C705-F705</f>
        <v>-5126</v>
      </c>
      <c r="S705">
        <f t="shared" ref="S705:S768" si="160">D705-E705</f>
        <v>1209</v>
      </c>
      <c r="T705">
        <f t="shared" ref="T705:T768" si="161">D705-F705</f>
        <v>-1091</v>
      </c>
      <c r="U705">
        <f t="shared" ref="U705:U768" si="162">E705-F705</f>
        <v>-2300</v>
      </c>
      <c r="V705" s="9">
        <f t="shared" si="152"/>
        <v>6111</v>
      </c>
      <c r="W705" s="9">
        <f t="shared" si="152"/>
        <v>2076</v>
      </c>
      <c r="X705" s="9">
        <f t="shared" si="152"/>
        <v>3285</v>
      </c>
      <c r="Y705" s="9">
        <f t="shared" si="152"/>
        <v>985</v>
      </c>
      <c r="Z705" s="9">
        <f t="shared" si="152"/>
        <v>4035</v>
      </c>
      <c r="AA705" s="9">
        <f t="shared" si="151"/>
        <v>2826</v>
      </c>
      <c r="AB705" s="9">
        <f t="shared" si="151"/>
        <v>5126</v>
      </c>
      <c r="AC705" s="9">
        <f t="shared" si="151"/>
        <v>1209</v>
      </c>
      <c r="AD705" s="9">
        <f t="shared" si="151"/>
        <v>1091</v>
      </c>
      <c r="AE705" s="9">
        <f t="shared" si="151"/>
        <v>2300</v>
      </c>
    </row>
    <row r="706" spans="2:31" x14ac:dyDescent="0.25">
      <c r="B706" s="6">
        <v>16057</v>
      </c>
      <c r="C706" s="6">
        <v>18246</v>
      </c>
      <c r="D706" s="6">
        <v>14782</v>
      </c>
      <c r="E706" s="6">
        <v>12458</v>
      </c>
      <c r="F706" s="8">
        <f t="shared" si="150"/>
        <v>16046</v>
      </c>
      <c r="L706">
        <f t="shared" si="153"/>
        <v>-2189</v>
      </c>
      <c r="M706">
        <f t="shared" si="154"/>
        <v>1275</v>
      </c>
      <c r="N706">
        <f t="shared" si="155"/>
        <v>3599</v>
      </c>
      <c r="O706">
        <f t="shared" si="156"/>
        <v>11</v>
      </c>
      <c r="P706">
        <f t="shared" si="157"/>
        <v>3464</v>
      </c>
      <c r="Q706">
        <f t="shared" si="158"/>
        <v>5788</v>
      </c>
      <c r="R706">
        <f t="shared" si="159"/>
        <v>2200</v>
      </c>
      <c r="S706">
        <f t="shared" si="160"/>
        <v>2324</v>
      </c>
      <c r="T706">
        <f t="shared" si="161"/>
        <v>-1264</v>
      </c>
      <c r="U706">
        <f t="shared" si="162"/>
        <v>-3588</v>
      </c>
      <c r="V706" s="9">
        <f t="shared" si="152"/>
        <v>2189</v>
      </c>
      <c r="W706" s="9">
        <f t="shared" si="152"/>
        <v>1275</v>
      </c>
      <c r="X706" s="9">
        <f t="shared" si="152"/>
        <v>3599</v>
      </c>
      <c r="Y706" s="9">
        <f t="shared" si="152"/>
        <v>11</v>
      </c>
      <c r="Z706" s="9">
        <f t="shared" si="152"/>
        <v>3464</v>
      </c>
      <c r="AA706" s="9">
        <f t="shared" si="151"/>
        <v>5788</v>
      </c>
      <c r="AB706" s="9">
        <f t="shared" si="151"/>
        <v>2200</v>
      </c>
      <c r="AC706" s="9">
        <f t="shared" si="151"/>
        <v>2324</v>
      </c>
      <c r="AD706" s="9">
        <f t="shared" si="151"/>
        <v>1264</v>
      </c>
      <c r="AE706" s="9">
        <f t="shared" si="151"/>
        <v>3588</v>
      </c>
    </row>
    <row r="707" spans="2:31" x14ac:dyDescent="0.25">
      <c r="B707" s="6">
        <v>10608</v>
      </c>
      <c r="C707" s="6">
        <v>10693</v>
      </c>
      <c r="D707" s="6">
        <v>9542</v>
      </c>
      <c r="E707" s="6">
        <v>10246</v>
      </c>
      <c r="F707" s="8">
        <f t="shared" si="150"/>
        <v>10806</v>
      </c>
      <c r="L707">
        <f t="shared" si="153"/>
        <v>-85</v>
      </c>
      <c r="M707">
        <f t="shared" si="154"/>
        <v>1066</v>
      </c>
      <c r="N707">
        <f t="shared" si="155"/>
        <v>362</v>
      </c>
      <c r="O707">
        <f t="shared" si="156"/>
        <v>-198</v>
      </c>
      <c r="P707">
        <f t="shared" si="157"/>
        <v>1151</v>
      </c>
      <c r="Q707">
        <f t="shared" si="158"/>
        <v>447</v>
      </c>
      <c r="R707">
        <f t="shared" si="159"/>
        <v>-113</v>
      </c>
      <c r="S707">
        <f t="shared" si="160"/>
        <v>-704</v>
      </c>
      <c r="T707">
        <f t="shared" si="161"/>
        <v>-1264</v>
      </c>
      <c r="U707">
        <f t="shared" si="162"/>
        <v>-560</v>
      </c>
      <c r="V707" s="9">
        <f t="shared" si="152"/>
        <v>85</v>
      </c>
      <c r="W707" s="9">
        <f t="shared" si="152"/>
        <v>1066</v>
      </c>
      <c r="X707" s="9">
        <f t="shared" si="152"/>
        <v>362</v>
      </c>
      <c r="Y707" s="9">
        <f t="shared" si="152"/>
        <v>198</v>
      </c>
      <c r="Z707" s="9">
        <f t="shared" si="152"/>
        <v>1151</v>
      </c>
      <c r="AA707" s="9">
        <f t="shared" si="151"/>
        <v>447</v>
      </c>
      <c r="AB707" s="9">
        <f t="shared" si="151"/>
        <v>113</v>
      </c>
      <c r="AC707" s="9">
        <f t="shared" si="151"/>
        <v>704</v>
      </c>
      <c r="AD707" s="9">
        <f t="shared" si="151"/>
        <v>1264</v>
      </c>
      <c r="AE707" s="9">
        <f t="shared" si="151"/>
        <v>560</v>
      </c>
    </row>
    <row r="708" spans="2:31" x14ac:dyDescent="0.25">
      <c r="B708" s="6">
        <v>16385</v>
      </c>
      <c r="C708" s="6">
        <v>26225</v>
      </c>
      <c r="D708" s="6">
        <v>19023</v>
      </c>
      <c r="E708" s="6">
        <v>22015</v>
      </c>
      <c r="F708" s="8">
        <v>22154</v>
      </c>
      <c r="L708">
        <f t="shared" si="153"/>
        <v>-9840</v>
      </c>
      <c r="M708">
        <f t="shared" si="154"/>
        <v>-2638</v>
      </c>
      <c r="N708">
        <f t="shared" si="155"/>
        <v>-5630</v>
      </c>
      <c r="O708">
        <f t="shared" si="156"/>
        <v>-5769</v>
      </c>
      <c r="P708">
        <f t="shared" si="157"/>
        <v>7202</v>
      </c>
      <c r="Q708">
        <f t="shared" si="158"/>
        <v>4210</v>
      </c>
      <c r="R708">
        <f t="shared" si="159"/>
        <v>4071</v>
      </c>
      <c r="S708">
        <f t="shared" si="160"/>
        <v>-2992</v>
      </c>
      <c r="T708">
        <f t="shared" si="161"/>
        <v>-3131</v>
      </c>
      <c r="U708">
        <f t="shared" si="162"/>
        <v>-139</v>
      </c>
      <c r="V708" s="9">
        <f t="shared" si="152"/>
        <v>9840</v>
      </c>
      <c r="W708" s="9">
        <f t="shared" si="152"/>
        <v>2638</v>
      </c>
      <c r="X708" s="9">
        <f t="shared" si="152"/>
        <v>5630</v>
      </c>
      <c r="Y708" s="9">
        <f t="shared" si="152"/>
        <v>5769</v>
      </c>
      <c r="Z708" s="9">
        <f t="shared" si="152"/>
        <v>7202</v>
      </c>
      <c r="AA708" s="9">
        <f t="shared" si="151"/>
        <v>4210</v>
      </c>
      <c r="AB708" s="9">
        <f t="shared" si="151"/>
        <v>4071</v>
      </c>
      <c r="AC708" s="9">
        <f t="shared" si="151"/>
        <v>2992</v>
      </c>
      <c r="AD708" s="9">
        <f t="shared" si="151"/>
        <v>3131</v>
      </c>
      <c r="AE708" s="9">
        <f t="shared" si="151"/>
        <v>139</v>
      </c>
    </row>
    <row r="709" spans="2:31" x14ac:dyDescent="0.25">
      <c r="B709" s="6">
        <v>11675</v>
      </c>
      <c r="C709" s="6">
        <v>9056</v>
      </c>
      <c r="D709" s="6">
        <v>8671</v>
      </c>
      <c r="E709" s="6">
        <v>10455</v>
      </c>
      <c r="F709" s="8">
        <f t="shared" si="150"/>
        <v>9935</v>
      </c>
      <c r="L709">
        <f t="shared" si="153"/>
        <v>2619</v>
      </c>
      <c r="M709">
        <f t="shared" si="154"/>
        <v>3004</v>
      </c>
      <c r="N709">
        <f t="shared" si="155"/>
        <v>1220</v>
      </c>
      <c r="O709">
        <f t="shared" si="156"/>
        <v>1740</v>
      </c>
      <c r="P709">
        <f t="shared" si="157"/>
        <v>385</v>
      </c>
      <c r="Q709">
        <f t="shared" si="158"/>
        <v>-1399</v>
      </c>
      <c r="R709">
        <f t="shared" si="159"/>
        <v>-879</v>
      </c>
      <c r="S709">
        <f t="shared" si="160"/>
        <v>-1784</v>
      </c>
      <c r="T709">
        <f t="shared" si="161"/>
        <v>-1264</v>
      </c>
      <c r="U709">
        <f t="shared" si="162"/>
        <v>520</v>
      </c>
      <c r="V709" s="9">
        <f t="shared" si="152"/>
        <v>2619</v>
      </c>
      <c r="W709" s="9">
        <f t="shared" si="152"/>
        <v>3004</v>
      </c>
      <c r="X709" s="9">
        <f t="shared" si="152"/>
        <v>1220</v>
      </c>
      <c r="Y709" s="9">
        <f t="shared" si="152"/>
        <v>1740</v>
      </c>
      <c r="Z709" s="9">
        <f t="shared" si="152"/>
        <v>385</v>
      </c>
      <c r="AA709" s="9">
        <f t="shared" si="151"/>
        <v>1399</v>
      </c>
      <c r="AB709" s="9">
        <f t="shared" si="151"/>
        <v>879</v>
      </c>
      <c r="AC709" s="9">
        <f t="shared" si="151"/>
        <v>1784</v>
      </c>
      <c r="AD709" s="9">
        <f t="shared" si="151"/>
        <v>1264</v>
      </c>
      <c r="AE709" s="9">
        <f t="shared" si="151"/>
        <v>520</v>
      </c>
    </row>
    <row r="710" spans="2:31" x14ac:dyDescent="0.25">
      <c r="B710" s="6">
        <v>10387</v>
      </c>
      <c r="C710" s="6">
        <v>21729</v>
      </c>
      <c r="D710" s="6">
        <v>15234</v>
      </c>
      <c r="E710" s="6">
        <v>18462</v>
      </c>
      <c r="F710" s="8">
        <v>15435</v>
      </c>
      <c r="L710">
        <f t="shared" si="153"/>
        <v>-11342</v>
      </c>
      <c r="M710">
        <f t="shared" si="154"/>
        <v>-4847</v>
      </c>
      <c r="N710">
        <f t="shared" si="155"/>
        <v>-8075</v>
      </c>
      <c r="O710">
        <f t="shared" si="156"/>
        <v>-5048</v>
      </c>
      <c r="P710">
        <f t="shared" si="157"/>
        <v>6495</v>
      </c>
      <c r="Q710">
        <f t="shared" si="158"/>
        <v>3267</v>
      </c>
      <c r="R710">
        <f t="shared" si="159"/>
        <v>6294</v>
      </c>
      <c r="S710">
        <f t="shared" si="160"/>
        <v>-3228</v>
      </c>
      <c r="T710">
        <f t="shared" si="161"/>
        <v>-201</v>
      </c>
      <c r="U710">
        <f t="shared" si="162"/>
        <v>3027</v>
      </c>
      <c r="V710" s="9">
        <f t="shared" si="152"/>
        <v>11342</v>
      </c>
      <c r="W710" s="9">
        <f t="shared" si="152"/>
        <v>4847</v>
      </c>
      <c r="X710" s="9">
        <f t="shared" si="152"/>
        <v>8075</v>
      </c>
      <c r="Y710" s="9">
        <f t="shared" si="152"/>
        <v>5048</v>
      </c>
      <c r="Z710" s="9">
        <f t="shared" si="152"/>
        <v>6495</v>
      </c>
      <c r="AA710" s="9">
        <f t="shared" si="151"/>
        <v>3267</v>
      </c>
      <c r="AB710" s="9">
        <f t="shared" si="151"/>
        <v>6294</v>
      </c>
      <c r="AC710" s="9">
        <f t="shared" si="151"/>
        <v>3228</v>
      </c>
      <c r="AD710" s="9">
        <f t="shared" si="151"/>
        <v>201</v>
      </c>
      <c r="AE710" s="9">
        <f t="shared" si="151"/>
        <v>3027</v>
      </c>
    </row>
    <row r="711" spans="2:31" x14ac:dyDescent="0.25">
      <c r="B711" s="6">
        <v>9563</v>
      </c>
      <c r="C711" s="6">
        <v>25457</v>
      </c>
      <c r="D711" s="6">
        <v>21299</v>
      </c>
      <c r="E711" s="6">
        <v>26485</v>
      </c>
      <c r="F711" s="8">
        <f t="shared" si="150"/>
        <v>22563</v>
      </c>
      <c r="L711">
        <f t="shared" si="153"/>
        <v>-15894</v>
      </c>
      <c r="M711">
        <f t="shared" si="154"/>
        <v>-11736</v>
      </c>
      <c r="N711">
        <f t="shared" si="155"/>
        <v>-16922</v>
      </c>
      <c r="O711">
        <f t="shared" si="156"/>
        <v>-13000</v>
      </c>
      <c r="P711">
        <f t="shared" si="157"/>
        <v>4158</v>
      </c>
      <c r="Q711">
        <f t="shared" si="158"/>
        <v>-1028</v>
      </c>
      <c r="R711">
        <f t="shared" si="159"/>
        <v>2894</v>
      </c>
      <c r="S711">
        <f t="shared" si="160"/>
        <v>-5186</v>
      </c>
      <c r="T711">
        <f t="shared" si="161"/>
        <v>-1264</v>
      </c>
      <c r="U711">
        <f t="shared" si="162"/>
        <v>3922</v>
      </c>
      <c r="V711" s="9">
        <f t="shared" si="152"/>
        <v>15894</v>
      </c>
      <c r="W711" s="9">
        <f t="shared" si="152"/>
        <v>11736</v>
      </c>
      <c r="X711" s="9">
        <f t="shared" si="152"/>
        <v>16922</v>
      </c>
      <c r="Y711" s="9">
        <f t="shared" si="152"/>
        <v>13000</v>
      </c>
      <c r="Z711" s="9">
        <f t="shared" si="152"/>
        <v>4158</v>
      </c>
      <c r="AA711" s="9">
        <f t="shared" si="151"/>
        <v>1028</v>
      </c>
      <c r="AB711" s="9">
        <f t="shared" si="151"/>
        <v>2894</v>
      </c>
      <c r="AC711" s="9">
        <f t="shared" si="151"/>
        <v>5186</v>
      </c>
      <c r="AD711" s="9">
        <f t="shared" si="151"/>
        <v>1264</v>
      </c>
      <c r="AE711" s="9">
        <f t="shared" si="151"/>
        <v>3922</v>
      </c>
    </row>
    <row r="712" spans="2:31" x14ac:dyDescent="0.25">
      <c r="B712" s="6">
        <v>13080</v>
      </c>
      <c r="C712" s="6">
        <v>11289</v>
      </c>
      <c r="D712" s="6">
        <v>9435</v>
      </c>
      <c r="E712" s="6">
        <v>15465</v>
      </c>
      <c r="F712" s="8">
        <v>11264</v>
      </c>
      <c r="L712">
        <f t="shared" si="153"/>
        <v>1791</v>
      </c>
      <c r="M712">
        <f t="shared" si="154"/>
        <v>3645</v>
      </c>
      <c r="N712">
        <f t="shared" si="155"/>
        <v>-2385</v>
      </c>
      <c r="O712">
        <f t="shared" si="156"/>
        <v>1816</v>
      </c>
      <c r="P712">
        <f t="shared" si="157"/>
        <v>1854</v>
      </c>
      <c r="Q712">
        <f t="shared" si="158"/>
        <v>-4176</v>
      </c>
      <c r="R712">
        <f t="shared" si="159"/>
        <v>25</v>
      </c>
      <c r="S712">
        <f t="shared" si="160"/>
        <v>-6030</v>
      </c>
      <c r="T712">
        <f t="shared" si="161"/>
        <v>-1829</v>
      </c>
      <c r="U712">
        <f t="shared" si="162"/>
        <v>4201</v>
      </c>
      <c r="V712" s="9">
        <f t="shared" si="152"/>
        <v>1791</v>
      </c>
      <c r="W712" s="9">
        <f t="shared" si="152"/>
        <v>3645</v>
      </c>
      <c r="X712" s="9">
        <f t="shared" si="152"/>
        <v>2385</v>
      </c>
      <c r="Y712" s="9">
        <f t="shared" si="152"/>
        <v>1816</v>
      </c>
      <c r="Z712" s="9">
        <f t="shared" si="152"/>
        <v>1854</v>
      </c>
      <c r="AA712" s="9">
        <f t="shared" si="151"/>
        <v>4176</v>
      </c>
      <c r="AB712" s="9">
        <f t="shared" si="151"/>
        <v>25</v>
      </c>
      <c r="AC712" s="9">
        <f t="shared" si="151"/>
        <v>6030</v>
      </c>
      <c r="AD712" s="9">
        <f t="shared" si="151"/>
        <v>1829</v>
      </c>
      <c r="AE712" s="9">
        <f t="shared" si="151"/>
        <v>4201</v>
      </c>
    </row>
    <row r="713" spans="2:31" x14ac:dyDescent="0.25">
      <c r="B713" s="6">
        <v>16942</v>
      </c>
      <c r="C713" s="6">
        <v>20797</v>
      </c>
      <c r="D713" s="6">
        <v>15352</v>
      </c>
      <c r="E713" s="6">
        <v>21545</v>
      </c>
      <c r="F713" s="8">
        <v>14586</v>
      </c>
      <c r="L713">
        <f t="shared" si="153"/>
        <v>-3855</v>
      </c>
      <c r="M713">
        <f t="shared" si="154"/>
        <v>1590</v>
      </c>
      <c r="N713">
        <f t="shared" si="155"/>
        <v>-4603</v>
      </c>
      <c r="O713">
        <f t="shared" si="156"/>
        <v>2356</v>
      </c>
      <c r="P713">
        <f t="shared" si="157"/>
        <v>5445</v>
      </c>
      <c r="Q713">
        <f t="shared" si="158"/>
        <v>-748</v>
      </c>
      <c r="R713">
        <f t="shared" si="159"/>
        <v>6211</v>
      </c>
      <c r="S713">
        <f t="shared" si="160"/>
        <v>-6193</v>
      </c>
      <c r="T713">
        <f t="shared" si="161"/>
        <v>766</v>
      </c>
      <c r="U713">
        <f t="shared" si="162"/>
        <v>6959</v>
      </c>
      <c r="V713" s="9">
        <f t="shared" si="152"/>
        <v>3855</v>
      </c>
      <c r="W713" s="9">
        <f t="shared" si="152"/>
        <v>1590</v>
      </c>
      <c r="X713" s="9">
        <f t="shared" si="152"/>
        <v>4603</v>
      </c>
      <c r="Y713" s="9">
        <f t="shared" si="152"/>
        <v>2356</v>
      </c>
      <c r="Z713" s="9">
        <f t="shared" si="152"/>
        <v>5445</v>
      </c>
      <c r="AA713" s="9">
        <f t="shared" si="151"/>
        <v>748</v>
      </c>
      <c r="AB713" s="9">
        <f t="shared" si="151"/>
        <v>6211</v>
      </c>
      <c r="AC713" s="9">
        <f t="shared" si="151"/>
        <v>6193</v>
      </c>
      <c r="AD713" s="9">
        <f t="shared" si="151"/>
        <v>766</v>
      </c>
      <c r="AE713" s="9">
        <f t="shared" si="151"/>
        <v>6959</v>
      </c>
    </row>
    <row r="714" spans="2:31" x14ac:dyDescent="0.25">
      <c r="B714" s="6">
        <v>11340</v>
      </c>
      <c r="C714" s="6">
        <v>18714</v>
      </c>
      <c r="D714" s="6">
        <v>10345</v>
      </c>
      <c r="E714" s="6">
        <v>15464</v>
      </c>
      <c r="F714" s="8">
        <v>12465</v>
      </c>
      <c r="L714">
        <f t="shared" si="153"/>
        <v>-7374</v>
      </c>
      <c r="M714">
        <f t="shared" si="154"/>
        <v>995</v>
      </c>
      <c r="N714">
        <f t="shared" si="155"/>
        <v>-4124</v>
      </c>
      <c r="O714">
        <f t="shared" si="156"/>
        <v>-1125</v>
      </c>
      <c r="P714">
        <f t="shared" si="157"/>
        <v>8369</v>
      </c>
      <c r="Q714">
        <f t="shared" si="158"/>
        <v>3250</v>
      </c>
      <c r="R714">
        <f t="shared" si="159"/>
        <v>6249</v>
      </c>
      <c r="S714">
        <f t="shared" si="160"/>
        <v>-5119</v>
      </c>
      <c r="T714">
        <f t="shared" si="161"/>
        <v>-2120</v>
      </c>
      <c r="U714">
        <f t="shared" si="162"/>
        <v>2999</v>
      </c>
      <c r="V714" s="9">
        <f t="shared" si="152"/>
        <v>7374</v>
      </c>
      <c r="W714" s="9">
        <f t="shared" si="152"/>
        <v>995</v>
      </c>
      <c r="X714" s="9">
        <f t="shared" si="152"/>
        <v>4124</v>
      </c>
      <c r="Y714" s="9">
        <f t="shared" si="152"/>
        <v>1125</v>
      </c>
      <c r="Z714" s="9">
        <f t="shared" si="152"/>
        <v>8369</v>
      </c>
      <c r="AA714" s="9">
        <f t="shared" si="151"/>
        <v>3250</v>
      </c>
      <c r="AB714" s="9">
        <f t="shared" si="151"/>
        <v>6249</v>
      </c>
      <c r="AC714" s="9">
        <f t="shared" si="151"/>
        <v>5119</v>
      </c>
      <c r="AD714" s="9">
        <f t="shared" si="151"/>
        <v>2120</v>
      </c>
      <c r="AE714" s="9">
        <f t="shared" si="151"/>
        <v>2999</v>
      </c>
    </row>
    <row r="715" spans="2:31" x14ac:dyDescent="0.25">
      <c r="B715" s="6">
        <v>13575</v>
      </c>
      <c r="C715" s="6">
        <v>16090</v>
      </c>
      <c r="D715" s="6">
        <v>18278</v>
      </c>
      <c r="E715" s="6">
        <v>23451</v>
      </c>
      <c r="F715" s="8">
        <v>21545</v>
      </c>
      <c r="L715">
        <f t="shared" si="153"/>
        <v>-2515</v>
      </c>
      <c r="M715">
        <f t="shared" si="154"/>
        <v>-4703</v>
      </c>
      <c r="N715">
        <f t="shared" si="155"/>
        <v>-9876</v>
      </c>
      <c r="O715">
        <f t="shared" si="156"/>
        <v>-7970</v>
      </c>
      <c r="P715">
        <f t="shared" si="157"/>
        <v>-2188</v>
      </c>
      <c r="Q715">
        <f t="shared" si="158"/>
        <v>-7361</v>
      </c>
      <c r="R715">
        <f t="shared" si="159"/>
        <v>-5455</v>
      </c>
      <c r="S715">
        <f t="shared" si="160"/>
        <v>-5173</v>
      </c>
      <c r="T715">
        <f t="shared" si="161"/>
        <v>-3267</v>
      </c>
      <c r="U715">
        <f t="shared" si="162"/>
        <v>1906</v>
      </c>
      <c r="V715" s="9">
        <f t="shared" si="152"/>
        <v>2515</v>
      </c>
      <c r="W715" s="9">
        <f t="shared" si="152"/>
        <v>4703</v>
      </c>
      <c r="X715" s="9">
        <f t="shared" si="152"/>
        <v>9876</v>
      </c>
      <c r="Y715" s="9">
        <f t="shared" si="152"/>
        <v>7970</v>
      </c>
      <c r="Z715" s="9">
        <f t="shared" si="152"/>
        <v>2188</v>
      </c>
      <c r="AA715" s="9">
        <f t="shared" si="151"/>
        <v>7361</v>
      </c>
      <c r="AB715" s="9">
        <f t="shared" si="151"/>
        <v>5455</v>
      </c>
      <c r="AC715" s="9">
        <f t="shared" si="151"/>
        <v>5173</v>
      </c>
      <c r="AD715" s="9">
        <f t="shared" si="151"/>
        <v>3267</v>
      </c>
      <c r="AE715" s="9">
        <f t="shared" si="151"/>
        <v>1906</v>
      </c>
    </row>
    <row r="716" spans="2:31" x14ac:dyDescent="0.25">
      <c r="B716" s="6">
        <v>10258</v>
      </c>
      <c r="C716" s="6">
        <v>17230</v>
      </c>
      <c r="D716" s="6">
        <v>21496</v>
      </c>
      <c r="E716" s="6">
        <v>16452</v>
      </c>
      <c r="F716" s="8">
        <v>18452</v>
      </c>
      <c r="L716">
        <f t="shared" si="153"/>
        <v>-6972</v>
      </c>
      <c r="M716">
        <f t="shared" si="154"/>
        <v>-11238</v>
      </c>
      <c r="N716">
        <f t="shared" si="155"/>
        <v>-6194</v>
      </c>
      <c r="O716">
        <f t="shared" si="156"/>
        <v>-8194</v>
      </c>
      <c r="P716">
        <f t="shared" si="157"/>
        <v>-4266</v>
      </c>
      <c r="Q716">
        <f t="shared" si="158"/>
        <v>778</v>
      </c>
      <c r="R716">
        <f t="shared" si="159"/>
        <v>-1222</v>
      </c>
      <c r="S716">
        <f t="shared" si="160"/>
        <v>5044</v>
      </c>
      <c r="T716">
        <f t="shared" si="161"/>
        <v>3044</v>
      </c>
      <c r="U716">
        <f t="shared" si="162"/>
        <v>-2000</v>
      </c>
      <c r="V716" s="9">
        <f t="shared" si="152"/>
        <v>6972</v>
      </c>
      <c r="W716" s="9">
        <f t="shared" si="152"/>
        <v>11238</v>
      </c>
      <c r="X716" s="9">
        <f t="shared" si="152"/>
        <v>6194</v>
      </c>
      <c r="Y716" s="9">
        <f t="shared" si="152"/>
        <v>8194</v>
      </c>
      <c r="Z716" s="9">
        <f t="shared" si="152"/>
        <v>4266</v>
      </c>
      <c r="AA716" s="9">
        <f t="shared" si="151"/>
        <v>778</v>
      </c>
      <c r="AB716" s="9">
        <f t="shared" si="151"/>
        <v>1222</v>
      </c>
      <c r="AC716" s="9">
        <f t="shared" si="151"/>
        <v>5044</v>
      </c>
      <c r="AD716" s="9">
        <f t="shared" si="151"/>
        <v>3044</v>
      </c>
      <c r="AE716" s="9">
        <f t="shared" si="151"/>
        <v>2000</v>
      </c>
    </row>
    <row r="717" spans="2:31" x14ac:dyDescent="0.25">
      <c r="B717" s="6">
        <v>14364</v>
      </c>
      <c r="C717" s="6">
        <v>23651</v>
      </c>
      <c r="D717" s="6">
        <v>21324</v>
      </c>
      <c r="E717" s="6">
        <v>26458</v>
      </c>
      <c r="F717" s="8">
        <v>24565</v>
      </c>
      <c r="L717">
        <f t="shared" si="153"/>
        <v>-9287</v>
      </c>
      <c r="M717">
        <f t="shared" si="154"/>
        <v>-6960</v>
      </c>
      <c r="N717">
        <f t="shared" si="155"/>
        <v>-12094</v>
      </c>
      <c r="O717">
        <f t="shared" si="156"/>
        <v>-10201</v>
      </c>
      <c r="P717">
        <f t="shared" si="157"/>
        <v>2327</v>
      </c>
      <c r="Q717">
        <f t="shared" si="158"/>
        <v>-2807</v>
      </c>
      <c r="R717">
        <f t="shared" si="159"/>
        <v>-914</v>
      </c>
      <c r="S717">
        <f t="shared" si="160"/>
        <v>-5134</v>
      </c>
      <c r="T717">
        <f t="shared" si="161"/>
        <v>-3241</v>
      </c>
      <c r="U717">
        <f t="shared" si="162"/>
        <v>1893</v>
      </c>
      <c r="V717" s="9">
        <f t="shared" si="152"/>
        <v>9287</v>
      </c>
      <c r="W717" s="9">
        <f t="shared" si="152"/>
        <v>6960</v>
      </c>
      <c r="X717" s="9">
        <f t="shared" si="152"/>
        <v>12094</v>
      </c>
      <c r="Y717" s="9">
        <f t="shared" si="152"/>
        <v>10201</v>
      </c>
      <c r="Z717" s="9">
        <f t="shared" si="152"/>
        <v>2327</v>
      </c>
      <c r="AA717" s="9">
        <f t="shared" si="151"/>
        <v>2807</v>
      </c>
      <c r="AB717" s="9">
        <f t="shared" si="151"/>
        <v>914</v>
      </c>
      <c r="AC717" s="9">
        <f t="shared" si="151"/>
        <v>5134</v>
      </c>
      <c r="AD717" s="9">
        <f t="shared" si="151"/>
        <v>3241</v>
      </c>
      <c r="AE717" s="9">
        <f t="shared" si="151"/>
        <v>1893</v>
      </c>
    </row>
    <row r="718" spans="2:31" x14ac:dyDescent="0.25">
      <c r="B718" s="6">
        <v>19850</v>
      </c>
      <c r="C718" s="6">
        <v>24317</v>
      </c>
      <c r="D718" s="6">
        <v>15534</v>
      </c>
      <c r="E718" s="6">
        <v>21464</v>
      </c>
      <c r="F718" s="8">
        <v>17524</v>
      </c>
      <c r="L718">
        <f t="shared" si="153"/>
        <v>-4467</v>
      </c>
      <c r="M718">
        <f t="shared" si="154"/>
        <v>4316</v>
      </c>
      <c r="N718">
        <f t="shared" si="155"/>
        <v>-1614</v>
      </c>
      <c r="O718">
        <f t="shared" si="156"/>
        <v>2326</v>
      </c>
      <c r="P718">
        <f t="shared" si="157"/>
        <v>8783</v>
      </c>
      <c r="Q718">
        <f t="shared" si="158"/>
        <v>2853</v>
      </c>
      <c r="R718">
        <f t="shared" si="159"/>
        <v>6793</v>
      </c>
      <c r="S718">
        <f t="shared" si="160"/>
        <v>-5930</v>
      </c>
      <c r="T718">
        <f t="shared" si="161"/>
        <v>-1990</v>
      </c>
      <c r="U718">
        <f t="shared" si="162"/>
        <v>3940</v>
      </c>
      <c r="V718" s="9">
        <f t="shared" si="152"/>
        <v>4467</v>
      </c>
      <c r="W718" s="9">
        <f t="shared" si="152"/>
        <v>4316</v>
      </c>
      <c r="X718" s="9">
        <f t="shared" si="152"/>
        <v>1614</v>
      </c>
      <c r="Y718" s="9">
        <f t="shared" si="152"/>
        <v>2326</v>
      </c>
      <c r="Z718" s="9">
        <f t="shared" si="152"/>
        <v>8783</v>
      </c>
      <c r="AA718" s="9">
        <f t="shared" si="151"/>
        <v>2853</v>
      </c>
      <c r="AB718" s="9">
        <f t="shared" si="151"/>
        <v>6793</v>
      </c>
      <c r="AC718" s="9">
        <f t="shared" si="151"/>
        <v>5930</v>
      </c>
      <c r="AD718" s="9">
        <f t="shared" si="151"/>
        <v>1990</v>
      </c>
      <c r="AE718" s="9">
        <f t="shared" si="151"/>
        <v>3940</v>
      </c>
    </row>
    <row r="719" spans="2:31" x14ac:dyDescent="0.25">
      <c r="B719" s="6">
        <v>15647</v>
      </c>
      <c r="C719" s="6">
        <v>16590</v>
      </c>
      <c r="D719" s="6">
        <v>12448</v>
      </c>
      <c r="E719" s="6">
        <v>16452</v>
      </c>
      <c r="F719" s="8">
        <v>15298</v>
      </c>
      <c r="L719">
        <f t="shared" si="153"/>
        <v>-943</v>
      </c>
      <c r="M719">
        <f t="shared" si="154"/>
        <v>3199</v>
      </c>
      <c r="N719">
        <f t="shared" si="155"/>
        <v>-805</v>
      </c>
      <c r="O719">
        <f t="shared" si="156"/>
        <v>349</v>
      </c>
      <c r="P719">
        <f t="shared" si="157"/>
        <v>4142</v>
      </c>
      <c r="Q719">
        <f t="shared" si="158"/>
        <v>138</v>
      </c>
      <c r="R719">
        <f t="shared" si="159"/>
        <v>1292</v>
      </c>
      <c r="S719">
        <f t="shared" si="160"/>
        <v>-4004</v>
      </c>
      <c r="T719">
        <f t="shared" si="161"/>
        <v>-2850</v>
      </c>
      <c r="U719">
        <f t="shared" si="162"/>
        <v>1154</v>
      </c>
      <c r="V719" s="9">
        <f t="shared" si="152"/>
        <v>943</v>
      </c>
      <c r="W719" s="9">
        <f t="shared" si="152"/>
        <v>3199</v>
      </c>
      <c r="X719" s="9">
        <f t="shared" si="152"/>
        <v>805</v>
      </c>
      <c r="Y719" s="9">
        <f t="shared" si="152"/>
        <v>349</v>
      </c>
      <c r="Z719" s="9">
        <f t="shared" si="152"/>
        <v>4142</v>
      </c>
      <c r="AA719" s="9">
        <f t="shared" si="151"/>
        <v>138</v>
      </c>
      <c r="AB719" s="9">
        <f t="shared" si="151"/>
        <v>1292</v>
      </c>
      <c r="AC719" s="9">
        <f t="shared" si="151"/>
        <v>4004</v>
      </c>
      <c r="AD719" s="9">
        <f t="shared" si="151"/>
        <v>2850</v>
      </c>
      <c r="AE719" s="9">
        <f t="shared" si="151"/>
        <v>1154</v>
      </c>
    </row>
    <row r="720" spans="2:31" x14ac:dyDescent="0.25">
      <c r="B720" s="6">
        <v>14697</v>
      </c>
      <c r="C720" s="6">
        <v>13606</v>
      </c>
      <c r="D720" s="6">
        <v>15624</v>
      </c>
      <c r="E720" s="6">
        <v>18424</v>
      </c>
      <c r="F720" s="8">
        <v>17565</v>
      </c>
      <c r="L720">
        <f t="shared" si="153"/>
        <v>1091</v>
      </c>
      <c r="M720">
        <f t="shared" si="154"/>
        <v>-927</v>
      </c>
      <c r="N720">
        <f t="shared" si="155"/>
        <v>-3727</v>
      </c>
      <c r="O720">
        <f t="shared" si="156"/>
        <v>-2868</v>
      </c>
      <c r="P720">
        <f t="shared" si="157"/>
        <v>-2018</v>
      </c>
      <c r="Q720">
        <f t="shared" si="158"/>
        <v>-4818</v>
      </c>
      <c r="R720">
        <f t="shared" si="159"/>
        <v>-3959</v>
      </c>
      <c r="S720">
        <f t="shared" si="160"/>
        <v>-2800</v>
      </c>
      <c r="T720">
        <f t="shared" si="161"/>
        <v>-1941</v>
      </c>
      <c r="U720">
        <f t="shared" si="162"/>
        <v>859</v>
      </c>
      <c r="V720" s="9">
        <f t="shared" si="152"/>
        <v>1091</v>
      </c>
      <c r="W720" s="9">
        <f t="shared" si="152"/>
        <v>927</v>
      </c>
      <c r="X720" s="9">
        <f t="shared" si="152"/>
        <v>3727</v>
      </c>
      <c r="Y720" s="9">
        <f t="shared" si="152"/>
        <v>2868</v>
      </c>
      <c r="Z720" s="9">
        <f t="shared" si="152"/>
        <v>2018</v>
      </c>
      <c r="AA720" s="9">
        <f t="shared" si="151"/>
        <v>4818</v>
      </c>
      <c r="AB720" s="9">
        <f t="shared" si="151"/>
        <v>3959</v>
      </c>
      <c r="AC720" s="9">
        <f t="shared" si="151"/>
        <v>2800</v>
      </c>
      <c r="AD720" s="9">
        <f t="shared" si="151"/>
        <v>1941</v>
      </c>
      <c r="AE720" s="9">
        <f t="shared" si="151"/>
        <v>859</v>
      </c>
    </row>
    <row r="721" spans="2:31" x14ac:dyDescent="0.25">
      <c r="B721" s="7">
        <v>17240</v>
      </c>
      <c r="C721" s="6">
        <v>21880</v>
      </c>
      <c r="D721" s="6">
        <v>21520</v>
      </c>
      <c r="E721" s="7">
        <v>20330</v>
      </c>
      <c r="F721" s="7">
        <v>20820</v>
      </c>
      <c r="L721">
        <f t="shared" si="153"/>
        <v>-4640</v>
      </c>
      <c r="M721">
        <f t="shared" si="154"/>
        <v>-4280</v>
      </c>
      <c r="N721">
        <f t="shared" si="155"/>
        <v>-3090</v>
      </c>
      <c r="O721">
        <f t="shared" si="156"/>
        <v>-3580</v>
      </c>
      <c r="P721">
        <f t="shared" si="157"/>
        <v>360</v>
      </c>
      <c r="Q721">
        <f t="shared" si="158"/>
        <v>1550</v>
      </c>
      <c r="R721">
        <f t="shared" si="159"/>
        <v>1060</v>
      </c>
      <c r="S721">
        <f t="shared" si="160"/>
        <v>1190</v>
      </c>
      <c r="T721">
        <f t="shared" si="161"/>
        <v>700</v>
      </c>
      <c r="U721">
        <f t="shared" si="162"/>
        <v>-490</v>
      </c>
      <c r="V721" s="9">
        <f t="shared" si="152"/>
        <v>4640</v>
      </c>
      <c r="W721" s="9">
        <f t="shared" si="152"/>
        <v>4280</v>
      </c>
      <c r="X721" s="9">
        <f t="shared" si="152"/>
        <v>3090</v>
      </c>
      <c r="Y721" s="9">
        <f t="shared" si="152"/>
        <v>3580</v>
      </c>
      <c r="Z721" s="9">
        <f t="shared" si="152"/>
        <v>360</v>
      </c>
      <c r="AA721" s="9">
        <f t="shared" si="151"/>
        <v>1550</v>
      </c>
      <c r="AB721" s="9">
        <f t="shared" si="151"/>
        <v>1060</v>
      </c>
      <c r="AC721" s="9">
        <f t="shared" si="151"/>
        <v>1190</v>
      </c>
      <c r="AD721" s="9">
        <f t="shared" si="151"/>
        <v>700</v>
      </c>
      <c r="AE721" s="9">
        <f t="shared" si="151"/>
        <v>490</v>
      </c>
    </row>
    <row r="722" spans="2:31" x14ac:dyDescent="0.25">
      <c r="B722" s="6">
        <v>15640</v>
      </c>
      <c r="C722" s="6">
        <v>18494</v>
      </c>
      <c r="D722" s="6">
        <v>18356</v>
      </c>
      <c r="E722" s="6">
        <v>17282</v>
      </c>
      <c r="F722" s="6">
        <v>19435</v>
      </c>
      <c r="L722">
        <f t="shared" si="153"/>
        <v>-2854</v>
      </c>
      <c r="M722">
        <f t="shared" si="154"/>
        <v>-2716</v>
      </c>
      <c r="N722">
        <f t="shared" si="155"/>
        <v>-1642</v>
      </c>
      <c r="O722">
        <f t="shared" si="156"/>
        <v>-3795</v>
      </c>
      <c r="P722">
        <f t="shared" si="157"/>
        <v>138</v>
      </c>
      <c r="Q722">
        <f t="shared" si="158"/>
        <v>1212</v>
      </c>
      <c r="R722">
        <f t="shared" si="159"/>
        <v>-941</v>
      </c>
      <c r="S722">
        <f t="shared" si="160"/>
        <v>1074</v>
      </c>
      <c r="T722">
        <f t="shared" si="161"/>
        <v>-1079</v>
      </c>
      <c r="U722">
        <f t="shared" si="162"/>
        <v>-2153</v>
      </c>
      <c r="V722" s="9">
        <f t="shared" si="152"/>
        <v>2854</v>
      </c>
      <c r="W722" s="9">
        <f t="shared" si="152"/>
        <v>2716</v>
      </c>
      <c r="X722" s="9">
        <f t="shared" si="152"/>
        <v>1642</v>
      </c>
      <c r="Y722" s="9">
        <f t="shared" si="152"/>
        <v>3795</v>
      </c>
      <c r="Z722" s="9">
        <f t="shared" si="152"/>
        <v>138</v>
      </c>
      <c r="AA722" s="9">
        <f t="shared" si="151"/>
        <v>1212</v>
      </c>
      <c r="AB722" s="9">
        <f t="shared" si="151"/>
        <v>941</v>
      </c>
      <c r="AC722" s="9">
        <f t="shared" si="151"/>
        <v>1074</v>
      </c>
      <c r="AD722" s="9">
        <f t="shared" si="151"/>
        <v>1079</v>
      </c>
      <c r="AE722" s="9">
        <f t="shared" si="151"/>
        <v>2153</v>
      </c>
    </row>
    <row r="723" spans="2:31" x14ac:dyDescent="0.25">
      <c r="B723" s="6">
        <v>16852</v>
      </c>
      <c r="C723" s="6">
        <v>19706</v>
      </c>
      <c r="D723" s="6">
        <v>19568</v>
      </c>
      <c r="E723" s="6">
        <v>18494</v>
      </c>
      <c r="F723" s="6">
        <v>18353</v>
      </c>
      <c r="L723">
        <f t="shared" si="153"/>
        <v>-2854</v>
      </c>
      <c r="M723">
        <f t="shared" si="154"/>
        <v>-2716</v>
      </c>
      <c r="N723">
        <f t="shared" si="155"/>
        <v>-1642</v>
      </c>
      <c r="O723">
        <f t="shared" si="156"/>
        <v>-1501</v>
      </c>
      <c r="P723">
        <f t="shared" si="157"/>
        <v>138</v>
      </c>
      <c r="Q723">
        <f t="shared" si="158"/>
        <v>1212</v>
      </c>
      <c r="R723">
        <f t="shared" si="159"/>
        <v>1353</v>
      </c>
      <c r="S723">
        <f t="shared" si="160"/>
        <v>1074</v>
      </c>
      <c r="T723">
        <f t="shared" si="161"/>
        <v>1215</v>
      </c>
      <c r="U723">
        <f t="shared" si="162"/>
        <v>141</v>
      </c>
      <c r="V723" s="9">
        <f t="shared" si="152"/>
        <v>2854</v>
      </c>
      <c r="W723" s="9">
        <f t="shared" si="152"/>
        <v>2716</v>
      </c>
      <c r="X723" s="9">
        <f t="shared" si="152"/>
        <v>1642</v>
      </c>
      <c r="Y723" s="9">
        <f t="shared" si="152"/>
        <v>1501</v>
      </c>
      <c r="Z723" s="9">
        <f t="shared" si="152"/>
        <v>138</v>
      </c>
      <c r="AA723" s="9">
        <f t="shared" si="151"/>
        <v>1212</v>
      </c>
      <c r="AB723" s="9">
        <f t="shared" si="151"/>
        <v>1353</v>
      </c>
      <c r="AC723" s="9">
        <f t="shared" si="151"/>
        <v>1074</v>
      </c>
      <c r="AD723" s="9">
        <f t="shared" si="151"/>
        <v>1215</v>
      </c>
      <c r="AE723" s="9">
        <f t="shared" si="151"/>
        <v>141</v>
      </c>
    </row>
    <row r="724" spans="2:31" x14ac:dyDescent="0.25">
      <c r="B724" s="6">
        <v>14254</v>
      </c>
      <c r="C724" s="6">
        <v>17108</v>
      </c>
      <c r="D724" s="6">
        <v>16970</v>
      </c>
      <c r="E724" s="6">
        <v>15896</v>
      </c>
      <c r="F724" s="6">
        <v>17221</v>
      </c>
      <c r="L724">
        <f t="shared" si="153"/>
        <v>-2854</v>
      </c>
      <c r="M724">
        <f t="shared" si="154"/>
        <v>-2716</v>
      </c>
      <c r="N724">
        <f t="shared" si="155"/>
        <v>-1642</v>
      </c>
      <c r="O724">
        <f t="shared" si="156"/>
        <v>-2967</v>
      </c>
      <c r="P724">
        <f t="shared" si="157"/>
        <v>138</v>
      </c>
      <c r="Q724">
        <f t="shared" si="158"/>
        <v>1212</v>
      </c>
      <c r="R724">
        <f t="shared" si="159"/>
        <v>-113</v>
      </c>
      <c r="S724">
        <f t="shared" si="160"/>
        <v>1074</v>
      </c>
      <c r="T724">
        <f t="shared" si="161"/>
        <v>-251</v>
      </c>
      <c r="U724">
        <f t="shared" si="162"/>
        <v>-1325</v>
      </c>
      <c r="V724" s="9">
        <f t="shared" si="152"/>
        <v>2854</v>
      </c>
      <c r="W724" s="9">
        <f t="shared" si="152"/>
        <v>2716</v>
      </c>
      <c r="X724" s="9">
        <f t="shared" si="152"/>
        <v>1642</v>
      </c>
      <c r="Y724" s="9">
        <f t="shared" si="152"/>
        <v>2967</v>
      </c>
      <c r="Z724" s="9">
        <f t="shared" si="152"/>
        <v>138</v>
      </c>
      <c r="AA724" s="9">
        <f t="shared" si="151"/>
        <v>1212</v>
      </c>
      <c r="AB724" s="9">
        <f t="shared" si="151"/>
        <v>113</v>
      </c>
      <c r="AC724" s="9">
        <f t="shared" si="151"/>
        <v>1074</v>
      </c>
      <c r="AD724" s="9">
        <f t="shared" si="151"/>
        <v>251</v>
      </c>
      <c r="AE724" s="9">
        <f t="shared" si="151"/>
        <v>1325</v>
      </c>
    </row>
    <row r="725" spans="2:31" x14ac:dyDescent="0.25">
      <c r="B725" s="6">
        <v>15654</v>
      </c>
      <c r="C725" s="6">
        <v>18508</v>
      </c>
      <c r="D725" s="6">
        <v>18370</v>
      </c>
      <c r="E725" s="6">
        <v>17296</v>
      </c>
      <c r="F725" s="6">
        <v>14070</v>
      </c>
      <c r="L725">
        <f t="shared" si="153"/>
        <v>-2854</v>
      </c>
      <c r="M725">
        <f t="shared" si="154"/>
        <v>-2716</v>
      </c>
      <c r="N725">
        <f t="shared" si="155"/>
        <v>-1642</v>
      </c>
      <c r="O725">
        <f t="shared" si="156"/>
        <v>1584</v>
      </c>
      <c r="P725">
        <f t="shared" si="157"/>
        <v>138</v>
      </c>
      <c r="Q725">
        <f t="shared" si="158"/>
        <v>1212</v>
      </c>
      <c r="R725">
        <f t="shared" si="159"/>
        <v>4438</v>
      </c>
      <c r="S725">
        <f t="shared" si="160"/>
        <v>1074</v>
      </c>
      <c r="T725">
        <f t="shared" si="161"/>
        <v>4300</v>
      </c>
      <c r="U725">
        <f t="shared" si="162"/>
        <v>3226</v>
      </c>
      <c r="V725" s="9">
        <f t="shared" si="152"/>
        <v>2854</v>
      </c>
      <c r="W725" s="9">
        <f t="shared" si="152"/>
        <v>2716</v>
      </c>
      <c r="X725" s="9">
        <f t="shared" si="152"/>
        <v>1642</v>
      </c>
      <c r="Y725" s="9">
        <f t="shared" si="152"/>
        <v>1584</v>
      </c>
      <c r="Z725" s="9">
        <f t="shared" si="152"/>
        <v>138</v>
      </c>
      <c r="AA725" s="9">
        <f t="shared" si="151"/>
        <v>1212</v>
      </c>
      <c r="AB725" s="9">
        <f t="shared" si="151"/>
        <v>4438</v>
      </c>
      <c r="AC725" s="9">
        <f t="shared" si="151"/>
        <v>1074</v>
      </c>
      <c r="AD725" s="9">
        <f t="shared" si="151"/>
        <v>4300</v>
      </c>
      <c r="AE725" s="9">
        <f t="shared" si="151"/>
        <v>3226</v>
      </c>
    </row>
    <row r="726" spans="2:31" x14ac:dyDescent="0.25">
      <c r="B726" s="6">
        <v>22345</v>
      </c>
      <c r="C726" s="6">
        <v>25199</v>
      </c>
      <c r="D726" s="6">
        <v>25061</v>
      </c>
      <c r="E726" s="6">
        <v>23987</v>
      </c>
      <c r="F726" s="6">
        <v>12230</v>
      </c>
      <c r="L726">
        <f t="shared" si="153"/>
        <v>-2854</v>
      </c>
      <c r="M726">
        <f t="shared" si="154"/>
        <v>-2716</v>
      </c>
      <c r="N726">
        <f t="shared" si="155"/>
        <v>-1642</v>
      </c>
      <c r="O726">
        <f t="shared" si="156"/>
        <v>10115</v>
      </c>
      <c r="P726">
        <f t="shared" si="157"/>
        <v>138</v>
      </c>
      <c r="Q726">
        <f t="shared" si="158"/>
        <v>1212</v>
      </c>
      <c r="R726">
        <f t="shared" si="159"/>
        <v>12969</v>
      </c>
      <c r="S726">
        <f t="shared" si="160"/>
        <v>1074</v>
      </c>
      <c r="T726">
        <f t="shared" si="161"/>
        <v>12831</v>
      </c>
      <c r="U726">
        <f t="shared" si="162"/>
        <v>11757</v>
      </c>
      <c r="V726" s="9">
        <f t="shared" si="152"/>
        <v>2854</v>
      </c>
      <c r="W726" s="9">
        <f t="shared" si="152"/>
        <v>2716</v>
      </c>
      <c r="X726" s="9">
        <f t="shared" si="152"/>
        <v>1642</v>
      </c>
      <c r="Y726" s="9">
        <f t="shared" si="152"/>
        <v>10115</v>
      </c>
      <c r="Z726" s="9">
        <f t="shared" si="152"/>
        <v>138</v>
      </c>
      <c r="AA726" s="9">
        <f t="shared" si="151"/>
        <v>1212</v>
      </c>
      <c r="AB726" s="9">
        <f t="shared" si="151"/>
        <v>12969</v>
      </c>
      <c r="AC726" s="9">
        <f t="shared" si="151"/>
        <v>1074</v>
      </c>
      <c r="AD726" s="9">
        <f t="shared" si="151"/>
        <v>12831</v>
      </c>
      <c r="AE726" s="9">
        <f t="shared" si="151"/>
        <v>11757</v>
      </c>
    </row>
    <row r="727" spans="2:31" x14ac:dyDescent="0.25">
      <c r="B727" s="6">
        <v>20354</v>
      </c>
      <c r="C727" s="6">
        <v>23208</v>
      </c>
      <c r="D727" s="6">
        <v>23070</v>
      </c>
      <c r="E727" s="6">
        <v>21996</v>
      </c>
      <c r="F727" s="6">
        <v>9436</v>
      </c>
      <c r="L727">
        <f t="shared" si="153"/>
        <v>-2854</v>
      </c>
      <c r="M727">
        <f t="shared" si="154"/>
        <v>-2716</v>
      </c>
      <c r="N727">
        <f t="shared" si="155"/>
        <v>-1642</v>
      </c>
      <c r="O727">
        <f t="shared" si="156"/>
        <v>10918</v>
      </c>
      <c r="P727">
        <f t="shared" si="157"/>
        <v>138</v>
      </c>
      <c r="Q727">
        <f t="shared" si="158"/>
        <v>1212</v>
      </c>
      <c r="R727">
        <f t="shared" si="159"/>
        <v>13772</v>
      </c>
      <c r="S727">
        <f t="shared" si="160"/>
        <v>1074</v>
      </c>
      <c r="T727">
        <f t="shared" si="161"/>
        <v>13634</v>
      </c>
      <c r="U727">
        <f t="shared" si="162"/>
        <v>12560</v>
      </c>
      <c r="V727" s="9">
        <f t="shared" si="152"/>
        <v>2854</v>
      </c>
      <c r="W727" s="9">
        <f t="shared" si="152"/>
        <v>2716</v>
      </c>
      <c r="X727" s="9">
        <f t="shared" si="152"/>
        <v>1642</v>
      </c>
      <c r="Y727" s="9">
        <f t="shared" si="152"/>
        <v>10918</v>
      </c>
      <c r="Z727" s="9">
        <f t="shared" si="152"/>
        <v>138</v>
      </c>
      <c r="AA727" s="9">
        <f t="shared" si="151"/>
        <v>1212</v>
      </c>
      <c r="AB727" s="9">
        <f t="shared" si="151"/>
        <v>13772</v>
      </c>
      <c r="AC727" s="9">
        <f t="shared" si="151"/>
        <v>1074</v>
      </c>
      <c r="AD727" s="9">
        <f t="shared" si="151"/>
        <v>13634</v>
      </c>
      <c r="AE727" s="9">
        <f t="shared" si="151"/>
        <v>12560</v>
      </c>
    </row>
    <row r="728" spans="2:31" x14ac:dyDescent="0.25">
      <c r="B728" s="6">
        <v>12212</v>
      </c>
      <c r="C728" s="6">
        <v>15066</v>
      </c>
      <c r="D728" s="6">
        <v>14928</v>
      </c>
      <c r="E728" s="6">
        <v>13854</v>
      </c>
      <c r="F728" s="6">
        <v>19322</v>
      </c>
      <c r="L728">
        <f t="shared" si="153"/>
        <v>-2854</v>
      </c>
      <c r="M728">
        <f t="shared" si="154"/>
        <v>-2716</v>
      </c>
      <c r="N728">
        <f t="shared" si="155"/>
        <v>-1642</v>
      </c>
      <c r="O728">
        <f t="shared" si="156"/>
        <v>-7110</v>
      </c>
      <c r="P728">
        <f t="shared" si="157"/>
        <v>138</v>
      </c>
      <c r="Q728">
        <f t="shared" si="158"/>
        <v>1212</v>
      </c>
      <c r="R728">
        <f t="shared" si="159"/>
        <v>-4256</v>
      </c>
      <c r="S728">
        <f t="shared" si="160"/>
        <v>1074</v>
      </c>
      <c r="T728">
        <f t="shared" si="161"/>
        <v>-4394</v>
      </c>
      <c r="U728">
        <f t="shared" si="162"/>
        <v>-5468</v>
      </c>
      <c r="V728" s="9">
        <f t="shared" si="152"/>
        <v>2854</v>
      </c>
      <c r="W728" s="9">
        <f t="shared" si="152"/>
        <v>2716</v>
      </c>
      <c r="X728" s="9">
        <f t="shared" si="152"/>
        <v>1642</v>
      </c>
      <c r="Y728" s="9">
        <f t="shared" si="152"/>
        <v>7110</v>
      </c>
      <c r="Z728" s="9">
        <f t="shared" si="152"/>
        <v>138</v>
      </c>
      <c r="AA728" s="9">
        <f t="shared" si="151"/>
        <v>1212</v>
      </c>
      <c r="AB728" s="9">
        <f t="shared" si="151"/>
        <v>4256</v>
      </c>
      <c r="AC728" s="9">
        <f t="shared" si="151"/>
        <v>1074</v>
      </c>
      <c r="AD728" s="9">
        <f t="shared" si="151"/>
        <v>4394</v>
      </c>
      <c r="AE728" s="9">
        <f t="shared" si="151"/>
        <v>5468</v>
      </c>
    </row>
    <row r="729" spans="2:31" x14ac:dyDescent="0.25">
      <c r="B729" s="6">
        <v>21125</v>
      </c>
      <c r="C729" s="6">
        <v>23979</v>
      </c>
      <c r="D729" s="6">
        <v>23841</v>
      </c>
      <c r="E729" s="6">
        <v>22767</v>
      </c>
      <c r="F729" s="6">
        <v>10467</v>
      </c>
      <c r="L729">
        <f t="shared" si="153"/>
        <v>-2854</v>
      </c>
      <c r="M729">
        <f t="shared" si="154"/>
        <v>-2716</v>
      </c>
      <c r="N729">
        <f t="shared" si="155"/>
        <v>-1642</v>
      </c>
      <c r="O729">
        <f t="shared" si="156"/>
        <v>10658</v>
      </c>
      <c r="P729">
        <f t="shared" si="157"/>
        <v>138</v>
      </c>
      <c r="Q729">
        <f t="shared" si="158"/>
        <v>1212</v>
      </c>
      <c r="R729">
        <f t="shared" si="159"/>
        <v>13512</v>
      </c>
      <c r="S729">
        <f t="shared" si="160"/>
        <v>1074</v>
      </c>
      <c r="T729">
        <f t="shared" si="161"/>
        <v>13374</v>
      </c>
      <c r="U729">
        <f t="shared" si="162"/>
        <v>12300</v>
      </c>
      <c r="V729" s="9">
        <f t="shared" si="152"/>
        <v>2854</v>
      </c>
      <c r="W729" s="9">
        <f t="shared" si="152"/>
        <v>2716</v>
      </c>
      <c r="X729" s="9">
        <f t="shared" si="152"/>
        <v>1642</v>
      </c>
      <c r="Y729" s="9">
        <f t="shared" si="152"/>
        <v>10658</v>
      </c>
      <c r="Z729" s="9">
        <f t="shared" si="152"/>
        <v>138</v>
      </c>
      <c r="AA729" s="9">
        <f t="shared" ref="AA729:AE779" si="163">IF(Q729&gt;=0,Q729,-Q729)</f>
        <v>1212</v>
      </c>
      <c r="AB729" s="9">
        <f t="shared" si="163"/>
        <v>13512</v>
      </c>
      <c r="AC729" s="9">
        <f t="shared" si="163"/>
        <v>1074</v>
      </c>
      <c r="AD729" s="9">
        <f t="shared" si="163"/>
        <v>13374</v>
      </c>
      <c r="AE729" s="9">
        <f t="shared" si="163"/>
        <v>12300</v>
      </c>
    </row>
    <row r="730" spans="2:31" x14ac:dyDescent="0.25">
      <c r="B730" s="6">
        <v>12333</v>
      </c>
      <c r="C730" s="6">
        <v>15187</v>
      </c>
      <c r="D730" s="6">
        <v>15049</v>
      </c>
      <c r="E730" s="6">
        <v>13975</v>
      </c>
      <c r="F730" s="6">
        <v>18693</v>
      </c>
      <c r="L730">
        <f t="shared" si="153"/>
        <v>-2854</v>
      </c>
      <c r="M730">
        <f t="shared" si="154"/>
        <v>-2716</v>
      </c>
      <c r="N730">
        <f t="shared" si="155"/>
        <v>-1642</v>
      </c>
      <c r="O730">
        <f t="shared" si="156"/>
        <v>-6360</v>
      </c>
      <c r="P730">
        <f t="shared" si="157"/>
        <v>138</v>
      </c>
      <c r="Q730">
        <f t="shared" si="158"/>
        <v>1212</v>
      </c>
      <c r="R730">
        <f t="shared" si="159"/>
        <v>-3506</v>
      </c>
      <c r="S730">
        <f t="shared" si="160"/>
        <v>1074</v>
      </c>
      <c r="T730">
        <f t="shared" si="161"/>
        <v>-3644</v>
      </c>
      <c r="U730">
        <f t="shared" si="162"/>
        <v>-4718</v>
      </c>
      <c r="V730" s="9">
        <f t="shared" ref="V730:Z780" si="164">IF(L730&gt;=0,L730,-L730)</f>
        <v>2854</v>
      </c>
      <c r="W730" s="9">
        <f t="shared" si="164"/>
        <v>2716</v>
      </c>
      <c r="X730" s="9">
        <f t="shared" si="164"/>
        <v>1642</v>
      </c>
      <c r="Y730" s="9">
        <f t="shared" si="164"/>
        <v>6360</v>
      </c>
      <c r="Z730" s="9">
        <f t="shared" si="164"/>
        <v>138</v>
      </c>
      <c r="AA730" s="9">
        <f t="shared" si="163"/>
        <v>1212</v>
      </c>
      <c r="AB730" s="9">
        <f t="shared" si="163"/>
        <v>3506</v>
      </c>
      <c r="AC730" s="9">
        <f t="shared" si="163"/>
        <v>1074</v>
      </c>
      <c r="AD730" s="9">
        <f t="shared" si="163"/>
        <v>3644</v>
      </c>
      <c r="AE730" s="9">
        <f t="shared" si="163"/>
        <v>4718</v>
      </c>
    </row>
    <row r="731" spans="2:31" x14ac:dyDescent="0.25">
      <c r="B731" s="6">
        <v>14541</v>
      </c>
      <c r="C731" s="6">
        <v>17395</v>
      </c>
      <c r="D731" s="6">
        <v>17257</v>
      </c>
      <c r="E731" s="6">
        <v>16183</v>
      </c>
      <c r="F731" s="6">
        <v>6839</v>
      </c>
      <c r="L731">
        <f t="shared" si="153"/>
        <v>-2854</v>
      </c>
      <c r="M731">
        <f t="shared" si="154"/>
        <v>-2716</v>
      </c>
      <c r="N731">
        <f t="shared" si="155"/>
        <v>-1642</v>
      </c>
      <c r="O731">
        <f t="shared" si="156"/>
        <v>7702</v>
      </c>
      <c r="P731">
        <f t="shared" si="157"/>
        <v>138</v>
      </c>
      <c r="Q731">
        <f t="shared" si="158"/>
        <v>1212</v>
      </c>
      <c r="R731">
        <f t="shared" si="159"/>
        <v>10556</v>
      </c>
      <c r="S731">
        <f t="shared" si="160"/>
        <v>1074</v>
      </c>
      <c r="T731">
        <f t="shared" si="161"/>
        <v>10418</v>
      </c>
      <c r="U731">
        <f t="shared" si="162"/>
        <v>9344</v>
      </c>
      <c r="V731" s="9">
        <f t="shared" si="164"/>
        <v>2854</v>
      </c>
      <c r="W731" s="9">
        <f t="shared" si="164"/>
        <v>2716</v>
      </c>
      <c r="X731" s="9">
        <f t="shared" si="164"/>
        <v>1642</v>
      </c>
      <c r="Y731" s="9">
        <f t="shared" si="164"/>
        <v>7702</v>
      </c>
      <c r="Z731" s="9">
        <f t="shared" si="164"/>
        <v>138</v>
      </c>
      <c r="AA731" s="9">
        <f t="shared" si="163"/>
        <v>1212</v>
      </c>
      <c r="AB731" s="9">
        <f t="shared" si="163"/>
        <v>10556</v>
      </c>
      <c r="AC731" s="9">
        <f t="shared" si="163"/>
        <v>1074</v>
      </c>
      <c r="AD731" s="9">
        <f t="shared" si="163"/>
        <v>10418</v>
      </c>
      <c r="AE731" s="9">
        <f t="shared" si="163"/>
        <v>9344</v>
      </c>
    </row>
    <row r="732" spans="2:31" x14ac:dyDescent="0.25">
      <c r="B732" s="6">
        <v>25455</v>
      </c>
      <c r="C732" s="6">
        <v>28309</v>
      </c>
      <c r="D732" s="6">
        <v>28171</v>
      </c>
      <c r="E732" s="6">
        <v>27097</v>
      </c>
      <c r="F732" s="6">
        <v>10492</v>
      </c>
      <c r="L732">
        <f t="shared" si="153"/>
        <v>-2854</v>
      </c>
      <c r="M732">
        <f t="shared" si="154"/>
        <v>-2716</v>
      </c>
      <c r="N732">
        <f t="shared" si="155"/>
        <v>-1642</v>
      </c>
      <c r="O732">
        <f t="shared" si="156"/>
        <v>14963</v>
      </c>
      <c r="P732">
        <f t="shared" si="157"/>
        <v>138</v>
      </c>
      <c r="Q732">
        <f t="shared" si="158"/>
        <v>1212</v>
      </c>
      <c r="R732">
        <f t="shared" si="159"/>
        <v>17817</v>
      </c>
      <c r="S732">
        <f t="shared" si="160"/>
        <v>1074</v>
      </c>
      <c r="T732">
        <f t="shared" si="161"/>
        <v>17679</v>
      </c>
      <c r="U732">
        <f t="shared" si="162"/>
        <v>16605</v>
      </c>
      <c r="V732" s="9">
        <f t="shared" si="164"/>
        <v>2854</v>
      </c>
      <c r="W732" s="9">
        <f t="shared" si="164"/>
        <v>2716</v>
      </c>
      <c r="X732" s="9">
        <f t="shared" si="164"/>
        <v>1642</v>
      </c>
      <c r="Y732" s="9">
        <f t="shared" si="164"/>
        <v>14963</v>
      </c>
      <c r="Z732" s="9">
        <f t="shared" si="164"/>
        <v>138</v>
      </c>
      <c r="AA732" s="9">
        <f t="shared" si="163"/>
        <v>1212</v>
      </c>
      <c r="AB732" s="9">
        <f t="shared" si="163"/>
        <v>17817</v>
      </c>
      <c r="AC732" s="9">
        <f t="shared" si="163"/>
        <v>1074</v>
      </c>
      <c r="AD732" s="9">
        <f t="shared" si="163"/>
        <v>17679</v>
      </c>
      <c r="AE732" s="9">
        <f t="shared" si="163"/>
        <v>16605</v>
      </c>
    </row>
    <row r="733" spans="2:31" x14ac:dyDescent="0.25">
      <c r="B733" s="6">
        <v>15974</v>
      </c>
      <c r="C733" s="6">
        <v>18828</v>
      </c>
      <c r="D733" s="6">
        <v>18690</v>
      </c>
      <c r="E733" s="6">
        <v>17616</v>
      </c>
      <c r="F733" s="6">
        <v>15573</v>
      </c>
      <c r="L733">
        <f t="shared" si="153"/>
        <v>-2854</v>
      </c>
      <c r="M733">
        <f t="shared" si="154"/>
        <v>-2716</v>
      </c>
      <c r="N733">
        <f t="shared" si="155"/>
        <v>-1642</v>
      </c>
      <c r="O733">
        <f t="shared" si="156"/>
        <v>401</v>
      </c>
      <c r="P733">
        <f t="shared" si="157"/>
        <v>138</v>
      </c>
      <c r="Q733">
        <f t="shared" si="158"/>
        <v>1212</v>
      </c>
      <c r="R733">
        <f t="shared" si="159"/>
        <v>3255</v>
      </c>
      <c r="S733">
        <f t="shared" si="160"/>
        <v>1074</v>
      </c>
      <c r="T733">
        <f t="shared" si="161"/>
        <v>3117</v>
      </c>
      <c r="U733">
        <f t="shared" si="162"/>
        <v>2043</v>
      </c>
      <c r="V733" s="9">
        <f t="shared" si="164"/>
        <v>2854</v>
      </c>
      <c r="W733" s="9">
        <f t="shared" si="164"/>
        <v>2716</v>
      </c>
      <c r="X733" s="9">
        <f t="shared" si="164"/>
        <v>1642</v>
      </c>
      <c r="Y733" s="9">
        <f t="shared" si="164"/>
        <v>401</v>
      </c>
      <c r="Z733" s="9">
        <f t="shared" si="164"/>
        <v>138</v>
      </c>
      <c r="AA733" s="9">
        <f t="shared" si="163"/>
        <v>1212</v>
      </c>
      <c r="AB733" s="9">
        <f t="shared" si="163"/>
        <v>3255</v>
      </c>
      <c r="AC733" s="9">
        <f t="shared" si="163"/>
        <v>1074</v>
      </c>
      <c r="AD733" s="9">
        <f t="shared" si="163"/>
        <v>3117</v>
      </c>
      <c r="AE733" s="9">
        <f t="shared" si="163"/>
        <v>2043</v>
      </c>
    </row>
    <row r="734" spans="2:31" x14ac:dyDescent="0.25">
      <c r="B734" s="6">
        <v>15625</v>
      </c>
      <c r="C734" s="6">
        <v>18479</v>
      </c>
      <c r="D734" s="6">
        <v>18341</v>
      </c>
      <c r="E734" s="6">
        <v>17267</v>
      </c>
      <c r="F734" s="6">
        <v>11276</v>
      </c>
      <c r="L734">
        <f t="shared" si="153"/>
        <v>-2854</v>
      </c>
      <c r="M734">
        <f t="shared" si="154"/>
        <v>-2716</v>
      </c>
      <c r="N734">
        <f t="shared" si="155"/>
        <v>-1642</v>
      </c>
      <c r="O734">
        <f t="shared" si="156"/>
        <v>4349</v>
      </c>
      <c r="P734">
        <f t="shared" si="157"/>
        <v>138</v>
      </c>
      <c r="Q734">
        <f t="shared" si="158"/>
        <v>1212</v>
      </c>
      <c r="R734">
        <f t="shared" si="159"/>
        <v>7203</v>
      </c>
      <c r="S734">
        <f t="shared" si="160"/>
        <v>1074</v>
      </c>
      <c r="T734">
        <f t="shared" si="161"/>
        <v>7065</v>
      </c>
      <c r="U734">
        <f t="shared" si="162"/>
        <v>5991</v>
      </c>
      <c r="V734" s="9">
        <f t="shared" si="164"/>
        <v>2854</v>
      </c>
      <c r="W734" s="9">
        <f t="shared" si="164"/>
        <v>2716</v>
      </c>
      <c r="X734" s="9">
        <f t="shared" si="164"/>
        <v>1642</v>
      </c>
      <c r="Y734" s="9">
        <f t="shared" si="164"/>
        <v>4349</v>
      </c>
      <c r="Z734" s="9">
        <f t="shared" si="164"/>
        <v>138</v>
      </c>
      <c r="AA734" s="9">
        <f t="shared" si="163"/>
        <v>1212</v>
      </c>
      <c r="AB734" s="9">
        <f t="shared" si="163"/>
        <v>7203</v>
      </c>
      <c r="AC734" s="9">
        <f t="shared" si="163"/>
        <v>1074</v>
      </c>
      <c r="AD734" s="9">
        <f t="shared" si="163"/>
        <v>7065</v>
      </c>
      <c r="AE734" s="9">
        <f t="shared" si="163"/>
        <v>5991</v>
      </c>
    </row>
    <row r="735" spans="2:31" x14ac:dyDescent="0.25">
      <c r="B735" s="6">
        <v>23448</v>
      </c>
      <c r="C735" s="6">
        <v>26302</v>
      </c>
      <c r="D735" s="6">
        <v>26164</v>
      </c>
      <c r="E735" s="6">
        <v>25090</v>
      </c>
      <c r="F735" s="6">
        <v>9142</v>
      </c>
      <c r="L735">
        <f t="shared" si="153"/>
        <v>-2854</v>
      </c>
      <c r="M735">
        <f t="shared" si="154"/>
        <v>-2716</v>
      </c>
      <c r="N735">
        <f t="shared" si="155"/>
        <v>-1642</v>
      </c>
      <c r="O735">
        <f t="shared" si="156"/>
        <v>14306</v>
      </c>
      <c r="P735">
        <f t="shared" si="157"/>
        <v>138</v>
      </c>
      <c r="Q735">
        <f t="shared" si="158"/>
        <v>1212</v>
      </c>
      <c r="R735">
        <f t="shared" si="159"/>
        <v>17160</v>
      </c>
      <c r="S735">
        <f t="shared" si="160"/>
        <v>1074</v>
      </c>
      <c r="T735">
        <f t="shared" si="161"/>
        <v>17022</v>
      </c>
      <c r="U735">
        <f t="shared" si="162"/>
        <v>15948</v>
      </c>
      <c r="V735" s="9">
        <f t="shared" si="164"/>
        <v>2854</v>
      </c>
      <c r="W735" s="9">
        <f t="shared" si="164"/>
        <v>2716</v>
      </c>
      <c r="X735" s="9">
        <f t="shared" si="164"/>
        <v>1642</v>
      </c>
      <c r="Y735" s="9">
        <f t="shared" si="164"/>
        <v>14306</v>
      </c>
      <c r="Z735" s="9">
        <f t="shared" si="164"/>
        <v>138</v>
      </c>
      <c r="AA735" s="9">
        <f t="shared" si="163"/>
        <v>1212</v>
      </c>
      <c r="AB735" s="9">
        <f t="shared" si="163"/>
        <v>17160</v>
      </c>
      <c r="AC735" s="9">
        <f t="shared" si="163"/>
        <v>1074</v>
      </c>
      <c r="AD735" s="9">
        <f t="shared" si="163"/>
        <v>17022</v>
      </c>
      <c r="AE735" s="9">
        <f t="shared" si="163"/>
        <v>15948</v>
      </c>
    </row>
    <row r="736" spans="2:31" x14ac:dyDescent="0.25">
      <c r="B736" s="6">
        <v>28752</v>
      </c>
      <c r="C736" s="6">
        <v>31606</v>
      </c>
      <c r="D736" s="6">
        <v>31468</v>
      </c>
      <c r="E736" s="6">
        <v>30394</v>
      </c>
      <c r="F736" s="6">
        <v>7176</v>
      </c>
      <c r="L736">
        <f t="shared" si="153"/>
        <v>-2854</v>
      </c>
      <c r="M736">
        <f t="shared" si="154"/>
        <v>-2716</v>
      </c>
      <c r="N736">
        <f t="shared" si="155"/>
        <v>-1642</v>
      </c>
      <c r="O736">
        <f t="shared" si="156"/>
        <v>21576</v>
      </c>
      <c r="P736">
        <f t="shared" si="157"/>
        <v>138</v>
      </c>
      <c r="Q736">
        <f t="shared" si="158"/>
        <v>1212</v>
      </c>
      <c r="R736">
        <f t="shared" si="159"/>
        <v>24430</v>
      </c>
      <c r="S736">
        <f t="shared" si="160"/>
        <v>1074</v>
      </c>
      <c r="T736">
        <f t="shared" si="161"/>
        <v>24292</v>
      </c>
      <c r="U736">
        <f t="shared" si="162"/>
        <v>23218</v>
      </c>
      <c r="V736" s="9">
        <f t="shared" si="164"/>
        <v>2854</v>
      </c>
      <c r="W736" s="9">
        <f t="shared" si="164"/>
        <v>2716</v>
      </c>
      <c r="X736" s="9">
        <f t="shared" si="164"/>
        <v>1642</v>
      </c>
      <c r="Y736" s="9">
        <f t="shared" si="164"/>
        <v>21576</v>
      </c>
      <c r="Z736" s="9">
        <f t="shared" si="164"/>
        <v>138</v>
      </c>
      <c r="AA736" s="9">
        <f t="shared" si="163"/>
        <v>1212</v>
      </c>
      <c r="AB736" s="9">
        <f t="shared" si="163"/>
        <v>24430</v>
      </c>
      <c r="AC736" s="9">
        <f t="shared" si="163"/>
        <v>1074</v>
      </c>
      <c r="AD736" s="9">
        <f t="shared" si="163"/>
        <v>24292</v>
      </c>
      <c r="AE736" s="9">
        <f t="shared" si="163"/>
        <v>23218</v>
      </c>
    </row>
    <row r="737" spans="2:31" x14ac:dyDescent="0.25">
      <c r="B737" s="6">
        <v>24621</v>
      </c>
      <c r="C737" s="6">
        <v>27475</v>
      </c>
      <c r="D737" s="6">
        <v>27337</v>
      </c>
      <c r="E737" s="6">
        <v>26263</v>
      </c>
      <c r="F737" s="6">
        <v>18493</v>
      </c>
      <c r="L737">
        <f t="shared" si="153"/>
        <v>-2854</v>
      </c>
      <c r="M737">
        <f t="shared" si="154"/>
        <v>-2716</v>
      </c>
      <c r="N737">
        <f t="shared" si="155"/>
        <v>-1642</v>
      </c>
      <c r="O737">
        <f t="shared" si="156"/>
        <v>6128</v>
      </c>
      <c r="P737">
        <f t="shared" si="157"/>
        <v>138</v>
      </c>
      <c r="Q737">
        <f t="shared" si="158"/>
        <v>1212</v>
      </c>
      <c r="R737">
        <f t="shared" si="159"/>
        <v>8982</v>
      </c>
      <c r="S737">
        <f t="shared" si="160"/>
        <v>1074</v>
      </c>
      <c r="T737">
        <f t="shared" si="161"/>
        <v>8844</v>
      </c>
      <c r="U737">
        <f t="shared" si="162"/>
        <v>7770</v>
      </c>
      <c r="V737" s="9">
        <f t="shared" si="164"/>
        <v>2854</v>
      </c>
      <c r="W737" s="9">
        <f t="shared" si="164"/>
        <v>2716</v>
      </c>
      <c r="X737" s="9">
        <f t="shared" si="164"/>
        <v>1642</v>
      </c>
      <c r="Y737" s="9">
        <f t="shared" si="164"/>
        <v>6128</v>
      </c>
      <c r="Z737" s="9">
        <f t="shared" si="164"/>
        <v>138</v>
      </c>
      <c r="AA737" s="9">
        <f t="shared" si="163"/>
        <v>1212</v>
      </c>
      <c r="AB737" s="9">
        <f t="shared" si="163"/>
        <v>8982</v>
      </c>
      <c r="AC737" s="9">
        <f t="shared" si="163"/>
        <v>1074</v>
      </c>
      <c r="AD737" s="9">
        <f t="shared" si="163"/>
        <v>8844</v>
      </c>
      <c r="AE737" s="9">
        <f t="shared" si="163"/>
        <v>7770</v>
      </c>
    </row>
    <row r="738" spans="2:31" x14ac:dyDescent="0.25">
      <c r="B738" s="6">
        <v>16972</v>
      </c>
      <c r="C738" s="6">
        <v>19826</v>
      </c>
      <c r="D738" s="6">
        <v>19688</v>
      </c>
      <c r="E738" s="6">
        <v>18614</v>
      </c>
      <c r="F738" s="6">
        <v>12349</v>
      </c>
      <c r="L738">
        <f t="shared" si="153"/>
        <v>-2854</v>
      </c>
      <c r="M738">
        <f t="shared" si="154"/>
        <v>-2716</v>
      </c>
      <c r="N738">
        <f t="shared" si="155"/>
        <v>-1642</v>
      </c>
      <c r="O738">
        <f t="shared" si="156"/>
        <v>4623</v>
      </c>
      <c r="P738">
        <f t="shared" si="157"/>
        <v>138</v>
      </c>
      <c r="Q738">
        <f t="shared" si="158"/>
        <v>1212</v>
      </c>
      <c r="R738">
        <f t="shared" si="159"/>
        <v>7477</v>
      </c>
      <c r="S738">
        <f t="shared" si="160"/>
        <v>1074</v>
      </c>
      <c r="T738">
        <f t="shared" si="161"/>
        <v>7339</v>
      </c>
      <c r="U738">
        <f t="shared" si="162"/>
        <v>6265</v>
      </c>
      <c r="V738" s="9">
        <f t="shared" si="164"/>
        <v>2854</v>
      </c>
      <c r="W738" s="9">
        <f t="shared" si="164"/>
        <v>2716</v>
      </c>
      <c r="X738" s="9">
        <f t="shared" si="164"/>
        <v>1642</v>
      </c>
      <c r="Y738" s="9">
        <f t="shared" si="164"/>
        <v>4623</v>
      </c>
      <c r="Z738" s="9">
        <f t="shared" si="164"/>
        <v>138</v>
      </c>
      <c r="AA738" s="9">
        <f t="shared" si="163"/>
        <v>1212</v>
      </c>
      <c r="AB738" s="9">
        <f t="shared" si="163"/>
        <v>7477</v>
      </c>
      <c r="AC738" s="9">
        <f t="shared" si="163"/>
        <v>1074</v>
      </c>
      <c r="AD738" s="9">
        <f t="shared" si="163"/>
        <v>7339</v>
      </c>
      <c r="AE738" s="9">
        <f t="shared" si="163"/>
        <v>6265</v>
      </c>
    </row>
    <row r="739" spans="2:31" x14ac:dyDescent="0.25">
      <c r="B739" s="6">
        <v>12456</v>
      </c>
      <c r="C739" s="6">
        <v>15310</v>
      </c>
      <c r="D739" s="6">
        <v>15172</v>
      </c>
      <c r="E739" s="6">
        <v>14098</v>
      </c>
      <c r="F739" s="6">
        <v>10175</v>
      </c>
      <c r="L739">
        <f t="shared" si="153"/>
        <v>-2854</v>
      </c>
      <c r="M739">
        <f t="shared" si="154"/>
        <v>-2716</v>
      </c>
      <c r="N739">
        <f t="shared" si="155"/>
        <v>-1642</v>
      </c>
      <c r="O739">
        <f t="shared" si="156"/>
        <v>2281</v>
      </c>
      <c r="P739">
        <f t="shared" si="157"/>
        <v>138</v>
      </c>
      <c r="Q739">
        <f t="shared" si="158"/>
        <v>1212</v>
      </c>
      <c r="R739">
        <f t="shared" si="159"/>
        <v>5135</v>
      </c>
      <c r="S739">
        <f t="shared" si="160"/>
        <v>1074</v>
      </c>
      <c r="T739">
        <f t="shared" si="161"/>
        <v>4997</v>
      </c>
      <c r="U739">
        <f t="shared" si="162"/>
        <v>3923</v>
      </c>
      <c r="V739" s="9">
        <f t="shared" si="164"/>
        <v>2854</v>
      </c>
      <c r="W739" s="9">
        <f t="shared" si="164"/>
        <v>2716</v>
      </c>
      <c r="X739" s="9">
        <f t="shared" si="164"/>
        <v>1642</v>
      </c>
      <c r="Y739" s="9">
        <f t="shared" si="164"/>
        <v>2281</v>
      </c>
      <c r="Z739" s="9">
        <f t="shared" si="164"/>
        <v>138</v>
      </c>
      <c r="AA739" s="9">
        <f t="shared" si="163"/>
        <v>1212</v>
      </c>
      <c r="AB739" s="9">
        <f t="shared" si="163"/>
        <v>5135</v>
      </c>
      <c r="AC739" s="9">
        <f t="shared" si="163"/>
        <v>1074</v>
      </c>
      <c r="AD739" s="9">
        <f t="shared" si="163"/>
        <v>4997</v>
      </c>
      <c r="AE739" s="9">
        <f t="shared" si="163"/>
        <v>3923</v>
      </c>
    </row>
    <row r="740" spans="2:31" x14ac:dyDescent="0.25">
      <c r="B740" s="6">
        <v>18540</v>
      </c>
      <c r="C740" s="6">
        <v>21394</v>
      </c>
      <c r="D740" s="6">
        <v>21256</v>
      </c>
      <c r="E740" s="6">
        <v>20182</v>
      </c>
      <c r="F740" s="6">
        <v>10070</v>
      </c>
      <c r="L740">
        <f t="shared" si="153"/>
        <v>-2854</v>
      </c>
      <c r="M740">
        <f t="shared" si="154"/>
        <v>-2716</v>
      </c>
      <c r="N740">
        <f t="shared" si="155"/>
        <v>-1642</v>
      </c>
      <c r="O740">
        <f t="shared" si="156"/>
        <v>8470</v>
      </c>
      <c r="P740">
        <f t="shared" si="157"/>
        <v>138</v>
      </c>
      <c r="Q740">
        <f t="shared" si="158"/>
        <v>1212</v>
      </c>
      <c r="R740">
        <f t="shared" si="159"/>
        <v>11324</v>
      </c>
      <c r="S740">
        <f t="shared" si="160"/>
        <v>1074</v>
      </c>
      <c r="T740">
        <f t="shared" si="161"/>
        <v>11186</v>
      </c>
      <c r="U740">
        <f t="shared" si="162"/>
        <v>10112</v>
      </c>
      <c r="V740" s="9">
        <f t="shared" si="164"/>
        <v>2854</v>
      </c>
      <c r="W740" s="9">
        <f t="shared" si="164"/>
        <v>2716</v>
      </c>
      <c r="X740" s="9">
        <f t="shared" si="164"/>
        <v>1642</v>
      </c>
      <c r="Y740" s="9">
        <f t="shared" si="164"/>
        <v>8470</v>
      </c>
      <c r="Z740" s="9">
        <f t="shared" si="164"/>
        <v>138</v>
      </c>
      <c r="AA740" s="9">
        <f t="shared" si="163"/>
        <v>1212</v>
      </c>
      <c r="AB740" s="9">
        <f t="shared" si="163"/>
        <v>11324</v>
      </c>
      <c r="AC740" s="9">
        <f t="shared" si="163"/>
        <v>1074</v>
      </c>
      <c r="AD740" s="9">
        <f t="shared" si="163"/>
        <v>11186</v>
      </c>
      <c r="AE740" s="9">
        <f t="shared" si="163"/>
        <v>10112</v>
      </c>
    </row>
    <row r="741" spans="2:31" x14ac:dyDescent="0.25">
      <c r="B741" s="6">
        <v>16487</v>
      </c>
      <c r="C741" s="6">
        <v>19341</v>
      </c>
      <c r="D741" s="6">
        <v>19203</v>
      </c>
      <c r="E741" s="6">
        <v>18129</v>
      </c>
      <c r="F741" s="6">
        <v>10574</v>
      </c>
      <c r="L741">
        <f t="shared" si="153"/>
        <v>-2854</v>
      </c>
      <c r="M741">
        <f t="shared" si="154"/>
        <v>-2716</v>
      </c>
      <c r="N741">
        <f t="shared" si="155"/>
        <v>-1642</v>
      </c>
      <c r="O741">
        <f t="shared" si="156"/>
        <v>5913</v>
      </c>
      <c r="P741">
        <f t="shared" si="157"/>
        <v>138</v>
      </c>
      <c r="Q741">
        <f t="shared" si="158"/>
        <v>1212</v>
      </c>
      <c r="R741">
        <f t="shared" si="159"/>
        <v>8767</v>
      </c>
      <c r="S741">
        <f t="shared" si="160"/>
        <v>1074</v>
      </c>
      <c r="T741">
        <f t="shared" si="161"/>
        <v>8629</v>
      </c>
      <c r="U741">
        <f t="shared" si="162"/>
        <v>7555</v>
      </c>
      <c r="V741" s="9">
        <f t="shared" si="164"/>
        <v>2854</v>
      </c>
      <c r="W741" s="9">
        <f t="shared" si="164"/>
        <v>2716</v>
      </c>
      <c r="X741" s="9">
        <f t="shared" si="164"/>
        <v>1642</v>
      </c>
      <c r="Y741" s="9">
        <f t="shared" si="164"/>
        <v>5913</v>
      </c>
      <c r="Z741" s="9">
        <f t="shared" si="164"/>
        <v>138</v>
      </c>
      <c r="AA741" s="9">
        <f t="shared" si="163"/>
        <v>1212</v>
      </c>
      <c r="AB741" s="9">
        <f t="shared" si="163"/>
        <v>8767</v>
      </c>
      <c r="AC741" s="9">
        <f t="shared" si="163"/>
        <v>1074</v>
      </c>
      <c r="AD741" s="9">
        <f t="shared" si="163"/>
        <v>8629</v>
      </c>
      <c r="AE741" s="9">
        <f t="shared" si="163"/>
        <v>7555</v>
      </c>
    </row>
    <row r="742" spans="2:31" x14ac:dyDescent="0.25">
      <c r="B742" s="6">
        <v>24557</v>
      </c>
      <c r="C742" s="6">
        <v>27411</v>
      </c>
      <c r="D742" s="6">
        <v>27273</v>
      </c>
      <c r="E742" s="6">
        <v>26199</v>
      </c>
      <c r="F742" s="6">
        <v>7556</v>
      </c>
      <c r="L742">
        <f t="shared" si="153"/>
        <v>-2854</v>
      </c>
      <c r="M742">
        <f t="shared" si="154"/>
        <v>-2716</v>
      </c>
      <c r="N742">
        <f t="shared" si="155"/>
        <v>-1642</v>
      </c>
      <c r="O742">
        <f t="shared" si="156"/>
        <v>17001</v>
      </c>
      <c r="P742">
        <f t="shared" si="157"/>
        <v>138</v>
      </c>
      <c r="Q742">
        <f t="shared" si="158"/>
        <v>1212</v>
      </c>
      <c r="R742">
        <f t="shared" si="159"/>
        <v>19855</v>
      </c>
      <c r="S742">
        <f t="shared" si="160"/>
        <v>1074</v>
      </c>
      <c r="T742">
        <f t="shared" si="161"/>
        <v>19717</v>
      </c>
      <c r="U742">
        <f t="shared" si="162"/>
        <v>18643</v>
      </c>
      <c r="V742" s="9">
        <f t="shared" si="164"/>
        <v>2854</v>
      </c>
      <c r="W742" s="9">
        <f t="shared" si="164"/>
        <v>2716</v>
      </c>
      <c r="X742" s="9">
        <f t="shared" si="164"/>
        <v>1642</v>
      </c>
      <c r="Y742" s="9">
        <f t="shared" si="164"/>
        <v>17001</v>
      </c>
      <c r="Z742" s="9">
        <f t="shared" si="164"/>
        <v>138</v>
      </c>
      <c r="AA742" s="9">
        <f t="shared" si="163"/>
        <v>1212</v>
      </c>
      <c r="AB742" s="9">
        <f t="shared" si="163"/>
        <v>19855</v>
      </c>
      <c r="AC742" s="9">
        <f t="shared" si="163"/>
        <v>1074</v>
      </c>
      <c r="AD742" s="9">
        <f t="shared" si="163"/>
        <v>19717</v>
      </c>
      <c r="AE742" s="9">
        <f t="shared" si="163"/>
        <v>18643</v>
      </c>
    </row>
    <row r="743" spans="2:31" x14ac:dyDescent="0.25">
      <c r="B743" s="6">
        <v>26482</v>
      </c>
      <c r="C743" s="6">
        <v>29336</v>
      </c>
      <c r="D743" s="6">
        <v>29198</v>
      </c>
      <c r="E743" s="6">
        <v>28124</v>
      </c>
      <c r="F743" s="6">
        <v>8940</v>
      </c>
      <c r="L743">
        <f t="shared" si="153"/>
        <v>-2854</v>
      </c>
      <c r="M743">
        <f t="shared" si="154"/>
        <v>-2716</v>
      </c>
      <c r="N743">
        <f t="shared" si="155"/>
        <v>-1642</v>
      </c>
      <c r="O743">
        <f t="shared" si="156"/>
        <v>17542</v>
      </c>
      <c r="P743">
        <f t="shared" si="157"/>
        <v>138</v>
      </c>
      <c r="Q743">
        <f t="shared" si="158"/>
        <v>1212</v>
      </c>
      <c r="R743">
        <f t="shared" si="159"/>
        <v>20396</v>
      </c>
      <c r="S743">
        <f t="shared" si="160"/>
        <v>1074</v>
      </c>
      <c r="T743">
        <f t="shared" si="161"/>
        <v>20258</v>
      </c>
      <c r="U743">
        <f t="shared" si="162"/>
        <v>19184</v>
      </c>
      <c r="V743" s="9">
        <f t="shared" si="164"/>
        <v>2854</v>
      </c>
      <c r="W743" s="9">
        <f t="shared" si="164"/>
        <v>2716</v>
      </c>
      <c r="X743" s="9">
        <f t="shared" si="164"/>
        <v>1642</v>
      </c>
      <c r="Y743" s="9">
        <f t="shared" si="164"/>
        <v>17542</v>
      </c>
      <c r="Z743" s="9">
        <f t="shared" si="164"/>
        <v>138</v>
      </c>
      <c r="AA743" s="9">
        <f t="shared" si="163"/>
        <v>1212</v>
      </c>
      <c r="AB743" s="9">
        <f t="shared" si="163"/>
        <v>20396</v>
      </c>
      <c r="AC743" s="9">
        <f t="shared" si="163"/>
        <v>1074</v>
      </c>
      <c r="AD743" s="9">
        <f t="shared" si="163"/>
        <v>20258</v>
      </c>
      <c r="AE743" s="9">
        <f t="shared" si="163"/>
        <v>19184</v>
      </c>
    </row>
    <row r="744" spans="2:31" x14ac:dyDescent="0.25">
      <c r="B744" s="6">
        <v>19546</v>
      </c>
      <c r="C744" s="6">
        <v>22400</v>
      </c>
      <c r="D744" s="6">
        <v>22262</v>
      </c>
      <c r="E744" s="6">
        <v>10246</v>
      </c>
      <c r="F744" s="6">
        <v>19360</v>
      </c>
      <c r="L744">
        <f t="shared" si="153"/>
        <v>-2854</v>
      </c>
      <c r="M744">
        <f t="shared" si="154"/>
        <v>-2716</v>
      </c>
      <c r="N744">
        <f t="shared" si="155"/>
        <v>9300</v>
      </c>
      <c r="O744">
        <f t="shared" si="156"/>
        <v>186</v>
      </c>
      <c r="P744">
        <f t="shared" si="157"/>
        <v>138</v>
      </c>
      <c r="Q744">
        <f t="shared" si="158"/>
        <v>12154</v>
      </c>
      <c r="R744">
        <f t="shared" si="159"/>
        <v>3040</v>
      </c>
      <c r="S744">
        <f t="shared" si="160"/>
        <v>12016</v>
      </c>
      <c r="T744">
        <f t="shared" si="161"/>
        <v>2902</v>
      </c>
      <c r="U744">
        <f t="shared" si="162"/>
        <v>-9114</v>
      </c>
      <c r="V744" s="9">
        <f t="shared" si="164"/>
        <v>2854</v>
      </c>
      <c r="W744" s="9">
        <f t="shared" si="164"/>
        <v>2716</v>
      </c>
      <c r="X744" s="9">
        <f t="shared" si="164"/>
        <v>9300</v>
      </c>
      <c r="Y744" s="9">
        <f t="shared" si="164"/>
        <v>186</v>
      </c>
      <c r="Z744" s="9">
        <f t="shared" si="164"/>
        <v>138</v>
      </c>
      <c r="AA744" s="9">
        <f t="shared" si="163"/>
        <v>12154</v>
      </c>
      <c r="AB744" s="9">
        <f t="shared" si="163"/>
        <v>3040</v>
      </c>
      <c r="AC744" s="9">
        <f t="shared" si="163"/>
        <v>12016</v>
      </c>
      <c r="AD744" s="9">
        <f t="shared" si="163"/>
        <v>2902</v>
      </c>
      <c r="AE744" s="9">
        <f t="shared" si="163"/>
        <v>9114</v>
      </c>
    </row>
    <row r="745" spans="2:31" x14ac:dyDescent="0.25">
      <c r="B745" s="6">
        <v>15357</v>
      </c>
      <c r="C745" s="6">
        <v>18211</v>
      </c>
      <c r="D745" s="6">
        <v>18073</v>
      </c>
      <c r="E745" s="6">
        <v>16999</v>
      </c>
      <c r="F745" s="6">
        <v>14704</v>
      </c>
      <c r="L745">
        <f t="shared" si="153"/>
        <v>-2854</v>
      </c>
      <c r="M745">
        <f t="shared" si="154"/>
        <v>-2716</v>
      </c>
      <c r="N745">
        <f t="shared" si="155"/>
        <v>-1642</v>
      </c>
      <c r="O745">
        <f t="shared" si="156"/>
        <v>653</v>
      </c>
      <c r="P745">
        <f t="shared" si="157"/>
        <v>138</v>
      </c>
      <c r="Q745">
        <f t="shared" si="158"/>
        <v>1212</v>
      </c>
      <c r="R745">
        <f t="shared" si="159"/>
        <v>3507</v>
      </c>
      <c r="S745">
        <f t="shared" si="160"/>
        <v>1074</v>
      </c>
      <c r="T745">
        <f t="shared" si="161"/>
        <v>3369</v>
      </c>
      <c r="U745">
        <f t="shared" si="162"/>
        <v>2295</v>
      </c>
      <c r="V745" s="9">
        <f t="shared" si="164"/>
        <v>2854</v>
      </c>
      <c r="W745" s="9">
        <f t="shared" si="164"/>
        <v>2716</v>
      </c>
      <c r="X745" s="9">
        <f t="shared" si="164"/>
        <v>1642</v>
      </c>
      <c r="Y745" s="9">
        <f t="shared" si="164"/>
        <v>653</v>
      </c>
      <c r="Z745" s="9">
        <f t="shared" si="164"/>
        <v>138</v>
      </c>
      <c r="AA745" s="9">
        <f t="shared" si="163"/>
        <v>1212</v>
      </c>
      <c r="AB745" s="9">
        <f t="shared" si="163"/>
        <v>3507</v>
      </c>
      <c r="AC745" s="9">
        <f t="shared" si="163"/>
        <v>1074</v>
      </c>
      <c r="AD745" s="9">
        <f t="shared" si="163"/>
        <v>3369</v>
      </c>
      <c r="AE745" s="9">
        <f t="shared" si="163"/>
        <v>2295</v>
      </c>
    </row>
    <row r="746" spans="2:31" x14ac:dyDescent="0.25">
      <c r="B746" s="6">
        <v>16452</v>
      </c>
      <c r="C746" s="6">
        <v>19306</v>
      </c>
      <c r="D746" s="6">
        <v>19168</v>
      </c>
      <c r="E746" s="6">
        <v>18094</v>
      </c>
      <c r="F746" s="6">
        <v>7930</v>
      </c>
      <c r="L746">
        <f t="shared" si="153"/>
        <v>-2854</v>
      </c>
      <c r="M746">
        <f t="shared" si="154"/>
        <v>-2716</v>
      </c>
      <c r="N746">
        <f t="shared" si="155"/>
        <v>-1642</v>
      </c>
      <c r="O746">
        <f t="shared" si="156"/>
        <v>8522</v>
      </c>
      <c r="P746">
        <f t="shared" si="157"/>
        <v>138</v>
      </c>
      <c r="Q746">
        <f t="shared" si="158"/>
        <v>1212</v>
      </c>
      <c r="R746">
        <f t="shared" si="159"/>
        <v>11376</v>
      </c>
      <c r="S746">
        <f t="shared" si="160"/>
        <v>1074</v>
      </c>
      <c r="T746">
        <f t="shared" si="161"/>
        <v>11238</v>
      </c>
      <c r="U746">
        <f t="shared" si="162"/>
        <v>10164</v>
      </c>
      <c r="V746" s="9">
        <f t="shared" si="164"/>
        <v>2854</v>
      </c>
      <c r="W746" s="9">
        <f t="shared" si="164"/>
        <v>2716</v>
      </c>
      <c r="X746" s="9">
        <f t="shared" si="164"/>
        <v>1642</v>
      </c>
      <c r="Y746" s="9">
        <f t="shared" si="164"/>
        <v>8522</v>
      </c>
      <c r="Z746" s="9">
        <f t="shared" si="164"/>
        <v>138</v>
      </c>
      <c r="AA746" s="9">
        <f t="shared" si="163"/>
        <v>1212</v>
      </c>
      <c r="AB746" s="9">
        <f t="shared" si="163"/>
        <v>11376</v>
      </c>
      <c r="AC746" s="9">
        <f t="shared" si="163"/>
        <v>1074</v>
      </c>
      <c r="AD746" s="9">
        <f t="shared" si="163"/>
        <v>11238</v>
      </c>
      <c r="AE746" s="9">
        <f t="shared" si="163"/>
        <v>10164</v>
      </c>
    </row>
    <row r="747" spans="2:31" x14ac:dyDescent="0.25">
      <c r="B747" s="6">
        <v>16972</v>
      </c>
      <c r="C747" s="6">
        <v>19826</v>
      </c>
      <c r="D747" s="6">
        <v>19688</v>
      </c>
      <c r="E747" s="6">
        <v>18614</v>
      </c>
      <c r="F747" s="6">
        <v>18282</v>
      </c>
      <c r="L747">
        <f t="shared" si="153"/>
        <v>-2854</v>
      </c>
      <c r="M747">
        <f t="shared" si="154"/>
        <v>-2716</v>
      </c>
      <c r="N747">
        <f t="shared" si="155"/>
        <v>-1642</v>
      </c>
      <c r="O747">
        <f t="shared" si="156"/>
        <v>-1310</v>
      </c>
      <c r="P747">
        <f t="shared" si="157"/>
        <v>138</v>
      </c>
      <c r="Q747">
        <f t="shared" si="158"/>
        <v>1212</v>
      </c>
      <c r="R747">
        <f t="shared" si="159"/>
        <v>1544</v>
      </c>
      <c r="S747">
        <f t="shared" si="160"/>
        <v>1074</v>
      </c>
      <c r="T747">
        <f t="shared" si="161"/>
        <v>1406</v>
      </c>
      <c r="U747">
        <f t="shared" si="162"/>
        <v>332</v>
      </c>
      <c r="V747" s="9">
        <f t="shared" si="164"/>
        <v>2854</v>
      </c>
      <c r="W747" s="9">
        <f t="shared" si="164"/>
        <v>2716</v>
      </c>
      <c r="X747" s="9">
        <f t="shared" si="164"/>
        <v>1642</v>
      </c>
      <c r="Y747" s="9">
        <f t="shared" si="164"/>
        <v>1310</v>
      </c>
      <c r="Z747" s="9">
        <f t="shared" si="164"/>
        <v>138</v>
      </c>
      <c r="AA747" s="9">
        <f t="shared" si="163"/>
        <v>1212</v>
      </c>
      <c r="AB747" s="9">
        <f t="shared" si="163"/>
        <v>1544</v>
      </c>
      <c r="AC747" s="9">
        <f t="shared" si="163"/>
        <v>1074</v>
      </c>
      <c r="AD747" s="9">
        <f t="shared" si="163"/>
        <v>1406</v>
      </c>
      <c r="AE747" s="9">
        <f t="shared" si="163"/>
        <v>332</v>
      </c>
    </row>
    <row r="748" spans="2:31" x14ac:dyDescent="0.25">
      <c r="B748" s="6">
        <v>19987</v>
      </c>
      <c r="C748" s="6">
        <v>22841</v>
      </c>
      <c r="D748" s="6">
        <v>22703</v>
      </c>
      <c r="E748" s="6">
        <v>10648</v>
      </c>
      <c r="F748" s="6">
        <v>8698</v>
      </c>
      <c r="L748">
        <f t="shared" si="153"/>
        <v>-2854</v>
      </c>
      <c r="M748">
        <f t="shared" si="154"/>
        <v>-2716</v>
      </c>
      <c r="N748">
        <f t="shared" si="155"/>
        <v>9339</v>
      </c>
      <c r="O748">
        <f t="shared" si="156"/>
        <v>11289</v>
      </c>
      <c r="P748">
        <f t="shared" si="157"/>
        <v>138</v>
      </c>
      <c r="Q748">
        <f t="shared" si="158"/>
        <v>12193</v>
      </c>
      <c r="R748">
        <f t="shared" si="159"/>
        <v>14143</v>
      </c>
      <c r="S748">
        <f t="shared" si="160"/>
        <v>12055</v>
      </c>
      <c r="T748">
        <f t="shared" si="161"/>
        <v>14005</v>
      </c>
      <c r="U748">
        <f t="shared" si="162"/>
        <v>1950</v>
      </c>
      <c r="V748" s="9">
        <f t="shared" si="164"/>
        <v>2854</v>
      </c>
      <c r="W748" s="9">
        <f t="shared" si="164"/>
        <v>2716</v>
      </c>
      <c r="X748" s="9">
        <f t="shared" si="164"/>
        <v>9339</v>
      </c>
      <c r="Y748" s="9">
        <f t="shared" si="164"/>
        <v>11289</v>
      </c>
      <c r="Z748" s="9">
        <f t="shared" si="164"/>
        <v>138</v>
      </c>
      <c r="AA748" s="9">
        <f t="shared" si="163"/>
        <v>12193</v>
      </c>
      <c r="AB748" s="9">
        <f t="shared" si="163"/>
        <v>14143</v>
      </c>
      <c r="AC748" s="9">
        <f t="shared" si="163"/>
        <v>12055</v>
      </c>
      <c r="AD748" s="9">
        <f t="shared" si="163"/>
        <v>14005</v>
      </c>
      <c r="AE748" s="9">
        <f t="shared" si="163"/>
        <v>1950</v>
      </c>
    </row>
    <row r="749" spans="2:31" x14ac:dyDescent="0.25">
      <c r="B749" s="6">
        <v>22354</v>
      </c>
      <c r="C749" s="6">
        <v>25208</v>
      </c>
      <c r="D749" s="6">
        <v>25070</v>
      </c>
      <c r="E749" s="6">
        <v>23996</v>
      </c>
      <c r="F749" s="6">
        <v>13351</v>
      </c>
      <c r="L749">
        <f t="shared" si="153"/>
        <v>-2854</v>
      </c>
      <c r="M749">
        <f t="shared" si="154"/>
        <v>-2716</v>
      </c>
      <c r="N749">
        <f t="shared" si="155"/>
        <v>-1642</v>
      </c>
      <c r="O749">
        <f t="shared" si="156"/>
        <v>9003</v>
      </c>
      <c r="P749">
        <f t="shared" si="157"/>
        <v>138</v>
      </c>
      <c r="Q749">
        <f t="shared" si="158"/>
        <v>1212</v>
      </c>
      <c r="R749">
        <f t="shared" si="159"/>
        <v>11857</v>
      </c>
      <c r="S749">
        <f t="shared" si="160"/>
        <v>1074</v>
      </c>
      <c r="T749">
        <f t="shared" si="161"/>
        <v>11719</v>
      </c>
      <c r="U749">
        <f t="shared" si="162"/>
        <v>10645</v>
      </c>
      <c r="V749" s="9">
        <f t="shared" si="164"/>
        <v>2854</v>
      </c>
      <c r="W749" s="9">
        <f t="shared" si="164"/>
        <v>2716</v>
      </c>
      <c r="X749" s="9">
        <f t="shared" si="164"/>
        <v>1642</v>
      </c>
      <c r="Y749" s="9">
        <f t="shared" si="164"/>
        <v>9003</v>
      </c>
      <c r="Z749" s="9">
        <f t="shared" si="164"/>
        <v>138</v>
      </c>
      <c r="AA749" s="9">
        <f t="shared" si="163"/>
        <v>1212</v>
      </c>
      <c r="AB749" s="9">
        <f t="shared" si="163"/>
        <v>11857</v>
      </c>
      <c r="AC749" s="9">
        <f t="shared" si="163"/>
        <v>1074</v>
      </c>
      <c r="AD749" s="9">
        <f t="shared" si="163"/>
        <v>11719</v>
      </c>
      <c r="AE749" s="9">
        <f t="shared" si="163"/>
        <v>10645</v>
      </c>
    </row>
    <row r="750" spans="2:31" x14ac:dyDescent="0.25">
      <c r="B750" s="6">
        <v>11247</v>
      </c>
      <c r="C750" s="6">
        <v>14101</v>
      </c>
      <c r="D750" s="6">
        <v>13963</v>
      </c>
      <c r="E750" s="6">
        <v>12889</v>
      </c>
      <c r="F750" s="6">
        <v>10747</v>
      </c>
      <c r="L750">
        <f t="shared" si="153"/>
        <v>-2854</v>
      </c>
      <c r="M750">
        <f t="shared" si="154"/>
        <v>-2716</v>
      </c>
      <c r="N750">
        <f t="shared" si="155"/>
        <v>-1642</v>
      </c>
      <c r="O750">
        <f t="shared" si="156"/>
        <v>500</v>
      </c>
      <c r="P750">
        <f t="shared" si="157"/>
        <v>138</v>
      </c>
      <c r="Q750">
        <f t="shared" si="158"/>
        <v>1212</v>
      </c>
      <c r="R750">
        <f t="shared" si="159"/>
        <v>3354</v>
      </c>
      <c r="S750">
        <f t="shared" si="160"/>
        <v>1074</v>
      </c>
      <c r="T750">
        <f t="shared" si="161"/>
        <v>3216</v>
      </c>
      <c r="U750">
        <f t="shared" si="162"/>
        <v>2142</v>
      </c>
      <c r="V750" s="9">
        <f t="shared" si="164"/>
        <v>2854</v>
      </c>
      <c r="W750" s="9">
        <f t="shared" si="164"/>
        <v>2716</v>
      </c>
      <c r="X750" s="9">
        <f t="shared" si="164"/>
        <v>1642</v>
      </c>
      <c r="Y750" s="9">
        <f t="shared" si="164"/>
        <v>500</v>
      </c>
      <c r="Z750" s="9">
        <f t="shared" si="164"/>
        <v>138</v>
      </c>
      <c r="AA750" s="9">
        <f t="shared" si="163"/>
        <v>1212</v>
      </c>
      <c r="AB750" s="9">
        <f t="shared" si="163"/>
        <v>3354</v>
      </c>
      <c r="AC750" s="9">
        <f t="shared" si="163"/>
        <v>1074</v>
      </c>
      <c r="AD750" s="9">
        <f t="shared" si="163"/>
        <v>3216</v>
      </c>
      <c r="AE750" s="9">
        <f t="shared" si="163"/>
        <v>2142</v>
      </c>
    </row>
    <row r="751" spans="2:31" x14ac:dyDescent="0.25">
      <c r="B751" s="6">
        <v>16988</v>
      </c>
      <c r="C751" s="6">
        <v>19842</v>
      </c>
      <c r="D751" s="6">
        <v>19704</v>
      </c>
      <c r="E751" s="6">
        <v>18630</v>
      </c>
      <c r="F751" s="6">
        <v>17307</v>
      </c>
      <c r="L751">
        <f t="shared" si="153"/>
        <v>-2854</v>
      </c>
      <c r="M751">
        <f t="shared" si="154"/>
        <v>-2716</v>
      </c>
      <c r="N751">
        <f t="shared" si="155"/>
        <v>-1642</v>
      </c>
      <c r="O751">
        <f t="shared" si="156"/>
        <v>-319</v>
      </c>
      <c r="P751">
        <f t="shared" si="157"/>
        <v>138</v>
      </c>
      <c r="Q751">
        <f t="shared" si="158"/>
        <v>1212</v>
      </c>
      <c r="R751">
        <f t="shared" si="159"/>
        <v>2535</v>
      </c>
      <c r="S751">
        <f t="shared" si="160"/>
        <v>1074</v>
      </c>
      <c r="T751">
        <f t="shared" si="161"/>
        <v>2397</v>
      </c>
      <c r="U751">
        <f t="shared" si="162"/>
        <v>1323</v>
      </c>
      <c r="V751" s="9">
        <f t="shared" si="164"/>
        <v>2854</v>
      </c>
      <c r="W751" s="9">
        <f t="shared" si="164"/>
        <v>2716</v>
      </c>
      <c r="X751" s="9">
        <f t="shared" si="164"/>
        <v>1642</v>
      </c>
      <c r="Y751" s="9">
        <f t="shared" si="164"/>
        <v>319</v>
      </c>
      <c r="Z751" s="9">
        <f t="shared" si="164"/>
        <v>138</v>
      </c>
      <c r="AA751" s="9">
        <f t="shared" si="163"/>
        <v>1212</v>
      </c>
      <c r="AB751" s="9">
        <f t="shared" si="163"/>
        <v>2535</v>
      </c>
      <c r="AC751" s="9">
        <f t="shared" si="163"/>
        <v>1074</v>
      </c>
      <c r="AD751" s="9">
        <f t="shared" si="163"/>
        <v>2397</v>
      </c>
      <c r="AE751" s="9">
        <f t="shared" si="163"/>
        <v>1323</v>
      </c>
    </row>
    <row r="752" spans="2:31" x14ac:dyDescent="0.25">
      <c r="B752" s="6">
        <v>19785</v>
      </c>
      <c r="C752" s="6">
        <v>22639</v>
      </c>
      <c r="D752" s="6">
        <v>22501</v>
      </c>
      <c r="E752" s="6">
        <v>10355</v>
      </c>
      <c r="F752" s="6">
        <v>7948</v>
      </c>
      <c r="L752">
        <f t="shared" si="153"/>
        <v>-2854</v>
      </c>
      <c r="M752">
        <f t="shared" si="154"/>
        <v>-2716</v>
      </c>
      <c r="N752">
        <f t="shared" si="155"/>
        <v>9430</v>
      </c>
      <c r="O752">
        <f t="shared" si="156"/>
        <v>11837</v>
      </c>
      <c r="P752">
        <f t="shared" si="157"/>
        <v>138</v>
      </c>
      <c r="Q752">
        <f t="shared" si="158"/>
        <v>12284</v>
      </c>
      <c r="R752">
        <f t="shared" si="159"/>
        <v>14691</v>
      </c>
      <c r="S752">
        <f t="shared" si="160"/>
        <v>12146</v>
      </c>
      <c r="T752">
        <f t="shared" si="161"/>
        <v>14553</v>
      </c>
      <c r="U752">
        <f t="shared" si="162"/>
        <v>2407</v>
      </c>
      <c r="V752" s="9">
        <f t="shared" si="164"/>
        <v>2854</v>
      </c>
      <c r="W752" s="9">
        <f t="shared" si="164"/>
        <v>2716</v>
      </c>
      <c r="X752" s="9">
        <f t="shared" si="164"/>
        <v>9430</v>
      </c>
      <c r="Y752" s="9">
        <f t="shared" si="164"/>
        <v>11837</v>
      </c>
      <c r="Z752" s="9">
        <f t="shared" si="164"/>
        <v>138</v>
      </c>
      <c r="AA752" s="9">
        <f t="shared" si="163"/>
        <v>12284</v>
      </c>
      <c r="AB752" s="9">
        <f t="shared" si="163"/>
        <v>14691</v>
      </c>
      <c r="AC752" s="9">
        <f t="shared" si="163"/>
        <v>12146</v>
      </c>
      <c r="AD752" s="9">
        <f t="shared" si="163"/>
        <v>14553</v>
      </c>
      <c r="AE752" s="9">
        <f t="shared" si="163"/>
        <v>2407</v>
      </c>
    </row>
    <row r="753" spans="2:31" x14ac:dyDescent="0.25">
      <c r="B753" s="6">
        <v>13496</v>
      </c>
      <c r="C753" s="6">
        <v>16350</v>
      </c>
      <c r="D753" s="6">
        <v>16212</v>
      </c>
      <c r="E753" s="6">
        <v>15138</v>
      </c>
      <c r="F753" s="6">
        <v>15369</v>
      </c>
      <c r="L753">
        <f t="shared" si="153"/>
        <v>-2854</v>
      </c>
      <c r="M753">
        <f t="shared" si="154"/>
        <v>-2716</v>
      </c>
      <c r="N753">
        <f t="shared" si="155"/>
        <v>-1642</v>
      </c>
      <c r="O753">
        <f t="shared" si="156"/>
        <v>-1873</v>
      </c>
      <c r="P753">
        <f t="shared" si="157"/>
        <v>138</v>
      </c>
      <c r="Q753">
        <f t="shared" si="158"/>
        <v>1212</v>
      </c>
      <c r="R753">
        <f t="shared" si="159"/>
        <v>981</v>
      </c>
      <c r="S753">
        <f t="shared" si="160"/>
        <v>1074</v>
      </c>
      <c r="T753">
        <f t="shared" si="161"/>
        <v>843</v>
      </c>
      <c r="U753">
        <f t="shared" si="162"/>
        <v>-231</v>
      </c>
      <c r="V753" s="9">
        <f t="shared" si="164"/>
        <v>2854</v>
      </c>
      <c r="W753" s="9">
        <f t="shared" si="164"/>
        <v>2716</v>
      </c>
      <c r="X753" s="9">
        <f t="shared" si="164"/>
        <v>1642</v>
      </c>
      <c r="Y753" s="9">
        <f t="shared" si="164"/>
        <v>1873</v>
      </c>
      <c r="Z753" s="9">
        <f t="shared" si="164"/>
        <v>138</v>
      </c>
      <c r="AA753" s="9">
        <f t="shared" si="163"/>
        <v>1212</v>
      </c>
      <c r="AB753" s="9">
        <f t="shared" si="163"/>
        <v>981</v>
      </c>
      <c r="AC753" s="9">
        <f t="shared" si="163"/>
        <v>1074</v>
      </c>
      <c r="AD753" s="9">
        <f t="shared" si="163"/>
        <v>843</v>
      </c>
      <c r="AE753" s="9">
        <f t="shared" si="163"/>
        <v>231</v>
      </c>
    </row>
    <row r="754" spans="2:31" x14ac:dyDescent="0.25">
      <c r="B754" s="6">
        <v>16975</v>
      </c>
      <c r="C754" s="6">
        <v>19829</v>
      </c>
      <c r="D754" s="6">
        <v>19691</v>
      </c>
      <c r="E754" s="6">
        <v>18617</v>
      </c>
      <c r="F754" s="6">
        <v>9136</v>
      </c>
      <c r="L754">
        <f t="shared" si="153"/>
        <v>-2854</v>
      </c>
      <c r="M754">
        <f t="shared" si="154"/>
        <v>-2716</v>
      </c>
      <c r="N754">
        <f t="shared" si="155"/>
        <v>-1642</v>
      </c>
      <c r="O754">
        <f t="shared" si="156"/>
        <v>7839</v>
      </c>
      <c r="P754">
        <f t="shared" si="157"/>
        <v>138</v>
      </c>
      <c r="Q754">
        <f t="shared" si="158"/>
        <v>1212</v>
      </c>
      <c r="R754">
        <f t="shared" si="159"/>
        <v>10693</v>
      </c>
      <c r="S754">
        <f t="shared" si="160"/>
        <v>1074</v>
      </c>
      <c r="T754">
        <f t="shared" si="161"/>
        <v>10555</v>
      </c>
      <c r="U754">
        <f t="shared" si="162"/>
        <v>9481</v>
      </c>
      <c r="V754" s="9">
        <f t="shared" si="164"/>
        <v>2854</v>
      </c>
      <c r="W754" s="9">
        <f t="shared" si="164"/>
        <v>2716</v>
      </c>
      <c r="X754" s="9">
        <f t="shared" si="164"/>
        <v>1642</v>
      </c>
      <c r="Y754" s="9">
        <f t="shared" si="164"/>
        <v>7839</v>
      </c>
      <c r="Z754" s="9">
        <f t="shared" si="164"/>
        <v>138</v>
      </c>
      <c r="AA754" s="9">
        <f t="shared" si="163"/>
        <v>1212</v>
      </c>
      <c r="AB754" s="9">
        <f t="shared" si="163"/>
        <v>10693</v>
      </c>
      <c r="AC754" s="9">
        <f t="shared" si="163"/>
        <v>1074</v>
      </c>
      <c r="AD754" s="9">
        <f t="shared" si="163"/>
        <v>10555</v>
      </c>
      <c r="AE754" s="9">
        <f t="shared" si="163"/>
        <v>9481</v>
      </c>
    </row>
    <row r="755" spans="2:31" x14ac:dyDescent="0.25">
      <c r="B755" s="6">
        <v>13349</v>
      </c>
      <c r="C755" s="6">
        <v>16203</v>
      </c>
      <c r="D755" s="6">
        <v>16065</v>
      </c>
      <c r="E755" s="6">
        <v>14991</v>
      </c>
      <c r="F755" s="6">
        <v>12562</v>
      </c>
      <c r="L755">
        <f t="shared" si="153"/>
        <v>-2854</v>
      </c>
      <c r="M755">
        <f t="shared" si="154"/>
        <v>-2716</v>
      </c>
      <c r="N755">
        <f t="shared" si="155"/>
        <v>-1642</v>
      </c>
      <c r="O755">
        <f t="shared" si="156"/>
        <v>787</v>
      </c>
      <c r="P755">
        <f t="shared" si="157"/>
        <v>138</v>
      </c>
      <c r="Q755">
        <f t="shared" si="158"/>
        <v>1212</v>
      </c>
      <c r="R755">
        <f t="shared" si="159"/>
        <v>3641</v>
      </c>
      <c r="S755">
        <f t="shared" si="160"/>
        <v>1074</v>
      </c>
      <c r="T755">
        <f t="shared" si="161"/>
        <v>3503</v>
      </c>
      <c r="U755">
        <f t="shared" si="162"/>
        <v>2429</v>
      </c>
      <c r="V755" s="9">
        <f t="shared" si="164"/>
        <v>2854</v>
      </c>
      <c r="W755" s="9">
        <f t="shared" si="164"/>
        <v>2716</v>
      </c>
      <c r="X755" s="9">
        <f t="shared" si="164"/>
        <v>1642</v>
      </c>
      <c r="Y755" s="9">
        <f t="shared" si="164"/>
        <v>787</v>
      </c>
      <c r="Z755" s="9">
        <f t="shared" si="164"/>
        <v>138</v>
      </c>
      <c r="AA755" s="9">
        <f t="shared" si="163"/>
        <v>1212</v>
      </c>
      <c r="AB755" s="9">
        <f t="shared" si="163"/>
        <v>3641</v>
      </c>
      <c r="AC755" s="9">
        <f t="shared" si="163"/>
        <v>1074</v>
      </c>
      <c r="AD755" s="9">
        <f t="shared" si="163"/>
        <v>3503</v>
      </c>
      <c r="AE755" s="9">
        <f t="shared" si="163"/>
        <v>2429</v>
      </c>
    </row>
    <row r="756" spans="2:31" x14ac:dyDescent="0.25">
      <c r="B756" s="6">
        <v>19468</v>
      </c>
      <c r="C756" s="6">
        <v>22322</v>
      </c>
      <c r="D756" s="6">
        <v>22184</v>
      </c>
      <c r="E756" s="6">
        <v>10465</v>
      </c>
      <c r="F756" s="6">
        <v>9663</v>
      </c>
      <c r="L756">
        <f t="shared" si="153"/>
        <v>-2854</v>
      </c>
      <c r="M756">
        <f t="shared" si="154"/>
        <v>-2716</v>
      </c>
      <c r="N756">
        <f t="shared" si="155"/>
        <v>9003</v>
      </c>
      <c r="O756">
        <f t="shared" si="156"/>
        <v>9805</v>
      </c>
      <c r="P756">
        <f t="shared" si="157"/>
        <v>138</v>
      </c>
      <c r="Q756">
        <f t="shared" si="158"/>
        <v>11857</v>
      </c>
      <c r="R756">
        <f t="shared" si="159"/>
        <v>12659</v>
      </c>
      <c r="S756">
        <f t="shared" si="160"/>
        <v>11719</v>
      </c>
      <c r="T756">
        <f t="shared" si="161"/>
        <v>12521</v>
      </c>
      <c r="U756">
        <f t="shared" si="162"/>
        <v>802</v>
      </c>
      <c r="V756" s="9">
        <f t="shared" si="164"/>
        <v>2854</v>
      </c>
      <c r="W756" s="9">
        <f t="shared" si="164"/>
        <v>2716</v>
      </c>
      <c r="X756" s="9">
        <f t="shared" si="164"/>
        <v>9003</v>
      </c>
      <c r="Y756" s="9">
        <f t="shared" si="164"/>
        <v>9805</v>
      </c>
      <c r="Z756" s="9">
        <f t="shared" si="164"/>
        <v>138</v>
      </c>
      <c r="AA756" s="9">
        <f t="shared" si="163"/>
        <v>11857</v>
      </c>
      <c r="AB756" s="9">
        <f t="shared" si="163"/>
        <v>12659</v>
      </c>
      <c r="AC756" s="9">
        <f t="shared" si="163"/>
        <v>11719</v>
      </c>
      <c r="AD756" s="9">
        <f t="shared" si="163"/>
        <v>12521</v>
      </c>
      <c r="AE756" s="9">
        <f t="shared" si="163"/>
        <v>802</v>
      </c>
    </row>
    <row r="757" spans="2:31" x14ac:dyDescent="0.25">
      <c r="B757" s="6">
        <v>24645</v>
      </c>
      <c r="C757" s="6">
        <v>27499</v>
      </c>
      <c r="D757" s="6">
        <v>27361</v>
      </c>
      <c r="E757" s="6">
        <v>10368</v>
      </c>
      <c r="F757" s="6">
        <v>6537</v>
      </c>
      <c r="L757">
        <f t="shared" si="153"/>
        <v>-2854</v>
      </c>
      <c r="M757">
        <f t="shared" si="154"/>
        <v>-2716</v>
      </c>
      <c r="N757">
        <f t="shared" si="155"/>
        <v>14277</v>
      </c>
      <c r="O757">
        <f t="shared" si="156"/>
        <v>18108</v>
      </c>
      <c r="P757">
        <f t="shared" si="157"/>
        <v>138</v>
      </c>
      <c r="Q757">
        <f t="shared" si="158"/>
        <v>17131</v>
      </c>
      <c r="R757">
        <f t="shared" si="159"/>
        <v>20962</v>
      </c>
      <c r="S757">
        <f t="shared" si="160"/>
        <v>16993</v>
      </c>
      <c r="T757">
        <f t="shared" si="161"/>
        <v>20824</v>
      </c>
      <c r="U757">
        <f t="shared" si="162"/>
        <v>3831</v>
      </c>
      <c r="V757" s="9">
        <f t="shared" si="164"/>
        <v>2854</v>
      </c>
      <c r="W757" s="9">
        <f t="shared" si="164"/>
        <v>2716</v>
      </c>
      <c r="X757" s="9">
        <f t="shared" si="164"/>
        <v>14277</v>
      </c>
      <c r="Y757" s="9">
        <f t="shared" si="164"/>
        <v>18108</v>
      </c>
      <c r="Z757" s="9">
        <f t="shared" si="164"/>
        <v>138</v>
      </c>
      <c r="AA757" s="9">
        <f t="shared" si="163"/>
        <v>17131</v>
      </c>
      <c r="AB757" s="9">
        <f t="shared" si="163"/>
        <v>20962</v>
      </c>
      <c r="AC757" s="9">
        <f t="shared" si="163"/>
        <v>16993</v>
      </c>
      <c r="AD757" s="9">
        <f t="shared" si="163"/>
        <v>20824</v>
      </c>
      <c r="AE757" s="9">
        <f t="shared" si="163"/>
        <v>3831</v>
      </c>
    </row>
    <row r="758" spans="2:31" x14ac:dyDescent="0.25">
      <c r="B758" s="6">
        <v>21567</v>
      </c>
      <c r="C758" s="6">
        <v>24421</v>
      </c>
      <c r="D758" s="6">
        <v>24283</v>
      </c>
      <c r="E758" s="6">
        <v>23209</v>
      </c>
      <c r="F758" s="6">
        <v>5443</v>
      </c>
      <c r="L758">
        <f t="shared" si="153"/>
        <v>-2854</v>
      </c>
      <c r="M758">
        <f t="shared" si="154"/>
        <v>-2716</v>
      </c>
      <c r="N758">
        <f t="shared" si="155"/>
        <v>-1642</v>
      </c>
      <c r="O758">
        <f t="shared" si="156"/>
        <v>16124</v>
      </c>
      <c r="P758">
        <f t="shared" si="157"/>
        <v>138</v>
      </c>
      <c r="Q758">
        <f t="shared" si="158"/>
        <v>1212</v>
      </c>
      <c r="R758">
        <f t="shared" si="159"/>
        <v>18978</v>
      </c>
      <c r="S758">
        <f t="shared" si="160"/>
        <v>1074</v>
      </c>
      <c r="T758">
        <f t="shared" si="161"/>
        <v>18840</v>
      </c>
      <c r="U758">
        <f t="shared" si="162"/>
        <v>17766</v>
      </c>
      <c r="V758" s="9">
        <f t="shared" si="164"/>
        <v>2854</v>
      </c>
      <c r="W758" s="9">
        <f t="shared" si="164"/>
        <v>2716</v>
      </c>
      <c r="X758" s="9">
        <f t="shared" si="164"/>
        <v>1642</v>
      </c>
      <c r="Y758" s="9">
        <f t="shared" si="164"/>
        <v>16124</v>
      </c>
      <c r="Z758" s="9">
        <f t="shared" si="164"/>
        <v>138</v>
      </c>
      <c r="AA758" s="9">
        <f t="shared" si="163"/>
        <v>1212</v>
      </c>
      <c r="AB758" s="9">
        <f t="shared" si="163"/>
        <v>18978</v>
      </c>
      <c r="AC758" s="9">
        <f t="shared" si="163"/>
        <v>1074</v>
      </c>
      <c r="AD758" s="9">
        <f t="shared" si="163"/>
        <v>18840</v>
      </c>
      <c r="AE758" s="9">
        <f t="shared" si="163"/>
        <v>17766</v>
      </c>
    </row>
    <row r="759" spans="2:31" x14ac:dyDescent="0.25">
      <c r="B759" s="6">
        <v>16475</v>
      </c>
      <c r="C759" s="6">
        <v>19329</v>
      </c>
      <c r="D759" s="6">
        <v>19191</v>
      </c>
      <c r="E759" s="6">
        <v>18117</v>
      </c>
      <c r="F759" s="6">
        <v>12950</v>
      </c>
      <c r="L759">
        <f t="shared" si="153"/>
        <v>-2854</v>
      </c>
      <c r="M759">
        <f t="shared" si="154"/>
        <v>-2716</v>
      </c>
      <c r="N759">
        <f t="shared" si="155"/>
        <v>-1642</v>
      </c>
      <c r="O759">
        <f t="shared" si="156"/>
        <v>3525</v>
      </c>
      <c r="P759">
        <f t="shared" si="157"/>
        <v>138</v>
      </c>
      <c r="Q759">
        <f t="shared" si="158"/>
        <v>1212</v>
      </c>
      <c r="R759">
        <f t="shared" si="159"/>
        <v>6379</v>
      </c>
      <c r="S759">
        <f t="shared" si="160"/>
        <v>1074</v>
      </c>
      <c r="T759">
        <f t="shared" si="161"/>
        <v>6241</v>
      </c>
      <c r="U759">
        <f t="shared" si="162"/>
        <v>5167</v>
      </c>
      <c r="V759" s="9">
        <f t="shared" si="164"/>
        <v>2854</v>
      </c>
      <c r="W759" s="9">
        <f t="shared" si="164"/>
        <v>2716</v>
      </c>
      <c r="X759" s="9">
        <f t="shared" si="164"/>
        <v>1642</v>
      </c>
      <c r="Y759" s="9">
        <f t="shared" si="164"/>
        <v>3525</v>
      </c>
      <c r="Z759" s="9">
        <f t="shared" si="164"/>
        <v>138</v>
      </c>
      <c r="AA759" s="9">
        <f t="shared" si="163"/>
        <v>1212</v>
      </c>
      <c r="AB759" s="9">
        <f t="shared" si="163"/>
        <v>6379</v>
      </c>
      <c r="AC759" s="9">
        <f t="shared" si="163"/>
        <v>1074</v>
      </c>
      <c r="AD759" s="9">
        <f t="shared" si="163"/>
        <v>6241</v>
      </c>
      <c r="AE759" s="9">
        <f t="shared" si="163"/>
        <v>5167</v>
      </c>
    </row>
    <row r="760" spans="2:31" x14ac:dyDescent="0.25">
      <c r="B760" s="6">
        <v>10287</v>
      </c>
      <c r="C760" s="6">
        <v>13141</v>
      </c>
      <c r="D760" s="6">
        <v>13003</v>
      </c>
      <c r="E760" s="6">
        <v>10258</v>
      </c>
      <c r="F760" s="6">
        <v>14319</v>
      </c>
      <c r="L760">
        <f t="shared" si="153"/>
        <v>-2854</v>
      </c>
      <c r="M760">
        <f t="shared" si="154"/>
        <v>-2716</v>
      </c>
      <c r="N760">
        <f t="shared" si="155"/>
        <v>29</v>
      </c>
      <c r="O760">
        <f t="shared" si="156"/>
        <v>-4032</v>
      </c>
      <c r="P760">
        <f t="shared" si="157"/>
        <v>138</v>
      </c>
      <c r="Q760">
        <f t="shared" si="158"/>
        <v>2883</v>
      </c>
      <c r="R760">
        <f t="shared" si="159"/>
        <v>-1178</v>
      </c>
      <c r="S760">
        <f t="shared" si="160"/>
        <v>2745</v>
      </c>
      <c r="T760">
        <f t="shared" si="161"/>
        <v>-1316</v>
      </c>
      <c r="U760">
        <f t="shared" si="162"/>
        <v>-4061</v>
      </c>
      <c r="V760" s="9">
        <f t="shared" si="164"/>
        <v>2854</v>
      </c>
      <c r="W760" s="9">
        <f t="shared" si="164"/>
        <v>2716</v>
      </c>
      <c r="X760" s="9">
        <f t="shared" si="164"/>
        <v>29</v>
      </c>
      <c r="Y760" s="9">
        <f t="shared" si="164"/>
        <v>4032</v>
      </c>
      <c r="Z760" s="9">
        <f t="shared" si="164"/>
        <v>138</v>
      </c>
      <c r="AA760" s="9">
        <f t="shared" si="163"/>
        <v>2883</v>
      </c>
      <c r="AB760" s="9">
        <f t="shared" si="163"/>
        <v>1178</v>
      </c>
      <c r="AC760" s="9">
        <f t="shared" si="163"/>
        <v>2745</v>
      </c>
      <c r="AD760" s="9">
        <f t="shared" si="163"/>
        <v>1316</v>
      </c>
      <c r="AE760" s="9">
        <f t="shared" si="163"/>
        <v>4061</v>
      </c>
    </row>
    <row r="761" spans="2:31" x14ac:dyDescent="0.25">
      <c r="B761" s="6">
        <v>12658</v>
      </c>
      <c r="C761" s="6">
        <v>15512</v>
      </c>
      <c r="D761" s="6">
        <v>15374</v>
      </c>
      <c r="E761" s="6">
        <v>1255</v>
      </c>
      <c r="F761" s="6">
        <v>8863</v>
      </c>
      <c r="L761">
        <f t="shared" si="153"/>
        <v>-2854</v>
      </c>
      <c r="M761">
        <f t="shared" si="154"/>
        <v>-2716</v>
      </c>
      <c r="N761">
        <f t="shared" si="155"/>
        <v>11403</v>
      </c>
      <c r="O761">
        <f t="shared" si="156"/>
        <v>3795</v>
      </c>
      <c r="P761">
        <f t="shared" si="157"/>
        <v>138</v>
      </c>
      <c r="Q761">
        <f t="shared" si="158"/>
        <v>14257</v>
      </c>
      <c r="R761">
        <f t="shared" si="159"/>
        <v>6649</v>
      </c>
      <c r="S761">
        <f t="shared" si="160"/>
        <v>14119</v>
      </c>
      <c r="T761">
        <f t="shared" si="161"/>
        <v>6511</v>
      </c>
      <c r="U761">
        <f t="shared" si="162"/>
        <v>-7608</v>
      </c>
      <c r="V761" s="9">
        <f t="shared" si="164"/>
        <v>2854</v>
      </c>
      <c r="W761" s="9">
        <f t="shared" si="164"/>
        <v>2716</v>
      </c>
      <c r="X761" s="9">
        <f t="shared" si="164"/>
        <v>11403</v>
      </c>
      <c r="Y761" s="9">
        <f t="shared" si="164"/>
        <v>3795</v>
      </c>
      <c r="Z761" s="9">
        <f t="shared" si="164"/>
        <v>138</v>
      </c>
      <c r="AA761" s="9">
        <f t="shared" si="163"/>
        <v>14257</v>
      </c>
      <c r="AB761" s="9">
        <f t="shared" si="163"/>
        <v>6649</v>
      </c>
      <c r="AC761" s="9">
        <f t="shared" si="163"/>
        <v>14119</v>
      </c>
      <c r="AD761" s="9">
        <f t="shared" si="163"/>
        <v>6511</v>
      </c>
      <c r="AE761" s="9">
        <f t="shared" si="163"/>
        <v>7608</v>
      </c>
    </row>
    <row r="762" spans="2:31" x14ac:dyDescent="0.25">
      <c r="B762" s="6">
        <v>16752</v>
      </c>
      <c r="C762" s="6">
        <v>19606</v>
      </c>
      <c r="D762" s="6">
        <v>19468</v>
      </c>
      <c r="E762" s="6">
        <v>10254</v>
      </c>
      <c r="F762" s="6">
        <v>13337</v>
      </c>
      <c r="L762">
        <f t="shared" si="153"/>
        <v>-2854</v>
      </c>
      <c r="M762">
        <f t="shared" si="154"/>
        <v>-2716</v>
      </c>
      <c r="N762">
        <f t="shared" si="155"/>
        <v>6498</v>
      </c>
      <c r="O762">
        <f t="shared" si="156"/>
        <v>3415</v>
      </c>
      <c r="P762">
        <f t="shared" si="157"/>
        <v>138</v>
      </c>
      <c r="Q762">
        <f t="shared" si="158"/>
        <v>9352</v>
      </c>
      <c r="R762">
        <f t="shared" si="159"/>
        <v>6269</v>
      </c>
      <c r="S762">
        <f t="shared" si="160"/>
        <v>9214</v>
      </c>
      <c r="T762">
        <f t="shared" si="161"/>
        <v>6131</v>
      </c>
      <c r="U762">
        <f t="shared" si="162"/>
        <v>-3083</v>
      </c>
      <c r="V762" s="9">
        <f t="shared" si="164"/>
        <v>2854</v>
      </c>
      <c r="W762" s="9">
        <f t="shared" si="164"/>
        <v>2716</v>
      </c>
      <c r="X762" s="9">
        <f t="shared" si="164"/>
        <v>6498</v>
      </c>
      <c r="Y762" s="9">
        <f t="shared" si="164"/>
        <v>3415</v>
      </c>
      <c r="Z762" s="9">
        <f t="shared" si="164"/>
        <v>138</v>
      </c>
      <c r="AA762" s="9">
        <f t="shared" si="163"/>
        <v>9352</v>
      </c>
      <c r="AB762" s="9">
        <f t="shared" si="163"/>
        <v>6269</v>
      </c>
      <c r="AC762" s="9">
        <f t="shared" si="163"/>
        <v>9214</v>
      </c>
      <c r="AD762" s="9">
        <f t="shared" si="163"/>
        <v>6131</v>
      </c>
      <c r="AE762" s="9">
        <f t="shared" si="163"/>
        <v>3083</v>
      </c>
    </row>
    <row r="763" spans="2:31" x14ac:dyDescent="0.25">
      <c r="B763" s="6">
        <v>24535</v>
      </c>
      <c r="C763" s="6">
        <v>27389</v>
      </c>
      <c r="D763" s="6">
        <v>27251</v>
      </c>
      <c r="E763" s="6">
        <v>12054</v>
      </c>
      <c r="F763" s="6">
        <v>8404</v>
      </c>
      <c r="L763">
        <f t="shared" si="153"/>
        <v>-2854</v>
      </c>
      <c r="M763">
        <f t="shared" si="154"/>
        <v>-2716</v>
      </c>
      <c r="N763">
        <f t="shared" si="155"/>
        <v>12481</v>
      </c>
      <c r="O763">
        <f t="shared" si="156"/>
        <v>16131</v>
      </c>
      <c r="P763">
        <f t="shared" si="157"/>
        <v>138</v>
      </c>
      <c r="Q763">
        <f t="shared" si="158"/>
        <v>15335</v>
      </c>
      <c r="R763">
        <f t="shared" si="159"/>
        <v>18985</v>
      </c>
      <c r="S763">
        <f t="shared" si="160"/>
        <v>15197</v>
      </c>
      <c r="T763">
        <f t="shared" si="161"/>
        <v>18847</v>
      </c>
      <c r="U763">
        <f t="shared" si="162"/>
        <v>3650</v>
      </c>
      <c r="V763" s="9">
        <f t="shared" si="164"/>
        <v>2854</v>
      </c>
      <c r="W763" s="9">
        <f t="shared" si="164"/>
        <v>2716</v>
      </c>
      <c r="X763" s="9">
        <f t="shared" si="164"/>
        <v>12481</v>
      </c>
      <c r="Y763" s="9">
        <f t="shared" si="164"/>
        <v>16131</v>
      </c>
      <c r="Z763" s="9">
        <f t="shared" si="164"/>
        <v>138</v>
      </c>
      <c r="AA763" s="9">
        <f t="shared" si="163"/>
        <v>15335</v>
      </c>
      <c r="AB763" s="9">
        <f t="shared" si="163"/>
        <v>18985</v>
      </c>
      <c r="AC763" s="9">
        <f t="shared" si="163"/>
        <v>15197</v>
      </c>
      <c r="AD763" s="9">
        <f t="shared" si="163"/>
        <v>18847</v>
      </c>
      <c r="AE763" s="9">
        <f t="shared" si="163"/>
        <v>3650</v>
      </c>
    </row>
    <row r="764" spans="2:31" x14ac:dyDescent="0.25">
      <c r="B764" s="6">
        <v>19854</v>
      </c>
      <c r="C764" s="6">
        <v>22708</v>
      </c>
      <c r="D764" s="6">
        <v>22570</v>
      </c>
      <c r="E764" s="6">
        <v>10345</v>
      </c>
      <c r="F764" s="6">
        <v>19302</v>
      </c>
      <c r="L764">
        <f t="shared" si="153"/>
        <v>-2854</v>
      </c>
      <c r="M764">
        <f t="shared" si="154"/>
        <v>-2716</v>
      </c>
      <c r="N764">
        <f t="shared" si="155"/>
        <v>9509</v>
      </c>
      <c r="O764">
        <f t="shared" si="156"/>
        <v>552</v>
      </c>
      <c r="P764">
        <f t="shared" si="157"/>
        <v>138</v>
      </c>
      <c r="Q764">
        <f t="shared" si="158"/>
        <v>12363</v>
      </c>
      <c r="R764">
        <f t="shared" si="159"/>
        <v>3406</v>
      </c>
      <c r="S764">
        <f t="shared" si="160"/>
        <v>12225</v>
      </c>
      <c r="T764">
        <f t="shared" si="161"/>
        <v>3268</v>
      </c>
      <c r="U764">
        <f t="shared" si="162"/>
        <v>-8957</v>
      </c>
      <c r="V764" s="9">
        <f t="shared" si="164"/>
        <v>2854</v>
      </c>
      <c r="W764" s="9">
        <f t="shared" si="164"/>
        <v>2716</v>
      </c>
      <c r="X764" s="9">
        <f t="shared" si="164"/>
        <v>9509</v>
      </c>
      <c r="Y764" s="9">
        <f t="shared" si="164"/>
        <v>552</v>
      </c>
      <c r="Z764" s="9">
        <f t="shared" si="164"/>
        <v>138</v>
      </c>
      <c r="AA764" s="9">
        <f t="shared" si="163"/>
        <v>12363</v>
      </c>
      <c r="AB764" s="9">
        <f t="shared" si="163"/>
        <v>3406</v>
      </c>
      <c r="AC764" s="9">
        <f t="shared" si="163"/>
        <v>12225</v>
      </c>
      <c r="AD764" s="9">
        <f t="shared" si="163"/>
        <v>3268</v>
      </c>
      <c r="AE764" s="9">
        <f t="shared" si="163"/>
        <v>8957</v>
      </c>
    </row>
    <row r="765" spans="2:31" x14ac:dyDescent="0.25">
      <c r="B765" s="6">
        <v>16782</v>
      </c>
      <c r="C765" s="6">
        <v>19636</v>
      </c>
      <c r="D765" s="6">
        <v>19498</v>
      </c>
      <c r="E765" s="6">
        <v>18424</v>
      </c>
      <c r="F765" s="6">
        <v>8626</v>
      </c>
      <c r="L765">
        <f t="shared" si="153"/>
        <v>-2854</v>
      </c>
      <c r="M765">
        <f t="shared" si="154"/>
        <v>-2716</v>
      </c>
      <c r="N765">
        <f t="shared" si="155"/>
        <v>-1642</v>
      </c>
      <c r="O765">
        <f t="shared" si="156"/>
        <v>8156</v>
      </c>
      <c r="P765">
        <f t="shared" si="157"/>
        <v>138</v>
      </c>
      <c r="Q765">
        <f t="shared" si="158"/>
        <v>1212</v>
      </c>
      <c r="R765">
        <f t="shared" si="159"/>
        <v>11010</v>
      </c>
      <c r="S765">
        <f t="shared" si="160"/>
        <v>1074</v>
      </c>
      <c r="T765">
        <f t="shared" si="161"/>
        <v>10872</v>
      </c>
      <c r="U765">
        <f t="shared" si="162"/>
        <v>9798</v>
      </c>
      <c r="V765" s="9">
        <f t="shared" si="164"/>
        <v>2854</v>
      </c>
      <c r="W765" s="9">
        <f t="shared" si="164"/>
        <v>2716</v>
      </c>
      <c r="X765" s="9">
        <f t="shared" si="164"/>
        <v>1642</v>
      </c>
      <c r="Y765" s="9">
        <f t="shared" si="164"/>
        <v>8156</v>
      </c>
      <c r="Z765" s="9">
        <f t="shared" si="164"/>
        <v>138</v>
      </c>
      <c r="AA765" s="9">
        <f t="shared" si="163"/>
        <v>1212</v>
      </c>
      <c r="AB765" s="9">
        <f t="shared" si="163"/>
        <v>11010</v>
      </c>
      <c r="AC765" s="9">
        <f t="shared" si="163"/>
        <v>1074</v>
      </c>
      <c r="AD765" s="9">
        <f t="shared" si="163"/>
        <v>10872</v>
      </c>
      <c r="AE765" s="9">
        <f t="shared" si="163"/>
        <v>9798</v>
      </c>
    </row>
    <row r="766" spans="2:31" x14ac:dyDescent="0.25">
      <c r="B766" s="6">
        <v>12973</v>
      </c>
      <c r="C766" s="6">
        <v>15827</v>
      </c>
      <c r="D766" s="6">
        <v>15689</v>
      </c>
      <c r="E766" s="6">
        <v>14615</v>
      </c>
      <c r="F766" s="6">
        <v>18667</v>
      </c>
      <c r="L766">
        <f t="shared" si="153"/>
        <v>-2854</v>
      </c>
      <c r="M766">
        <f t="shared" si="154"/>
        <v>-2716</v>
      </c>
      <c r="N766">
        <f t="shared" si="155"/>
        <v>-1642</v>
      </c>
      <c r="O766">
        <f t="shared" si="156"/>
        <v>-5694</v>
      </c>
      <c r="P766">
        <f t="shared" si="157"/>
        <v>138</v>
      </c>
      <c r="Q766">
        <f t="shared" si="158"/>
        <v>1212</v>
      </c>
      <c r="R766">
        <f t="shared" si="159"/>
        <v>-2840</v>
      </c>
      <c r="S766">
        <f t="shared" si="160"/>
        <v>1074</v>
      </c>
      <c r="T766">
        <f t="shared" si="161"/>
        <v>-2978</v>
      </c>
      <c r="U766">
        <f t="shared" si="162"/>
        <v>-4052</v>
      </c>
      <c r="V766" s="9">
        <f t="shared" si="164"/>
        <v>2854</v>
      </c>
      <c r="W766" s="9">
        <f t="shared" si="164"/>
        <v>2716</v>
      </c>
      <c r="X766" s="9">
        <f t="shared" si="164"/>
        <v>1642</v>
      </c>
      <c r="Y766" s="9">
        <f t="shared" si="164"/>
        <v>5694</v>
      </c>
      <c r="Z766" s="9">
        <f t="shared" si="164"/>
        <v>138</v>
      </c>
      <c r="AA766" s="9">
        <f t="shared" si="163"/>
        <v>1212</v>
      </c>
      <c r="AB766" s="9">
        <f t="shared" si="163"/>
        <v>2840</v>
      </c>
      <c r="AC766" s="9">
        <f t="shared" si="163"/>
        <v>1074</v>
      </c>
      <c r="AD766" s="9">
        <f t="shared" si="163"/>
        <v>2978</v>
      </c>
      <c r="AE766" s="9">
        <f t="shared" si="163"/>
        <v>4052</v>
      </c>
    </row>
    <row r="767" spans="2:31" x14ac:dyDescent="0.25">
      <c r="B767" s="6">
        <v>5698</v>
      </c>
      <c r="C767" s="6">
        <v>8552</v>
      </c>
      <c r="D767" s="6">
        <v>8414</v>
      </c>
      <c r="E767" s="6">
        <v>7340</v>
      </c>
      <c r="F767" s="6">
        <v>12312</v>
      </c>
      <c r="L767">
        <f t="shared" si="153"/>
        <v>-2854</v>
      </c>
      <c r="M767">
        <f t="shared" si="154"/>
        <v>-2716</v>
      </c>
      <c r="N767">
        <f t="shared" si="155"/>
        <v>-1642</v>
      </c>
      <c r="O767">
        <f t="shared" si="156"/>
        <v>-6614</v>
      </c>
      <c r="P767">
        <f t="shared" si="157"/>
        <v>138</v>
      </c>
      <c r="Q767">
        <f t="shared" si="158"/>
        <v>1212</v>
      </c>
      <c r="R767">
        <f t="shared" si="159"/>
        <v>-3760</v>
      </c>
      <c r="S767">
        <f t="shared" si="160"/>
        <v>1074</v>
      </c>
      <c r="T767">
        <f t="shared" si="161"/>
        <v>-3898</v>
      </c>
      <c r="U767">
        <f t="shared" si="162"/>
        <v>-4972</v>
      </c>
      <c r="V767" s="9">
        <f t="shared" si="164"/>
        <v>2854</v>
      </c>
      <c r="W767" s="9">
        <f t="shared" si="164"/>
        <v>2716</v>
      </c>
      <c r="X767" s="9">
        <f t="shared" si="164"/>
        <v>1642</v>
      </c>
      <c r="Y767" s="9">
        <f t="shared" si="164"/>
        <v>6614</v>
      </c>
      <c r="Z767" s="9">
        <f t="shared" si="164"/>
        <v>138</v>
      </c>
      <c r="AA767" s="9">
        <f t="shared" si="163"/>
        <v>1212</v>
      </c>
      <c r="AB767" s="9">
        <f t="shared" si="163"/>
        <v>3760</v>
      </c>
      <c r="AC767" s="9">
        <f t="shared" si="163"/>
        <v>1074</v>
      </c>
      <c r="AD767" s="9">
        <f t="shared" si="163"/>
        <v>3898</v>
      </c>
      <c r="AE767" s="9">
        <f t="shared" si="163"/>
        <v>4972</v>
      </c>
    </row>
    <row r="768" spans="2:31" x14ac:dyDescent="0.25">
      <c r="B768" s="6">
        <v>7005</v>
      </c>
      <c r="C768" s="6">
        <v>9859</v>
      </c>
      <c r="D768" s="6">
        <v>9721</v>
      </c>
      <c r="E768" s="6">
        <v>8647</v>
      </c>
      <c r="F768" s="6">
        <v>11641</v>
      </c>
      <c r="L768">
        <f t="shared" si="153"/>
        <v>-2854</v>
      </c>
      <c r="M768">
        <f t="shared" si="154"/>
        <v>-2716</v>
      </c>
      <c r="N768">
        <f t="shared" si="155"/>
        <v>-1642</v>
      </c>
      <c r="O768">
        <f t="shared" si="156"/>
        <v>-4636</v>
      </c>
      <c r="P768">
        <f t="shared" si="157"/>
        <v>138</v>
      </c>
      <c r="Q768">
        <f t="shared" si="158"/>
        <v>1212</v>
      </c>
      <c r="R768">
        <f t="shared" si="159"/>
        <v>-1782</v>
      </c>
      <c r="S768">
        <f t="shared" si="160"/>
        <v>1074</v>
      </c>
      <c r="T768">
        <f t="shared" si="161"/>
        <v>-1920</v>
      </c>
      <c r="U768">
        <f t="shared" si="162"/>
        <v>-2994</v>
      </c>
      <c r="V768" s="9">
        <f t="shared" si="164"/>
        <v>2854</v>
      </c>
      <c r="W768" s="9">
        <f t="shared" si="164"/>
        <v>2716</v>
      </c>
      <c r="X768" s="9">
        <f t="shared" si="164"/>
        <v>1642</v>
      </c>
      <c r="Y768" s="9">
        <f t="shared" si="164"/>
        <v>4636</v>
      </c>
      <c r="Z768" s="9">
        <f t="shared" si="164"/>
        <v>138</v>
      </c>
      <c r="AA768" s="9">
        <f t="shared" si="163"/>
        <v>1212</v>
      </c>
      <c r="AB768" s="9">
        <f t="shared" si="163"/>
        <v>1782</v>
      </c>
      <c r="AC768" s="9">
        <f t="shared" si="163"/>
        <v>1074</v>
      </c>
      <c r="AD768" s="9">
        <f t="shared" si="163"/>
        <v>1920</v>
      </c>
      <c r="AE768" s="9">
        <f t="shared" si="163"/>
        <v>2994</v>
      </c>
    </row>
    <row r="769" spans="2:31" x14ac:dyDescent="0.25">
      <c r="B769" s="6">
        <v>13547</v>
      </c>
      <c r="C769" s="6">
        <v>16401</v>
      </c>
      <c r="D769" s="6">
        <v>16263</v>
      </c>
      <c r="E769" s="6">
        <v>15189</v>
      </c>
      <c r="F769" s="6">
        <v>8174</v>
      </c>
      <c r="L769">
        <f t="shared" ref="L769:L832" si="165">B769-C769</f>
        <v>-2854</v>
      </c>
      <c r="M769">
        <f t="shared" ref="M769:M832" si="166">B769-D769</f>
        <v>-2716</v>
      </c>
      <c r="N769">
        <f t="shared" ref="N769:N832" si="167">B769-E769</f>
        <v>-1642</v>
      </c>
      <c r="O769">
        <f t="shared" ref="O769:O832" si="168">B769-F769</f>
        <v>5373</v>
      </c>
      <c r="P769">
        <f t="shared" ref="P769:P832" si="169">C769-D769</f>
        <v>138</v>
      </c>
      <c r="Q769">
        <f t="shared" ref="Q769:Q832" si="170">C769-E769</f>
        <v>1212</v>
      </c>
      <c r="R769">
        <f t="shared" ref="R769:R832" si="171">C769-F769</f>
        <v>8227</v>
      </c>
      <c r="S769">
        <f t="shared" ref="S769:S832" si="172">D769-E769</f>
        <v>1074</v>
      </c>
      <c r="T769">
        <f t="shared" ref="T769:T832" si="173">D769-F769</f>
        <v>8089</v>
      </c>
      <c r="U769">
        <f t="shared" ref="U769:U832" si="174">E769-F769</f>
        <v>7015</v>
      </c>
      <c r="V769" s="9">
        <f t="shared" si="164"/>
        <v>2854</v>
      </c>
      <c r="W769" s="9">
        <f t="shared" si="164"/>
        <v>2716</v>
      </c>
      <c r="X769" s="9">
        <f t="shared" si="164"/>
        <v>1642</v>
      </c>
      <c r="Y769" s="9">
        <f t="shared" si="164"/>
        <v>5373</v>
      </c>
      <c r="Z769" s="9">
        <f t="shared" si="164"/>
        <v>138</v>
      </c>
      <c r="AA769" s="9">
        <f t="shared" si="163"/>
        <v>1212</v>
      </c>
      <c r="AB769" s="9">
        <f t="shared" si="163"/>
        <v>8227</v>
      </c>
      <c r="AC769" s="9">
        <f t="shared" si="163"/>
        <v>1074</v>
      </c>
      <c r="AD769" s="9">
        <f t="shared" si="163"/>
        <v>8089</v>
      </c>
      <c r="AE769" s="9">
        <f t="shared" si="163"/>
        <v>7015</v>
      </c>
    </row>
    <row r="770" spans="2:31" x14ac:dyDescent="0.25">
      <c r="B770" s="6">
        <v>16725</v>
      </c>
      <c r="C770" s="6">
        <v>19579</v>
      </c>
      <c r="D770" s="6">
        <v>19441</v>
      </c>
      <c r="E770" s="6">
        <v>18367</v>
      </c>
      <c r="F770" s="6">
        <v>19076</v>
      </c>
      <c r="L770">
        <f t="shared" si="165"/>
        <v>-2854</v>
      </c>
      <c r="M770">
        <f t="shared" si="166"/>
        <v>-2716</v>
      </c>
      <c r="N770">
        <f t="shared" si="167"/>
        <v>-1642</v>
      </c>
      <c r="O770">
        <f t="shared" si="168"/>
        <v>-2351</v>
      </c>
      <c r="P770">
        <f t="shared" si="169"/>
        <v>138</v>
      </c>
      <c r="Q770">
        <f t="shared" si="170"/>
        <v>1212</v>
      </c>
      <c r="R770">
        <f t="shared" si="171"/>
        <v>503</v>
      </c>
      <c r="S770">
        <f t="shared" si="172"/>
        <v>1074</v>
      </c>
      <c r="T770">
        <f t="shared" si="173"/>
        <v>365</v>
      </c>
      <c r="U770">
        <f t="shared" si="174"/>
        <v>-709</v>
      </c>
      <c r="V770" s="9">
        <f t="shared" si="164"/>
        <v>2854</v>
      </c>
      <c r="W770" s="9">
        <f t="shared" si="164"/>
        <v>2716</v>
      </c>
      <c r="X770" s="9">
        <f t="shared" si="164"/>
        <v>1642</v>
      </c>
      <c r="Y770" s="9">
        <f t="shared" si="164"/>
        <v>2351</v>
      </c>
      <c r="Z770" s="9">
        <f t="shared" si="164"/>
        <v>138</v>
      </c>
      <c r="AA770" s="9">
        <f t="shared" si="163"/>
        <v>1212</v>
      </c>
      <c r="AB770" s="9">
        <f t="shared" si="163"/>
        <v>503</v>
      </c>
      <c r="AC770" s="9">
        <f t="shared" si="163"/>
        <v>1074</v>
      </c>
      <c r="AD770" s="9">
        <f t="shared" si="163"/>
        <v>365</v>
      </c>
      <c r="AE770" s="9">
        <f t="shared" si="163"/>
        <v>709</v>
      </c>
    </row>
    <row r="771" spans="2:31" x14ac:dyDescent="0.25">
      <c r="B771" s="6">
        <v>19786</v>
      </c>
      <c r="C771" s="6">
        <v>22640</v>
      </c>
      <c r="D771" s="6">
        <v>22502</v>
      </c>
      <c r="E771" s="6">
        <v>21428</v>
      </c>
      <c r="F771" s="6">
        <v>17682</v>
      </c>
      <c r="L771">
        <f t="shared" si="165"/>
        <v>-2854</v>
      </c>
      <c r="M771">
        <f t="shared" si="166"/>
        <v>-2716</v>
      </c>
      <c r="N771">
        <f t="shared" si="167"/>
        <v>-1642</v>
      </c>
      <c r="O771">
        <f t="shared" si="168"/>
        <v>2104</v>
      </c>
      <c r="P771">
        <f t="shared" si="169"/>
        <v>138</v>
      </c>
      <c r="Q771">
        <f t="shared" si="170"/>
        <v>1212</v>
      </c>
      <c r="R771">
        <f t="shared" si="171"/>
        <v>4958</v>
      </c>
      <c r="S771">
        <f t="shared" si="172"/>
        <v>1074</v>
      </c>
      <c r="T771">
        <f t="shared" si="173"/>
        <v>4820</v>
      </c>
      <c r="U771">
        <f t="shared" si="174"/>
        <v>3746</v>
      </c>
      <c r="V771" s="9">
        <f t="shared" si="164"/>
        <v>2854</v>
      </c>
      <c r="W771" s="9">
        <f t="shared" si="164"/>
        <v>2716</v>
      </c>
      <c r="X771" s="9">
        <f t="shared" si="164"/>
        <v>1642</v>
      </c>
      <c r="Y771" s="9">
        <f t="shared" si="164"/>
        <v>2104</v>
      </c>
      <c r="Z771" s="9">
        <f t="shared" si="164"/>
        <v>138</v>
      </c>
      <c r="AA771" s="9">
        <f t="shared" si="163"/>
        <v>1212</v>
      </c>
      <c r="AB771" s="9">
        <f t="shared" si="163"/>
        <v>4958</v>
      </c>
      <c r="AC771" s="9">
        <f t="shared" si="163"/>
        <v>1074</v>
      </c>
      <c r="AD771" s="9">
        <f t="shared" si="163"/>
        <v>4820</v>
      </c>
      <c r="AE771" s="9">
        <f t="shared" si="163"/>
        <v>3746</v>
      </c>
    </row>
    <row r="772" spans="2:31" x14ac:dyDescent="0.25">
      <c r="B772" s="6">
        <v>25642</v>
      </c>
      <c r="C772" s="6">
        <v>28496</v>
      </c>
      <c r="D772" s="6">
        <v>18345</v>
      </c>
      <c r="E772" s="6">
        <v>27284</v>
      </c>
      <c r="F772" s="6">
        <v>9495</v>
      </c>
      <c r="L772">
        <f t="shared" si="165"/>
        <v>-2854</v>
      </c>
      <c r="M772">
        <f t="shared" si="166"/>
        <v>7297</v>
      </c>
      <c r="N772">
        <f t="shared" si="167"/>
        <v>-1642</v>
      </c>
      <c r="O772">
        <f t="shared" si="168"/>
        <v>16147</v>
      </c>
      <c r="P772">
        <f t="shared" si="169"/>
        <v>10151</v>
      </c>
      <c r="Q772">
        <f t="shared" si="170"/>
        <v>1212</v>
      </c>
      <c r="R772">
        <f t="shared" si="171"/>
        <v>19001</v>
      </c>
      <c r="S772">
        <f t="shared" si="172"/>
        <v>-8939</v>
      </c>
      <c r="T772">
        <f t="shared" si="173"/>
        <v>8850</v>
      </c>
      <c r="U772">
        <f t="shared" si="174"/>
        <v>17789</v>
      </c>
      <c r="V772" s="9">
        <f t="shared" si="164"/>
        <v>2854</v>
      </c>
      <c r="W772" s="9">
        <f t="shared" si="164"/>
        <v>7297</v>
      </c>
      <c r="X772" s="9">
        <f t="shared" si="164"/>
        <v>1642</v>
      </c>
      <c r="Y772" s="9">
        <f t="shared" si="164"/>
        <v>16147</v>
      </c>
      <c r="Z772" s="9">
        <f t="shared" si="164"/>
        <v>10151</v>
      </c>
      <c r="AA772" s="9">
        <f t="shared" si="163"/>
        <v>1212</v>
      </c>
      <c r="AB772" s="9">
        <f t="shared" si="163"/>
        <v>19001</v>
      </c>
      <c r="AC772" s="9">
        <f t="shared" si="163"/>
        <v>8939</v>
      </c>
      <c r="AD772" s="9">
        <f t="shared" si="163"/>
        <v>8850</v>
      </c>
      <c r="AE772" s="9">
        <f t="shared" si="163"/>
        <v>17789</v>
      </c>
    </row>
    <row r="773" spans="2:31" x14ac:dyDescent="0.25">
      <c r="B773" s="6">
        <v>20745</v>
      </c>
      <c r="C773" s="6">
        <v>23599</v>
      </c>
      <c r="D773" s="6">
        <v>8974</v>
      </c>
      <c r="E773" s="6">
        <v>22387</v>
      </c>
      <c r="F773" s="6">
        <v>6471</v>
      </c>
      <c r="L773">
        <f t="shared" si="165"/>
        <v>-2854</v>
      </c>
      <c r="M773">
        <f t="shared" si="166"/>
        <v>11771</v>
      </c>
      <c r="N773">
        <f t="shared" si="167"/>
        <v>-1642</v>
      </c>
      <c r="O773">
        <f t="shared" si="168"/>
        <v>14274</v>
      </c>
      <c r="P773">
        <f t="shared" si="169"/>
        <v>14625</v>
      </c>
      <c r="Q773">
        <f t="shared" si="170"/>
        <v>1212</v>
      </c>
      <c r="R773">
        <f t="shared" si="171"/>
        <v>17128</v>
      </c>
      <c r="S773">
        <f t="shared" si="172"/>
        <v>-13413</v>
      </c>
      <c r="T773">
        <f t="shared" si="173"/>
        <v>2503</v>
      </c>
      <c r="U773">
        <f t="shared" si="174"/>
        <v>15916</v>
      </c>
      <c r="V773" s="9">
        <f t="shared" si="164"/>
        <v>2854</v>
      </c>
      <c r="W773" s="9">
        <f t="shared" si="164"/>
        <v>11771</v>
      </c>
      <c r="X773" s="9">
        <f t="shared" si="164"/>
        <v>1642</v>
      </c>
      <c r="Y773" s="9">
        <f t="shared" si="164"/>
        <v>14274</v>
      </c>
      <c r="Z773" s="9">
        <f t="shared" si="164"/>
        <v>14625</v>
      </c>
      <c r="AA773" s="9">
        <f t="shared" si="163"/>
        <v>1212</v>
      </c>
      <c r="AB773" s="9">
        <f t="shared" si="163"/>
        <v>17128</v>
      </c>
      <c r="AC773" s="9">
        <f t="shared" si="163"/>
        <v>13413</v>
      </c>
      <c r="AD773" s="9">
        <f t="shared" si="163"/>
        <v>2503</v>
      </c>
      <c r="AE773" s="9">
        <f t="shared" si="163"/>
        <v>15916</v>
      </c>
    </row>
    <row r="774" spans="2:31" x14ac:dyDescent="0.25">
      <c r="B774" s="6">
        <v>16478</v>
      </c>
      <c r="C774" s="6">
        <v>19332</v>
      </c>
      <c r="D774" s="6">
        <v>6857</v>
      </c>
      <c r="E774" s="6">
        <v>4565</v>
      </c>
      <c r="F774" s="6">
        <v>7356</v>
      </c>
      <c r="L774">
        <f t="shared" si="165"/>
        <v>-2854</v>
      </c>
      <c r="M774">
        <f t="shared" si="166"/>
        <v>9621</v>
      </c>
      <c r="N774">
        <f t="shared" si="167"/>
        <v>11913</v>
      </c>
      <c r="O774">
        <f t="shared" si="168"/>
        <v>9122</v>
      </c>
      <c r="P774">
        <f t="shared" si="169"/>
        <v>12475</v>
      </c>
      <c r="Q774">
        <f t="shared" si="170"/>
        <v>14767</v>
      </c>
      <c r="R774">
        <f t="shared" si="171"/>
        <v>11976</v>
      </c>
      <c r="S774">
        <f t="shared" si="172"/>
        <v>2292</v>
      </c>
      <c r="T774">
        <f t="shared" si="173"/>
        <v>-499</v>
      </c>
      <c r="U774">
        <f t="shared" si="174"/>
        <v>-2791</v>
      </c>
      <c r="V774" s="9">
        <f t="shared" si="164"/>
        <v>2854</v>
      </c>
      <c r="W774" s="9">
        <f t="shared" si="164"/>
        <v>9621</v>
      </c>
      <c r="X774" s="9">
        <f t="shared" si="164"/>
        <v>11913</v>
      </c>
      <c r="Y774" s="9">
        <f t="shared" si="164"/>
        <v>9122</v>
      </c>
      <c r="Z774" s="9">
        <f t="shared" si="164"/>
        <v>12475</v>
      </c>
      <c r="AA774" s="9">
        <f t="shared" si="163"/>
        <v>14767</v>
      </c>
      <c r="AB774" s="9">
        <f t="shared" si="163"/>
        <v>11976</v>
      </c>
      <c r="AC774" s="9">
        <f t="shared" si="163"/>
        <v>2292</v>
      </c>
      <c r="AD774" s="9">
        <f t="shared" si="163"/>
        <v>499</v>
      </c>
      <c r="AE774" s="9">
        <f t="shared" si="163"/>
        <v>2791</v>
      </c>
    </row>
    <row r="775" spans="2:31" x14ac:dyDescent="0.25">
      <c r="B775" s="6">
        <v>19672</v>
      </c>
      <c r="C775" s="6">
        <v>22526</v>
      </c>
      <c r="D775" s="6">
        <v>9547</v>
      </c>
      <c r="E775" s="6">
        <v>10245</v>
      </c>
      <c r="F775" s="6">
        <v>17070</v>
      </c>
      <c r="L775">
        <f t="shared" si="165"/>
        <v>-2854</v>
      </c>
      <c r="M775">
        <f t="shared" si="166"/>
        <v>10125</v>
      </c>
      <c r="N775">
        <f t="shared" si="167"/>
        <v>9427</v>
      </c>
      <c r="O775">
        <f t="shared" si="168"/>
        <v>2602</v>
      </c>
      <c r="P775">
        <f t="shared" si="169"/>
        <v>12979</v>
      </c>
      <c r="Q775">
        <f t="shared" si="170"/>
        <v>12281</v>
      </c>
      <c r="R775">
        <f t="shared" si="171"/>
        <v>5456</v>
      </c>
      <c r="S775">
        <f t="shared" si="172"/>
        <v>-698</v>
      </c>
      <c r="T775">
        <f t="shared" si="173"/>
        <v>-7523</v>
      </c>
      <c r="U775">
        <f t="shared" si="174"/>
        <v>-6825</v>
      </c>
      <c r="V775" s="9">
        <f t="shared" si="164"/>
        <v>2854</v>
      </c>
      <c r="W775" s="9">
        <f t="shared" si="164"/>
        <v>10125</v>
      </c>
      <c r="X775" s="9">
        <f t="shared" si="164"/>
        <v>9427</v>
      </c>
      <c r="Y775" s="9">
        <f t="shared" si="164"/>
        <v>2602</v>
      </c>
      <c r="Z775" s="9">
        <f t="shared" si="164"/>
        <v>12979</v>
      </c>
      <c r="AA775" s="9">
        <f t="shared" si="163"/>
        <v>12281</v>
      </c>
      <c r="AB775" s="9">
        <f t="shared" si="163"/>
        <v>5456</v>
      </c>
      <c r="AC775" s="9">
        <f t="shared" si="163"/>
        <v>698</v>
      </c>
      <c r="AD775" s="9">
        <f t="shared" si="163"/>
        <v>7523</v>
      </c>
      <c r="AE775" s="9">
        <f t="shared" si="163"/>
        <v>6825</v>
      </c>
    </row>
    <row r="776" spans="2:31" x14ac:dyDescent="0.25">
      <c r="B776" s="6">
        <v>15679</v>
      </c>
      <c r="C776" s="6">
        <v>18533</v>
      </c>
      <c r="D776" s="6">
        <v>10396</v>
      </c>
      <c r="E776" s="6">
        <v>12411</v>
      </c>
      <c r="F776" s="6">
        <v>17384</v>
      </c>
      <c r="L776">
        <f t="shared" si="165"/>
        <v>-2854</v>
      </c>
      <c r="M776">
        <f t="shared" si="166"/>
        <v>5283</v>
      </c>
      <c r="N776">
        <f t="shared" si="167"/>
        <v>3268</v>
      </c>
      <c r="O776">
        <f t="shared" si="168"/>
        <v>-1705</v>
      </c>
      <c r="P776">
        <f t="shared" si="169"/>
        <v>8137</v>
      </c>
      <c r="Q776">
        <f t="shared" si="170"/>
        <v>6122</v>
      </c>
      <c r="R776">
        <f t="shared" si="171"/>
        <v>1149</v>
      </c>
      <c r="S776">
        <f t="shared" si="172"/>
        <v>-2015</v>
      </c>
      <c r="T776">
        <f t="shared" si="173"/>
        <v>-6988</v>
      </c>
      <c r="U776">
        <f t="shared" si="174"/>
        <v>-4973</v>
      </c>
      <c r="V776" s="9">
        <f t="shared" si="164"/>
        <v>2854</v>
      </c>
      <c r="W776" s="9">
        <f t="shared" si="164"/>
        <v>5283</v>
      </c>
      <c r="X776" s="9">
        <f t="shared" si="164"/>
        <v>3268</v>
      </c>
      <c r="Y776" s="9">
        <f t="shared" si="164"/>
        <v>1705</v>
      </c>
      <c r="Z776" s="9">
        <f t="shared" si="164"/>
        <v>8137</v>
      </c>
      <c r="AA776" s="9">
        <f t="shared" si="163"/>
        <v>6122</v>
      </c>
      <c r="AB776" s="9">
        <f t="shared" si="163"/>
        <v>1149</v>
      </c>
      <c r="AC776" s="9">
        <f t="shared" si="163"/>
        <v>2015</v>
      </c>
      <c r="AD776" s="9">
        <f t="shared" si="163"/>
        <v>6988</v>
      </c>
      <c r="AE776" s="9">
        <f t="shared" si="163"/>
        <v>4973</v>
      </c>
    </row>
    <row r="777" spans="2:31" x14ac:dyDescent="0.25">
      <c r="B777" s="6">
        <v>13347</v>
      </c>
      <c r="C777" s="6">
        <v>16201</v>
      </c>
      <c r="D777" s="6">
        <v>9606</v>
      </c>
      <c r="E777" s="6">
        <v>14989</v>
      </c>
      <c r="F777" s="6">
        <v>13395</v>
      </c>
      <c r="L777">
        <f t="shared" si="165"/>
        <v>-2854</v>
      </c>
      <c r="M777">
        <f t="shared" si="166"/>
        <v>3741</v>
      </c>
      <c r="N777">
        <f t="shared" si="167"/>
        <v>-1642</v>
      </c>
      <c r="O777">
        <f t="shared" si="168"/>
        <v>-48</v>
      </c>
      <c r="P777">
        <f t="shared" si="169"/>
        <v>6595</v>
      </c>
      <c r="Q777">
        <f t="shared" si="170"/>
        <v>1212</v>
      </c>
      <c r="R777">
        <f t="shared" si="171"/>
        <v>2806</v>
      </c>
      <c r="S777">
        <f t="shared" si="172"/>
        <v>-5383</v>
      </c>
      <c r="T777">
        <f t="shared" si="173"/>
        <v>-3789</v>
      </c>
      <c r="U777">
        <f t="shared" si="174"/>
        <v>1594</v>
      </c>
      <c r="V777" s="9">
        <f t="shared" si="164"/>
        <v>2854</v>
      </c>
      <c r="W777" s="9">
        <f t="shared" si="164"/>
        <v>3741</v>
      </c>
      <c r="X777" s="9">
        <f t="shared" si="164"/>
        <v>1642</v>
      </c>
      <c r="Y777" s="9">
        <f t="shared" si="164"/>
        <v>48</v>
      </c>
      <c r="Z777" s="9">
        <f t="shared" si="164"/>
        <v>6595</v>
      </c>
      <c r="AA777" s="9">
        <f t="shared" si="163"/>
        <v>1212</v>
      </c>
      <c r="AB777" s="9">
        <f t="shared" si="163"/>
        <v>2806</v>
      </c>
      <c r="AC777" s="9">
        <f t="shared" si="163"/>
        <v>5383</v>
      </c>
      <c r="AD777" s="9">
        <f t="shared" si="163"/>
        <v>3789</v>
      </c>
      <c r="AE777" s="9">
        <f t="shared" si="163"/>
        <v>1594</v>
      </c>
    </row>
    <row r="778" spans="2:31" x14ac:dyDescent="0.25">
      <c r="B778" s="6">
        <v>26425</v>
      </c>
      <c r="C778" s="6">
        <v>29279</v>
      </c>
      <c r="D778" s="6">
        <v>12141</v>
      </c>
      <c r="E778" s="6">
        <v>13542</v>
      </c>
      <c r="F778" s="6">
        <v>18566</v>
      </c>
      <c r="L778">
        <f t="shared" si="165"/>
        <v>-2854</v>
      </c>
      <c r="M778">
        <f t="shared" si="166"/>
        <v>14284</v>
      </c>
      <c r="N778">
        <f t="shared" si="167"/>
        <v>12883</v>
      </c>
      <c r="O778">
        <f t="shared" si="168"/>
        <v>7859</v>
      </c>
      <c r="P778">
        <f t="shared" si="169"/>
        <v>17138</v>
      </c>
      <c r="Q778">
        <f t="shared" si="170"/>
        <v>15737</v>
      </c>
      <c r="R778">
        <f t="shared" si="171"/>
        <v>10713</v>
      </c>
      <c r="S778">
        <f t="shared" si="172"/>
        <v>-1401</v>
      </c>
      <c r="T778">
        <f t="shared" si="173"/>
        <v>-6425</v>
      </c>
      <c r="U778">
        <f t="shared" si="174"/>
        <v>-5024</v>
      </c>
      <c r="V778" s="9">
        <f t="shared" si="164"/>
        <v>2854</v>
      </c>
      <c r="W778" s="9">
        <f t="shared" si="164"/>
        <v>14284</v>
      </c>
      <c r="X778" s="9">
        <f t="shared" si="164"/>
        <v>12883</v>
      </c>
      <c r="Y778" s="9">
        <f t="shared" si="164"/>
        <v>7859</v>
      </c>
      <c r="Z778" s="9">
        <f t="shared" si="164"/>
        <v>17138</v>
      </c>
      <c r="AA778" s="9">
        <f t="shared" si="163"/>
        <v>15737</v>
      </c>
      <c r="AB778" s="9">
        <f t="shared" si="163"/>
        <v>10713</v>
      </c>
      <c r="AC778" s="9">
        <f t="shared" si="163"/>
        <v>1401</v>
      </c>
      <c r="AD778" s="9">
        <f t="shared" si="163"/>
        <v>6425</v>
      </c>
      <c r="AE778" s="9">
        <f t="shared" si="163"/>
        <v>5024</v>
      </c>
    </row>
    <row r="779" spans="2:31" x14ac:dyDescent="0.25">
      <c r="B779" s="6">
        <v>15467</v>
      </c>
      <c r="C779" s="6">
        <v>18321</v>
      </c>
      <c r="D779" s="6">
        <v>10183</v>
      </c>
      <c r="E779" s="6">
        <v>17109</v>
      </c>
      <c r="F779" s="6">
        <v>11250</v>
      </c>
      <c r="L779">
        <f t="shared" si="165"/>
        <v>-2854</v>
      </c>
      <c r="M779">
        <f t="shared" si="166"/>
        <v>5284</v>
      </c>
      <c r="N779">
        <f t="shared" si="167"/>
        <v>-1642</v>
      </c>
      <c r="O779">
        <f t="shared" si="168"/>
        <v>4217</v>
      </c>
      <c r="P779">
        <f t="shared" si="169"/>
        <v>8138</v>
      </c>
      <c r="Q779">
        <f t="shared" si="170"/>
        <v>1212</v>
      </c>
      <c r="R779">
        <f t="shared" si="171"/>
        <v>7071</v>
      </c>
      <c r="S779">
        <f t="shared" si="172"/>
        <v>-6926</v>
      </c>
      <c r="T779">
        <f t="shared" si="173"/>
        <v>-1067</v>
      </c>
      <c r="U779">
        <f t="shared" si="174"/>
        <v>5859</v>
      </c>
      <c r="V779" s="9">
        <f t="shared" si="164"/>
        <v>2854</v>
      </c>
      <c r="W779" s="9">
        <f t="shared" si="164"/>
        <v>5284</v>
      </c>
      <c r="X779" s="9">
        <f t="shared" si="164"/>
        <v>1642</v>
      </c>
      <c r="Y779" s="9">
        <f t="shared" si="164"/>
        <v>4217</v>
      </c>
      <c r="Z779" s="9">
        <f t="shared" si="164"/>
        <v>8138</v>
      </c>
      <c r="AA779" s="9">
        <f t="shared" si="163"/>
        <v>1212</v>
      </c>
      <c r="AB779" s="9">
        <f t="shared" si="163"/>
        <v>7071</v>
      </c>
      <c r="AC779" s="9">
        <f t="shared" si="163"/>
        <v>6926</v>
      </c>
      <c r="AD779" s="9">
        <f t="shared" si="163"/>
        <v>1067</v>
      </c>
      <c r="AE779" s="9">
        <f t="shared" si="163"/>
        <v>5859</v>
      </c>
    </row>
    <row r="780" spans="2:31" x14ac:dyDescent="0.25">
      <c r="B780" s="6">
        <v>12636</v>
      </c>
      <c r="C780" s="6">
        <v>15490</v>
      </c>
      <c r="D780" s="6">
        <v>8352</v>
      </c>
      <c r="E780" s="6">
        <v>9245</v>
      </c>
      <c r="F780" s="6">
        <v>15173</v>
      </c>
      <c r="L780">
        <f t="shared" si="165"/>
        <v>-2854</v>
      </c>
      <c r="M780">
        <f t="shared" si="166"/>
        <v>4284</v>
      </c>
      <c r="N780">
        <f t="shared" si="167"/>
        <v>3391</v>
      </c>
      <c r="O780">
        <f t="shared" si="168"/>
        <v>-2537</v>
      </c>
      <c r="P780">
        <f t="shared" si="169"/>
        <v>7138</v>
      </c>
      <c r="Q780">
        <f t="shared" si="170"/>
        <v>6245</v>
      </c>
      <c r="R780">
        <f t="shared" si="171"/>
        <v>317</v>
      </c>
      <c r="S780">
        <f t="shared" si="172"/>
        <v>-893</v>
      </c>
      <c r="T780">
        <f t="shared" si="173"/>
        <v>-6821</v>
      </c>
      <c r="U780">
        <f t="shared" si="174"/>
        <v>-5928</v>
      </c>
      <c r="V780" s="9">
        <f t="shared" si="164"/>
        <v>2854</v>
      </c>
      <c r="W780" s="9">
        <f t="shared" si="164"/>
        <v>4284</v>
      </c>
      <c r="X780" s="9">
        <f t="shared" si="164"/>
        <v>3391</v>
      </c>
      <c r="Y780" s="9">
        <f t="shared" si="164"/>
        <v>2537</v>
      </c>
      <c r="Z780" s="9">
        <f t="shared" si="164"/>
        <v>7138</v>
      </c>
      <c r="AA780" s="9">
        <f t="shared" ref="AA780:AE830" si="175">IF(Q780&gt;=0,Q780,-Q780)</f>
        <v>6245</v>
      </c>
      <c r="AB780" s="9">
        <f t="shared" si="175"/>
        <v>317</v>
      </c>
      <c r="AC780" s="9">
        <f t="shared" si="175"/>
        <v>893</v>
      </c>
      <c r="AD780" s="9">
        <f t="shared" si="175"/>
        <v>6821</v>
      </c>
      <c r="AE780" s="9">
        <f t="shared" si="175"/>
        <v>5928</v>
      </c>
    </row>
    <row r="781" spans="2:31" x14ac:dyDescent="0.25">
      <c r="B781" s="7">
        <v>10280</v>
      </c>
      <c r="C781" s="7">
        <v>12500</v>
      </c>
      <c r="D781" s="6">
        <v>7423</v>
      </c>
      <c r="E781" s="7">
        <v>8085</v>
      </c>
      <c r="F781" s="7">
        <v>10770</v>
      </c>
      <c r="L781">
        <f t="shared" si="165"/>
        <v>-2220</v>
      </c>
      <c r="M781">
        <f t="shared" si="166"/>
        <v>2857</v>
      </c>
      <c r="N781">
        <f t="shared" si="167"/>
        <v>2195</v>
      </c>
      <c r="O781">
        <f t="shared" si="168"/>
        <v>-490</v>
      </c>
      <c r="P781">
        <f t="shared" si="169"/>
        <v>5077</v>
      </c>
      <c r="Q781">
        <f t="shared" si="170"/>
        <v>4415</v>
      </c>
      <c r="R781">
        <f t="shared" si="171"/>
        <v>1730</v>
      </c>
      <c r="S781">
        <f t="shared" si="172"/>
        <v>-662</v>
      </c>
      <c r="T781">
        <f t="shared" si="173"/>
        <v>-3347</v>
      </c>
      <c r="U781">
        <f t="shared" si="174"/>
        <v>-2685</v>
      </c>
      <c r="V781" s="9">
        <f t="shared" ref="V781:Z831" si="176">IF(L781&gt;=0,L781,-L781)</f>
        <v>2220</v>
      </c>
      <c r="W781" s="9">
        <f t="shared" si="176"/>
        <v>2857</v>
      </c>
      <c r="X781" s="9">
        <f t="shared" si="176"/>
        <v>2195</v>
      </c>
      <c r="Y781" s="9">
        <f t="shared" si="176"/>
        <v>490</v>
      </c>
      <c r="Z781" s="9">
        <f t="shared" si="176"/>
        <v>5077</v>
      </c>
      <c r="AA781" s="9">
        <f t="shared" si="175"/>
        <v>4415</v>
      </c>
      <c r="AB781" s="9">
        <f t="shared" si="175"/>
        <v>1730</v>
      </c>
      <c r="AC781" s="9">
        <f t="shared" si="175"/>
        <v>662</v>
      </c>
      <c r="AD781" s="9">
        <f t="shared" si="175"/>
        <v>3347</v>
      </c>
      <c r="AE781" s="9">
        <f t="shared" si="175"/>
        <v>2685</v>
      </c>
    </row>
    <row r="782" spans="2:31" x14ac:dyDescent="0.25">
      <c r="B782" s="6">
        <v>12355</v>
      </c>
      <c r="C782" s="6">
        <f>B782+1554</f>
        <v>13909</v>
      </c>
      <c r="D782" s="6">
        <v>7261</v>
      </c>
      <c r="E782" s="6">
        <f>D782-624</f>
        <v>6637</v>
      </c>
      <c r="F782" s="6">
        <v>5334</v>
      </c>
      <c r="L782">
        <f t="shared" si="165"/>
        <v>-1554</v>
      </c>
      <c r="M782">
        <f t="shared" si="166"/>
        <v>5094</v>
      </c>
      <c r="N782">
        <f t="shared" si="167"/>
        <v>5718</v>
      </c>
      <c r="O782">
        <f t="shared" si="168"/>
        <v>7021</v>
      </c>
      <c r="P782">
        <f t="shared" si="169"/>
        <v>6648</v>
      </c>
      <c r="Q782">
        <f t="shared" si="170"/>
        <v>7272</v>
      </c>
      <c r="R782">
        <f t="shared" si="171"/>
        <v>8575</v>
      </c>
      <c r="S782">
        <f t="shared" si="172"/>
        <v>624</v>
      </c>
      <c r="T782">
        <f t="shared" si="173"/>
        <v>1927</v>
      </c>
      <c r="U782">
        <f t="shared" si="174"/>
        <v>1303</v>
      </c>
      <c r="V782" s="9">
        <f t="shared" si="176"/>
        <v>1554</v>
      </c>
      <c r="W782" s="9">
        <f t="shared" si="176"/>
        <v>5094</v>
      </c>
      <c r="X782" s="9">
        <f t="shared" si="176"/>
        <v>5718</v>
      </c>
      <c r="Y782" s="9">
        <f t="shared" si="176"/>
        <v>7021</v>
      </c>
      <c r="Z782" s="9">
        <f t="shared" si="176"/>
        <v>6648</v>
      </c>
      <c r="AA782" s="9">
        <f t="shared" si="175"/>
        <v>7272</v>
      </c>
      <c r="AB782" s="9">
        <f t="shared" si="175"/>
        <v>8575</v>
      </c>
      <c r="AC782" s="9">
        <f t="shared" si="175"/>
        <v>624</v>
      </c>
      <c r="AD782" s="9">
        <f t="shared" si="175"/>
        <v>1927</v>
      </c>
      <c r="AE782" s="9">
        <f t="shared" si="175"/>
        <v>1303</v>
      </c>
    </row>
    <row r="783" spans="2:31" x14ac:dyDescent="0.25">
      <c r="B783" s="6">
        <v>15548</v>
      </c>
      <c r="C783" s="6">
        <f t="shared" ref="C783:C840" si="177">B783+1554</f>
        <v>17102</v>
      </c>
      <c r="D783" s="6">
        <v>10454</v>
      </c>
      <c r="E783" s="6">
        <f t="shared" ref="E783:E827" si="178">D783-624</f>
        <v>9830</v>
      </c>
      <c r="F783" s="6">
        <v>7937</v>
      </c>
      <c r="L783">
        <f t="shared" si="165"/>
        <v>-1554</v>
      </c>
      <c r="M783">
        <f t="shared" si="166"/>
        <v>5094</v>
      </c>
      <c r="N783">
        <f t="shared" si="167"/>
        <v>5718</v>
      </c>
      <c r="O783">
        <f t="shared" si="168"/>
        <v>7611</v>
      </c>
      <c r="P783">
        <f t="shared" si="169"/>
        <v>6648</v>
      </c>
      <c r="Q783">
        <f t="shared" si="170"/>
        <v>7272</v>
      </c>
      <c r="R783">
        <f t="shared" si="171"/>
        <v>9165</v>
      </c>
      <c r="S783">
        <f t="shared" si="172"/>
        <v>624</v>
      </c>
      <c r="T783">
        <f t="shared" si="173"/>
        <v>2517</v>
      </c>
      <c r="U783">
        <f t="shared" si="174"/>
        <v>1893</v>
      </c>
      <c r="V783" s="9">
        <f t="shared" si="176"/>
        <v>1554</v>
      </c>
      <c r="W783" s="9">
        <f t="shared" si="176"/>
        <v>5094</v>
      </c>
      <c r="X783" s="9">
        <f t="shared" si="176"/>
        <v>5718</v>
      </c>
      <c r="Y783" s="9">
        <f t="shared" si="176"/>
        <v>7611</v>
      </c>
      <c r="Z783" s="9">
        <f t="shared" si="176"/>
        <v>6648</v>
      </c>
      <c r="AA783" s="9">
        <f t="shared" si="175"/>
        <v>7272</v>
      </c>
      <c r="AB783" s="9">
        <f t="shared" si="175"/>
        <v>9165</v>
      </c>
      <c r="AC783" s="9">
        <f t="shared" si="175"/>
        <v>624</v>
      </c>
      <c r="AD783" s="9">
        <f t="shared" si="175"/>
        <v>2517</v>
      </c>
      <c r="AE783" s="9">
        <f t="shared" si="175"/>
        <v>1893</v>
      </c>
    </row>
    <row r="784" spans="2:31" x14ac:dyDescent="0.25">
      <c r="B784" s="6">
        <v>13545</v>
      </c>
      <c r="C784" s="6">
        <f t="shared" si="177"/>
        <v>15099</v>
      </c>
      <c r="D784" s="6">
        <v>8451</v>
      </c>
      <c r="E784" s="6">
        <f t="shared" si="178"/>
        <v>7827</v>
      </c>
      <c r="F784" s="6">
        <v>9458</v>
      </c>
      <c r="L784">
        <f t="shared" si="165"/>
        <v>-1554</v>
      </c>
      <c r="M784">
        <f t="shared" si="166"/>
        <v>5094</v>
      </c>
      <c r="N784">
        <f t="shared" si="167"/>
        <v>5718</v>
      </c>
      <c r="O784">
        <f t="shared" si="168"/>
        <v>4087</v>
      </c>
      <c r="P784">
        <f t="shared" si="169"/>
        <v>6648</v>
      </c>
      <c r="Q784">
        <f t="shared" si="170"/>
        <v>7272</v>
      </c>
      <c r="R784">
        <f t="shared" si="171"/>
        <v>5641</v>
      </c>
      <c r="S784">
        <f t="shared" si="172"/>
        <v>624</v>
      </c>
      <c r="T784">
        <f t="shared" si="173"/>
        <v>-1007</v>
      </c>
      <c r="U784">
        <f t="shared" si="174"/>
        <v>-1631</v>
      </c>
      <c r="V784" s="9">
        <f t="shared" si="176"/>
        <v>1554</v>
      </c>
      <c r="W784" s="9">
        <f t="shared" si="176"/>
        <v>5094</v>
      </c>
      <c r="X784" s="9">
        <f t="shared" si="176"/>
        <v>5718</v>
      </c>
      <c r="Y784" s="9">
        <f t="shared" si="176"/>
        <v>4087</v>
      </c>
      <c r="Z784" s="9">
        <f t="shared" si="176"/>
        <v>6648</v>
      </c>
      <c r="AA784" s="9">
        <f t="shared" si="175"/>
        <v>7272</v>
      </c>
      <c r="AB784" s="9">
        <f t="shared" si="175"/>
        <v>5641</v>
      </c>
      <c r="AC784" s="9">
        <f t="shared" si="175"/>
        <v>624</v>
      </c>
      <c r="AD784" s="9">
        <f t="shared" si="175"/>
        <v>1007</v>
      </c>
      <c r="AE784" s="9">
        <f t="shared" si="175"/>
        <v>1631</v>
      </c>
    </row>
    <row r="785" spans="2:31" x14ac:dyDescent="0.25">
      <c r="B785" s="6">
        <v>15324</v>
      </c>
      <c r="C785" s="6">
        <f t="shared" si="177"/>
        <v>16878</v>
      </c>
      <c r="D785" s="6">
        <v>10230</v>
      </c>
      <c r="E785" s="6">
        <f t="shared" si="178"/>
        <v>9606</v>
      </c>
      <c r="F785" s="6">
        <v>10872</v>
      </c>
      <c r="L785">
        <f t="shared" si="165"/>
        <v>-1554</v>
      </c>
      <c r="M785">
        <f t="shared" si="166"/>
        <v>5094</v>
      </c>
      <c r="N785">
        <f t="shared" si="167"/>
        <v>5718</v>
      </c>
      <c r="O785">
        <f t="shared" si="168"/>
        <v>4452</v>
      </c>
      <c r="P785">
        <f t="shared" si="169"/>
        <v>6648</v>
      </c>
      <c r="Q785">
        <f t="shared" si="170"/>
        <v>7272</v>
      </c>
      <c r="R785">
        <f t="shared" si="171"/>
        <v>6006</v>
      </c>
      <c r="S785">
        <f t="shared" si="172"/>
        <v>624</v>
      </c>
      <c r="T785">
        <f t="shared" si="173"/>
        <v>-642</v>
      </c>
      <c r="U785">
        <f t="shared" si="174"/>
        <v>-1266</v>
      </c>
      <c r="V785" s="9">
        <f t="shared" si="176"/>
        <v>1554</v>
      </c>
      <c r="W785" s="9">
        <f t="shared" si="176"/>
        <v>5094</v>
      </c>
      <c r="X785" s="9">
        <f t="shared" si="176"/>
        <v>5718</v>
      </c>
      <c r="Y785" s="9">
        <f t="shared" si="176"/>
        <v>4452</v>
      </c>
      <c r="Z785" s="9">
        <f t="shared" si="176"/>
        <v>6648</v>
      </c>
      <c r="AA785" s="9">
        <f t="shared" si="175"/>
        <v>7272</v>
      </c>
      <c r="AB785" s="9">
        <f t="shared" si="175"/>
        <v>6006</v>
      </c>
      <c r="AC785" s="9">
        <f t="shared" si="175"/>
        <v>624</v>
      </c>
      <c r="AD785" s="9">
        <f t="shared" si="175"/>
        <v>642</v>
      </c>
      <c r="AE785" s="9">
        <f t="shared" si="175"/>
        <v>1266</v>
      </c>
    </row>
    <row r="786" spans="2:31" x14ac:dyDescent="0.25">
      <c r="B786" s="6">
        <v>15545</v>
      </c>
      <c r="C786" s="6">
        <f t="shared" si="177"/>
        <v>17099</v>
      </c>
      <c r="D786" s="6">
        <v>10451</v>
      </c>
      <c r="E786" s="6">
        <f t="shared" si="178"/>
        <v>9827</v>
      </c>
      <c r="F786" s="6">
        <v>9858</v>
      </c>
      <c r="L786">
        <f t="shared" si="165"/>
        <v>-1554</v>
      </c>
      <c r="M786">
        <f t="shared" si="166"/>
        <v>5094</v>
      </c>
      <c r="N786">
        <f t="shared" si="167"/>
        <v>5718</v>
      </c>
      <c r="O786">
        <f t="shared" si="168"/>
        <v>5687</v>
      </c>
      <c r="P786">
        <f t="shared" si="169"/>
        <v>6648</v>
      </c>
      <c r="Q786">
        <f t="shared" si="170"/>
        <v>7272</v>
      </c>
      <c r="R786">
        <f t="shared" si="171"/>
        <v>7241</v>
      </c>
      <c r="S786">
        <f t="shared" si="172"/>
        <v>624</v>
      </c>
      <c r="T786">
        <f t="shared" si="173"/>
        <v>593</v>
      </c>
      <c r="U786">
        <f t="shared" si="174"/>
        <v>-31</v>
      </c>
      <c r="V786" s="9">
        <f t="shared" si="176"/>
        <v>1554</v>
      </c>
      <c r="W786" s="9">
        <f t="shared" si="176"/>
        <v>5094</v>
      </c>
      <c r="X786" s="9">
        <f t="shared" si="176"/>
        <v>5718</v>
      </c>
      <c r="Y786" s="9">
        <f t="shared" si="176"/>
        <v>5687</v>
      </c>
      <c r="Z786" s="9">
        <f t="shared" si="176"/>
        <v>6648</v>
      </c>
      <c r="AA786" s="9">
        <f t="shared" si="175"/>
        <v>7272</v>
      </c>
      <c r="AB786" s="9">
        <f t="shared" si="175"/>
        <v>7241</v>
      </c>
      <c r="AC786" s="9">
        <f t="shared" si="175"/>
        <v>624</v>
      </c>
      <c r="AD786" s="9">
        <f t="shared" si="175"/>
        <v>593</v>
      </c>
      <c r="AE786" s="9">
        <f t="shared" si="175"/>
        <v>31</v>
      </c>
    </row>
    <row r="787" spans="2:31" x14ac:dyDescent="0.25">
      <c r="B787" s="6">
        <v>19898</v>
      </c>
      <c r="C787" s="6">
        <f t="shared" si="177"/>
        <v>21452</v>
      </c>
      <c r="D787" s="6">
        <v>14804</v>
      </c>
      <c r="E787" s="6">
        <f t="shared" si="178"/>
        <v>14180</v>
      </c>
      <c r="F787" s="6">
        <v>9740</v>
      </c>
      <c r="L787">
        <f t="shared" si="165"/>
        <v>-1554</v>
      </c>
      <c r="M787">
        <f t="shared" si="166"/>
        <v>5094</v>
      </c>
      <c r="N787">
        <f t="shared" si="167"/>
        <v>5718</v>
      </c>
      <c r="O787">
        <f t="shared" si="168"/>
        <v>10158</v>
      </c>
      <c r="P787">
        <f t="shared" si="169"/>
        <v>6648</v>
      </c>
      <c r="Q787">
        <f t="shared" si="170"/>
        <v>7272</v>
      </c>
      <c r="R787">
        <f t="shared" si="171"/>
        <v>11712</v>
      </c>
      <c r="S787">
        <f t="shared" si="172"/>
        <v>624</v>
      </c>
      <c r="T787">
        <f t="shared" si="173"/>
        <v>5064</v>
      </c>
      <c r="U787">
        <f t="shared" si="174"/>
        <v>4440</v>
      </c>
      <c r="V787" s="9">
        <f t="shared" si="176"/>
        <v>1554</v>
      </c>
      <c r="W787" s="9">
        <f t="shared" si="176"/>
        <v>5094</v>
      </c>
      <c r="X787" s="9">
        <f t="shared" si="176"/>
        <v>5718</v>
      </c>
      <c r="Y787" s="9">
        <f t="shared" si="176"/>
        <v>10158</v>
      </c>
      <c r="Z787" s="9">
        <f t="shared" si="176"/>
        <v>6648</v>
      </c>
      <c r="AA787" s="9">
        <f t="shared" si="175"/>
        <v>7272</v>
      </c>
      <c r="AB787" s="9">
        <f t="shared" si="175"/>
        <v>11712</v>
      </c>
      <c r="AC787" s="9">
        <f t="shared" si="175"/>
        <v>624</v>
      </c>
      <c r="AD787" s="9">
        <f t="shared" si="175"/>
        <v>5064</v>
      </c>
      <c r="AE787" s="9">
        <f t="shared" si="175"/>
        <v>4440</v>
      </c>
    </row>
    <row r="788" spans="2:31" x14ac:dyDescent="0.25">
      <c r="B788" s="6">
        <v>26425</v>
      </c>
      <c r="C788" s="6">
        <f t="shared" si="177"/>
        <v>27979</v>
      </c>
      <c r="D788" s="6">
        <v>21331</v>
      </c>
      <c r="E788" s="6">
        <f t="shared" si="178"/>
        <v>20707</v>
      </c>
      <c r="F788" s="6">
        <v>17466</v>
      </c>
      <c r="L788">
        <f t="shared" si="165"/>
        <v>-1554</v>
      </c>
      <c r="M788">
        <f t="shared" si="166"/>
        <v>5094</v>
      </c>
      <c r="N788">
        <f t="shared" si="167"/>
        <v>5718</v>
      </c>
      <c r="O788">
        <f t="shared" si="168"/>
        <v>8959</v>
      </c>
      <c r="P788">
        <f t="shared" si="169"/>
        <v>6648</v>
      </c>
      <c r="Q788">
        <f t="shared" si="170"/>
        <v>7272</v>
      </c>
      <c r="R788">
        <f t="shared" si="171"/>
        <v>10513</v>
      </c>
      <c r="S788">
        <f t="shared" si="172"/>
        <v>624</v>
      </c>
      <c r="T788">
        <f t="shared" si="173"/>
        <v>3865</v>
      </c>
      <c r="U788">
        <f t="shared" si="174"/>
        <v>3241</v>
      </c>
      <c r="V788" s="9">
        <f t="shared" si="176"/>
        <v>1554</v>
      </c>
      <c r="W788" s="9">
        <f t="shared" si="176"/>
        <v>5094</v>
      </c>
      <c r="X788" s="9">
        <f t="shared" si="176"/>
        <v>5718</v>
      </c>
      <c r="Y788" s="9">
        <f t="shared" si="176"/>
        <v>8959</v>
      </c>
      <c r="Z788" s="9">
        <f t="shared" si="176"/>
        <v>6648</v>
      </c>
      <c r="AA788" s="9">
        <f t="shared" si="175"/>
        <v>7272</v>
      </c>
      <c r="AB788" s="9">
        <f t="shared" si="175"/>
        <v>10513</v>
      </c>
      <c r="AC788" s="9">
        <f t="shared" si="175"/>
        <v>624</v>
      </c>
      <c r="AD788" s="9">
        <f t="shared" si="175"/>
        <v>3865</v>
      </c>
      <c r="AE788" s="9">
        <f t="shared" si="175"/>
        <v>3241</v>
      </c>
    </row>
    <row r="789" spans="2:31" x14ac:dyDescent="0.25">
      <c r="B789" s="6">
        <v>22345</v>
      </c>
      <c r="C789" s="6">
        <f t="shared" si="177"/>
        <v>23899</v>
      </c>
      <c r="D789" s="6">
        <v>17251</v>
      </c>
      <c r="E789" s="6">
        <f t="shared" si="178"/>
        <v>16627</v>
      </c>
      <c r="F789" s="6">
        <v>16793</v>
      </c>
      <c r="L789">
        <f t="shared" si="165"/>
        <v>-1554</v>
      </c>
      <c r="M789">
        <f t="shared" si="166"/>
        <v>5094</v>
      </c>
      <c r="N789">
        <f t="shared" si="167"/>
        <v>5718</v>
      </c>
      <c r="O789">
        <f t="shared" si="168"/>
        <v>5552</v>
      </c>
      <c r="P789">
        <f t="shared" si="169"/>
        <v>6648</v>
      </c>
      <c r="Q789">
        <f t="shared" si="170"/>
        <v>7272</v>
      </c>
      <c r="R789">
        <f t="shared" si="171"/>
        <v>7106</v>
      </c>
      <c r="S789">
        <f t="shared" si="172"/>
        <v>624</v>
      </c>
      <c r="T789">
        <f t="shared" si="173"/>
        <v>458</v>
      </c>
      <c r="U789">
        <f t="shared" si="174"/>
        <v>-166</v>
      </c>
      <c r="V789" s="9">
        <f t="shared" si="176"/>
        <v>1554</v>
      </c>
      <c r="W789" s="9">
        <f t="shared" si="176"/>
        <v>5094</v>
      </c>
      <c r="X789" s="9">
        <f t="shared" si="176"/>
        <v>5718</v>
      </c>
      <c r="Y789" s="9">
        <f t="shared" si="176"/>
        <v>5552</v>
      </c>
      <c r="Z789" s="9">
        <f t="shared" si="176"/>
        <v>6648</v>
      </c>
      <c r="AA789" s="9">
        <f t="shared" si="175"/>
        <v>7272</v>
      </c>
      <c r="AB789" s="9">
        <f t="shared" si="175"/>
        <v>7106</v>
      </c>
      <c r="AC789" s="9">
        <f t="shared" si="175"/>
        <v>624</v>
      </c>
      <c r="AD789" s="9">
        <f t="shared" si="175"/>
        <v>458</v>
      </c>
      <c r="AE789" s="9">
        <f t="shared" si="175"/>
        <v>166</v>
      </c>
    </row>
    <row r="790" spans="2:31" x14ac:dyDescent="0.25">
      <c r="B790" s="6">
        <v>12545</v>
      </c>
      <c r="C790" s="6">
        <f t="shared" si="177"/>
        <v>14099</v>
      </c>
      <c r="D790" s="6">
        <v>7451</v>
      </c>
      <c r="E790" s="6">
        <f t="shared" si="178"/>
        <v>6827</v>
      </c>
      <c r="F790" s="6">
        <v>10315</v>
      </c>
      <c r="L790">
        <f t="shared" si="165"/>
        <v>-1554</v>
      </c>
      <c r="M790">
        <f t="shared" si="166"/>
        <v>5094</v>
      </c>
      <c r="N790">
        <f t="shared" si="167"/>
        <v>5718</v>
      </c>
      <c r="O790">
        <f t="shared" si="168"/>
        <v>2230</v>
      </c>
      <c r="P790">
        <f t="shared" si="169"/>
        <v>6648</v>
      </c>
      <c r="Q790">
        <f t="shared" si="170"/>
        <v>7272</v>
      </c>
      <c r="R790">
        <f t="shared" si="171"/>
        <v>3784</v>
      </c>
      <c r="S790">
        <f t="shared" si="172"/>
        <v>624</v>
      </c>
      <c r="T790">
        <f t="shared" si="173"/>
        <v>-2864</v>
      </c>
      <c r="U790">
        <f t="shared" si="174"/>
        <v>-3488</v>
      </c>
      <c r="V790" s="9">
        <f t="shared" si="176"/>
        <v>1554</v>
      </c>
      <c r="W790" s="9">
        <f t="shared" si="176"/>
        <v>5094</v>
      </c>
      <c r="X790" s="9">
        <f t="shared" si="176"/>
        <v>5718</v>
      </c>
      <c r="Y790" s="9">
        <f t="shared" si="176"/>
        <v>2230</v>
      </c>
      <c r="Z790" s="9">
        <f t="shared" si="176"/>
        <v>6648</v>
      </c>
      <c r="AA790" s="9">
        <f t="shared" si="175"/>
        <v>7272</v>
      </c>
      <c r="AB790" s="9">
        <f t="shared" si="175"/>
        <v>3784</v>
      </c>
      <c r="AC790" s="9">
        <f t="shared" si="175"/>
        <v>624</v>
      </c>
      <c r="AD790" s="9">
        <f t="shared" si="175"/>
        <v>2864</v>
      </c>
      <c r="AE790" s="9">
        <f t="shared" si="175"/>
        <v>3488</v>
      </c>
    </row>
    <row r="791" spans="2:31" x14ac:dyDescent="0.25">
      <c r="B791" s="6">
        <v>28632</v>
      </c>
      <c r="C791" s="6">
        <f t="shared" si="177"/>
        <v>30186</v>
      </c>
      <c r="D791" s="6">
        <v>23538</v>
      </c>
      <c r="E791" s="6">
        <f t="shared" si="178"/>
        <v>22914</v>
      </c>
      <c r="F791" s="6">
        <v>5961</v>
      </c>
      <c r="L791">
        <f t="shared" si="165"/>
        <v>-1554</v>
      </c>
      <c r="M791">
        <f t="shared" si="166"/>
        <v>5094</v>
      </c>
      <c r="N791">
        <f t="shared" si="167"/>
        <v>5718</v>
      </c>
      <c r="O791">
        <f t="shared" si="168"/>
        <v>22671</v>
      </c>
      <c r="P791">
        <f t="shared" si="169"/>
        <v>6648</v>
      </c>
      <c r="Q791">
        <f t="shared" si="170"/>
        <v>7272</v>
      </c>
      <c r="R791">
        <f t="shared" si="171"/>
        <v>24225</v>
      </c>
      <c r="S791">
        <f t="shared" si="172"/>
        <v>624</v>
      </c>
      <c r="T791">
        <f t="shared" si="173"/>
        <v>17577</v>
      </c>
      <c r="U791">
        <f t="shared" si="174"/>
        <v>16953</v>
      </c>
      <c r="V791" s="9">
        <f t="shared" si="176"/>
        <v>1554</v>
      </c>
      <c r="W791" s="9">
        <f t="shared" si="176"/>
        <v>5094</v>
      </c>
      <c r="X791" s="9">
        <f t="shared" si="176"/>
        <v>5718</v>
      </c>
      <c r="Y791" s="9">
        <f t="shared" si="176"/>
        <v>22671</v>
      </c>
      <c r="Z791" s="9">
        <f t="shared" si="176"/>
        <v>6648</v>
      </c>
      <c r="AA791" s="9">
        <f t="shared" si="175"/>
        <v>7272</v>
      </c>
      <c r="AB791" s="9">
        <f t="shared" si="175"/>
        <v>24225</v>
      </c>
      <c r="AC791" s="9">
        <f t="shared" si="175"/>
        <v>624</v>
      </c>
      <c r="AD791" s="9">
        <f t="shared" si="175"/>
        <v>17577</v>
      </c>
      <c r="AE791" s="9">
        <f t="shared" si="175"/>
        <v>16953</v>
      </c>
    </row>
    <row r="792" spans="2:31" x14ac:dyDescent="0.25">
      <c r="B792" s="6">
        <v>32462</v>
      </c>
      <c r="C792" s="6">
        <f t="shared" si="177"/>
        <v>34016</v>
      </c>
      <c r="D792" s="6">
        <v>27368</v>
      </c>
      <c r="E792" s="6">
        <f t="shared" si="178"/>
        <v>26744</v>
      </c>
      <c r="F792" s="6">
        <v>5515</v>
      </c>
      <c r="L792">
        <f t="shared" si="165"/>
        <v>-1554</v>
      </c>
      <c r="M792">
        <f t="shared" si="166"/>
        <v>5094</v>
      </c>
      <c r="N792">
        <f t="shared" si="167"/>
        <v>5718</v>
      </c>
      <c r="O792">
        <f t="shared" si="168"/>
        <v>26947</v>
      </c>
      <c r="P792">
        <f t="shared" si="169"/>
        <v>6648</v>
      </c>
      <c r="Q792">
        <f t="shared" si="170"/>
        <v>7272</v>
      </c>
      <c r="R792">
        <f t="shared" si="171"/>
        <v>28501</v>
      </c>
      <c r="S792">
        <f t="shared" si="172"/>
        <v>624</v>
      </c>
      <c r="T792">
        <f t="shared" si="173"/>
        <v>21853</v>
      </c>
      <c r="U792">
        <f t="shared" si="174"/>
        <v>21229</v>
      </c>
      <c r="V792" s="9">
        <f t="shared" si="176"/>
        <v>1554</v>
      </c>
      <c r="W792" s="9">
        <f t="shared" si="176"/>
        <v>5094</v>
      </c>
      <c r="X792" s="9">
        <f t="shared" si="176"/>
        <v>5718</v>
      </c>
      <c r="Y792" s="9">
        <f t="shared" si="176"/>
        <v>26947</v>
      </c>
      <c r="Z792" s="9">
        <f t="shared" si="176"/>
        <v>6648</v>
      </c>
      <c r="AA792" s="9">
        <f t="shared" si="175"/>
        <v>7272</v>
      </c>
      <c r="AB792" s="9">
        <f t="shared" si="175"/>
        <v>28501</v>
      </c>
      <c r="AC792" s="9">
        <f t="shared" si="175"/>
        <v>624</v>
      </c>
      <c r="AD792" s="9">
        <f t="shared" si="175"/>
        <v>21853</v>
      </c>
      <c r="AE792" s="9">
        <f t="shared" si="175"/>
        <v>21229</v>
      </c>
    </row>
    <row r="793" spans="2:31" x14ac:dyDescent="0.25">
      <c r="B793" s="6">
        <v>25647</v>
      </c>
      <c r="C793" s="6">
        <f t="shared" si="177"/>
        <v>27201</v>
      </c>
      <c r="D793" s="6">
        <v>20553</v>
      </c>
      <c r="E793" s="6">
        <f t="shared" si="178"/>
        <v>19929</v>
      </c>
      <c r="F793" s="6">
        <v>9608</v>
      </c>
      <c r="L793">
        <f t="shared" si="165"/>
        <v>-1554</v>
      </c>
      <c r="M793">
        <f t="shared" si="166"/>
        <v>5094</v>
      </c>
      <c r="N793">
        <f t="shared" si="167"/>
        <v>5718</v>
      </c>
      <c r="O793">
        <f t="shared" si="168"/>
        <v>16039</v>
      </c>
      <c r="P793">
        <f t="shared" si="169"/>
        <v>6648</v>
      </c>
      <c r="Q793">
        <f t="shared" si="170"/>
        <v>7272</v>
      </c>
      <c r="R793">
        <f t="shared" si="171"/>
        <v>17593</v>
      </c>
      <c r="S793">
        <f t="shared" si="172"/>
        <v>624</v>
      </c>
      <c r="T793">
        <f t="shared" si="173"/>
        <v>10945</v>
      </c>
      <c r="U793">
        <f t="shared" si="174"/>
        <v>10321</v>
      </c>
      <c r="V793" s="9">
        <f t="shared" si="176"/>
        <v>1554</v>
      </c>
      <c r="W793" s="9">
        <f t="shared" si="176"/>
        <v>5094</v>
      </c>
      <c r="X793" s="9">
        <f t="shared" si="176"/>
        <v>5718</v>
      </c>
      <c r="Y793" s="9">
        <f t="shared" si="176"/>
        <v>16039</v>
      </c>
      <c r="Z793" s="9">
        <f t="shared" si="176"/>
        <v>6648</v>
      </c>
      <c r="AA793" s="9">
        <f t="shared" si="175"/>
        <v>7272</v>
      </c>
      <c r="AB793" s="9">
        <f t="shared" si="175"/>
        <v>17593</v>
      </c>
      <c r="AC793" s="9">
        <f t="shared" si="175"/>
        <v>624</v>
      </c>
      <c r="AD793" s="9">
        <f t="shared" si="175"/>
        <v>10945</v>
      </c>
      <c r="AE793" s="9">
        <f t="shared" si="175"/>
        <v>10321</v>
      </c>
    </row>
    <row r="794" spans="2:31" x14ac:dyDescent="0.25">
      <c r="B794" s="6">
        <v>20340</v>
      </c>
      <c r="C794" s="6">
        <f t="shared" si="177"/>
        <v>21894</v>
      </c>
      <c r="D794" s="6">
        <v>15246</v>
      </c>
      <c r="E794" s="6">
        <f t="shared" si="178"/>
        <v>14622</v>
      </c>
      <c r="F794" s="6">
        <v>5383</v>
      </c>
      <c r="L794">
        <f t="shared" si="165"/>
        <v>-1554</v>
      </c>
      <c r="M794">
        <f t="shared" si="166"/>
        <v>5094</v>
      </c>
      <c r="N794">
        <f t="shared" si="167"/>
        <v>5718</v>
      </c>
      <c r="O794">
        <f t="shared" si="168"/>
        <v>14957</v>
      </c>
      <c r="P794">
        <f t="shared" si="169"/>
        <v>6648</v>
      </c>
      <c r="Q794">
        <f t="shared" si="170"/>
        <v>7272</v>
      </c>
      <c r="R794">
        <f t="shared" si="171"/>
        <v>16511</v>
      </c>
      <c r="S794">
        <f t="shared" si="172"/>
        <v>624</v>
      </c>
      <c r="T794">
        <f t="shared" si="173"/>
        <v>9863</v>
      </c>
      <c r="U794">
        <f t="shared" si="174"/>
        <v>9239</v>
      </c>
      <c r="V794" s="9">
        <f t="shared" si="176"/>
        <v>1554</v>
      </c>
      <c r="W794" s="9">
        <f t="shared" si="176"/>
        <v>5094</v>
      </c>
      <c r="X794" s="9">
        <f t="shared" si="176"/>
        <v>5718</v>
      </c>
      <c r="Y794" s="9">
        <f t="shared" si="176"/>
        <v>14957</v>
      </c>
      <c r="Z794" s="9">
        <f t="shared" si="176"/>
        <v>6648</v>
      </c>
      <c r="AA794" s="9">
        <f t="shared" si="175"/>
        <v>7272</v>
      </c>
      <c r="AB794" s="9">
        <f t="shared" si="175"/>
        <v>16511</v>
      </c>
      <c r="AC794" s="9">
        <f t="shared" si="175"/>
        <v>624</v>
      </c>
      <c r="AD794" s="9">
        <f t="shared" si="175"/>
        <v>9863</v>
      </c>
      <c r="AE794" s="9">
        <f t="shared" si="175"/>
        <v>9239</v>
      </c>
    </row>
    <row r="795" spans="2:31" x14ac:dyDescent="0.25">
      <c r="B795" s="6">
        <v>15645</v>
      </c>
      <c r="C795" s="6">
        <f t="shared" si="177"/>
        <v>17199</v>
      </c>
      <c r="D795" s="6">
        <v>10551</v>
      </c>
      <c r="E795" s="6">
        <f t="shared" si="178"/>
        <v>9927</v>
      </c>
      <c r="F795" s="6">
        <v>12083</v>
      </c>
      <c r="L795">
        <f t="shared" si="165"/>
        <v>-1554</v>
      </c>
      <c r="M795">
        <f t="shared" si="166"/>
        <v>5094</v>
      </c>
      <c r="N795">
        <f t="shared" si="167"/>
        <v>5718</v>
      </c>
      <c r="O795">
        <f t="shared" si="168"/>
        <v>3562</v>
      </c>
      <c r="P795">
        <f t="shared" si="169"/>
        <v>6648</v>
      </c>
      <c r="Q795">
        <f t="shared" si="170"/>
        <v>7272</v>
      </c>
      <c r="R795">
        <f t="shared" si="171"/>
        <v>5116</v>
      </c>
      <c r="S795">
        <f t="shared" si="172"/>
        <v>624</v>
      </c>
      <c r="T795">
        <f t="shared" si="173"/>
        <v>-1532</v>
      </c>
      <c r="U795">
        <f t="shared" si="174"/>
        <v>-2156</v>
      </c>
      <c r="V795" s="9">
        <f t="shared" si="176"/>
        <v>1554</v>
      </c>
      <c r="W795" s="9">
        <f t="shared" si="176"/>
        <v>5094</v>
      </c>
      <c r="X795" s="9">
        <f t="shared" si="176"/>
        <v>5718</v>
      </c>
      <c r="Y795" s="9">
        <f t="shared" si="176"/>
        <v>3562</v>
      </c>
      <c r="Z795" s="9">
        <f t="shared" si="176"/>
        <v>6648</v>
      </c>
      <c r="AA795" s="9">
        <f t="shared" si="175"/>
        <v>7272</v>
      </c>
      <c r="AB795" s="9">
        <f t="shared" si="175"/>
        <v>5116</v>
      </c>
      <c r="AC795" s="9">
        <f t="shared" si="175"/>
        <v>624</v>
      </c>
      <c r="AD795" s="9">
        <f t="shared" si="175"/>
        <v>1532</v>
      </c>
      <c r="AE795" s="9">
        <f t="shared" si="175"/>
        <v>2156</v>
      </c>
    </row>
    <row r="796" spans="2:31" x14ac:dyDescent="0.25">
      <c r="B796" s="6">
        <v>19454</v>
      </c>
      <c r="C796" s="6">
        <f t="shared" si="177"/>
        <v>21008</v>
      </c>
      <c r="D796" s="6">
        <v>14360</v>
      </c>
      <c r="E796" s="6">
        <f t="shared" si="178"/>
        <v>13736</v>
      </c>
      <c r="F796" s="6">
        <v>7580</v>
      </c>
      <c r="L796">
        <f t="shared" si="165"/>
        <v>-1554</v>
      </c>
      <c r="M796">
        <f t="shared" si="166"/>
        <v>5094</v>
      </c>
      <c r="N796">
        <f t="shared" si="167"/>
        <v>5718</v>
      </c>
      <c r="O796">
        <f t="shared" si="168"/>
        <v>11874</v>
      </c>
      <c r="P796">
        <f t="shared" si="169"/>
        <v>6648</v>
      </c>
      <c r="Q796">
        <f t="shared" si="170"/>
        <v>7272</v>
      </c>
      <c r="R796">
        <f t="shared" si="171"/>
        <v>13428</v>
      </c>
      <c r="S796">
        <f t="shared" si="172"/>
        <v>624</v>
      </c>
      <c r="T796">
        <f t="shared" si="173"/>
        <v>6780</v>
      </c>
      <c r="U796">
        <f t="shared" si="174"/>
        <v>6156</v>
      </c>
      <c r="V796" s="9">
        <f t="shared" si="176"/>
        <v>1554</v>
      </c>
      <c r="W796" s="9">
        <f t="shared" si="176"/>
        <v>5094</v>
      </c>
      <c r="X796" s="9">
        <f t="shared" si="176"/>
        <v>5718</v>
      </c>
      <c r="Y796" s="9">
        <f t="shared" si="176"/>
        <v>11874</v>
      </c>
      <c r="Z796" s="9">
        <f t="shared" si="176"/>
        <v>6648</v>
      </c>
      <c r="AA796" s="9">
        <f t="shared" si="175"/>
        <v>7272</v>
      </c>
      <c r="AB796" s="9">
        <f t="shared" si="175"/>
        <v>13428</v>
      </c>
      <c r="AC796" s="9">
        <f t="shared" si="175"/>
        <v>624</v>
      </c>
      <c r="AD796" s="9">
        <f t="shared" si="175"/>
        <v>6780</v>
      </c>
      <c r="AE796" s="9">
        <f t="shared" si="175"/>
        <v>6156</v>
      </c>
    </row>
    <row r="797" spans="2:31" x14ac:dyDescent="0.25">
      <c r="B797" s="6">
        <v>20957</v>
      </c>
      <c r="C797" s="6">
        <f t="shared" si="177"/>
        <v>22511</v>
      </c>
      <c r="D797" s="6">
        <v>15863</v>
      </c>
      <c r="E797" s="6">
        <f t="shared" si="178"/>
        <v>15239</v>
      </c>
      <c r="F797" s="6">
        <v>11131</v>
      </c>
      <c r="L797">
        <f t="shared" si="165"/>
        <v>-1554</v>
      </c>
      <c r="M797">
        <f t="shared" si="166"/>
        <v>5094</v>
      </c>
      <c r="N797">
        <f t="shared" si="167"/>
        <v>5718</v>
      </c>
      <c r="O797">
        <f t="shared" si="168"/>
        <v>9826</v>
      </c>
      <c r="P797">
        <f t="shared" si="169"/>
        <v>6648</v>
      </c>
      <c r="Q797">
        <f t="shared" si="170"/>
        <v>7272</v>
      </c>
      <c r="R797">
        <f t="shared" si="171"/>
        <v>11380</v>
      </c>
      <c r="S797">
        <f t="shared" si="172"/>
        <v>624</v>
      </c>
      <c r="T797">
        <f t="shared" si="173"/>
        <v>4732</v>
      </c>
      <c r="U797">
        <f t="shared" si="174"/>
        <v>4108</v>
      </c>
      <c r="V797" s="9">
        <f t="shared" si="176"/>
        <v>1554</v>
      </c>
      <c r="W797" s="9">
        <f t="shared" si="176"/>
        <v>5094</v>
      </c>
      <c r="X797" s="9">
        <f t="shared" si="176"/>
        <v>5718</v>
      </c>
      <c r="Y797" s="9">
        <f t="shared" si="176"/>
        <v>9826</v>
      </c>
      <c r="Z797" s="9">
        <f t="shared" si="176"/>
        <v>6648</v>
      </c>
      <c r="AA797" s="9">
        <f t="shared" si="175"/>
        <v>7272</v>
      </c>
      <c r="AB797" s="9">
        <f t="shared" si="175"/>
        <v>11380</v>
      </c>
      <c r="AC797" s="9">
        <f t="shared" si="175"/>
        <v>624</v>
      </c>
      <c r="AD797" s="9">
        <f t="shared" si="175"/>
        <v>4732</v>
      </c>
      <c r="AE797" s="9">
        <f t="shared" si="175"/>
        <v>4108</v>
      </c>
    </row>
    <row r="798" spans="2:31" x14ac:dyDescent="0.25">
      <c r="B798" s="6">
        <v>25678</v>
      </c>
      <c r="C798" s="6">
        <f t="shared" si="177"/>
        <v>27232</v>
      </c>
      <c r="D798" s="6">
        <v>16254</v>
      </c>
      <c r="E798" s="6">
        <f t="shared" si="178"/>
        <v>15630</v>
      </c>
      <c r="F798" s="6">
        <v>9369</v>
      </c>
      <c r="L798">
        <f t="shared" si="165"/>
        <v>-1554</v>
      </c>
      <c r="M798">
        <f t="shared" si="166"/>
        <v>9424</v>
      </c>
      <c r="N798">
        <f t="shared" si="167"/>
        <v>10048</v>
      </c>
      <c r="O798">
        <f t="shared" si="168"/>
        <v>16309</v>
      </c>
      <c r="P798">
        <f t="shared" si="169"/>
        <v>10978</v>
      </c>
      <c r="Q798">
        <f t="shared" si="170"/>
        <v>11602</v>
      </c>
      <c r="R798">
        <f t="shared" si="171"/>
        <v>17863</v>
      </c>
      <c r="S798">
        <f t="shared" si="172"/>
        <v>624</v>
      </c>
      <c r="T798">
        <f t="shared" si="173"/>
        <v>6885</v>
      </c>
      <c r="U798">
        <f t="shared" si="174"/>
        <v>6261</v>
      </c>
      <c r="V798" s="9">
        <f t="shared" si="176"/>
        <v>1554</v>
      </c>
      <c r="W798" s="9">
        <f t="shared" si="176"/>
        <v>9424</v>
      </c>
      <c r="X798" s="9">
        <f t="shared" si="176"/>
        <v>10048</v>
      </c>
      <c r="Y798" s="9">
        <f t="shared" si="176"/>
        <v>16309</v>
      </c>
      <c r="Z798" s="9">
        <f t="shared" si="176"/>
        <v>10978</v>
      </c>
      <c r="AA798" s="9">
        <f t="shared" si="175"/>
        <v>11602</v>
      </c>
      <c r="AB798" s="9">
        <f t="shared" si="175"/>
        <v>17863</v>
      </c>
      <c r="AC798" s="9">
        <f t="shared" si="175"/>
        <v>624</v>
      </c>
      <c r="AD798" s="9">
        <f t="shared" si="175"/>
        <v>6885</v>
      </c>
      <c r="AE798" s="9">
        <f t="shared" si="175"/>
        <v>6261</v>
      </c>
    </row>
    <row r="799" spans="2:31" x14ac:dyDescent="0.25">
      <c r="B799" s="6">
        <v>33254</v>
      </c>
      <c r="C799" s="6">
        <f t="shared" si="177"/>
        <v>34808</v>
      </c>
      <c r="D799" s="6">
        <v>18452</v>
      </c>
      <c r="E799" s="6">
        <f t="shared" si="178"/>
        <v>17828</v>
      </c>
      <c r="F799" s="6">
        <v>6166</v>
      </c>
      <c r="L799">
        <f t="shared" si="165"/>
        <v>-1554</v>
      </c>
      <c r="M799">
        <f t="shared" si="166"/>
        <v>14802</v>
      </c>
      <c r="N799">
        <f t="shared" si="167"/>
        <v>15426</v>
      </c>
      <c r="O799">
        <f t="shared" si="168"/>
        <v>27088</v>
      </c>
      <c r="P799">
        <f t="shared" si="169"/>
        <v>16356</v>
      </c>
      <c r="Q799">
        <f t="shared" si="170"/>
        <v>16980</v>
      </c>
      <c r="R799">
        <f t="shared" si="171"/>
        <v>28642</v>
      </c>
      <c r="S799">
        <f t="shared" si="172"/>
        <v>624</v>
      </c>
      <c r="T799">
        <f t="shared" si="173"/>
        <v>12286</v>
      </c>
      <c r="U799">
        <f t="shared" si="174"/>
        <v>11662</v>
      </c>
      <c r="V799" s="9">
        <f t="shared" si="176"/>
        <v>1554</v>
      </c>
      <c r="W799" s="9">
        <f t="shared" si="176"/>
        <v>14802</v>
      </c>
      <c r="X799" s="9">
        <f t="shared" si="176"/>
        <v>15426</v>
      </c>
      <c r="Y799" s="9">
        <f t="shared" si="176"/>
        <v>27088</v>
      </c>
      <c r="Z799" s="9">
        <f t="shared" si="176"/>
        <v>16356</v>
      </c>
      <c r="AA799" s="9">
        <f t="shared" si="175"/>
        <v>16980</v>
      </c>
      <c r="AB799" s="9">
        <f t="shared" si="175"/>
        <v>28642</v>
      </c>
      <c r="AC799" s="9">
        <f t="shared" si="175"/>
        <v>624</v>
      </c>
      <c r="AD799" s="9">
        <f t="shared" si="175"/>
        <v>12286</v>
      </c>
      <c r="AE799" s="9">
        <f t="shared" si="175"/>
        <v>11662</v>
      </c>
    </row>
    <row r="800" spans="2:31" x14ac:dyDescent="0.25">
      <c r="B800" s="6">
        <v>28245</v>
      </c>
      <c r="C800" s="6">
        <f t="shared" si="177"/>
        <v>29799</v>
      </c>
      <c r="D800" s="6">
        <v>16852</v>
      </c>
      <c r="E800" s="6">
        <f t="shared" si="178"/>
        <v>16228</v>
      </c>
      <c r="F800" s="6">
        <v>9072</v>
      </c>
      <c r="L800">
        <f t="shared" si="165"/>
        <v>-1554</v>
      </c>
      <c r="M800">
        <f t="shared" si="166"/>
        <v>11393</v>
      </c>
      <c r="N800">
        <f t="shared" si="167"/>
        <v>12017</v>
      </c>
      <c r="O800">
        <f t="shared" si="168"/>
        <v>19173</v>
      </c>
      <c r="P800">
        <f t="shared" si="169"/>
        <v>12947</v>
      </c>
      <c r="Q800">
        <f t="shared" si="170"/>
        <v>13571</v>
      </c>
      <c r="R800">
        <f t="shared" si="171"/>
        <v>20727</v>
      </c>
      <c r="S800">
        <f t="shared" si="172"/>
        <v>624</v>
      </c>
      <c r="T800">
        <f t="shared" si="173"/>
        <v>7780</v>
      </c>
      <c r="U800">
        <f t="shared" si="174"/>
        <v>7156</v>
      </c>
      <c r="V800" s="9">
        <f t="shared" si="176"/>
        <v>1554</v>
      </c>
      <c r="W800" s="9">
        <f t="shared" si="176"/>
        <v>11393</v>
      </c>
      <c r="X800" s="9">
        <f t="shared" si="176"/>
        <v>12017</v>
      </c>
      <c r="Y800" s="9">
        <f t="shared" si="176"/>
        <v>19173</v>
      </c>
      <c r="Z800" s="9">
        <f t="shared" si="176"/>
        <v>12947</v>
      </c>
      <c r="AA800" s="9">
        <f t="shared" si="175"/>
        <v>13571</v>
      </c>
      <c r="AB800" s="9">
        <f t="shared" si="175"/>
        <v>20727</v>
      </c>
      <c r="AC800" s="9">
        <f t="shared" si="175"/>
        <v>624</v>
      </c>
      <c r="AD800" s="9">
        <f t="shared" si="175"/>
        <v>7780</v>
      </c>
      <c r="AE800" s="9">
        <f t="shared" si="175"/>
        <v>7156</v>
      </c>
    </row>
    <row r="801" spans="2:31" x14ac:dyDescent="0.25">
      <c r="B801" s="6">
        <v>23454</v>
      </c>
      <c r="C801" s="6">
        <f t="shared" si="177"/>
        <v>25008</v>
      </c>
      <c r="D801" s="6">
        <v>14245</v>
      </c>
      <c r="E801" s="6">
        <v>11587</v>
      </c>
      <c r="F801" s="6">
        <v>5075</v>
      </c>
      <c r="L801">
        <f t="shared" si="165"/>
        <v>-1554</v>
      </c>
      <c r="M801">
        <f t="shared" si="166"/>
        <v>9209</v>
      </c>
      <c r="N801">
        <f t="shared" si="167"/>
        <v>11867</v>
      </c>
      <c r="O801">
        <f t="shared" si="168"/>
        <v>18379</v>
      </c>
      <c r="P801">
        <f t="shared" si="169"/>
        <v>10763</v>
      </c>
      <c r="Q801">
        <f t="shared" si="170"/>
        <v>13421</v>
      </c>
      <c r="R801">
        <f t="shared" si="171"/>
        <v>19933</v>
      </c>
      <c r="S801">
        <f t="shared" si="172"/>
        <v>2658</v>
      </c>
      <c r="T801">
        <f t="shared" si="173"/>
        <v>9170</v>
      </c>
      <c r="U801">
        <f t="shared" si="174"/>
        <v>6512</v>
      </c>
      <c r="V801" s="9">
        <f t="shared" si="176"/>
        <v>1554</v>
      </c>
      <c r="W801" s="9">
        <f t="shared" si="176"/>
        <v>9209</v>
      </c>
      <c r="X801" s="9">
        <f t="shared" si="176"/>
        <v>11867</v>
      </c>
      <c r="Y801" s="9">
        <f t="shared" si="176"/>
        <v>18379</v>
      </c>
      <c r="Z801" s="9">
        <f t="shared" si="176"/>
        <v>10763</v>
      </c>
      <c r="AA801" s="9">
        <f t="shared" si="175"/>
        <v>13421</v>
      </c>
      <c r="AB801" s="9">
        <f t="shared" si="175"/>
        <v>19933</v>
      </c>
      <c r="AC801" s="9">
        <f t="shared" si="175"/>
        <v>2658</v>
      </c>
      <c r="AD801" s="9">
        <f t="shared" si="175"/>
        <v>9170</v>
      </c>
      <c r="AE801" s="9">
        <f t="shared" si="175"/>
        <v>6512</v>
      </c>
    </row>
    <row r="802" spans="2:31" x14ac:dyDescent="0.25">
      <c r="B802" s="6">
        <v>18952</v>
      </c>
      <c r="C802" s="6">
        <f t="shared" si="177"/>
        <v>20506</v>
      </c>
      <c r="D802" s="6">
        <v>11254</v>
      </c>
      <c r="E802" s="6">
        <v>8957</v>
      </c>
      <c r="F802" s="6">
        <v>11759</v>
      </c>
      <c r="L802">
        <f t="shared" si="165"/>
        <v>-1554</v>
      </c>
      <c r="M802">
        <f t="shared" si="166"/>
        <v>7698</v>
      </c>
      <c r="N802">
        <f t="shared" si="167"/>
        <v>9995</v>
      </c>
      <c r="O802">
        <f t="shared" si="168"/>
        <v>7193</v>
      </c>
      <c r="P802">
        <f t="shared" si="169"/>
        <v>9252</v>
      </c>
      <c r="Q802">
        <f t="shared" si="170"/>
        <v>11549</v>
      </c>
      <c r="R802">
        <f t="shared" si="171"/>
        <v>8747</v>
      </c>
      <c r="S802">
        <f t="shared" si="172"/>
        <v>2297</v>
      </c>
      <c r="T802">
        <f t="shared" si="173"/>
        <v>-505</v>
      </c>
      <c r="U802">
        <f t="shared" si="174"/>
        <v>-2802</v>
      </c>
      <c r="V802" s="9">
        <f t="shared" si="176"/>
        <v>1554</v>
      </c>
      <c r="W802" s="9">
        <f t="shared" si="176"/>
        <v>7698</v>
      </c>
      <c r="X802" s="9">
        <f t="shared" si="176"/>
        <v>9995</v>
      </c>
      <c r="Y802" s="9">
        <f t="shared" si="176"/>
        <v>7193</v>
      </c>
      <c r="Z802" s="9">
        <f t="shared" si="176"/>
        <v>9252</v>
      </c>
      <c r="AA802" s="9">
        <f t="shared" si="175"/>
        <v>11549</v>
      </c>
      <c r="AB802" s="9">
        <f t="shared" si="175"/>
        <v>8747</v>
      </c>
      <c r="AC802" s="9">
        <f t="shared" si="175"/>
        <v>2297</v>
      </c>
      <c r="AD802" s="9">
        <f t="shared" si="175"/>
        <v>505</v>
      </c>
      <c r="AE802" s="9">
        <f t="shared" si="175"/>
        <v>2802</v>
      </c>
    </row>
    <row r="803" spans="2:31" x14ac:dyDescent="0.25">
      <c r="B803" s="6">
        <v>12265</v>
      </c>
      <c r="C803" s="6">
        <f t="shared" si="177"/>
        <v>13819</v>
      </c>
      <c r="D803" s="6">
        <v>7558</v>
      </c>
      <c r="E803" s="6">
        <f t="shared" si="178"/>
        <v>6934</v>
      </c>
      <c r="F803" s="6">
        <v>10893</v>
      </c>
      <c r="L803">
        <f t="shared" si="165"/>
        <v>-1554</v>
      </c>
      <c r="M803">
        <f t="shared" si="166"/>
        <v>4707</v>
      </c>
      <c r="N803">
        <f t="shared" si="167"/>
        <v>5331</v>
      </c>
      <c r="O803">
        <f t="shared" si="168"/>
        <v>1372</v>
      </c>
      <c r="P803">
        <f t="shared" si="169"/>
        <v>6261</v>
      </c>
      <c r="Q803">
        <f t="shared" si="170"/>
        <v>6885</v>
      </c>
      <c r="R803">
        <f t="shared" si="171"/>
        <v>2926</v>
      </c>
      <c r="S803">
        <f t="shared" si="172"/>
        <v>624</v>
      </c>
      <c r="T803">
        <f t="shared" si="173"/>
        <v>-3335</v>
      </c>
      <c r="U803">
        <f t="shared" si="174"/>
        <v>-3959</v>
      </c>
      <c r="V803" s="9">
        <f t="shared" si="176"/>
        <v>1554</v>
      </c>
      <c r="W803" s="9">
        <f t="shared" si="176"/>
        <v>4707</v>
      </c>
      <c r="X803" s="9">
        <f t="shared" si="176"/>
        <v>5331</v>
      </c>
      <c r="Y803" s="9">
        <f t="shared" si="176"/>
        <v>1372</v>
      </c>
      <c r="Z803" s="9">
        <f t="shared" si="176"/>
        <v>6261</v>
      </c>
      <c r="AA803" s="9">
        <f t="shared" si="175"/>
        <v>6885</v>
      </c>
      <c r="AB803" s="9">
        <f t="shared" si="175"/>
        <v>2926</v>
      </c>
      <c r="AC803" s="9">
        <f t="shared" si="175"/>
        <v>624</v>
      </c>
      <c r="AD803" s="9">
        <f t="shared" si="175"/>
        <v>3335</v>
      </c>
      <c r="AE803" s="9">
        <f t="shared" si="175"/>
        <v>3959</v>
      </c>
    </row>
    <row r="804" spans="2:31" x14ac:dyDescent="0.25">
      <c r="B804" s="6">
        <v>22354</v>
      </c>
      <c r="C804" s="6">
        <f t="shared" si="177"/>
        <v>23908</v>
      </c>
      <c r="D804" s="6">
        <v>12545</v>
      </c>
      <c r="E804" s="6">
        <v>8579</v>
      </c>
      <c r="F804" s="6">
        <v>5820</v>
      </c>
      <c r="L804">
        <f t="shared" si="165"/>
        <v>-1554</v>
      </c>
      <c r="M804">
        <f t="shared" si="166"/>
        <v>9809</v>
      </c>
      <c r="N804">
        <f t="shared" si="167"/>
        <v>13775</v>
      </c>
      <c r="O804">
        <f t="shared" si="168"/>
        <v>16534</v>
      </c>
      <c r="P804">
        <f t="shared" si="169"/>
        <v>11363</v>
      </c>
      <c r="Q804">
        <f t="shared" si="170"/>
        <v>15329</v>
      </c>
      <c r="R804">
        <f t="shared" si="171"/>
        <v>18088</v>
      </c>
      <c r="S804">
        <f t="shared" si="172"/>
        <v>3966</v>
      </c>
      <c r="T804">
        <f t="shared" si="173"/>
        <v>6725</v>
      </c>
      <c r="U804">
        <f t="shared" si="174"/>
        <v>2759</v>
      </c>
      <c r="V804" s="9">
        <f t="shared" si="176"/>
        <v>1554</v>
      </c>
      <c r="W804" s="9">
        <f t="shared" si="176"/>
        <v>9809</v>
      </c>
      <c r="X804" s="9">
        <f t="shared" si="176"/>
        <v>13775</v>
      </c>
      <c r="Y804" s="9">
        <f t="shared" si="176"/>
        <v>16534</v>
      </c>
      <c r="Z804" s="9">
        <f t="shared" si="176"/>
        <v>11363</v>
      </c>
      <c r="AA804" s="9">
        <f t="shared" si="175"/>
        <v>15329</v>
      </c>
      <c r="AB804" s="9">
        <f t="shared" si="175"/>
        <v>18088</v>
      </c>
      <c r="AC804" s="9">
        <f t="shared" si="175"/>
        <v>3966</v>
      </c>
      <c r="AD804" s="9">
        <f t="shared" si="175"/>
        <v>6725</v>
      </c>
      <c r="AE804" s="9">
        <f t="shared" si="175"/>
        <v>2759</v>
      </c>
    </row>
    <row r="805" spans="2:31" x14ac:dyDescent="0.25">
      <c r="B805" s="6">
        <v>15645</v>
      </c>
      <c r="C805" s="6">
        <f t="shared" si="177"/>
        <v>17199</v>
      </c>
      <c r="D805" s="6">
        <v>9524</v>
      </c>
      <c r="E805" s="6">
        <v>7598</v>
      </c>
      <c r="F805" s="6">
        <v>6287</v>
      </c>
      <c r="L805">
        <f t="shared" si="165"/>
        <v>-1554</v>
      </c>
      <c r="M805">
        <f t="shared" si="166"/>
        <v>6121</v>
      </c>
      <c r="N805">
        <f t="shared" si="167"/>
        <v>8047</v>
      </c>
      <c r="O805">
        <f t="shared" si="168"/>
        <v>9358</v>
      </c>
      <c r="P805">
        <f t="shared" si="169"/>
        <v>7675</v>
      </c>
      <c r="Q805">
        <f t="shared" si="170"/>
        <v>9601</v>
      </c>
      <c r="R805">
        <f t="shared" si="171"/>
        <v>10912</v>
      </c>
      <c r="S805">
        <f t="shared" si="172"/>
        <v>1926</v>
      </c>
      <c r="T805">
        <f t="shared" si="173"/>
        <v>3237</v>
      </c>
      <c r="U805">
        <f t="shared" si="174"/>
        <v>1311</v>
      </c>
      <c r="V805" s="9">
        <f t="shared" si="176"/>
        <v>1554</v>
      </c>
      <c r="W805" s="9">
        <f t="shared" si="176"/>
        <v>6121</v>
      </c>
      <c r="X805" s="9">
        <f t="shared" si="176"/>
        <v>8047</v>
      </c>
      <c r="Y805" s="9">
        <f t="shared" si="176"/>
        <v>9358</v>
      </c>
      <c r="Z805" s="9">
        <f t="shared" si="176"/>
        <v>7675</v>
      </c>
      <c r="AA805" s="9">
        <f t="shared" si="175"/>
        <v>9601</v>
      </c>
      <c r="AB805" s="9">
        <f t="shared" si="175"/>
        <v>10912</v>
      </c>
      <c r="AC805" s="9">
        <f t="shared" si="175"/>
        <v>1926</v>
      </c>
      <c r="AD805" s="9">
        <f t="shared" si="175"/>
        <v>3237</v>
      </c>
      <c r="AE805" s="9">
        <f t="shared" si="175"/>
        <v>1311</v>
      </c>
    </row>
    <row r="806" spans="2:31" x14ac:dyDescent="0.25">
      <c r="B806" s="6">
        <v>23547</v>
      </c>
      <c r="C806" s="6">
        <f t="shared" si="177"/>
        <v>25101</v>
      </c>
      <c r="D806" s="6">
        <v>14245</v>
      </c>
      <c r="E806" s="6">
        <v>12548</v>
      </c>
      <c r="F806" s="6">
        <v>5777</v>
      </c>
      <c r="L806">
        <f t="shared" si="165"/>
        <v>-1554</v>
      </c>
      <c r="M806">
        <f t="shared" si="166"/>
        <v>9302</v>
      </c>
      <c r="N806">
        <f t="shared" si="167"/>
        <v>10999</v>
      </c>
      <c r="O806">
        <f t="shared" si="168"/>
        <v>17770</v>
      </c>
      <c r="P806">
        <f t="shared" si="169"/>
        <v>10856</v>
      </c>
      <c r="Q806">
        <f t="shared" si="170"/>
        <v>12553</v>
      </c>
      <c r="R806">
        <f t="shared" si="171"/>
        <v>19324</v>
      </c>
      <c r="S806">
        <f t="shared" si="172"/>
        <v>1697</v>
      </c>
      <c r="T806">
        <f t="shared" si="173"/>
        <v>8468</v>
      </c>
      <c r="U806">
        <f t="shared" si="174"/>
        <v>6771</v>
      </c>
      <c r="V806" s="9">
        <f t="shared" si="176"/>
        <v>1554</v>
      </c>
      <c r="W806" s="9">
        <f t="shared" si="176"/>
        <v>9302</v>
      </c>
      <c r="X806" s="9">
        <f t="shared" si="176"/>
        <v>10999</v>
      </c>
      <c r="Y806" s="9">
        <f t="shared" si="176"/>
        <v>17770</v>
      </c>
      <c r="Z806" s="9">
        <f t="shared" si="176"/>
        <v>10856</v>
      </c>
      <c r="AA806" s="9">
        <f t="shared" si="175"/>
        <v>12553</v>
      </c>
      <c r="AB806" s="9">
        <f t="shared" si="175"/>
        <v>19324</v>
      </c>
      <c r="AC806" s="9">
        <f t="shared" si="175"/>
        <v>1697</v>
      </c>
      <c r="AD806" s="9">
        <f t="shared" si="175"/>
        <v>8468</v>
      </c>
      <c r="AE806" s="9">
        <f t="shared" si="175"/>
        <v>6771</v>
      </c>
    </row>
    <row r="807" spans="2:31" x14ac:dyDescent="0.25">
      <c r="B807" s="6">
        <v>25458</v>
      </c>
      <c r="C807" s="6">
        <f t="shared" si="177"/>
        <v>27012</v>
      </c>
      <c r="D807" s="6">
        <v>16542</v>
      </c>
      <c r="E807" s="6">
        <v>12689</v>
      </c>
      <c r="F807" s="6">
        <v>7895</v>
      </c>
      <c r="L807">
        <f t="shared" si="165"/>
        <v>-1554</v>
      </c>
      <c r="M807">
        <f t="shared" si="166"/>
        <v>8916</v>
      </c>
      <c r="N807">
        <f t="shared" si="167"/>
        <v>12769</v>
      </c>
      <c r="O807">
        <f t="shared" si="168"/>
        <v>17563</v>
      </c>
      <c r="P807">
        <f t="shared" si="169"/>
        <v>10470</v>
      </c>
      <c r="Q807">
        <f t="shared" si="170"/>
        <v>14323</v>
      </c>
      <c r="R807">
        <f t="shared" si="171"/>
        <v>19117</v>
      </c>
      <c r="S807">
        <f t="shared" si="172"/>
        <v>3853</v>
      </c>
      <c r="T807">
        <f t="shared" si="173"/>
        <v>8647</v>
      </c>
      <c r="U807">
        <f t="shared" si="174"/>
        <v>4794</v>
      </c>
      <c r="V807" s="9">
        <f t="shared" si="176"/>
        <v>1554</v>
      </c>
      <c r="W807" s="9">
        <f t="shared" si="176"/>
        <v>8916</v>
      </c>
      <c r="X807" s="9">
        <f t="shared" si="176"/>
        <v>12769</v>
      </c>
      <c r="Y807" s="9">
        <f t="shared" si="176"/>
        <v>17563</v>
      </c>
      <c r="Z807" s="9">
        <f t="shared" si="176"/>
        <v>10470</v>
      </c>
      <c r="AA807" s="9">
        <f t="shared" si="175"/>
        <v>14323</v>
      </c>
      <c r="AB807" s="9">
        <f t="shared" si="175"/>
        <v>19117</v>
      </c>
      <c r="AC807" s="9">
        <f t="shared" si="175"/>
        <v>3853</v>
      </c>
      <c r="AD807" s="9">
        <f t="shared" si="175"/>
        <v>8647</v>
      </c>
      <c r="AE807" s="9">
        <f t="shared" si="175"/>
        <v>4794</v>
      </c>
    </row>
    <row r="808" spans="2:31" x14ac:dyDescent="0.25">
      <c r="B808" s="6">
        <v>15889</v>
      </c>
      <c r="C808" s="6">
        <f t="shared" si="177"/>
        <v>17443</v>
      </c>
      <c r="D808" s="6">
        <v>9548</v>
      </c>
      <c r="E808" s="6">
        <v>7958</v>
      </c>
      <c r="F808" s="6">
        <v>12367</v>
      </c>
      <c r="L808">
        <f t="shared" si="165"/>
        <v>-1554</v>
      </c>
      <c r="M808">
        <f t="shared" si="166"/>
        <v>6341</v>
      </c>
      <c r="N808">
        <f t="shared" si="167"/>
        <v>7931</v>
      </c>
      <c r="O808">
        <f t="shared" si="168"/>
        <v>3522</v>
      </c>
      <c r="P808">
        <f t="shared" si="169"/>
        <v>7895</v>
      </c>
      <c r="Q808">
        <f t="shared" si="170"/>
        <v>9485</v>
      </c>
      <c r="R808">
        <f t="shared" si="171"/>
        <v>5076</v>
      </c>
      <c r="S808">
        <f t="shared" si="172"/>
        <v>1590</v>
      </c>
      <c r="T808">
        <f t="shared" si="173"/>
        <v>-2819</v>
      </c>
      <c r="U808">
        <f t="shared" si="174"/>
        <v>-4409</v>
      </c>
      <c r="V808" s="9">
        <f t="shared" si="176"/>
        <v>1554</v>
      </c>
      <c r="W808" s="9">
        <f t="shared" si="176"/>
        <v>6341</v>
      </c>
      <c r="X808" s="9">
        <f t="shared" si="176"/>
        <v>7931</v>
      </c>
      <c r="Y808" s="9">
        <f t="shared" si="176"/>
        <v>3522</v>
      </c>
      <c r="Z808" s="9">
        <f t="shared" si="176"/>
        <v>7895</v>
      </c>
      <c r="AA808" s="9">
        <f t="shared" si="175"/>
        <v>9485</v>
      </c>
      <c r="AB808" s="9">
        <f t="shared" si="175"/>
        <v>5076</v>
      </c>
      <c r="AC808" s="9">
        <f t="shared" si="175"/>
        <v>1590</v>
      </c>
      <c r="AD808" s="9">
        <f t="shared" si="175"/>
        <v>2819</v>
      </c>
      <c r="AE808" s="9">
        <f t="shared" si="175"/>
        <v>4409</v>
      </c>
    </row>
    <row r="809" spans="2:31" x14ac:dyDescent="0.25">
      <c r="B809" s="6">
        <v>23654</v>
      </c>
      <c r="C809" s="6">
        <f t="shared" si="177"/>
        <v>25208</v>
      </c>
      <c r="D809" s="6">
        <v>15482</v>
      </c>
      <c r="E809" s="6">
        <v>12697</v>
      </c>
      <c r="F809" s="6">
        <v>10770</v>
      </c>
      <c r="L809">
        <f t="shared" si="165"/>
        <v>-1554</v>
      </c>
      <c r="M809">
        <f t="shared" si="166"/>
        <v>8172</v>
      </c>
      <c r="N809">
        <f t="shared" si="167"/>
        <v>10957</v>
      </c>
      <c r="O809">
        <f t="shared" si="168"/>
        <v>12884</v>
      </c>
      <c r="P809">
        <f t="shared" si="169"/>
        <v>9726</v>
      </c>
      <c r="Q809">
        <f t="shared" si="170"/>
        <v>12511</v>
      </c>
      <c r="R809">
        <f t="shared" si="171"/>
        <v>14438</v>
      </c>
      <c r="S809">
        <f t="shared" si="172"/>
        <v>2785</v>
      </c>
      <c r="T809">
        <f t="shared" si="173"/>
        <v>4712</v>
      </c>
      <c r="U809">
        <f t="shared" si="174"/>
        <v>1927</v>
      </c>
      <c r="V809" s="9">
        <f t="shared" si="176"/>
        <v>1554</v>
      </c>
      <c r="W809" s="9">
        <f t="shared" si="176"/>
        <v>8172</v>
      </c>
      <c r="X809" s="9">
        <f t="shared" si="176"/>
        <v>10957</v>
      </c>
      <c r="Y809" s="9">
        <f t="shared" si="176"/>
        <v>12884</v>
      </c>
      <c r="Z809" s="9">
        <f t="shared" si="176"/>
        <v>9726</v>
      </c>
      <c r="AA809" s="9">
        <f t="shared" si="175"/>
        <v>12511</v>
      </c>
      <c r="AB809" s="9">
        <f t="shared" si="175"/>
        <v>14438</v>
      </c>
      <c r="AC809" s="9">
        <f t="shared" si="175"/>
        <v>2785</v>
      </c>
      <c r="AD809" s="9">
        <f t="shared" si="175"/>
        <v>4712</v>
      </c>
      <c r="AE809" s="9">
        <f t="shared" si="175"/>
        <v>1927</v>
      </c>
    </row>
    <row r="810" spans="2:31" x14ac:dyDescent="0.25">
      <c r="B810" s="6">
        <v>19688</v>
      </c>
      <c r="C810" s="6">
        <f t="shared" si="177"/>
        <v>21242</v>
      </c>
      <c r="D810" s="6">
        <v>11245</v>
      </c>
      <c r="E810" s="6">
        <f t="shared" si="178"/>
        <v>10621</v>
      </c>
      <c r="F810" s="6">
        <v>11347</v>
      </c>
      <c r="L810">
        <f t="shared" si="165"/>
        <v>-1554</v>
      </c>
      <c r="M810">
        <f t="shared" si="166"/>
        <v>8443</v>
      </c>
      <c r="N810">
        <f t="shared" si="167"/>
        <v>9067</v>
      </c>
      <c r="O810">
        <f t="shared" si="168"/>
        <v>8341</v>
      </c>
      <c r="P810">
        <f t="shared" si="169"/>
        <v>9997</v>
      </c>
      <c r="Q810">
        <f t="shared" si="170"/>
        <v>10621</v>
      </c>
      <c r="R810">
        <f t="shared" si="171"/>
        <v>9895</v>
      </c>
      <c r="S810">
        <f t="shared" si="172"/>
        <v>624</v>
      </c>
      <c r="T810">
        <f t="shared" si="173"/>
        <v>-102</v>
      </c>
      <c r="U810">
        <f t="shared" si="174"/>
        <v>-726</v>
      </c>
      <c r="V810" s="9">
        <f t="shared" si="176"/>
        <v>1554</v>
      </c>
      <c r="W810" s="9">
        <f t="shared" si="176"/>
        <v>8443</v>
      </c>
      <c r="X810" s="9">
        <f t="shared" si="176"/>
        <v>9067</v>
      </c>
      <c r="Y810" s="9">
        <f t="shared" si="176"/>
        <v>8341</v>
      </c>
      <c r="Z810" s="9">
        <f t="shared" si="176"/>
        <v>9997</v>
      </c>
      <c r="AA810" s="9">
        <f t="shared" si="175"/>
        <v>10621</v>
      </c>
      <c r="AB810" s="9">
        <f t="shared" si="175"/>
        <v>9895</v>
      </c>
      <c r="AC810" s="9">
        <f t="shared" si="175"/>
        <v>624</v>
      </c>
      <c r="AD810" s="9">
        <f t="shared" si="175"/>
        <v>102</v>
      </c>
      <c r="AE810" s="9">
        <f t="shared" si="175"/>
        <v>726</v>
      </c>
    </row>
    <row r="811" spans="2:31" x14ac:dyDescent="0.25">
      <c r="B811" s="6">
        <v>15432</v>
      </c>
      <c r="C811" s="6">
        <f t="shared" si="177"/>
        <v>16986</v>
      </c>
      <c r="D811" s="6">
        <v>10438</v>
      </c>
      <c r="E811" s="6">
        <v>8578</v>
      </c>
      <c r="F811" s="6">
        <v>10603</v>
      </c>
      <c r="L811">
        <f t="shared" si="165"/>
        <v>-1554</v>
      </c>
      <c r="M811">
        <f t="shared" si="166"/>
        <v>4994</v>
      </c>
      <c r="N811">
        <f t="shared" si="167"/>
        <v>6854</v>
      </c>
      <c r="O811">
        <f t="shared" si="168"/>
        <v>4829</v>
      </c>
      <c r="P811">
        <f t="shared" si="169"/>
        <v>6548</v>
      </c>
      <c r="Q811">
        <f t="shared" si="170"/>
        <v>8408</v>
      </c>
      <c r="R811">
        <f t="shared" si="171"/>
        <v>6383</v>
      </c>
      <c r="S811">
        <f t="shared" si="172"/>
        <v>1860</v>
      </c>
      <c r="T811">
        <f t="shared" si="173"/>
        <v>-165</v>
      </c>
      <c r="U811">
        <f t="shared" si="174"/>
        <v>-2025</v>
      </c>
      <c r="V811" s="9">
        <f t="shared" si="176"/>
        <v>1554</v>
      </c>
      <c r="W811" s="9">
        <f t="shared" si="176"/>
        <v>4994</v>
      </c>
      <c r="X811" s="9">
        <f t="shared" si="176"/>
        <v>6854</v>
      </c>
      <c r="Y811" s="9">
        <f t="shared" si="176"/>
        <v>4829</v>
      </c>
      <c r="Z811" s="9">
        <f t="shared" si="176"/>
        <v>6548</v>
      </c>
      <c r="AA811" s="9">
        <f t="shared" si="175"/>
        <v>8408</v>
      </c>
      <c r="AB811" s="9">
        <f t="shared" si="175"/>
        <v>6383</v>
      </c>
      <c r="AC811" s="9">
        <f t="shared" si="175"/>
        <v>1860</v>
      </c>
      <c r="AD811" s="9">
        <f t="shared" si="175"/>
        <v>165</v>
      </c>
      <c r="AE811" s="9">
        <f t="shared" si="175"/>
        <v>2025</v>
      </c>
    </row>
    <row r="812" spans="2:31" x14ac:dyDescent="0.25">
      <c r="B812" s="6">
        <v>19582</v>
      </c>
      <c r="C812" s="6">
        <f t="shared" si="177"/>
        <v>21136</v>
      </c>
      <c r="D812" s="6">
        <v>14588</v>
      </c>
      <c r="E812" s="6">
        <f t="shared" si="178"/>
        <v>13964</v>
      </c>
      <c r="F812" s="6">
        <v>7537</v>
      </c>
      <c r="L812">
        <f t="shared" si="165"/>
        <v>-1554</v>
      </c>
      <c r="M812">
        <f t="shared" si="166"/>
        <v>4994</v>
      </c>
      <c r="N812">
        <f t="shared" si="167"/>
        <v>5618</v>
      </c>
      <c r="O812">
        <f t="shared" si="168"/>
        <v>12045</v>
      </c>
      <c r="P812">
        <f t="shared" si="169"/>
        <v>6548</v>
      </c>
      <c r="Q812">
        <f t="shared" si="170"/>
        <v>7172</v>
      </c>
      <c r="R812">
        <f t="shared" si="171"/>
        <v>13599</v>
      </c>
      <c r="S812">
        <f t="shared" si="172"/>
        <v>624</v>
      </c>
      <c r="T812">
        <f t="shared" si="173"/>
        <v>7051</v>
      </c>
      <c r="U812">
        <f t="shared" si="174"/>
        <v>6427</v>
      </c>
      <c r="V812" s="9">
        <f t="shared" si="176"/>
        <v>1554</v>
      </c>
      <c r="W812" s="9">
        <f t="shared" si="176"/>
        <v>4994</v>
      </c>
      <c r="X812" s="9">
        <f t="shared" si="176"/>
        <v>5618</v>
      </c>
      <c r="Y812" s="9">
        <f t="shared" si="176"/>
        <v>12045</v>
      </c>
      <c r="Z812" s="9">
        <f t="shared" si="176"/>
        <v>6548</v>
      </c>
      <c r="AA812" s="9">
        <f t="shared" si="175"/>
        <v>7172</v>
      </c>
      <c r="AB812" s="9">
        <f t="shared" si="175"/>
        <v>13599</v>
      </c>
      <c r="AC812" s="9">
        <f t="shared" si="175"/>
        <v>624</v>
      </c>
      <c r="AD812" s="9">
        <f t="shared" si="175"/>
        <v>7051</v>
      </c>
      <c r="AE812" s="9">
        <f t="shared" si="175"/>
        <v>6427</v>
      </c>
    </row>
    <row r="813" spans="2:31" x14ac:dyDescent="0.25">
      <c r="B813" s="6">
        <v>21587</v>
      </c>
      <c r="C813" s="6">
        <f t="shared" si="177"/>
        <v>23141</v>
      </c>
      <c r="D813" s="6">
        <v>16593</v>
      </c>
      <c r="E813" s="6">
        <f t="shared" si="178"/>
        <v>15969</v>
      </c>
      <c r="F813" s="6">
        <v>9780</v>
      </c>
      <c r="L813">
        <f t="shared" si="165"/>
        <v>-1554</v>
      </c>
      <c r="M813">
        <f t="shared" si="166"/>
        <v>4994</v>
      </c>
      <c r="N813">
        <f t="shared" si="167"/>
        <v>5618</v>
      </c>
      <c r="O813">
        <f t="shared" si="168"/>
        <v>11807</v>
      </c>
      <c r="P813">
        <f t="shared" si="169"/>
        <v>6548</v>
      </c>
      <c r="Q813">
        <f t="shared" si="170"/>
        <v>7172</v>
      </c>
      <c r="R813">
        <f t="shared" si="171"/>
        <v>13361</v>
      </c>
      <c r="S813">
        <f t="shared" si="172"/>
        <v>624</v>
      </c>
      <c r="T813">
        <f t="shared" si="173"/>
        <v>6813</v>
      </c>
      <c r="U813">
        <f t="shared" si="174"/>
        <v>6189</v>
      </c>
      <c r="V813" s="9">
        <f t="shared" si="176"/>
        <v>1554</v>
      </c>
      <c r="W813" s="9">
        <f t="shared" si="176"/>
        <v>4994</v>
      </c>
      <c r="X813" s="9">
        <f t="shared" si="176"/>
        <v>5618</v>
      </c>
      <c r="Y813" s="9">
        <f t="shared" si="176"/>
        <v>11807</v>
      </c>
      <c r="Z813" s="9">
        <f t="shared" si="176"/>
        <v>6548</v>
      </c>
      <c r="AA813" s="9">
        <f t="shared" si="175"/>
        <v>7172</v>
      </c>
      <c r="AB813" s="9">
        <f t="shared" si="175"/>
        <v>13361</v>
      </c>
      <c r="AC813" s="9">
        <f t="shared" si="175"/>
        <v>624</v>
      </c>
      <c r="AD813" s="9">
        <f t="shared" si="175"/>
        <v>6813</v>
      </c>
      <c r="AE813" s="9">
        <f t="shared" si="175"/>
        <v>6189</v>
      </c>
    </row>
    <row r="814" spans="2:31" x14ac:dyDescent="0.25">
      <c r="B814" s="6">
        <v>22654</v>
      </c>
      <c r="C814" s="6">
        <f t="shared" si="177"/>
        <v>24208</v>
      </c>
      <c r="D814" s="6">
        <v>17660</v>
      </c>
      <c r="E814" s="6">
        <v>13589</v>
      </c>
      <c r="F814" s="6">
        <v>10399</v>
      </c>
      <c r="L814">
        <f t="shared" si="165"/>
        <v>-1554</v>
      </c>
      <c r="M814">
        <f t="shared" si="166"/>
        <v>4994</v>
      </c>
      <c r="N814">
        <f t="shared" si="167"/>
        <v>9065</v>
      </c>
      <c r="O814">
        <f t="shared" si="168"/>
        <v>12255</v>
      </c>
      <c r="P814">
        <f t="shared" si="169"/>
        <v>6548</v>
      </c>
      <c r="Q814">
        <f t="shared" si="170"/>
        <v>10619</v>
      </c>
      <c r="R814">
        <f t="shared" si="171"/>
        <v>13809</v>
      </c>
      <c r="S814">
        <f t="shared" si="172"/>
        <v>4071</v>
      </c>
      <c r="T814">
        <f t="shared" si="173"/>
        <v>7261</v>
      </c>
      <c r="U814">
        <f t="shared" si="174"/>
        <v>3190</v>
      </c>
      <c r="V814" s="9">
        <f t="shared" si="176"/>
        <v>1554</v>
      </c>
      <c r="W814" s="9">
        <f t="shared" si="176"/>
        <v>4994</v>
      </c>
      <c r="X814" s="9">
        <f t="shared" si="176"/>
        <v>9065</v>
      </c>
      <c r="Y814" s="9">
        <f t="shared" si="176"/>
        <v>12255</v>
      </c>
      <c r="Z814" s="9">
        <f t="shared" si="176"/>
        <v>6548</v>
      </c>
      <c r="AA814" s="9">
        <f t="shared" si="175"/>
        <v>10619</v>
      </c>
      <c r="AB814" s="9">
        <f t="shared" si="175"/>
        <v>13809</v>
      </c>
      <c r="AC814" s="9">
        <f t="shared" si="175"/>
        <v>4071</v>
      </c>
      <c r="AD814" s="9">
        <f t="shared" si="175"/>
        <v>7261</v>
      </c>
      <c r="AE814" s="9">
        <f t="shared" si="175"/>
        <v>3190</v>
      </c>
    </row>
    <row r="815" spans="2:31" x14ac:dyDescent="0.25">
      <c r="B815" s="6">
        <v>26775</v>
      </c>
      <c r="C815" s="6">
        <f t="shared" si="177"/>
        <v>28329</v>
      </c>
      <c r="D815" s="6">
        <v>21781</v>
      </c>
      <c r="E815" s="6">
        <f t="shared" si="178"/>
        <v>21157</v>
      </c>
      <c r="F815" s="6">
        <v>12144</v>
      </c>
      <c r="L815">
        <f t="shared" si="165"/>
        <v>-1554</v>
      </c>
      <c r="M815">
        <f t="shared" si="166"/>
        <v>4994</v>
      </c>
      <c r="N815">
        <f t="shared" si="167"/>
        <v>5618</v>
      </c>
      <c r="O815">
        <f t="shared" si="168"/>
        <v>14631</v>
      </c>
      <c r="P815">
        <f t="shared" si="169"/>
        <v>6548</v>
      </c>
      <c r="Q815">
        <f t="shared" si="170"/>
        <v>7172</v>
      </c>
      <c r="R815">
        <f t="shared" si="171"/>
        <v>16185</v>
      </c>
      <c r="S815">
        <f t="shared" si="172"/>
        <v>624</v>
      </c>
      <c r="T815">
        <f t="shared" si="173"/>
        <v>9637</v>
      </c>
      <c r="U815">
        <f t="shared" si="174"/>
        <v>9013</v>
      </c>
      <c r="V815" s="9">
        <f t="shared" si="176"/>
        <v>1554</v>
      </c>
      <c r="W815" s="9">
        <f t="shared" si="176"/>
        <v>4994</v>
      </c>
      <c r="X815" s="9">
        <f t="shared" si="176"/>
        <v>5618</v>
      </c>
      <c r="Y815" s="9">
        <f t="shared" si="176"/>
        <v>14631</v>
      </c>
      <c r="Z815" s="9">
        <f t="shared" si="176"/>
        <v>6548</v>
      </c>
      <c r="AA815" s="9">
        <f t="shared" si="175"/>
        <v>7172</v>
      </c>
      <c r="AB815" s="9">
        <f t="shared" si="175"/>
        <v>16185</v>
      </c>
      <c r="AC815" s="9">
        <f t="shared" si="175"/>
        <v>624</v>
      </c>
      <c r="AD815" s="9">
        <f t="shared" si="175"/>
        <v>9637</v>
      </c>
      <c r="AE815" s="9">
        <f t="shared" si="175"/>
        <v>9013</v>
      </c>
    </row>
    <row r="816" spans="2:31" x14ac:dyDescent="0.25">
      <c r="B816" s="6">
        <v>20504</v>
      </c>
      <c r="C816" s="6">
        <f t="shared" si="177"/>
        <v>22058</v>
      </c>
      <c r="D816" s="6">
        <v>15510</v>
      </c>
      <c r="E816" s="6">
        <v>11282</v>
      </c>
      <c r="F816" s="6">
        <v>8686</v>
      </c>
      <c r="L816">
        <f t="shared" si="165"/>
        <v>-1554</v>
      </c>
      <c r="M816">
        <f t="shared" si="166"/>
        <v>4994</v>
      </c>
      <c r="N816">
        <f t="shared" si="167"/>
        <v>9222</v>
      </c>
      <c r="O816">
        <f t="shared" si="168"/>
        <v>11818</v>
      </c>
      <c r="P816">
        <f t="shared" si="169"/>
        <v>6548</v>
      </c>
      <c r="Q816">
        <f t="shared" si="170"/>
        <v>10776</v>
      </c>
      <c r="R816">
        <f t="shared" si="171"/>
        <v>13372</v>
      </c>
      <c r="S816">
        <f t="shared" si="172"/>
        <v>4228</v>
      </c>
      <c r="T816">
        <f t="shared" si="173"/>
        <v>6824</v>
      </c>
      <c r="U816">
        <f t="shared" si="174"/>
        <v>2596</v>
      </c>
      <c r="V816" s="9">
        <f t="shared" si="176"/>
        <v>1554</v>
      </c>
      <c r="W816" s="9">
        <f t="shared" si="176"/>
        <v>4994</v>
      </c>
      <c r="X816" s="9">
        <f t="shared" si="176"/>
        <v>9222</v>
      </c>
      <c r="Y816" s="9">
        <f t="shared" si="176"/>
        <v>11818</v>
      </c>
      <c r="Z816" s="9">
        <f t="shared" si="176"/>
        <v>6548</v>
      </c>
      <c r="AA816" s="9">
        <f t="shared" si="175"/>
        <v>10776</v>
      </c>
      <c r="AB816" s="9">
        <f t="shared" si="175"/>
        <v>13372</v>
      </c>
      <c r="AC816" s="9">
        <f t="shared" si="175"/>
        <v>4228</v>
      </c>
      <c r="AD816" s="9">
        <f t="shared" si="175"/>
        <v>6824</v>
      </c>
      <c r="AE816" s="9">
        <f t="shared" si="175"/>
        <v>2596</v>
      </c>
    </row>
    <row r="817" spans="2:31" x14ac:dyDescent="0.25">
      <c r="B817" s="6">
        <v>19578</v>
      </c>
      <c r="C817" s="6">
        <f t="shared" si="177"/>
        <v>21132</v>
      </c>
      <c r="D817" s="6">
        <v>13545</v>
      </c>
      <c r="E817" s="6">
        <v>10258</v>
      </c>
      <c r="F817" s="6">
        <v>5802</v>
      </c>
      <c r="L817">
        <f t="shared" si="165"/>
        <v>-1554</v>
      </c>
      <c r="M817">
        <f t="shared" si="166"/>
        <v>6033</v>
      </c>
      <c r="N817">
        <f t="shared" si="167"/>
        <v>9320</v>
      </c>
      <c r="O817">
        <f t="shared" si="168"/>
        <v>13776</v>
      </c>
      <c r="P817">
        <f t="shared" si="169"/>
        <v>7587</v>
      </c>
      <c r="Q817">
        <f t="shared" si="170"/>
        <v>10874</v>
      </c>
      <c r="R817">
        <f t="shared" si="171"/>
        <v>15330</v>
      </c>
      <c r="S817">
        <f t="shared" si="172"/>
        <v>3287</v>
      </c>
      <c r="T817">
        <f t="shared" si="173"/>
        <v>7743</v>
      </c>
      <c r="U817">
        <f t="shared" si="174"/>
        <v>4456</v>
      </c>
      <c r="V817" s="9">
        <f t="shared" si="176"/>
        <v>1554</v>
      </c>
      <c r="W817" s="9">
        <f t="shared" si="176"/>
        <v>6033</v>
      </c>
      <c r="X817" s="9">
        <f t="shared" si="176"/>
        <v>9320</v>
      </c>
      <c r="Y817" s="9">
        <f t="shared" si="176"/>
        <v>13776</v>
      </c>
      <c r="Z817" s="9">
        <f t="shared" si="176"/>
        <v>7587</v>
      </c>
      <c r="AA817" s="9">
        <f t="shared" si="175"/>
        <v>10874</v>
      </c>
      <c r="AB817" s="9">
        <f t="shared" si="175"/>
        <v>15330</v>
      </c>
      <c r="AC817" s="9">
        <f t="shared" si="175"/>
        <v>3287</v>
      </c>
      <c r="AD817" s="9">
        <f t="shared" si="175"/>
        <v>7743</v>
      </c>
      <c r="AE817" s="9">
        <f t="shared" si="175"/>
        <v>4456</v>
      </c>
    </row>
    <row r="818" spans="2:31" x14ac:dyDescent="0.25">
      <c r="B818" s="6">
        <v>22672</v>
      </c>
      <c r="C818" s="6">
        <f t="shared" si="177"/>
        <v>24226</v>
      </c>
      <c r="D818" s="6">
        <v>16542</v>
      </c>
      <c r="E818" s="6">
        <v>12042</v>
      </c>
      <c r="F818" s="6">
        <v>10866</v>
      </c>
      <c r="L818">
        <f t="shared" si="165"/>
        <v>-1554</v>
      </c>
      <c r="M818">
        <f t="shared" si="166"/>
        <v>6130</v>
      </c>
      <c r="N818">
        <f t="shared" si="167"/>
        <v>10630</v>
      </c>
      <c r="O818">
        <f t="shared" si="168"/>
        <v>11806</v>
      </c>
      <c r="P818">
        <f t="shared" si="169"/>
        <v>7684</v>
      </c>
      <c r="Q818">
        <f t="shared" si="170"/>
        <v>12184</v>
      </c>
      <c r="R818">
        <f t="shared" si="171"/>
        <v>13360</v>
      </c>
      <c r="S818">
        <f t="shared" si="172"/>
        <v>4500</v>
      </c>
      <c r="T818">
        <f t="shared" si="173"/>
        <v>5676</v>
      </c>
      <c r="U818">
        <f t="shared" si="174"/>
        <v>1176</v>
      </c>
      <c r="V818" s="9">
        <f t="shared" si="176"/>
        <v>1554</v>
      </c>
      <c r="W818" s="9">
        <f t="shared" si="176"/>
        <v>6130</v>
      </c>
      <c r="X818" s="9">
        <f t="shared" si="176"/>
        <v>10630</v>
      </c>
      <c r="Y818" s="9">
        <f t="shared" si="176"/>
        <v>11806</v>
      </c>
      <c r="Z818" s="9">
        <f t="shared" si="176"/>
        <v>7684</v>
      </c>
      <c r="AA818" s="9">
        <f t="shared" si="175"/>
        <v>12184</v>
      </c>
      <c r="AB818" s="9">
        <f t="shared" si="175"/>
        <v>13360</v>
      </c>
      <c r="AC818" s="9">
        <f t="shared" si="175"/>
        <v>4500</v>
      </c>
      <c r="AD818" s="9">
        <f t="shared" si="175"/>
        <v>5676</v>
      </c>
      <c r="AE818" s="9">
        <f t="shared" si="175"/>
        <v>1176</v>
      </c>
    </row>
    <row r="819" spans="2:31" x14ac:dyDescent="0.25">
      <c r="B819" s="6">
        <v>13245</v>
      </c>
      <c r="C819" s="6">
        <f t="shared" si="177"/>
        <v>14799</v>
      </c>
      <c r="D819" s="6">
        <v>8545</v>
      </c>
      <c r="E819" s="6">
        <v>6287</v>
      </c>
      <c r="F819" s="6">
        <v>9702</v>
      </c>
      <c r="L819">
        <f t="shared" si="165"/>
        <v>-1554</v>
      </c>
      <c r="M819">
        <f t="shared" si="166"/>
        <v>4700</v>
      </c>
      <c r="N819">
        <f t="shared" si="167"/>
        <v>6958</v>
      </c>
      <c r="O819">
        <f t="shared" si="168"/>
        <v>3543</v>
      </c>
      <c r="P819">
        <f t="shared" si="169"/>
        <v>6254</v>
      </c>
      <c r="Q819">
        <f t="shared" si="170"/>
        <v>8512</v>
      </c>
      <c r="R819">
        <f t="shared" si="171"/>
        <v>5097</v>
      </c>
      <c r="S819">
        <f t="shared" si="172"/>
        <v>2258</v>
      </c>
      <c r="T819">
        <f t="shared" si="173"/>
        <v>-1157</v>
      </c>
      <c r="U819">
        <f t="shared" si="174"/>
        <v>-3415</v>
      </c>
      <c r="V819" s="9">
        <f t="shared" si="176"/>
        <v>1554</v>
      </c>
      <c r="W819" s="9">
        <f t="shared" si="176"/>
        <v>4700</v>
      </c>
      <c r="X819" s="9">
        <f t="shared" si="176"/>
        <v>6958</v>
      </c>
      <c r="Y819" s="9">
        <f t="shared" si="176"/>
        <v>3543</v>
      </c>
      <c r="Z819" s="9">
        <f t="shared" si="176"/>
        <v>6254</v>
      </c>
      <c r="AA819" s="9">
        <f t="shared" si="175"/>
        <v>8512</v>
      </c>
      <c r="AB819" s="9">
        <f t="shared" si="175"/>
        <v>5097</v>
      </c>
      <c r="AC819" s="9">
        <f t="shared" si="175"/>
        <v>2258</v>
      </c>
      <c r="AD819" s="9">
        <f t="shared" si="175"/>
        <v>1157</v>
      </c>
      <c r="AE819" s="9">
        <f t="shared" si="175"/>
        <v>3415</v>
      </c>
    </row>
    <row r="820" spans="2:31" x14ac:dyDescent="0.25">
      <c r="B820" s="6">
        <v>16723</v>
      </c>
      <c r="C820" s="6">
        <f t="shared" si="177"/>
        <v>18277</v>
      </c>
      <c r="D820" s="6">
        <v>10224</v>
      </c>
      <c r="E820" s="6">
        <f t="shared" si="178"/>
        <v>9600</v>
      </c>
      <c r="F820" s="6">
        <v>6076</v>
      </c>
      <c r="L820">
        <f t="shared" si="165"/>
        <v>-1554</v>
      </c>
      <c r="M820">
        <f t="shared" si="166"/>
        <v>6499</v>
      </c>
      <c r="N820">
        <f t="shared" si="167"/>
        <v>7123</v>
      </c>
      <c r="O820">
        <f t="shared" si="168"/>
        <v>10647</v>
      </c>
      <c r="P820">
        <f t="shared" si="169"/>
        <v>8053</v>
      </c>
      <c r="Q820">
        <f t="shared" si="170"/>
        <v>8677</v>
      </c>
      <c r="R820">
        <f t="shared" si="171"/>
        <v>12201</v>
      </c>
      <c r="S820">
        <f t="shared" si="172"/>
        <v>624</v>
      </c>
      <c r="T820">
        <f t="shared" si="173"/>
        <v>4148</v>
      </c>
      <c r="U820">
        <f t="shared" si="174"/>
        <v>3524</v>
      </c>
      <c r="V820" s="9">
        <f t="shared" si="176"/>
        <v>1554</v>
      </c>
      <c r="W820" s="9">
        <f t="shared" si="176"/>
        <v>6499</v>
      </c>
      <c r="X820" s="9">
        <f t="shared" si="176"/>
        <v>7123</v>
      </c>
      <c r="Y820" s="9">
        <f t="shared" si="176"/>
        <v>10647</v>
      </c>
      <c r="Z820" s="9">
        <f t="shared" si="176"/>
        <v>8053</v>
      </c>
      <c r="AA820" s="9">
        <f t="shared" si="175"/>
        <v>8677</v>
      </c>
      <c r="AB820" s="9">
        <f t="shared" si="175"/>
        <v>12201</v>
      </c>
      <c r="AC820" s="9">
        <f t="shared" si="175"/>
        <v>624</v>
      </c>
      <c r="AD820" s="9">
        <f t="shared" si="175"/>
        <v>4148</v>
      </c>
      <c r="AE820" s="9">
        <f t="shared" si="175"/>
        <v>3524</v>
      </c>
    </row>
    <row r="821" spans="2:31" x14ac:dyDescent="0.25">
      <c r="B821" s="6">
        <v>16735</v>
      </c>
      <c r="C821" s="6">
        <f t="shared" si="177"/>
        <v>18289</v>
      </c>
      <c r="D821" s="6">
        <v>12354</v>
      </c>
      <c r="E821" s="6">
        <v>8527</v>
      </c>
      <c r="F821" s="6">
        <v>8002</v>
      </c>
      <c r="L821">
        <f t="shared" si="165"/>
        <v>-1554</v>
      </c>
      <c r="M821">
        <f t="shared" si="166"/>
        <v>4381</v>
      </c>
      <c r="N821">
        <f t="shared" si="167"/>
        <v>8208</v>
      </c>
      <c r="O821">
        <f t="shared" si="168"/>
        <v>8733</v>
      </c>
      <c r="P821">
        <f t="shared" si="169"/>
        <v>5935</v>
      </c>
      <c r="Q821">
        <f t="shared" si="170"/>
        <v>9762</v>
      </c>
      <c r="R821">
        <f t="shared" si="171"/>
        <v>10287</v>
      </c>
      <c r="S821">
        <f t="shared" si="172"/>
        <v>3827</v>
      </c>
      <c r="T821">
        <f t="shared" si="173"/>
        <v>4352</v>
      </c>
      <c r="U821">
        <f t="shared" si="174"/>
        <v>525</v>
      </c>
      <c r="V821" s="9">
        <f t="shared" si="176"/>
        <v>1554</v>
      </c>
      <c r="W821" s="9">
        <f t="shared" si="176"/>
        <v>4381</v>
      </c>
      <c r="X821" s="9">
        <f t="shared" si="176"/>
        <v>8208</v>
      </c>
      <c r="Y821" s="9">
        <f t="shared" si="176"/>
        <v>8733</v>
      </c>
      <c r="Z821" s="9">
        <f t="shared" si="176"/>
        <v>5935</v>
      </c>
      <c r="AA821" s="9">
        <f t="shared" si="175"/>
        <v>9762</v>
      </c>
      <c r="AB821" s="9">
        <f t="shared" si="175"/>
        <v>10287</v>
      </c>
      <c r="AC821" s="9">
        <f t="shared" si="175"/>
        <v>3827</v>
      </c>
      <c r="AD821" s="9">
        <f t="shared" si="175"/>
        <v>4352</v>
      </c>
      <c r="AE821" s="9">
        <f t="shared" si="175"/>
        <v>525</v>
      </c>
    </row>
    <row r="822" spans="2:31" x14ac:dyDescent="0.25">
      <c r="B822" s="6">
        <v>15247</v>
      </c>
      <c r="C822" s="6">
        <f t="shared" si="177"/>
        <v>16801</v>
      </c>
      <c r="D822" s="6">
        <v>9542</v>
      </c>
      <c r="E822" s="6">
        <v>7578</v>
      </c>
      <c r="F822" s="6">
        <v>8099</v>
      </c>
      <c r="L822">
        <f t="shared" si="165"/>
        <v>-1554</v>
      </c>
      <c r="M822">
        <f t="shared" si="166"/>
        <v>5705</v>
      </c>
      <c r="N822">
        <f t="shared" si="167"/>
        <v>7669</v>
      </c>
      <c r="O822">
        <f t="shared" si="168"/>
        <v>7148</v>
      </c>
      <c r="P822">
        <f t="shared" si="169"/>
        <v>7259</v>
      </c>
      <c r="Q822">
        <f t="shared" si="170"/>
        <v>9223</v>
      </c>
      <c r="R822">
        <f t="shared" si="171"/>
        <v>8702</v>
      </c>
      <c r="S822">
        <f t="shared" si="172"/>
        <v>1964</v>
      </c>
      <c r="T822">
        <f t="shared" si="173"/>
        <v>1443</v>
      </c>
      <c r="U822">
        <f t="shared" si="174"/>
        <v>-521</v>
      </c>
      <c r="V822" s="9">
        <f t="shared" si="176"/>
        <v>1554</v>
      </c>
      <c r="W822" s="9">
        <f t="shared" si="176"/>
        <v>5705</v>
      </c>
      <c r="X822" s="9">
        <f t="shared" si="176"/>
        <v>7669</v>
      </c>
      <c r="Y822" s="9">
        <f t="shared" si="176"/>
        <v>7148</v>
      </c>
      <c r="Z822" s="9">
        <f t="shared" si="176"/>
        <v>7259</v>
      </c>
      <c r="AA822" s="9">
        <f t="shared" si="175"/>
        <v>9223</v>
      </c>
      <c r="AB822" s="9">
        <f t="shared" si="175"/>
        <v>8702</v>
      </c>
      <c r="AC822" s="9">
        <f t="shared" si="175"/>
        <v>1964</v>
      </c>
      <c r="AD822" s="9">
        <f t="shared" si="175"/>
        <v>1443</v>
      </c>
      <c r="AE822" s="9">
        <f t="shared" si="175"/>
        <v>521</v>
      </c>
    </row>
    <row r="823" spans="2:31" x14ac:dyDescent="0.25">
      <c r="B823" s="6">
        <v>16895</v>
      </c>
      <c r="C823" s="6">
        <f t="shared" si="177"/>
        <v>18449</v>
      </c>
      <c r="D823" s="6">
        <v>11548</v>
      </c>
      <c r="E823" s="6">
        <v>8248</v>
      </c>
      <c r="F823" s="6">
        <v>8367</v>
      </c>
      <c r="L823">
        <f t="shared" si="165"/>
        <v>-1554</v>
      </c>
      <c r="M823">
        <f t="shared" si="166"/>
        <v>5347</v>
      </c>
      <c r="N823">
        <f t="shared" si="167"/>
        <v>8647</v>
      </c>
      <c r="O823">
        <f t="shared" si="168"/>
        <v>8528</v>
      </c>
      <c r="P823">
        <f t="shared" si="169"/>
        <v>6901</v>
      </c>
      <c r="Q823">
        <f t="shared" si="170"/>
        <v>10201</v>
      </c>
      <c r="R823">
        <f t="shared" si="171"/>
        <v>10082</v>
      </c>
      <c r="S823">
        <f t="shared" si="172"/>
        <v>3300</v>
      </c>
      <c r="T823">
        <f t="shared" si="173"/>
        <v>3181</v>
      </c>
      <c r="U823">
        <f t="shared" si="174"/>
        <v>-119</v>
      </c>
      <c r="V823" s="9">
        <f t="shared" si="176"/>
        <v>1554</v>
      </c>
      <c r="W823" s="9">
        <f t="shared" si="176"/>
        <v>5347</v>
      </c>
      <c r="X823" s="9">
        <f t="shared" si="176"/>
        <v>8647</v>
      </c>
      <c r="Y823" s="9">
        <f t="shared" si="176"/>
        <v>8528</v>
      </c>
      <c r="Z823" s="9">
        <f t="shared" si="176"/>
        <v>6901</v>
      </c>
      <c r="AA823" s="9">
        <f t="shared" si="175"/>
        <v>10201</v>
      </c>
      <c r="AB823" s="9">
        <f t="shared" si="175"/>
        <v>10082</v>
      </c>
      <c r="AC823" s="9">
        <f t="shared" si="175"/>
        <v>3300</v>
      </c>
      <c r="AD823" s="9">
        <f t="shared" si="175"/>
        <v>3181</v>
      </c>
      <c r="AE823" s="9">
        <f t="shared" si="175"/>
        <v>119</v>
      </c>
    </row>
    <row r="824" spans="2:31" x14ac:dyDescent="0.25">
      <c r="B824" s="6">
        <v>10354</v>
      </c>
      <c r="C824" s="6">
        <f t="shared" si="177"/>
        <v>11908</v>
      </c>
      <c r="D824" s="6">
        <v>7521</v>
      </c>
      <c r="E824" s="6">
        <f t="shared" si="178"/>
        <v>6897</v>
      </c>
      <c r="F824" s="6">
        <v>9016</v>
      </c>
      <c r="L824">
        <f t="shared" si="165"/>
        <v>-1554</v>
      </c>
      <c r="M824">
        <f t="shared" si="166"/>
        <v>2833</v>
      </c>
      <c r="N824">
        <f t="shared" si="167"/>
        <v>3457</v>
      </c>
      <c r="O824">
        <f t="shared" si="168"/>
        <v>1338</v>
      </c>
      <c r="P824">
        <f t="shared" si="169"/>
        <v>4387</v>
      </c>
      <c r="Q824">
        <f t="shared" si="170"/>
        <v>5011</v>
      </c>
      <c r="R824">
        <f t="shared" si="171"/>
        <v>2892</v>
      </c>
      <c r="S824">
        <f t="shared" si="172"/>
        <v>624</v>
      </c>
      <c r="T824">
        <f t="shared" si="173"/>
        <v>-1495</v>
      </c>
      <c r="U824">
        <f t="shared" si="174"/>
        <v>-2119</v>
      </c>
      <c r="V824" s="9">
        <f t="shared" si="176"/>
        <v>1554</v>
      </c>
      <c r="W824" s="9">
        <f t="shared" si="176"/>
        <v>2833</v>
      </c>
      <c r="X824" s="9">
        <f t="shared" si="176"/>
        <v>3457</v>
      </c>
      <c r="Y824" s="9">
        <f t="shared" si="176"/>
        <v>1338</v>
      </c>
      <c r="Z824" s="9">
        <f t="shared" si="176"/>
        <v>4387</v>
      </c>
      <c r="AA824" s="9">
        <f t="shared" si="175"/>
        <v>5011</v>
      </c>
      <c r="AB824" s="9">
        <f t="shared" si="175"/>
        <v>2892</v>
      </c>
      <c r="AC824" s="9">
        <f t="shared" si="175"/>
        <v>624</v>
      </c>
      <c r="AD824" s="9">
        <f t="shared" si="175"/>
        <v>1495</v>
      </c>
      <c r="AE824" s="9">
        <f t="shared" si="175"/>
        <v>2119</v>
      </c>
    </row>
    <row r="825" spans="2:31" x14ac:dyDescent="0.25">
      <c r="B825" s="6">
        <v>16672</v>
      </c>
      <c r="C825" s="6">
        <f t="shared" si="177"/>
        <v>18226</v>
      </c>
      <c r="D825" s="6">
        <v>11054</v>
      </c>
      <c r="E825" s="6">
        <v>8545</v>
      </c>
      <c r="F825" s="6">
        <v>9165</v>
      </c>
      <c r="L825">
        <f t="shared" si="165"/>
        <v>-1554</v>
      </c>
      <c r="M825">
        <f t="shared" si="166"/>
        <v>5618</v>
      </c>
      <c r="N825">
        <f t="shared" si="167"/>
        <v>8127</v>
      </c>
      <c r="O825">
        <f t="shared" si="168"/>
        <v>7507</v>
      </c>
      <c r="P825">
        <f t="shared" si="169"/>
        <v>7172</v>
      </c>
      <c r="Q825">
        <f t="shared" si="170"/>
        <v>9681</v>
      </c>
      <c r="R825">
        <f t="shared" si="171"/>
        <v>9061</v>
      </c>
      <c r="S825">
        <f t="shared" si="172"/>
        <v>2509</v>
      </c>
      <c r="T825">
        <f t="shared" si="173"/>
        <v>1889</v>
      </c>
      <c r="U825">
        <f t="shared" si="174"/>
        <v>-620</v>
      </c>
      <c r="V825" s="9">
        <f t="shared" si="176"/>
        <v>1554</v>
      </c>
      <c r="W825" s="9">
        <f t="shared" si="176"/>
        <v>5618</v>
      </c>
      <c r="X825" s="9">
        <f t="shared" si="176"/>
        <v>8127</v>
      </c>
      <c r="Y825" s="9">
        <f t="shared" si="176"/>
        <v>7507</v>
      </c>
      <c r="Z825" s="9">
        <f t="shared" si="176"/>
        <v>7172</v>
      </c>
      <c r="AA825" s="9">
        <f t="shared" si="175"/>
        <v>9681</v>
      </c>
      <c r="AB825" s="9">
        <f t="shared" si="175"/>
        <v>9061</v>
      </c>
      <c r="AC825" s="9">
        <f t="shared" si="175"/>
        <v>2509</v>
      </c>
      <c r="AD825" s="9">
        <f t="shared" si="175"/>
        <v>1889</v>
      </c>
      <c r="AE825" s="9">
        <f t="shared" si="175"/>
        <v>620</v>
      </c>
    </row>
    <row r="826" spans="2:31" x14ac:dyDescent="0.25">
      <c r="B826" s="6">
        <v>24585</v>
      </c>
      <c r="C826" s="6">
        <f t="shared" si="177"/>
        <v>26139</v>
      </c>
      <c r="D826" s="6">
        <v>19851</v>
      </c>
      <c r="E826" s="6">
        <v>15472</v>
      </c>
      <c r="F826" s="6">
        <v>7830</v>
      </c>
      <c r="L826">
        <f t="shared" si="165"/>
        <v>-1554</v>
      </c>
      <c r="M826">
        <f t="shared" si="166"/>
        <v>4734</v>
      </c>
      <c r="N826">
        <f t="shared" si="167"/>
        <v>9113</v>
      </c>
      <c r="O826">
        <f t="shared" si="168"/>
        <v>16755</v>
      </c>
      <c r="P826">
        <f t="shared" si="169"/>
        <v>6288</v>
      </c>
      <c r="Q826">
        <f t="shared" si="170"/>
        <v>10667</v>
      </c>
      <c r="R826">
        <f t="shared" si="171"/>
        <v>18309</v>
      </c>
      <c r="S826">
        <f t="shared" si="172"/>
        <v>4379</v>
      </c>
      <c r="T826">
        <f t="shared" si="173"/>
        <v>12021</v>
      </c>
      <c r="U826">
        <f t="shared" si="174"/>
        <v>7642</v>
      </c>
      <c r="V826" s="9">
        <f t="shared" si="176"/>
        <v>1554</v>
      </c>
      <c r="W826" s="9">
        <f t="shared" si="176"/>
        <v>4734</v>
      </c>
      <c r="X826" s="9">
        <f t="shared" si="176"/>
        <v>9113</v>
      </c>
      <c r="Y826" s="9">
        <f t="shared" si="176"/>
        <v>16755</v>
      </c>
      <c r="Z826" s="9">
        <f t="shared" si="176"/>
        <v>6288</v>
      </c>
      <c r="AA826" s="9">
        <f t="shared" si="175"/>
        <v>10667</v>
      </c>
      <c r="AB826" s="9">
        <f t="shared" si="175"/>
        <v>18309</v>
      </c>
      <c r="AC826" s="9">
        <f t="shared" si="175"/>
        <v>4379</v>
      </c>
      <c r="AD826" s="9">
        <f t="shared" si="175"/>
        <v>12021</v>
      </c>
      <c r="AE826" s="9">
        <f t="shared" si="175"/>
        <v>7642</v>
      </c>
    </row>
    <row r="827" spans="2:31" x14ac:dyDescent="0.25">
      <c r="B827" s="6">
        <v>19743</v>
      </c>
      <c r="C827" s="6">
        <f t="shared" si="177"/>
        <v>21297</v>
      </c>
      <c r="D827" s="6">
        <v>16458</v>
      </c>
      <c r="E827" s="6">
        <f t="shared" si="178"/>
        <v>15834</v>
      </c>
      <c r="F827" s="6">
        <v>11924</v>
      </c>
      <c r="L827">
        <f t="shared" si="165"/>
        <v>-1554</v>
      </c>
      <c r="M827">
        <f t="shared" si="166"/>
        <v>3285</v>
      </c>
      <c r="N827">
        <f t="shared" si="167"/>
        <v>3909</v>
      </c>
      <c r="O827">
        <f t="shared" si="168"/>
        <v>7819</v>
      </c>
      <c r="P827">
        <f t="shared" si="169"/>
        <v>4839</v>
      </c>
      <c r="Q827">
        <f t="shared" si="170"/>
        <v>5463</v>
      </c>
      <c r="R827">
        <f t="shared" si="171"/>
        <v>9373</v>
      </c>
      <c r="S827">
        <f t="shared" si="172"/>
        <v>624</v>
      </c>
      <c r="T827">
        <f t="shared" si="173"/>
        <v>4534</v>
      </c>
      <c r="U827">
        <f t="shared" si="174"/>
        <v>3910</v>
      </c>
      <c r="V827" s="9">
        <f t="shared" si="176"/>
        <v>1554</v>
      </c>
      <c r="W827" s="9">
        <f t="shared" si="176"/>
        <v>3285</v>
      </c>
      <c r="X827" s="9">
        <f t="shared" si="176"/>
        <v>3909</v>
      </c>
      <c r="Y827" s="9">
        <f t="shared" si="176"/>
        <v>7819</v>
      </c>
      <c r="Z827" s="9">
        <f t="shared" si="176"/>
        <v>4839</v>
      </c>
      <c r="AA827" s="9">
        <f t="shared" si="175"/>
        <v>5463</v>
      </c>
      <c r="AB827" s="9">
        <f t="shared" si="175"/>
        <v>9373</v>
      </c>
      <c r="AC827" s="9">
        <f t="shared" si="175"/>
        <v>624</v>
      </c>
      <c r="AD827" s="9">
        <f t="shared" si="175"/>
        <v>4534</v>
      </c>
      <c r="AE827" s="9">
        <f t="shared" si="175"/>
        <v>3910</v>
      </c>
    </row>
    <row r="828" spans="2:31" x14ac:dyDescent="0.25">
      <c r="B828" s="6">
        <v>18256</v>
      </c>
      <c r="C828" s="6">
        <f t="shared" si="177"/>
        <v>19810</v>
      </c>
      <c r="D828" s="6">
        <v>11242</v>
      </c>
      <c r="E828" s="6">
        <v>7585</v>
      </c>
      <c r="F828" s="6">
        <v>8887</v>
      </c>
      <c r="L828">
        <f t="shared" si="165"/>
        <v>-1554</v>
      </c>
      <c r="M828">
        <f t="shared" si="166"/>
        <v>7014</v>
      </c>
      <c r="N828">
        <f t="shared" si="167"/>
        <v>10671</v>
      </c>
      <c r="O828">
        <f t="shared" si="168"/>
        <v>9369</v>
      </c>
      <c r="P828">
        <f t="shared" si="169"/>
        <v>8568</v>
      </c>
      <c r="Q828">
        <f t="shared" si="170"/>
        <v>12225</v>
      </c>
      <c r="R828">
        <f t="shared" si="171"/>
        <v>10923</v>
      </c>
      <c r="S828">
        <f t="shared" si="172"/>
        <v>3657</v>
      </c>
      <c r="T828">
        <f t="shared" si="173"/>
        <v>2355</v>
      </c>
      <c r="U828">
        <f t="shared" si="174"/>
        <v>-1302</v>
      </c>
      <c r="V828" s="9">
        <f t="shared" si="176"/>
        <v>1554</v>
      </c>
      <c r="W828" s="9">
        <f t="shared" si="176"/>
        <v>7014</v>
      </c>
      <c r="X828" s="9">
        <f t="shared" si="176"/>
        <v>10671</v>
      </c>
      <c r="Y828" s="9">
        <f t="shared" si="176"/>
        <v>9369</v>
      </c>
      <c r="Z828" s="9">
        <f t="shared" si="176"/>
        <v>8568</v>
      </c>
      <c r="AA828" s="9">
        <f t="shared" si="175"/>
        <v>12225</v>
      </c>
      <c r="AB828" s="9">
        <f t="shared" si="175"/>
        <v>10923</v>
      </c>
      <c r="AC828" s="9">
        <f t="shared" si="175"/>
        <v>3657</v>
      </c>
      <c r="AD828" s="9">
        <f t="shared" si="175"/>
        <v>2355</v>
      </c>
      <c r="AE828" s="9">
        <f t="shared" si="175"/>
        <v>1302</v>
      </c>
    </row>
    <row r="829" spans="2:31" x14ac:dyDescent="0.25">
      <c r="B829" s="6">
        <v>22342</v>
      </c>
      <c r="C829" s="6">
        <f t="shared" si="177"/>
        <v>23896</v>
      </c>
      <c r="D829" s="6">
        <v>16425</v>
      </c>
      <c r="E829" s="6">
        <v>10245</v>
      </c>
      <c r="F829" s="6">
        <v>12179</v>
      </c>
      <c r="L829">
        <f t="shared" si="165"/>
        <v>-1554</v>
      </c>
      <c r="M829">
        <f t="shared" si="166"/>
        <v>5917</v>
      </c>
      <c r="N829">
        <f t="shared" si="167"/>
        <v>12097</v>
      </c>
      <c r="O829">
        <f t="shared" si="168"/>
        <v>10163</v>
      </c>
      <c r="P829">
        <f t="shared" si="169"/>
        <v>7471</v>
      </c>
      <c r="Q829">
        <f t="shared" si="170"/>
        <v>13651</v>
      </c>
      <c r="R829">
        <f t="shared" si="171"/>
        <v>11717</v>
      </c>
      <c r="S829">
        <f t="shared" si="172"/>
        <v>6180</v>
      </c>
      <c r="T829">
        <f t="shared" si="173"/>
        <v>4246</v>
      </c>
      <c r="U829">
        <f t="shared" si="174"/>
        <v>-1934</v>
      </c>
      <c r="V829" s="9">
        <f t="shared" si="176"/>
        <v>1554</v>
      </c>
      <c r="W829" s="9">
        <f t="shared" si="176"/>
        <v>5917</v>
      </c>
      <c r="X829" s="9">
        <f t="shared" si="176"/>
        <v>12097</v>
      </c>
      <c r="Y829" s="9">
        <f t="shared" si="176"/>
        <v>10163</v>
      </c>
      <c r="Z829" s="9">
        <f t="shared" si="176"/>
        <v>7471</v>
      </c>
      <c r="AA829" s="9">
        <f t="shared" si="175"/>
        <v>13651</v>
      </c>
      <c r="AB829" s="9">
        <f t="shared" si="175"/>
        <v>11717</v>
      </c>
      <c r="AC829" s="9">
        <f t="shared" si="175"/>
        <v>6180</v>
      </c>
      <c r="AD829" s="9">
        <f t="shared" si="175"/>
        <v>4246</v>
      </c>
      <c r="AE829" s="9">
        <f t="shared" si="175"/>
        <v>1934</v>
      </c>
    </row>
    <row r="830" spans="2:31" x14ac:dyDescent="0.25">
      <c r="B830" s="6">
        <v>33254</v>
      </c>
      <c r="C830" s="6">
        <f t="shared" si="177"/>
        <v>34808</v>
      </c>
      <c r="D830" s="6">
        <v>21252</v>
      </c>
      <c r="E830" s="6">
        <v>10623</v>
      </c>
      <c r="F830" s="6">
        <v>9239</v>
      </c>
      <c r="L830">
        <f t="shared" si="165"/>
        <v>-1554</v>
      </c>
      <c r="M830">
        <f t="shared" si="166"/>
        <v>12002</v>
      </c>
      <c r="N830">
        <f t="shared" si="167"/>
        <v>22631</v>
      </c>
      <c r="O830">
        <f t="shared" si="168"/>
        <v>24015</v>
      </c>
      <c r="P830">
        <f t="shared" si="169"/>
        <v>13556</v>
      </c>
      <c r="Q830">
        <f t="shared" si="170"/>
        <v>24185</v>
      </c>
      <c r="R830">
        <f t="shared" si="171"/>
        <v>25569</v>
      </c>
      <c r="S830">
        <f t="shared" si="172"/>
        <v>10629</v>
      </c>
      <c r="T830">
        <f t="shared" si="173"/>
        <v>12013</v>
      </c>
      <c r="U830">
        <f t="shared" si="174"/>
        <v>1384</v>
      </c>
      <c r="V830" s="9">
        <f t="shared" si="176"/>
        <v>1554</v>
      </c>
      <c r="W830" s="9">
        <f t="shared" si="176"/>
        <v>12002</v>
      </c>
      <c r="X830" s="9">
        <f t="shared" si="176"/>
        <v>22631</v>
      </c>
      <c r="Y830" s="9">
        <f t="shared" si="176"/>
        <v>24015</v>
      </c>
      <c r="Z830" s="9">
        <f t="shared" si="176"/>
        <v>13556</v>
      </c>
      <c r="AA830" s="9">
        <f t="shared" si="175"/>
        <v>24185</v>
      </c>
      <c r="AB830" s="9">
        <f t="shared" si="175"/>
        <v>25569</v>
      </c>
      <c r="AC830" s="9">
        <f t="shared" si="175"/>
        <v>10629</v>
      </c>
      <c r="AD830" s="9">
        <f t="shared" si="175"/>
        <v>12013</v>
      </c>
      <c r="AE830" s="9">
        <f t="shared" si="175"/>
        <v>1384</v>
      </c>
    </row>
    <row r="831" spans="2:31" x14ac:dyDescent="0.25">
      <c r="B831" s="6">
        <v>22287</v>
      </c>
      <c r="C831" s="6">
        <f t="shared" si="177"/>
        <v>23841</v>
      </c>
      <c r="D831" s="6">
        <v>15456</v>
      </c>
      <c r="E831" s="6">
        <v>11245</v>
      </c>
      <c r="F831" s="6">
        <v>9050</v>
      </c>
      <c r="L831">
        <f t="shared" si="165"/>
        <v>-1554</v>
      </c>
      <c r="M831">
        <f t="shared" si="166"/>
        <v>6831</v>
      </c>
      <c r="N831">
        <f t="shared" si="167"/>
        <v>11042</v>
      </c>
      <c r="O831">
        <f t="shared" si="168"/>
        <v>13237</v>
      </c>
      <c r="P831">
        <f t="shared" si="169"/>
        <v>8385</v>
      </c>
      <c r="Q831">
        <f t="shared" si="170"/>
        <v>12596</v>
      </c>
      <c r="R831">
        <f t="shared" si="171"/>
        <v>14791</v>
      </c>
      <c r="S831">
        <f t="shared" si="172"/>
        <v>4211</v>
      </c>
      <c r="T831">
        <f t="shared" si="173"/>
        <v>6406</v>
      </c>
      <c r="U831">
        <f t="shared" si="174"/>
        <v>2195</v>
      </c>
      <c r="V831" s="9">
        <f t="shared" si="176"/>
        <v>1554</v>
      </c>
      <c r="W831" s="9">
        <f t="shared" si="176"/>
        <v>6831</v>
      </c>
      <c r="X831" s="9">
        <f t="shared" si="176"/>
        <v>11042</v>
      </c>
      <c r="Y831" s="9">
        <f t="shared" si="176"/>
        <v>13237</v>
      </c>
      <c r="Z831" s="9">
        <f t="shared" si="176"/>
        <v>8385</v>
      </c>
      <c r="AA831" s="9">
        <f t="shared" ref="AA831:AE881" si="179">IF(Q831&gt;=0,Q831,-Q831)</f>
        <v>12596</v>
      </c>
      <c r="AB831" s="9">
        <f t="shared" si="179"/>
        <v>14791</v>
      </c>
      <c r="AC831" s="9">
        <f t="shared" si="179"/>
        <v>4211</v>
      </c>
      <c r="AD831" s="9">
        <f t="shared" si="179"/>
        <v>6406</v>
      </c>
      <c r="AE831" s="9">
        <f t="shared" si="179"/>
        <v>2195</v>
      </c>
    </row>
    <row r="832" spans="2:31" x14ac:dyDescent="0.25">
      <c r="B832" s="6">
        <v>13468</v>
      </c>
      <c r="C832" s="6">
        <f t="shared" si="177"/>
        <v>15022</v>
      </c>
      <c r="D832" s="6">
        <v>9648</v>
      </c>
      <c r="E832" s="6">
        <v>6288</v>
      </c>
      <c r="F832" s="6">
        <v>6101</v>
      </c>
      <c r="L832">
        <f t="shared" si="165"/>
        <v>-1554</v>
      </c>
      <c r="M832">
        <f t="shared" si="166"/>
        <v>3820</v>
      </c>
      <c r="N832">
        <f t="shared" si="167"/>
        <v>7180</v>
      </c>
      <c r="O832">
        <f t="shared" si="168"/>
        <v>7367</v>
      </c>
      <c r="P832">
        <f t="shared" si="169"/>
        <v>5374</v>
      </c>
      <c r="Q832">
        <f t="shared" si="170"/>
        <v>8734</v>
      </c>
      <c r="R832">
        <f t="shared" si="171"/>
        <v>8921</v>
      </c>
      <c r="S832">
        <f t="shared" si="172"/>
        <v>3360</v>
      </c>
      <c r="T832">
        <f t="shared" si="173"/>
        <v>3547</v>
      </c>
      <c r="U832">
        <f t="shared" si="174"/>
        <v>187</v>
      </c>
      <c r="V832" s="9">
        <f t="shared" ref="V832:Z882" si="180">IF(L832&gt;=0,L832,-L832)</f>
        <v>1554</v>
      </c>
      <c r="W832" s="9">
        <f t="shared" si="180"/>
        <v>3820</v>
      </c>
      <c r="X832" s="9">
        <f t="shared" si="180"/>
        <v>7180</v>
      </c>
      <c r="Y832" s="9">
        <f t="shared" si="180"/>
        <v>7367</v>
      </c>
      <c r="Z832" s="9">
        <f t="shared" si="180"/>
        <v>5374</v>
      </c>
      <c r="AA832" s="9">
        <f t="shared" si="179"/>
        <v>8734</v>
      </c>
      <c r="AB832" s="9">
        <f t="shared" si="179"/>
        <v>8921</v>
      </c>
      <c r="AC832" s="9">
        <f t="shared" si="179"/>
        <v>3360</v>
      </c>
      <c r="AD832" s="9">
        <f t="shared" si="179"/>
        <v>3547</v>
      </c>
      <c r="AE832" s="9">
        <f t="shared" si="179"/>
        <v>187</v>
      </c>
    </row>
    <row r="833" spans="2:31" x14ac:dyDescent="0.25">
      <c r="B833" s="6">
        <v>23856</v>
      </c>
      <c r="C833" s="6">
        <f t="shared" si="177"/>
        <v>25410</v>
      </c>
      <c r="D833" s="6">
        <v>16524</v>
      </c>
      <c r="E833" s="6">
        <v>12575</v>
      </c>
      <c r="F833" s="6">
        <v>9334</v>
      </c>
      <c r="L833">
        <f t="shared" ref="L833:L896" si="181">B833-C833</f>
        <v>-1554</v>
      </c>
      <c r="M833">
        <f t="shared" ref="M833:M896" si="182">B833-D833</f>
        <v>7332</v>
      </c>
      <c r="N833">
        <f t="shared" ref="N833:N896" si="183">B833-E833</f>
        <v>11281</v>
      </c>
      <c r="O833">
        <f t="shared" ref="O833:O896" si="184">B833-F833</f>
        <v>14522</v>
      </c>
      <c r="P833">
        <f t="shared" ref="P833:P896" si="185">C833-D833</f>
        <v>8886</v>
      </c>
      <c r="Q833">
        <f t="shared" ref="Q833:Q896" si="186">C833-E833</f>
        <v>12835</v>
      </c>
      <c r="R833">
        <f t="shared" ref="R833:R896" si="187">C833-F833</f>
        <v>16076</v>
      </c>
      <c r="S833">
        <f t="shared" ref="S833:S896" si="188">D833-E833</f>
        <v>3949</v>
      </c>
      <c r="T833">
        <f t="shared" ref="T833:T896" si="189">D833-F833</f>
        <v>7190</v>
      </c>
      <c r="U833">
        <f t="shared" ref="U833:U896" si="190">E833-F833</f>
        <v>3241</v>
      </c>
      <c r="V833" s="9">
        <f t="shared" si="180"/>
        <v>1554</v>
      </c>
      <c r="W833" s="9">
        <f t="shared" si="180"/>
        <v>7332</v>
      </c>
      <c r="X833" s="9">
        <f t="shared" si="180"/>
        <v>11281</v>
      </c>
      <c r="Y833" s="9">
        <f t="shared" si="180"/>
        <v>14522</v>
      </c>
      <c r="Z833" s="9">
        <f t="shared" si="180"/>
        <v>8886</v>
      </c>
      <c r="AA833" s="9">
        <f t="shared" si="179"/>
        <v>12835</v>
      </c>
      <c r="AB833" s="9">
        <f t="shared" si="179"/>
        <v>16076</v>
      </c>
      <c r="AC833" s="9">
        <f t="shared" si="179"/>
        <v>3949</v>
      </c>
      <c r="AD833" s="9">
        <f t="shared" si="179"/>
        <v>7190</v>
      </c>
      <c r="AE833" s="9">
        <f t="shared" si="179"/>
        <v>3241</v>
      </c>
    </row>
    <row r="834" spans="2:31" x14ac:dyDescent="0.25">
      <c r="B834" s="6">
        <v>35987</v>
      </c>
      <c r="C834" s="6">
        <f t="shared" si="177"/>
        <v>37541</v>
      </c>
      <c r="D834" s="6">
        <v>19548</v>
      </c>
      <c r="E834" s="6">
        <v>15882</v>
      </c>
      <c r="F834" s="6">
        <v>13456</v>
      </c>
      <c r="L834">
        <f t="shared" si="181"/>
        <v>-1554</v>
      </c>
      <c r="M834">
        <f t="shared" si="182"/>
        <v>16439</v>
      </c>
      <c r="N834">
        <f t="shared" si="183"/>
        <v>20105</v>
      </c>
      <c r="O834">
        <f t="shared" si="184"/>
        <v>22531</v>
      </c>
      <c r="P834">
        <f t="shared" si="185"/>
        <v>17993</v>
      </c>
      <c r="Q834">
        <f t="shared" si="186"/>
        <v>21659</v>
      </c>
      <c r="R834">
        <f t="shared" si="187"/>
        <v>24085</v>
      </c>
      <c r="S834">
        <f t="shared" si="188"/>
        <v>3666</v>
      </c>
      <c r="T834">
        <f t="shared" si="189"/>
        <v>6092</v>
      </c>
      <c r="U834">
        <f t="shared" si="190"/>
        <v>2426</v>
      </c>
      <c r="V834" s="9">
        <f t="shared" si="180"/>
        <v>1554</v>
      </c>
      <c r="W834" s="9">
        <f t="shared" si="180"/>
        <v>16439</v>
      </c>
      <c r="X834" s="9">
        <f t="shared" si="180"/>
        <v>20105</v>
      </c>
      <c r="Y834" s="9">
        <f t="shared" si="180"/>
        <v>22531</v>
      </c>
      <c r="Z834" s="9">
        <f t="shared" si="180"/>
        <v>17993</v>
      </c>
      <c r="AA834" s="9">
        <f t="shared" si="179"/>
        <v>21659</v>
      </c>
      <c r="AB834" s="9">
        <f t="shared" si="179"/>
        <v>24085</v>
      </c>
      <c r="AC834" s="9">
        <f t="shared" si="179"/>
        <v>3666</v>
      </c>
      <c r="AD834" s="9">
        <f t="shared" si="179"/>
        <v>6092</v>
      </c>
      <c r="AE834" s="9">
        <f t="shared" si="179"/>
        <v>2426</v>
      </c>
    </row>
    <row r="835" spans="2:31" x14ac:dyDescent="0.25">
      <c r="B835" s="6">
        <v>36675</v>
      </c>
      <c r="C835" s="6">
        <f t="shared" si="177"/>
        <v>38229</v>
      </c>
      <c r="D835" s="6">
        <v>20354</v>
      </c>
      <c r="E835" s="6">
        <v>16850</v>
      </c>
      <c r="F835" s="6">
        <v>14596</v>
      </c>
      <c r="L835">
        <f t="shared" si="181"/>
        <v>-1554</v>
      </c>
      <c r="M835">
        <f t="shared" si="182"/>
        <v>16321</v>
      </c>
      <c r="N835">
        <f t="shared" si="183"/>
        <v>19825</v>
      </c>
      <c r="O835">
        <f t="shared" si="184"/>
        <v>22079</v>
      </c>
      <c r="P835">
        <f t="shared" si="185"/>
        <v>17875</v>
      </c>
      <c r="Q835">
        <f t="shared" si="186"/>
        <v>21379</v>
      </c>
      <c r="R835">
        <f t="shared" si="187"/>
        <v>23633</v>
      </c>
      <c r="S835">
        <f t="shared" si="188"/>
        <v>3504</v>
      </c>
      <c r="T835">
        <f t="shared" si="189"/>
        <v>5758</v>
      </c>
      <c r="U835">
        <f t="shared" si="190"/>
        <v>2254</v>
      </c>
      <c r="V835" s="9">
        <f t="shared" si="180"/>
        <v>1554</v>
      </c>
      <c r="W835" s="9">
        <f t="shared" si="180"/>
        <v>16321</v>
      </c>
      <c r="X835" s="9">
        <f t="shared" si="180"/>
        <v>19825</v>
      </c>
      <c r="Y835" s="9">
        <f t="shared" si="180"/>
        <v>22079</v>
      </c>
      <c r="Z835" s="9">
        <f t="shared" si="180"/>
        <v>17875</v>
      </c>
      <c r="AA835" s="9">
        <f t="shared" si="179"/>
        <v>21379</v>
      </c>
      <c r="AB835" s="9">
        <f t="shared" si="179"/>
        <v>23633</v>
      </c>
      <c r="AC835" s="9">
        <f t="shared" si="179"/>
        <v>3504</v>
      </c>
      <c r="AD835" s="9">
        <f t="shared" si="179"/>
        <v>5758</v>
      </c>
      <c r="AE835" s="9">
        <f t="shared" si="179"/>
        <v>2254</v>
      </c>
    </row>
    <row r="836" spans="2:31" x14ac:dyDescent="0.25">
      <c r="B836" s="6">
        <v>29548</v>
      </c>
      <c r="C836" s="6">
        <f t="shared" si="177"/>
        <v>31102</v>
      </c>
      <c r="D836" s="6">
        <v>10254</v>
      </c>
      <c r="E836" s="6">
        <v>7585</v>
      </c>
      <c r="F836" s="6">
        <v>11411</v>
      </c>
      <c r="L836">
        <f t="shared" si="181"/>
        <v>-1554</v>
      </c>
      <c r="M836">
        <f t="shared" si="182"/>
        <v>19294</v>
      </c>
      <c r="N836">
        <f t="shared" si="183"/>
        <v>21963</v>
      </c>
      <c r="O836">
        <f t="shared" si="184"/>
        <v>18137</v>
      </c>
      <c r="P836">
        <f t="shared" si="185"/>
        <v>20848</v>
      </c>
      <c r="Q836">
        <f t="shared" si="186"/>
        <v>23517</v>
      </c>
      <c r="R836">
        <f t="shared" si="187"/>
        <v>19691</v>
      </c>
      <c r="S836">
        <f t="shared" si="188"/>
        <v>2669</v>
      </c>
      <c r="T836">
        <f t="shared" si="189"/>
        <v>-1157</v>
      </c>
      <c r="U836">
        <f t="shared" si="190"/>
        <v>-3826</v>
      </c>
      <c r="V836" s="9">
        <f t="shared" si="180"/>
        <v>1554</v>
      </c>
      <c r="W836" s="9">
        <f t="shared" si="180"/>
        <v>19294</v>
      </c>
      <c r="X836" s="9">
        <f t="shared" si="180"/>
        <v>21963</v>
      </c>
      <c r="Y836" s="9">
        <f t="shared" si="180"/>
        <v>18137</v>
      </c>
      <c r="Z836" s="9">
        <f t="shared" si="180"/>
        <v>20848</v>
      </c>
      <c r="AA836" s="9">
        <f t="shared" si="179"/>
        <v>23517</v>
      </c>
      <c r="AB836" s="9">
        <f t="shared" si="179"/>
        <v>19691</v>
      </c>
      <c r="AC836" s="9">
        <f t="shared" si="179"/>
        <v>2669</v>
      </c>
      <c r="AD836" s="9">
        <f t="shared" si="179"/>
        <v>1157</v>
      </c>
      <c r="AE836" s="9">
        <f t="shared" si="179"/>
        <v>3826</v>
      </c>
    </row>
    <row r="837" spans="2:31" x14ac:dyDescent="0.25">
      <c r="B837" s="6">
        <v>35978</v>
      </c>
      <c r="C837" s="6">
        <f t="shared" si="177"/>
        <v>37532</v>
      </c>
      <c r="D837" s="6">
        <v>14675</v>
      </c>
      <c r="E837" s="6">
        <v>10258</v>
      </c>
      <c r="F837" s="6">
        <v>9869</v>
      </c>
      <c r="L837">
        <f t="shared" si="181"/>
        <v>-1554</v>
      </c>
      <c r="M837">
        <f t="shared" si="182"/>
        <v>21303</v>
      </c>
      <c r="N837">
        <f t="shared" si="183"/>
        <v>25720</v>
      </c>
      <c r="O837">
        <f t="shared" si="184"/>
        <v>26109</v>
      </c>
      <c r="P837">
        <f t="shared" si="185"/>
        <v>22857</v>
      </c>
      <c r="Q837">
        <f t="shared" si="186"/>
        <v>27274</v>
      </c>
      <c r="R837">
        <f t="shared" si="187"/>
        <v>27663</v>
      </c>
      <c r="S837">
        <f t="shared" si="188"/>
        <v>4417</v>
      </c>
      <c r="T837">
        <f t="shared" si="189"/>
        <v>4806</v>
      </c>
      <c r="U837">
        <f t="shared" si="190"/>
        <v>389</v>
      </c>
      <c r="V837" s="9">
        <f t="shared" si="180"/>
        <v>1554</v>
      </c>
      <c r="W837" s="9">
        <f t="shared" si="180"/>
        <v>21303</v>
      </c>
      <c r="X837" s="9">
        <f t="shared" si="180"/>
        <v>25720</v>
      </c>
      <c r="Y837" s="9">
        <f t="shared" si="180"/>
        <v>26109</v>
      </c>
      <c r="Z837" s="9">
        <f t="shared" si="180"/>
        <v>22857</v>
      </c>
      <c r="AA837" s="9">
        <f t="shared" si="179"/>
        <v>27274</v>
      </c>
      <c r="AB837" s="9">
        <f t="shared" si="179"/>
        <v>27663</v>
      </c>
      <c r="AC837" s="9">
        <f t="shared" si="179"/>
        <v>4417</v>
      </c>
      <c r="AD837" s="9">
        <f t="shared" si="179"/>
        <v>4806</v>
      </c>
      <c r="AE837" s="9">
        <f t="shared" si="179"/>
        <v>389</v>
      </c>
    </row>
    <row r="838" spans="2:31" x14ac:dyDescent="0.25">
      <c r="B838" s="6">
        <v>26482</v>
      </c>
      <c r="C838" s="6">
        <f t="shared" si="177"/>
        <v>28036</v>
      </c>
      <c r="D838" s="6">
        <v>12455</v>
      </c>
      <c r="E838" s="6">
        <v>8547</v>
      </c>
      <c r="F838" s="6">
        <v>8568</v>
      </c>
      <c r="L838">
        <f t="shared" si="181"/>
        <v>-1554</v>
      </c>
      <c r="M838">
        <f t="shared" si="182"/>
        <v>14027</v>
      </c>
      <c r="N838">
        <f t="shared" si="183"/>
        <v>17935</v>
      </c>
      <c r="O838">
        <f t="shared" si="184"/>
        <v>17914</v>
      </c>
      <c r="P838">
        <f t="shared" si="185"/>
        <v>15581</v>
      </c>
      <c r="Q838">
        <f t="shared" si="186"/>
        <v>19489</v>
      </c>
      <c r="R838">
        <f t="shared" si="187"/>
        <v>19468</v>
      </c>
      <c r="S838">
        <f t="shared" si="188"/>
        <v>3908</v>
      </c>
      <c r="T838">
        <f t="shared" si="189"/>
        <v>3887</v>
      </c>
      <c r="U838">
        <f t="shared" si="190"/>
        <v>-21</v>
      </c>
      <c r="V838" s="9">
        <f t="shared" si="180"/>
        <v>1554</v>
      </c>
      <c r="W838" s="9">
        <f t="shared" si="180"/>
        <v>14027</v>
      </c>
      <c r="X838" s="9">
        <f t="shared" si="180"/>
        <v>17935</v>
      </c>
      <c r="Y838" s="9">
        <f t="shared" si="180"/>
        <v>17914</v>
      </c>
      <c r="Z838" s="9">
        <f t="shared" si="180"/>
        <v>15581</v>
      </c>
      <c r="AA838" s="9">
        <f t="shared" si="179"/>
        <v>19489</v>
      </c>
      <c r="AB838" s="9">
        <f t="shared" si="179"/>
        <v>19468</v>
      </c>
      <c r="AC838" s="9">
        <f t="shared" si="179"/>
        <v>3908</v>
      </c>
      <c r="AD838" s="9">
        <f t="shared" si="179"/>
        <v>3887</v>
      </c>
      <c r="AE838" s="9">
        <f t="shared" si="179"/>
        <v>21</v>
      </c>
    </row>
    <row r="839" spans="2:31" x14ac:dyDescent="0.25">
      <c r="B839" s="6">
        <v>16799</v>
      </c>
      <c r="C839" s="6">
        <f t="shared" si="177"/>
        <v>18353</v>
      </c>
      <c r="D839" s="6">
        <v>8545</v>
      </c>
      <c r="E839" s="6">
        <v>6478</v>
      </c>
      <c r="F839" s="6">
        <v>6124</v>
      </c>
      <c r="L839">
        <f t="shared" si="181"/>
        <v>-1554</v>
      </c>
      <c r="M839">
        <f t="shared" si="182"/>
        <v>8254</v>
      </c>
      <c r="N839">
        <f t="shared" si="183"/>
        <v>10321</v>
      </c>
      <c r="O839">
        <f t="shared" si="184"/>
        <v>10675</v>
      </c>
      <c r="P839">
        <f t="shared" si="185"/>
        <v>9808</v>
      </c>
      <c r="Q839">
        <f t="shared" si="186"/>
        <v>11875</v>
      </c>
      <c r="R839">
        <f t="shared" si="187"/>
        <v>12229</v>
      </c>
      <c r="S839">
        <f t="shared" si="188"/>
        <v>2067</v>
      </c>
      <c r="T839">
        <f t="shared" si="189"/>
        <v>2421</v>
      </c>
      <c r="U839">
        <f t="shared" si="190"/>
        <v>354</v>
      </c>
      <c r="V839" s="9">
        <f t="shared" si="180"/>
        <v>1554</v>
      </c>
      <c r="W839" s="9">
        <f t="shared" si="180"/>
        <v>8254</v>
      </c>
      <c r="X839" s="9">
        <f t="shared" si="180"/>
        <v>10321</v>
      </c>
      <c r="Y839" s="9">
        <f t="shared" si="180"/>
        <v>10675</v>
      </c>
      <c r="Z839" s="9">
        <f t="shared" si="180"/>
        <v>9808</v>
      </c>
      <c r="AA839" s="9">
        <f t="shared" si="179"/>
        <v>11875</v>
      </c>
      <c r="AB839" s="9">
        <f t="shared" si="179"/>
        <v>12229</v>
      </c>
      <c r="AC839" s="9">
        <f t="shared" si="179"/>
        <v>2067</v>
      </c>
      <c r="AD839" s="9">
        <f t="shared" si="179"/>
        <v>2421</v>
      </c>
      <c r="AE839" s="9">
        <f t="shared" si="179"/>
        <v>354</v>
      </c>
    </row>
    <row r="840" spans="2:31" x14ac:dyDescent="0.25">
      <c r="B840" s="6">
        <v>27988</v>
      </c>
      <c r="C840" s="6">
        <f t="shared" si="177"/>
        <v>29542</v>
      </c>
      <c r="D840" s="6">
        <v>11542</v>
      </c>
      <c r="E840" s="6">
        <v>7847</v>
      </c>
      <c r="F840" s="6">
        <v>5105</v>
      </c>
      <c r="L840">
        <f t="shared" si="181"/>
        <v>-1554</v>
      </c>
      <c r="M840">
        <f t="shared" si="182"/>
        <v>16446</v>
      </c>
      <c r="N840">
        <f t="shared" si="183"/>
        <v>20141</v>
      </c>
      <c r="O840">
        <f t="shared" si="184"/>
        <v>22883</v>
      </c>
      <c r="P840">
        <f t="shared" si="185"/>
        <v>18000</v>
      </c>
      <c r="Q840">
        <f t="shared" si="186"/>
        <v>21695</v>
      </c>
      <c r="R840">
        <f t="shared" si="187"/>
        <v>24437</v>
      </c>
      <c r="S840">
        <f t="shared" si="188"/>
        <v>3695</v>
      </c>
      <c r="T840">
        <f t="shared" si="189"/>
        <v>6437</v>
      </c>
      <c r="U840">
        <f t="shared" si="190"/>
        <v>2742</v>
      </c>
      <c r="V840" s="9">
        <f t="shared" si="180"/>
        <v>1554</v>
      </c>
      <c r="W840" s="9">
        <f t="shared" si="180"/>
        <v>16446</v>
      </c>
      <c r="X840" s="9">
        <f t="shared" si="180"/>
        <v>20141</v>
      </c>
      <c r="Y840" s="9">
        <f t="shared" si="180"/>
        <v>22883</v>
      </c>
      <c r="Z840" s="9">
        <f t="shared" si="180"/>
        <v>18000</v>
      </c>
      <c r="AA840" s="9">
        <f t="shared" si="179"/>
        <v>21695</v>
      </c>
      <c r="AB840" s="9">
        <f t="shared" si="179"/>
        <v>24437</v>
      </c>
      <c r="AC840" s="9">
        <f t="shared" si="179"/>
        <v>3695</v>
      </c>
      <c r="AD840" s="9">
        <f t="shared" si="179"/>
        <v>6437</v>
      </c>
      <c r="AE840" s="9">
        <f t="shared" si="179"/>
        <v>2742</v>
      </c>
    </row>
    <row r="841" spans="2:31" x14ac:dyDescent="0.25">
      <c r="B841" s="7">
        <v>35700</v>
      </c>
      <c r="C841" s="7">
        <v>38020</v>
      </c>
      <c r="D841" s="6">
        <v>12790</v>
      </c>
      <c r="E841" s="7">
        <v>8061</v>
      </c>
      <c r="F841" s="7">
        <v>7832</v>
      </c>
      <c r="L841">
        <f t="shared" si="181"/>
        <v>-2320</v>
      </c>
      <c r="M841">
        <f t="shared" si="182"/>
        <v>22910</v>
      </c>
      <c r="N841">
        <f t="shared" si="183"/>
        <v>27639</v>
      </c>
      <c r="O841">
        <f t="shared" si="184"/>
        <v>27868</v>
      </c>
      <c r="P841">
        <f t="shared" si="185"/>
        <v>25230</v>
      </c>
      <c r="Q841">
        <f t="shared" si="186"/>
        <v>29959</v>
      </c>
      <c r="R841">
        <f t="shared" si="187"/>
        <v>30188</v>
      </c>
      <c r="S841">
        <f t="shared" si="188"/>
        <v>4729</v>
      </c>
      <c r="T841">
        <f t="shared" si="189"/>
        <v>4958</v>
      </c>
      <c r="U841">
        <f t="shared" si="190"/>
        <v>229</v>
      </c>
      <c r="V841" s="9">
        <f t="shared" si="180"/>
        <v>2320</v>
      </c>
      <c r="W841" s="9">
        <f t="shared" si="180"/>
        <v>22910</v>
      </c>
      <c r="X841" s="9">
        <f t="shared" si="180"/>
        <v>27639</v>
      </c>
      <c r="Y841" s="9">
        <f t="shared" si="180"/>
        <v>27868</v>
      </c>
      <c r="Z841" s="9">
        <f t="shared" si="180"/>
        <v>25230</v>
      </c>
      <c r="AA841" s="9">
        <f t="shared" si="179"/>
        <v>29959</v>
      </c>
      <c r="AB841" s="9">
        <f t="shared" si="179"/>
        <v>30188</v>
      </c>
      <c r="AC841" s="9">
        <f t="shared" si="179"/>
        <v>4729</v>
      </c>
      <c r="AD841" s="9">
        <f t="shared" si="179"/>
        <v>4958</v>
      </c>
      <c r="AE841" s="9">
        <f t="shared" si="179"/>
        <v>229</v>
      </c>
    </row>
    <row r="842" spans="2:31" x14ac:dyDescent="0.25">
      <c r="B842" s="6">
        <v>35470</v>
      </c>
      <c r="C842" s="6">
        <f>B842+126</f>
        <v>35596</v>
      </c>
      <c r="D842" s="6">
        <f>D902+2685</f>
        <v>11741</v>
      </c>
      <c r="E842" s="6">
        <v>7898</v>
      </c>
      <c r="F842" s="6">
        <v>7612</v>
      </c>
      <c r="L842">
        <f t="shared" si="181"/>
        <v>-126</v>
      </c>
      <c r="M842">
        <f t="shared" si="182"/>
        <v>23729</v>
      </c>
      <c r="N842">
        <f t="shared" si="183"/>
        <v>27572</v>
      </c>
      <c r="O842">
        <f t="shared" si="184"/>
        <v>27858</v>
      </c>
      <c r="P842">
        <f t="shared" si="185"/>
        <v>23855</v>
      </c>
      <c r="Q842">
        <f t="shared" si="186"/>
        <v>27698</v>
      </c>
      <c r="R842">
        <f t="shared" si="187"/>
        <v>27984</v>
      </c>
      <c r="S842">
        <f t="shared" si="188"/>
        <v>3843</v>
      </c>
      <c r="T842">
        <f t="shared" si="189"/>
        <v>4129</v>
      </c>
      <c r="U842">
        <f t="shared" si="190"/>
        <v>286</v>
      </c>
      <c r="V842" s="9">
        <f t="shared" si="180"/>
        <v>126</v>
      </c>
      <c r="W842" s="9">
        <f t="shared" si="180"/>
        <v>23729</v>
      </c>
      <c r="X842" s="9">
        <f t="shared" si="180"/>
        <v>27572</v>
      </c>
      <c r="Y842" s="9">
        <f t="shared" si="180"/>
        <v>27858</v>
      </c>
      <c r="Z842" s="9">
        <f t="shared" si="180"/>
        <v>23855</v>
      </c>
      <c r="AA842" s="9">
        <f t="shared" si="179"/>
        <v>27698</v>
      </c>
      <c r="AB842" s="9">
        <f t="shared" si="179"/>
        <v>27984</v>
      </c>
      <c r="AC842" s="9">
        <f t="shared" si="179"/>
        <v>3843</v>
      </c>
      <c r="AD842" s="9">
        <f t="shared" si="179"/>
        <v>4129</v>
      </c>
      <c r="AE842" s="9">
        <f t="shared" si="179"/>
        <v>286</v>
      </c>
    </row>
    <row r="843" spans="2:31" x14ac:dyDescent="0.25">
      <c r="B843" s="6">
        <v>28617</v>
      </c>
      <c r="C843" s="6">
        <f t="shared" ref="C843:C900" si="191">B843+126</f>
        <v>28743</v>
      </c>
      <c r="D843" s="6">
        <v>10525</v>
      </c>
      <c r="E843" s="6">
        <v>6844</v>
      </c>
      <c r="F843" s="6">
        <v>6478</v>
      </c>
      <c r="L843">
        <f t="shared" si="181"/>
        <v>-126</v>
      </c>
      <c r="M843">
        <f t="shared" si="182"/>
        <v>18092</v>
      </c>
      <c r="N843">
        <f t="shared" si="183"/>
        <v>21773</v>
      </c>
      <c r="O843">
        <f t="shared" si="184"/>
        <v>22139</v>
      </c>
      <c r="P843">
        <f t="shared" si="185"/>
        <v>18218</v>
      </c>
      <c r="Q843">
        <f t="shared" si="186"/>
        <v>21899</v>
      </c>
      <c r="R843">
        <f t="shared" si="187"/>
        <v>22265</v>
      </c>
      <c r="S843">
        <f t="shared" si="188"/>
        <v>3681</v>
      </c>
      <c r="T843">
        <f t="shared" si="189"/>
        <v>4047</v>
      </c>
      <c r="U843">
        <f t="shared" si="190"/>
        <v>366</v>
      </c>
      <c r="V843" s="9">
        <f t="shared" si="180"/>
        <v>126</v>
      </c>
      <c r="W843" s="9">
        <f t="shared" si="180"/>
        <v>18092</v>
      </c>
      <c r="X843" s="9">
        <f t="shared" si="180"/>
        <v>21773</v>
      </c>
      <c r="Y843" s="9">
        <f t="shared" si="180"/>
        <v>22139</v>
      </c>
      <c r="Z843" s="9">
        <f t="shared" si="180"/>
        <v>18218</v>
      </c>
      <c r="AA843" s="9">
        <f t="shared" si="179"/>
        <v>21899</v>
      </c>
      <c r="AB843" s="9">
        <f t="shared" si="179"/>
        <v>22265</v>
      </c>
      <c r="AC843" s="9">
        <f t="shared" si="179"/>
        <v>3681</v>
      </c>
      <c r="AD843" s="9">
        <f t="shared" si="179"/>
        <v>4047</v>
      </c>
      <c r="AE843" s="9">
        <f t="shared" si="179"/>
        <v>366</v>
      </c>
    </row>
    <row r="844" spans="2:31" x14ac:dyDescent="0.25">
      <c r="B844" s="6">
        <v>23531</v>
      </c>
      <c r="C844" s="6">
        <v>26555</v>
      </c>
      <c r="D844" s="6">
        <v>8795</v>
      </c>
      <c r="E844" s="6">
        <v>7874</v>
      </c>
      <c r="F844" s="6">
        <v>7642</v>
      </c>
      <c r="L844">
        <f t="shared" si="181"/>
        <v>-3024</v>
      </c>
      <c r="M844">
        <f t="shared" si="182"/>
        <v>14736</v>
      </c>
      <c r="N844">
        <f t="shared" si="183"/>
        <v>15657</v>
      </c>
      <c r="O844">
        <f t="shared" si="184"/>
        <v>15889</v>
      </c>
      <c r="P844">
        <f t="shared" si="185"/>
        <v>17760</v>
      </c>
      <c r="Q844">
        <f t="shared" si="186"/>
        <v>18681</v>
      </c>
      <c r="R844">
        <f t="shared" si="187"/>
        <v>18913</v>
      </c>
      <c r="S844">
        <f t="shared" si="188"/>
        <v>921</v>
      </c>
      <c r="T844">
        <f t="shared" si="189"/>
        <v>1153</v>
      </c>
      <c r="U844">
        <f t="shared" si="190"/>
        <v>232</v>
      </c>
      <c r="V844" s="9">
        <f t="shared" si="180"/>
        <v>3024</v>
      </c>
      <c r="W844" s="9">
        <f t="shared" si="180"/>
        <v>14736</v>
      </c>
      <c r="X844" s="9">
        <f t="shared" si="180"/>
        <v>15657</v>
      </c>
      <c r="Y844" s="9">
        <f t="shared" si="180"/>
        <v>15889</v>
      </c>
      <c r="Z844" s="9">
        <f t="shared" si="180"/>
        <v>17760</v>
      </c>
      <c r="AA844" s="9">
        <f t="shared" si="179"/>
        <v>18681</v>
      </c>
      <c r="AB844" s="9">
        <f t="shared" si="179"/>
        <v>18913</v>
      </c>
      <c r="AC844" s="9">
        <f t="shared" si="179"/>
        <v>921</v>
      </c>
      <c r="AD844" s="9">
        <f t="shared" si="179"/>
        <v>1153</v>
      </c>
      <c r="AE844" s="9">
        <f t="shared" si="179"/>
        <v>232</v>
      </c>
    </row>
    <row r="845" spans="2:31" x14ac:dyDescent="0.25">
      <c r="B845" s="6">
        <v>32951</v>
      </c>
      <c r="C845" s="6">
        <f t="shared" si="191"/>
        <v>33077</v>
      </c>
      <c r="D845" s="6">
        <v>13545</v>
      </c>
      <c r="E845" s="6">
        <v>8546</v>
      </c>
      <c r="F845" s="6">
        <v>7522</v>
      </c>
      <c r="L845">
        <f t="shared" si="181"/>
        <v>-126</v>
      </c>
      <c r="M845">
        <f t="shared" si="182"/>
        <v>19406</v>
      </c>
      <c r="N845">
        <f t="shared" si="183"/>
        <v>24405</v>
      </c>
      <c r="O845">
        <f t="shared" si="184"/>
        <v>25429</v>
      </c>
      <c r="P845">
        <f t="shared" si="185"/>
        <v>19532</v>
      </c>
      <c r="Q845">
        <f t="shared" si="186"/>
        <v>24531</v>
      </c>
      <c r="R845">
        <f t="shared" si="187"/>
        <v>25555</v>
      </c>
      <c r="S845">
        <f t="shared" si="188"/>
        <v>4999</v>
      </c>
      <c r="T845">
        <f t="shared" si="189"/>
        <v>6023</v>
      </c>
      <c r="U845">
        <f t="shared" si="190"/>
        <v>1024</v>
      </c>
      <c r="V845" s="9">
        <f t="shared" si="180"/>
        <v>126</v>
      </c>
      <c r="W845" s="9">
        <f t="shared" si="180"/>
        <v>19406</v>
      </c>
      <c r="X845" s="9">
        <f t="shared" si="180"/>
        <v>24405</v>
      </c>
      <c r="Y845" s="9">
        <f t="shared" si="180"/>
        <v>25429</v>
      </c>
      <c r="Z845" s="9">
        <f t="shared" si="180"/>
        <v>19532</v>
      </c>
      <c r="AA845" s="9">
        <f t="shared" si="179"/>
        <v>24531</v>
      </c>
      <c r="AB845" s="9">
        <f t="shared" si="179"/>
        <v>25555</v>
      </c>
      <c r="AC845" s="9">
        <f t="shared" si="179"/>
        <v>4999</v>
      </c>
      <c r="AD845" s="9">
        <f t="shared" si="179"/>
        <v>6023</v>
      </c>
      <c r="AE845" s="9">
        <f t="shared" si="179"/>
        <v>1024</v>
      </c>
    </row>
    <row r="846" spans="2:31" x14ac:dyDescent="0.25">
      <c r="B846" s="6">
        <v>37894</v>
      </c>
      <c r="C846" s="6">
        <f t="shared" si="191"/>
        <v>38020</v>
      </c>
      <c r="D846" s="6">
        <v>16482</v>
      </c>
      <c r="E846" s="6">
        <v>9541</v>
      </c>
      <c r="F846" s="6">
        <v>7856</v>
      </c>
      <c r="L846">
        <f t="shared" si="181"/>
        <v>-126</v>
      </c>
      <c r="M846">
        <f t="shared" si="182"/>
        <v>21412</v>
      </c>
      <c r="N846">
        <f t="shared" si="183"/>
        <v>28353</v>
      </c>
      <c r="O846">
        <f t="shared" si="184"/>
        <v>30038</v>
      </c>
      <c r="P846">
        <f t="shared" si="185"/>
        <v>21538</v>
      </c>
      <c r="Q846">
        <f t="shared" si="186"/>
        <v>28479</v>
      </c>
      <c r="R846">
        <f t="shared" si="187"/>
        <v>30164</v>
      </c>
      <c r="S846">
        <f t="shared" si="188"/>
        <v>6941</v>
      </c>
      <c r="T846">
        <f t="shared" si="189"/>
        <v>8626</v>
      </c>
      <c r="U846">
        <f t="shared" si="190"/>
        <v>1685</v>
      </c>
      <c r="V846" s="9">
        <f t="shared" si="180"/>
        <v>126</v>
      </c>
      <c r="W846" s="9">
        <f t="shared" si="180"/>
        <v>21412</v>
      </c>
      <c r="X846" s="9">
        <f t="shared" si="180"/>
        <v>28353</v>
      </c>
      <c r="Y846" s="9">
        <f t="shared" si="180"/>
        <v>30038</v>
      </c>
      <c r="Z846" s="9">
        <f t="shared" si="180"/>
        <v>21538</v>
      </c>
      <c r="AA846" s="9">
        <f t="shared" si="179"/>
        <v>28479</v>
      </c>
      <c r="AB846" s="9">
        <f t="shared" si="179"/>
        <v>30164</v>
      </c>
      <c r="AC846" s="9">
        <f t="shared" si="179"/>
        <v>6941</v>
      </c>
      <c r="AD846" s="9">
        <f t="shared" si="179"/>
        <v>8626</v>
      </c>
      <c r="AE846" s="9">
        <f t="shared" si="179"/>
        <v>1685</v>
      </c>
    </row>
    <row r="847" spans="2:31" x14ac:dyDescent="0.25">
      <c r="B847" s="6">
        <v>32671</v>
      </c>
      <c r="C847" s="6">
        <v>35481</v>
      </c>
      <c r="D847" s="6">
        <v>14365</v>
      </c>
      <c r="E847" s="6">
        <v>8542</v>
      </c>
      <c r="F847" s="6">
        <v>8624</v>
      </c>
      <c r="L847">
        <f t="shared" si="181"/>
        <v>-2810</v>
      </c>
      <c r="M847">
        <f t="shared" si="182"/>
        <v>18306</v>
      </c>
      <c r="N847">
        <f t="shared" si="183"/>
        <v>24129</v>
      </c>
      <c r="O847">
        <f t="shared" si="184"/>
        <v>24047</v>
      </c>
      <c r="P847">
        <f t="shared" si="185"/>
        <v>21116</v>
      </c>
      <c r="Q847">
        <f t="shared" si="186"/>
        <v>26939</v>
      </c>
      <c r="R847">
        <f t="shared" si="187"/>
        <v>26857</v>
      </c>
      <c r="S847">
        <f t="shared" si="188"/>
        <v>5823</v>
      </c>
      <c r="T847">
        <f t="shared" si="189"/>
        <v>5741</v>
      </c>
      <c r="U847">
        <f t="shared" si="190"/>
        <v>-82</v>
      </c>
      <c r="V847" s="9">
        <f t="shared" si="180"/>
        <v>2810</v>
      </c>
      <c r="W847" s="9">
        <f t="shared" si="180"/>
        <v>18306</v>
      </c>
      <c r="X847" s="9">
        <f t="shared" si="180"/>
        <v>24129</v>
      </c>
      <c r="Y847" s="9">
        <f t="shared" si="180"/>
        <v>24047</v>
      </c>
      <c r="Z847" s="9">
        <f t="shared" si="180"/>
        <v>21116</v>
      </c>
      <c r="AA847" s="9">
        <f t="shared" si="179"/>
        <v>26939</v>
      </c>
      <c r="AB847" s="9">
        <f t="shared" si="179"/>
        <v>26857</v>
      </c>
      <c r="AC847" s="9">
        <f t="shared" si="179"/>
        <v>5823</v>
      </c>
      <c r="AD847" s="9">
        <f t="shared" si="179"/>
        <v>5741</v>
      </c>
      <c r="AE847" s="9">
        <f t="shared" si="179"/>
        <v>82</v>
      </c>
    </row>
    <row r="848" spans="2:31" x14ac:dyDescent="0.25">
      <c r="B848" s="6">
        <v>28360</v>
      </c>
      <c r="C848" s="6">
        <f t="shared" si="191"/>
        <v>28486</v>
      </c>
      <c r="D848" s="6">
        <v>10552</v>
      </c>
      <c r="E848" s="6">
        <v>7576</v>
      </c>
      <c r="F848" s="6">
        <v>7354</v>
      </c>
      <c r="L848">
        <f t="shared" si="181"/>
        <v>-126</v>
      </c>
      <c r="M848">
        <f t="shared" si="182"/>
        <v>17808</v>
      </c>
      <c r="N848">
        <f t="shared" si="183"/>
        <v>20784</v>
      </c>
      <c r="O848">
        <f t="shared" si="184"/>
        <v>21006</v>
      </c>
      <c r="P848">
        <f t="shared" si="185"/>
        <v>17934</v>
      </c>
      <c r="Q848">
        <f t="shared" si="186"/>
        <v>20910</v>
      </c>
      <c r="R848">
        <f t="shared" si="187"/>
        <v>21132</v>
      </c>
      <c r="S848">
        <f t="shared" si="188"/>
        <v>2976</v>
      </c>
      <c r="T848">
        <f t="shared" si="189"/>
        <v>3198</v>
      </c>
      <c r="U848">
        <f t="shared" si="190"/>
        <v>222</v>
      </c>
      <c r="V848" s="9">
        <f t="shared" si="180"/>
        <v>126</v>
      </c>
      <c r="W848" s="9">
        <f t="shared" si="180"/>
        <v>17808</v>
      </c>
      <c r="X848" s="9">
        <f t="shared" si="180"/>
        <v>20784</v>
      </c>
      <c r="Y848" s="9">
        <f t="shared" si="180"/>
        <v>21006</v>
      </c>
      <c r="Z848" s="9">
        <f t="shared" si="180"/>
        <v>17934</v>
      </c>
      <c r="AA848" s="9">
        <f t="shared" si="179"/>
        <v>20910</v>
      </c>
      <c r="AB848" s="9">
        <f t="shared" si="179"/>
        <v>21132</v>
      </c>
      <c r="AC848" s="9">
        <f t="shared" si="179"/>
        <v>2976</v>
      </c>
      <c r="AD848" s="9">
        <f t="shared" si="179"/>
        <v>3198</v>
      </c>
      <c r="AE848" s="9">
        <f t="shared" si="179"/>
        <v>222</v>
      </c>
    </row>
    <row r="849" spans="2:31" x14ac:dyDescent="0.25">
      <c r="B849" s="6">
        <v>22472</v>
      </c>
      <c r="C849" s="6">
        <v>23452</v>
      </c>
      <c r="D849" s="6">
        <v>9854</v>
      </c>
      <c r="E849" s="6">
        <v>7525</v>
      </c>
      <c r="F849" s="6">
        <v>7518</v>
      </c>
      <c r="L849">
        <f t="shared" si="181"/>
        <v>-980</v>
      </c>
      <c r="M849">
        <f t="shared" si="182"/>
        <v>12618</v>
      </c>
      <c r="N849">
        <f t="shared" si="183"/>
        <v>14947</v>
      </c>
      <c r="O849">
        <f t="shared" si="184"/>
        <v>14954</v>
      </c>
      <c r="P849">
        <f t="shared" si="185"/>
        <v>13598</v>
      </c>
      <c r="Q849">
        <f t="shared" si="186"/>
        <v>15927</v>
      </c>
      <c r="R849">
        <f t="shared" si="187"/>
        <v>15934</v>
      </c>
      <c r="S849">
        <f t="shared" si="188"/>
        <v>2329</v>
      </c>
      <c r="T849">
        <f t="shared" si="189"/>
        <v>2336</v>
      </c>
      <c r="U849">
        <f t="shared" si="190"/>
        <v>7</v>
      </c>
      <c r="V849" s="9">
        <f t="shared" si="180"/>
        <v>980</v>
      </c>
      <c r="W849" s="9">
        <f t="shared" si="180"/>
        <v>12618</v>
      </c>
      <c r="X849" s="9">
        <f t="shared" si="180"/>
        <v>14947</v>
      </c>
      <c r="Y849" s="9">
        <f t="shared" si="180"/>
        <v>14954</v>
      </c>
      <c r="Z849" s="9">
        <f t="shared" si="180"/>
        <v>13598</v>
      </c>
      <c r="AA849" s="9">
        <f t="shared" si="179"/>
        <v>15927</v>
      </c>
      <c r="AB849" s="9">
        <f t="shared" si="179"/>
        <v>15934</v>
      </c>
      <c r="AC849" s="9">
        <f t="shared" si="179"/>
        <v>2329</v>
      </c>
      <c r="AD849" s="9">
        <f t="shared" si="179"/>
        <v>2336</v>
      </c>
      <c r="AE849" s="9">
        <f t="shared" si="179"/>
        <v>7</v>
      </c>
    </row>
    <row r="850" spans="2:31" x14ac:dyDescent="0.25">
      <c r="B850" s="6">
        <v>25696</v>
      </c>
      <c r="C850" s="6">
        <f t="shared" si="191"/>
        <v>25822</v>
      </c>
      <c r="D850" s="6">
        <v>11542</v>
      </c>
      <c r="E850" s="6">
        <v>8542</v>
      </c>
      <c r="F850" s="6">
        <v>8040</v>
      </c>
      <c r="L850">
        <f t="shared" si="181"/>
        <v>-126</v>
      </c>
      <c r="M850">
        <f t="shared" si="182"/>
        <v>14154</v>
      </c>
      <c r="N850">
        <f t="shared" si="183"/>
        <v>17154</v>
      </c>
      <c r="O850">
        <f t="shared" si="184"/>
        <v>17656</v>
      </c>
      <c r="P850">
        <f t="shared" si="185"/>
        <v>14280</v>
      </c>
      <c r="Q850">
        <f t="shared" si="186"/>
        <v>17280</v>
      </c>
      <c r="R850">
        <f t="shared" si="187"/>
        <v>17782</v>
      </c>
      <c r="S850">
        <f t="shared" si="188"/>
        <v>3000</v>
      </c>
      <c r="T850">
        <f t="shared" si="189"/>
        <v>3502</v>
      </c>
      <c r="U850">
        <f t="shared" si="190"/>
        <v>502</v>
      </c>
      <c r="V850" s="9">
        <f t="shared" si="180"/>
        <v>126</v>
      </c>
      <c r="W850" s="9">
        <f t="shared" si="180"/>
        <v>14154</v>
      </c>
      <c r="X850" s="9">
        <f t="shared" si="180"/>
        <v>17154</v>
      </c>
      <c r="Y850" s="9">
        <f t="shared" si="180"/>
        <v>17656</v>
      </c>
      <c r="Z850" s="9">
        <f t="shared" si="180"/>
        <v>14280</v>
      </c>
      <c r="AA850" s="9">
        <f t="shared" si="179"/>
        <v>17280</v>
      </c>
      <c r="AB850" s="9">
        <f t="shared" si="179"/>
        <v>17782</v>
      </c>
      <c r="AC850" s="9">
        <f t="shared" si="179"/>
        <v>3000</v>
      </c>
      <c r="AD850" s="9">
        <f t="shared" si="179"/>
        <v>3502</v>
      </c>
      <c r="AE850" s="9">
        <f t="shared" si="179"/>
        <v>502</v>
      </c>
    </row>
    <row r="851" spans="2:31" x14ac:dyDescent="0.25">
      <c r="B851" s="6">
        <v>22467</v>
      </c>
      <c r="C851" s="6">
        <f t="shared" si="191"/>
        <v>22593</v>
      </c>
      <c r="D851" s="6">
        <v>8984</v>
      </c>
      <c r="E851" s="6">
        <v>6488</v>
      </c>
      <c r="F851" s="6">
        <v>6284</v>
      </c>
      <c r="L851">
        <f t="shared" si="181"/>
        <v>-126</v>
      </c>
      <c r="M851">
        <f t="shared" si="182"/>
        <v>13483</v>
      </c>
      <c r="N851">
        <f t="shared" si="183"/>
        <v>15979</v>
      </c>
      <c r="O851">
        <f t="shared" si="184"/>
        <v>16183</v>
      </c>
      <c r="P851">
        <f t="shared" si="185"/>
        <v>13609</v>
      </c>
      <c r="Q851">
        <f t="shared" si="186"/>
        <v>16105</v>
      </c>
      <c r="R851">
        <f t="shared" si="187"/>
        <v>16309</v>
      </c>
      <c r="S851">
        <f t="shared" si="188"/>
        <v>2496</v>
      </c>
      <c r="T851">
        <f t="shared" si="189"/>
        <v>2700</v>
      </c>
      <c r="U851">
        <f t="shared" si="190"/>
        <v>204</v>
      </c>
      <c r="V851" s="9">
        <f t="shared" si="180"/>
        <v>126</v>
      </c>
      <c r="W851" s="9">
        <f t="shared" si="180"/>
        <v>13483</v>
      </c>
      <c r="X851" s="9">
        <f t="shared" si="180"/>
        <v>15979</v>
      </c>
      <c r="Y851" s="9">
        <f t="shared" si="180"/>
        <v>16183</v>
      </c>
      <c r="Z851" s="9">
        <f t="shared" si="180"/>
        <v>13609</v>
      </c>
      <c r="AA851" s="9">
        <f t="shared" si="179"/>
        <v>16105</v>
      </c>
      <c r="AB851" s="9">
        <f t="shared" si="179"/>
        <v>16309</v>
      </c>
      <c r="AC851" s="9">
        <f t="shared" si="179"/>
        <v>2496</v>
      </c>
      <c r="AD851" s="9">
        <f t="shared" si="179"/>
        <v>2700</v>
      </c>
      <c r="AE851" s="9">
        <f t="shared" si="179"/>
        <v>204</v>
      </c>
    </row>
    <row r="852" spans="2:31" x14ac:dyDescent="0.25">
      <c r="B852" s="6">
        <v>22648</v>
      </c>
      <c r="C852" s="6">
        <v>22344</v>
      </c>
      <c r="D852" s="6">
        <v>8452</v>
      </c>
      <c r="E852" s="6">
        <v>6455</v>
      </c>
      <c r="F852" s="6">
        <v>6527</v>
      </c>
      <c r="L852">
        <f t="shared" si="181"/>
        <v>304</v>
      </c>
      <c r="M852">
        <f t="shared" si="182"/>
        <v>14196</v>
      </c>
      <c r="N852">
        <f t="shared" si="183"/>
        <v>16193</v>
      </c>
      <c r="O852">
        <f t="shared" si="184"/>
        <v>16121</v>
      </c>
      <c r="P852">
        <f t="shared" si="185"/>
        <v>13892</v>
      </c>
      <c r="Q852">
        <f t="shared" si="186"/>
        <v>15889</v>
      </c>
      <c r="R852">
        <f t="shared" si="187"/>
        <v>15817</v>
      </c>
      <c r="S852">
        <f t="shared" si="188"/>
        <v>1997</v>
      </c>
      <c r="T852">
        <f t="shared" si="189"/>
        <v>1925</v>
      </c>
      <c r="U852">
        <f t="shared" si="190"/>
        <v>-72</v>
      </c>
      <c r="V852" s="9">
        <f t="shared" si="180"/>
        <v>304</v>
      </c>
      <c r="W852" s="9">
        <f t="shared" si="180"/>
        <v>14196</v>
      </c>
      <c r="X852" s="9">
        <f t="shared" si="180"/>
        <v>16193</v>
      </c>
      <c r="Y852" s="9">
        <f t="shared" si="180"/>
        <v>16121</v>
      </c>
      <c r="Z852" s="9">
        <f t="shared" si="180"/>
        <v>13892</v>
      </c>
      <c r="AA852" s="9">
        <f t="shared" si="179"/>
        <v>15889</v>
      </c>
      <c r="AB852" s="9">
        <f t="shared" si="179"/>
        <v>15817</v>
      </c>
      <c r="AC852" s="9">
        <f t="shared" si="179"/>
        <v>1997</v>
      </c>
      <c r="AD852" s="9">
        <f t="shared" si="179"/>
        <v>1925</v>
      </c>
      <c r="AE852" s="9">
        <f t="shared" si="179"/>
        <v>72</v>
      </c>
    </row>
    <row r="853" spans="2:31" x14ac:dyDescent="0.25">
      <c r="B853" s="6">
        <v>25987</v>
      </c>
      <c r="C853" s="6">
        <f t="shared" si="191"/>
        <v>26113</v>
      </c>
      <c r="D853" s="6">
        <v>11064</v>
      </c>
      <c r="E853" s="6">
        <v>8045</v>
      </c>
      <c r="F853" s="6">
        <v>8282</v>
      </c>
      <c r="L853">
        <f t="shared" si="181"/>
        <v>-126</v>
      </c>
      <c r="M853">
        <f t="shared" si="182"/>
        <v>14923</v>
      </c>
      <c r="N853">
        <f t="shared" si="183"/>
        <v>17942</v>
      </c>
      <c r="O853">
        <f t="shared" si="184"/>
        <v>17705</v>
      </c>
      <c r="P853">
        <f t="shared" si="185"/>
        <v>15049</v>
      </c>
      <c r="Q853">
        <f t="shared" si="186"/>
        <v>18068</v>
      </c>
      <c r="R853">
        <f t="shared" si="187"/>
        <v>17831</v>
      </c>
      <c r="S853">
        <f t="shared" si="188"/>
        <v>3019</v>
      </c>
      <c r="T853">
        <f t="shared" si="189"/>
        <v>2782</v>
      </c>
      <c r="U853">
        <f t="shared" si="190"/>
        <v>-237</v>
      </c>
      <c r="V853" s="9">
        <f t="shared" si="180"/>
        <v>126</v>
      </c>
      <c r="W853" s="9">
        <f t="shared" si="180"/>
        <v>14923</v>
      </c>
      <c r="X853" s="9">
        <f t="shared" si="180"/>
        <v>17942</v>
      </c>
      <c r="Y853" s="9">
        <f t="shared" si="180"/>
        <v>17705</v>
      </c>
      <c r="Z853" s="9">
        <f t="shared" si="180"/>
        <v>15049</v>
      </c>
      <c r="AA853" s="9">
        <f t="shared" si="179"/>
        <v>18068</v>
      </c>
      <c r="AB853" s="9">
        <f t="shared" si="179"/>
        <v>17831</v>
      </c>
      <c r="AC853" s="9">
        <f t="shared" si="179"/>
        <v>3019</v>
      </c>
      <c r="AD853" s="9">
        <f t="shared" si="179"/>
        <v>2782</v>
      </c>
      <c r="AE853" s="9">
        <f t="shared" si="179"/>
        <v>237</v>
      </c>
    </row>
    <row r="854" spans="2:31" x14ac:dyDescent="0.25">
      <c r="B854" s="6">
        <v>21904</v>
      </c>
      <c r="C854" s="6">
        <f t="shared" si="191"/>
        <v>22030</v>
      </c>
      <c r="D854" s="6">
        <v>7545</v>
      </c>
      <c r="E854" s="6">
        <v>6452</v>
      </c>
      <c r="F854" s="6">
        <v>6042</v>
      </c>
      <c r="L854">
        <f t="shared" si="181"/>
        <v>-126</v>
      </c>
      <c r="M854">
        <f t="shared" si="182"/>
        <v>14359</v>
      </c>
      <c r="N854">
        <f t="shared" si="183"/>
        <v>15452</v>
      </c>
      <c r="O854">
        <f t="shared" si="184"/>
        <v>15862</v>
      </c>
      <c r="P854">
        <f t="shared" si="185"/>
        <v>14485</v>
      </c>
      <c r="Q854">
        <f t="shared" si="186"/>
        <v>15578</v>
      </c>
      <c r="R854">
        <f t="shared" si="187"/>
        <v>15988</v>
      </c>
      <c r="S854">
        <f t="shared" si="188"/>
        <v>1093</v>
      </c>
      <c r="T854">
        <f t="shared" si="189"/>
        <v>1503</v>
      </c>
      <c r="U854">
        <f t="shared" si="190"/>
        <v>410</v>
      </c>
      <c r="V854" s="9">
        <f t="shared" si="180"/>
        <v>126</v>
      </c>
      <c r="W854" s="9">
        <f t="shared" si="180"/>
        <v>14359</v>
      </c>
      <c r="X854" s="9">
        <f t="shared" si="180"/>
        <v>15452</v>
      </c>
      <c r="Y854" s="9">
        <f t="shared" si="180"/>
        <v>15862</v>
      </c>
      <c r="Z854" s="9">
        <f t="shared" si="180"/>
        <v>14485</v>
      </c>
      <c r="AA854" s="9">
        <f t="shared" si="179"/>
        <v>15578</v>
      </c>
      <c r="AB854" s="9">
        <f t="shared" si="179"/>
        <v>15988</v>
      </c>
      <c r="AC854" s="9">
        <f t="shared" si="179"/>
        <v>1093</v>
      </c>
      <c r="AD854" s="9">
        <f t="shared" si="179"/>
        <v>1503</v>
      </c>
      <c r="AE854" s="9">
        <f t="shared" si="179"/>
        <v>410</v>
      </c>
    </row>
    <row r="855" spans="2:31" x14ac:dyDescent="0.25">
      <c r="B855" s="6">
        <v>19562</v>
      </c>
      <c r="C855" s="6">
        <v>20234</v>
      </c>
      <c r="D855" s="6">
        <v>6487</v>
      </c>
      <c r="E855" s="6">
        <v>4355</v>
      </c>
      <c r="F855" s="6">
        <v>4058</v>
      </c>
      <c r="L855">
        <f t="shared" si="181"/>
        <v>-672</v>
      </c>
      <c r="M855">
        <f t="shared" si="182"/>
        <v>13075</v>
      </c>
      <c r="N855">
        <f t="shared" si="183"/>
        <v>15207</v>
      </c>
      <c r="O855">
        <f t="shared" si="184"/>
        <v>15504</v>
      </c>
      <c r="P855">
        <f t="shared" si="185"/>
        <v>13747</v>
      </c>
      <c r="Q855">
        <f t="shared" si="186"/>
        <v>15879</v>
      </c>
      <c r="R855">
        <f t="shared" si="187"/>
        <v>16176</v>
      </c>
      <c r="S855">
        <f t="shared" si="188"/>
        <v>2132</v>
      </c>
      <c r="T855">
        <f t="shared" si="189"/>
        <v>2429</v>
      </c>
      <c r="U855">
        <f t="shared" si="190"/>
        <v>297</v>
      </c>
      <c r="V855" s="9">
        <f t="shared" si="180"/>
        <v>672</v>
      </c>
      <c r="W855" s="9">
        <f t="shared" si="180"/>
        <v>13075</v>
      </c>
      <c r="X855" s="9">
        <f t="shared" si="180"/>
        <v>15207</v>
      </c>
      <c r="Y855" s="9">
        <f t="shared" si="180"/>
        <v>15504</v>
      </c>
      <c r="Z855" s="9">
        <f t="shared" si="180"/>
        <v>13747</v>
      </c>
      <c r="AA855" s="9">
        <f t="shared" si="179"/>
        <v>15879</v>
      </c>
      <c r="AB855" s="9">
        <f t="shared" si="179"/>
        <v>16176</v>
      </c>
      <c r="AC855" s="9">
        <f t="shared" si="179"/>
        <v>2132</v>
      </c>
      <c r="AD855" s="9">
        <f t="shared" si="179"/>
        <v>2429</v>
      </c>
      <c r="AE855" s="9">
        <f t="shared" si="179"/>
        <v>297</v>
      </c>
    </row>
    <row r="856" spans="2:31" x14ac:dyDescent="0.25">
      <c r="B856" s="6">
        <v>20907</v>
      </c>
      <c r="C856" s="6">
        <f t="shared" si="191"/>
        <v>21033</v>
      </c>
      <c r="D856" s="6">
        <v>7642</v>
      </c>
      <c r="E856" s="6">
        <v>5384</v>
      </c>
      <c r="F856" s="6">
        <v>7255</v>
      </c>
      <c r="L856">
        <f t="shared" si="181"/>
        <v>-126</v>
      </c>
      <c r="M856">
        <f t="shared" si="182"/>
        <v>13265</v>
      </c>
      <c r="N856">
        <f t="shared" si="183"/>
        <v>15523</v>
      </c>
      <c r="O856">
        <f t="shared" si="184"/>
        <v>13652</v>
      </c>
      <c r="P856">
        <f t="shared" si="185"/>
        <v>13391</v>
      </c>
      <c r="Q856">
        <f t="shared" si="186"/>
        <v>15649</v>
      </c>
      <c r="R856">
        <f t="shared" si="187"/>
        <v>13778</v>
      </c>
      <c r="S856">
        <f t="shared" si="188"/>
        <v>2258</v>
      </c>
      <c r="T856">
        <f t="shared" si="189"/>
        <v>387</v>
      </c>
      <c r="U856">
        <f t="shared" si="190"/>
        <v>-1871</v>
      </c>
      <c r="V856" s="9">
        <f t="shared" si="180"/>
        <v>126</v>
      </c>
      <c r="W856" s="9">
        <f t="shared" si="180"/>
        <v>13265</v>
      </c>
      <c r="X856" s="9">
        <f t="shared" si="180"/>
        <v>15523</v>
      </c>
      <c r="Y856" s="9">
        <f t="shared" si="180"/>
        <v>13652</v>
      </c>
      <c r="Z856" s="9">
        <f t="shared" si="180"/>
        <v>13391</v>
      </c>
      <c r="AA856" s="9">
        <f t="shared" si="179"/>
        <v>15649</v>
      </c>
      <c r="AB856" s="9">
        <f t="shared" si="179"/>
        <v>13778</v>
      </c>
      <c r="AC856" s="9">
        <f t="shared" si="179"/>
        <v>2258</v>
      </c>
      <c r="AD856" s="9">
        <f t="shared" si="179"/>
        <v>387</v>
      </c>
      <c r="AE856" s="9">
        <f t="shared" si="179"/>
        <v>1871</v>
      </c>
    </row>
    <row r="857" spans="2:31" x14ac:dyDescent="0.25">
      <c r="B857" s="6">
        <v>18657</v>
      </c>
      <c r="C857" s="6">
        <f t="shared" si="191"/>
        <v>18783</v>
      </c>
      <c r="D857" s="6">
        <v>5648</v>
      </c>
      <c r="E857" s="6">
        <v>4566</v>
      </c>
      <c r="F857" s="6">
        <v>5245</v>
      </c>
      <c r="L857">
        <f t="shared" si="181"/>
        <v>-126</v>
      </c>
      <c r="M857">
        <f t="shared" si="182"/>
        <v>13009</v>
      </c>
      <c r="N857">
        <f t="shared" si="183"/>
        <v>14091</v>
      </c>
      <c r="O857">
        <f t="shared" si="184"/>
        <v>13412</v>
      </c>
      <c r="P857">
        <f t="shared" si="185"/>
        <v>13135</v>
      </c>
      <c r="Q857">
        <f t="shared" si="186"/>
        <v>14217</v>
      </c>
      <c r="R857">
        <f t="shared" si="187"/>
        <v>13538</v>
      </c>
      <c r="S857">
        <f t="shared" si="188"/>
        <v>1082</v>
      </c>
      <c r="T857">
        <f t="shared" si="189"/>
        <v>403</v>
      </c>
      <c r="U857">
        <f t="shared" si="190"/>
        <v>-679</v>
      </c>
      <c r="V857" s="9">
        <f t="shared" si="180"/>
        <v>126</v>
      </c>
      <c r="W857" s="9">
        <f t="shared" si="180"/>
        <v>13009</v>
      </c>
      <c r="X857" s="9">
        <f t="shared" si="180"/>
        <v>14091</v>
      </c>
      <c r="Y857" s="9">
        <f t="shared" si="180"/>
        <v>13412</v>
      </c>
      <c r="Z857" s="9">
        <f t="shared" si="180"/>
        <v>13135</v>
      </c>
      <c r="AA857" s="9">
        <f t="shared" si="179"/>
        <v>14217</v>
      </c>
      <c r="AB857" s="9">
        <f t="shared" si="179"/>
        <v>13538</v>
      </c>
      <c r="AC857" s="9">
        <f t="shared" si="179"/>
        <v>1082</v>
      </c>
      <c r="AD857" s="9">
        <f t="shared" si="179"/>
        <v>403</v>
      </c>
      <c r="AE857" s="9">
        <f t="shared" si="179"/>
        <v>679</v>
      </c>
    </row>
    <row r="858" spans="2:31" x14ac:dyDescent="0.25">
      <c r="B858" s="6">
        <v>20240</v>
      </c>
      <c r="C858" s="6">
        <v>23742</v>
      </c>
      <c r="D858" s="6">
        <v>13542</v>
      </c>
      <c r="E858" s="6">
        <v>7528</v>
      </c>
      <c r="F858" s="6">
        <v>7895</v>
      </c>
      <c r="L858">
        <f t="shared" si="181"/>
        <v>-3502</v>
      </c>
      <c r="M858">
        <f t="shared" si="182"/>
        <v>6698</v>
      </c>
      <c r="N858">
        <f t="shared" si="183"/>
        <v>12712</v>
      </c>
      <c r="O858">
        <f t="shared" si="184"/>
        <v>12345</v>
      </c>
      <c r="P858">
        <f t="shared" si="185"/>
        <v>10200</v>
      </c>
      <c r="Q858">
        <f t="shared" si="186"/>
        <v>16214</v>
      </c>
      <c r="R858">
        <f t="shared" si="187"/>
        <v>15847</v>
      </c>
      <c r="S858">
        <f t="shared" si="188"/>
        <v>6014</v>
      </c>
      <c r="T858">
        <f t="shared" si="189"/>
        <v>5647</v>
      </c>
      <c r="U858">
        <f t="shared" si="190"/>
        <v>-367</v>
      </c>
      <c r="V858" s="9">
        <f t="shared" si="180"/>
        <v>3502</v>
      </c>
      <c r="W858" s="9">
        <f t="shared" si="180"/>
        <v>6698</v>
      </c>
      <c r="X858" s="9">
        <f t="shared" si="180"/>
        <v>12712</v>
      </c>
      <c r="Y858" s="9">
        <f t="shared" si="180"/>
        <v>12345</v>
      </c>
      <c r="Z858" s="9">
        <f t="shared" si="180"/>
        <v>10200</v>
      </c>
      <c r="AA858" s="9">
        <f t="shared" si="179"/>
        <v>16214</v>
      </c>
      <c r="AB858" s="9">
        <f t="shared" si="179"/>
        <v>15847</v>
      </c>
      <c r="AC858" s="9">
        <f t="shared" si="179"/>
        <v>6014</v>
      </c>
      <c r="AD858" s="9">
        <f t="shared" si="179"/>
        <v>5647</v>
      </c>
      <c r="AE858" s="9">
        <f t="shared" si="179"/>
        <v>367</v>
      </c>
    </row>
    <row r="859" spans="2:31" x14ac:dyDescent="0.25">
      <c r="B859" s="6">
        <v>16258</v>
      </c>
      <c r="C859" s="6">
        <f t="shared" si="191"/>
        <v>16384</v>
      </c>
      <c r="D859" s="6">
        <v>8542</v>
      </c>
      <c r="E859" s="6">
        <v>6452</v>
      </c>
      <c r="F859" s="6">
        <v>6255</v>
      </c>
      <c r="L859">
        <f t="shared" si="181"/>
        <v>-126</v>
      </c>
      <c r="M859">
        <f t="shared" si="182"/>
        <v>7716</v>
      </c>
      <c r="N859">
        <f t="shared" si="183"/>
        <v>9806</v>
      </c>
      <c r="O859">
        <f t="shared" si="184"/>
        <v>10003</v>
      </c>
      <c r="P859">
        <f t="shared" si="185"/>
        <v>7842</v>
      </c>
      <c r="Q859">
        <f t="shared" si="186"/>
        <v>9932</v>
      </c>
      <c r="R859">
        <f t="shared" si="187"/>
        <v>10129</v>
      </c>
      <c r="S859">
        <f t="shared" si="188"/>
        <v>2090</v>
      </c>
      <c r="T859">
        <f t="shared" si="189"/>
        <v>2287</v>
      </c>
      <c r="U859">
        <f t="shared" si="190"/>
        <v>197</v>
      </c>
      <c r="V859" s="9">
        <f t="shared" si="180"/>
        <v>126</v>
      </c>
      <c r="W859" s="9">
        <f t="shared" si="180"/>
        <v>7716</v>
      </c>
      <c r="X859" s="9">
        <f t="shared" si="180"/>
        <v>9806</v>
      </c>
      <c r="Y859" s="9">
        <f t="shared" si="180"/>
        <v>10003</v>
      </c>
      <c r="Z859" s="9">
        <f t="shared" si="180"/>
        <v>7842</v>
      </c>
      <c r="AA859" s="9">
        <f t="shared" si="179"/>
        <v>9932</v>
      </c>
      <c r="AB859" s="9">
        <f t="shared" si="179"/>
        <v>10129</v>
      </c>
      <c r="AC859" s="9">
        <f t="shared" si="179"/>
        <v>2090</v>
      </c>
      <c r="AD859" s="9">
        <f t="shared" si="179"/>
        <v>2287</v>
      </c>
      <c r="AE859" s="9">
        <f t="shared" si="179"/>
        <v>197</v>
      </c>
    </row>
    <row r="860" spans="2:31" x14ac:dyDescent="0.25">
      <c r="B860" s="6">
        <v>14382</v>
      </c>
      <c r="C860" s="6">
        <v>15642</v>
      </c>
      <c r="D860" s="6">
        <v>8474</v>
      </c>
      <c r="E860" s="6">
        <v>5642</v>
      </c>
      <c r="F860" s="6">
        <v>6982</v>
      </c>
      <c r="L860">
        <f t="shared" si="181"/>
        <v>-1260</v>
      </c>
      <c r="M860">
        <f t="shared" si="182"/>
        <v>5908</v>
      </c>
      <c r="N860">
        <f t="shared" si="183"/>
        <v>8740</v>
      </c>
      <c r="O860">
        <f t="shared" si="184"/>
        <v>7400</v>
      </c>
      <c r="P860">
        <f t="shared" si="185"/>
        <v>7168</v>
      </c>
      <c r="Q860">
        <f t="shared" si="186"/>
        <v>10000</v>
      </c>
      <c r="R860">
        <f t="shared" si="187"/>
        <v>8660</v>
      </c>
      <c r="S860">
        <f t="shared" si="188"/>
        <v>2832</v>
      </c>
      <c r="T860">
        <f t="shared" si="189"/>
        <v>1492</v>
      </c>
      <c r="U860">
        <f t="shared" si="190"/>
        <v>-1340</v>
      </c>
      <c r="V860" s="9">
        <f t="shared" si="180"/>
        <v>1260</v>
      </c>
      <c r="W860" s="9">
        <f t="shared" si="180"/>
        <v>5908</v>
      </c>
      <c r="X860" s="9">
        <f t="shared" si="180"/>
        <v>8740</v>
      </c>
      <c r="Y860" s="9">
        <f t="shared" si="180"/>
        <v>7400</v>
      </c>
      <c r="Z860" s="9">
        <f t="shared" si="180"/>
        <v>7168</v>
      </c>
      <c r="AA860" s="9">
        <f t="shared" si="179"/>
        <v>10000</v>
      </c>
      <c r="AB860" s="9">
        <f t="shared" si="179"/>
        <v>8660</v>
      </c>
      <c r="AC860" s="9">
        <f t="shared" si="179"/>
        <v>2832</v>
      </c>
      <c r="AD860" s="9">
        <f t="shared" si="179"/>
        <v>1492</v>
      </c>
      <c r="AE860" s="9">
        <f t="shared" si="179"/>
        <v>1340</v>
      </c>
    </row>
    <row r="861" spans="2:31" x14ac:dyDescent="0.25">
      <c r="B861" s="6">
        <v>12348</v>
      </c>
      <c r="C861" s="6">
        <f t="shared" si="191"/>
        <v>12474</v>
      </c>
      <c r="D861" s="6">
        <v>6572</v>
      </c>
      <c r="E861" s="6">
        <v>4556</v>
      </c>
      <c r="F861" s="6">
        <v>4352</v>
      </c>
      <c r="L861">
        <f t="shared" si="181"/>
        <v>-126</v>
      </c>
      <c r="M861">
        <f t="shared" si="182"/>
        <v>5776</v>
      </c>
      <c r="N861">
        <f t="shared" si="183"/>
        <v>7792</v>
      </c>
      <c r="O861">
        <f t="shared" si="184"/>
        <v>7996</v>
      </c>
      <c r="P861">
        <f t="shared" si="185"/>
        <v>5902</v>
      </c>
      <c r="Q861">
        <f t="shared" si="186"/>
        <v>7918</v>
      </c>
      <c r="R861">
        <f t="shared" si="187"/>
        <v>8122</v>
      </c>
      <c r="S861">
        <f t="shared" si="188"/>
        <v>2016</v>
      </c>
      <c r="T861">
        <f t="shared" si="189"/>
        <v>2220</v>
      </c>
      <c r="U861">
        <f t="shared" si="190"/>
        <v>204</v>
      </c>
      <c r="V861" s="9">
        <f t="shared" si="180"/>
        <v>126</v>
      </c>
      <c r="W861" s="9">
        <f t="shared" si="180"/>
        <v>5776</v>
      </c>
      <c r="X861" s="9">
        <f t="shared" si="180"/>
        <v>7792</v>
      </c>
      <c r="Y861" s="9">
        <f t="shared" si="180"/>
        <v>7996</v>
      </c>
      <c r="Z861" s="9">
        <f t="shared" si="180"/>
        <v>5902</v>
      </c>
      <c r="AA861" s="9">
        <f t="shared" si="179"/>
        <v>7918</v>
      </c>
      <c r="AB861" s="9">
        <f t="shared" si="179"/>
        <v>8122</v>
      </c>
      <c r="AC861" s="9">
        <f t="shared" si="179"/>
        <v>2016</v>
      </c>
      <c r="AD861" s="9">
        <f t="shared" si="179"/>
        <v>2220</v>
      </c>
      <c r="AE861" s="9">
        <f t="shared" si="179"/>
        <v>204</v>
      </c>
    </row>
    <row r="862" spans="2:31" x14ac:dyDescent="0.25">
      <c r="B862" s="6">
        <v>16857</v>
      </c>
      <c r="C862" s="6">
        <f t="shared" si="191"/>
        <v>16983</v>
      </c>
      <c r="D862" s="6">
        <v>8674</v>
      </c>
      <c r="E862" s="6">
        <v>5845</v>
      </c>
      <c r="F862" s="6">
        <v>4927</v>
      </c>
      <c r="L862">
        <f t="shared" si="181"/>
        <v>-126</v>
      </c>
      <c r="M862">
        <f t="shared" si="182"/>
        <v>8183</v>
      </c>
      <c r="N862">
        <f t="shared" si="183"/>
        <v>11012</v>
      </c>
      <c r="O862">
        <f t="shared" si="184"/>
        <v>11930</v>
      </c>
      <c r="P862">
        <f t="shared" si="185"/>
        <v>8309</v>
      </c>
      <c r="Q862">
        <f t="shared" si="186"/>
        <v>11138</v>
      </c>
      <c r="R862">
        <f t="shared" si="187"/>
        <v>12056</v>
      </c>
      <c r="S862">
        <f t="shared" si="188"/>
        <v>2829</v>
      </c>
      <c r="T862">
        <f t="shared" si="189"/>
        <v>3747</v>
      </c>
      <c r="U862">
        <f t="shared" si="190"/>
        <v>918</v>
      </c>
      <c r="V862" s="9">
        <f t="shared" si="180"/>
        <v>126</v>
      </c>
      <c r="W862" s="9">
        <f t="shared" si="180"/>
        <v>8183</v>
      </c>
      <c r="X862" s="9">
        <f t="shared" si="180"/>
        <v>11012</v>
      </c>
      <c r="Y862" s="9">
        <f t="shared" si="180"/>
        <v>11930</v>
      </c>
      <c r="Z862" s="9">
        <f t="shared" si="180"/>
        <v>8309</v>
      </c>
      <c r="AA862" s="9">
        <f t="shared" si="179"/>
        <v>11138</v>
      </c>
      <c r="AB862" s="9">
        <f t="shared" si="179"/>
        <v>12056</v>
      </c>
      <c r="AC862" s="9">
        <f t="shared" si="179"/>
        <v>2829</v>
      </c>
      <c r="AD862" s="9">
        <f t="shared" si="179"/>
        <v>3747</v>
      </c>
      <c r="AE862" s="9">
        <f t="shared" si="179"/>
        <v>918</v>
      </c>
    </row>
    <row r="863" spans="2:31" x14ac:dyDescent="0.25">
      <c r="B863" s="6">
        <v>19562</v>
      </c>
      <c r="C863" s="6">
        <v>20347</v>
      </c>
      <c r="D863" s="6">
        <v>9578</v>
      </c>
      <c r="E863" s="6">
        <v>7554</v>
      </c>
      <c r="F863" s="6">
        <v>7200</v>
      </c>
      <c r="L863">
        <f t="shared" si="181"/>
        <v>-785</v>
      </c>
      <c r="M863">
        <f t="shared" si="182"/>
        <v>9984</v>
      </c>
      <c r="N863">
        <f t="shared" si="183"/>
        <v>12008</v>
      </c>
      <c r="O863">
        <f t="shared" si="184"/>
        <v>12362</v>
      </c>
      <c r="P863">
        <f t="shared" si="185"/>
        <v>10769</v>
      </c>
      <c r="Q863">
        <f t="shared" si="186"/>
        <v>12793</v>
      </c>
      <c r="R863">
        <f t="shared" si="187"/>
        <v>13147</v>
      </c>
      <c r="S863">
        <f t="shared" si="188"/>
        <v>2024</v>
      </c>
      <c r="T863">
        <f t="shared" si="189"/>
        <v>2378</v>
      </c>
      <c r="U863">
        <f t="shared" si="190"/>
        <v>354</v>
      </c>
      <c r="V863" s="9">
        <f t="shared" si="180"/>
        <v>785</v>
      </c>
      <c r="W863" s="9">
        <f t="shared" si="180"/>
        <v>9984</v>
      </c>
      <c r="X863" s="9">
        <f t="shared" si="180"/>
        <v>12008</v>
      </c>
      <c r="Y863" s="9">
        <f t="shared" si="180"/>
        <v>12362</v>
      </c>
      <c r="Z863" s="9">
        <f t="shared" si="180"/>
        <v>10769</v>
      </c>
      <c r="AA863" s="9">
        <f t="shared" si="179"/>
        <v>12793</v>
      </c>
      <c r="AB863" s="9">
        <f t="shared" si="179"/>
        <v>13147</v>
      </c>
      <c r="AC863" s="9">
        <f t="shared" si="179"/>
        <v>2024</v>
      </c>
      <c r="AD863" s="9">
        <f t="shared" si="179"/>
        <v>2378</v>
      </c>
      <c r="AE863" s="9">
        <f t="shared" si="179"/>
        <v>354</v>
      </c>
    </row>
    <row r="864" spans="2:31" x14ac:dyDescent="0.25">
      <c r="B864" s="6">
        <v>20907</v>
      </c>
      <c r="C864" s="6">
        <f t="shared" si="191"/>
        <v>21033</v>
      </c>
      <c r="D864" s="6">
        <v>10255</v>
      </c>
      <c r="E864" s="6">
        <v>8125</v>
      </c>
      <c r="F864" s="6">
        <v>8652</v>
      </c>
      <c r="L864">
        <f t="shared" si="181"/>
        <v>-126</v>
      </c>
      <c r="M864">
        <f t="shared" si="182"/>
        <v>10652</v>
      </c>
      <c r="N864">
        <f t="shared" si="183"/>
        <v>12782</v>
      </c>
      <c r="O864">
        <f t="shared" si="184"/>
        <v>12255</v>
      </c>
      <c r="P864">
        <f t="shared" si="185"/>
        <v>10778</v>
      </c>
      <c r="Q864">
        <f t="shared" si="186"/>
        <v>12908</v>
      </c>
      <c r="R864">
        <f t="shared" si="187"/>
        <v>12381</v>
      </c>
      <c r="S864">
        <f t="shared" si="188"/>
        <v>2130</v>
      </c>
      <c r="T864">
        <f t="shared" si="189"/>
        <v>1603</v>
      </c>
      <c r="U864">
        <f t="shared" si="190"/>
        <v>-527</v>
      </c>
      <c r="V864" s="9">
        <f t="shared" si="180"/>
        <v>126</v>
      </c>
      <c r="W864" s="9">
        <f t="shared" si="180"/>
        <v>10652</v>
      </c>
      <c r="X864" s="9">
        <f t="shared" si="180"/>
        <v>12782</v>
      </c>
      <c r="Y864" s="9">
        <f t="shared" si="180"/>
        <v>12255</v>
      </c>
      <c r="Z864" s="9">
        <f t="shared" si="180"/>
        <v>10778</v>
      </c>
      <c r="AA864" s="9">
        <f t="shared" si="179"/>
        <v>12908</v>
      </c>
      <c r="AB864" s="9">
        <f t="shared" si="179"/>
        <v>12381</v>
      </c>
      <c r="AC864" s="9">
        <f t="shared" si="179"/>
        <v>2130</v>
      </c>
      <c r="AD864" s="9">
        <f t="shared" si="179"/>
        <v>1603</v>
      </c>
      <c r="AE864" s="9">
        <f t="shared" si="179"/>
        <v>527</v>
      </c>
    </row>
    <row r="865" spans="2:31" x14ac:dyDescent="0.25">
      <c r="B865" s="6">
        <v>18657</v>
      </c>
      <c r="C865" s="6">
        <v>20234</v>
      </c>
      <c r="D865" s="6">
        <v>13546</v>
      </c>
      <c r="E865" s="6">
        <v>9524</v>
      </c>
      <c r="F865" s="6">
        <v>9147</v>
      </c>
      <c r="L865">
        <f t="shared" si="181"/>
        <v>-1577</v>
      </c>
      <c r="M865">
        <f t="shared" si="182"/>
        <v>5111</v>
      </c>
      <c r="N865">
        <f t="shared" si="183"/>
        <v>9133</v>
      </c>
      <c r="O865">
        <f t="shared" si="184"/>
        <v>9510</v>
      </c>
      <c r="P865">
        <f t="shared" si="185"/>
        <v>6688</v>
      </c>
      <c r="Q865">
        <f t="shared" si="186"/>
        <v>10710</v>
      </c>
      <c r="R865">
        <f t="shared" si="187"/>
        <v>11087</v>
      </c>
      <c r="S865">
        <f t="shared" si="188"/>
        <v>4022</v>
      </c>
      <c r="T865">
        <f t="shared" si="189"/>
        <v>4399</v>
      </c>
      <c r="U865">
        <f t="shared" si="190"/>
        <v>377</v>
      </c>
      <c r="V865" s="9">
        <f t="shared" si="180"/>
        <v>1577</v>
      </c>
      <c r="W865" s="9">
        <f t="shared" si="180"/>
        <v>5111</v>
      </c>
      <c r="X865" s="9">
        <f t="shared" si="180"/>
        <v>9133</v>
      </c>
      <c r="Y865" s="9">
        <f t="shared" si="180"/>
        <v>9510</v>
      </c>
      <c r="Z865" s="9">
        <f t="shared" si="180"/>
        <v>6688</v>
      </c>
      <c r="AA865" s="9">
        <f t="shared" si="179"/>
        <v>10710</v>
      </c>
      <c r="AB865" s="9">
        <f t="shared" si="179"/>
        <v>11087</v>
      </c>
      <c r="AC865" s="9">
        <f t="shared" si="179"/>
        <v>4022</v>
      </c>
      <c r="AD865" s="9">
        <f t="shared" si="179"/>
        <v>4399</v>
      </c>
      <c r="AE865" s="9">
        <f t="shared" si="179"/>
        <v>377</v>
      </c>
    </row>
    <row r="866" spans="2:31" x14ac:dyDescent="0.25">
      <c r="B866" s="6">
        <v>18952</v>
      </c>
      <c r="C866" s="6">
        <f t="shared" si="191"/>
        <v>19078</v>
      </c>
      <c r="D866" s="6">
        <v>11648</v>
      </c>
      <c r="E866" s="6">
        <v>8577</v>
      </c>
      <c r="F866" s="6">
        <v>8171</v>
      </c>
      <c r="L866">
        <f t="shared" si="181"/>
        <v>-126</v>
      </c>
      <c r="M866">
        <f t="shared" si="182"/>
        <v>7304</v>
      </c>
      <c r="N866">
        <f t="shared" si="183"/>
        <v>10375</v>
      </c>
      <c r="O866">
        <f t="shared" si="184"/>
        <v>10781</v>
      </c>
      <c r="P866">
        <f t="shared" si="185"/>
        <v>7430</v>
      </c>
      <c r="Q866">
        <f t="shared" si="186"/>
        <v>10501</v>
      </c>
      <c r="R866">
        <f t="shared" si="187"/>
        <v>10907</v>
      </c>
      <c r="S866">
        <f t="shared" si="188"/>
        <v>3071</v>
      </c>
      <c r="T866">
        <f t="shared" si="189"/>
        <v>3477</v>
      </c>
      <c r="U866">
        <f t="shared" si="190"/>
        <v>406</v>
      </c>
      <c r="V866" s="9">
        <f t="shared" si="180"/>
        <v>126</v>
      </c>
      <c r="W866" s="9">
        <f t="shared" si="180"/>
        <v>7304</v>
      </c>
      <c r="X866" s="9">
        <f t="shared" si="180"/>
        <v>10375</v>
      </c>
      <c r="Y866" s="9">
        <f t="shared" si="180"/>
        <v>10781</v>
      </c>
      <c r="Z866" s="9">
        <f t="shared" si="180"/>
        <v>7430</v>
      </c>
      <c r="AA866" s="9">
        <f t="shared" si="179"/>
        <v>10501</v>
      </c>
      <c r="AB866" s="9">
        <f t="shared" si="179"/>
        <v>10907</v>
      </c>
      <c r="AC866" s="9">
        <f t="shared" si="179"/>
        <v>3071</v>
      </c>
      <c r="AD866" s="9">
        <f t="shared" si="179"/>
        <v>3477</v>
      </c>
      <c r="AE866" s="9">
        <f t="shared" si="179"/>
        <v>406</v>
      </c>
    </row>
    <row r="867" spans="2:31" x14ac:dyDescent="0.25">
      <c r="B867" s="6">
        <v>20345</v>
      </c>
      <c r="C867" s="6">
        <f t="shared" si="191"/>
        <v>20471</v>
      </c>
      <c r="D867" s="6">
        <v>12648</v>
      </c>
      <c r="E867" s="6">
        <v>8975</v>
      </c>
      <c r="F867" s="6">
        <v>8410</v>
      </c>
      <c r="L867">
        <f t="shared" si="181"/>
        <v>-126</v>
      </c>
      <c r="M867">
        <f t="shared" si="182"/>
        <v>7697</v>
      </c>
      <c r="N867">
        <f t="shared" si="183"/>
        <v>11370</v>
      </c>
      <c r="O867">
        <f t="shared" si="184"/>
        <v>11935</v>
      </c>
      <c r="P867">
        <f t="shared" si="185"/>
        <v>7823</v>
      </c>
      <c r="Q867">
        <f t="shared" si="186"/>
        <v>11496</v>
      </c>
      <c r="R867">
        <f t="shared" si="187"/>
        <v>12061</v>
      </c>
      <c r="S867">
        <f t="shared" si="188"/>
        <v>3673</v>
      </c>
      <c r="T867">
        <f t="shared" si="189"/>
        <v>4238</v>
      </c>
      <c r="U867">
        <f t="shared" si="190"/>
        <v>565</v>
      </c>
      <c r="V867" s="9">
        <f t="shared" si="180"/>
        <v>126</v>
      </c>
      <c r="W867" s="9">
        <f t="shared" si="180"/>
        <v>7697</v>
      </c>
      <c r="X867" s="9">
        <f t="shared" si="180"/>
        <v>11370</v>
      </c>
      <c r="Y867" s="9">
        <f t="shared" si="180"/>
        <v>11935</v>
      </c>
      <c r="Z867" s="9">
        <f t="shared" si="180"/>
        <v>7823</v>
      </c>
      <c r="AA867" s="9">
        <f t="shared" si="179"/>
        <v>11496</v>
      </c>
      <c r="AB867" s="9">
        <f t="shared" si="179"/>
        <v>12061</v>
      </c>
      <c r="AC867" s="9">
        <f t="shared" si="179"/>
        <v>3673</v>
      </c>
      <c r="AD867" s="9">
        <f t="shared" si="179"/>
        <v>4238</v>
      </c>
      <c r="AE867" s="9">
        <f t="shared" si="179"/>
        <v>565</v>
      </c>
    </row>
    <row r="868" spans="2:31" x14ac:dyDescent="0.25">
      <c r="B868" s="6">
        <v>14282</v>
      </c>
      <c r="C868" s="6">
        <v>15728</v>
      </c>
      <c r="D868" s="6">
        <v>8546</v>
      </c>
      <c r="E868" s="6">
        <v>7785</v>
      </c>
      <c r="F868" s="6">
        <v>7168</v>
      </c>
      <c r="L868">
        <f t="shared" si="181"/>
        <v>-1446</v>
      </c>
      <c r="M868">
        <f t="shared" si="182"/>
        <v>5736</v>
      </c>
      <c r="N868">
        <f t="shared" si="183"/>
        <v>6497</v>
      </c>
      <c r="O868">
        <f t="shared" si="184"/>
        <v>7114</v>
      </c>
      <c r="P868">
        <f t="shared" si="185"/>
        <v>7182</v>
      </c>
      <c r="Q868">
        <f t="shared" si="186"/>
        <v>7943</v>
      </c>
      <c r="R868">
        <f t="shared" si="187"/>
        <v>8560</v>
      </c>
      <c r="S868">
        <f t="shared" si="188"/>
        <v>761</v>
      </c>
      <c r="T868">
        <f t="shared" si="189"/>
        <v>1378</v>
      </c>
      <c r="U868">
        <f t="shared" si="190"/>
        <v>617</v>
      </c>
      <c r="V868" s="9">
        <f t="shared" si="180"/>
        <v>1446</v>
      </c>
      <c r="W868" s="9">
        <f t="shared" si="180"/>
        <v>5736</v>
      </c>
      <c r="X868" s="9">
        <f t="shared" si="180"/>
        <v>6497</v>
      </c>
      <c r="Y868" s="9">
        <f t="shared" si="180"/>
        <v>7114</v>
      </c>
      <c r="Z868" s="9">
        <f t="shared" si="180"/>
        <v>7182</v>
      </c>
      <c r="AA868" s="9">
        <f t="shared" si="179"/>
        <v>7943</v>
      </c>
      <c r="AB868" s="9">
        <f t="shared" si="179"/>
        <v>8560</v>
      </c>
      <c r="AC868" s="9">
        <f t="shared" si="179"/>
        <v>761</v>
      </c>
      <c r="AD868" s="9">
        <f t="shared" si="179"/>
        <v>1378</v>
      </c>
      <c r="AE868" s="9">
        <f t="shared" si="179"/>
        <v>617</v>
      </c>
    </row>
    <row r="869" spans="2:31" x14ac:dyDescent="0.25">
      <c r="B869" s="6">
        <v>13678</v>
      </c>
      <c r="C869" s="6">
        <f t="shared" si="191"/>
        <v>13804</v>
      </c>
      <c r="D869" s="6">
        <v>6898</v>
      </c>
      <c r="E869" s="6">
        <v>6565</v>
      </c>
      <c r="F869" s="6">
        <v>5482</v>
      </c>
      <c r="L869">
        <f t="shared" si="181"/>
        <v>-126</v>
      </c>
      <c r="M869">
        <f t="shared" si="182"/>
        <v>6780</v>
      </c>
      <c r="N869">
        <f t="shared" si="183"/>
        <v>7113</v>
      </c>
      <c r="O869">
        <f t="shared" si="184"/>
        <v>8196</v>
      </c>
      <c r="P869">
        <f t="shared" si="185"/>
        <v>6906</v>
      </c>
      <c r="Q869">
        <f t="shared" si="186"/>
        <v>7239</v>
      </c>
      <c r="R869">
        <f t="shared" si="187"/>
        <v>8322</v>
      </c>
      <c r="S869">
        <f t="shared" si="188"/>
        <v>333</v>
      </c>
      <c r="T869">
        <f t="shared" si="189"/>
        <v>1416</v>
      </c>
      <c r="U869">
        <f t="shared" si="190"/>
        <v>1083</v>
      </c>
      <c r="V869" s="9">
        <f t="shared" si="180"/>
        <v>126</v>
      </c>
      <c r="W869" s="9">
        <f t="shared" si="180"/>
        <v>6780</v>
      </c>
      <c r="X869" s="9">
        <f t="shared" si="180"/>
        <v>7113</v>
      </c>
      <c r="Y869" s="9">
        <f t="shared" si="180"/>
        <v>8196</v>
      </c>
      <c r="Z869" s="9">
        <f t="shared" si="180"/>
        <v>6906</v>
      </c>
      <c r="AA869" s="9">
        <f t="shared" si="179"/>
        <v>7239</v>
      </c>
      <c r="AB869" s="9">
        <f t="shared" si="179"/>
        <v>8322</v>
      </c>
      <c r="AC869" s="9">
        <f t="shared" si="179"/>
        <v>333</v>
      </c>
      <c r="AD869" s="9">
        <f t="shared" si="179"/>
        <v>1416</v>
      </c>
      <c r="AE869" s="9">
        <f t="shared" si="179"/>
        <v>1083</v>
      </c>
    </row>
    <row r="870" spans="2:31" x14ac:dyDescent="0.25">
      <c r="B870" s="6">
        <v>16854</v>
      </c>
      <c r="C870" s="6">
        <v>19632</v>
      </c>
      <c r="D870" s="6">
        <v>8524</v>
      </c>
      <c r="E870" s="6">
        <v>7544</v>
      </c>
      <c r="F870" s="6">
        <v>7852</v>
      </c>
      <c r="L870">
        <f t="shared" si="181"/>
        <v>-2778</v>
      </c>
      <c r="M870">
        <f t="shared" si="182"/>
        <v>8330</v>
      </c>
      <c r="N870">
        <f t="shared" si="183"/>
        <v>9310</v>
      </c>
      <c r="O870">
        <f t="shared" si="184"/>
        <v>9002</v>
      </c>
      <c r="P870">
        <f t="shared" si="185"/>
        <v>11108</v>
      </c>
      <c r="Q870">
        <f t="shared" si="186"/>
        <v>12088</v>
      </c>
      <c r="R870">
        <f t="shared" si="187"/>
        <v>11780</v>
      </c>
      <c r="S870">
        <f t="shared" si="188"/>
        <v>980</v>
      </c>
      <c r="T870">
        <f t="shared" si="189"/>
        <v>672</v>
      </c>
      <c r="U870">
        <f t="shared" si="190"/>
        <v>-308</v>
      </c>
      <c r="V870" s="9">
        <f t="shared" si="180"/>
        <v>2778</v>
      </c>
      <c r="W870" s="9">
        <f t="shared" si="180"/>
        <v>8330</v>
      </c>
      <c r="X870" s="9">
        <f t="shared" si="180"/>
        <v>9310</v>
      </c>
      <c r="Y870" s="9">
        <f t="shared" si="180"/>
        <v>9002</v>
      </c>
      <c r="Z870" s="9">
        <f t="shared" si="180"/>
        <v>11108</v>
      </c>
      <c r="AA870" s="9">
        <f t="shared" si="179"/>
        <v>12088</v>
      </c>
      <c r="AB870" s="9">
        <f t="shared" si="179"/>
        <v>11780</v>
      </c>
      <c r="AC870" s="9">
        <f t="shared" si="179"/>
        <v>980</v>
      </c>
      <c r="AD870" s="9">
        <f t="shared" si="179"/>
        <v>672</v>
      </c>
      <c r="AE870" s="9">
        <f t="shared" si="179"/>
        <v>308</v>
      </c>
    </row>
    <row r="871" spans="2:31" x14ac:dyDescent="0.25">
      <c r="B871" s="6">
        <v>14278</v>
      </c>
      <c r="C871" s="6">
        <f t="shared" si="191"/>
        <v>14404</v>
      </c>
      <c r="D871" s="6">
        <v>6458</v>
      </c>
      <c r="E871" s="6">
        <v>6454</v>
      </c>
      <c r="F871" s="6">
        <v>6852</v>
      </c>
      <c r="L871">
        <f t="shared" si="181"/>
        <v>-126</v>
      </c>
      <c r="M871">
        <f t="shared" si="182"/>
        <v>7820</v>
      </c>
      <c r="N871">
        <f t="shared" si="183"/>
        <v>7824</v>
      </c>
      <c r="O871">
        <f t="shared" si="184"/>
        <v>7426</v>
      </c>
      <c r="P871">
        <f t="shared" si="185"/>
        <v>7946</v>
      </c>
      <c r="Q871">
        <f t="shared" si="186"/>
        <v>7950</v>
      </c>
      <c r="R871">
        <f t="shared" si="187"/>
        <v>7552</v>
      </c>
      <c r="S871">
        <f t="shared" si="188"/>
        <v>4</v>
      </c>
      <c r="T871">
        <f t="shared" si="189"/>
        <v>-394</v>
      </c>
      <c r="U871">
        <f t="shared" si="190"/>
        <v>-398</v>
      </c>
      <c r="V871" s="9">
        <f t="shared" si="180"/>
        <v>126</v>
      </c>
      <c r="W871" s="9">
        <f t="shared" si="180"/>
        <v>7820</v>
      </c>
      <c r="X871" s="9">
        <f t="shared" si="180"/>
        <v>7824</v>
      </c>
      <c r="Y871" s="9">
        <f t="shared" si="180"/>
        <v>7426</v>
      </c>
      <c r="Z871" s="9">
        <f t="shared" si="180"/>
        <v>7946</v>
      </c>
      <c r="AA871" s="9">
        <f t="shared" si="179"/>
        <v>7950</v>
      </c>
      <c r="AB871" s="9">
        <f t="shared" si="179"/>
        <v>7552</v>
      </c>
      <c r="AC871" s="9">
        <f t="shared" si="179"/>
        <v>4</v>
      </c>
      <c r="AD871" s="9">
        <f t="shared" si="179"/>
        <v>394</v>
      </c>
      <c r="AE871" s="9">
        <f t="shared" si="179"/>
        <v>398</v>
      </c>
    </row>
    <row r="872" spans="2:31" x14ac:dyDescent="0.25">
      <c r="B872" s="6">
        <v>20467</v>
      </c>
      <c r="C872" s="6">
        <f t="shared" si="191"/>
        <v>20593</v>
      </c>
      <c r="D872" s="6">
        <v>10246</v>
      </c>
      <c r="E872" s="6">
        <v>8125</v>
      </c>
      <c r="F872" s="6">
        <v>8572</v>
      </c>
      <c r="L872">
        <f t="shared" si="181"/>
        <v>-126</v>
      </c>
      <c r="M872">
        <f t="shared" si="182"/>
        <v>10221</v>
      </c>
      <c r="N872">
        <f t="shared" si="183"/>
        <v>12342</v>
      </c>
      <c r="O872">
        <f t="shared" si="184"/>
        <v>11895</v>
      </c>
      <c r="P872">
        <f t="shared" si="185"/>
        <v>10347</v>
      </c>
      <c r="Q872">
        <f t="shared" si="186"/>
        <v>12468</v>
      </c>
      <c r="R872">
        <f t="shared" si="187"/>
        <v>12021</v>
      </c>
      <c r="S872">
        <f t="shared" si="188"/>
        <v>2121</v>
      </c>
      <c r="T872">
        <f t="shared" si="189"/>
        <v>1674</v>
      </c>
      <c r="U872">
        <f t="shared" si="190"/>
        <v>-447</v>
      </c>
      <c r="V872" s="9">
        <f t="shared" si="180"/>
        <v>126</v>
      </c>
      <c r="W872" s="9">
        <f t="shared" si="180"/>
        <v>10221</v>
      </c>
      <c r="X872" s="9">
        <f t="shared" si="180"/>
        <v>12342</v>
      </c>
      <c r="Y872" s="9">
        <f t="shared" si="180"/>
        <v>11895</v>
      </c>
      <c r="Z872" s="9">
        <f t="shared" si="180"/>
        <v>10347</v>
      </c>
      <c r="AA872" s="9">
        <f t="shared" si="179"/>
        <v>12468</v>
      </c>
      <c r="AB872" s="9">
        <f t="shared" si="179"/>
        <v>12021</v>
      </c>
      <c r="AC872" s="9">
        <f t="shared" si="179"/>
        <v>2121</v>
      </c>
      <c r="AD872" s="9">
        <f t="shared" si="179"/>
        <v>1674</v>
      </c>
      <c r="AE872" s="9">
        <f t="shared" si="179"/>
        <v>447</v>
      </c>
    </row>
    <row r="873" spans="2:31" x14ac:dyDescent="0.25">
      <c r="B873" s="6">
        <v>25364</v>
      </c>
      <c r="C873" s="6">
        <v>24507</v>
      </c>
      <c r="D873" s="6">
        <v>14566</v>
      </c>
      <c r="E873" s="6">
        <v>10245</v>
      </c>
      <c r="F873" s="6">
        <v>12045</v>
      </c>
      <c r="L873">
        <f t="shared" si="181"/>
        <v>857</v>
      </c>
      <c r="M873">
        <f t="shared" si="182"/>
        <v>10798</v>
      </c>
      <c r="N873">
        <f t="shared" si="183"/>
        <v>15119</v>
      </c>
      <c r="O873">
        <f t="shared" si="184"/>
        <v>13319</v>
      </c>
      <c r="P873">
        <f t="shared" si="185"/>
        <v>9941</v>
      </c>
      <c r="Q873">
        <f t="shared" si="186"/>
        <v>14262</v>
      </c>
      <c r="R873">
        <f t="shared" si="187"/>
        <v>12462</v>
      </c>
      <c r="S873">
        <f t="shared" si="188"/>
        <v>4321</v>
      </c>
      <c r="T873">
        <f t="shared" si="189"/>
        <v>2521</v>
      </c>
      <c r="U873">
        <f t="shared" si="190"/>
        <v>-1800</v>
      </c>
      <c r="V873" s="9">
        <f t="shared" si="180"/>
        <v>857</v>
      </c>
      <c r="W873" s="9">
        <f t="shared" si="180"/>
        <v>10798</v>
      </c>
      <c r="X873" s="9">
        <f t="shared" si="180"/>
        <v>15119</v>
      </c>
      <c r="Y873" s="9">
        <f t="shared" si="180"/>
        <v>13319</v>
      </c>
      <c r="Z873" s="9">
        <f t="shared" si="180"/>
        <v>9941</v>
      </c>
      <c r="AA873" s="9">
        <f t="shared" si="179"/>
        <v>14262</v>
      </c>
      <c r="AB873" s="9">
        <f t="shared" si="179"/>
        <v>12462</v>
      </c>
      <c r="AC873" s="9">
        <f t="shared" si="179"/>
        <v>4321</v>
      </c>
      <c r="AD873" s="9">
        <f t="shared" si="179"/>
        <v>2521</v>
      </c>
      <c r="AE873" s="9">
        <f t="shared" si="179"/>
        <v>1800</v>
      </c>
    </row>
    <row r="874" spans="2:31" x14ac:dyDescent="0.25">
      <c r="B874" s="6">
        <v>22467</v>
      </c>
      <c r="C874" s="6">
        <f t="shared" si="191"/>
        <v>22593</v>
      </c>
      <c r="D874" s="6">
        <v>9548</v>
      </c>
      <c r="E874" s="6">
        <v>5245</v>
      </c>
      <c r="F874" s="6">
        <v>5428</v>
      </c>
      <c r="L874">
        <f t="shared" si="181"/>
        <v>-126</v>
      </c>
      <c r="M874">
        <f t="shared" si="182"/>
        <v>12919</v>
      </c>
      <c r="N874">
        <f t="shared" si="183"/>
        <v>17222</v>
      </c>
      <c r="O874">
        <f t="shared" si="184"/>
        <v>17039</v>
      </c>
      <c r="P874">
        <f t="shared" si="185"/>
        <v>13045</v>
      </c>
      <c r="Q874">
        <f t="shared" si="186"/>
        <v>17348</v>
      </c>
      <c r="R874">
        <f t="shared" si="187"/>
        <v>17165</v>
      </c>
      <c r="S874">
        <f t="shared" si="188"/>
        <v>4303</v>
      </c>
      <c r="T874">
        <f t="shared" si="189"/>
        <v>4120</v>
      </c>
      <c r="U874">
        <f t="shared" si="190"/>
        <v>-183</v>
      </c>
      <c r="V874" s="9">
        <f t="shared" si="180"/>
        <v>126</v>
      </c>
      <c r="W874" s="9">
        <f t="shared" si="180"/>
        <v>12919</v>
      </c>
      <c r="X874" s="9">
        <f t="shared" si="180"/>
        <v>17222</v>
      </c>
      <c r="Y874" s="9">
        <f t="shared" si="180"/>
        <v>17039</v>
      </c>
      <c r="Z874" s="9">
        <f t="shared" si="180"/>
        <v>13045</v>
      </c>
      <c r="AA874" s="9">
        <f t="shared" si="179"/>
        <v>17348</v>
      </c>
      <c r="AB874" s="9">
        <f t="shared" si="179"/>
        <v>17165</v>
      </c>
      <c r="AC874" s="9">
        <f t="shared" si="179"/>
        <v>4303</v>
      </c>
      <c r="AD874" s="9">
        <f t="shared" si="179"/>
        <v>4120</v>
      </c>
      <c r="AE874" s="9">
        <f t="shared" si="179"/>
        <v>183</v>
      </c>
    </row>
    <row r="875" spans="2:31" x14ac:dyDescent="0.25">
      <c r="B875" s="6">
        <v>19572</v>
      </c>
      <c r="C875" s="6">
        <v>20748</v>
      </c>
      <c r="D875" s="6">
        <v>8465</v>
      </c>
      <c r="E875" s="6">
        <v>8455</v>
      </c>
      <c r="F875" s="6">
        <v>8475</v>
      </c>
      <c r="L875">
        <f t="shared" si="181"/>
        <v>-1176</v>
      </c>
      <c r="M875">
        <f t="shared" si="182"/>
        <v>11107</v>
      </c>
      <c r="N875">
        <f t="shared" si="183"/>
        <v>11117</v>
      </c>
      <c r="O875">
        <f t="shared" si="184"/>
        <v>11097</v>
      </c>
      <c r="P875">
        <f t="shared" si="185"/>
        <v>12283</v>
      </c>
      <c r="Q875">
        <f t="shared" si="186"/>
        <v>12293</v>
      </c>
      <c r="R875">
        <f t="shared" si="187"/>
        <v>12273</v>
      </c>
      <c r="S875">
        <f t="shared" si="188"/>
        <v>10</v>
      </c>
      <c r="T875">
        <f t="shared" si="189"/>
        <v>-10</v>
      </c>
      <c r="U875">
        <f t="shared" si="190"/>
        <v>-20</v>
      </c>
      <c r="V875" s="9">
        <f t="shared" si="180"/>
        <v>1176</v>
      </c>
      <c r="W875" s="9">
        <f t="shared" si="180"/>
        <v>11107</v>
      </c>
      <c r="X875" s="9">
        <f t="shared" si="180"/>
        <v>11117</v>
      </c>
      <c r="Y875" s="9">
        <f t="shared" si="180"/>
        <v>11097</v>
      </c>
      <c r="Z875" s="9">
        <f t="shared" si="180"/>
        <v>12283</v>
      </c>
      <c r="AA875" s="9">
        <f t="shared" si="179"/>
        <v>12293</v>
      </c>
      <c r="AB875" s="9">
        <f t="shared" si="179"/>
        <v>12273</v>
      </c>
      <c r="AC875" s="9">
        <f t="shared" si="179"/>
        <v>10</v>
      </c>
      <c r="AD875" s="9">
        <f t="shared" si="179"/>
        <v>10</v>
      </c>
      <c r="AE875" s="9">
        <f t="shared" si="179"/>
        <v>20</v>
      </c>
    </row>
    <row r="876" spans="2:31" x14ac:dyDescent="0.25">
      <c r="B876" s="6">
        <v>16782</v>
      </c>
      <c r="C876" s="6">
        <f t="shared" si="191"/>
        <v>16908</v>
      </c>
      <c r="D876" s="6">
        <v>6489</v>
      </c>
      <c r="E876" s="6">
        <v>7757</v>
      </c>
      <c r="F876" s="6">
        <v>7952</v>
      </c>
      <c r="L876">
        <f t="shared" si="181"/>
        <v>-126</v>
      </c>
      <c r="M876">
        <f t="shared" si="182"/>
        <v>10293</v>
      </c>
      <c r="N876">
        <f t="shared" si="183"/>
        <v>9025</v>
      </c>
      <c r="O876">
        <f t="shared" si="184"/>
        <v>8830</v>
      </c>
      <c r="P876">
        <f t="shared" si="185"/>
        <v>10419</v>
      </c>
      <c r="Q876">
        <f t="shared" si="186"/>
        <v>9151</v>
      </c>
      <c r="R876">
        <f t="shared" si="187"/>
        <v>8956</v>
      </c>
      <c r="S876">
        <f t="shared" si="188"/>
        <v>-1268</v>
      </c>
      <c r="T876">
        <f t="shared" si="189"/>
        <v>-1463</v>
      </c>
      <c r="U876">
        <f t="shared" si="190"/>
        <v>-195</v>
      </c>
      <c r="V876" s="9">
        <f t="shared" si="180"/>
        <v>126</v>
      </c>
      <c r="W876" s="9">
        <f t="shared" si="180"/>
        <v>10293</v>
      </c>
      <c r="X876" s="9">
        <f t="shared" si="180"/>
        <v>9025</v>
      </c>
      <c r="Y876" s="9">
        <f t="shared" si="180"/>
        <v>8830</v>
      </c>
      <c r="Z876" s="9">
        <f t="shared" si="180"/>
        <v>10419</v>
      </c>
      <c r="AA876" s="9">
        <f t="shared" si="179"/>
        <v>9151</v>
      </c>
      <c r="AB876" s="9">
        <f t="shared" si="179"/>
        <v>8956</v>
      </c>
      <c r="AC876" s="9">
        <f t="shared" si="179"/>
        <v>1268</v>
      </c>
      <c r="AD876" s="9">
        <f t="shared" si="179"/>
        <v>1463</v>
      </c>
      <c r="AE876" s="9">
        <f t="shared" si="179"/>
        <v>195</v>
      </c>
    </row>
    <row r="877" spans="2:31" x14ac:dyDescent="0.25">
      <c r="B877" s="6">
        <v>19875</v>
      </c>
      <c r="C877" s="6">
        <v>29475</v>
      </c>
      <c r="D877" s="6">
        <v>15462</v>
      </c>
      <c r="E877" s="6">
        <v>10245</v>
      </c>
      <c r="F877" s="6">
        <v>12524</v>
      </c>
      <c r="L877">
        <f t="shared" si="181"/>
        <v>-9600</v>
      </c>
      <c r="M877">
        <f t="shared" si="182"/>
        <v>4413</v>
      </c>
      <c r="N877">
        <f t="shared" si="183"/>
        <v>9630</v>
      </c>
      <c r="O877">
        <f t="shared" si="184"/>
        <v>7351</v>
      </c>
      <c r="P877">
        <f t="shared" si="185"/>
        <v>14013</v>
      </c>
      <c r="Q877">
        <f t="shared" si="186"/>
        <v>19230</v>
      </c>
      <c r="R877">
        <f t="shared" si="187"/>
        <v>16951</v>
      </c>
      <c r="S877">
        <f t="shared" si="188"/>
        <v>5217</v>
      </c>
      <c r="T877">
        <f t="shared" si="189"/>
        <v>2938</v>
      </c>
      <c r="U877">
        <f t="shared" si="190"/>
        <v>-2279</v>
      </c>
      <c r="V877" s="9">
        <f t="shared" si="180"/>
        <v>9600</v>
      </c>
      <c r="W877" s="9">
        <f t="shared" si="180"/>
        <v>4413</v>
      </c>
      <c r="X877" s="9">
        <f t="shared" si="180"/>
        <v>9630</v>
      </c>
      <c r="Y877" s="9">
        <f t="shared" si="180"/>
        <v>7351</v>
      </c>
      <c r="Z877" s="9">
        <f t="shared" si="180"/>
        <v>14013</v>
      </c>
      <c r="AA877" s="9">
        <f t="shared" si="179"/>
        <v>19230</v>
      </c>
      <c r="AB877" s="9">
        <f t="shared" si="179"/>
        <v>16951</v>
      </c>
      <c r="AC877" s="9">
        <f t="shared" si="179"/>
        <v>5217</v>
      </c>
      <c r="AD877" s="9">
        <f t="shared" si="179"/>
        <v>2938</v>
      </c>
      <c r="AE877" s="9">
        <f t="shared" si="179"/>
        <v>2279</v>
      </c>
    </row>
    <row r="878" spans="2:31" x14ac:dyDescent="0.25">
      <c r="B878" s="6">
        <v>18050</v>
      </c>
      <c r="C878" s="6">
        <f t="shared" si="191"/>
        <v>18176</v>
      </c>
      <c r="D878" s="6">
        <v>7245</v>
      </c>
      <c r="E878" s="6">
        <v>6458</v>
      </c>
      <c r="F878" s="6">
        <v>6587</v>
      </c>
      <c r="L878">
        <f t="shared" si="181"/>
        <v>-126</v>
      </c>
      <c r="M878">
        <f t="shared" si="182"/>
        <v>10805</v>
      </c>
      <c r="N878">
        <f t="shared" si="183"/>
        <v>11592</v>
      </c>
      <c r="O878">
        <f t="shared" si="184"/>
        <v>11463</v>
      </c>
      <c r="P878">
        <f t="shared" si="185"/>
        <v>10931</v>
      </c>
      <c r="Q878">
        <f t="shared" si="186"/>
        <v>11718</v>
      </c>
      <c r="R878">
        <f t="shared" si="187"/>
        <v>11589</v>
      </c>
      <c r="S878">
        <f t="shared" si="188"/>
        <v>787</v>
      </c>
      <c r="T878">
        <f t="shared" si="189"/>
        <v>658</v>
      </c>
      <c r="U878">
        <f t="shared" si="190"/>
        <v>-129</v>
      </c>
      <c r="V878" s="9">
        <f t="shared" si="180"/>
        <v>126</v>
      </c>
      <c r="W878" s="9">
        <f t="shared" si="180"/>
        <v>10805</v>
      </c>
      <c r="X878" s="9">
        <f t="shared" si="180"/>
        <v>11592</v>
      </c>
      <c r="Y878" s="9">
        <f t="shared" si="180"/>
        <v>11463</v>
      </c>
      <c r="Z878" s="9">
        <f t="shared" si="180"/>
        <v>10931</v>
      </c>
      <c r="AA878" s="9">
        <f t="shared" si="179"/>
        <v>11718</v>
      </c>
      <c r="AB878" s="9">
        <f t="shared" si="179"/>
        <v>11589</v>
      </c>
      <c r="AC878" s="9">
        <f t="shared" si="179"/>
        <v>787</v>
      </c>
      <c r="AD878" s="9">
        <f t="shared" si="179"/>
        <v>658</v>
      </c>
      <c r="AE878" s="9">
        <f t="shared" si="179"/>
        <v>129</v>
      </c>
    </row>
    <row r="879" spans="2:31" x14ac:dyDescent="0.25">
      <c r="B879" s="6">
        <v>15348</v>
      </c>
      <c r="C879" s="6">
        <f t="shared" si="191"/>
        <v>15474</v>
      </c>
      <c r="D879" s="6">
        <v>6485</v>
      </c>
      <c r="E879" s="6">
        <v>5852</v>
      </c>
      <c r="F879" s="6">
        <v>6428</v>
      </c>
      <c r="L879">
        <f t="shared" si="181"/>
        <v>-126</v>
      </c>
      <c r="M879">
        <f t="shared" si="182"/>
        <v>8863</v>
      </c>
      <c r="N879">
        <f t="shared" si="183"/>
        <v>9496</v>
      </c>
      <c r="O879">
        <f t="shared" si="184"/>
        <v>8920</v>
      </c>
      <c r="P879">
        <f t="shared" si="185"/>
        <v>8989</v>
      </c>
      <c r="Q879">
        <f t="shared" si="186"/>
        <v>9622</v>
      </c>
      <c r="R879">
        <f t="shared" si="187"/>
        <v>9046</v>
      </c>
      <c r="S879">
        <f t="shared" si="188"/>
        <v>633</v>
      </c>
      <c r="T879">
        <f t="shared" si="189"/>
        <v>57</v>
      </c>
      <c r="U879">
        <f t="shared" si="190"/>
        <v>-576</v>
      </c>
      <c r="V879" s="9">
        <f t="shared" si="180"/>
        <v>126</v>
      </c>
      <c r="W879" s="9">
        <f t="shared" si="180"/>
        <v>8863</v>
      </c>
      <c r="X879" s="9">
        <f t="shared" si="180"/>
        <v>9496</v>
      </c>
      <c r="Y879" s="9">
        <f t="shared" si="180"/>
        <v>8920</v>
      </c>
      <c r="Z879" s="9">
        <f t="shared" si="180"/>
        <v>8989</v>
      </c>
      <c r="AA879" s="9">
        <f t="shared" si="179"/>
        <v>9622</v>
      </c>
      <c r="AB879" s="9">
        <f t="shared" si="179"/>
        <v>9046</v>
      </c>
      <c r="AC879" s="9">
        <f t="shared" si="179"/>
        <v>633</v>
      </c>
      <c r="AD879" s="9">
        <f t="shared" si="179"/>
        <v>57</v>
      </c>
      <c r="AE879" s="9">
        <f t="shared" si="179"/>
        <v>576</v>
      </c>
    </row>
    <row r="880" spans="2:31" x14ac:dyDescent="0.25">
      <c r="B880" s="6">
        <v>12034</v>
      </c>
      <c r="C880" s="6">
        <v>12457</v>
      </c>
      <c r="D880" s="6">
        <v>5642</v>
      </c>
      <c r="E880" s="6">
        <v>6657</v>
      </c>
      <c r="F880" s="6">
        <v>6985</v>
      </c>
      <c r="L880">
        <f t="shared" si="181"/>
        <v>-423</v>
      </c>
      <c r="M880">
        <f t="shared" si="182"/>
        <v>6392</v>
      </c>
      <c r="N880">
        <f t="shared" si="183"/>
        <v>5377</v>
      </c>
      <c r="O880">
        <f t="shared" si="184"/>
        <v>5049</v>
      </c>
      <c r="P880">
        <f t="shared" si="185"/>
        <v>6815</v>
      </c>
      <c r="Q880">
        <f t="shared" si="186"/>
        <v>5800</v>
      </c>
      <c r="R880">
        <f t="shared" si="187"/>
        <v>5472</v>
      </c>
      <c r="S880">
        <f t="shared" si="188"/>
        <v>-1015</v>
      </c>
      <c r="T880">
        <f t="shared" si="189"/>
        <v>-1343</v>
      </c>
      <c r="U880">
        <f t="shared" si="190"/>
        <v>-328</v>
      </c>
      <c r="V880" s="9">
        <f t="shared" si="180"/>
        <v>423</v>
      </c>
      <c r="W880" s="9">
        <f t="shared" si="180"/>
        <v>6392</v>
      </c>
      <c r="X880" s="9">
        <f t="shared" si="180"/>
        <v>5377</v>
      </c>
      <c r="Y880" s="9">
        <f t="shared" si="180"/>
        <v>5049</v>
      </c>
      <c r="Z880" s="9">
        <f t="shared" si="180"/>
        <v>6815</v>
      </c>
      <c r="AA880" s="9">
        <f t="shared" si="179"/>
        <v>5800</v>
      </c>
      <c r="AB880" s="9">
        <f t="shared" si="179"/>
        <v>5472</v>
      </c>
      <c r="AC880" s="9">
        <f t="shared" si="179"/>
        <v>1015</v>
      </c>
      <c r="AD880" s="9">
        <f t="shared" si="179"/>
        <v>1343</v>
      </c>
      <c r="AE880" s="9">
        <f t="shared" si="179"/>
        <v>328</v>
      </c>
    </row>
    <row r="881" spans="2:31" x14ac:dyDescent="0.25">
      <c r="B881" s="6">
        <v>10064</v>
      </c>
      <c r="C881" s="6">
        <f t="shared" si="191"/>
        <v>10190</v>
      </c>
      <c r="D881" s="6">
        <v>4256</v>
      </c>
      <c r="E881" s="6">
        <v>4565</v>
      </c>
      <c r="F881" s="6">
        <v>5248</v>
      </c>
      <c r="L881">
        <f t="shared" si="181"/>
        <v>-126</v>
      </c>
      <c r="M881">
        <f t="shared" si="182"/>
        <v>5808</v>
      </c>
      <c r="N881">
        <f t="shared" si="183"/>
        <v>5499</v>
      </c>
      <c r="O881">
        <f t="shared" si="184"/>
        <v>4816</v>
      </c>
      <c r="P881">
        <f t="shared" si="185"/>
        <v>5934</v>
      </c>
      <c r="Q881">
        <f t="shared" si="186"/>
        <v>5625</v>
      </c>
      <c r="R881">
        <f t="shared" si="187"/>
        <v>4942</v>
      </c>
      <c r="S881">
        <f t="shared" si="188"/>
        <v>-309</v>
      </c>
      <c r="T881">
        <f t="shared" si="189"/>
        <v>-992</v>
      </c>
      <c r="U881">
        <f t="shared" si="190"/>
        <v>-683</v>
      </c>
      <c r="V881" s="9">
        <f t="shared" si="180"/>
        <v>126</v>
      </c>
      <c r="W881" s="9">
        <f t="shared" si="180"/>
        <v>5808</v>
      </c>
      <c r="X881" s="9">
        <f t="shared" si="180"/>
        <v>5499</v>
      </c>
      <c r="Y881" s="9">
        <f t="shared" si="180"/>
        <v>4816</v>
      </c>
      <c r="Z881" s="9">
        <f t="shared" si="180"/>
        <v>5934</v>
      </c>
      <c r="AA881" s="9">
        <f t="shared" si="179"/>
        <v>5625</v>
      </c>
      <c r="AB881" s="9">
        <f t="shared" si="179"/>
        <v>4942</v>
      </c>
      <c r="AC881" s="9">
        <f t="shared" si="179"/>
        <v>309</v>
      </c>
      <c r="AD881" s="9">
        <f t="shared" si="179"/>
        <v>992</v>
      </c>
      <c r="AE881" s="9">
        <f t="shared" si="179"/>
        <v>683</v>
      </c>
    </row>
    <row r="882" spans="2:31" x14ac:dyDescent="0.25">
      <c r="B882" s="6">
        <v>12235</v>
      </c>
      <c r="C882" s="6">
        <v>13454</v>
      </c>
      <c r="D882" s="6">
        <v>7564</v>
      </c>
      <c r="E882" s="6">
        <v>4587</v>
      </c>
      <c r="F882" s="6">
        <v>5246</v>
      </c>
      <c r="L882">
        <f t="shared" si="181"/>
        <v>-1219</v>
      </c>
      <c r="M882">
        <f t="shared" si="182"/>
        <v>4671</v>
      </c>
      <c r="N882">
        <f t="shared" si="183"/>
        <v>7648</v>
      </c>
      <c r="O882">
        <f t="shared" si="184"/>
        <v>6989</v>
      </c>
      <c r="P882">
        <f t="shared" si="185"/>
        <v>5890</v>
      </c>
      <c r="Q882">
        <f t="shared" si="186"/>
        <v>8867</v>
      </c>
      <c r="R882">
        <f t="shared" si="187"/>
        <v>8208</v>
      </c>
      <c r="S882">
        <f t="shared" si="188"/>
        <v>2977</v>
      </c>
      <c r="T882">
        <f t="shared" si="189"/>
        <v>2318</v>
      </c>
      <c r="U882">
        <f t="shared" si="190"/>
        <v>-659</v>
      </c>
      <c r="V882" s="9">
        <f t="shared" si="180"/>
        <v>1219</v>
      </c>
      <c r="W882" s="9">
        <f t="shared" si="180"/>
        <v>4671</v>
      </c>
      <c r="X882" s="9">
        <f t="shared" si="180"/>
        <v>7648</v>
      </c>
      <c r="Y882" s="9">
        <f t="shared" si="180"/>
        <v>6989</v>
      </c>
      <c r="Z882" s="9">
        <f t="shared" si="180"/>
        <v>5890</v>
      </c>
      <c r="AA882" s="9">
        <f t="shared" ref="AA882:AE932" si="192">IF(Q882&gt;=0,Q882,-Q882)</f>
        <v>8867</v>
      </c>
      <c r="AB882" s="9">
        <f t="shared" si="192"/>
        <v>8208</v>
      </c>
      <c r="AC882" s="9">
        <f t="shared" si="192"/>
        <v>2977</v>
      </c>
      <c r="AD882" s="9">
        <f t="shared" si="192"/>
        <v>2318</v>
      </c>
      <c r="AE882" s="9">
        <f t="shared" si="192"/>
        <v>659</v>
      </c>
    </row>
    <row r="883" spans="2:31" x14ac:dyDescent="0.25">
      <c r="B883" s="6">
        <v>16782</v>
      </c>
      <c r="C883" s="6">
        <f t="shared" si="191"/>
        <v>16908</v>
      </c>
      <c r="D883" s="6">
        <v>8524</v>
      </c>
      <c r="E883" s="6">
        <v>5642</v>
      </c>
      <c r="F883" s="6">
        <v>6242</v>
      </c>
      <c r="L883">
        <f t="shared" si="181"/>
        <v>-126</v>
      </c>
      <c r="M883">
        <f t="shared" si="182"/>
        <v>8258</v>
      </c>
      <c r="N883">
        <f t="shared" si="183"/>
        <v>11140</v>
      </c>
      <c r="O883">
        <f t="shared" si="184"/>
        <v>10540</v>
      </c>
      <c r="P883">
        <f t="shared" si="185"/>
        <v>8384</v>
      </c>
      <c r="Q883">
        <f t="shared" si="186"/>
        <v>11266</v>
      </c>
      <c r="R883">
        <f t="shared" si="187"/>
        <v>10666</v>
      </c>
      <c r="S883">
        <f t="shared" si="188"/>
        <v>2882</v>
      </c>
      <c r="T883">
        <f t="shared" si="189"/>
        <v>2282</v>
      </c>
      <c r="U883">
        <f t="shared" si="190"/>
        <v>-600</v>
      </c>
      <c r="V883" s="9">
        <f t="shared" ref="V883:Z933" si="193">IF(L883&gt;=0,L883,-L883)</f>
        <v>126</v>
      </c>
      <c r="W883" s="9">
        <f t="shared" si="193"/>
        <v>8258</v>
      </c>
      <c r="X883" s="9">
        <f t="shared" si="193"/>
        <v>11140</v>
      </c>
      <c r="Y883" s="9">
        <f t="shared" si="193"/>
        <v>10540</v>
      </c>
      <c r="Z883" s="9">
        <f t="shared" si="193"/>
        <v>8384</v>
      </c>
      <c r="AA883" s="9">
        <f t="shared" si="192"/>
        <v>11266</v>
      </c>
      <c r="AB883" s="9">
        <f t="shared" si="192"/>
        <v>10666</v>
      </c>
      <c r="AC883" s="9">
        <f t="shared" si="192"/>
        <v>2882</v>
      </c>
      <c r="AD883" s="9">
        <f t="shared" si="192"/>
        <v>2282</v>
      </c>
      <c r="AE883" s="9">
        <f t="shared" si="192"/>
        <v>600</v>
      </c>
    </row>
    <row r="884" spans="2:31" x14ac:dyDescent="0.25">
      <c r="B884" s="6">
        <v>19547</v>
      </c>
      <c r="C884" s="6">
        <v>20482</v>
      </c>
      <c r="D884" s="6">
        <v>10524</v>
      </c>
      <c r="E884" s="6">
        <v>7520</v>
      </c>
      <c r="F884" s="6">
        <v>8427</v>
      </c>
      <c r="L884">
        <f t="shared" si="181"/>
        <v>-935</v>
      </c>
      <c r="M884">
        <f t="shared" si="182"/>
        <v>9023</v>
      </c>
      <c r="N884">
        <f t="shared" si="183"/>
        <v>12027</v>
      </c>
      <c r="O884">
        <f t="shared" si="184"/>
        <v>11120</v>
      </c>
      <c r="P884">
        <f t="shared" si="185"/>
        <v>9958</v>
      </c>
      <c r="Q884">
        <f t="shared" si="186"/>
        <v>12962</v>
      </c>
      <c r="R884">
        <f t="shared" si="187"/>
        <v>12055</v>
      </c>
      <c r="S884">
        <f t="shared" si="188"/>
        <v>3004</v>
      </c>
      <c r="T884">
        <f t="shared" si="189"/>
        <v>2097</v>
      </c>
      <c r="U884">
        <f t="shared" si="190"/>
        <v>-907</v>
      </c>
      <c r="V884" s="9">
        <f t="shared" si="193"/>
        <v>935</v>
      </c>
      <c r="W884" s="9">
        <f t="shared" si="193"/>
        <v>9023</v>
      </c>
      <c r="X884" s="9">
        <f t="shared" si="193"/>
        <v>12027</v>
      </c>
      <c r="Y884" s="9">
        <f t="shared" si="193"/>
        <v>11120</v>
      </c>
      <c r="Z884" s="9">
        <f t="shared" si="193"/>
        <v>9958</v>
      </c>
      <c r="AA884" s="9">
        <f t="shared" si="192"/>
        <v>12962</v>
      </c>
      <c r="AB884" s="9">
        <f t="shared" si="192"/>
        <v>12055</v>
      </c>
      <c r="AC884" s="9">
        <f t="shared" si="192"/>
        <v>3004</v>
      </c>
      <c r="AD884" s="9">
        <f t="shared" si="192"/>
        <v>2097</v>
      </c>
      <c r="AE884" s="9">
        <f t="shared" si="192"/>
        <v>907</v>
      </c>
    </row>
    <row r="885" spans="2:31" x14ac:dyDescent="0.25">
      <c r="B885" s="6">
        <v>15364</v>
      </c>
      <c r="C885" s="6">
        <f t="shared" si="191"/>
        <v>15490</v>
      </c>
      <c r="D885" s="6">
        <v>8524</v>
      </c>
      <c r="E885" s="6">
        <v>6418</v>
      </c>
      <c r="F885" s="6">
        <v>6742</v>
      </c>
      <c r="L885">
        <f t="shared" si="181"/>
        <v>-126</v>
      </c>
      <c r="M885">
        <f t="shared" si="182"/>
        <v>6840</v>
      </c>
      <c r="N885">
        <f t="shared" si="183"/>
        <v>8946</v>
      </c>
      <c r="O885">
        <f t="shared" si="184"/>
        <v>8622</v>
      </c>
      <c r="P885">
        <f t="shared" si="185"/>
        <v>6966</v>
      </c>
      <c r="Q885">
        <f t="shared" si="186"/>
        <v>9072</v>
      </c>
      <c r="R885">
        <f t="shared" si="187"/>
        <v>8748</v>
      </c>
      <c r="S885">
        <f t="shared" si="188"/>
        <v>2106</v>
      </c>
      <c r="T885">
        <f t="shared" si="189"/>
        <v>1782</v>
      </c>
      <c r="U885">
        <f t="shared" si="190"/>
        <v>-324</v>
      </c>
      <c r="V885" s="9">
        <f t="shared" si="193"/>
        <v>126</v>
      </c>
      <c r="W885" s="9">
        <f t="shared" si="193"/>
        <v>6840</v>
      </c>
      <c r="X885" s="9">
        <f t="shared" si="193"/>
        <v>8946</v>
      </c>
      <c r="Y885" s="9">
        <f t="shared" si="193"/>
        <v>8622</v>
      </c>
      <c r="Z885" s="9">
        <f t="shared" si="193"/>
        <v>6966</v>
      </c>
      <c r="AA885" s="9">
        <f t="shared" si="192"/>
        <v>9072</v>
      </c>
      <c r="AB885" s="9">
        <f t="shared" si="192"/>
        <v>8748</v>
      </c>
      <c r="AC885" s="9">
        <f t="shared" si="192"/>
        <v>2106</v>
      </c>
      <c r="AD885" s="9">
        <f t="shared" si="192"/>
        <v>1782</v>
      </c>
      <c r="AE885" s="9">
        <f t="shared" si="192"/>
        <v>324</v>
      </c>
    </row>
    <row r="886" spans="2:31" x14ac:dyDescent="0.25">
      <c r="B886" s="6">
        <v>19640</v>
      </c>
      <c r="C886" s="6">
        <v>18642</v>
      </c>
      <c r="D886" s="6">
        <v>9542</v>
      </c>
      <c r="E886" s="6">
        <v>7552</v>
      </c>
      <c r="F886" s="6">
        <v>7952</v>
      </c>
      <c r="L886">
        <f t="shared" si="181"/>
        <v>998</v>
      </c>
      <c r="M886">
        <f t="shared" si="182"/>
        <v>10098</v>
      </c>
      <c r="N886">
        <f t="shared" si="183"/>
        <v>12088</v>
      </c>
      <c r="O886">
        <f t="shared" si="184"/>
        <v>11688</v>
      </c>
      <c r="P886">
        <f t="shared" si="185"/>
        <v>9100</v>
      </c>
      <c r="Q886">
        <f t="shared" si="186"/>
        <v>11090</v>
      </c>
      <c r="R886">
        <f t="shared" si="187"/>
        <v>10690</v>
      </c>
      <c r="S886">
        <f t="shared" si="188"/>
        <v>1990</v>
      </c>
      <c r="T886">
        <f t="shared" si="189"/>
        <v>1590</v>
      </c>
      <c r="U886">
        <f t="shared" si="190"/>
        <v>-400</v>
      </c>
      <c r="V886" s="9">
        <f t="shared" si="193"/>
        <v>998</v>
      </c>
      <c r="W886" s="9">
        <f t="shared" si="193"/>
        <v>10098</v>
      </c>
      <c r="X886" s="9">
        <f t="shared" si="193"/>
        <v>12088</v>
      </c>
      <c r="Y886" s="9">
        <f t="shared" si="193"/>
        <v>11688</v>
      </c>
      <c r="Z886" s="9">
        <f t="shared" si="193"/>
        <v>9100</v>
      </c>
      <c r="AA886" s="9">
        <f t="shared" si="192"/>
        <v>11090</v>
      </c>
      <c r="AB886" s="9">
        <f t="shared" si="192"/>
        <v>10690</v>
      </c>
      <c r="AC886" s="9">
        <f t="shared" si="192"/>
        <v>1990</v>
      </c>
      <c r="AD886" s="9">
        <f t="shared" si="192"/>
        <v>1590</v>
      </c>
      <c r="AE886" s="9">
        <f t="shared" si="192"/>
        <v>400</v>
      </c>
    </row>
    <row r="887" spans="2:31" x14ac:dyDescent="0.25">
      <c r="B887" s="6">
        <v>22305</v>
      </c>
      <c r="C887" s="6">
        <f t="shared" si="191"/>
        <v>22431</v>
      </c>
      <c r="D887" s="6">
        <v>12456</v>
      </c>
      <c r="E887" s="6">
        <v>9542</v>
      </c>
      <c r="F887" s="6">
        <v>1054</v>
      </c>
      <c r="L887">
        <f t="shared" si="181"/>
        <v>-126</v>
      </c>
      <c r="M887">
        <f t="shared" si="182"/>
        <v>9849</v>
      </c>
      <c r="N887">
        <f t="shared" si="183"/>
        <v>12763</v>
      </c>
      <c r="O887">
        <f t="shared" si="184"/>
        <v>21251</v>
      </c>
      <c r="P887">
        <f t="shared" si="185"/>
        <v>9975</v>
      </c>
      <c r="Q887">
        <f t="shared" si="186"/>
        <v>12889</v>
      </c>
      <c r="R887">
        <f t="shared" si="187"/>
        <v>21377</v>
      </c>
      <c r="S887">
        <f t="shared" si="188"/>
        <v>2914</v>
      </c>
      <c r="T887">
        <f t="shared" si="189"/>
        <v>11402</v>
      </c>
      <c r="U887">
        <f t="shared" si="190"/>
        <v>8488</v>
      </c>
      <c r="V887" s="9">
        <f t="shared" si="193"/>
        <v>126</v>
      </c>
      <c r="W887" s="9">
        <f t="shared" si="193"/>
        <v>9849</v>
      </c>
      <c r="X887" s="9">
        <f t="shared" si="193"/>
        <v>12763</v>
      </c>
      <c r="Y887" s="9">
        <f t="shared" si="193"/>
        <v>21251</v>
      </c>
      <c r="Z887" s="9">
        <f t="shared" si="193"/>
        <v>9975</v>
      </c>
      <c r="AA887" s="9">
        <f t="shared" si="192"/>
        <v>12889</v>
      </c>
      <c r="AB887" s="9">
        <f t="shared" si="192"/>
        <v>21377</v>
      </c>
      <c r="AC887" s="9">
        <f t="shared" si="192"/>
        <v>2914</v>
      </c>
      <c r="AD887" s="9">
        <f t="shared" si="192"/>
        <v>11402</v>
      </c>
      <c r="AE887" s="9">
        <f t="shared" si="192"/>
        <v>8488</v>
      </c>
    </row>
    <row r="888" spans="2:31" x14ac:dyDescent="0.25">
      <c r="B888" s="6">
        <v>16069</v>
      </c>
      <c r="C888" s="6">
        <v>15672</v>
      </c>
      <c r="D888" s="6">
        <v>8542</v>
      </c>
      <c r="E888" s="6">
        <v>7525</v>
      </c>
      <c r="F888" s="6">
        <v>8271</v>
      </c>
      <c r="L888">
        <f t="shared" si="181"/>
        <v>397</v>
      </c>
      <c r="M888">
        <f t="shared" si="182"/>
        <v>7527</v>
      </c>
      <c r="N888">
        <f t="shared" si="183"/>
        <v>8544</v>
      </c>
      <c r="O888">
        <f t="shared" si="184"/>
        <v>7798</v>
      </c>
      <c r="P888">
        <f t="shared" si="185"/>
        <v>7130</v>
      </c>
      <c r="Q888">
        <f t="shared" si="186"/>
        <v>8147</v>
      </c>
      <c r="R888">
        <f t="shared" si="187"/>
        <v>7401</v>
      </c>
      <c r="S888">
        <f t="shared" si="188"/>
        <v>1017</v>
      </c>
      <c r="T888">
        <f t="shared" si="189"/>
        <v>271</v>
      </c>
      <c r="U888">
        <f t="shared" si="190"/>
        <v>-746</v>
      </c>
      <c r="V888" s="9">
        <f t="shared" si="193"/>
        <v>397</v>
      </c>
      <c r="W888" s="9">
        <f t="shared" si="193"/>
        <v>7527</v>
      </c>
      <c r="X888" s="9">
        <f t="shared" si="193"/>
        <v>8544</v>
      </c>
      <c r="Y888" s="9">
        <f t="shared" si="193"/>
        <v>7798</v>
      </c>
      <c r="Z888" s="9">
        <f t="shared" si="193"/>
        <v>7130</v>
      </c>
      <c r="AA888" s="9">
        <f t="shared" si="192"/>
        <v>8147</v>
      </c>
      <c r="AB888" s="9">
        <f t="shared" si="192"/>
        <v>7401</v>
      </c>
      <c r="AC888" s="9">
        <f t="shared" si="192"/>
        <v>1017</v>
      </c>
      <c r="AD888" s="9">
        <f t="shared" si="192"/>
        <v>271</v>
      </c>
      <c r="AE888" s="9">
        <f t="shared" si="192"/>
        <v>746</v>
      </c>
    </row>
    <row r="889" spans="2:31" x14ac:dyDescent="0.25">
      <c r="B889" s="6">
        <v>10641</v>
      </c>
      <c r="C889" s="6">
        <f t="shared" si="191"/>
        <v>10767</v>
      </c>
      <c r="D889" s="6">
        <v>6582</v>
      </c>
      <c r="E889" s="6">
        <v>4656</v>
      </c>
      <c r="F889" s="6">
        <v>5241</v>
      </c>
      <c r="L889">
        <f t="shared" si="181"/>
        <v>-126</v>
      </c>
      <c r="M889">
        <f t="shared" si="182"/>
        <v>4059</v>
      </c>
      <c r="N889">
        <f t="shared" si="183"/>
        <v>5985</v>
      </c>
      <c r="O889">
        <f t="shared" si="184"/>
        <v>5400</v>
      </c>
      <c r="P889">
        <f t="shared" si="185"/>
        <v>4185</v>
      </c>
      <c r="Q889">
        <f t="shared" si="186"/>
        <v>6111</v>
      </c>
      <c r="R889">
        <f t="shared" si="187"/>
        <v>5526</v>
      </c>
      <c r="S889">
        <f t="shared" si="188"/>
        <v>1926</v>
      </c>
      <c r="T889">
        <f t="shared" si="189"/>
        <v>1341</v>
      </c>
      <c r="U889">
        <f t="shared" si="190"/>
        <v>-585</v>
      </c>
      <c r="V889" s="9">
        <f t="shared" si="193"/>
        <v>126</v>
      </c>
      <c r="W889" s="9">
        <f t="shared" si="193"/>
        <v>4059</v>
      </c>
      <c r="X889" s="9">
        <f t="shared" si="193"/>
        <v>5985</v>
      </c>
      <c r="Y889" s="9">
        <f t="shared" si="193"/>
        <v>5400</v>
      </c>
      <c r="Z889" s="9">
        <f t="shared" si="193"/>
        <v>4185</v>
      </c>
      <c r="AA889" s="9">
        <f t="shared" si="192"/>
        <v>6111</v>
      </c>
      <c r="AB889" s="9">
        <f t="shared" si="192"/>
        <v>5526</v>
      </c>
      <c r="AC889" s="9">
        <f t="shared" si="192"/>
        <v>1926</v>
      </c>
      <c r="AD889" s="9">
        <f t="shared" si="192"/>
        <v>1341</v>
      </c>
      <c r="AE889" s="9">
        <f t="shared" si="192"/>
        <v>585</v>
      </c>
    </row>
    <row r="890" spans="2:31" x14ac:dyDescent="0.25">
      <c r="B890" s="6">
        <v>12064</v>
      </c>
      <c r="C890" s="6">
        <f t="shared" si="191"/>
        <v>12190</v>
      </c>
      <c r="D890" s="6">
        <v>7541</v>
      </c>
      <c r="E890" s="6">
        <v>5215</v>
      </c>
      <c r="F890" s="6">
        <v>5482</v>
      </c>
      <c r="L890">
        <f t="shared" si="181"/>
        <v>-126</v>
      </c>
      <c r="M890">
        <f t="shared" si="182"/>
        <v>4523</v>
      </c>
      <c r="N890">
        <f t="shared" si="183"/>
        <v>6849</v>
      </c>
      <c r="O890">
        <f t="shared" si="184"/>
        <v>6582</v>
      </c>
      <c r="P890">
        <f t="shared" si="185"/>
        <v>4649</v>
      </c>
      <c r="Q890">
        <f t="shared" si="186"/>
        <v>6975</v>
      </c>
      <c r="R890">
        <f t="shared" si="187"/>
        <v>6708</v>
      </c>
      <c r="S890">
        <f t="shared" si="188"/>
        <v>2326</v>
      </c>
      <c r="T890">
        <f t="shared" si="189"/>
        <v>2059</v>
      </c>
      <c r="U890">
        <f t="shared" si="190"/>
        <v>-267</v>
      </c>
      <c r="V890" s="9">
        <f t="shared" si="193"/>
        <v>126</v>
      </c>
      <c r="W890" s="9">
        <f t="shared" si="193"/>
        <v>4523</v>
      </c>
      <c r="X890" s="9">
        <f t="shared" si="193"/>
        <v>6849</v>
      </c>
      <c r="Y890" s="9">
        <f t="shared" si="193"/>
        <v>6582</v>
      </c>
      <c r="Z890" s="9">
        <f t="shared" si="193"/>
        <v>4649</v>
      </c>
      <c r="AA890" s="9">
        <f t="shared" si="192"/>
        <v>6975</v>
      </c>
      <c r="AB890" s="9">
        <f t="shared" si="192"/>
        <v>6708</v>
      </c>
      <c r="AC890" s="9">
        <f t="shared" si="192"/>
        <v>2326</v>
      </c>
      <c r="AD890" s="9">
        <f t="shared" si="192"/>
        <v>2059</v>
      </c>
      <c r="AE890" s="9">
        <f t="shared" si="192"/>
        <v>267</v>
      </c>
    </row>
    <row r="891" spans="2:31" x14ac:dyDescent="0.25">
      <c r="B891" s="6">
        <v>18247</v>
      </c>
      <c r="C891" s="6">
        <v>19433</v>
      </c>
      <c r="D891" s="6">
        <v>10245</v>
      </c>
      <c r="E891" s="6">
        <v>8245</v>
      </c>
      <c r="F891" s="6">
        <v>9242</v>
      </c>
      <c r="L891">
        <f t="shared" si="181"/>
        <v>-1186</v>
      </c>
      <c r="M891">
        <f t="shared" si="182"/>
        <v>8002</v>
      </c>
      <c r="N891">
        <f t="shared" si="183"/>
        <v>10002</v>
      </c>
      <c r="O891">
        <f t="shared" si="184"/>
        <v>9005</v>
      </c>
      <c r="P891">
        <f t="shared" si="185"/>
        <v>9188</v>
      </c>
      <c r="Q891">
        <f t="shared" si="186"/>
        <v>11188</v>
      </c>
      <c r="R891">
        <f t="shared" si="187"/>
        <v>10191</v>
      </c>
      <c r="S891">
        <f t="shared" si="188"/>
        <v>2000</v>
      </c>
      <c r="T891">
        <f t="shared" si="189"/>
        <v>1003</v>
      </c>
      <c r="U891">
        <f t="shared" si="190"/>
        <v>-997</v>
      </c>
      <c r="V891" s="9">
        <f t="shared" si="193"/>
        <v>1186</v>
      </c>
      <c r="W891" s="9">
        <f t="shared" si="193"/>
        <v>8002</v>
      </c>
      <c r="X891" s="9">
        <f t="shared" si="193"/>
        <v>10002</v>
      </c>
      <c r="Y891" s="9">
        <f t="shared" si="193"/>
        <v>9005</v>
      </c>
      <c r="Z891" s="9">
        <f t="shared" si="193"/>
        <v>9188</v>
      </c>
      <c r="AA891" s="9">
        <f t="shared" si="192"/>
        <v>11188</v>
      </c>
      <c r="AB891" s="9">
        <f t="shared" si="192"/>
        <v>10191</v>
      </c>
      <c r="AC891" s="9">
        <f t="shared" si="192"/>
        <v>2000</v>
      </c>
      <c r="AD891" s="9">
        <f t="shared" si="192"/>
        <v>1003</v>
      </c>
      <c r="AE891" s="9">
        <f t="shared" si="192"/>
        <v>997</v>
      </c>
    </row>
    <row r="892" spans="2:31" x14ac:dyDescent="0.25">
      <c r="B892" s="6">
        <v>13642</v>
      </c>
      <c r="C892" s="6">
        <f t="shared" si="191"/>
        <v>13768</v>
      </c>
      <c r="D892" s="6">
        <v>7525</v>
      </c>
      <c r="E892" s="6">
        <v>6452</v>
      </c>
      <c r="F892" s="6">
        <v>6852</v>
      </c>
      <c r="L892">
        <f t="shared" si="181"/>
        <v>-126</v>
      </c>
      <c r="M892">
        <f t="shared" si="182"/>
        <v>6117</v>
      </c>
      <c r="N892">
        <f t="shared" si="183"/>
        <v>7190</v>
      </c>
      <c r="O892">
        <f t="shared" si="184"/>
        <v>6790</v>
      </c>
      <c r="P892">
        <f t="shared" si="185"/>
        <v>6243</v>
      </c>
      <c r="Q892">
        <f t="shared" si="186"/>
        <v>7316</v>
      </c>
      <c r="R892">
        <f t="shared" si="187"/>
        <v>6916</v>
      </c>
      <c r="S892">
        <f t="shared" si="188"/>
        <v>1073</v>
      </c>
      <c r="T892">
        <f t="shared" si="189"/>
        <v>673</v>
      </c>
      <c r="U892">
        <f t="shared" si="190"/>
        <v>-400</v>
      </c>
      <c r="V892" s="9">
        <f t="shared" si="193"/>
        <v>126</v>
      </c>
      <c r="W892" s="9">
        <f t="shared" si="193"/>
        <v>6117</v>
      </c>
      <c r="X892" s="9">
        <f t="shared" si="193"/>
        <v>7190</v>
      </c>
      <c r="Y892" s="9">
        <f t="shared" si="193"/>
        <v>6790</v>
      </c>
      <c r="Z892" s="9">
        <f t="shared" si="193"/>
        <v>6243</v>
      </c>
      <c r="AA892" s="9">
        <f t="shared" si="192"/>
        <v>7316</v>
      </c>
      <c r="AB892" s="9">
        <f t="shared" si="192"/>
        <v>6916</v>
      </c>
      <c r="AC892" s="9">
        <f t="shared" si="192"/>
        <v>1073</v>
      </c>
      <c r="AD892" s="9">
        <f t="shared" si="192"/>
        <v>673</v>
      </c>
      <c r="AE892" s="9">
        <f t="shared" si="192"/>
        <v>400</v>
      </c>
    </row>
    <row r="893" spans="2:31" x14ac:dyDescent="0.25">
      <c r="B893" s="6">
        <v>9326</v>
      </c>
      <c r="C893" s="6">
        <f t="shared" si="191"/>
        <v>9452</v>
      </c>
      <c r="D893" s="6">
        <v>6145</v>
      </c>
      <c r="E893" s="6">
        <v>4562</v>
      </c>
      <c r="F893" s="6">
        <v>5204</v>
      </c>
      <c r="L893">
        <f t="shared" si="181"/>
        <v>-126</v>
      </c>
      <c r="M893">
        <f t="shared" si="182"/>
        <v>3181</v>
      </c>
      <c r="N893">
        <f t="shared" si="183"/>
        <v>4764</v>
      </c>
      <c r="O893">
        <f t="shared" si="184"/>
        <v>4122</v>
      </c>
      <c r="P893">
        <f t="shared" si="185"/>
        <v>3307</v>
      </c>
      <c r="Q893">
        <f t="shared" si="186"/>
        <v>4890</v>
      </c>
      <c r="R893">
        <f t="shared" si="187"/>
        <v>4248</v>
      </c>
      <c r="S893">
        <f t="shared" si="188"/>
        <v>1583</v>
      </c>
      <c r="T893">
        <f t="shared" si="189"/>
        <v>941</v>
      </c>
      <c r="U893">
        <f t="shared" si="190"/>
        <v>-642</v>
      </c>
      <c r="V893" s="9">
        <f t="shared" si="193"/>
        <v>126</v>
      </c>
      <c r="W893" s="9">
        <f t="shared" si="193"/>
        <v>3181</v>
      </c>
      <c r="X893" s="9">
        <f t="shared" si="193"/>
        <v>4764</v>
      </c>
      <c r="Y893" s="9">
        <f t="shared" si="193"/>
        <v>4122</v>
      </c>
      <c r="Z893" s="9">
        <f t="shared" si="193"/>
        <v>3307</v>
      </c>
      <c r="AA893" s="9">
        <f t="shared" si="192"/>
        <v>4890</v>
      </c>
      <c r="AB893" s="9">
        <f t="shared" si="192"/>
        <v>4248</v>
      </c>
      <c r="AC893" s="9">
        <f t="shared" si="192"/>
        <v>1583</v>
      </c>
      <c r="AD893" s="9">
        <f t="shared" si="192"/>
        <v>941</v>
      </c>
      <c r="AE893" s="9">
        <f t="shared" si="192"/>
        <v>642</v>
      </c>
    </row>
    <row r="894" spans="2:31" x14ac:dyDescent="0.25">
      <c r="B894" s="6">
        <v>11634</v>
      </c>
      <c r="C894" s="6">
        <v>12345</v>
      </c>
      <c r="D894" s="6">
        <v>8134</v>
      </c>
      <c r="E894" s="6">
        <v>6985</v>
      </c>
      <c r="F894" s="6">
        <v>7415</v>
      </c>
      <c r="L894">
        <f t="shared" si="181"/>
        <v>-711</v>
      </c>
      <c r="M894">
        <f t="shared" si="182"/>
        <v>3500</v>
      </c>
      <c r="N894">
        <f t="shared" si="183"/>
        <v>4649</v>
      </c>
      <c r="O894">
        <f t="shared" si="184"/>
        <v>4219</v>
      </c>
      <c r="P894">
        <f t="shared" si="185"/>
        <v>4211</v>
      </c>
      <c r="Q894">
        <f t="shared" si="186"/>
        <v>5360</v>
      </c>
      <c r="R894">
        <f t="shared" si="187"/>
        <v>4930</v>
      </c>
      <c r="S894">
        <f t="shared" si="188"/>
        <v>1149</v>
      </c>
      <c r="T894">
        <f t="shared" si="189"/>
        <v>719</v>
      </c>
      <c r="U894">
        <f t="shared" si="190"/>
        <v>-430</v>
      </c>
      <c r="V894" s="9">
        <f t="shared" si="193"/>
        <v>711</v>
      </c>
      <c r="W894" s="9">
        <f t="shared" si="193"/>
        <v>3500</v>
      </c>
      <c r="X894" s="9">
        <f t="shared" si="193"/>
        <v>4649</v>
      </c>
      <c r="Y894" s="9">
        <f t="shared" si="193"/>
        <v>4219</v>
      </c>
      <c r="Z894" s="9">
        <f t="shared" si="193"/>
        <v>4211</v>
      </c>
      <c r="AA894" s="9">
        <f t="shared" si="192"/>
        <v>5360</v>
      </c>
      <c r="AB894" s="9">
        <f t="shared" si="192"/>
        <v>4930</v>
      </c>
      <c r="AC894" s="9">
        <f t="shared" si="192"/>
        <v>1149</v>
      </c>
      <c r="AD894" s="9">
        <f t="shared" si="192"/>
        <v>719</v>
      </c>
      <c r="AE894" s="9">
        <f t="shared" si="192"/>
        <v>430</v>
      </c>
    </row>
    <row r="895" spans="2:31" x14ac:dyDescent="0.25">
      <c r="B895" s="6">
        <v>15272</v>
      </c>
      <c r="C895" s="6">
        <f t="shared" si="191"/>
        <v>15398</v>
      </c>
      <c r="D895" s="6">
        <v>8648</v>
      </c>
      <c r="E895" s="6">
        <v>7512</v>
      </c>
      <c r="F895" s="6">
        <v>8524</v>
      </c>
      <c r="L895">
        <f t="shared" si="181"/>
        <v>-126</v>
      </c>
      <c r="M895">
        <f t="shared" si="182"/>
        <v>6624</v>
      </c>
      <c r="N895">
        <f t="shared" si="183"/>
        <v>7760</v>
      </c>
      <c r="O895">
        <f t="shared" si="184"/>
        <v>6748</v>
      </c>
      <c r="P895">
        <f t="shared" si="185"/>
        <v>6750</v>
      </c>
      <c r="Q895">
        <f t="shared" si="186"/>
        <v>7886</v>
      </c>
      <c r="R895">
        <f t="shared" si="187"/>
        <v>6874</v>
      </c>
      <c r="S895">
        <f t="shared" si="188"/>
        <v>1136</v>
      </c>
      <c r="T895">
        <f t="shared" si="189"/>
        <v>124</v>
      </c>
      <c r="U895">
        <f t="shared" si="190"/>
        <v>-1012</v>
      </c>
      <c r="V895" s="9">
        <f t="shared" si="193"/>
        <v>126</v>
      </c>
      <c r="W895" s="9">
        <f t="shared" si="193"/>
        <v>6624</v>
      </c>
      <c r="X895" s="9">
        <f t="shared" si="193"/>
        <v>7760</v>
      </c>
      <c r="Y895" s="9">
        <f t="shared" si="193"/>
        <v>6748</v>
      </c>
      <c r="Z895" s="9">
        <f t="shared" si="193"/>
        <v>6750</v>
      </c>
      <c r="AA895" s="9">
        <f t="shared" si="192"/>
        <v>7886</v>
      </c>
      <c r="AB895" s="9">
        <f t="shared" si="192"/>
        <v>6874</v>
      </c>
      <c r="AC895" s="9">
        <f t="shared" si="192"/>
        <v>1136</v>
      </c>
      <c r="AD895" s="9">
        <f t="shared" si="192"/>
        <v>124</v>
      </c>
      <c r="AE895" s="9">
        <f t="shared" si="192"/>
        <v>1012</v>
      </c>
    </row>
    <row r="896" spans="2:31" x14ac:dyDescent="0.25">
      <c r="B896" s="6">
        <v>12364</v>
      </c>
      <c r="C896" s="6">
        <v>13546</v>
      </c>
      <c r="D896" s="6">
        <v>8462</v>
      </c>
      <c r="E896" s="6">
        <v>7525</v>
      </c>
      <c r="F896" s="6">
        <v>7548</v>
      </c>
      <c r="L896">
        <f t="shared" si="181"/>
        <v>-1182</v>
      </c>
      <c r="M896">
        <f t="shared" si="182"/>
        <v>3902</v>
      </c>
      <c r="N896">
        <f t="shared" si="183"/>
        <v>4839</v>
      </c>
      <c r="O896">
        <f t="shared" si="184"/>
        <v>4816</v>
      </c>
      <c r="P896">
        <f t="shared" si="185"/>
        <v>5084</v>
      </c>
      <c r="Q896">
        <f t="shared" si="186"/>
        <v>6021</v>
      </c>
      <c r="R896">
        <f t="shared" si="187"/>
        <v>5998</v>
      </c>
      <c r="S896">
        <f t="shared" si="188"/>
        <v>937</v>
      </c>
      <c r="T896">
        <f t="shared" si="189"/>
        <v>914</v>
      </c>
      <c r="U896">
        <f t="shared" si="190"/>
        <v>-23</v>
      </c>
      <c r="V896" s="9">
        <f t="shared" si="193"/>
        <v>1182</v>
      </c>
      <c r="W896" s="9">
        <f t="shared" si="193"/>
        <v>3902</v>
      </c>
      <c r="X896" s="9">
        <f t="shared" si="193"/>
        <v>4839</v>
      </c>
      <c r="Y896" s="9">
        <f t="shared" si="193"/>
        <v>4816</v>
      </c>
      <c r="Z896" s="9">
        <f t="shared" si="193"/>
        <v>5084</v>
      </c>
      <c r="AA896" s="9">
        <f t="shared" si="192"/>
        <v>6021</v>
      </c>
      <c r="AB896" s="9">
        <f t="shared" si="192"/>
        <v>5998</v>
      </c>
      <c r="AC896" s="9">
        <f t="shared" si="192"/>
        <v>937</v>
      </c>
      <c r="AD896" s="9">
        <f t="shared" si="192"/>
        <v>914</v>
      </c>
      <c r="AE896" s="9">
        <f t="shared" si="192"/>
        <v>23</v>
      </c>
    </row>
    <row r="897" spans="2:31" x14ac:dyDescent="0.25">
      <c r="B897" s="6">
        <v>9560</v>
      </c>
      <c r="C897" s="6">
        <f t="shared" si="191"/>
        <v>9686</v>
      </c>
      <c r="D897" s="6">
        <v>5824</v>
      </c>
      <c r="E897" s="6">
        <v>2454</v>
      </c>
      <c r="F897" s="6">
        <v>4562</v>
      </c>
      <c r="L897">
        <f t="shared" ref="L897:L960" si="194">B897-C897</f>
        <v>-126</v>
      </c>
      <c r="M897">
        <f t="shared" ref="M897:M960" si="195">B897-D897</f>
        <v>3736</v>
      </c>
      <c r="N897">
        <f t="shared" ref="N897:N960" si="196">B897-E897</f>
        <v>7106</v>
      </c>
      <c r="O897">
        <f t="shared" ref="O897:O960" si="197">B897-F897</f>
        <v>4998</v>
      </c>
      <c r="P897">
        <f t="shared" ref="P897:P960" si="198">C897-D897</f>
        <v>3862</v>
      </c>
      <c r="Q897">
        <f t="shared" ref="Q897:Q960" si="199">C897-E897</f>
        <v>7232</v>
      </c>
      <c r="R897">
        <f t="shared" ref="R897:R960" si="200">C897-F897</f>
        <v>5124</v>
      </c>
      <c r="S897">
        <f t="shared" ref="S897:S960" si="201">D897-E897</f>
        <v>3370</v>
      </c>
      <c r="T897">
        <f t="shared" ref="T897:T960" si="202">D897-F897</f>
        <v>1262</v>
      </c>
      <c r="U897">
        <f t="shared" ref="U897:U960" si="203">E897-F897</f>
        <v>-2108</v>
      </c>
      <c r="V897" s="9">
        <f t="shared" si="193"/>
        <v>126</v>
      </c>
      <c r="W897" s="9">
        <f t="shared" si="193"/>
        <v>3736</v>
      </c>
      <c r="X897" s="9">
        <f t="shared" si="193"/>
        <v>7106</v>
      </c>
      <c r="Y897" s="9">
        <f t="shared" si="193"/>
        <v>4998</v>
      </c>
      <c r="Z897" s="9">
        <f t="shared" si="193"/>
        <v>3862</v>
      </c>
      <c r="AA897" s="9">
        <f t="shared" si="192"/>
        <v>7232</v>
      </c>
      <c r="AB897" s="9">
        <f t="shared" si="192"/>
        <v>5124</v>
      </c>
      <c r="AC897" s="9">
        <f t="shared" si="192"/>
        <v>3370</v>
      </c>
      <c r="AD897" s="9">
        <f t="shared" si="192"/>
        <v>1262</v>
      </c>
      <c r="AE897" s="9">
        <f t="shared" si="192"/>
        <v>2108</v>
      </c>
    </row>
    <row r="898" spans="2:31" x14ac:dyDescent="0.25">
      <c r="B898" s="6">
        <v>8969</v>
      </c>
      <c r="C898" s="6">
        <f t="shared" si="191"/>
        <v>9095</v>
      </c>
      <c r="D898" s="6">
        <v>5425</v>
      </c>
      <c r="E898" s="6">
        <v>3546</v>
      </c>
      <c r="F898" s="6">
        <v>3944</v>
      </c>
      <c r="L898">
        <f t="shared" si="194"/>
        <v>-126</v>
      </c>
      <c r="M898">
        <f t="shared" si="195"/>
        <v>3544</v>
      </c>
      <c r="N898">
        <f t="shared" si="196"/>
        <v>5423</v>
      </c>
      <c r="O898">
        <f t="shared" si="197"/>
        <v>5025</v>
      </c>
      <c r="P898">
        <f t="shared" si="198"/>
        <v>3670</v>
      </c>
      <c r="Q898">
        <f t="shared" si="199"/>
        <v>5549</v>
      </c>
      <c r="R898">
        <f t="shared" si="200"/>
        <v>5151</v>
      </c>
      <c r="S898">
        <f t="shared" si="201"/>
        <v>1879</v>
      </c>
      <c r="T898">
        <f t="shared" si="202"/>
        <v>1481</v>
      </c>
      <c r="U898">
        <f t="shared" si="203"/>
        <v>-398</v>
      </c>
      <c r="V898" s="9">
        <f t="shared" si="193"/>
        <v>126</v>
      </c>
      <c r="W898" s="9">
        <f t="shared" si="193"/>
        <v>3544</v>
      </c>
      <c r="X898" s="9">
        <f t="shared" si="193"/>
        <v>5423</v>
      </c>
      <c r="Y898" s="9">
        <f t="shared" si="193"/>
        <v>5025</v>
      </c>
      <c r="Z898" s="9">
        <f t="shared" si="193"/>
        <v>3670</v>
      </c>
      <c r="AA898" s="9">
        <f t="shared" si="192"/>
        <v>5549</v>
      </c>
      <c r="AB898" s="9">
        <f t="shared" si="192"/>
        <v>5151</v>
      </c>
      <c r="AC898" s="9">
        <f t="shared" si="192"/>
        <v>1879</v>
      </c>
      <c r="AD898" s="9">
        <f t="shared" si="192"/>
        <v>1481</v>
      </c>
      <c r="AE898" s="9">
        <f t="shared" si="192"/>
        <v>398</v>
      </c>
    </row>
    <row r="899" spans="2:31" x14ac:dyDescent="0.25">
      <c r="B899" s="6">
        <v>12305</v>
      </c>
      <c r="C899" s="6">
        <v>12470</v>
      </c>
      <c r="D899" s="6">
        <v>8542</v>
      </c>
      <c r="E899" s="6">
        <v>7226</v>
      </c>
      <c r="F899" s="6">
        <v>8456</v>
      </c>
      <c r="L899">
        <f t="shared" si="194"/>
        <v>-165</v>
      </c>
      <c r="M899">
        <f t="shared" si="195"/>
        <v>3763</v>
      </c>
      <c r="N899">
        <f t="shared" si="196"/>
        <v>5079</v>
      </c>
      <c r="O899">
        <f t="shared" si="197"/>
        <v>3849</v>
      </c>
      <c r="P899">
        <f t="shared" si="198"/>
        <v>3928</v>
      </c>
      <c r="Q899">
        <f t="shared" si="199"/>
        <v>5244</v>
      </c>
      <c r="R899">
        <f t="shared" si="200"/>
        <v>4014</v>
      </c>
      <c r="S899">
        <f t="shared" si="201"/>
        <v>1316</v>
      </c>
      <c r="T899">
        <f t="shared" si="202"/>
        <v>86</v>
      </c>
      <c r="U899">
        <f t="shared" si="203"/>
        <v>-1230</v>
      </c>
      <c r="V899" s="9">
        <f t="shared" si="193"/>
        <v>165</v>
      </c>
      <c r="W899" s="9">
        <f t="shared" si="193"/>
        <v>3763</v>
      </c>
      <c r="X899" s="9">
        <f t="shared" si="193"/>
        <v>5079</v>
      </c>
      <c r="Y899" s="9">
        <f t="shared" si="193"/>
        <v>3849</v>
      </c>
      <c r="Z899" s="9">
        <f t="shared" si="193"/>
        <v>3928</v>
      </c>
      <c r="AA899" s="9">
        <f t="shared" si="192"/>
        <v>5244</v>
      </c>
      <c r="AB899" s="9">
        <f t="shared" si="192"/>
        <v>4014</v>
      </c>
      <c r="AC899" s="9">
        <f t="shared" si="192"/>
        <v>1316</v>
      </c>
      <c r="AD899" s="9">
        <f t="shared" si="192"/>
        <v>86</v>
      </c>
      <c r="AE899" s="9">
        <f t="shared" si="192"/>
        <v>1230</v>
      </c>
    </row>
    <row r="900" spans="2:31" x14ac:dyDescent="0.25">
      <c r="B900" s="6">
        <v>9483</v>
      </c>
      <c r="C900" s="6">
        <f t="shared" si="191"/>
        <v>9609</v>
      </c>
      <c r="D900" s="6">
        <v>5468</v>
      </c>
      <c r="E900" s="6">
        <v>3542</v>
      </c>
      <c r="F900" s="6">
        <v>5562</v>
      </c>
      <c r="L900">
        <f t="shared" si="194"/>
        <v>-126</v>
      </c>
      <c r="M900">
        <f t="shared" si="195"/>
        <v>4015</v>
      </c>
      <c r="N900">
        <f t="shared" si="196"/>
        <v>5941</v>
      </c>
      <c r="O900">
        <f t="shared" si="197"/>
        <v>3921</v>
      </c>
      <c r="P900">
        <f t="shared" si="198"/>
        <v>4141</v>
      </c>
      <c r="Q900">
        <f t="shared" si="199"/>
        <v>6067</v>
      </c>
      <c r="R900">
        <f t="shared" si="200"/>
        <v>4047</v>
      </c>
      <c r="S900">
        <f t="shared" si="201"/>
        <v>1926</v>
      </c>
      <c r="T900">
        <f t="shared" si="202"/>
        <v>-94</v>
      </c>
      <c r="U900">
        <f t="shared" si="203"/>
        <v>-2020</v>
      </c>
      <c r="V900" s="9">
        <f t="shared" si="193"/>
        <v>126</v>
      </c>
      <c r="W900" s="9">
        <f t="shared" si="193"/>
        <v>4015</v>
      </c>
      <c r="X900" s="9">
        <f t="shared" si="193"/>
        <v>5941</v>
      </c>
      <c r="Y900" s="9">
        <f t="shared" si="193"/>
        <v>3921</v>
      </c>
      <c r="Z900" s="9">
        <f t="shared" si="193"/>
        <v>4141</v>
      </c>
      <c r="AA900" s="9">
        <f t="shared" si="192"/>
        <v>6067</v>
      </c>
      <c r="AB900" s="9">
        <f t="shared" si="192"/>
        <v>4047</v>
      </c>
      <c r="AC900" s="9">
        <f t="shared" si="192"/>
        <v>1926</v>
      </c>
      <c r="AD900" s="9">
        <f t="shared" si="192"/>
        <v>94</v>
      </c>
      <c r="AE900" s="9">
        <f t="shared" si="192"/>
        <v>2020</v>
      </c>
    </row>
    <row r="901" spans="2:31" x14ac:dyDescent="0.25">
      <c r="B901" s="7">
        <v>10830</v>
      </c>
      <c r="C901" s="7">
        <v>11130</v>
      </c>
      <c r="D901" s="6">
        <v>6652</v>
      </c>
      <c r="E901" s="7">
        <v>5582</v>
      </c>
      <c r="F901" s="7">
        <v>6507</v>
      </c>
      <c r="L901">
        <f t="shared" si="194"/>
        <v>-300</v>
      </c>
      <c r="M901">
        <f t="shared" si="195"/>
        <v>4178</v>
      </c>
      <c r="N901">
        <f t="shared" si="196"/>
        <v>5248</v>
      </c>
      <c r="O901">
        <f t="shared" si="197"/>
        <v>4323</v>
      </c>
      <c r="P901">
        <f t="shared" si="198"/>
        <v>4478</v>
      </c>
      <c r="Q901">
        <f t="shared" si="199"/>
        <v>5548</v>
      </c>
      <c r="R901">
        <f t="shared" si="200"/>
        <v>4623</v>
      </c>
      <c r="S901">
        <f t="shared" si="201"/>
        <v>1070</v>
      </c>
      <c r="T901">
        <f t="shared" si="202"/>
        <v>145</v>
      </c>
      <c r="U901">
        <f t="shared" si="203"/>
        <v>-925</v>
      </c>
      <c r="V901" s="9">
        <f t="shared" si="193"/>
        <v>300</v>
      </c>
      <c r="W901" s="9">
        <f t="shared" si="193"/>
        <v>4178</v>
      </c>
      <c r="X901" s="9">
        <f t="shared" si="193"/>
        <v>5248</v>
      </c>
      <c r="Y901" s="9">
        <f t="shared" si="193"/>
        <v>4323</v>
      </c>
      <c r="Z901" s="9">
        <f t="shared" si="193"/>
        <v>4478</v>
      </c>
      <c r="AA901" s="9">
        <f t="shared" si="192"/>
        <v>5548</v>
      </c>
      <c r="AB901" s="9">
        <f t="shared" si="192"/>
        <v>4623</v>
      </c>
      <c r="AC901" s="9">
        <f t="shared" si="192"/>
        <v>1070</v>
      </c>
      <c r="AD901" s="9">
        <f t="shared" si="192"/>
        <v>145</v>
      </c>
      <c r="AE901" s="9">
        <f t="shared" si="192"/>
        <v>925</v>
      </c>
    </row>
    <row r="902" spans="2:31" x14ac:dyDescent="0.25">
      <c r="B902" s="6">
        <v>9958</v>
      </c>
      <c r="C902" s="6">
        <v>13455</v>
      </c>
      <c r="D902" s="6">
        <f>C902-4399</f>
        <v>9056</v>
      </c>
      <c r="E902" s="6">
        <v>7952</v>
      </c>
      <c r="F902" s="6">
        <v>9595</v>
      </c>
      <c r="L902">
        <f t="shared" si="194"/>
        <v>-3497</v>
      </c>
      <c r="M902">
        <f t="shared" si="195"/>
        <v>902</v>
      </c>
      <c r="N902">
        <f t="shared" si="196"/>
        <v>2006</v>
      </c>
      <c r="O902">
        <f t="shared" si="197"/>
        <v>363</v>
      </c>
      <c r="P902">
        <f t="shared" si="198"/>
        <v>4399</v>
      </c>
      <c r="Q902">
        <f t="shared" si="199"/>
        <v>5503</v>
      </c>
      <c r="R902">
        <f t="shared" si="200"/>
        <v>3860</v>
      </c>
      <c r="S902">
        <f t="shared" si="201"/>
        <v>1104</v>
      </c>
      <c r="T902">
        <f t="shared" si="202"/>
        <v>-539</v>
      </c>
      <c r="U902">
        <f t="shared" si="203"/>
        <v>-1643</v>
      </c>
      <c r="V902" s="9">
        <f t="shared" si="193"/>
        <v>3497</v>
      </c>
      <c r="W902" s="9">
        <f t="shared" si="193"/>
        <v>902</v>
      </c>
      <c r="X902" s="9">
        <f t="shared" si="193"/>
        <v>2006</v>
      </c>
      <c r="Y902" s="9">
        <f t="shared" si="193"/>
        <v>363</v>
      </c>
      <c r="Z902" s="9">
        <f t="shared" si="193"/>
        <v>4399</v>
      </c>
      <c r="AA902" s="9">
        <f t="shared" si="192"/>
        <v>5503</v>
      </c>
      <c r="AB902" s="9">
        <f t="shared" si="192"/>
        <v>3860</v>
      </c>
      <c r="AC902" s="9">
        <f t="shared" si="192"/>
        <v>1104</v>
      </c>
      <c r="AD902" s="9">
        <f t="shared" si="192"/>
        <v>539</v>
      </c>
      <c r="AE902" s="9">
        <f t="shared" si="192"/>
        <v>1643</v>
      </c>
    </row>
    <row r="903" spans="2:31" x14ac:dyDescent="0.25">
      <c r="B903" s="6">
        <v>11254</v>
      </c>
      <c r="C903" s="6">
        <f t="shared" ref="C903:C959" si="204">B903+986</f>
        <v>12240</v>
      </c>
      <c r="D903" s="6">
        <f t="shared" ref="D903:D914" si="205">C903-4399</f>
        <v>7841</v>
      </c>
      <c r="E903" s="6">
        <v>6844</v>
      </c>
      <c r="F903" s="6">
        <v>7525</v>
      </c>
      <c r="L903">
        <f t="shared" si="194"/>
        <v>-986</v>
      </c>
      <c r="M903">
        <f t="shared" si="195"/>
        <v>3413</v>
      </c>
      <c r="N903">
        <f t="shared" si="196"/>
        <v>4410</v>
      </c>
      <c r="O903">
        <f t="shared" si="197"/>
        <v>3729</v>
      </c>
      <c r="P903">
        <f t="shared" si="198"/>
        <v>4399</v>
      </c>
      <c r="Q903">
        <f t="shared" si="199"/>
        <v>5396</v>
      </c>
      <c r="R903">
        <f t="shared" si="200"/>
        <v>4715</v>
      </c>
      <c r="S903">
        <f t="shared" si="201"/>
        <v>997</v>
      </c>
      <c r="T903">
        <f t="shared" si="202"/>
        <v>316</v>
      </c>
      <c r="U903">
        <f t="shared" si="203"/>
        <v>-681</v>
      </c>
      <c r="V903" s="9">
        <f t="shared" si="193"/>
        <v>986</v>
      </c>
      <c r="W903" s="9">
        <f t="shared" si="193"/>
        <v>3413</v>
      </c>
      <c r="X903" s="9">
        <f t="shared" si="193"/>
        <v>4410</v>
      </c>
      <c r="Y903" s="9">
        <f t="shared" si="193"/>
        <v>3729</v>
      </c>
      <c r="Z903" s="9">
        <f t="shared" si="193"/>
        <v>4399</v>
      </c>
      <c r="AA903" s="9">
        <f t="shared" si="192"/>
        <v>5396</v>
      </c>
      <c r="AB903" s="9">
        <f t="shared" si="192"/>
        <v>4715</v>
      </c>
      <c r="AC903" s="9">
        <f t="shared" si="192"/>
        <v>997</v>
      </c>
      <c r="AD903" s="9">
        <f t="shared" si="192"/>
        <v>316</v>
      </c>
      <c r="AE903" s="9">
        <f t="shared" si="192"/>
        <v>681</v>
      </c>
    </row>
    <row r="904" spans="2:31" x14ac:dyDescent="0.25">
      <c r="B904" s="6">
        <v>12364</v>
      </c>
      <c r="C904" s="6">
        <v>13454</v>
      </c>
      <c r="D904" s="6">
        <f t="shared" si="205"/>
        <v>9055</v>
      </c>
      <c r="E904" s="6">
        <v>9874</v>
      </c>
      <c r="F904" s="6">
        <v>12102</v>
      </c>
      <c r="L904">
        <f t="shared" si="194"/>
        <v>-1090</v>
      </c>
      <c r="M904">
        <f t="shared" si="195"/>
        <v>3309</v>
      </c>
      <c r="N904">
        <f t="shared" si="196"/>
        <v>2490</v>
      </c>
      <c r="O904">
        <f t="shared" si="197"/>
        <v>262</v>
      </c>
      <c r="P904">
        <f t="shared" si="198"/>
        <v>4399</v>
      </c>
      <c r="Q904">
        <f t="shared" si="199"/>
        <v>3580</v>
      </c>
      <c r="R904">
        <f t="shared" si="200"/>
        <v>1352</v>
      </c>
      <c r="S904">
        <f t="shared" si="201"/>
        <v>-819</v>
      </c>
      <c r="T904">
        <f t="shared" si="202"/>
        <v>-3047</v>
      </c>
      <c r="U904">
        <f t="shared" si="203"/>
        <v>-2228</v>
      </c>
      <c r="V904" s="9">
        <f t="shared" si="193"/>
        <v>1090</v>
      </c>
      <c r="W904" s="9">
        <f t="shared" si="193"/>
        <v>3309</v>
      </c>
      <c r="X904" s="9">
        <f t="shared" si="193"/>
        <v>2490</v>
      </c>
      <c r="Y904" s="9">
        <f t="shared" si="193"/>
        <v>262</v>
      </c>
      <c r="Z904" s="9">
        <f t="shared" si="193"/>
        <v>4399</v>
      </c>
      <c r="AA904" s="9">
        <f t="shared" si="192"/>
        <v>3580</v>
      </c>
      <c r="AB904" s="9">
        <f t="shared" si="192"/>
        <v>1352</v>
      </c>
      <c r="AC904" s="9">
        <f t="shared" si="192"/>
        <v>819</v>
      </c>
      <c r="AD904" s="9">
        <f t="shared" si="192"/>
        <v>3047</v>
      </c>
      <c r="AE904" s="9">
        <f t="shared" si="192"/>
        <v>2228</v>
      </c>
    </row>
    <row r="905" spans="2:31" x14ac:dyDescent="0.25">
      <c r="B905" s="6">
        <v>9857</v>
      </c>
      <c r="C905" s="6">
        <f t="shared" si="204"/>
        <v>10843</v>
      </c>
      <c r="D905" s="6">
        <f t="shared" si="205"/>
        <v>6444</v>
      </c>
      <c r="E905" s="6">
        <v>7205</v>
      </c>
      <c r="F905" s="6">
        <v>8205</v>
      </c>
      <c r="L905">
        <f t="shared" si="194"/>
        <v>-986</v>
      </c>
      <c r="M905">
        <f t="shared" si="195"/>
        <v>3413</v>
      </c>
      <c r="N905">
        <f t="shared" si="196"/>
        <v>2652</v>
      </c>
      <c r="O905">
        <f t="shared" si="197"/>
        <v>1652</v>
      </c>
      <c r="P905">
        <f t="shared" si="198"/>
        <v>4399</v>
      </c>
      <c r="Q905">
        <f t="shared" si="199"/>
        <v>3638</v>
      </c>
      <c r="R905">
        <f t="shared" si="200"/>
        <v>2638</v>
      </c>
      <c r="S905">
        <f t="shared" si="201"/>
        <v>-761</v>
      </c>
      <c r="T905">
        <f t="shared" si="202"/>
        <v>-1761</v>
      </c>
      <c r="U905">
        <f t="shared" si="203"/>
        <v>-1000</v>
      </c>
      <c r="V905" s="9">
        <f t="shared" si="193"/>
        <v>986</v>
      </c>
      <c r="W905" s="9">
        <f t="shared" si="193"/>
        <v>3413</v>
      </c>
      <c r="X905" s="9">
        <f t="shared" si="193"/>
        <v>2652</v>
      </c>
      <c r="Y905" s="9">
        <f t="shared" si="193"/>
        <v>1652</v>
      </c>
      <c r="Z905" s="9">
        <f t="shared" si="193"/>
        <v>4399</v>
      </c>
      <c r="AA905" s="9">
        <f t="shared" si="192"/>
        <v>3638</v>
      </c>
      <c r="AB905" s="9">
        <f t="shared" si="192"/>
        <v>2638</v>
      </c>
      <c r="AC905" s="9">
        <f t="shared" si="192"/>
        <v>761</v>
      </c>
      <c r="AD905" s="9">
        <f t="shared" si="192"/>
        <v>1761</v>
      </c>
      <c r="AE905" s="9">
        <f t="shared" si="192"/>
        <v>1000</v>
      </c>
    </row>
    <row r="906" spans="2:31" x14ac:dyDescent="0.25">
      <c r="B906" s="6">
        <v>6487</v>
      </c>
      <c r="C906" s="6">
        <f t="shared" si="204"/>
        <v>7473</v>
      </c>
      <c r="D906" s="6">
        <f t="shared" si="205"/>
        <v>3074</v>
      </c>
      <c r="E906" s="6">
        <v>4025</v>
      </c>
      <c r="F906" s="6">
        <v>4245</v>
      </c>
      <c r="L906">
        <f t="shared" si="194"/>
        <v>-986</v>
      </c>
      <c r="M906">
        <f t="shared" si="195"/>
        <v>3413</v>
      </c>
      <c r="N906">
        <f t="shared" si="196"/>
        <v>2462</v>
      </c>
      <c r="O906">
        <f t="shared" si="197"/>
        <v>2242</v>
      </c>
      <c r="P906">
        <f t="shared" si="198"/>
        <v>4399</v>
      </c>
      <c r="Q906">
        <f t="shared" si="199"/>
        <v>3448</v>
      </c>
      <c r="R906">
        <f t="shared" si="200"/>
        <v>3228</v>
      </c>
      <c r="S906">
        <f t="shared" si="201"/>
        <v>-951</v>
      </c>
      <c r="T906">
        <f t="shared" si="202"/>
        <v>-1171</v>
      </c>
      <c r="U906">
        <f t="shared" si="203"/>
        <v>-220</v>
      </c>
      <c r="V906" s="9">
        <f t="shared" si="193"/>
        <v>986</v>
      </c>
      <c r="W906" s="9">
        <f t="shared" si="193"/>
        <v>3413</v>
      </c>
      <c r="X906" s="9">
        <f t="shared" si="193"/>
        <v>2462</v>
      </c>
      <c r="Y906" s="9">
        <f t="shared" si="193"/>
        <v>2242</v>
      </c>
      <c r="Z906" s="9">
        <f t="shared" si="193"/>
        <v>4399</v>
      </c>
      <c r="AA906" s="9">
        <f t="shared" si="192"/>
        <v>3448</v>
      </c>
      <c r="AB906" s="9">
        <f t="shared" si="192"/>
        <v>3228</v>
      </c>
      <c r="AC906" s="9">
        <f t="shared" si="192"/>
        <v>951</v>
      </c>
      <c r="AD906" s="9">
        <f t="shared" si="192"/>
        <v>1171</v>
      </c>
      <c r="AE906" s="9">
        <f t="shared" si="192"/>
        <v>220</v>
      </c>
    </row>
    <row r="907" spans="2:31" x14ac:dyDescent="0.25">
      <c r="B907" s="6">
        <v>5647</v>
      </c>
      <c r="C907" s="6">
        <v>6987</v>
      </c>
      <c r="D907" s="6">
        <v>5555</v>
      </c>
      <c r="E907" s="6">
        <v>6462</v>
      </c>
      <c r="F907" s="6">
        <v>7512</v>
      </c>
      <c r="L907">
        <f t="shared" si="194"/>
        <v>-1340</v>
      </c>
      <c r="M907">
        <f t="shared" si="195"/>
        <v>92</v>
      </c>
      <c r="N907">
        <f t="shared" si="196"/>
        <v>-815</v>
      </c>
      <c r="O907">
        <f t="shared" si="197"/>
        <v>-1865</v>
      </c>
      <c r="P907">
        <f t="shared" si="198"/>
        <v>1432</v>
      </c>
      <c r="Q907">
        <f t="shared" si="199"/>
        <v>525</v>
      </c>
      <c r="R907">
        <f t="shared" si="200"/>
        <v>-525</v>
      </c>
      <c r="S907">
        <f t="shared" si="201"/>
        <v>-907</v>
      </c>
      <c r="T907">
        <f t="shared" si="202"/>
        <v>-1957</v>
      </c>
      <c r="U907">
        <f t="shared" si="203"/>
        <v>-1050</v>
      </c>
      <c r="V907" s="9">
        <f t="shared" si="193"/>
        <v>1340</v>
      </c>
      <c r="W907" s="9">
        <f t="shared" si="193"/>
        <v>92</v>
      </c>
      <c r="X907" s="9">
        <f t="shared" si="193"/>
        <v>815</v>
      </c>
      <c r="Y907" s="9">
        <f t="shared" si="193"/>
        <v>1865</v>
      </c>
      <c r="Z907" s="9">
        <f t="shared" si="193"/>
        <v>1432</v>
      </c>
      <c r="AA907" s="9">
        <f t="shared" si="192"/>
        <v>525</v>
      </c>
      <c r="AB907" s="9">
        <f t="shared" si="192"/>
        <v>525</v>
      </c>
      <c r="AC907" s="9">
        <f t="shared" si="192"/>
        <v>907</v>
      </c>
      <c r="AD907" s="9">
        <f t="shared" si="192"/>
        <v>1957</v>
      </c>
      <c r="AE907" s="9">
        <f t="shared" si="192"/>
        <v>1050</v>
      </c>
    </row>
    <row r="908" spans="2:31" x14ac:dyDescent="0.25">
      <c r="B908" s="6">
        <v>12647</v>
      </c>
      <c r="C908" s="6">
        <v>14687</v>
      </c>
      <c r="D908" s="6">
        <f t="shared" si="205"/>
        <v>10288</v>
      </c>
      <c r="E908" s="6">
        <v>8642</v>
      </c>
      <c r="F908" s="6">
        <v>9542</v>
      </c>
      <c r="L908">
        <f t="shared" si="194"/>
        <v>-2040</v>
      </c>
      <c r="M908">
        <f t="shared" si="195"/>
        <v>2359</v>
      </c>
      <c r="N908">
        <f t="shared" si="196"/>
        <v>4005</v>
      </c>
      <c r="O908">
        <f t="shared" si="197"/>
        <v>3105</v>
      </c>
      <c r="P908">
        <f t="shared" si="198"/>
        <v>4399</v>
      </c>
      <c r="Q908">
        <f t="shared" si="199"/>
        <v>6045</v>
      </c>
      <c r="R908">
        <f t="shared" si="200"/>
        <v>5145</v>
      </c>
      <c r="S908">
        <f t="shared" si="201"/>
        <v>1646</v>
      </c>
      <c r="T908">
        <f t="shared" si="202"/>
        <v>746</v>
      </c>
      <c r="U908">
        <f t="shared" si="203"/>
        <v>-900</v>
      </c>
      <c r="V908" s="9">
        <f t="shared" si="193"/>
        <v>2040</v>
      </c>
      <c r="W908" s="9">
        <f t="shared" si="193"/>
        <v>2359</v>
      </c>
      <c r="X908" s="9">
        <f t="shared" si="193"/>
        <v>4005</v>
      </c>
      <c r="Y908" s="9">
        <f t="shared" si="193"/>
        <v>3105</v>
      </c>
      <c r="Z908" s="9">
        <f t="shared" si="193"/>
        <v>4399</v>
      </c>
      <c r="AA908" s="9">
        <f t="shared" si="192"/>
        <v>6045</v>
      </c>
      <c r="AB908" s="9">
        <f t="shared" si="192"/>
        <v>5145</v>
      </c>
      <c r="AC908" s="9">
        <f t="shared" si="192"/>
        <v>1646</v>
      </c>
      <c r="AD908" s="9">
        <f t="shared" si="192"/>
        <v>746</v>
      </c>
      <c r="AE908" s="9">
        <f t="shared" si="192"/>
        <v>900</v>
      </c>
    </row>
    <row r="909" spans="2:31" x14ac:dyDescent="0.25">
      <c r="B909" s="6">
        <v>9564</v>
      </c>
      <c r="C909" s="6">
        <f t="shared" si="204"/>
        <v>10550</v>
      </c>
      <c r="D909" s="6">
        <f t="shared" si="205"/>
        <v>6151</v>
      </c>
      <c r="E909" s="6">
        <v>7525</v>
      </c>
      <c r="F909" s="6">
        <v>8245</v>
      </c>
      <c r="L909">
        <f t="shared" si="194"/>
        <v>-986</v>
      </c>
      <c r="M909">
        <f t="shared" si="195"/>
        <v>3413</v>
      </c>
      <c r="N909">
        <f t="shared" si="196"/>
        <v>2039</v>
      </c>
      <c r="O909">
        <f t="shared" si="197"/>
        <v>1319</v>
      </c>
      <c r="P909">
        <f t="shared" si="198"/>
        <v>4399</v>
      </c>
      <c r="Q909">
        <f t="shared" si="199"/>
        <v>3025</v>
      </c>
      <c r="R909">
        <f t="shared" si="200"/>
        <v>2305</v>
      </c>
      <c r="S909">
        <f t="shared" si="201"/>
        <v>-1374</v>
      </c>
      <c r="T909">
        <f t="shared" si="202"/>
        <v>-2094</v>
      </c>
      <c r="U909">
        <f t="shared" si="203"/>
        <v>-720</v>
      </c>
      <c r="V909" s="9">
        <f t="shared" si="193"/>
        <v>986</v>
      </c>
      <c r="W909" s="9">
        <f t="shared" si="193"/>
        <v>3413</v>
      </c>
      <c r="X909" s="9">
        <f t="shared" si="193"/>
        <v>2039</v>
      </c>
      <c r="Y909" s="9">
        <f t="shared" si="193"/>
        <v>1319</v>
      </c>
      <c r="Z909" s="9">
        <f t="shared" si="193"/>
        <v>4399</v>
      </c>
      <c r="AA909" s="9">
        <f t="shared" si="192"/>
        <v>3025</v>
      </c>
      <c r="AB909" s="9">
        <f t="shared" si="192"/>
        <v>2305</v>
      </c>
      <c r="AC909" s="9">
        <f t="shared" si="192"/>
        <v>1374</v>
      </c>
      <c r="AD909" s="9">
        <f t="shared" si="192"/>
        <v>2094</v>
      </c>
      <c r="AE909" s="9">
        <f t="shared" si="192"/>
        <v>720</v>
      </c>
    </row>
    <row r="910" spans="2:31" x14ac:dyDescent="0.25">
      <c r="B910" s="6">
        <v>7542</v>
      </c>
      <c r="C910" s="6">
        <f t="shared" si="204"/>
        <v>8528</v>
      </c>
      <c r="D910" s="6">
        <f t="shared" si="205"/>
        <v>4129</v>
      </c>
      <c r="E910" s="6">
        <v>5456</v>
      </c>
      <c r="F910" s="6">
        <v>5687</v>
      </c>
      <c r="L910">
        <f t="shared" si="194"/>
        <v>-986</v>
      </c>
      <c r="M910">
        <f t="shared" si="195"/>
        <v>3413</v>
      </c>
      <c r="N910">
        <f t="shared" si="196"/>
        <v>2086</v>
      </c>
      <c r="O910">
        <f t="shared" si="197"/>
        <v>1855</v>
      </c>
      <c r="P910">
        <f t="shared" si="198"/>
        <v>4399</v>
      </c>
      <c r="Q910">
        <f t="shared" si="199"/>
        <v>3072</v>
      </c>
      <c r="R910">
        <f t="shared" si="200"/>
        <v>2841</v>
      </c>
      <c r="S910">
        <f t="shared" si="201"/>
        <v>-1327</v>
      </c>
      <c r="T910">
        <f t="shared" si="202"/>
        <v>-1558</v>
      </c>
      <c r="U910">
        <f t="shared" si="203"/>
        <v>-231</v>
      </c>
      <c r="V910" s="9">
        <f t="shared" si="193"/>
        <v>986</v>
      </c>
      <c r="W910" s="9">
        <f t="shared" si="193"/>
        <v>3413</v>
      </c>
      <c r="X910" s="9">
        <f t="shared" si="193"/>
        <v>2086</v>
      </c>
      <c r="Y910" s="9">
        <f t="shared" si="193"/>
        <v>1855</v>
      </c>
      <c r="Z910" s="9">
        <f t="shared" si="193"/>
        <v>4399</v>
      </c>
      <c r="AA910" s="9">
        <f t="shared" si="192"/>
        <v>3072</v>
      </c>
      <c r="AB910" s="9">
        <f t="shared" si="192"/>
        <v>2841</v>
      </c>
      <c r="AC910" s="9">
        <f t="shared" si="192"/>
        <v>1327</v>
      </c>
      <c r="AD910" s="9">
        <f t="shared" si="192"/>
        <v>1558</v>
      </c>
      <c r="AE910" s="9">
        <f t="shared" si="192"/>
        <v>231</v>
      </c>
    </row>
    <row r="911" spans="2:31" x14ac:dyDescent="0.25">
      <c r="B911" s="6">
        <v>8547</v>
      </c>
      <c r="C911" s="6">
        <v>9648</v>
      </c>
      <c r="D911" s="6">
        <f t="shared" si="205"/>
        <v>5249</v>
      </c>
      <c r="E911" s="6">
        <v>6488</v>
      </c>
      <c r="F911" s="6">
        <v>6645</v>
      </c>
      <c r="L911">
        <f t="shared" si="194"/>
        <v>-1101</v>
      </c>
      <c r="M911">
        <f t="shared" si="195"/>
        <v>3298</v>
      </c>
      <c r="N911">
        <f t="shared" si="196"/>
        <v>2059</v>
      </c>
      <c r="O911">
        <f t="shared" si="197"/>
        <v>1902</v>
      </c>
      <c r="P911">
        <f t="shared" si="198"/>
        <v>4399</v>
      </c>
      <c r="Q911">
        <f t="shared" si="199"/>
        <v>3160</v>
      </c>
      <c r="R911">
        <f t="shared" si="200"/>
        <v>3003</v>
      </c>
      <c r="S911">
        <f t="shared" si="201"/>
        <v>-1239</v>
      </c>
      <c r="T911">
        <f t="shared" si="202"/>
        <v>-1396</v>
      </c>
      <c r="U911">
        <f t="shared" si="203"/>
        <v>-157</v>
      </c>
      <c r="V911" s="9">
        <f t="shared" si="193"/>
        <v>1101</v>
      </c>
      <c r="W911" s="9">
        <f t="shared" si="193"/>
        <v>3298</v>
      </c>
      <c r="X911" s="9">
        <f t="shared" si="193"/>
        <v>2059</v>
      </c>
      <c r="Y911" s="9">
        <f t="shared" si="193"/>
        <v>1902</v>
      </c>
      <c r="Z911" s="9">
        <f t="shared" si="193"/>
        <v>4399</v>
      </c>
      <c r="AA911" s="9">
        <f t="shared" si="192"/>
        <v>3160</v>
      </c>
      <c r="AB911" s="9">
        <f t="shared" si="192"/>
        <v>3003</v>
      </c>
      <c r="AC911" s="9">
        <f t="shared" si="192"/>
        <v>1239</v>
      </c>
      <c r="AD911" s="9">
        <f t="shared" si="192"/>
        <v>1396</v>
      </c>
      <c r="AE911" s="9">
        <f t="shared" si="192"/>
        <v>157</v>
      </c>
    </row>
    <row r="912" spans="2:31" x14ac:dyDescent="0.25">
      <c r="B912" s="6">
        <v>10047</v>
      </c>
      <c r="C912" s="6">
        <f t="shared" si="204"/>
        <v>11033</v>
      </c>
      <c r="D912" s="6">
        <f t="shared" si="205"/>
        <v>6634</v>
      </c>
      <c r="E912" s="6">
        <v>6455</v>
      </c>
      <c r="F912" s="6">
        <v>7542</v>
      </c>
      <c r="L912">
        <f t="shared" si="194"/>
        <v>-986</v>
      </c>
      <c r="M912">
        <f t="shared" si="195"/>
        <v>3413</v>
      </c>
      <c r="N912">
        <f t="shared" si="196"/>
        <v>3592</v>
      </c>
      <c r="O912">
        <f t="shared" si="197"/>
        <v>2505</v>
      </c>
      <c r="P912">
        <f t="shared" si="198"/>
        <v>4399</v>
      </c>
      <c r="Q912">
        <f t="shared" si="199"/>
        <v>4578</v>
      </c>
      <c r="R912">
        <f t="shared" si="200"/>
        <v>3491</v>
      </c>
      <c r="S912">
        <f t="shared" si="201"/>
        <v>179</v>
      </c>
      <c r="T912">
        <f t="shared" si="202"/>
        <v>-908</v>
      </c>
      <c r="U912">
        <f t="shared" si="203"/>
        <v>-1087</v>
      </c>
      <c r="V912" s="9">
        <f t="shared" si="193"/>
        <v>986</v>
      </c>
      <c r="W912" s="9">
        <f t="shared" si="193"/>
        <v>3413</v>
      </c>
      <c r="X912" s="9">
        <f t="shared" si="193"/>
        <v>3592</v>
      </c>
      <c r="Y912" s="9">
        <f t="shared" si="193"/>
        <v>2505</v>
      </c>
      <c r="Z912" s="9">
        <f t="shared" si="193"/>
        <v>4399</v>
      </c>
      <c r="AA912" s="9">
        <f t="shared" si="192"/>
        <v>4578</v>
      </c>
      <c r="AB912" s="9">
        <f t="shared" si="192"/>
        <v>3491</v>
      </c>
      <c r="AC912" s="9">
        <f t="shared" si="192"/>
        <v>179</v>
      </c>
      <c r="AD912" s="9">
        <f t="shared" si="192"/>
        <v>908</v>
      </c>
      <c r="AE912" s="9">
        <f t="shared" si="192"/>
        <v>1087</v>
      </c>
    </row>
    <row r="913" spans="2:31" x14ac:dyDescent="0.25">
      <c r="B913" s="6">
        <v>1124</v>
      </c>
      <c r="C913" s="6">
        <f t="shared" si="204"/>
        <v>2110</v>
      </c>
      <c r="D913" s="6">
        <v>2289</v>
      </c>
      <c r="E913" s="6">
        <v>2355</v>
      </c>
      <c r="F913" s="6">
        <v>3232</v>
      </c>
      <c r="L913">
        <f t="shared" si="194"/>
        <v>-986</v>
      </c>
      <c r="M913">
        <f t="shared" si="195"/>
        <v>-1165</v>
      </c>
      <c r="N913">
        <f t="shared" si="196"/>
        <v>-1231</v>
      </c>
      <c r="O913">
        <f t="shared" si="197"/>
        <v>-2108</v>
      </c>
      <c r="P913">
        <f t="shared" si="198"/>
        <v>-179</v>
      </c>
      <c r="Q913">
        <f t="shared" si="199"/>
        <v>-245</v>
      </c>
      <c r="R913">
        <f t="shared" si="200"/>
        <v>-1122</v>
      </c>
      <c r="S913">
        <f t="shared" si="201"/>
        <v>-66</v>
      </c>
      <c r="T913">
        <f t="shared" si="202"/>
        <v>-943</v>
      </c>
      <c r="U913">
        <f t="shared" si="203"/>
        <v>-877</v>
      </c>
      <c r="V913" s="9">
        <f t="shared" si="193"/>
        <v>986</v>
      </c>
      <c r="W913" s="9">
        <f t="shared" si="193"/>
        <v>1165</v>
      </c>
      <c r="X913" s="9">
        <f t="shared" si="193"/>
        <v>1231</v>
      </c>
      <c r="Y913" s="9">
        <f t="shared" si="193"/>
        <v>2108</v>
      </c>
      <c r="Z913" s="9">
        <f t="shared" si="193"/>
        <v>179</v>
      </c>
      <c r="AA913" s="9">
        <f t="shared" si="192"/>
        <v>245</v>
      </c>
      <c r="AB913" s="9">
        <f t="shared" si="192"/>
        <v>1122</v>
      </c>
      <c r="AC913" s="9">
        <f t="shared" si="192"/>
        <v>66</v>
      </c>
      <c r="AD913" s="9">
        <f t="shared" si="192"/>
        <v>943</v>
      </c>
      <c r="AE913" s="9">
        <f t="shared" si="192"/>
        <v>877</v>
      </c>
    </row>
    <row r="914" spans="2:31" x14ac:dyDescent="0.25">
      <c r="B914" s="6">
        <v>8547</v>
      </c>
      <c r="C914" s="6">
        <v>10245</v>
      </c>
      <c r="D914" s="6">
        <f t="shared" si="205"/>
        <v>5846</v>
      </c>
      <c r="E914" s="6">
        <v>6452</v>
      </c>
      <c r="F914" s="6">
        <v>7542</v>
      </c>
      <c r="L914">
        <f t="shared" si="194"/>
        <v>-1698</v>
      </c>
      <c r="M914">
        <f t="shared" si="195"/>
        <v>2701</v>
      </c>
      <c r="N914">
        <f t="shared" si="196"/>
        <v>2095</v>
      </c>
      <c r="O914">
        <f t="shared" si="197"/>
        <v>1005</v>
      </c>
      <c r="P914">
        <f t="shared" si="198"/>
        <v>4399</v>
      </c>
      <c r="Q914">
        <f t="shared" si="199"/>
        <v>3793</v>
      </c>
      <c r="R914">
        <f t="shared" si="200"/>
        <v>2703</v>
      </c>
      <c r="S914">
        <f t="shared" si="201"/>
        <v>-606</v>
      </c>
      <c r="T914">
        <f t="shared" si="202"/>
        <v>-1696</v>
      </c>
      <c r="U914">
        <f t="shared" si="203"/>
        <v>-1090</v>
      </c>
      <c r="V914" s="9">
        <f t="shared" si="193"/>
        <v>1698</v>
      </c>
      <c r="W914" s="9">
        <f t="shared" si="193"/>
        <v>2701</v>
      </c>
      <c r="X914" s="9">
        <f t="shared" si="193"/>
        <v>2095</v>
      </c>
      <c r="Y914" s="9">
        <f t="shared" si="193"/>
        <v>1005</v>
      </c>
      <c r="Z914" s="9">
        <f t="shared" si="193"/>
        <v>4399</v>
      </c>
      <c r="AA914" s="9">
        <f t="shared" si="192"/>
        <v>3793</v>
      </c>
      <c r="AB914" s="9">
        <f t="shared" si="192"/>
        <v>2703</v>
      </c>
      <c r="AC914" s="9">
        <f t="shared" si="192"/>
        <v>606</v>
      </c>
      <c r="AD914" s="9">
        <f t="shared" si="192"/>
        <v>1696</v>
      </c>
      <c r="AE914" s="9">
        <f t="shared" si="192"/>
        <v>1090</v>
      </c>
    </row>
    <row r="915" spans="2:31" x14ac:dyDescent="0.25">
      <c r="B915" s="6">
        <v>5427</v>
      </c>
      <c r="C915" s="6">
        <f t="shared" si="204"/>
        <v>6413</v>
      </c>
      <c r="D915" s="6">
        <v>5446</v>
      </c>
      <c r="E915" s="6">
        <v>4355</v>
      </c>
      <c r="F915" s="6">
        <v>4585</v>
      </c>
      <c r="L915">
        <f t="shared" si="194"/>
        <v>-986</v>
      </c>
      <c r="M915">
        <f t="shared" si="195"/>
        <v>-19</v>
      </c>
      <c r="N915">
        <f t="shared" si="196"/>
        <v>1072</v>
      </c>
      <c r="O915">
        <f t="shared" si="197"/>
        <v>842</v>
      </c>
      <c r="P915">
        <f t="shared" si="198"/>
        <v>967</v>
      </c>
      <c r="Q915">
        <f t="shared" si="199"/>
        <v>2058</v>
      </c>
      <c r="R915">
        <f t="shared" si="200"/>
        <v>1828</v>
      </c>
      <c r="S915">
        <f t="shared" si="201"/>
        <v>1091</v>
      </c>
      <c r="T915">
        <f t="shared" si="202"/>
        <v>861</v>
      </c>
      <c r="U915">
        <f t="shared" si="203"/>
        <v>-230</v>
      </c>
      <c r="V915" s="9">
        <f t="shared" si="193"/>
        <v>986</v>
      </c>
      <c r="W915" s="9">
        <f t="shared" si="193"/>
        <v>19</v>
      </c>
      <c r="X915" s="9">
        <f t="shared" si="193"/>
        <v>1072</v>
      </c>
      <c r="Y915" s="9">
        <f t="shared" si="193"/>
        <v>842</v>
      </c>
      <c r="Z915" s="9">
        <f t="shared" si="193"/>
        <v>967</v>
      </c>
      <c r="AA915" s="9">
        <f t="shared" si="192"/>
        <v>2058</v>
      </c>
      <c r="AB915" s="9">
        <f t="shared" si="192"/>
        <v>1828</v>
      </c>
      <c r="AC915" s="9">
        <f t="shared" si="192"/>
        <v>1091</v>
      </c>
      <c r="AD915" s="9">
        <f t="shared" si="192"/>
        <v>861</v>
      </c>
      <c r="AE915" s="9">
        <f t="shared" si="192"/>
        <v>230</v>
      </c>
    </row>
    <row r="916" spans="2:31" x14ac:dyDescent="0.25">
      <c r="B916" s="6">
        <v>9547</v>
      </c>
      <c r="C916" s="6">
        <f t="shared" si="204"/>
        <v>10533</v>
      </c>
      <c r="D916" s="6">
        <v>6887</v>
      </c>
      <c r="E916" s="6">
        <v>5384</v>
      </c>
      <c r="F916" s="6">
        <v>5822</v>
      </c>
      <c r="L916">
        <f t="shared" si="194"/>
        <v>-986</v>
      </c>
      <c r="M916">
        <f t="shared" si="195"/>
        <v>2660</v>
      </c>
      <c r="N916">
        <f t="shared" si="196"/>
        <v>4163</v>
      </c>
      <c r="O916">
        <f t="shared" si="197"/>
        <v>3725</v>
      </c>
      <c r="P916">
        <f t="shared" si="198"/>
        <v>3646</v>
      </c>
      <c r="Q916">
        <f t="shared" si="199"/>
        <v>5149</v>
      </c>
      <c r="R916">
        <f t="shared" si="200"/>
        <v>4711</v>
      </c>
      <c r="S916">
        <f t="shared" si="201"/>
        <v>1503</v>
      </c>
      <c r="T916">
        <f t="shared" si="202"/>
        <v>1065</v>
      </c>
      <c r="U916">
        <f t="shared" si="203"/>
        <v>-438</v>
      </c>
      <c r="V916" s="9">
        <f t="shared" si="193"/>
        <v>986</v>
      </c>
      <c r="W916" s="9">
        <f t="shared" si="193"/>
        <v>2660</v>
      </c>
      <c r="X916" s="9">
        <f t="shared" si="193"/>
        <v>4163</v>
      </c>
      <c r="Y916" s="9">
        <f t="shared" si="193"/>
        <v>3725</v>
      </c>
      <c r="Z916" s="9">
        <f t="shared" si="193"/>
        <v>3646</v>
      </c>
      <c r="AA916" s="9">
        <f t="shared" si="192"/>
        <v>5149</v>
      </c>
      <c r="AB916" s="9">
        <f t="shared" si="192"/>
        <v>4711</v>
      </c>
      <c r="AC916" s="9">
        <f t="shared" si="192"/>
        <v>1503</v>
      </c>
      <c r="AD916" s="9">
        <f t="shared" si="192"/>
        <v>1065</v>
      </c>
      <c r="AE916" s="9">
        <f t="shared" si="192"/>
        <v>438</v>
      </c>
    </row>
    <row r="917" spans="2:31" x14ac:dyDescent="0.25">
      <c r="B917" s="6">
        <v>8547</v>
      </c>
      <c r="C917" s="6">
        <v>10245</v>
      </c>
      <c r="D917" s="6">
        <v>9796</v>
      </c>
      <c r="E917" s="6">
        <v>8348</v>
      </c>
      <c r="F917" s="6">
        <v>8542</v>
      </c>
      <c r="L917">
        <f t="shared" si="194"/>
        <v>-1698</v>
      </c>
      <c r="M917">
        <f t="shared" si="195"/>
        <v>-1249</v>
      </c>
      <c r="N917">
        <f t="shared" si="196"/>
        <v>199</v>
      </c>
      <c r="O917">
        <f t="shared" si="197"/>
        <v>5</v>
      </c>
      <c r="P917">
        <f t="shared" si="198"/>
        <v>449</v>
      </c>
      <c r="Q917">
        <f t="shared" si="199"/>
        <v>1897</v>
      </c>
      <c r="R917">
        <f t="shared" si="200"/>
        <v>1703</v>
      </c>
      <c r="S917">
        <f t="shared" si="201"/>
        <v>1448</v>
      </c>
      <c r="T917">
        <f t="shared" si="202"/>
        <v>1254</v>
      </c>
      <c r="U917">
        <f t="shared" si="203"/>
        <v>-194</v>
      </c>
      <c r="V917" s="9">
        <f t="shared" si="193"/>
        <v>1698</v>
      </c>
      <c r="W917" s="9">
        <f t="shared" si="193"/>
        <v>1249</v>
      </c>
      <c r="X917" s="9">
        <f t="shared" si="193"/>
        <v>199</v>
      </c>
      <c r="Y917" s="9">
        <f t="shared" si="193"/>
        <v>5</v>
      </c>
      <c r="Z917" s="9">
        <f t="shared" si="193"/>
        <v>449</v>
      </c>
      <c r="AA917" s="9">
        <f t="shared" si="192"/>
        <v>1897</v>
      </c>
      <c r="AB917" s="9">
        <f t="shared" si="192"/>
        <v>1703</v>
      </c>
      <c r="AC917" s="9">
        <f t="shared" si="192"/>
        <v>1448</v>
      </c>
      <c r="AD917" s="9">
        <f t="shared" si="192"/>
        <v>1254</v>
      </c>
      <c r="AE917" s="9">
        <f t="shared" si="192"/>
        <v>194</v>
      </c>
    </row>
    <row r="918" spans="2:31" x14ac:dyDescent="0.25">
      <c r="B918" s="6">
        <v>7758</v>
      </c>
      <c r="C918" s="6">
        <v>8526</v>
      </c>
      <c r="D918" s="6">
        <v>8754</v>
      </c>
      <c r="E918" s="6">
        <v>7528</v>
      </c>
      <c r="F918" s="6">
        <v>7852</v>
      </c>
      <c r="L918">
        <f t="shared" si="194"/>
        <v>-768</v>
      </c>
      <c r="M918">
        <f t="shared" si="195"/>
        <v>-996</v>
      </c>
      <c r="N918">
        <f t="shared" si="196"/>
        <v>230</v>
      </c>
      <c r="O918">
        <f t="shared" si="197"/>
        <v>-94</v>
      </c>
      <c r="P918">
        <f t="shared" si="198"/>
        <v>-228</v>
      </c>
      <c r="Q918">
        <f t="shared" si="199"/>
        <v>998</v>
      </c>
      <c r="R918">
        <f t="shared" si="200"/>
        <v>674</v>
      </c>
      <c r="S918">
        <f t="shared" si="201"/>
        <v>1226</v>
      </c>
      <c r="T918">
        <f t="shared" si="202"/>
        <v>902</v>
      </c>
      <c r="U918">
        <f t="shared" si="203"/>
        <v>-324</v>
      </c>
      <c r="V918" s="9">
        <f t="shared" si="193"/>
        <v>768</v>
      </c>
      <c r="W918" s="9">
        <f t="shared" si="193"/>
        <v>996</v>
      </c>
      <c r="X918" s="9">
        <f t="shared" si="193"/>
        <v>230</v>
      </c>
      <c r="Y918" s="9">
        <f t="shared" si="193"/>
        <v>94</v>
      </c>
      <c r="Z918" s="9">
        <f t="shared" si="193"/>
        <v>228</v>
      </c>
      <c r="AA918" s="9">
        <f t="shared" si="192"/>
        <v>998</v>
      </c>
      <c r="AB918" s="9">
        <f t="shared" si="192"/>
        <v>674</v>
      </c>
      <c r="AC918" s="9">
        <f t="shared" si="192"/>
        <v>1226</v>
      </c>
      <c r="AD918" s="9">
        <f t="shared" si="192"/>
        <v>902</v>
      </c>
      <c r="AE918" s="9">
        <f t="shared" si="192"/>
        <v>324</v>
      </c>
    </row>
    <row r="919" spans="2:31" x14ac:dyDescent="0.25">
      <c r="B919" s="6">
        <v>9547</v>
      </c>
      <c r="C919" s="6">
        <f t="shared" si="204"/>
        <v>10533</v>
      </c>
      <c r="D919" s="6">
        <v>6482</v>
      </c>
      <c r="E919" s="6">
        <v>5325</v>
      </c>
      <c r="F919" s="6">
        <v>5685</v>
      </c>
      <c r="L919">
        <f t="shared" si="194"/>
        <v>-986</v>
      </c>
      <c r="M919">
        <f t="shared" si="195"/>
        <v>3065</v>
      </c>
      <c r="N919">
        <f t="shared" si="196"/>
        <v>4222</v>
      </c>
      <c r="O919">
        <f t="shared" si="197"/>
        <v>3862</v>
      </c>
      <c r="P919">
        <f t="shared" si="198"/>
        <v>4051</v>
      </c>
      <c r="Q919">
        <f t="shared" si="199"/>
        <v>5208</v>
      </c>
      <c r="R919">
        <f t="shared" si="200"/>
        <v>4848</v>
      </c>
      <c r="S919">
        <f t="shared" si="201"/>
        <v>1157</v>
      </c>
      <c r="T919">
        <f t="shared" si="202"/>
        <v>797</v>
      </c>
      <c r="U919">
        <f t="shared" si="203"/>
        <v>-360</v>
      </c>
      <c r="V919" s="9">
        <f t="shared" si="193"/>
        <v>986</v>
      </c>
      <c r="W919" s="9">
        <f t="shared" si="193"/>
        <v>3065</v>
      </c>
      <c r="X919" s="9">
        <f t="shared" si="193"/>
        <v>4222</v>
      </c>
      <c r="Y919" s="9">
        <f t="shared" si="193"/>
        <v>3862</v>
      </c>
      <c r="Z919" s="9">
        <f t="shared" si="193"/>
        <v>4051</v>
      </c>
      <c r="AA919" s="9">
        <f t="shared" si="192"/>
        <v>5208</v>
      </c>
      <c r="AB919" s="9">
        <f t="shared" si="192"/>
        <v>4848</v>
      </c>
      <c r="AC919" s="9">
        <f t="shared" si="192"/>
        <v>1157</v>
      </c>
      <c r="AD919" s="9">
        <f t="shared" si="192"/>
        <v>797</v>
      </c>
      <c r="AE919" s="9">
        <f t="shared" si="192"/>
        <v>360</v>
      </c>
    </row>
    <row r="920" spans="2:31" x14ac:dyDescent="0.25">
      <c r="B920" s="6">
        <v>8547</v>
      </c>
      <c r="C920" s="6">
        <v>9572</v>
      </c>
      <c r="D920" s="6">
        <v>4682</v>
      </c>
      <c r="E920" s="6">
        <v>5642</v>
      </c>
      <c r="F920" s="6">
        <v>5985</v>
      </c>
      <c r="L920">
        <f t="shared" si="194"/>
        <v>-1025</v>
      </c>
      <c r="M920">
        <f t="shared" si="195"/>
        <v>3865</v>
      </c>
      <c r="N920">
        <f t="shared" si="196"/>
        <v>2905</v>
      </c>
      <c r="O920">
        <f t="shared" si="197"/>
        <v>2562</v>
      </c>
      <c r="P920">
        <f t="shared" si="198"/>
        <v>4890</v>
      </c>
      <c r="Q920">
        <f t="shared" si="199"/>
        <v>3930</v>
      </c>
      <c r="R920">
        <f t="shared" si="200"/>
        <v>3587</v>
      </c>
      <c r="S920">
        <f t="shared" si="201"/>
        <v>-960</v>
      </c>
      <c r="T920">
        <f t="shared" si="202"/>
        <v>-1303</v>
      </c>
      <c r="U920">
        <f t="shared" si="203"/>
        <v>-343</v>
      </c>
      <c r="V920" s="9">
        <f t="shared" si="193"/>
        <v>1025</v>
      </c>
      <c r="W920" s="9">
        <f t="shared" si="193"/>
        <v>3865</v>
      </c>
      <c r="X920" s="9">
        <f t="shared" si="193"/>
        <v>2905</v>
      </c>
      <c r="Y920" s="9">
        <f t="shared" si="193"/>
        <v>2562</v>
      </c>
      <c r="Z920" s="9">
        <f t="shared" si="193"/>
        <v>4890</v>
      </c>
      <c r="AA920" s="9">
        <f t="shared" si="192"/>
        <v>3930</v>
      </c>
      <c r="AB920" s="9">
        <f t="shared" si="192"/>
        <v>3587</v>
      </c>
      <c r="AC920" s="9">
        <f t="shared" si="192"/>
        <v>960</v>
      </c>
      <c r="AD920" s="9">
        <f t="shared" si="192"/>
        <v>1303</v>
      </c>
      <c r="AE920" s="9">
        <f t="shared" si="192"/>
        <v>343</v>
      </c>
    </row>
    <row r="921" spans="2:31" x14ac:dyDescent="0.25">
      <c r="B921" s="6">
        <v>5487</v>
      </c>
      <c r="C921" s="6">
        <v>5588</v>
      </c>
      <c r="D921" s="6">
        <v>5887</v>
      </c>
      <c r="E921" s="6">
        <v>4556</v>
      </c>
      <c r="F921" s="6">
        <v>5478</v>
      </c>
      <c r="L921">
        <f t="shared" si="194"/>
        <v>-101</v>
      </c>
      <c r="M921">
        <f t="shared" si="195"/>
        <v>-400</v>
      </c>
      <c r="N921">
        <f t="shared" si="196"/>
        <v>931</v>
      </c>
      <c r="O921">
        <f t="shared" si="197"/>
        <v>9</v>
      </c>
      <c r="P921">
        <f t="shared" si="198"/>
        <v>-299</v>
      </c>
      <c r="Q921">
        <f t="shared" si="199"/>
        <v>1032</v>
      </c>
      <c r="R921">
        <f t="shared" si="200"/>
        <v>110</v>
      </c>
      <c r="S921">
        <f t="shared" si="201"/>
        <v>1331</v>
      </c>
      <c r="T921">
        <f t="shared" si="202"/>
        <v>409</v>
      </c>
      <c r="U921">
        <f t="shared" si="203"/>
        <v>-922</v>
      </c>
      <c r="V921" s="9">
        <f t="shared" si="193"/>
        <v>101</v>
      </c>
      <c r="W921" s="9">
        <f t="shared" si="193"/>
        <v>400</v>
      </c>
      <c r="X921" s="9">
        <f t="shared" si="193"/>
        <v>931</v>
      </c>
      <c r="Y921" s="9">
        <f t="shared" si="193"/>
        <v>9</v>
      </c>
      <c r="Z921" s="9">
        <f t="shared" si="193"/>
        <v>299</v>
      </c>
      <c r="AA921" s="9">
        <f t="shared" si="192"/>
        <v>1032</v>
      </c>
      <c r="AB921" s="9">
        <f t="shared" si="192"/>
        <v>110</v>
      </c>
      <c r="AC921" s="9">
        <f t="shared" si="192"/>
        <v>1331</v>
      </c>
      <c r="AD921" s="9">
        <f t="shared" si="192"/>
        <v>409</v>
      </c>
      <c r="AE921" s="9">
        <f t="shared" si="192"/>
        <v>922</v>
      </c>
    </row>
    <row r="922" spans="2:31" x14ac:dyDescent="0.25">
      <c r="B922" s="6">
        <v>9954</v>
      </c>
      <c r="C922" s="6">
        <v>6587</v>
      </c>
      <c r="D922" s="6">
        <v>7356</v>
      </c>
      <c r="E922" s="6">
        <v>5845</v>
      </c>
      <c r="F922" s="6">
        <v>5482</v>
      </c>
      <c r="L922">
        <f t="shared" si="194"/>
        <v>3367</v>
      </c>
      <c r="M922">
        <f t="shared" si="195"/>
        <v>2598</v>
      </c>
      <c r="N922">
        <f t="shared" si="196"/>
        <v>4109</v>
      </c>
      <c r="O922">
        <f t="shared" si="197"/>
        <v>4472</v>
      </c>
      <c r="P922">
        <f t="shared" si="198"/>
        <v>-769</v>
      </c>
      <c r="Q922">
        <f t="shared" si="199"/>
        <v>742</v>
      </c>
      <c r="R922">
        <f t="shared" si="200"/>
        <v>1105</v>
      </c>
      <c r="S922">
        <f t="shared" si="201"/>
        <v>1511</v>
      </c>
      <c r="T922">
        <f t="shared" si="202"/>
        <v>1874</v>
      </c>
      <c r="U922">
        <f t="shared" si="203"/>
        <v>363</v>
      </c>
      <c r="V922" s="9">
        <f t="shared" si="193"/>
        <v>3367</v>
      </c>
      <c r="W922" s="9">
        <f t="shared" si="193"/>
        <v>2598</v>
      </c>
      <c r="X922" s="9">
        <f t="shared" si="193"/>
        <v>4109</v>
      </c>
      <c r="Y922" s="9">
        <f t="shared" si="193"/>
        <v>4472</v>
      </c>
      <c r="Z922" s="9">
        <f t="shared" si="193"/>
        <v>769</v>
      </c>
      <c r="AA922" s="9">
        <f t="shared" si="192"/>
        <v>742</v>
      </c>
      <c r="AB922" s="9">
        <f t="shared" si="192"/>
        <v>1105</v>
      </c>
      <c r="AC922" s="9">
        <f t="shared" si="192"/>
        <v>1511</v>
      </c>
      <c r="AD922" s="9">
        <f t="shared" si="192"/>
        <v>1874</v>
      </c>
      <c r="AE922" s="9">
        <f t="shared" si="192"/>
        <v>363</v>
      </c>
    </row>
    <row r="923" spans="2:31" x14ac:dyDescent="0.25">
      <c r="B923" s="6">
        <v>5475</v>
      </c>
      <c r="C923" s="6">
        <f t="shared" si="204"/>
        <v>6461</v>
      </c>
      <c r="D923" s="6">
        <v>5335</v>
      </c>
      <c r="E923" s="6">
        <v>6465</v>
      </c>
      <c r="F923" s="6">
        <v>6245</v>
      </c>
      <c r="L923">
        <f t="shared" si="194"/>
        <v>-986</v>
      </c>
      <c r="M923">
        <f t="shared" si="195"/>
        <v>140</v>
      </c>
      <c r="N923">
        <f t="shared" si="196"/>
        <v>-990</v>
      </c>
      <c r="O923">
        <f t="shared" si="197"/>
        <v>-770</v>
      </c>
      <c r="P923">
        <f t="shared" si="198"/>
        <v>1126</v>
      </c>
      <c r="Q923">
        <f t="shared" si="199"/>
        <v>-4</v>
      </c>
      <c r="R923">
        <f t="shared" si="200"/>
        <v>216</v>
      </c>
      <c r="S923">
        <f t="shared" si="201"/>
        <v>-1130</v>
      </c>
      <c r="T923">
        <f t="shared" si="202"/>
        <v>-910</v>
      </c>
      <c r="U923">
        <f t="shared" si="203"/>
        <v>220</v>
      </c>
      <c r="V923" s="9">
        <f t="shared" si="193"/>
        <v>986</v>
      </c>
      <c r="W923" s="9">
        <f t="shared" si="193"/>
        <v>140</v>
      </c>
      <c r="X923" s="9">
        <f t="shared" si="193"/>
        <v>990</v>
      </c>
      <c r="Y923" s="9">
        <f t="shared" si="193"/>
        <v>770</v>
      </c>
      <c r="Z923" s="9">
        <f t="shared" si="193"/>
        <v>1126</v>
      </c>
      <c r="AA923" s="9">
        <f t="shared" si="192"/>
        <v>4</v>
      </c>
      <c r="AB923" s="9">
        <f t="shared" si="192"/>
        <v>216</v>
      </c>
      <c r="AC923" s="9">
        <f t="shared" si="192"/>
        <v>1130</v>
      </c>
      <c r="AD923" s="9">
        <f t="shared" si="192"/>
        <v>910</v>
      </c>
      <c r="AE923" s="9">
        <f t="shared" si="192"/>
        <v>220</v>
      </c>
    </row>
    <row r="924" spans="2:31" x14ac:dyDescent="0.25">
      <c r="B924" s="6">
        <v>6654</v>
      </c>
      <c r="C924" s="6">
        <f t="shared" si="204"/>
        <v>7640</v>
      </c>
      <c r="D924" s="6">
        <v>6541</v>
      </c>
      <c r="E924" s="6">
        <v>5246</v>
      </c>
      <c r="F924" s="6">
        <v>5345</v>
      </c>
      <c r="L924">
        <f t="shared" si="194"/>
        <v>-986</v>
      </c>
      <c r="M924">
        <f t="shared" si="195"/>
        <v>113</v>
      </c>
      <c r="N924">
        <f t="shared" si="196"/>
        <v>1408</v>
      </c>
      <c r="O924">
        <f t="shared" si="197"/>
        <v>1309</v>
      </c>
      <c r="P924">
        <f t="shared" si="198"/>
        <v>1099</v>
      </c>
      <c r="Q924">
        <f t="shared" si="199"/>
        <v>2394</v>
      </c>
      <c r="R924">
        <f t="shared" si="200"/>
        <v>2295</v>
      </c>
      <c r="S924">
        <f t="shared" si="201"/>
        <v>1295</v>
      </c>
      <c r="T924">
        <f t="shared" si="202"/>
        <v>1196</v>
      </c>
      <c r="U924">
        <f t="shared" si="203"/>
        <v>-99</v>
      </c>
      <c r="V924" s="9">
        <f t="shared" si="193"/>
        <v>986</v>
      </c>
      <c r="W924" s="9">
        <f t="shared" si="193"/>
        <v>113</v>
      </c>
      <c r="X924" s="9">
        <f t="shared" si="193"/>
        <v>1408</v>
      </c>
      <c r="Y924" s="9">
        <f t="shared" si="193"/>
        <v>1309</v>
      </c>
      <c r="Z924" s="9">
        <f t="shared" si="193"/>
        <v>1099</v>
      </c>
      <c r="AA924" s="9">
        <f t="shared" si="192"/>
        <v>2394</v>
      </c>
      <c r="AB924" s="9">
        <f t="shared" si="192"/>
        <v>2295</v>
      </c>
      <c r="AC924" s="9">
        <f t="shared" si="192"/>
        <v>1295</v>
      </c>
      <c r="AD924" s="9">
        <f t="shared" si="192"/>
        <v>1196</v>
      </c>
      <c r="AE924" s="9">
        <f t="shared" si="192"/>
        <v>99</v>
      </c>
    </row>
    <row r="925" spans="2:31" x14ac:dyDescent="0.25">
      <c r="B925" s="6">
        <v>6547</v>
      </c>
      <c r="C925" s="6">
        <f t="shared" si="204"/>
        <v>7533</v>
      </c>
      <c r="D925" s="6">
        <v>6564</v>
      </c>
      <c r="E925" s="6">
        <v>5642</v>
      </c>
      <c r="F925" s="6">
        <v>5548</v>
      </c>
      <c r="L925">
        <f t="shared" si="194"/>
        <v>-986</v>
      </c>
      <c r="M925">
        <f t="shared" si="195"/>
        <v>-17</v>
      </c>
      <c r="N925">
        <f t="shared" si="196"/>
        <v>905</v>
      </c>
      <c r="O925">
        <f t="shared" si="197"/>
        <v>999</v>
      </c>
      <c r="P925">
        <f t="shared" si="198"/>
        <v>969</v>
      </c>
      <c r="Q925">
        <f t="shared" si="199"/>
        <v>1891</v>
      </c>
      <c r="R925">
        <f t="shared" si="200"/>
        <v>1985</v>
      </c>
      <c r="S925">
        <f t="shared" si="201"/>
        <v>922</v>
      </c>
      <c r="T925">
        <f t="shared" si="202"/>
        <v>1016</v>
      </c>
      <c r="U925">
        <f t="shared" si="203"/>
        <v>94</v>
      </c>
      <c r="V925" s="9">
        <f t="shared" si="193"/>
        <v>986</v>
      </c>
      <c r="W925" s="9">
        <f t="shared" si="193"/>
        <v>17</v>
      </c>
      <c r="X925" s="9">
        <f t="shared" si="193"/>
        <v>905</v>
      </c>
      <c r="Y925" s="9">
        <f t="shared" si="193"/>
        <v>999</v>
      </c>
      <c r="Z925" s="9">
        <f t="shared" si="193"/>
        <v>969</v>
      </c>
      <c r="AA925" s="9">
        <f t="shared" si="192"/>
        <v>1891</v>
      </c>
      <c r="AB925" s="9">
        <f t="shared" si="192"/>
        <v>1985</v>
      </c>
      <c r="AC925" s="9">
        <f t="shared" si="192"/>
        <v>922</v>
      </c>
      <c r="AD925" s="9">
        <f t="shared" si="192"/>
        <v>1016</v>
      </c>
      <c r="AE925" s="9">
        <f t="shared" si="192"/>
        <v>94</v>
      </c>
    </row>
    <row r="926" spans="2:31" x14ac:dyDescent="0.25">
      <c r="B926" s="6">
        <v>4567</v>
      </c>
      <c r="C926" s="6">
        <v>6547</v>
      </c>
      <c r="D926" s="6">
        <v>4364</v>
      </c>
      <c r="E926" s="6">
        <v>5456</v>
      </c>
      <c r="F926" s="6">
        <v>5248</v>
      </c>
      <c r="L926">
        <f t="shared" si="194"/>
        <v>-1980</v>
      </c>
      <c r="M926">
        <f t="shared" si="195"/>
        <v>203</v>
      </c>
      <c r="N926">
        <f t="shared" si="196"/>
        <v>-889</v>
      </c>
      <c r="O926">
        <f t="shared" si="197"/>
        <v>-681</v>
      </c>
      <c r="P926">
        <f t="shared" si="198"/>
        <v>2183</v>
      </c>
      <c r="Q926">
        <f t="shared" si="199"/>
        <v>1091</v>
      </c>
      <c r="R926">
        <f t="shared" si="200"/>
        <v>1299</v>
      </c>
      <c r="S926">
        <f t="shared" si="201"/>
        <v>-1092</v>
      </c>
      <c r="T926">
        <f t="shared" si="202"/>
        <v>-884</v>
      </c>
      <c r="U926">
        <f t="shared" si="203"/>
        <v>208</v>
      </c>
      <c r="V926" s="9">
        <f t="shared" si="193"/>
        <v>1980</v>
      </c>
      <c r="W926" s="9">
        <f t="shared" si="193"/>
        <v>203</v>
      </c>
      <c r="X926" s="9">
        <f t="shared" si="193"/>
        <v>889</v>
      </c>
      <c r="Y926" s="9">
        <f t="shared" si="193"/>
        <v>681</v>
      </c>
      <c r="Z926" s="9">
        <f t="shared" si="193"/>
        <v>2183</v>
      </c>
      <c r="AA926" s="9">
        <f t="shared" si="192"/>
        <v>1091</v>
      </c>
      <c r="AB926" s="9">
        <f t="shared" si="192"/>
        <v>1299</v>
      </c>
      <c r="AC926" s="9">
        <f t="shared" si="192"/>
        <v>1092</v>
      </c>
      <c r="AD926" s="9">
        <f t="shared" si="192"/>
        <v>884</v>
      </c>
      <c r="AE926" s="9">
        <f t="shared" si="192"/>
        <v>208</v>
      </c>
    </row>
    <row r="927" spans="2:31" x14ac:dyDescent="0.25">
      <c r="B927" s="6">
        <v>4436</v>
      </c>
      <c r="C927" s="6">
        <f t="shared" si="204"/>
        <v>5422</v>
      </c>
      <c r="D927" s="6">
        <v>3354</v>
      </c>
      <c r="E927" s="6">
        <v>4252</v>
      </c>
      <c r="F927" s="6">
        <v>4368</v>
      </c>
      <c r="L927">
        <f t="shared" si="194"/>
        <v>-986</v>
      </c>
      <c r="M927">
        <f t="shared" si="195"/>
        <v>1082</v>
      </c>
      <c r="N927">
        <f t="shared" si="196"/>
        <v>184</v>
      </c>
      <c r="O927">
        <f t="shared" si="197"/>
        <v>68</v>
      </c>
      <c r="P927">
        <f t="shared" si="198"/>
        <v>2068</v>
      </c>
      <c r="Q927">
        <f t="shared" si="199"/>
        <v>1170</v>
      </c>
      <c r="R927">
        <f t="shared" si="200"/>
        <v>1054</v>
      </c>
      <c r="S927">
        <f t="shared" si="201"/>
        <v>-898</v>
      </c>
      <c r="T927">
        <f t="shared" si="202"/>
        <v>-1014</v>
      </c>
      <c r="U927">
        <f t="shared" si="203"/>
        <v>-116</v>
      </c>
      <c r="V927" s="9">
        <f t="shared" si="193"/>
        <v>986</v>
      </c>
      <c r="W927" s="9">
        <f t="shared" si="193"/>
        <v>1082</v>
      </c>
      <c r="X927" s="9">
        <f t="shared" si="193"/>
        <v>184</v>
      </c>
      <c r="Y927" s="9">
        <f t="shared" si="193"/>
        <v>68</v>
      </c>
      <c r="Z927" s="9">
        <f t="shared" si="193"/>
        <v>2068</v>
      </c>
      <c r="AA927" s="9">
        <f t="shared" si="192"/>
        <v>1170</v>
      </c>
      <c r="AB927" s="9">
        <f t="shared" si="192"/>
        <v>1054</v>
      </c>
      <c r="AC927" s="9">
        <f t="shared" si="192"/>
        <v>898</v>
      </c>
      <c r="AD927" s="9">
        <f t="shared" si="192"/>
        <v>1014</v>
      </c>
      <c r="AE927" s="9">
        <f t="shared" si="192"/>
        <v>116</v>
      </c>
    </row>
    <row r="928" spans="2:31" x14ac:dyDescent="0.25">
      <c r="B928" s="6">
        <v>5524</v>
      </c>
      <c r="C928" s="6">
        <f t="shared" si="204"/>
        <v>6510</v>
      </c>
      <c r="D928" s="6">
        <v>5462</v>
      </c>
      <c r="E928" s="6">
        <v>6542</v>
      </c>
      <c r="F928" s="6">
        <v>6582</v>
      </c>
      <c r="L928">
        <f t="shared" si="194"/>
        <v>-986</v>
      </c>
      <c r="M928">
        <f t="shared" si="195"/>
        <v>62</v>
      </c>
      <c r="N928">
        <f t="shared" si="196"/>
        <v>-1018</v>
      </c>
      <c r="O928">
        <f t="shared" si="197"/>
        <v>-1058</v>
      </c>
      <c r="P928">
        <f t="shared" si="198"/>
        <v>1048</v>
      </c>
      <c r="Q928">
        <f t="shared" si="199"/>
        <v>-32</v>
      </c>
      <c r="R928">
        <f t="shared" si="200"/>
        <v>-72</v>
      </c>
      <c r="S928">
        <f t="shared" si="201"/>
        <v>-1080</v>
      </c>
      <c r="T928">
        <f t="shared" si="202"/>
        <v>-1120</v>
      </c>
      <c r="U928">
        <f t="shared" si="203"/>
        <v>-40</v>
      </c>
      <c r="V928" s="9">
        <f t="shared" si="193"/>
        <v>986</v>
      </c>
      <c r="W928" s="9">
        <f t="shared" si="193"/>
        <v>62</v>
      </c>
      <c r="X928" s="9">
        <f t="shared" si="193"/>
        <v>1018</v>
      </c>
      <c r="Y928" s="9">
        <f t="shared" si="193"/>
        <v>1058</v>
      </c>
      <c r="Z928" s="9">
        <f t="shared" si="193"/>
        <v>1048</v>
      </c>
      <c r="AA928" s="9">
        <f t="shared" si="192"/>
        <v>32</v>
      </c>
      <c r="AB928" s="9">
        <f t="shared" si="192"/>
        <v>72</v>
      </c>
      <c r="AC928" s="9">
        <f t="shared" si="192"/>
        <v>1080</v>
      </c>
      <c r="AD928" s="9">
        <f t="shared" si="192"/>
        <v>1120</v>
      </c>
      <c r="AE928" s="9">
        <f t="shared" si="192"/>
        <v>40</v>
      </c>
    </row>
    <row r="929" spans="2:31" x14ac:dyDescent="0.25">
      <c r="B929" s="6">
        <v>5497</v>
      </c>
      <c r="C929" s="6">
        <v>6278</v>
      </c>
      <c r="D929" s="6">
        <v>5524</v>
      </c>
      <c r="E929" s="6">
        <v>6565</v>
      </c>
      <c r="F929" s="6">
        <v>7582</v>
      </c>
      <c r="L929">
        <f t="shared" si="194"/>
        <v>-781</v>
      </c>
      <c r="M929">
        <f t="shared" si="195"/>
        <v>-27</v>
      </c>
      <c r="N929">
        <f t="shared" si="196"/>
        <v>-1068</v>
      </c>
      <c r="O929">
        <f t="shared" si="197"/>
        <v>-2085</v>
      </c>
      <c r="P929">
        <f t="shared" si="198"/>
        <v>754</v>
      </c>
      <c r="Q929">
        <f t="shared" si="199"/>
        <v>-287</v>
      </c>
      <c r="R929">
        <f t="shared" si="200"/>
        <v>-1304</v>
      </c>
      <c r="S929">
        <f t="shared" si="201"/>
        <v>-1041</v>
      </c>
      <c r="T929">
        <f t="shared" si="202"/>
        <v>-2058</v>
      </c>
      <c r="U929">
        <f t="shared" si="203"/>
        <v>-1017</v>
      </c>
      <c r="V929" s="9">
        <f t="shared" si="193"/>
        <v>781</v>
      </c>
      <c r="W929" s="9">
        <f t="shared" si="193"/>
        <v>27</v>
      </c>
      <c r="X929" s="9">
        <f t="shared" si="193"/>
        <v>1068</v>
      </c>
      <c r="Y929" s="9">
        <f t="shared" si="193"/>
        <v>2085</v>
      </c>
      <c r="Z929" s="9">
        <f t="shared" si="193"/>
        <v>754</v>
      </c>
      <c r="AA929" s="9">
        <f t="shared" si="192"/>
        <v>287</v>
      </c>
      <c r="AB929" s="9">
        <f t="shared" si="192"/>
        <v>1304</v>
      </c>
      <c r="AC929" s="9">
        <f t="shared" si="192"/>
        <v>1041</v>
      </c>
      <c r="AD929" s="9">
        <f t="shared" si="192"/>
        <v>2058</v>
      </c>
      <c r="AE929" s="9">
        <f t="shared" si="192"/>
        <v>1017</v>
      </c>
    </row>
    <row r="930" spans="2:31" x14ac:dyDescent="0.25">
      <c r="B930" s="6">
        <v>3548</v>
      </c>
      <c r="C930" s="6">
        <f t="shared" si="204"/>
        <v>4534</v>
      </c>
      <c r="D930" s="6">
        <v>3554</v>
      </c>
      <c r="E930" s="6">
        <v>2585</v>
      </c>
      <c r="F930" s="6">
        <v>3542</v>
      </c>
      <c r="L930">
        <f t="shared" si="194"/>
        <v>-986</v>
      </c>
      <c r="M930">
        <f t="shared" si="195"/>
        <v>-6</v>
      </c>
      <c r="N930">
        <f t="shared" si="196"/>
        <v>963</v>
      </c>
      <c r="O930">
        <f t="shared" si="197"/>
        <v>6</v>
      </c>
      <c r="P930">
        <f t="shared" si="198"/>
        <v>980</v>
      </c>
      <c r="Q930">
        <f t="shared" si="199"/>
        <v>1949</v>
      </c>
      <c r="R930">
        <f t="shared" si="200"/>
        <v>992</v>
      </c>
      <c r="S930">
        <f t="shared" si="201"/>
        <v>969</v>
      </c>
      <c r="T930">
        <f t="shared" si="202"/>
        <v>12</v>
      </c>
      <c r="U930">
        <f t="shared" si="203"/>
        <v>-957</v>
      </c>
      <c r="V930" s="9">
        <f t="shared" si="193"/>
        <v>986</v>
      </c>
      <c r="W930" s="9">
        <f t="shared" si="193"/>
        <v>6</v>
      </c>
      <c r="X930" s="9">
        <f t="shared" si="193"/>
        <v>963</v>
      </c>
      <c r="Y930" s="9">
        <f t="shared" si="193"/>
        <v>6</v>
      </c>
      <c r="Z930" s="9">
        <f t="shared" si="193"/>
        <v>980</v>
      </c>
      <c r="AA930" s="9">
        <f t="shared" si="192"/>
        <v>1949</v>
      </c>
      <c r="AB930" s="9">
        <f t="shared" si="192"/>
        <v>992</v>
      </c>
      <c r="AC930" s="9">
        <f t="shared" si="192"/>
        <v>969</v>
      </c>
      <c r="AD930" s="9">
        <f t="shared" si="192"/>
        <v>12</v>
      </c>
      <c r="AE930" s="9">
        <f t="shared" si="192"/>
        <v>957</v>
      </c>
    </row>
    <row r="931" spans="2:31" x14ac:dyDescent="0.25">
      <c r="B931" s="6">
        <v>6472</v>
      </c>
      <c r="C931" s="6">
        <f t="shared" si="204"/>
        <v>7458</v>
      </c>
      <c r="D931" s="6">
        <v>5564</v>
      </c>
      <c r="E931" s="6">
        <v>6454</v>
      </c>
      <c r="F931" s="6">
        <v>6658</v>
      </c>
      <c r="L931">
        <f t="shared" si="194"/>
        <v>-986</v>
      </c>
      <c r="M931">
        <f t="shared" si="195"/>
        <v>908</v>
      </c>
      <c r="N931">
        <f t="shared" si="196"/>
        <v>18</v>
      </c>
      <c r="O931">
        <f t="shared" si="197"/>
        <v>-186</v>
      </c>
      <c r="P931">
        <f t="shared" si="198"/>
        <v>1894</v>
      </c>
      <c r="Q931">
        <f t="shared" si="199"/>
        <v>1004</v>
      </c>
      <c r="R931">
        <f t="shared" si="200"/>
        <v>800</v>
      </c>
      <c r="S931">
        <f t="shared" si="201"/>
        <v>-890</v>
      </c>
      <c r="T931">
        <f t="shared" si="202"/>
        <v>-1094</v>
      </c>
      <c r="U931">
        <f t="shared" si="203"/>
        <v>-204</v>
      </c>
      <c r="V931" s="9">
        <f t="shared" si="193"/>
        <v>986</v>
      </c>
      <c r="W931" s="9">
        <f t="shared" si="193"/>
        <v>908</v>
      </c>
      <c r="X931" s="9">
        <f t="shared" si="193"/>
        <v>18</v>
      </c>
      <c r="Y931" s="9">
        <f t="shared" si="193"/>
        <v>186</v>
      </c>
      <c r="Z931" s="9">
        <f t="shared" si="193"/>
        <v>1894</v>
      </c>
      <c r="AA931" s="9">
        <f t="shared" si="192"/>
        <v>1004</v>
      </c>
      <c r="AB931" s="9">
        <f t="shared" si="192"/>
        <v>800</v>
      </c>
      <c r="AC931" s="9">
        <f t="shared" si="192"/>
        <v>890</v>
      </c>
      <c r="AD931" s="9">
        <f t="shared" si="192"/>
        <v>1094</v>
      </c>
      <c r="AE931" s="9">
        <f t="shared" si="192"/>
        <v>204</v>
      </c>
    </row>
    <row r="932" spans="2:31" x14ac:dyDescent="0.25">
      <c r="B932" s="6">
        <v>8647</v>
      </c>
      <c r="C932" s="6">
        <v>10547</v>
      </c>
      <c r="D932" s="6">
        <v>7864</v>
      </c>
      <c r="E932" s="6">
        <v>8125</v>
      </c>
      <c r="F932" s="6">
        <v>7852</v>
      </c>
      <c r="L932">
        <f t="shared" si="194"/>
        <v>-1900</v>
      </c>
      <c r="M932">
        <f t="shared" si="195"/>
        <v>783</v>
      </c>
      <c r="N932">
        <f t="shared" si="196"/>
        <v>522</v>
      </c>
      <c r="O932">
        <f t="shared" si="197"/>
        <v>795</v>
      </c>
      <c r="P932">
        <f t="shared" si="198"/>
        <v>2683</v>
      </c>
      <c r="Q932">
        <f t="shared" si="199"/>
        <v>2422</v>
      </c>
      <c r="R932">
        <f t="shared" si="200"/>
        <v>2695</v>
      </c>
      <c r="S932">
        <f t="shared" si="201"/>
        <v>-261</v>
      </c>
      <c r="T932">
        <f t="shared" si="202"/>
        <v>12</v>
      </c>
      <c r="U932">
        <f t="shared" si="203"/>
        <v>273</v>
      </c>
      <c r="V932" s="9">
        <f t="shared" si="193"/>
        <v>1900</v>
      </c>
      <c r="W932" s="9">
        <f t="shared" si="193"/>
        <v>783</v>
      </c>
      <c r="X932" s="9">
        <f t="shared" si="193"/>
        <v>522</v>
      </c>
      <c r="Y932" s="9">
        <f t="shared" si="193"/>
        <v>795</v>
      </c>
      <c r="Z932" s="9">
        <f t="shared" si="193"/>
        <v>2683</v>
      </c>
      <c r="AA932" s="9">
        <f t="shared" si="192"/>
        <v>2422</v>
      </c>
      <c r="AB932" s="9">
        <f t="shared" si="192"/>
        <v>2695</v>
      </c>
      <c r="AC932" s="9">
        <f t="shared" si="192"/>
        <v>261</v>
      </c>
      <c r="AD932" s="9">
        <f t="shared" si="192"/>
        <v>12</v>
      </c>
      <c r="AE932" s="9">
        <f t="shared" si="192"/>
        <v>273</v>
      </c>
    </row>
    <row r="933" spans="2:31" x14ac:dyDescent="0.25">
      <c r="B933" s="6">
        <v>5547</v>
      </c>
      <c r="C933" s="6">
        <f t="shared" si="204"/>
        <v>6533</v>
      </c>
      <c r="D933" s="6">
        <v>4562</v>
      </c>
      <c r="E933" s="6">
        <v>4556</v>
      </c>
      <c r="F933" s="6">
        <v>4685</v>
      </c>
      <c r="L933">
        <f t="shared" si="194"/>
        <v>-986</v>
      </c>
      <c r="M933">
        <f t="shared" si="195"/>
        <v>985</v>
      </c>
      <c r="N933">
        <f t="shared" si="196"/>
        <v>991</v>
      </c>
      <c r="O933">
        <f t="shared" si="197"/>
        <v>862</v>
      </c>
      <c r="P933">
        <f t="shared" si="198"/>
        <v>1971</v>
      </c>
      <c r="Q933">
        <f t="shared" si="199"/>
        <v>1977</v>
      </c>
      <c r="R933">
        <f t="shared" si="200"/>
        <v>1848</v>
      </c>
      <c r="S933">
        <f t="shared" si="201"/>
        <v>6</v>
      </c>
      <c r="T933">
        <f t="shared" si="202"/>
        <v>-123</v>
      </c>
      <c r="U933">
        <f t="shared" si="203"/>
        <v>-129</v>
      </c>
      <c r="V933" s="9">
        <f t="shared" si="193"/>
        <v>986</v>
      </c>
      <c r="W933" s="9">
        <f t="shared" si="193"/>
        <v>985</v>
      </c>
      <c r="X933" s="9">
        <f t="shared" si="193"/>
        <v>991</v>
      </c>
      <c r="Y933" s="9">
        <f t="shared" si="193"/>
        <v>862</v>
      </c>
      <c r="Z933" s="9">
        <f t="shared" si="193"/>
        <v>1971</v>
      </c>
      <c r="AA933" s="9">
        <f t="shared" ref="AA933:AE983" si="206">IF(Q933&gt;=0,Q933,-Q933)</f>
        <v>1977</v>
      </c>
      <c r="AB933" s="9">
        <f t="shared" si="206"/>
        <v>1848</v>
      </c>
      <c r="AC933" s="9">
        <f t="shared" si="206"/>
        <v>6</v>
      </c>
      <c r="AD933" s="9">
        <f t="shared" si="206"/>
        <v>123</v>
      </c>
      <c r="AE933" s="9">
        <f t="shared" si="206"/>
        <v>129</v>
      </c>
    </row>
    <row r="934" spans="2:31" x14ac:dyDescent="0.25">
      <c r="B934" s="6">
        <v>4454</v>
      </c>
      <c r="C934" s="6">
        <v>5978</v>
      </c>
      <c r="D934" s="6">
        <v>4645</v>
      </c>
      <c r="E934" s="6">
        <v>5245</v>
      </c>
      <c r="F934" s="6">
        <v>5744</v>
      </c>
      <c r="L934">
        <f t="shared" si="194"/>
        <v>-1524</v>
      </c>
      <c r="M934">
        <f t="shared" si="195"/>
        <v>-191</v>
      </c>
      <c r="N934">
        <f t="shared" si="196"/>
        <v>-791</v>
      </c>
      <c r="O934">
        <f t="shared" si="197"/>
        <v>-1290</v>
      </c>
      <c r="P934">
        <f t="shared" si="198"/>
        <v>1333</v>
      </c>
      <c r="Q934">
        <f t="shared" si="199"/>
        <v>733</v>
      </c>
      <c r="R934">
        <f t="shared" si="200"/>
        <v>234</v>
      </c>
      <c r="S934">
        <f t="shared" si="201"/>
        <v>-600</v>
      </c>
      <c r="T934">
        <f t="shared" si="202"/>
        <v>-1099</v>
      </c>
      <c r="U934">
        <f t="shared" si="203"/>
        <v>-499</v>
      </c>
      <c r="V934" s="9">
        <f t="shared" ref="V934:Z984" si="207">IF(L934&gt;=0,L934,-L934)</f>
        <v>1524</v>
      </c>
      <c r="W934" s="9">
        <f t="shared" si="207"/>
        <v>191</v>
      </c>
      <c r="X934" s="9">
        <f t="shared" si="207"/>
        <v>791</v>
      </c>
      <c r="Y934" s="9">
        <f t="shared" si="207"/>
        <v>1290</v>
      </c>
      <c r="Z934" s="9">
        <f t="shared" si="207"/>
        <v>1333</v>
      </c>
      <c r="AA934" s="9">
        <f t="shared" si="206"/>
        <v>733</v>
      </c>
      <c r="AB934" s="9">
        <f t="shared" si="206"/>
        <v>234</v>
      </c>
      <c r="AC934" s="9">
        <f t="shared" si="206"/>
        <v>600</v>
      </c>
      <c r="AD934" s="9">
        <f t="shared" si="206"/>
        <v>1099</v>
      </c>
      <c r="AE934" s="9">
        <f t="shared" si="206"/>
        <v>499</v>
      </c>
    </row>
    <row r="935" spans="2:31" x14ac:dyDescent="0.25">
      <c r="B935" s="6">
        <v>6549</v>
      </c>
      <c r="C935" s="6">
        <f t="shared" si="204"/>
        <v>7535</v>
      </c>
      <c r="D935" s="6">
        <v>5687</v>
      </c>
      <c r="E935" s="6">
        <v>8455</v>
      </c>
      <c r="F935" s="6">
        <v>9552</v>
      </c>
      <c r="L935">
        <f t="shared" si="194"/>
        <v>-986</v>
      </c>
      <c r="M935">
        <f t="shared" si="195"/>
        <v>862</v>
      </c>
      <c r="N935">
        <f t="shared" si="196"/>
        <v>-1906</v>
      </c>
      <c r="O935">
        <f t="shared" si="197"/>
        <v>-3003</v>
      </c>
      <c r="P935">
        <f t="shared" si="198"/>
        <v>1848</v>
      </c>
      <c r="Q935">
        <f t="shared" si="199"/>
        <v>-920</v>
      </c>
      <c r="R935">
        <f t="shared" si="200"/>
        <v>-2017</v>
      </c>
      <c r="S935">
        <f t="shared" si="201"/>
        <v>-2768</v>
      </c>
      <c r="T935">
        <f t="shared" si="202"/>
        <v>-3865</v>
      </c>
      <c r="U935">
        <f t="shared" si="203"/>
        <v>-1097</v>
      </c>
      <c r="V935" s="9">
        <f t="shared" si="207"/>
        <v>986</v>
      </c>
      <c r="W935" s="9">
        <f t="shared" si="207"/>
        <v>862</v>
      </c>
      <c r="X935" s="9">
        <f t="shared" si="207"/>
        <v>1906</v>
      </c>
      <c r="Y935" s="9">
        <f t="shared" si="207"/>
        <v>3003</v>
      </c>
      <c r="Z935" s="9">
        <f t="shared" si="207"/>
        <v>1848</v>
      </c>
      <c r="AA935" s="9">
        <f t="shared" si="206"/>
        <v>920</v>
      </c>
      <c r="AB935" s="9">
        <f t="shared" si="206"/>
        <v>2017</v>
      </c>
      <c r="AC935" s="9">
        <f t="shared" si="206"/>
        <v>2768</v>
      </c>
      <c r="AD935" s="9">
        <f t="shared" si="206"/>
        <v>3865</v>
      </c>
      <c r="AE935" s="9">
        <f t="shared" si="206"/>
        <v>1097</v>
      </c>
    </row>
    <row r="936" spans="2:31" x14ac:dyDescent="0.25">
      <c r="B936" s="6">
        <v>8597</v>
      </c>
      <c r="C936" s="6">
        <v>10258</v>
      </c>
      <c r="D936" s="6">
        <v>7564</v>
      </c>
      <c r="E936" s="6">
        <v>7757</v>
      </c>
      <c r="F936" s="6">
        <v>7852</v>
      </c>
      <c r="L936">
        <f t="shared" si="194"/>
        <v>-1661</v>
      </c>
      <c r="M936">
        <f t="shared" si="195"/>
        <v>1033</v>
      </c>
      <c r="N936">
        <f t="shared" si="196"/>
        <v>840</v>
      </c>
      <c r="O936">
        <f t="shared" si="197"/>
        <v>745</v>
      </c>
      <c r="P936">
        <f t="shared" si="198"/>
        <v>2694</v>
      </c>
      <c r="Q936">
        <f t="shared" si="199"/>
        <v>2501</v>
      </c>
      <c r="R936">
        <f t="shared" si="200"/>
        <v>2406</v>
      </c>
      <c r="S936">
        <f t="shared" si="201"/>
        <v>-193</v>
      </c>
      <c r="T936">
        <f t="shared" si="202"/>
        <v>-288</v>
      </c>
      <c r="U936">
        <f t="shared" si="203"/>
        <v>-95</v>
      </c>
      <c r="V936" s="9">
        <f t="shared" si="207"/>
        <v>1661</v>
      </c>
      <c r="W936" s="9">
        <f t="shared" si="207"/>
        <v>1033</v>
      </c>
      <c r="X936" s="9">
        <f t="shared" si="207"/>
        <v>840</v>
      </c>
      <c r="Y936" s="9">
        <f t="shared" si="207"/>
        <v>745</v>
      </c>
      <c r="Z936" s="9">
        <f t="shared" si="207"/>
        <v>2694</v>
      </c>
      <c r="AA936" s="9">
        <f t="shared" si="206"/>
        <v>2501</v>
      </c>
      <c r="AB936" s="9">
        <f t="shared" si="206"/>
        <v>2406</v>
      </c>
      <c r="AC936" s="9">
        <f t="shared" si="206"/>
        <v>193</v>
      </c>
      <c r="AD936" s="9">
        <f t="shared" si="206"/>
        <v>288</v>
      </c>
      <c r="AE936" s="9">
        <f t="shared" si="206"/>
        <v>95</v>
      </c>
    </row>
    <row r="937" spans="2:31" x14ac:dyDescent="0.25">
      <c r="B937" s="6">
        <v>5147</v>
      </c>
      <c r="C937" s="6">
        <f t="shared" si="204"/>
        <v>6133</v>
      </c>
      <c r="D937" s="6">
        <v>5546</v>
      </c>
      <c r="E937" s="6">
        <v>4988</v>
      </c>
      <c r="F937" s="6">
        <v>5240</v>
      </c>
      <c r="L937">
        <f t="shared" si="194"/>
        <v>-986</v>
      </c>
      <c r="M937">
        <f t="shared" si="195"/>
        <v>-399</v>
      </c>
      <c r="N937">
        <f t="shared" si="196"/>
        <v>159</v>
      </c>
      <c r="O937">
        <f t="shared" si="197"/>
        <v>-93</v>
      </c>
      <c r="P937">
        <f t="shared" si="198"/>
        <v>587</v>
      </c>
      <c r="Q937">
        <f t="shared" si="199"/>
        <v>1145</v>
      </c>
      <c r="R937">
        <f t="shared" si="200"/>
        <v>893</v>
      </c>
      <c r="S937">
        <f t="shared" si="201"/>
        <v>558</v>
      </c>
      <c r="T937">
        <f t="shared" si="202"/>
        <v>306</v>
      </c>
      <c r="U937">
        <f t="shared" si="203"/>
        <v>-252</v>
      </c>
      <c r="V937" s="9">
        <f t="shared" si="207"/>
        <v>986</v>
      </c>
      <c r="W937" s="9">
        <f t="shared" si="207"/>
        <v>399</v>
      </c>
      <c r="X937" s="9">
        <f t="shared" si="207"/>
        <v>159</v>
      </c>
      <c r="Y937" s="9">
        <f t="shared" si="207"/>
        <v>93</v>
      </c>
      <c r="Z937" s="9">
        <f t="shared" si="207"/>
        <v>587</v>
      </c>
      <c r="AA937" s="9">
        <f t="shared" si="206"/>
        <v>1145</v>
      </c>
      <c r="AB937" s="9">
        <f t="shared" si="206"/>
        <v>893</v>
      </c>
      <c r="AC937" s="9">
        <f t="shared" si="206"/>
        <v>558</v>
      </c>
      <c r="AD937" s="9">
        <f t="shared" si="206"/>
        <v>306</v>
      </c>
      <c r="AE937" s="9">
        <f t="shared" si="206"/>
        <v>252</v>
      </c>
    </row>
    <row r="938" spans="2:31" x14ac:dyDescent="0.25">
      <c r="B938" s="6">
        <v>6478</v>
      </c>
      <c r="C938" s="6">
        <v>7684</v>
      </c>
      <c r="D938" s="6">
        <v>6582</v>
      </c>
      <c r="E938" s="6">
        <v>6458</v>
      </c>
      <c r="F938" s="6">
        <v>6482</v>
      </c>
      <c r="L938">
        <f t="shared" si="194"/>
        <v>-1206</v>
      </c>
      <c r="M938">
        <f t="shared" si="195"/>
        <v>-104</v>
      </c>
      <c r="N938">
        <f t="shared" si="196"/>
        <v>20</v>
      </c>
      <c r="O938">
        <f t="shared" si="197"/>
        <v>-4</v>
      </c>
      <c r="P938">
        <f t="shared" si="198"/>
        <v>1102</v>
      </c>
      <c r="Q938">
        <f t="shared" si="199"/>
        <v>1226</v>
      </c>
      <c r="R938">
        <f t="shared" si="200"/>
        <v>1202</v>
      </c>
      <c r="S938">
        <f t="shared" si="201"/>
        <v>124</v>
      </c>
      <c r="T938">
        <f t="shared" si="202"/>
        <v>100</v>
      </c>
      <c r="U938">
        <f t="shared" si="203"/>
        <v>-24</v>
      </c>
      <c r="V938" s="9">
        <f t="shared" si="207"/>
        <v>1206</v>
      </c>
      <c r="W938" s="9">
        <f t="shared" si="207"/>
        <v>104</v>
      </c>
      <c r="X938" s="9">
        <f t="shared" si="207"/>
        <v>20</v>
      </c>
      <c r="Y938" s="9">
        <f t="shared" si="207"/>
        <v>4</v>
      </c>
      <c r="Z938" s="9">
        <f t="shared" si="207"/>
        <v>1102</v>
      </c>
      <c r="AA938" s="9">
        <f t="shared" si="206"/>
        <v>1226</v>
      </c>
      <c r="AB938" s="9">
        <f t="shared" si="206"/>
        <v>1202</v>
      </c>
      <c r="AC938" s="9">
        <f t="shared" si="206"/>
        <v>124</v>
      </c>
      <c r="AD938" s="9">
        <f t="shared" si="206"/>
        <v>100</v>
      </c>
      <c r="AE938" s="9">
        <f t="shared" si="206"/>
        <v>24</v>
      </c>
    </row>
    <row r="939" spans="2:31" x14ac:dyDescent="0.25">
      <c r="B939" s="6">
        <v>5547</v>
      </c>
      <c r="C939" s="6">
        <f t="shared" si="204"/>
        <v>6533</v>
      </c>
      <c r="D939" s="6">
        <v>6845</v>
      </c>
      <c r="E939" s="6">
        <v>5852</v>
      </c>
      <c r="F939" s="6">
        <v>5985</v>
      </c>
      <c r="L939">
        <f t="shared" si="194"/>
        <v>-986</v>
      </c>
      <c r="M939">
        <f t="shared" si="195"/>
        <v>-1298</v>
      </c>
      <c r="N939">
        <f t="shared" si="196"/>
        <v>-305</v>
      </c>
      <c r="O939">
        <f t="shared" si="197"/>
        <v>-438</v>
      </c>
      <c r="P939">
        <f t="shared" si="198"/>
        <v>-312</v>
      </c>
      <c r="Q939">
        <f t="shared" si="199"/>
        <v>681</v>
      </c>
      <c r="R939">
        <f t="shared" si="200"/>
        <v>548</v>
      </c>
      <c r="S939">
        <f t="shared" si="201"/>
        <v>993</v>
      </c>
      <c r="T939">
        <f t="shared" si="202"/>
        <v>860</v>
      </c>
      <c r="U939">
        <f t="shared" si="203"/>
        <v>-133</v>
      </c>
      <c r="V939" s="9">
        <f t="shared" si="207"/>
        <v>986</v>
      </c>
      <c r="W939" s="9">
        <f t="shared" si="207"/>
        <v>1298</v>
      </c>
      <c r="X939" s="9">
        <f t="shared" si="207"/>
        <v>305</v>
      </c>
      <c r="Y939" s="9">
        <f t="shared" si="207"/>
        <v>438</v>
      </c>
      <c r="Z939" s="9">
        <f t="shared" si="207"/>
        <v>312</v>
      </c>
      <c r="AA939" s="9">
        <f t="shared" si="206"/>
        <v>681</v>
      </c>
      <c r="AB939" s="9">
        <f t="shared" si="206"/>
        <v>548</v>
      </c>
      <c r="AC939" s="9">
        <f t="shared" si="206"/>
        <v>993</v>
      </c>
      <c r="AD939" s="9">
        <f t="shared" si="206"/>
        <v>860</v>
      </c>
      <c r="AE939" s="9">
        <f t="shared" si="206"/>
        <v>133</v>
      </c>
    </row>
    <row r="940" spans="2:31" x14ac:dyDescent="0.25">
      <c r="B940" s="6">
        <v>6478</v>
      </c>
      <c r="C940" s="6">
        <v>7598</v>
      </c>
      <c r="D940" s="6">
        <v>6354</v>
      </c>
      <c r="E940" s="6">
        <v>6657</v>
      </c>
      <c r="F940" s="6">
        <v>6482</v>
      </c>
      <c r="L940">
        <f t="shared" si="194"/>
        <v>-1120</v>
      </c>
      <c r="M940">
        <f t="shared" si="195"/>
        <v>124</v>
      </c>
      <c r="N940">
        <f t="shared" si="196"/>
        <v>-179</v>
      </c>
      <c r="O940">
        <f t="shared" si="197"/>
        <v>-4</v>
      </c>
      <c r="P940">
        <f t="shared" si="198"/>
        <v>1244</v>
      </c>
      <c r="Q940">
        <f t="shared" si="199"/>
        <v>941</v>
      </c>
      <c r="R940">
        <f t="shared" si="200"/>
        <v>1116</v>
      </c>
      <c r="S940">
        <f t="shared" si="201"/>
        <v>-303</v>
      </c>
      <c r="T940">
        <f t="shared" si="202"/>
        <v>-128</v>
      </c>
      <c r="U940">
        <f t="shared" si="203"/>
        <v>175</v>
      </c>
      <c r="V940" s="9">
        <f t="shared" si="207"/>
        <v>1120</v>
      </c>
      <c r="W940" s="9">
        <f t="shared" si="207"/>
        <v>124</v>
      </c>
      <c r="X940" s="9">
        <f t="shared" si="207"/>
        <v>179</v>
      </c>
      <c r="Y940" s="9">
        <f t="shared" si="207"/>
        <v>4</v>
      </c>
      <c r="Z940" s="9">
        <f t="shared" si="207"/>
        <v>1244</v>
      </c>
      <c r="AA940" s="9">
        <f t="shared" si="206"/>
        <v>941</v>
      </c>
      <c r="AB940" s="9">
        <f t="shared" si="206"/>
        <v>1116</v>
      </c>
      <c r="AC940" s="9">
        <f t="shared" si="206"/>
        <v>303</v>
      </c>
      <c r="AD940" s="9">
        <f t="shared" si="206"/>
        <v>128</v>
      </c>
      <c r="AE940" s="9">
        <f t="shared" si="206"/>
        <v>175</v>
      </c>
    </row>
    <row r="941" spans="2:31" x14ac:dyDescent="0.25">
      <c r="B941" s="6">
        <v>3369</v>
      </c>
      <c r="C941" s="6">
        <v>5462</v>
      </c>
      <c r="D941" s="6">
        <v>3652</v>
      </c>
      <c r="E941" s="6">
        <v>3568</v>
      </c>
      <c r="F941" s="6">
        <v>4528</v>
      </c>
      <c r="L941">
        <f t="shared" si="194"/>
        <v>-2093</v>
      </c>
      <c r="M941">
        <f t="shared" si="195"/>
        <v>-283</v>
      </c>
      <c r="N941">
        <f t="shared" si="196"/>
        <v>-199</v>
      </c>
      <c r="O941">
        <f t="shared" si="197"/>
        <v>-1159</v>
      </c>
      <c r="P941">
        <f t="shared" si="198"/>
        <v>1810</v>
      </c>
      <c r="Q941">
        <f t="shared" si="199"/>
        <v>1894</v>
      </c>
      <c r="R941">
        <f t="shared" si="200"/>
        <v>934</v>
      </c>
      <c r="S941">
        <f t="shared" si="201"/>
        <v>84</v>
      </c>
      <c r="T941">
        <f t="shared" si="202"/>
        <v>-876</v>
      </c>
      <c r="U941">
        <f t="shared" si="203"/>
        <v>-960</v>
      </c>
      <c r="V941" s="9">
        <f t="shared" si="207"/>
        <v>2093</v>
      </c>
      <c r="W941" s="9">
        <f t="shared" si="207"/>
        <v>283</v>
      </c>
      <c r="X941" s="9">
        <f t="shared" si="207"/>
        <v>199</v>
      </c>
      <c r="Y941" s="9">
        <f t="shared" si="207"/>
        <v>1159</v>
      </c>
      <c r="Z941" s="9">
        <f t="shared" si="207"/>
        <v>1810</v>
      </c>
      <c r="AA941" s="9">
        <f t="shared" si="206"/>
        <v>1894</v>
      </c>
      <c r="AB941" s="9">
        <f t="shared" si="206"/>
        <v>934</v>
      </c>
      <c r="AC941" s="9">
        <f t="shared" si="206"/>
        <v>84</v>
      </c>
      <c r="AD941" s="9">
        <f t="shared" si="206"/>
        <v>876</v>
      </c>
      <c r="AE941" s="9">
        <f t="shared" si="206"/>
        <v>960</v>
      </c>
    </row>
    <row r="942" spans="2:31" x14ac:dyDescent="0.25">
      <c r="B942" s="6">
        <v>4125</v>
      </c>
      <c r="C942" s="6">
        <f t="shared" si="204"/>
        <v>5111</v>
      </c>
      <c r="D942" s="6">
        <v>3655</v>
      </c>
      <c r="E942" s="6">
        <v>4587</v>
      </c>
      <c r="F942" s="6">
        <v>5242</v>
      </c>
      <c r="L942">
        <f t="shared" si="194"/>
        <v>-986</v>
      </c>
      <c r="M942">
        <f t="shared" si="195"/>
        <v>470</v>
      </c>
      <c r="N942">
        <f t="shared" si="196"/>
        <v>-462</v>
      </c>
      <c r="O942">
        <f t="shared" si="197"/>
        <v>-1117</v>
      </c>
      <c r="P942">
        <f t="shared" si="198"/>
        <v>1456</v>
      </c>
      <c r="Q942">
        <f t="shared" si="199"/>
        <v>524</v>
      </c>
      <c r="R942">
        <f t="shared" si="200"/>
        <v>-131</v>
      </c>
      <c r="S942">
        <f t="shared" si="201"/>
        <v>-932</v>
      </c>
      <c r="T942">
        <f t="shared" si="202"/>
        <v>-1587</v>
      </c>
      <c r="U942">
        <f t="shared" si="203"/>
        <v>-655</v>
      </c>
      <c r="V942" s="9">
        <f t="shared" si="207"/>
        <v>986</v>
      </c>
      <c r="W942" s="9">
        <f t="shared" si="207"/>
        <v>470</v>
      </c>
      <c r="X942" s="9">
        <f t="shared" si="207"/>
        <v>462</v>
      </c>
      <c r="Y942" s="9">
        <f t="shared" si="207"/>
        <v>1117</v>
      </c>
      <c r="Z942" s="9">
        <f t="shared" si="207"/>
        <v>1456</v>
      </c>
      <c r="AA942" s="9">
        <f t="shared" si="206"/>
        <v>524</v>
      </c>
      <c r="AB942" s="9">
        <f t="shared" si="206"/>
        <v>131</v>
      </c>
      <c r="AC942" s="9">
        <f t="shared" si="206"/>
        <v>932</v>
      </c>
      <c r="AD942" s="9">
        <f t="shared" si="206"/>
        <v>1587</v>
      </c>
      <c r="AE942" s="9">
        <f t="shared" si="206"/>
        <v>655</v>
      </c>
    </row>
    <row r="943" spans="2:31" x14ac:dyDescent="0.25">
      <c r="B943" s="6">
        <v>8474</v>
      </c>
      <c r="C943" s="6">
        <v>10235</v>
      </c>
      <c r="D943" s="6">
        <v>7565</v>
      </c>
      <c r="E943" s="6">
        <v>8206</v>
      </c>
      <c r="F943" s="6">
        <v>8644</v>
      </c>
      <c r="L943">
        <f t="shared" si="194"/>
        <v>-1761</v>
      </c>
      <c r="M943">
        <f t="shared" si="195"/>
        <v>909</v>
      </c>
      <c r="N943">
        <f t="shared" si="196"/>
        <v>268</v>
      </c>
      <c r="O943">
        <f t="shared" si="197"/>
        <v>-170</v>
      </c>
      <c r="P943">
        <f t="shared" si="198"/>
        <v>2670</v>
      </c>
      <c r="Q943">
        <f t="shared" si="199"/>
        <v>2029</v>
      </c>
      <c r="R943">
        <f t="shared" si="200"/>
        <v>1591</v>
      </c>
      <c r="S943">
        <f t="shared" si="201"/>
        <v>-641</v>
      </c>
      <c r="T943">
        <f t="shared" si="202"/>
        <v>-1079</v>
      </c>
      <c r="U943">
        <f t="shared" si="203"/>
        <v>-438</v>
      </c>
      <c r="V943" s="9">
        <f t="shared" si="207"/>
        <v>1761</v>
      </c>
      <c r="W943" s="9">
        <f t="shared" si="207"/>
        <v>909</v>
      </c>
      <c r="X943" s="9">
        <f t="shared" si="207"/>
        <v>268</v>
      </c>
      <c r="Y943" s="9">
        <f t="shared" si="207"/>
        <v>170</v>
      </c>
      <c r="Z943" s="9">
        <f t="shared" si="207"/>
        <v>2670</v>
      </c>
      <c r="AA943" s="9">
        <f t="shared" si="206"/>
        <v>2029</v>
      </c>
      <c r="AB943" s="9">
        <f t="shared" si="206"/>
        <v>1591</v>
      </c>
      <c r="AC943" s="9">
        <f t="shared" si="206"/>
        <v>641</v>
      </c>
      <c r="AD943" s="9">
        <f t="shared" si="206"/>
        <v>1079</v>
      </c>
      <c r="AE943" s="9">
        <f t="shared" si="206"/>
        <v>438</v>
      </c>
    </row>
    <row r="944" spans="2:31" x14ac:dyDescent="0.25">
      <c r="B944" s="6">
        <v>4872</v>
      </c>
      <c r="C944" s="6">
        <v>6985</v>
      </c>
      <c r="D944" s="6">
        <v>6345</v>
      </c>
      <c r="E944" s="6">
        <v>5067</v>
      </c>
      <c r="F944" s="6">
        <v>5524</v>
      </c>
      <c r="L944">
        <f t="shared" si="194"/>
        <v>-2113</v>
      </c>
      <c r="M944">
        <f t="shared" si="195"/>
        <v>-1473</v>
      </c>
      <c r="N944">
        <f t="shared" si="196"/>
        <v>-195</v>
      </c>
      <c r="O944">
        <f t="shared" si="197"/>
        <v>-652</v>
      </c>
      <c r="P944">
        <f t="shared" si="198"/>
        <v>640</v>
      </c>
      <c r="Q944">
        <f t="shared" si="199"/>
        <v>1918</v>
      </c>
      <c r="R944">
        <f t="shared" si="200"/>
        <v>1461</v>
      </c>
      <c r="S944">
        <f t="shared" si="201"/>
        <v>1278</v>
      </c>
      <c r="T944">
        <f t="shared" si="202"/>
        <v>821</v>
      </c>
      <c r="U944">
        <f t="shared" si="203"/>
        <v>-457</v>
      </c>
      <c r="V944" s="9">
        <f t="shared" si="207"/>
        <v>2113</v>
      </c>
      <c r="W944" s="9">
        <f t="shared" si="207"/>
        <v>1473</v>
      </c>
      <c r="X944" s="9">
        <f t="shared" si="207"/>
        <v>195</v>
      </c>
      <c r="Y944" s="9">
        <f t="shared" si="207"/>
        <v>652</v>
      </c>
      <c r="Z944" s="9">
        <f t="shared" si="207"/>
        <v>640</v>
      </c>
      <c r="AA944" s="9">
        <f t="shared" si="206"/>
        <v>1918</v>
      </c>
      <c r="AB944" s="9">
        <f t="shared" si="206"/>
        <v>1461</v>
      </c>
      <c r="AC944" s="9">
        <f t="shared" si="206"/>
        <v>1278</v>
      </c>
      <c r="AD944" s="9">
        <f t="shared" si="206"/>
        <v>821</v>
      </c>
      <c r="AE944" s="9">
        <f t="shared" si="206"/>
        <v>457</v>
      </c>
    </row>
    <row r="945" spans="2:31" x14ac:dyDescent="0.25">
      <c r="B945" s="6">
        <v>1987</v>
      </c>
      <c r="C945" s="6">
        <v>2648</v>
      </c>
      <c r="D945" s="6">
        <v>2054</v>
      </c>
      <c r="E945" s="6">
        <v>2205</v>
      </c>
      <c r="F945" s="6">
        <v>2356</v>
      </c>
      <c r="L945">
        <f t="shared" si="194"/>
        <v>-661</v>
      </c>
      <c r="M945">
        <f t="shared" si="195"/>
        <v>-67</v>
      </c>
      <c r="N945">
        <f t="shared" si="196"/>
        <v>-218</v>
      </c>
      <c r="O945">
        <f t="shared" si="197"/>
        <v>-369</v>
      </c>
      <c r="P945">
        <f t="shared" si="198"/>
        <v>594</v>
      </c>
      <c r="Q945">
        <f t="shared" si="199"/>
        <v>443</v>
      </c>
      <c r="R945">
        <f t="shared" si="200"/>
        <v>292</v>
      </c>
      <c r="S945">
        <f t="shared" si="201"/>
        <v>-151</v>
      </c>
      <c r="T945">
        <f t="shared" si="202"/>
        <v>-302</v>
      </c>
      <c r="U945">
        <f t="shared" si="203"/>
        <v>-151</v>
      </c>
      <c r="V945" s="9">
        <f t="shared" si="207"/>
        <v>661</v>
      </c>
      <c r="W945" s="9">
        <f t="shared" si="207"/>
        <v>67</v>
      </c>
      <c r="X945" s="9">
        <f t="shared" si="207"/>
        <v>218</v>
      </c>
      <c r="Y945" s="9">
        <f t="shared" si="207"/>
        <v>369</v>
      </c>
      <c r="Z945" s="9">
        <f t="shared" si="207"/>
        <v>594</v>
      </c>
      <c r="AA945" s="9">
        <f t="shared" si="206"/>
        <v>443</v>
      </c>
      <c r="AB945" s="9">
        <f t="shared" si="206"/>
        <v>292</v>
      </c>
      <c r="AC945" s="9">
        <f t="shared" si="206"/>
        <v>151</v>
      </c>
      <c r="AD945" s="9">
        <f t="shared" si="206"/>
        <v>302</v>
      </c>
      <c r="AE945" s="9">
        <f t="shared" si="206"/>
        <v>151</v>
      </c>
    </row>
    <row r="946" spans="2:31" x14ac:dyDescent="0.25">
      <c r="B946" s="6">
        <v>1857</v>
      </c>
      <c r="C946" s="6">
        <f t="shared" si="204"/>
        <v>2843</v>
      </c>
      <c r="D946" s="6">
        <v>1954</v>
      </c>
      <c r="E946" s="6">
        <v>2035</v>
      </c>
      <c r="F946" s="6">
        <v>2354</v>
      </c>
      <c r="L946">
        <f t="shared" si="194"/>
        <v>-986</v>
      </c>
      <c r="M946">
        <f t="shared" si="195"/>
        <v>-97</v>
      </c>
      <c r="N946">
        <f t="shared" si="196"/>
        <v>-178</v>
      </c>
      <c r="O946">
        <f t="shared" si="197"/>
        <v>-497</v>
      </c>
      <c r="P946">
        <f t="shared" si="198"/>
        <v>889</v>
      </c>
      <c r="Q946">
        <f t="shared" si="199"/>
        <v>808</v>
      </c>
      <c r="R946">
        <f t="shared" si="200"/>
        <v>489</v>
      </c>
      <c r="S946">
        <f t="shared" si="201"/>
        <v>-81</v>
      </c>
      <c r="T946">
        <f t="shared" si="202"/>
        <v>-400</v>
      </c>
      <c r="U946">
        <f t="shared" si="203"/>
        <v>-319</v>
      </c>
      <c r="V946" s="9">
        <f t="shared" si="207"/>
        <v>986</v>
      </c>
      <c r="W946" s="9">
        <f t="shared" si="207"/>
        <v>97</v>
      </c>
      <c r="X946" s="9">
        <f t="shared" si="207"/>
        <v>178</v>
      </c>
      <c r="Y946" s="9">
        <f t="shared" si="207"/>
        <v>497</v>
      </c>
      <c r="Z946" s="9">
        <f t="shared" si="207"/>
        <v>889</v>
      </c>
      <c r="AA946" s="9">
        <f t="shared" si="206"/>
        <v>808</v>
      </c>
      <c r="AB946" s="9">
        <f t="shared" si="206"/>
        <v>489</v>
      </c>
      <c r="AC946" s="9">
        <f t="shared" si="206"/>
        <v>81</v>
      </c>
      <c r="AD946" s="9">
        <f t="shared" si="206"/>
        <v>400</v>
      </c>
      <c r="AE946" s="9">
        <f t="shared" si="206"/>
        <v>319</v>
      </c>
    </row>
    <row r="947" spans="2:31" x14ac:dyDescent="0.25">
      <c r="B947" s="6">
        <v>1954</v>
      </c>
      <c r="C947" s="6">
        <v>2867</v>
      </c>
      <c r="D947" s="6">
        <v>1852</v>
      </c>
      <c r="E947" s="6">
        <v>2034</v>
      </c>
      <c r="F947" s="6">
        <v>2678</v>
      </c>
      <c r="L947">
        <f t="shared" si="194"/>
        <v>-913</v>
      </c>
      <c r="M947">
        <f t="shared" si="195"/>
        <v>102</v>
      </c>
      <c r="N947">
        <f t="shared" si="196"/>
        <v>-80</v>
      </c>
      <c r="O947">
        <f t="shared" si="197"/>
        <v>-724</v>
      </c>
      <c r="P947">
        <f t="shared" si="198"/>
        <v>1015</v>
      </c>
      <c r="Q947">
        <f t="shared" si="199"/>
        <v>833</v>
      </c>
      <c r="R947">
        <f t="shared" si="200"/>
        <v>189</v>
      </c>
      <c r="S947">
        <f t="shared" si="201"/>
        <v>-182</v>
      </c>
      <c r="T947">
        <f t="shared" si="202"/>
        <v>-826</v>
      </c>
      <c r="U947">
        <f t="shared" si="203"/>
        <v>-644</v>
      </c>
      <c r="V947" s="9">
        <f t="shared" si="207"/>
        <v>913</v>
      </c>
      <c r="W947" s="9">
        <f t="shared" si="207"/>
        <v>102</v>
      </c>
      <c r="X947" s="9">
        <f t="shared" si="207"/>
        <v>80</v>
      </c>
      <c r="Y947" s="9">
        <f t="shared" si="207"/>
        <v>724</v>
      </c>
      <c r="Z947" s="9">
        <f t="shared" si="207"/>
        <v>1015</v>
      </c>
      <c r="AA947" s="9">
        <f t="shared" si="206"/>
        <v>833</v>
      </c>
      <c r="AB947" s="9">
        <f t="shared" si="206"/>
        <v>189</v>
      </c>
      <c r="AC947" s="9">
        <f t="shared" si="206"/>
        <v>182</v>
      </c>
      <c r="AD947" s="9">
        <f t="shared" si="206"/>
        <v>826</v>
      </c>
      <c r="AE947" s="9">
        <f t="shared" si="206"/>
        <v>644</v>
      </c>
    </row>
    <row r="948" spans="2:31" x14ac:dyDescent="0.25">
      <c r="B948" s="6">
        <v>2564</v>
      </c>
      <c r="C948" s="6">
        <v>3254</v>
      </c>
      <c r="D948" s="6">
        <v>2642</v>
      </c>
      <c r="E948" s="6">
        <v>2985</v>
      </c>
      <c r="F948" s="6">
        <v>3054</v>
      </c>
      <c r="L948">
        <f t="shared" si="194"/>
        <v>-690</v>
      </c>
      <c r="M948">
        <f t="shared" si="195"/>
        <v>-78</v>
      </c>
      <c r="N948">
        <f t="shared" si="196"/>
        <v>-421</v>
      </c>
      <c r="O948">
        <f t="shared" si="197"/>
        <v>-490</v>
      </c>
      <c r="P948">
        <f t="shared" si="198"/>
        <v>612</v>
      </c>
      <c r="Q948">
        <f t="shared" si="199"/>
        <v>269</v>
      </c>
      <c r="R948">
        <f t="shared" si="200"/>
        <v>200</v>
      </c>
      <c r="S948">
        <f t="shared" si="201"/>
        <v>-343</v>
      </c>
      <c r="T948">
        <f t="shared" si="202"/>
        <v>-412</v>
      </c>
      <c r="U948">
        <f t="shared" si="203"/>
        <v>-69</v>
      </c>
      <c r="V948" s="9">
        <f t="shared" si="207"/>
        <v>690</v>
      </c>
      <c r="W948" s="9">
        <f t="shared" si="207"/>
        <v>78</v>
      </c>
      <c r="X948" s="9">
        <f t="shared" si="207"/>
        <v>421</v>
      </c>
      <c r="Y948" s="9">
        <f t="shared" si="207"/>
        <v>490</v>
      </c>
      <c r="Z948" s="9">
        <f t="shared" si="207"/>
        <v>612</v>
      </c>
      <c r="AA948" s="9">
        <f t="shared" si="206"/>
        <v>269</v>
      </c>
      <c r="AB948" s="9">
        <f t="shared" si="206"/>
        <v>200</v>
      </c>
      <c r="AC948" s="9">
        <f t="shared" si="206"/>
        <v>343</v>
      </c>
      <c r="AD948" s="9">
        <f t="shared" si="206"/>
        <v>412</v>
      </c>
      <c r="AE948" s="9">
        <f t="shared" si="206"/>
        <v>69</v>
      </c>
    </row>
    <row r="949" spans="2:31" x14ac:dyDescent="0.25">
      <c r="B949" s="6">
        <v>2764</v>
      </c>
      <c r="C949" s="6">
        <v>3698</v>
      </c>
      <c r="D949" s="6">
        <v>2781</v>
      </c>
      <c r="E949" s="6">
        <v>2648</v>
      </c>
      <c r="F949" s="6">
        <v>2954</v>
      </c>
      <c r="L949">
        <f t="shared" si="194"/>
        <v>-934</v>
      </c>
      <c r="M949">
        <f t="shared" si="195"/>
        <v>-17</v>
      </c>
      <c r="N949">
        <f t="shared" si="196"/>
        <v>116</v>
      </c>
      <c r="O949">
        <f t="shared" si="197"/>
        <v>-190</v>
      </c>
      <c r="P949">
        <f t="shared" si="198"/>
        <v>917</v>
      </c>
      <c r="Q949">
        <f t="shared" si="199"/>
        <v>1050</v>
      </c>
      <c r="R949">
        <f t="shared" si="200"/>
        <v>744</v>
      </c>
      <c r="S949">
        <f t="shared" si="201"/>
        <v>133</v>
      </c>
      <c r="T949">
        <f t="shared" si="202"/>
        <v>-173</v>
      </c>
      <c r="U949">
        <f t="shared" si="203"/>
        <v>-306</v>
      </c>
      <c r="V949" s="9">
        <f t="shared" si="207"/>
        <v>934</v>
      </c>
      <c r="W949" s="9">
        <f t="shared" si="207"/>
        <v>17</v>
      </c>
      <c r="X949" s="9">
        <f t="shared" si="207"/>
        <v>116</v>
      </c>
      <c r="Y949" s="9">
        <f t="shared" si="207"/>
        <v>190</v>
      </c>
      <c r="Z949" s="9">
        <f t="shared" si="207"/>
        <v>917</v>
      </c>
      <c r="AA949" s="9">
        <f t="shared" si="206"/>
        <v>1050</v>
      </c>
      <c r="AB949" s="9">
        <f t="shared" si="206"/>
        <v>744</v>
      </c>
      <c r="AC949" s="9">
        <f t="shared" si="206"/>
        <v>133</v>
      </c>
      <c r="AD949" s="9">
        <f t="shared" si="206"/>
        <v>173</v>
      </c>
      <c r="AE949" s="9">
        <f t="shared" si="206"/>
        <v>306</v>
      </c>
    </row>
    <row r="950" spans="2:31" x14ac:dyDescent="0.25">
      <c r="B950" s="6">
        <v>3354</v>
      </c>
      <c r="C950" s="6">
        <v>4524</v>
      </c>
      <c r="D950" s="6">
        <v>3054</v>
      </c>
      <c r="E950" s="6">
        <v>3156</v>
      </c>
      <c r="F950" s="6">
        <v>3254</v>
      </c>
      <c r="L950">
        <f t="shared" si="194"/>
        <v>-1170</v>
      </c>
      <c r="M950">
        <f t="shared" si="195"/>
        <v>300</v>
      </c>
      <c r="N950">
        <f t="shared" si="196"/>
        <v>198</v>
      </c>
      <c r="O950">
        <f t="shared" si="197"/>
        <v>100</v>
      </c>
      <c r="P950">
        <f t="shared" si="198"/>
        <v>1470</v>
      </c>
      <c r="Q950">
        <f t="shared" si="199"/>
        <v>1368</v>
      </c>
      <c r="R950">
        <f t="shared" si="200"/>
        <v>1270</v>
      </c>
      <c r="S950">
        <f t="shared" si="201"/>
        <v>-102</v>
      </c>
      <c r="T950">
        <f t="shared" si="202"/>
        <v>-200</v>
      </c>
      <c r="U950">
        <f t="shared" si="203"/>
        <v>-98</v>
      </c>
      <c r="V950" s="9">
        <f t="shared" si="207"/>
        <v>1170</v>
      </c>
      <c r="W950" s="9">
        <f t="shared" si="207"/>
        <v>300</v>
      </c>
      <c r="X950" s="9">
        <f t="shared" si="207"/>
        <v>198</v>
      </c>
      <c r="Y950" s="9">
        <f t="shared" si="207"/>
        <v>100</v>
      </c>
      <c r="Z950" s="9">
        <f t="shared" si="207"/>
        <v>1470</v>
      </c>
      <c r="AA950" s="9">
        <f t="shared" si="206"/>
        <v>1368</v>
      </c>
      <c r="AB950" s="9">
        <f t="shared" si="206"/>
        <v>1270</v>
      </c>
      <c r="AC950" s="9">
        <f t="shared" si="206"/>
        <v>102</v>
      </c>
      <c r="AD950" s="9">
        <f t="shared" si="206"/>
        <v>200</v>
      </c>
      <c r="AE950" s="9">
        <f t="shared" si="206"/>
        <v>98</v>
      </c>
    </row>
    <row r="951" spans="2:31" x14ac:dyDescent="0.25">
      <c r="B951" s="6">
        <v>3571</v>
      </c>
      <c r="C951" s="6">
        <f t="shared" si="204"/>
        <v>4557</v>
      </c>
      <c r="D951" s="6">
        <v>3058</v>
      </c>
      <c r="E951" s="6">
        <v>2984</v>
      </c>
      <c r="F951" s="6">
        <v>3054</v>
      </c>
      <c r="L951">
        <f t="shared" si="194"/>
        <v>-986</v>
      </c>
      <c r="M951">
        <f t="shared" si="195"/>
        <v>513</v>
      </c>
      <c r="N951">
        <f t="shared" si="196"/>
        <v>587</v>
      </c>
      <c r="O951">
        <f t="shared" si="197"/>
        <v>517</v>
      </c>
      <c r="P951">
        <f t="shared" si="198"/>
        <v>1499</v>
      </c>
      <c r="Q951">
        <f t="shared" si="199"/>
        <v>1573</v>
      </c>
      <c r="R951">
        <f t="shared" si="200"/>
        <v>1503</v>
      </c>
      <c r="S951">
        <f t="shared" si="201"/>
        <v>74</v>
      </c>
      <c r="T951">
        <f t="shared" si="202"/>
        <v>4</v>
      </c>
      <c r="U951">
        <f t="shared" si="203"/>
        <v>-70</v>
      </c>
      <c r="V951" s="9">
        <f t="shared" si="207"/>
        <v>986</v>
      </c>
      <c r="W951" s="9">
        <f t="shared" si="207"/>
        <v>513</v>
      </c>
      <c r="X951" s="9">
        <f t="shared" si="207"/>
        <v>587</v>
      </c>
      <c r="Y951" s="9">
        <f t="shared" si="207"/>
        <v>517</v>
      </c>
      <c r="Z951" s="9">
        <f t="shared" si="207"/>
        <v>1499</v>
      </c>
      <c r="AA951" s="9">
        <f t="shared" si="206"/>
        <v>1573</v>
      </c>
      <c r="AB951" s="9">
        <f t="shared" si="206"/>
        <v>1503</v>
      </c>
      <c r="AC951" s="9">
        <f t="shared" si="206"/>
        <v>74</v>
      </c>
      <c r="AD951" s="9">
        <f t="shared" si="206"/>
        <v>4</v>
      </c>
      <c r="AE951" s="9">
        <f t="shared" si="206"/>
        <v>70</v>
      </c>
    </row>
    <row r="952" spans="2:31" x14ac:dyDescent="0.25">
      <c r="B952" s="6">
        <v>3495</v>
      </c>
      <c r="C952" s="6">
        <v>4687</v>
      </c>
      <c r="D952" s="6">
        <v>3458</v>
      </c>
      <c r="E952" s="6">
        <v>3245</v>
      </c>
      <c r="F952" s="6">
        <v>3584</v>
      </c>
      <c r="L952">
        <f t="shared" si="194"/>
        <v>-1192</v>
      </c>
      <c r="M952">
        <f t="shared" si="195"/>
        <v>37</v>
      </c>
      <c r="N952">
        <f t="shared" si="196"/>
        <v>250</v>
      </c>
      <c r="O952">
        <f t="shared" si="197"/>
        <v>-89</v>
      </c>
      <c r="P952">
        <f t="shared" si="198"/>
        <v>1229</v>
      </c>
      <c r="Q952">
        <f t="shared" si="199"/>
        <v>1442</v>
      </c>
      <c r="R952">
        <f t="shared" si="200"/>
        <v>1103</v>
      </c>
      <c r="S952">
        <f t="shared" si="201"/>
        <v>213</v>
      </c>
      <c r="T952">
        <f t="shared" si="202"/>
        <v>-126</v>
      </c>
      <c r="U952">
        <f t="shared" si="203"/>
        <v>-339</v>
      </c>
      <c r="V952" s="9">
        <f t="shared" si="207"/>
        <v>1192</v>
      </c>
      <c r="W952" s="9">
        <f t="shared" si="207"/>
        <v>37</v>
      </c>
      <c r="X952" s="9">
        <f t="shared" si="207"/>
        <v>250</v>
      </c>
      <c r="Y952" s="9">
        <f t="shared" si="207"/>
        <v>89</v>
      </c>
      <c r="Z952" s="9">
        <f t="shared" si="207"/>
        <v>1229</v>
      </c>
      <c r="AA952" s="9">
        <f t="shared" si="206"/>
        <v>1442</v>
      </c>
      <c r="AB952" s="9">
        <f t="shared" si="206"/>
        <v>1103</v>
      </c>
      <c r="AC952" s="9">
        <f t="shared" si="206"/>
        <v>213</v>
      </c>
      <c r="AD952" s="9">
        <f t="shared" si="206"/>
        <v>126</v>
      </c>
      <c r="AE952" s="9">
        <f t="shared" si="206"/>
        <v>339</v>
      </c>
    </row>
    <row r="953" spans="2:31" x14ac:dyDescent="0.25">
      <c r="B953" s="6">
        <v>3245</v>
      </c>
      <c r="C953" s="6">
        <v>3264</v>
      </c>
      <c r="D953" s="6">
        <v>3052</v>
      </c>
      <c r="E953" s="6">
        <v>3054</v>
      </c>
      <c r="F953" s="6">
        <v>3685</v>
      </c>
      <c r="L953">
        <f t="shared" si="194"/>
        <v>-19</v>
      </c>
      <c r="M953">
        <f t="shared" si="195"/>
        <v>193</v>
      </c>
      <c r="N953">
        <f t="shared" si="196"/>
        <v>191</v>
      </c>
      <c r="O953">
        <f t="shared" si="197"/>
        <v>-440</v>
      </c>
      <c r="P953">
        <f t="shared" si="198"/>
        <v>212</v>
      </c>
      <c r="Q953">
        <f t="shared" si="199"/>
        <v>210</v>
      </c>
      <c r="R953">
        <f t="shared" si="200"/>
        <v>-421</v>
      </c>
      <c r="S953">
        <f t="shared" si="201"/>
        <v>-2</v>
      </c>
      <c r="T953">
        <f t="shared" si="202"/>
        <v>-633</v>
      </c>
      <c r="U953">
        <f t="shared" si="203"/>
        <v>-631</v>
      </c>
      <c r="V953" s="9">
        <f t="shared" si="207"/>
        <v>19</v>
      </c>
      <c r="W953" s="9">
        <f t="shared" si="207"/>
        <v>193</v>
      </c>
      <c r="X953" s="9">
        <f t="shared" si="207"/>
        <v>191</v>
      </c>
      <c r="Y953" s="9">
        <f t="shared" si="207"/>
        <v>440</v>
      </c>
      <c r="Z953" s="9">
        <f t="shared" si="207"/>
        <v>212</v>
      </c>
      <c r="AA953" s="9">
        <f t="shared" si="206"/>
        <v>210</v>
      </c>
      <c r="AB953" s="9">
        <f t="shared" si="206"/>
        <v>421</v>
      </c>
      <c r="AC953" s="9">
        <f t="shared" si="206"/>
        <v>2</v>
      </c>
      <c r="AD953" s="9">
        <f t="shared" si="206"/>
        <v>633</v>
      </c>
      <c r="AE953" s="9">
        <f t="shared" si="206"/>
        <v>631</v>
      </c>
    </row>
    <row r="954" spans="2:31" x14ac:dyDescent="0.25">
      <c r="B954" s="6">
        <v>2854</v>
      </c>
      <c r="C954" s="6">
        <v>3355</v>
      </c>
      <c r="D954" s="6">
        <v>2775</v>
      </c>
      <c r="E954" s="6">
        <v>2754</v>
      </c>
      <c r="F954" s="6">
        <v>2785</v>
      </c>
      <c r="L954">
        <f t="shared" si="194"/>
        <v>-501</v>
      </c>
      <c r="M954">
        <f t="shared" si="195"/>
        <v>79</v>
      </c>
      <c r="N954">
        <f t="shared" si="196"/>
        <v>100</v>
      </c>
      <c r="O954">
        <f t="shared" si="197"/>
        <v>69</v>
      </c>
      <c r="P954">
        <f t="shared" si="198"/>
        <v>580</v>
      </c>
      <c r="Q954">
        <f t="shared" si="199"/>
        <v>601</v>
      </c>
      <c r="R954">
        <f t="shared" si="200"/>
        <v>570</v>
      </c>
      <c r="S954">
        <f t="shared" si="201"/>
        <v>21</v>
      </c>
      <c r="T954">
        <f t="shared" si="202"/>
        <v>-10</v>
      </c>
      <c r="U954">
        <f t="shared" si="203"/>
        <v>-31</v>
      </c>
      <c r="V954" s="9">
        <f t="shared" si="207"/>
        <v>501</v>
      </c>
      <c r="W954" s="9">
        <f t="shared" si="207"/>
        <v>79</v>
      </c>
      <c r="X954" s="9">
        <f t="shared" si="207"/>
        <v>100</v>
      </c>
      <c r="Y954" s="9">
        <f t="shared" si="207"/>
        <v>69</v>
      </c>
      <c r="Z954" s="9">
        <f t="shared" si="207"/>
        <v>580</v>
      </c>
      <c r="AA954" s="9">
        <f t="shared" si="206"/>
        <v>601</v>
      </c>
      <c r="AB954" s="9">
        <f t="shared" si="206"/>
        <v>570</v>
      </c>
      <c r="AC954" s="9">
        <f t="shared" si="206"/>
        <v>21</v>
      </c>
      <c r="AD954" s="9">
        <f t="shared" si="206"/>
        <v>10</v>
      </c>
      <c r="AE954" s="9">
        <f t="shared" si="206"/>
        <v>31</v>
      </c>
    </row>
    <row r="955" spans="2:31" x14ac:dyDescent="0.25">
      <c r="B955" s="6">
        <v>2647</v>
      </c>
      <c r="C955" s="6">
        <v>3957</v>
      </c>
      <c r="D955" s="6">
        <v>2652</v>
      </c>
      <c r="E955" s="6">
        <v>2647</v>
      </c>
      <c r="F955" s="6">
        <v>2985</v>
      </c>
      <c r="L955">
        <f t="shared" si="194"/>
        <v>-1310</v>
      </c>
      <c r="M955">
        <f t="shared" si="195"/>
        <v>-5</v>
      </c>
      <c r="N955">
        <f t="shared" si="196"/>
        <v>0</v>
      </c>
      <c r="O955">
        <f t="shared" si="197"/>
        <v>-338</v>
      </c>
      <c r="P955">
        <f t="shared" si="198"/>
        <v>1305</v>
      </c>
      <c r="Q955">
        <f t="shared" si="199"/>
        <v>1310</v>
      </c>
      <c r="R955">
        <f t="shared" si="200"/>
        <v>972</v>
      </c>
      <c r="S955">
        <f t="shared" si="201"/>
        <v>5</v>
      </c>
      <c r="T955">
        <f t="shared" si="202"/>
        <v>-333</v>
      </c>
      <c r="U955">
        <f t="shared" si="203"/>
        <v>-338</v>
      </c>
      <c r="V955" s="9">
        <f t="shared" si="207"/>
        <v>1310</v>
      </c>
      <c r="W955" s="9">
        <f t="shared" si="207"/>
        <v>5</v>
      </c>
      <c r="X955" s="9">
        <f t="shared" si="207"/>
        <v>0</v>
      </c>
      <c r="Y955" s="9">
        <f t="shared" si="207"/>
        <v>338</v>
      </c>
      <c r="Z955" s="9">
        <f t="shared" si="207"/>
        <v>1305</v>
      </c>
      <c r="AA955" s="9">
        <f t="shared" si="206"/>
        <v>1310</v>
      </c>
      <c r="AB955" s="9">
        <f t="shared" si="206"/>
        <v>972</v>
      </c>
      <c r="AC955" s="9">
        <f t="shared" si="206"/>
        <v>5</v>
      </c>
      <c r="AD955" s="9">
        <f t="shared" si="206"/>
        <v>333</v>
      </c>
      <c r="AE955" s="9">
        <f t="shared" si="206"/>
        <v>338</v>
      </c>
    </row>
    <row r="956" spans="2:31" x14ac:dyDescent="0.25">
      <c r="B956" s="6">
        <v>1487</v>
      </c>
      <c r="C956" s="6">
        <f t="shared" si="204"/>
        <v>2473</v>
      </c>
      <c r="D956" s="6">
        <v>1528</v>
      </c>
      <c r="E956" s="6">
        <v>2754</v>
      </c>
      <c r="F956" s="6">
        <v>2985</v>
      </c>
      <c r="L956">
        <f t="shared" si="194"/>
        <v>-986</v>
      </c>
      <c r="M956">
        <f t="shared" si="195"/>
        <v>-41</v>
      </c>
      <c r="N956">
        <f t="shared" si="196"/>
        <v>-1267</v>
      </c>
      <c r="O956">
        <f t="shared" si="197"/>
        <v>-1498</v>
      </c>
      <c r="P956">
        <f t="shared" si="198"/>
        <v>945</v>
      </c>
      <c r="Q956">
        <f t="shared" si="199"/>
        <v>-281</v>
      </c>
      <c r="R956">
        <f t="shared" si="200"/>
        <v>-512</v>
      </c>
      <c r="S956">
        <f t="shared" si="201"/>
        <v>-1226</v>
      </c>
      <c r="T956">
        <f t="shared" si="202"/>
        <v>-1457</v>
      </c>
      <c r="U956">
        <f t="shared" si="203"/>
        <v>-231</v>
      </c>
      <c r="V956" s="9">
        <f t="shared" si="207"/>
        <v>986</v>
      </c>
      <c r="W956" s="9">
        <f t="shared" si="207"/>
        <v>41</v>
      </c>
      <c r="X956" s="9">
        <f t="shared" si="207"/>
        <v>1267</v>
      </c>
      <c r="Y956" s="9">
        <f t="shared" si="207"/>
        <v>1498</v>
      </c>
      <c r="Z956" s="9">
        <f t="shared" si="207"/>
        <v>945</v>
      </c>
      <c r="AA956" s="9">
        <f t="shared" si="206"/>
        <v>281</v>
      </c>
      <c r="AB956" s="9">
        <f t="shared" si="206"/>
        <v>512</v>
      </c>
      <c r="AC956" s="9">
        <f t="shared" si="206"/>
        <v>1226</v>
      </c>
      <c r="AD956" s="9">
        <f t="shared" si="206"/>
        <v>1457</v>
      </c>
      <c r="AE956" s="9">
        <f t="shared" si="206"/>
        <v>231</v>
      </c>
    </row>
    <row r="957" spans="2:31" x14ac:dyDescent="0.25">
      <c r="B957" s="6">
        <v>1364</v>
      </c>
      <c r="C957" s="6">
        <v>2647</v>
      </c>
      <c r="D957" s="6">
        <v>1364</v>
      </c>
      <c r="E957" s="6">
        <v>2454</v>
      </c>
      <c r="F957" s="6">
        <v>3014</v>
      </c>
      <c r="L957">
        <f t="shared" si="194"/>
        <v>-1283</v>
      </c>
      <c r="M957">
        <f t="shared" si="195"/>
        <v>0</v>
      </c>
      <c r="N957">
        <f t="shared" si="196"/>
        <v>-1090</v>
      </c>
      <c r="O957">
        <f t="shared" si="197"/>
        <v>-1650</v>
      </c>
      <c r="P957">
        <f t="shared" si="198"/>
        <v>1283</v>
      </c>
      <c r="Q957">
        <f t="shared" si="199"/>
        <v>193</v>
      </c>
      <c r="R957">
        <f t="shared" si="200"/>
        <v>-367</v>
      </c>
      <c r="S957">
        <f t="shared" si="201"/>
        <v>-1090</v>
      </c>
      <c r="T957">
        <f t="shared" si="202"/>
        <v>-1650</v>
      </c>
      <c r="U957">
        <f t="shared" si="203"/>
        <v>-560</v>
      </c>
      <c r="V957" s="9">
        <f t="shared" si="207"/>
        <v>1283</v>
      </c>
      <c r="W957" s="9">
        <f t="shared" si="207"/>
        <v>0</v>
      </c>
      <c r="X957" s="9">
        <f t="shared" si="207"/>
        <v>1090</v>
      </c>
      <c r="Y957" s="9">
        <f t="shared" si="207"/>
        <v>1650</v>
      </c>
      <c r="Z957" s="9">
        <f t="shared" si="207"/>
        <v>1283</v>
      </c>
      <c r="AA957" s="9">
        <f t="shared" si="206"/>
        <v>193</v>
      </c>
      <c r="AB957" s="9">
        <f t="shared" si="206"/>
        <v>367</v>
      </c>
      <c r="AC957" s="9">
        <f t="shared" si="206"/>
        <v>1090</v>
      </c>
      <c r="AD957" s="9">
        <f t="shared" si="206"/>
        <v>1650</v>
      </c>
      <c r="AE957" s="9">
        <f t="shared" si="206"/>
        <v>560</v>
      </c>
    </row>
    <row r="958" spans="2:31" x14ac:dyDescent="0.25">
      <c r="B958" s="6">
        <v>3456</v>
      </c>
      <c r="C958" s="6">
        <v>3442</v>
      </c>
      <c r="D958" s="6">
        <v>3542</v>
      </c>
      <c r="E958" s="6">
        <v>3546</v>
      </c>
      <c r="F958" s="6">
        <v>3782</v>
      </c>
      <c r="L958">
        <f t="shared" si="194"/>
        <v>14</v>
      </c>
      <c r="M958">
        <f t="shared" si="195"/>
        <v>-86</v>
      </c>
      <c r="N958">
        <f t="shared" si="196"/>
        <v>-90</v>
      </c>
      <c r="O958">
        <f t="shared" si="197"/>
        <v>-326</v>
      </c>
      <c r="P958">
        <f t="shared" si="198"/>
        <v>-100</v>
      </c>
      <c r="Q958">
        <f t="shared" si="199"/>
        <v>-104</v>
      </c>
      <c r="R958">
        <f t="shared" si="200"/>
        <v>-340</v>
      </c>
      <c r="S958">
        <f t="shared" si="201"/>
        <v>-4</v>
      </c>
      <c r="T958">
        <f t="shared" si="202"/>
        <v>-240</v>
      </c>
      <c r="U958">
        <f t="shared" si="203"/>
        <v>-236</v>
      </c>
      <c r="V958" s="9">
        <f t="shared" si="207"/>
        <v>14</v>
      </c>
      <c r="W958" s="9">
        <f t="shared" si="207"/>
        <v>86</v>
      </c>
      <c r="X958" s="9">
        <f t="shared" si="207"/>
        <v>90</v>
      </c>
      <c r="Y958" s="9">
        <f t="shared" si="207"/>
        <v>326</v>
      </c>
      <c r="Z958" s="9">
        <f t="shared" si="207"/>
        <v>100</v>
      </c>
      <c r="AA958" s="9">
        <f t="shared" si="206"/>
        <v>104</v>
      </c>
      <c r="AB958" s="9">
        <f t="shared" si="206"/>
        <v>340</v>
      </c>
      <c r="AC958" s="9">
        <f t="shared" si="206"/>
        <v>4</v>
      </c>
      <c r="AD958" s="9">
        <f t="shared" si="206"/>
        <v>240</v>
      </c>
      <c r="AE958" s="9">
        <f t="shared" si="206"/>
        <v>236</v>
      </c>
    </row>
    <row r="959" spans="2:31" x14ac:dyDescent="0.25">
      <c r="B959" s="6">
        <v>2567</v>
      </c>
      <c r="C959" s="6">
        <f t="shared" si="204"/>
        <v>3553</v>
      </c>
      <c r="D959" s="6">
        <v>2648</v>
      </c>
      <c r="E959" s="6">
        <v>2454</v>
      </c>
      <c r="F959" s="6">
        <v>2642</v>
      </c>
      <c r="L959">
        <f t="shared" si="194"/>
        <v>-986</v>
      </c>
      <c r="M959">
        <f t="shared" si="195"/>
        <v>-81</v>
      </c>
      <c r="N959">
        <f t="shared" si="196"/>
        <v>113</v>
      </c>
      <c r="O959">
        <f t="shared" si="197"/>
        <v>-75</v>
      </c>
      <c r="P959">
        <f t="shared" si="198"/>
        <v>905</v>
      </c>
      <c r="Q959">
        <f t="shared" si="199"/>
        <v>1099</v>
      </c>
      <c r="R959">
        <f t="shared" si="200"/>
        <v>911</v>
      </c>
      <c r="S959">
        <f t="shared" si="201"/>
        <v>194</v>
      </c>
      <c r="T959">
        <f t="shared" si="202"/>
        <v>6</v>
      </c>
      <c r="U959">
        <f t="shared" si="203"/>
        <v>-188</v>
      </c>
      <c r="V959" s="9">
        <f t="shared" si="207"/>
        <v>986</v>
      </c>
      <c r="W959" s="9">
        <f t="shared" si="207"/>
        <v>81</v>
      </c>
      <c r="X959" s="9">
        <f t="shared" si="207"/>
        <v>113</v>
      </c>
      <c r="Y959" s="9">
        <f t="shared" si="207"/>
        <v>75</v>
      </c>
      <c r="Z959" s="9">
        <f t="shared" si="207"/>
        <v>905</v>
      </c>
      <c r="AA959" s="9">
        <f t="shared" si="206"/>
        <v>1099</v>
      </c>
      <c r="AB959" s="9">
        <f t="shared" si="206"/>
        <v>911</v>
      </c>
      <c r="AC959" s="9">
        <f t="shared" si="206"/>
        <v>194</v>
      </c>
      <c r="AD959" s="9">
        <f t="shared" si="206"/>
        <v>6</v>
      </c>
      <c r="AE959" s="9">
        <f t="shared" si="206"/>
        <v>188</v>
      </c>
    </row>
    <row r="960" spans="2:31" x14ac:dyDescent="0.25">
      <c r="B960" s="6">
        <v>2298</v>
      </c>
      <c r="C960" s="6">
        <v>2648</v>
      </c>
      <c r="D960" s="6">
        <v>2485</v>
      </c>
      <c r="E960" s="6">
        <v>2548</v>
      </c>
      <c r="F960" s="6">
        <v>2985</v>
      </c>
      <c r="L960">
        <f t="shared" si="194"/>
        <v>-350</v>
      </c>
      <c r="M960">
        <f t="shared" si="195"/>
        <v>-187</v>
      </c>
      <c r="N960">
        <f t="shared" si="196"/>
        <v>-250</v>
      </c>
      <c r="O960">
        <f t="shared" si="197"/>
        <v>-687</v>
      </c>
      <c r="P960">
        <f t="shared" si="198"/>
        <v>163</v>
      </c>
      <c r="Q960">
        <f t="shared" si="199"/>
        <v>100</v>
      </c>
      <c r="R960">
        <f t="shared" si="200"/>
        <v>-337</v>
      </c>
      <c r="S960">
        <f t="shared" si="201"/>
        <v>-63</v>
      </c>
      <c r="T960">
        <f t="shared" si="202"/>
        <v>-500</v>
      </c>
      <c r="U960">
        <f t="shared" si="203"/>
        <v>-437</v>
      </c>
      <c r="V960" s="9">
        <f t="shared" si="207"/>
        <v>350</v>
      </c>
      <c r="W960" s="9">
        <f t="shared" si="207"/>
        <v>187</v>
      </c>
      <c r="X960" s="9">
        <f t="shared" si="207"/>
        <v>250</v>
      </c>
      <c r="Y960" s="9">
        <f t="shared" si="207"/>
        <v>687</v>
      </c>
      <c r="Z960" s="9">
        <f t="shared" si="207"/>
        <v>163</v>
      </c>
      <c r="AA960" s="9">
        <f t="shared" si="206"/>
        <v>100</v>
      </c>
      <c r="AB960" s="9">
        <f t="shared" si="206"/>
        <v>337</v>
      </c>
      <c r="AC960" s="9">
        <f t="shared" si="206"/>
        <v>63</v>
      </c>
      <c r="AD960" s="9">
        <f t="shared" si="206"/>
        <v>500</v>
      </c>
      <c r="AE960" s="9">
        <f t="shared" si="206"/>
        <v>437</v>
      </c>
    </row>
    <row r="961" spans="2:31" x14ac:dyDescent="0.25">
      <c r="B961" s="7">
        <v>2529</v>
      </c>
      <c r="C961" s="7">
        <v>2659</v>
      </c>
      <c r="D961" s="6">
        <v>2231</v>
      </c>
      <c r="E961" s="7">
        <v>2473</v>
      </c>
      <c r="F961" s="7">
        <v>2571</v>
      </c>
      <c r="L961">
        <f t="shared" ref="L961:L1024" si="208">B961-C961</f>
        <v>-130</v>
      </c>
      <c r="M961">
        <f t="shared" ref="M961:M1024" si="209">B961-D961</f>
        <v>298</v>
      </c>
      <c r="N961">
        <f t="shared" ref="N961:N1024" si="210">B961-E961</f>
        <v>56</v>
      </c>
      <c r="O961">
        <f t="shared" ref="O961:O1024" si="211">B961-F961</f>
        <v>-42</v>
      </c>
      <c r="P961">
        <f t="shared" ref="P961:P1024" si="212">C961-D961</f>
        <v>428</v>
      </c>
      <c r="Q961">
        <f t="shared" ref="Q961:Q1024" si="213">C961-E961</f>
        <v>186</v>
      </c>
      <c r="R961">
        <f t="shared" ref="R961:R1024" si="214">C961-F961</f>
        <v>88</v>
      </c>
      <c r="S961">
        <f t="shared" ref="S961:S1024" si="215">D961-E961</f>
        <v>-242</v>
      </c>
      <c r="T961">
        <f t="shared" ref="T961:T1024" si="216">D961-F961</f>
        <v>-340</v>
      </c>
      <c r="U961">
        <f t="shared" ref="U961:U1024" si="217">E961-F961</f>
        <v>-98</v>
      </c>
      <c r="V961" s="9">
        <f t="shared" si="207"/>
        <v>130</v>
      </c>
      <c r="W961" s="9">
        <f t="shared" si="207"/>
        <v>298</v>
      </c>
      <c r="X961" s="9">
        <f t="shared" si="207"/>
        <v>56</v>
      </c>
      <c r="Y961" s="9">
        <f t="shared" si="207"/>
        <v>42</v>
      </c>
      <c r="Z961" s="9">
        <f t="shared" si="207"/>
        <v>428</v>
      </c>
      <c r="AA961" s="9">
        <f t="shared" si="206"/>
        <v>186</v>
      </c>
      <c r="AB961" s="9">
        <f t="shared" si="206"/>
        <v>88</v>
      </c>
      <c r="AC961" s="9">
        <f t="shared" si="206"/>
        <v>242</v>
      </c>
      <c r="AD961" s="9">
        <f t="shared" si="206"/>
        <v>340</v>
      </c>
      <c r="AE961" s="9">
        <f t="shared" si="206"/>
        <v>98</v>
      </c>
    </row>
    <row r="962" spans="2:31" x14ac:dyDescent="0.25">
      <c r="B962" s="6">
        <v>2630</v>
      </c>
      <c r="C962" s="6">
        <f>B962+86</f>
        <v>2716</v>
      </c>
      <c r="D962" s="6">
        <f>C962-400</f>
        <v>2316</v>
      </c>
      <c r="E962" s="6">
        <f>D962+133</f>
        <v>2449</v>
      </c>
      <c r="F962" s="6">
        <f>E962+73</f>
        <v>2522</v>
      </c>
      <c r="L962">
        <f t="shared" si="208"/>
        <v>-86</v>
      </c>
      <c r="M962">
        <f t="shared" si="209"/>
        <v>314</v>
      </c>
      <c r="N962">
        <f t="shared" si="210"/>
        <v>181</v>
      </c>
      <c r="O962">
        <f t="shared" si="211"/>
        <v>108</v>
      </c>
      <c r="P962">
        <f t="shared" si="212"/>
        <v>400</v>
      </c>
      <c r="Q962">
        <f t="shared" si="213"/>
        <v>267</v>
      </c>
      <c r="R962">
        <f t="shared" si="214"/>
        <v>194</v>
      </c>
      <c r="S962">
        <f t="shared" si="215"/>
        <v>-133</v>
      </c>
      <c r="T962">
        <f t="shared" si="216"/>
        <v>-206</v>
      </c>
      <c r="U962">
        <f t="shared" si="217"/>
        <v>-73</v>
      </c>
      <c r="V962" s="9">
        <f t="shared" si="207"/>
        <v>86</v>
      </c>
      <c r="W962" s="9">
        <f t="shared" si="207"/>
        <v>314</v>
      </c>
      <c r="X962" s="9">
        <f t="shared" si="207"/>
        <v>181</v>
      </c>
      <c r="Y962" s="9">
        <f t="shared" si="207"/>
        <v>108</v>
      </c>
      <c r="Z962" s="9">
        <f t="shared" si="207"/>
        <v>400</v>
      </c>
      <c r="AA962" s="9">
        <f t="shared" si="206"/>
        <v>267</v>
      </c>
      <c r="AB962" s="9">
        <f t="shared" si="206"/>
        <v>194</v>
      </c>
      <c r="AC962" s="9">
        <f t="shared" si="206"/>
        <v>133</v>
      </c>
      <c r="AD962" s="9">
        <f t="shared" si="206"/>
        <v>206</v>
      </c>
      <c r="AE962" s="9">
        <f t="shared" si="206"/>
        <v>73</v>
      </c>
    </row>
    <row r="963" spans="2:31" x14ac:dyDescent="0.25">
      <c r="B963" s="6">
        <v>3297</v>
      </c>
      <c r="C963" s="6">
        <f t="shared" ref="C963:C1020" si="218">B963+86</f>
        <v>3383</v>
      </c>
      <c r="D963" s="6">
        <v>3678</v>
      </c>
      <c r="E963" s="6">
        <f t="shared" ref="E963:E1019" si="219">D963+133</f>
        <v>3811</v>
      </c>
      <c r="F963" s="6">
        <f t="shared" ref="F963:F1018" si="220">E963+73</f>
        <v>3884</v>
      </c>
      <c r="L963">
        <f t="shared" si="208"/>
        <v>-86</v>
      </c>
      <c r="M963">
        <f t="shared" si="209"/>
        <v>-381</v>
      </c>
      <c r="N963">
        <f t="shared" si="210"/>
        <v>-514</v>
      </c>
      <c r="O963">
        <f t="shared" si="211"/>
        <v>-587</v>
      </c>
      <c r="P963">
        <f t="shared" si="212"/>
        <v>-295</v>
      </c>
      <c r="Q963">
        <f t="shared" si="213"/>
        <v>-428</v>
      </c>
      <c r="R963">
        <f t="shared" si="214"/>
        <v>-501</v>
      </c>
      <c r="S963">
        <f t="shared" si="215"/>
        <v>-133</v>
      </c>
      <c r="T963">
        <f t="shared" si="216"/>
        <v>-206</v>
      </c>
      <c r="U963">
        <f t="shared" si="217"/>
        <v>-73</v>
      </c>
      <c r="V963" s="9">
        <f t="shared" si="207"/>
        <v>86</v>
      </c>
      <c r="W963" s="9">
        <f t="shared" si="207"/>
        <v>381</v>
      </c>
      <c r="X963" s="9">
        <f t="shared" si="207"/>
        <v>514</v>
      </c>
      <c r="Y963" s="9">
        <f t="shared" si="207"/>
        <v>587</v>
      </c>
      <c r="Z963" s="9">
        <f t="shared" si="207"/>
        <v>295</v>
      </c>
      <c r="AA963" s="9">
        <f t="shared" si="206"/>
        <v>428</v>
      </c>
      <c r="AB963" s="9">
        <f t="shared" si="206"/>
        <v>501</v>
      </c>
      <c r="AC963" s="9">
        <f t="shared" si="206"/>
        <v>133</v>
      </c>
      <c r="AD963" s="9">
        <f t="shared" si="206"/>
        <v>206</v>
      </c>
      <c r="AE963" s="9">
        <f t="shared" si="206"/>
        <v>73</v>
      </c>
    </row>
    <row r="964" spans="2:31" x14ac:dyDescent="0.25">
      <c r="B964" s="6">
        <v>2664</v>
      </c>
      <c r="C964" s="6">
        <v>2648</v>
      </c>
      <c r="D964" s="6">
        <v>3056</v>
      </c>
      <c r="E964" s="6">
        <v>3325</v>
      </c>
      <c r="F964" s="6">
        <v>3564</v>
      </c>
      <c r="L964">
        <f t="shared" si="208"/>
        <v>16</v>
      </c>
      <c r="M964">
        <f t="shared" si="209"/>
        <v>-392</v>
      </c>
      <c r="N964">
        <f t="shared" si="210"/>
        <v>-661</v>
      </c>
      <c r="O964">
        <f t="shared" si="211"/>
        <v>-900</v>
      </c>
      <c r="P964">
        <f t="shared" si="212"/>
        <v>-408</v>
      </c>
      <c r="Q964">
        <f t="shared" si="213"/>
        <v>-677</v>
      </c>
      <c r="R964">
        <f t="shared" si="214"/>
        <v>-916</v>
      </c>
      <c r="S964">
        <f t="shared" si="215"/>
        <v>-269</v>
      </c>
      <c r="T964">
        <f t="shared" si="216"/>
        <v>-508</v>
      </c>
      <c r="U964">
        <f t="shared" si="217"/>
        <v>-239</v>
      </c>
      <c r="V964" s="9">
        <f t="shared" si="207"/>
        <v>16</v>
      </c>
      <c r="W964" s="9">
        <f t="shared" si="207"/>
        <v>392</v>
      </c>
      <c r="X964" s="9">
        <f t="shared" si="207"/>
        <v>661</v>
      </c>
      <c r="Y964" s="9">
        <f t="shared" si="207"/>
        <v>900</v>
      </c>
      <c r="Z964" s="9">
        <f t="shared" si="207"/>
        <v>408</v>
      </c>
      <c r="AA964" s="9">
        <f t="shared" si="206"/>
        <v>677</v>
      </c>
      <c r="AB964" s="9">
        <f t="shared" si="206"/>
        <v>916</v>
      </c>
      <c r="AC964" s="9">
        <f t="shared" si="206"/>
        <v>269</v>
      </c>
      <c r="AD964" s="9">
        <f t="shared" si="206"/>
        <v>508</v>
      </c>
      <c r="AE964" s="9">
        <f t="shared" si="206"/>
        <v>239</v>
      </c>
    </row>
    <row r="965" spans="2:31" x14ac:dyDescent="0.25">
      <c r="B965" s="6">
        <v>3526</v>
      </c>
      <c r="C965" s="6">
        <f t="shared" si="218"/>
        <v>3612</v>
      </c>
      <c r="D965" s="6">
        <f t="shared" ref="D965:D1017" si="221">C965-400</f>
        <v>3212</v>
      </c>
      <c r="E965" s="6">
        <f t="shared" si="219"/>
        <v>3345</v>
      </c>
      <c r="F965" s="6">
        <f t="shared" si="220"/>
        <v>3418</v>
      </c>
      <c r="L965">
        <f t="shared" si="208"/>
        <v>-86</v>
      </c>
      <c r="M965">
        <f t="shared" si="209"/>
        <v>314</v>
      </c>
      <c r="N965">
        <f t="shared" si="210"/>
        <v>181</v>
      </c>
      <c r="O965">
        <f t="shared" si="211"/>
        <v>108</v>
      </c>
      <c r="P965">
        <f t="shared" si="212"/>
        <v>400</v>
      </c>
      <c r="Q965">
        <f t="shared" si="213"/>
        <v>267</v>
      </c>
      <c r="R965">
        <f t="shared" si="214"/>
        <v>194</v>
      </c>
      <c r="S965">
        <f t="shared" si="215"/>
        <v>-133</v>
      </c>
      <c r="T965">
        <f t="shared" si="216"/>
        <v>-206</v>
      </c>
      <c r="U965">
        <f t="shared" si="217"/>
        <v>-73</v>
      </c>
      <c r="V965" s="9">
        <f t="shared" si="207"/>
        <v>86</v>
      </c>
      <c r="W965" s="9">
        <f t="shared" si="207"/>
        <v>314</v>
      </c>
      <c r="X965" s="9">
        <f t="shared" si="207"/>
        <v>181</v>
      </c>
      <c r="Y965" s="9">
        <f t="shared" si="207"/>
        <v>108</v>
      </c>
      <c r="Z965" s="9">
        <f t="shared" si="207"/>
        <v>400</v>
      </c>
      <c r="AA965" s="9">
        <f t="shared" si="206"/>
        <v>267</v>
      </c>
      <c r="AB965" s="9">
        <f t="shared" si="206"/>
        <v>194</v>
      </c>
      <c r="AC965" s="9">
        <f t="shared" si="206"/>
        <v>133</v>
      </c>
      <c r="AD965" s="9">
        <f t="shared" si="206"/>
        <v>206</v>
      </c>
      <c r="AE965" s="9">
        <f t="shared" si="206"/>
        <v>73</v>
      </c>
    </row>
    <row r="966" spans="2:31" x14ac:dyDescent="0.25">
      <c r="B966" s="6">
        <v>2473</v>
      </c>
      <c r="C966" s="6">
        <f t="shared" si="218"/>
        <v>2559</v>
      </c>
      <c r="D966" s="6">
        <f t="shared" si="221"/>
        <v>2159</v>
      </c>
      <c r="E966" s="6">
        <f t="shared" si="219"/>
        <v>2292</v>
      </c>
      <c r="F966" s="6">
        <f t="shared" si="220"/>
        <v>2365</v>
      </c>
      <c r="L966">
        <f t="shared" si="208"/>
        <v>-86</v>
      </c>
      <c r="M966">
        <f t="shared" si="209"/>
        <v>314</v>
      </c>
      <c r="N966">
        <f t="shared" si="210"/>
        <v>181</v>
      </c>
      <c r="O966">
        <f t="shared" si="211"/>
        <v>108</v>
      </c>
      <c r="P966">
        <f t="shared" si="212"/>
        <v>400</v>
      </c>
      <c r="Q966">
        <f t="shared" si="213"/>
        <v>267</v>
      </c>
      <c r="R966">
        <f t="shared" si="214"/>
        <v>194</v>
      </c>
      <c r="S966">
        <f t="shared" si="215"/>
        <v>-133</v>
      </c>
      <c r="T966">
        <f t="shared" si="216"/>
        <v>-206</v>
      </c>
      <c r="U966">
        <f t="shared" si="217"/>
        <v>-73</v>
      </c>
      <c r="V966" s="9">
        <f t="shared" si="207"/>
        <v>86</v>
      </c>
      <c r="W966" s="9">
        <f t="shared" si="207"/>
        <v>314</v>
      </c>
      <c r="X966" s="9">
        <f t="shared" si="207"/>
        <v>181</v>
      </c>
      <c r="Y966" s="9">
        <f t="shared" si="207"/>
        <v>108</v>
      </c>
      <c r="Z966" s="9">
        <f t="shared" si="207"/>
        <v>400</v>
      </c>
      <c r="AA966" s="9">
        <f t="shared" si="206"/>
        <v>267</v>
      </c>
      <c r="AB966" s="9">
        <f t="shared" si="206"/>
        <v>194</v>
      </c>
      <c r="AC966" s="9">
        <f t="shared" si="206"/>
        <v>133</v>
      </c>
      <c r="AD966" s="9">
        <f t="shared" si="206"/>
        <v>206</v>
      </c>
      <c r="AE966" s="9">
        <f t="shared" si="206"/>
        <v>73</v>
      </c>
    </row>
    <row r="967" spans="2:31" x14ac:dyDescent="0.25">
      <c r="B967" s="6">
        <v>268</v>
      </c>
      <c r="C967" s="6">
        <f t="shared" si="218"/>
        <v>354</v>
      </c>
      <c r="D967" s="6">
        <v>344</v>
      </c>
      <c r="E967" s="6">
        <v>245</v>
      </c>
      <c r="F967" s="6">
        <v>452</v>
      </c>
      <c r="L967">
        <f t="shared" si="208"/>
        <v>-86</v>
      </c>
      <c r="M967">
        <f t="shared" si="209"/>
        <v>-76</v>
      </c>
      <c r="N967">
        <f t="shared" si="210"/>
        <v>23</v>
      </c>
      <c r="O967">
        <f t="shared" si="211"/>
        <v>-184</v>
      </c>
      <c r="P967">
        <f t="shared" si="212"/>
        <v>10</v>
      </c>
      <c r="Q967">
        <f t="shared" si="213"/>
        <v>109</v>
      </c>
      <c r="R967">
        <f t="shared" si="214"/>
        <v>-98</v>
      </c>
      <c r="S967">
        <f t="shared" si="215"/>
        <v>99</v>
      </c>
      <c r="T967">
        <f t="shared" si="216"/>
        <v>-108</v>
      </c>
      <c r="U967">
        <f t="shared" si="217"/>
        <v>-207</v>
      </c>
      <c r="V967" s="9">
        <f t="shared" si="207"/>
        <v>86</v>
      </c>
      <c r="W967" s="9">
        <f t="shared" si="207"/>
        <v>76</v>
      </c>
      <c r="X967" s="9">
        <f t="shared" si="207"/>
        <v>23</v>
      </c>
      <c r="Y967" s="9">
        <f t="shared" si="207"/>
        <v>184</v>
      </c>
      <c r="Z967" s="9">
        <f t="shared" si="207"/>
        <v>10</v>
      </c>
      <c r="AA967" s="9">
        <f t="shared" si="206"/>
        <v>109</v>
      </c>
      <c r="AB967" s="9">
        <f t="shared" si="206"/>
        <v>98</v>
      </c>
      <c r="AC967" s="9">
        <f t="shared" si="206"/>
        <v>99</v>
      </c>
      <c r="AD967" s="9">
        <f t="shared" si="206"/>
        <v>108</v>
      </c>
      <c r="AE967" s="9">
        <f t="shared" si="206"/>
        <v>207</v>
      </c>
    </row>
    <row r="968" spans="2:31" x14ac:dyDescent="0.25">
      <c r="B968" s="6">
        <v>1798</v>
      </c>
      <c r="C968" s="6">
        <f t="shared" si="218"/>
        <v>1884</v>
      </c>
      <c r="D968" s="6">
        <f t="shared" si="221"/>
        <v>1484</v>
      </c>
      <c r="E968" s="6">
        <f t="shared" si="219"/>
        <v>1617</v>
      </c>
      <c r="F968" s="6">
        <f t="shared" si="220"/>
        <v>1690</v>
      </c>
      <c r="L968">
        <f t="shared" si="208"/>
        <v>-86</v>
      </c>
      <c r="M968">
        <f t="shared" si="209"/>
        <v>314</v>
      </c>
      <c r="N968">
        <f t="shared" si="210"/>
        <v>181</v>
      </c>
      <c r="O968">
        <f t="shared" si="211"/>
        <v>108</v>
      </c>
      <c r="P968">
        <f t="shared" si="212"/>
        <v>400</v>
      </c>
      <c r="Q968">
        <f t="shared" si="213"/>
        <v>267</v>
      </c>
      <c r="R968">
        <f t="shared" si="214"/>
        <v>194</v>
      </c>
      <c r="S968">
        <f t="shared" si="215"/>
        <v>-133</v>
      </c>
      <c r="T968">
        <f t="shared" si="216"/>
        <v>-206</v>
      </c>
      <c r="U968">
        <f t="shared" si="217"/>
        <v>-73</v>
      </c>
      <c r="V968" s="9">
        <f t="shared" si="207"/>
        <v>86</v>
      </c>
      <c r="W968" s="9">
        <f t="shared" si="207"/>
        <v>314</v>
      </c>
      <c r="X968" s="9">
        <f t="shared" si="207"/>
        <v>181</v>
      </c>
      <c r="Y968" s="9">
        <f t="shared" si="207"/>
        <v>108</v>
      </c>
      <c r="Z968" s="9">
        <f t="shared" si="207"/>
        <v>400</v>
      </c>
      <c r="AA968" s="9">
        <f t="shared" si="206"/>
        <v>267</v>
      </c>
      <c r="AB968" s="9">
        <f t="shared" si="206"/>
        <v>194</v>
      </c>
      <c r="AC968" s="9">
        <f t="shared" si="206"/>
        <v>133</v>
      </c>
      <c r="AD968" s="9">
        <f t="shared" si="206"/>
        <v>206</v>
      </c>
      <c r="AE968" s="9">
        <f t="shared" si="206"/>
        <v>73</v>
      </c>
    </row>
    <row r="969" spans="2:31" x14ac:dyDescent="0.25">
      <c r="B969" s="6">
        <v>2851</v>
      </c>
      <c r="C969" s="6">
        <f t="shared" si="218"/>
        <v>2937</v>
      </c>
      <c r="D969" s="6">
        <f t="shared" si="221"/>
        <v>2537</v>
      </c>
      <c r="E969" s="6">
        <f t="shared" si="219"/>
        <v>2670</v>
      </c>
      <c r="F969" s="6">
        <v>2643</v>
      </c>
      <c r="L969">
        <f t="shared" si="208"/>
        <v>-86</v>
      </c>
      <c r="M969">
        <f t="shared" si="209"/>
        <v>314</v>
      </c>
      <c r="N969">
        <f t="shared" si="210"/>
        <v>181</v>
      </c>
      <c r="O969">
        <f t="shared" si="211"/>
        <v>208</v>
      </c>
      <c r="P969">
        <f t="shared" si="212"/>
        <v>400</v>
      </c>
      <c r="Q969">
        <f t="shared" si="213"/>
        <v>267</v>
      </c>
      <c r="R969">
        <f t="shared" si="214"/>
        <v>294</v>
      </c>
      <c r="S969">
        <f t="shared" si="215"/>
        <v>-133</v>
      </c>
      <c r="T969">
        <f t="shared" si="216"/>
        <v>-106</v>
      </c>
      <c r="U969">
        <f t="shared" si="217"/>
        <v>27</v>
      </c>
      <c r="V969" s="9">
        <f t="shared" si="207"/>
        <v>86</v>
      </c>
      <c r="W969" s="9">
        <f t="shared" si="207"/>
        <v>314</v>
      </c>
      <c r="X969" s="9">
        <f t="shared" si="207"/>
        <v>181</v>
      </c>
      <c r="Y969" s="9">
        <f t="shared" si="207"/>
        <v>208</v>
      </c>
      <c r="Z969" s="9">
        <f t="shared" si="207"/>
        <v>400</v>
      </c>
      <c r="AA969" s="9">
        <f t="shared" si="206"/>
        <v>267</v>
      </c>
      <c r="AB969" s="9">
        <f t="shared" si="206"/>
        <v>294</v>
      </c>
      <c r="AC969" s="9">
        <f t="shared" si="206"/>
        <v>133</v>
      </c>
      <c r="AD969" s="9">
        <f t="shared" si="206"/>
        <v>106</v>
      </c>
      <c r="AE969" s="9">
        <f t="shared" si="206"/>
        <v>27</v>
      </c>
    </row>
    <row r="970" spans="2:31" x14ac:dyDescent="0.25">
      <c r="B970" s="6">
        <v>2661</v>
      </c>
      <c r="C970" s="6">
        <f t="shared" si="218"/>
        <v>2747</v>
      </c>
      <c r="D970" s="6">
        <f t="shared" si="221"/>
        <v>2347</v>
      </c>
      <c r="E970" s="6">
        <v>2545</v>
      </c>
      <c r="F970" s="6">
        <f t="shared" si="220"/>
        <v>2618</v>
      </c>
      <c r="L970">
        <f t="shared" si="208"/>
        <v>-86</v>
      </c>
      <c r="M970">
        <f t="shared" si="209"/>
        <v>314</v>
      </c>
      <c r="N970">
        <f t="shared" si="210"/>
        <v>116</v>
      </c>
      <c r="O970">
        <f t="shared" si="211"/>
        <v>43</v>
      </c>
      <c r="P970">
        <f t="shared" si="212"/>
        <v>400</v>
      </c>
      <c r="Q970">
        <f t="shared" si="213"/>
        <v>202</v>
      </c>
      <c r="R970">
        <f t="shared" si="214"/>
        <v>129</v>
      </c>
      <c r="S970">
        <f t="shared" si="215"/>
        <v>-198</v>
      </c>
      <c r="T970">
        <f t="shared" si="216"/>
        <v>-271</v>
      </c>
      <c r="U970">
        <f t="shared" si="217"/>
        <v>-73</v>
      </c>
      <c r="V970" s="9">
        <f t="shared" si="207"/>
        <v>86</v>
      </c>
      <c r="W970" s="9">
        <f t="shared" si="207"/>
        <v>314</v>
      </c>
      <c r="X970" s="9">
        <f t="shared" si="207"/>
        <v>116</v>
      </c>
      <c r="Y970" s="9">
        <f t="shared" si="207"/>
        <v>43</v>
      </c>
      <c r="Z970" s="9">
        <f t="shared" si="207"/>
        <v>400</v>
      </c>
      <c r="AA970" s="9">
        <f t="shared" si="206"/>
        <v>202</v>
      </c>
      <c r="AB970" s="9">
        <f t="shared" si="206"/>
        <v>129</v>
      </c>
      <c r="AC970" s="9">
        <f t="shared" si="206"/>
        <v>198</v>
      </c>
      <c r="AD970" s="9">
        <f t="shared" si="206"/>
        <v>271</v>
      </c>
      <c r="AE970" s="9">
        <f t="shared" si="206"/>
        <v>73</v>
      </c>
    </row>
    <row r="971" spans="2:31" x14ac:dyDescent="0.25">
      <c r="B971" s="6">
        <v>1882</v>
      </c>
      <c r="C971" s="6">
        <f t="shared" si="218"/>
        <v>1968</v>
      </c>
      <c r="D971" s="6">
        <f t="shared" si="221"/>
        <v>1568</v>
      </c>
      <c r="E971" s="6">
        <f t="shared" si="219"/>
        <v>1701</v>
      </c>
      <c r="F971" s="6">
        <f t="shared" si="220"/>
        <v>1774</v>
      </c>
      <c r="L971">
        <f t="shared" si="208"/>
        <v>-86</v>
      </c>
      <c r="M971">
        <f t="shared" si="209"/>
        <v>314</v>
      </c>
      <c r="N971">
        <f t="shared" si="210"/>
        <v>181</v>
      </c>
      <c r="O971">
        <f t="shared" si="211"/>
        <v>108</v>
      </c>
      <c r="P971">
        <f t="shared" si="212"/>
        <v>400</v>
      </c>
      <c r="Q971">
        <f t="shared" si="213"/>
        <v>267</v>
      </c>
      <c r="R971">
        <f t="shared" si="214"/>
        <v>194</v>
      </c>
      <c r="S971">
        <f t="shared" si="215"/>
        <v>-133</v>
      </c>
      <c r="T971">
        <f t="shared" si="216"/>
        <v>-206</v>
      </c>
      <c r="U971">
        <f t="shared" si="217"/>
        <v>-73</v>
      </c>
      <c r="V971" s="9">
        <f t="shared" si="207"/>
        <v>86</v>
      </c>
      <c r="W971" s="9">
        <f t="shared" si="207"/>
        <v>314</v>
      </c>
      <c r="X971" s="9">
        <f t="shared" si="207"/>
        <v>181</v>
      </c>
      <c r="Y971" s="9">
        <f t="shared" si="207"/>
        <v>108</v>
      </c>
      <c r="Z971" s="9">
        <f t="shared" si="207"/>
        <v>400</v>
      </c>
      <c r="AA971" s="9">
        <f t="shared" si="206"/>
        <v>267</v>
      </c>
      <c r="AB971" s="9">
        <f t="shared" si="206"/>
        <v>194</v>
      </c>
      <c r="AC971" s="9">
        <f t="shared" si="206"/>
        <v>133</v>
      </c>
      <c r="AD971" s="9">
        <f t="shared" si="206"/>
        <v>206</v>
      </c>
      <c r="AE971" s="9">
        <f t="shared" si="206"/>
        <v>73</v>
      </c>
    </row>
    <row r="972" spans="2:31" x14ac:dyDescent="0.25">
      <c r="B972" s="6">
        <v>2957</v>
      </c>
      <c r="C972" s="6">
        <f t="shared" si="218"/>
        <v>3043</v>
      </c>
      <c r="D972" s="6">
        <v>2579</v>
      </c>
      <c r="E972" s="6">
        <f t="shared" si="219"/>
        <v>2712</v>
      </c>
      <c r="F972" s="6">
        <v>2677</v>
      </c>
      <c r="L972">
        <f t="shared" si="208"/>
        <v>-86</v>
      </c>
      <c r="M972">
        <f t="shared" si="209"/>
        <v>378</v>
      </c>
      <c r="N972">
        <f t="shared" si="210"/>
        <v>245</v>
      </c>
      <c r="O972">
        <f t="shared" si="211"/>
        <v>280</v>
      </c>
      <c r="P972">
        <f t="shared" si="212"/>
        <v>464</v>
      </c>
      <c r="Q972">
        <f t="shared" si="213"/>
        <v>331</v>
      </c>
      <c r="R972">
        <f t="shared" si="214"/>
        <v>366</v>
      </c>
      <c r="S972">
        <f t="shared" si="215"/>
        <v>-133</v>
      </c>
      <c r="T972">
        <f t="shared" si="216"/>
        <v>-98</v>
      </c>
      <c r="U972">
        <f t="shared" si="217"/>
        <v>35</v>
      </c>
      <c r="V972" s="9">
        <f t="shared" si="207"/>
        <v>86</v>
      </c>
      <c r="W972" s="9">
        <f t="shared" si="207"/>
        <v>378</v>
      </c>
      <c r="X972" s="9">
        <f t="shared" si="207"/>
        <v>245</v>
      </c>
      <c r="Y972" s="9">
        <f t="shared" si="207"/>
        <v>280</v>
      </c>
      <c r="Z972" s="9">
        <f t="shared" si="207"/>
        <v>464</v>
      </c>
      <c r="AA972" s="9">
        <f t="shared" si="206"/>
        <v>331</v>
      </c>
      <c r="AB972" s="9">
        <f t="shared" si="206"/>
        <v>366</v>
      </c>
      <c r="AC972" s="9">
        <f t="shared" si="206"/>
        <v>133</v>
      </c>
      <c r="AD972" s="9">
        <f t="shared" si="206"/>
        <v>98</v>
      </c>
      <c r="AE972" s="9">
        <f t="shared" si="206"/>
        <v>35</v>
      </c>
    </row>
    <row r="973" spans="2:31" x14ac:dyDescent="0.25">
      <c r="B973" s="6">
        <v>1572</v>
      </c>
      <c r="C973" s="6">
        <f t="shared" si="218"/>
        <v>1658</v>
      </c>
      <c r="D973" s="6">
        <f t="shared" si="221"/>
        <v>1258</v>
      </c>
      <c r="E973" s="6">
        <f t="shared" si="219"/>
        <v>1391</v>
      </c>
      <c r="F973" s="6">
        <f t="shared" si="220"/>
        <v>1464</v>
      </c>
      <c r="L973">
        <f t="shared" si="208"/>
        <v>-86</v>
      </c>
      <c r="M973">
        <f t="shared" si="209"/>
        <v>314</v>
      </c>
      <c r="N973">
        <f t="shared" si="210"/>
        <v>181</v>
      </c>
      <c r="O973">
        <f t="shared" si="211"/>
        <v>108</v>
      </c>
      <c r="P973">
        <f t="shared" si="212"/>
        <v>400</v>
      </c>
      <c r="Q973">
        <f t="shared" si="213"/>
        <v>267</v>
      </c>
      <c r="R973">
        <f t="shared" si="214"/>
        <v>194</v>
      </c>
      <c r="S973">
        <f t="shared" si="215"/>
        <v>-133</v>
      </c>
      <c r="T973">
        <f t="shared" si="216"/>
        <v>-206</v>
      </c>
      <c r="U973">
        <f t="shared" si="217"/>
        <v>-73</v>
      </c>
      <c r="V973" s="9">
        <f t="shared" si="207"/>
        <v>86</v>
      </c>
      <c r="W973" s="9">
        <f t="shared" si="207"/>
        <v>314</v>
      </c>
      <c r="X973" s="9">
        <f t="shared" si="207"/>
        <v>181</v>
      </c>
      <c r="Y973" s="9">
        <f t="shared" si="207"/>
        <v>108</v>
      </c>
      <c r="Z973" s="9">
        <f t="shared" si="207"/>
        <v>400</v>
      </c>
      <c r="AA973" s="9">
        <f t="shared" si="206"/>
        <v>267</v>
      </c>
      <c r="AB973" s="9">
        <f t="shared" si="206"/>
        <v>194</v>
      </c>
      <c r="AC973" s="9">
        <f t="shared" si="206"/>
        <v>133</v>
      </c>
      <c r="AD973" s="9">
        <f t="shared" si="206"/>
        <v>206</v>
      </c>
      <c r="AE973" s="9">
        <f t="shared" si="206"/>
        <v>73</v>
      </c>
    </row>
    <row r="974" spans="2:31" x14ac:dyDescent="0.25">
      <c r="B974" s="6">
        <v>2654</v>
      </c>
      <c r="C974" s="6">
        <v>2468</v>
      </c>
      <c r="D974" s="6">
        <f t="shared" si="221"/>
        <v>2068</v>
      </c>
      <c r="E974" s="6">
        <v>2645</v>
      </c>
      <c r="F974" s="6">
        <f t="shared" si="220"/>
        <v>2718</v>
      </c>
      <c r="L974">
        <f t="shared" si="208"/>
        <v>186</v>
      </c>
      <c r="M974">
        <f t="shared" si="209"/>
        <v>586</v>
      </c>
      <c r="N974">
        <f t="shared" si="210"/>
        <v>9</v>
      </c>
      <c r="O974">
        <f t="shared" si="211"/>
        <v>-64</v>
      </c>
      <c r="P974">
        <f t="shared" si="212"/>
        <v>400</v>
      </c>
      <c r="Q974">
        <f t="shared" si="213"/>
        <v>-177</v>
      </c>
      <c r="R974">
        <f t="shared" si="214"/>
        <v>-250</v>
      </c>
      <c r="S974">
        <f t="shared" si="215"/>
        <v>-577</v>
      </c>
      <c r="T974">
        <f t="shared" si="216"/>
        <v>-650</v>
      </c>
      <c r="U974">
        <f t="shared" si="217"/>
        <v>-73</v>
      </c>
      <c r="V974" s="9">
        <f t="shared" si="207"/>
        <v>186</v>
      </c>
      <c r="W974" s="9">
        <f t="shared" si="207"/>
        <v>586</v>
      </c>
      <c r="X974" s="9">
        <f t="shared" si="207"/>
        <v>9</v>
      </c>
      <c r="Y974" s="9">
        <f t="shared" si="207"/>
        <v>64</v>
      </c>
      <c r="Z974" s="9">
        <f t="shared" si="207"/>
        <v>400</v>
      </c>
      <c r="AA974" s="9">
        <f t="shared" si="206"/>
        <v>177</v>
      </c>
      <c r="AB974" s="9">
        <f t="shared" si="206"/>
        <v>250</v>
      </c>
      <c r="AC974" s="9">
        <f t="shared" si="206"/>
        <v>577</v>
      </c>
      <c r="AD974" s="9">
        <f t="shared" si="206"/>
        <v>650</v>
      </c>
      <c r="AE974" s="9">
        <f t="shared" si="206"/>
        <v>73</v>
      </c>
    </row>
    <row r="975" spans="2:31" x14ac:dyDescent="0.25">
      <c r="B975" s="6">
        <v>2867</v>
      </c>
      <c r="C975" s="6">
        <f t="shared" si="218"/>
        <v>2953</v>
      </c>
      <c r="D975" s="6">
        <f t="shared" si="221"/>
        <v>2553</v>
      </c>
      <c r="E975" s="6">
        <f t="shared" si="219"/>
        <v>2686</v>
      </c>
      <c r="F975" s="6">
        <v>2649</v>
      </c>
      <c r="L975">
        <f t="shared" si="208"/>
        <v>-86</v>
      </c>
      <c r="M975">
        <f t="shared" si="209"/>
        <v>314</v>
      </c>
      <c r="N975">
        <f t="shared" si="210"/>
        <v>181</v>
      </c>
      <c r="O975">
        <f t="shared" si="211"/>
        <v>218</v>
      </c>
      <c r="P975">
        <f t="shared" si="212"/>
        <v>400</v>
      </c>
      <c r="Q975">
        <f t="shared" si="213"/>
        <v>267</v>
      </c>
      <c r="R975">
        <f t="shared" si="214"/>
        <v>304</v>
      </c>
      <c r="S975">
        <f t="shared" si="215"/>
        <v>-133</v>
      </c>
      <c r="T975">
        <f t="shared" si="216"/>
        <v>-96</v>
      </c>
      <c r="U975">
        <f t="shared" si="217"/>
        <v>37</v>
      </c>
      <c r="V975" s="9">
        <f t="shared" si="207"/>
        <v>86</v>
      </c>
      <c r="W975" s="9">
        <f t="shared" si="207"/>
        <v>314</v>
      </c>
      <c r="X975" s="9">
        <f t="shared" si="207"/>
        <v>181</v>
      </c>
      <c r="Y975" s="9">
        <f t="shared" si="207"/>
        <v>218</v>
      </c>
      <c r="Z975" s="9">
        <f t="shared" si="207"/>
        <v>400</v>
      </c>
      <c r="AA975" s="9">
        <f t="shared" si="206"/>
        <v>267</v>
      </c>
      <c r="AB975" s="9">
        <f t="shared" si="206"/>
        <v>304</v>
      </c>
      <c r="AC975" s="9">
        <f t="shared" si="206"/>
        <v>133</v>
      </c>
      <c r="AD975" s="9">
        <f t="shared" si="206"/>
        <v>96</v>
      </c>
      <c r="AE975" s="9">
        <f t="shared" si="206"/>
        <v>37</v>
      </c>
    </row>
    <row r="976" spans="2:31" x14ac:dyDescent="0.25">
      <c r="B976" s="6">
        <v>3257</v>
      </c>
      <c r="C976" s="6">
        <f t="shared" si="218"/>
        <v>3343</v>
      </c>
      <c r="D976" s="6">
        <f t="shared" si="221"/>
        <v>2943</v>
      </c>
      <c r="E976" s="6">
        <v>3251</v>
      </c>
      <c r="F976" s="6">
        <f t="shared" si="220"/>
        <v>3324</v>
      </c>
      <c r="L976">
        <f t="shared" si="208"/>
        <v>-86</v>
      </c>
      <c r="M976">
        <f t="shared" si="209"/>
        <v>314</v>
      </c>
      <c r="N976">
        <f t="shared" si="210"/>
        <v>6</v>
      </c>
      <c r="O976">
        <f t="shared" si="211"/>
        <v>-67</v>
      </c>
      <c r="P976">
        <f t="shared" si="212"/>
        <v>400</v>
      </c>
      <c r="Q976">
        <f t="shared" si="213"/>
        <v>92</v>
      </c>
      <c r="R976">
        <f t="shared" si="214"/>
        <v>19</v>
      </c>
      <c r="S976">
        <f t="shared" si="215"/>
        <v>-308</v>
      </c>
      <c r="T976">
        <f t="shared" si="216"/>
        <v>-381</v>
      </c>
      <c r="U976">
        <f t="shared" si="217"/>
        <v>-73</v>
      </c>
      <c r="V976" s="9">
        <f t="shared" si="207"/>
        <v>86</v>
      </c>
      <c r="W976" s="9">
        <f t="shared" si="207"/>
        <v>314</v>
      </c>
      <c r="X976" s="9">
        <f t="shared" si="207"/>
        <v>6</v>
      </c>
      <c r="Y976" s="9">
        <f t="shared" si="207"/>
        <v>67</v>
      </c>
      <c r="Z976" s="9">
        <f t="shared" si="207"/>
        <v>400</v>
      </c>
      <c r="AA976" s="9">
        <f t="shared" si="206"/>
        <v>92</v>
      </c>
      <c r="AB976" s="9">
        <f t="shared" si="206"/>
        <v>19</v>
      </c>
      <c r="AC976" s="9">
        <f t="shared" si="206"/>
        <v>308</v>
      </c>
      <c r="AD976" s="9">
        <f t="shared" si="206"/>
        <v>381</v>
      </c>
      <c r="AE976" s="9">
        <f t="shared" si="206"/>
        <v>73</v>
      </c>
    </row>
    <row r="977" spans="2:31" x14ac:dyDescent="0.25">
      <c r="B977" s="6">
        <v>2775</v>
      </c>
      <c r="C977" s="6">
        <f t="shared" si="218"/>
        <v>2861</v>
      </c>
      <c r="D977" s="6">
        <v>2564</v>
      </c>
      <c r="E977" s="6">
        <f t="shared" si="219"/>
        <v>2697</v>
      </c>
      <c r="F977" s="6">
        <f t="shared" si="220"/>
        <v>2770</v>
      </c>
      <c r="L977">
        <f t="shared" si="208"/>
        <v>-86</v>
      </c>
      <c r="M977">
        <f t="shared" si="209"/>
        <v>211</v>
      </c>
      <c r="N977">
        <f t="shared" si="210"/>
        <v>78</v>
      </c>
      <c r="O977">
        <f t="shared" si="211"/>
        <v>5</v>
      </c>
      <c r="P977">
        <f t="shared" si="212"/>
        <v>297</v>
      </c>
      <c r="Q977">
        <f t="shared" si="213"/>
        <v>164</v>
      </c>
      <c r="R977">
        <f t="shared" si="214"/>
        <v>91</v>
      </c>
      <c r="S977">
        <f t="shared" si="215"/>
        <v>-133</v>
      </c>
      <c r="T977">
        <f t="shared" si="216"/>
        <v>-206</v>
      </c>
      <c r="U977">
        <f t="shared" si="217"/>
        <v>-73</v>
      </c>
      <c r="V977" s="9">
        <f t="shared" si="207"/>
        <v>86</v>
      </c>
      <c r="W977" s="9">
        <f t="shared" si="207"/>
        <v>211</v>
      </c>
      <c r="X977" s="9">
        <f t="shared" si="207"/>
        <v>78</v>
      </c>
      <c r="Y977" s="9">
        <f t="shared" si="207"/>
        <v>5</v>
      </c>
      <c r="Z977" s="9">
        <f t="shared" si="207"/>
        <v>297</v>
      </c>
      <c r="AA977" s="9">
        <f t="shared" si="206"/>
        <v>164</v>
      </c>
      <c r="AB977" s="9">
        <f t="shared" si="206"/>
        <v>91</v>
      </c>
      <c r="AC977" s="9">
        <f t="shared" si="206"/>
        <v>133</v>
      </c>
      <c r="AD977" s="9">
        <f t="shared" si="206"/>
        <v>206</v>
      </c>
      <c r="AE977" s="9">
        <f t="shared" si="206"/>
        <v>73</v>
      </c>
    </row>
    <row r="978" spans="2:31" x14ac:dyDescent="0.25">
      <c r="B978" s="6">
        <v>1777</v>
      </c>
      <c r="C978" s="6">
        <f t="shared" si="218"/>
        <v>1863</v>
      </c>
      <c r="D978" s="6">
        <v>1554</v>
      </c>
      <c r="E978" s="6">
        <f t="shared" si="219"/>
        <v>1687</v>
      </c>
      <c r="F978" s="6">
        <v>1973</v>
      </c>
      <c r="L978">
        <f t="shared" si="208"/>
        <v>-86</v>
      </c>
      <c r="M978">
        <f t="shared" si="209"/>
        <v>223</v>
      </c>
      <c r="N978">
        <f t="shared" si="210"/>
        <v>90</v>
      </c>
      <c r="O978">
        <f t="shared" si="211"/>
        <v>-196</v>
      </c>
      <c r="P978">
        <f t="shared" si="212"/>
        <v>309</v>
      </c>
      <c r="Q978">
        <f t="shared" si="213"/>
        <v>176</v>
      </c>
      <c r="R978">
        <f t="shared" si="214"/>
        <v>-110</v>
      </c>
      <c r="S978">
        <f t="shared" si="215"/>
        <v>-133</v>
      </c>
      <c r="T978">
        <f t="shared" si="216"/>
        <v>-419</v>
      </c>
      <c r="U978">
        <f t="shared" si="217"/>
        <v>-286</v>
      </c>
      <c r="V978" s="9">
        <f t="shared" si="207"/>
        <v>86</v>
      </c>
      <c r="W978" s="9">
        <f t="shared" si="207"/>
        <v>223</v>
      </c>
      <c r="X978" s="9">
        <f t="shared" si="207"/>
        <v>90</v>
      </c>
      <c r="Y978" s="9">
        <f t="shared" si="207"/>
        <v>196</v>
      </c>
      <c r="Z978" s="9">
        <f t="shared" si="207"/>
        <v>309</v>
      </c>
      <c r="AA978" s="9">
        <f t="shared" si="206"/>
        <v>176</v>
      </c>
      <c r="AB978" s="9">
        <f t="shared" si="206"/>
        <v>110</v>
      </c>
      <c r="AC978" s="9">
        <f t="shared" si="206"/>
        <v>133</v>
      </c>
      <c r="AD978" s="9">
        <f t="shared" si="206"/>
        <v>419</v>
      </c>
      <c r="AE978" s="9">
        <f t="shared" si="206"/>
        <v>286</v>
      </c>
    </row>
    <row r="979" spans="2:31" x14ac:dyDescent="0.25">
      <c r="B979" s="6">
        <v>2034</v>
      </c>
      <c r="C979" s="6">
        <v>1957</v>
      </c>
      <c r="D979" s="6">
        <f t="shared" si="221"/>
        <v>1557</v>
      </c>
      <c r="E979" s="6">
        <v>1756</v>
      </c>
      <c r="F979" s="6">
        <f t="shared" si="220"/>
        <v>1829</v>
      </c>
      <c r="L979">
        <f t="shared" si="208"/>
        <v>77</v>
      </c>
      <c r="M979">
        <f t="shared" si="209"/>
        <v>477</v>
      </c>
      <c r="N979">
        <f t="shared" si="210"/>
        <v>278</v>
      </c>
      <c r="O979">
        <f t="shared" si="211"/>
        <v>205</v>
      </c>
      <c r="P979">
        <f t="shared" si="212"/>
        <v>400</v>
      </c>
      <c r="Q979">
        <f t="shared" si="213"/>
        <v>201</v>
      </c>
      <c r="R979">
        <f t="shared" si="214"/>
        <v>128</v>
      </c>
      <c r="S979">
        <f t="shared" si="215"/>
        <v>-199</v>
      </c>
      <c r="T979">
        <f t="shared" si="216"/>
        <v>-272</v>
      </c>
      <c r="U979">
        <f t="shared" si="217"/>
        <v>-73</v>
      </c>
      <c r="V979" s="9">
        <f t="shared" si="207"/>
        <v>77</v>
      </c>
      <c r="W979" s="9">
        <f t="shared" si="207"/>
        <v>477</v>
      </c>
      <c r="X979" s="9">
        <f t="shared" si="207"/>
        <v>278</v>
      </c>
      <c r="Y979" s="9">
        <f t="shared" si="207"/>
        <v>205</v>
      </c>
      <c r="Z979" s="9">
        <f t="shared" si="207"/>
        <v>400</v>
      </c>
      <c r="AA979" s="9">
        <f t="shared" si="206"/>
        <v>201</v>
      </c>
      <c r="AB979" s="9">
        <f t="shared" si="206"/>
        <v>128</v>
      </c>
      <c r="AC979" s="9">
        <f t="shared" si="206"/>
        <v>199</v>
      </c>
      <c r="AD979" s="9">
        <f t="shared" si="206"/>
        <v>272</v>
      </c>
      <c r="AE979" s="9">
        <f t="shared" si="206"/>
        <v>73</v>
      </c>
    </row>
    <row r="980" spans="2:31" x14ac:dyDescent="0.25">
      <c r="B980" s="6">
        <v>1854</v>
      </c>
      <c r="C980" s="6">
        <f t="shared" si="218"/>
        <v>1940</v>
      </c>
      <c r="D980" s="6">
        <f t="shared" si="221"/>
        <v>1540</v>
      </c>
      <c r="E980" s="6">
        <f t="shared" si="219"/>
        <v>1673</v>
      </c>
      <c r="F980" s="6">
        <f t="shared" si="220"/>
        <v>1746</v>
      </c>
      <c r="L980">
        <f t="shared" si="208"/>
        <v>-86</v>
      </c>
      <c r="M980">
        <f t="shared" si="209"/>
        <v>314</v>
      </c>
      <c r="N980">
        <f t="shared" si="210"/>
        <v>181</v>
      </c>
      <c r="O980">
        <f t="shared" si="211"/>
        <v>108</v>
      </c>
      <c r="P980">
        <f t="shared" si="212"/>
        <v>400</v>
      </c>
      <c r="Q980">
        <f t="shared" si="213"/>
        <v>267</v>
      </c>
      <c r="R980">
        <f t="shared" si="214"/>
        <v>194</v>
      </c>
      <c r="S980">
        <f t="shared" si="215"/>
        <v>-133</v>
      </c>
      <c r="T980">
        <f t="shared" si="216"/>
        <v>-206</v>
      </c>
      <c r="U980">
        <f t="shared" si="217"/>
        <v>-73</v>
      </c>
      <c r="V980" s="9">
        <f t="shared" si="207"/>
        <v>86</v>
      </c>
      <c r="W980" s="9">
        <f t="shared" si="207"/>
        <v>314</v>
      </c>
      <c r="X980" s="9">
        <f t="shared" si="207"/>
        <v>181</v>
      </c>
      <c r="Y980" s="9">
        <f t="shared" si="207"/>
        <v>108</v>
      </c>
      <c r="Z980" s="9">
        <f t="shared" si="207"/>
        <v>400</v>
      </c>
      <c r="AA980" s="9">
        <f t="shared" si="206"/>
        <v>267</v>
      </c>
      <c r="AB980" s="9">
        <f t="shared" si="206"/>
        <v>194</v>
      </c>
      <c r="AC980" s="9">
        <f t="shared" si="206"/>
        <v>133</v>
      </c>
      <c r="AD980" s="9">
        <f t="shared" si="206"/>
        <v>206</v>
      </c>
      <c r="AE980" s="9">
        <f t="shared" si="206"/>
        <v>73</v>
      </c>
    </row>
    <row r="981" spans="2:31" x14ac:dyDescent="0.25">
      <c r="B981" s="6">
        <v>2687</v>
      </c>
      <c r="C981" s="6">
        <f t="shared" si="218"/>
        <v>2773</v>
      </c>
      <c r="D981" s="6">
        <v>2647</v>
      </c>
      <c r="E981" s="6">
        <f t="shared" si="219"/>
        <v>2780</v>
      </c>
      <c r="F981" s="6">
        <v>2684</v>
      </c>
      <c r="L981">
        <f t="shared" si="208"/>
        <v>-86</v>
      </c>
      <c r="M981">
        <f t="shared" si="209"/>
        <v>40</v>
      </c>
      <c r="N981">
        <f t="shared" si="210"/>
        <v>-93</v>
      </c>
      <c r="O981">
        <f t="shared" si="211"/>
        <v>3</v>
      </c>
      <c r="P981">
        <f t="shared" si="212"/>
        <v>126</v>
      </c>
      <c r="Q981">
        <f t="shared" si="213"/>
        <v>-7</v>
      </c>
      <c r="R981">
        <f t="shared" si="214"/>
        <v>89</v>
      </c>
      <c r="S981">
        <f t="shared" si="215"/>
        <v>-133</v>
      </c>
      <c r="T981">
        <f t="shared" si="216"/>
        <v>-37</v>
      </c>
      <c r="U981">
        <f t="shared" si="217"/>
        <v>96</v>
      </c>
      <c r="V981" s="9">
        <f t="shared" si="207"/>
        <v>86</v>
      </c>
      <c r="W981" s="9">
        <f t="shared" si="207"/>
        <v>40</v>
      </c>
      <c r="X981" s="9">
        <f t="shared" si="207"/>
        <v>93</v>
      </c>
      <c r="Y981" s="9">
        <f t="shared" si="207"/>
        <v>3</v>
      </c>
      <c r="Z981" s="9">
        <f t="shared" si="207"/>
        <v>126</v>
      </c>
      <c r="AA981" s="9">
        <f t="shared" si="206"/>
        <v>7</v>
      </c>
      <c r="AB981" s="9">
        <f t="shared" si="206"/>
        <v>89</v>
      </c>
      <c r="AC981" s="9">
        <f t="shared" si="206"/>
        <v>133</v>
      </c>
      <c r="AD981" s="9">
        <f t="shared" si="206"/>
        <v>37</v>
      </c>
      <c r="AE981" s="9">
        <f t="shared" si="206"/>
        <v>96</v>
      </c>
    </row>
    <row r="982" spans="2:31" x14ac:dyDescent="0.25">
      <c r="B982" s="6">
        <v>3324</v>
      </c>
      <c r="C982" s="6">
        <v>3243</v>
      </c>
      <c r="D982" s="6">
        <v>2888</v>
      </c>
      <c r="E982" s="6">
        <f t="shared" si="219"/>
        <v>3021</v>
      </c>
      <c r="F982" s="6">
        <f t="shared" si="220"/>
        <v>3094</v>
      </c>
      <c r="L982">
        <f t="shared" si="208"/>
        <v>81</v>
      </c>
      <c r="M982">
        <f t="shared" si="209"/>
        <v>436</v>
      </c>
      <c r="N982">
        <f t="shared" si="210"/>
        <v>303</v>
      </c>
      <c r="O982">
        <f t="shared" si="211"/>
        <v>230</v>
      </c>
      <c r="P982">
        <f t="shared" si="212"/>
        <v>355</v>
      </c>
      <c r="Q982">
        <f t="shared" si="213"/>
        <v>222</v>
      </c>
      <c r="R982">
        <f t="shared" si="214"/>
        <v>149</v>
      </c>
      <c r="S982">
        <f t="shared" si="215"/>
        <v>-133</v>
      </c>
      <c r="T982">
        <f t="shared" si="216"/>
        <v>-206</v>
      </c>
      <c r="U982">
        <f t="shared" si="217"/>
        <v>-73</v>
      </c>
      <c r="V982" s="9">
        <f t="shared" si="207"/>
        <v>81</v>
      </c>
      <c r="W982" s="9">
        <f t="shared" si="207"/>
        <v>436</v>
      </c>
      <c r="X982" s="9">
        <f t="shared" si="207"/>
        <v>303</v>
      </c>
      <c r="Y982" s="9">
        <f t="shared" si="207"/>
        <v>230</v>
      </c>
      <c r="Z982" s="9">
        <f t="shared" si="207"/>
        <v>355</v>
      </c>
      <c r="AA982" s="9">
        <f t="shared" si="206"/>
        <v>222</v>
      </c>
      <c r="AB982" s="9">
        <f t="shared" si="206"/>
        <v>149</v>
      </c>
      <c r="AC982" s="9">
        <f t="shared" si="206"/>
        <v>133</v>
      </c>
      <c r="AD982" s="9">
        <f t="shared" si="206"/>
        <v>206</v>
      </c>
      <c r="AE982" s="9">
        <f t="shared" si="206"/>
        <v>73</v>
      </c>
    </row>
    <row r="983" spans="2:31" x14ac:dyDescent="0.25">
      <c r="B983" s="6">
        <v>2658</v>
      </c>
      <c r="C983" s="6">
        <f t="shared" si="218"/>
        <v>2744</v>
      </c>
      <c r="D983" s="6">
        <f t="shared" si="221"/>
        <v>2344</v>
      </c>
      <c r="E983" s="6">
        <v>2678</v>
      </c>
      <c r="F983" s="6">
        <v>2677</v>
      </c>
      <c r="L983">
        <f t="shared" si="208"/>
        <v>-86</v>
      </c>
      <c r="M983">
        <f t="shared" si="209"/>
        <v>314</v>
      </c>
      <c r="N983">
        <f t="shared" si="210"/>
        <v>-20</v>
      </c>
      <c r="O983">
        <f t="shared" si="211"/>
        <v>-19</v>
      </c>
      <c r="P983">
        <f t="shared" si="212"/>
        <v>400</v>
      </c>
      <c r="Q983">
        <f t="shared" si="213"/>
        <v>66</v>
      </c>
      <c r="R983">
        <f t="shared" si="214"/>
        <v>67</v>
      </c>
      <c r="S983">
        <f t="shared" si="215"/>
        <v>-334</v>
      </c>
      <c r="T983">
        <f t="shared" si="216"/>
        <v>-333</v>
      </c>
      <c r="U983">
        <f t="shared" si="217"/>
        <v>1</v>
      </c>
      <c r="V983" s="9">
        <f t="shared" si="207"/>
        <v>86</v>
      </c>
      <c r="W983" s="9">
        <f t="shared" si="207"/>
        <v>314</v>
      </c>
      <c r="X983" s="9">
        <f t="shared" si="207"/>
        <v>20</v>
      </c>
      <c r="Y983" s="9">
        <f t="shared" si="207"/>
        <v>19</v>
      </c>
      <c r="Z983" s="9">
        <f t="shared" si="207"/>
        <v>400</v>
      </c>
      <c r="AA983" s="9">
        <f t="shared" si="206"/>
        <v>66</v>
      </c>
      <c r="AB983" s="9">
        <f t="shared" si="206"/>
        <v>67</v>
      </c>
      <c r="AC983" s="9">
        <f t="shared" si="206"/>
        <v>334</v>
      </c>
      <c r="AD983" s="9">
        <f t="shared" si="206"/>
        <v>333</v>
      </c>
      <c r="AE983" s="9">
        <f t="shared" si="206"/>
        <v>1</v>
      </c>
    </row>
    <row r="984" spans="2:31" x14ac:dyDescent="0.25">
      <c r="B984" s="6">
        <v>2589</v>
      </c>
      <c r="C984" s="6">
        <f t="shared" si="218"/>
        <v>2675</v>
      </c>
      <c r="D984" s="6">
        <f t="shared" si="221"/>
        <v>2275</v>
      </c>
      <c r="E984" s="6">
        <f t="shared" si="219"/>
        <v>2408</v>
      </c>
      <c r="F984" s="6">
        <f t="shared" si="220"/>
        <v>2481</v>
      </c>
      <c r="L984">
        <f t="shared" si="208"/>
        <v>-86</v>
      </c>
      <c r="M984">
        <f t="shared" si="209"/>
        <v>314</v>
      </c>
      <c r="N984">
        <f t="shared" si="210"/>
        <v>181</v>
      </c>
      <c r="O984">
        <f t="shared" si="211"/>
        <v>108</v>
      </c>
      <c r="P984">
        <f t="shared" si="212"/>
        <v>400</v>
      </c>
      <c r="Q984">
        <f t="shared" si="213"/>
        <v>267</v>
      </c>
      <c r="R984">
        <f t="shared" si="214"/>
        <v>194</v>
      </c>
      <c r="S984">
        <f t="shared" si="215"/>
        <v>-133</v>
      </c>
      <c r="T984">
        <f t="shared" si="216"/>
        <v>-206</v>
      </c>
      <c r="U984">
        <f t="shared" si="217"/>
        <v>-73</v>
      </c>
      <c r="V984" s="9">
        <f t="shared" si="207"/>
        <v>86</v>
      </c>
      <c r="W984" s="9">
        <f t="shared" si="207"/>
        <v>314</v>
      </c>
      <c r="X984" s="9">
        <f t="shared" si="207"/>
        <v>181</v>
      </c>
      <c r="Y984" s="9">
        <f t="shared" si="207"/>
        <v>108</v>
      </c>
      <c r="Z984" s="9">
        <f t="shared" si="207"/>
        <v>400</v>
      </c>
      <c r="AA984" s="9">
        <f t="shared" ref="AA984:AE1034" si="222">IF(Q984&gt;=0,Q984,-Q984)</f>
        <v>267</v>
      </c>
      <c r="AB984" s="9">
        <f t="shared" si="222"/>
        <v>194</v>
      </c>
      <c r="AC984" s="9">
        <f t="shared" si="222"/>
        <v>133</v>
      </c>
      <c r="AD984" s="9">
        <f t="shared" si="222"/>
        <v>206</v>
      </c>
      <c r="AE984" s="9">
        <f t="shared" si="222"/>
        <v>73</v>
      </c>
    </row>
    <row r="985" spans="2:31" x14ac:dyDescent="0.25">
      <c r="B985" s="6">
        <v>2985</v>
      </c>
      <c r="C985" s="6">
        <f t="shared" si="218"/>
        <v>3071</v>
      </c>
      <c r="D985" s="6">
        <v>2578</v>
      </c>
      <c r="E985" s="6">
        <f t="shared" si="219"/>
        <v>2711</v>
      </c>
      <c r="F985" s="6">
        <v>2658</v>
      </c>
      <c r="L985">
        <f t="shared" si="208"/>
        <v>-86</v>
      </c>
      <c r="M985">
        <f t="shared" si="209"/>
        <v>407</v>
      </c>
      <c r="N985">
        <f t="shared" si="210"/>
        <v>274</v>
      </c>
      <c r="O985">
        <f t="shared" si="211"/>
        <v>327</v>
      </c>
      <c r="P985">
        <f t="shared" si="212"/>
        <v>493</v>
      </c>
      <c r="Q985">
        <f t="shared" si="213"/>
        <v>360</v>
      </c>
      <c r="R985">
        <f t="shared" si="214"/>
        <v>413</v>
      </c>
      <c r="S985">
        <f t="shared" si="215"/>
        <v>-133</v>
      </c>
      <c r="T985">
        <f t="shared" si="216"/>
        <v>-80</v>
      </c>
      <c r="U985">
        <f t="shared" si="217"/>
        <v>53</v>
      </c>
      <c r="V985" s="9">
        <f t="shared" ref="V985:Z1035" si="223">IF(L985&gt;=0,L985,-L985)</f>
        <v>86</v>
      </c>
      <c r="W985" s="9">
        <f t="shared" si="223"/>
        <v>407</v>
      </c>
      <c r="X985" s="9">
        <f t="shared" si="223"/>
        <v>274</v>
      </c>
      <c r="Y985" s="9">
        <f t="shared" si="223"/>
        <v>327</v>
      </c>
      <c r="Z985" s="9">
        <f t="shared" si="223"/>
        <v>493</v>
      </c>
      <c r="AA985" s="9">
        <f t="shared" si="222"/>
        <v>360</v>
      </c>
      <c r="AB985" s="9">
        <f t="shared" si="222"/>
        <v>413</v>
      </c>
      <c r="AC985" s="9">
        <f t="shared" si="222"/>
        <v>133</v>
      </c>
      <c r="AD985" s="9">
        <f t="shared" si="222"/>
        <v>80</v>
      </c>
      <c r="AE985" s="9">
        <f t="shared" si="222"/>
        <v>53</v>
      </c>
    </row>
    <row r="986" spans="2:31" x14ac:dyDescent="0.25">
      <c r="B986" s="6">
        <v>1832</v>
      </c>
      <c r="C986" s="6">
        <v>2034</v>
      </c>
      <c r="D986" s="6">
        <f t="shared" si="221"/>
        <v>1634</v>
      </c>
      <c r="E986" s="6">
        <f t="shared" si="219"/>
        <v>1767</v>
      </c>
      <c r="F986" s="6">
        <f t="shared" si="220"/>
        <v>1840</v>
      </c>
      <c r="L986">
        <f t="shared" si="208"/>
        <v>-202</v>
      </c>
      <c r="M986">
        <f t="shared" si="209"/>
        <v>198</v>
      </c>
      <c r="N986">
        <f t="shared" si="210"/>
        <v>65</v>
      </c>
      <c r="O986">
        <f t="shared" si="211"/>
        <v>-8</v>
      </c>
      <c r="P986">
        <f t="shared" si="212"/>
        <v>400</v>
      </c>
      <c r="Q986">
        <f t="shared" si="213"/>
        <v>267</v>
      </c>
      <c r="R986">
        <f t="shared" si="214"/>
        <v>194</v>
      </c>
      <c r="S986">
        <f t="shared" si="215"/>
        <v>-133</v>
      </c>
      <c r="T986">
        <f t="shared" si="216"/>
        <v>-206</v>
      </c>
      <c r="U986">
        <f t="shared" si="217"/>
        <v>-73</v>
      </c>
      <c r="V986" s="9">
        <f t="shared" si="223"/>
        <v>202</v>
      </c>
      <c r="W986" s="9">
        <f t="shared" si="223"/>
        <v>198</v>
      </c>
      <c r="X986" s="9">
        <f t="shared" si="223"/>
        <v>65</v>
      </c>
      <c r="Y986" s="9">
        <f t="shared" si="223"/>
        <v>8</v>
      </c>
      <c r="Z986" s="9">
        <f t="shared" si="223"/>
        <v>400</v>
      </c>
      <c r="AA986" s="9">
        <f t="shared" si="222"/>
        <v>267</v>
      </c>
      <c r="AB986" s="9">
        <f t="shared" si="222"/>
        <v>194</v>
      </c>
      <c r="AC986" s="9">
        <f t="shared" si="222"/>
        <v>133</v>
      </c>
      <c r="AD986" s="9">
        <f t="shared" si="222"/>
        <v>206</v>
      </c>
      <c r="AE986" s="9">
        <f t="shared" si="222"/>
        <v>73</v>
      </c>
    </row>
    <row r="987" spans="2:31" x14ac:dyDescent="0.25">
      <c r="B987" s="6">
        <v>3254</v>
      </c>
      <c r="C987" s="6">
        <f t="shared" si="218"/>
        <v>3340</v>
      </c>
      <c r="D987" s="6">
        <f t="shared" si="221"/>
        <v>2940</v>
      </c>
      <c r="E987" s="6">
        <v>3254</v>
      </c>
      <c r="F987" s="6">
        <v>3456</v>
      </c>
      <c r="L987">
        <f t="shared" si="208"/>
        <v>-86</v>
      </c>
      <c r="M987">
        <f t="shared" si="209"/>
        <v>314</v>
      </c>
      <c r="N987">
        <f t="shared" si="210"/>
        <v>0</v>
      </c>
      <c r="O987">
        <f t="shared" si="211"/>
        <v>-202</v>
      </c>
      <c r="P987">
        <f t="shared" si="212"/>
        <v>400</v>
      </c>
      <c r="Q987">
        <f t="shared" si="213"/>
        <v>86</v>
      </c>
      <c r="R987">
        <f t="shared" si="214"/>
        <v>-116</v>
      </c>
      <c r="S987">
        <f t="shared" si="215"/>
        <v>-314</v>
      </c>
      <c r="T987">
        <f t="shared" si="216"/>
        <v>-516</v>
      </c>
      <c r="U987">
        <f t="shared" si="217"/>
        <v>-202</v>
      </c>
      <c r="V987" s="9">
        <f t="shared" si="223"/>
        <v>86</v>
      </c>
      <c r="W987" s="9">
        <f t="shared" si="223"/>
        <v>314</v>
      </c>
      <c r="X987" s="9">
        <f t="shared" si="223"/>
        <v>0</v>
      </c>
      <c r="Y987" s="9">
        <f t="shared" si="223"/>
        <v>202</v>
      </c>
      <c r="Z987" s="9">
        <f t="shared" si="223"/>
        <v>400</v>
      </c>
      <c r="AA987" s="9">
        <f t="shared" si="222"/>
        <v>86</v>
      </c>
      <c r="AB987" s="9">
        <f t="shared" si="222"/>
        <v>116</v>
      </c>
      <c r="AC987" s="9">
        <f t="shared" si="222"/>
        <v>314</v>
      </c>
      <c r="AD987" s="9">
        <f t="shared" si="222"/>
        <v>516</v>
      </c>
      <c r="AE987" s="9">
        <f t="shared" si="222"/>
        <v>202</v>
      </c>
    </row>
    <row r="988" spans="2:31" x14ac:dyDescent="0.25">
      <c r="B988" s="6">
        <v>2278</v>
      </c>
      <c r="C988" s="6">
        <f t="shared" si="218"/>
        <v>2364</v>
      </c>
      <c r="D988" s="6">
        <f t="shared" si="221"/>
        <v>1964</v>
      </c>
      <c r="E988" s="6">
        <f t="shared" si="219"/>
        <v>2097</v>
      </c>
      <c r="F988" s="6">
        <f t="shared" si="220"/>
        <v>2170</v>
      </c>
      <c r="L988">
        <f t="shared" si="208"/>
        <v>-86</v>
      </c>
      <c r="M988">
        <f t="shared" si="209"/>
        <v>314</v>
      </c>
      <c r="N988">
        <f t="shared" si="210"/>
        <v>181</v>
      </c>
      <c r="O988">
        <f t="shared" si="211"/>
        <v>108</v>
      </c>
      <c r="P988">
        <f t="shared" si="212"/>
        <v>400</v>
      </c>
      <c r="Q988">
        <f t="shared" si="213"/>
        <v>267</v>
      </c>
      <c r="R988">
        <f t="shared" si="214"/>
        <v>194</v>
      </c>
      <c r="S988">
        <f t="shared" si="215"/>
        <v>-133</v>
      </c>
      <c r="T988">
        <f t="shared" si="216"/>
        <v>-206</v>
      </c>
      <c r="U988">
        <f t="shared" si="217"/>
        <v>-73</v>
      </c>
      <c r="V988" s="9">
        <f t="shared" si="223"/>
        <v>86</v>
      </c>
      <c r="W988" s="9">
        <f t="shared" si="223"/>
        <v>314</v>
      </c>
      <c r="X988" s="9">
        <f t="shared" si="223"/>
        <v>181</v>
      </c>
      <c r="Y988" s="9">
        <f t="shared" si="223"/>
        <v>108</v>
      </c>
      <c r="Z988" s="9">
        <f t="shared" si="223"/>
        <v>400</v>
      </c>
      <c r="AA988" s="9">
        <f t="shared" si="222"/>
        <v>267</v>
      </c>
      <c r="AB988" s="9">
        <f t="shared" si="222"/>
        <v>194</v>
      </c>
      <c r="AC988" s="9">
        <f t="shared" si="222"/>
        <v>133</v>
      </c>
      <c r="AD988" s="9">
        <f t="shared" si="222"/>
        <v>206</v>
      </c>
      <c r="AE988" s="9">
        <f t="shared" si="222"/>
        <v>73</v>
      </c>
    </row>
    <row r="989" spans="2:31" x14ac:dyDescent="0.25">
      <c r="B989" s="6">
        <v>2657</v>
      </c>
      <c r="C989" s="6">
        <f t="shared" si="218"/>
        <v>2743</v>
      </c>
      <c r="D989" s="6">
        <f t="shared" si="221"/>
        <v>2343</v>
      </c>
      <c r="E989" s="6">
        <f t="shared" si="219"/>
        <v>2476</v>
      </c>
      <c r="F989" s="6">
        <f t="shared" si="220"/>
        <v>2549</v>
      </c>
      <c r="L989">
        <f t="shared" si="208"/>
        <v>-86</v>
      </c>
      <c r="M989">
        <f t="shared" si="209"/>
        <v>314</v>
      </c>
      <c r="N989">
        <f t="shared" si="210"/>
        <v>181</v>
      </c>
      <c r="O989">
        <f t="shared" si="211"/>
        <v>108</v>
      </c>
      <c r="P989">
        <f t="shared" si="212"/>
        <v>400</v>
      </c>
      <c r="Q989">
        <f t="shared" si="213"/>
        <v>267</v>
      </c>
      <c r="R989">
        <f t="shared" si="214"/>
        <v>194</v>
      </c>
      <c r="S989">
        <f t="shared" si="215"/>
        <v>-133</v>
      </c>
      <c r="T989">
        <f t="shared" si="216"/>
        <v>-206</v>
      </c>
      <c r="U989">
        <f t="shared" si="217"/>
        <v>-73</v>
      </c>
      <c r="V989" s="9">
        <f t="shared" si="223"/>
        <v>86</v>
      </c>
      <c r="W989" s="9">
        <f t="shared" si="223"/>
        <v>314</v>
      </c>
      <c r="X989" s="9">
        <f t="shared" si="223"/>
        <v>181</v>
      </c>
      <c r="Y989" s="9">
        <f t="shared" si="223"/>
        <v>108</v>
      </c>
      <c r="Z989" s="9">
        <f t="shared" si="223"/>
        <v>400</v>
      </c>
      <c r="AA989" s="9">
        <f t="shared" si="222"/>
        <v>267</v>
      </c>
      <c r="AB989" s="9">
        <f t="shared" si="222"/>
        <v>194</v>
      </c>
      <c r="AC989" s="9">
        <f t="shared" si="222"/>
        <v>133</v>
      </c>
      <c r="AD989" s="9">
        <f t="shared" si="222"/>
        <v>206</v>
      </c>
      <c r="AE989" s="9">
        <f t="shared" si="222"/>
        <v>73</v>
      </c>
    </row>
    <row r="990" spans="2:31" x14ac:dyDescent="0.25">
      <c r="B990" s="6">
        <v>2854</v>
      </c>
      <c r="C990" s="6">
        <v>3102</v>
      </c>
      <c r="D990" s="6">
        <f t="shared" si="221"/>
        <v>2702</v>
      </c>
      <c r="E990" s="6">
        <v>2985</v>
      </c>
      <c r="F990" s="6">
        <v>3248</v>
      </c>
      <c r="L990">
        <f t="shared" si="208"/>
        <v>-248</v>
      </c>
      <c r="M990">
        <f t="shared" si="209"/>
        <v>152</v>
      </c>
      <c r="N990">
        <f t="shared" si="210"/>
        <v>-131</v>
      </c>
      <c r="O990">
        <f t="shared" si="211"/>
        <v>-394</v>
      </c>
      <c r="P990">
        <f t="shared" si="212"/>
        <v>400</v>
      </c>
      <c r="Q990">
        <f t="shared" si="213"/>
        <v>117</v>
      </c>
      <c r="R990">
        <f t="shared" si="214"/>
        <v>-146</v>
      </c>
      <c r="S990">
        <f t="shared" si="215"/>
        <v>-283</v>
      </c>
      <c r="T990">
        <f t="shared" si="216"/>
        <v>-546</v>
      </c>
      <c r="U990">
        <f t="shared" si="217"/>
        <v>-263</v>
      </c>
      <c r="V990" s="9">
        <f t="shared" si="223"/>
        <v>248</v>
      </c>
      <c r="W990" s="9">
        <f t="shared" si="223"/>
        <v>152</v>
      </c>
      <c r="X990" s="9">
        <f t="shared" si="223"/>
        <v>131</v>
      </c>
      <c r="Y990" s="9">
        <f t="shared" si="223"/>
        <v>394</v>
      </c>
      <c r="Z990" s="9">
        <f t="shared" si="223"/>
        <v>400</v>
      </c>
      <c r="AA990" s="9">
        <f t="shared" si="222"/>
        <v>117</v>
      </c>
      <c r="AB990" s="9">
        <f t="shared" si="222"/>
        <v>146</v>
      </c>
      <c r="AC990" s="9">
        <f t="shared" si="222"/>
        <v>283</v>
      </c>
      <c r="AD990" s="9">
        <f t="shared" si="222"/>
        <v>546</v>
      </c>
      <c r="AE990" s="9">
        <f t="shared" si="222"/>
        <v>263</v>
      </c>
    </row>
    <row r="991" spans="2:31" x14ac:dyDescent="0.25">
      <c r="B991" s="6">
        <v>2594</v>
      </c>
      <c r="C991" s="6">
        <f t="shared" si="218"/>
        <v>2680</v>
      </c>
      <c r="D991" s="6">
        <v>2248</v>
      </c>
      <c r="E991" s="6">
        <f t="shared" si="219"/>
        <v>2381</v>
      </c>
      <c r="F991" s="6">
        <f t="shared" si="220"/>
        <v>2454</v>
      </c>
      <c r="L991">
        <f t="shared" si="208"/>
        <v>-86</v>
      </c>
      <c r="M991">
        <f t="shared" si="209"/>
        <v>346</v>
      </c>
      <c r="N991">
        <f t="shared" si="210"/>
        <v>213</v>
      </c>
      <c r="O991">
        <f t="shared" si="211"/>
        <v>140</v>
      </c>
      <c r="P991">
        <f t="shared" si="212"/>
        <v>432</v>
      </c>
      <c r="Q991">
        <f t="shared" si="213"/>
        <v>299</v>
      </c>
      <c r="R991">
        <f t="shared" si="214"/>
        <v>226</v>
      </c>
      <c r="S991">
        <f t="shared" si="215"/>
        <v>-133</v>
      </c>
      <c r="T991">
        <f t="shared" si="216"/>
        <v>-206</v>
      </c>
      <c r="U991">
        <f t="shared" si="217"/>
        <v>-73</v>
      </c>
      <c r="V991" s="9">
        <f t="shared" si="223"/>
        <v>86</v>
      </c>
      <c r="W991" s="9">
        <f t="shared" si="223"/>
        <v>346</v>
      </c>
      <c r="X991" s="9">
        <f t="shared" si="223"/>
        <v>213</v>
      </c>
      <c r="Y991" s="9">
        <f t="shared" si="223"/>
        <v>140</v>
      </c>
      <c r="Z991" s="9">
        <f t="shared" si="223"/>
        <v>432</v>
      </c>
      <c r="AA991" s="9">
        <f t="shared" si="222"/>
        <v>299</v>
      </c>
      <c r="AB991" s="9">
        <f t="shared" si="222"/>
        <v>226</v>
      </c>
      <c r="AC991" s="9">
        <f t="shared" si="222"/>
        <v>133</v>
      </c>
      <c r="AD991" s="9">
        <f t="shared" si="222"/>
        <v>206</v>
      </c>
      <c r="AE991" s="9">
        <f t="shared" si="222"/>
        <v>73</v>
      </c>
    </row>
    <row r="992" spans="2:31" x14ac:dyDescent="0.25">
      <c r="B992" s="6">
        <v>2674</v>
      </c>
      <c r="C992" s="6">
        <f t="shared" si="218"/>
        <v>2760</v>
      </c>
      <c r="D992" s="6">
        <f t="shared" si="221"/>
        <v>2360</v>
      </c>
      <c r="E992" s="6">
        <f t="shared" si="219"/>
        <v>2493</v>
      </c>
      <c r="F992" s="6">
        <v>2678</v>
      </c>
      <c r="L992">
        <f t="shared" si="208"/>
        <v>-86</v>
      </c>
      <c r="M992">
        <f t="shared" si="209"/>
        <v>314</v>
      </c>
      <c r="N992">
        <f t="shared" si="210"/>
        <v>181</v>
      </c>
      <c r="O992">
        <f t="shared" si="211"/>
        <v>-4</v>
      </c>
      <c r="P992">
        <f t="shared" si="212"/>
        <v>400</v>
      </c>
      <c r="Q992">
        <f t="shared" si="213"/>
        <v>267</v>
      </c>
      <c r="R992">
        <f t="shared" si="214"/>
        <v>82</v>
      </c>
      <c r="S992">
        <f t="shared" si="215"/>
        <v>-133</v>
      </c>
      <c r="T992">
        <f t="shared" si="216"/>
        <v>-318</v>
      </c>
      <c r="U992">
        <f t="shared" si="217"/>
        <v>-185</v>
      </c>
      <c r="V992" s="9">
        <f t="shared" si="223"/>
        <v>86</v>
      </c>
      <c r="W992" s="9">
        <f t="shared" si="223"/>
        <v>314</v>
      </c>
      <c r="X992" s="9">
        <f t="shared" si="223"/>
        <v>181</v>
      </c>
      <c r="Y992" s="9">
        <f t="shared" si="223"/>
        <v>4</v>
      </c>
      <c r="Z992" s="9">
        <f t="shared" si="223"/>
        <v>400</v>
      </c>
      <c r="AA992" s="9">
        <f t="shared" si="222"/>
        <v>267</v>
      </c>
      <c r="AB992" s="9">
        <f t="shared" si="222"/>
        <v>82</v>
      </c>
      <c r="AC992" s="9">
        <f t="shared" si="222"/>
        <v>133</v>
      </c>
      <c r="AD992" s="9">
        <f t="shared" si="222"/>
        <v>318</v>
      </c>
      <c r="AE992" s="9">
        <f t="shared" si="222"/>
        <v>185</v>
      </c>
    </row>
    <row r="993" spans="2:31" x14ac:dyDescent="0.25">
      <c r="B993" s="6">
        <v>2297</v>
      </c>
      <c r="C993" s="6">
        <v>2498</v>
      </c>
      <c r="D993" s="6">
        <v>2682</v>
      </c>
      <c r="E993" s="6">
        <f t="shared" si="219"/>
        <v>2815</v>
      </c>
      <c r="F993" s="6">
        <f t="shared" si="220"/>
        <v>2888</v>
      </c>
      <c r="L993">
        <f t="shared" si="208"/>
        <v>-201</v>
      </c>
      <c r="M993">
        <f t="shared" si="209"/>
        <v>-385</v>
      </c>
      <c r="N993">
        <f t="shared" si="210"/>
        <v>-518</v>
      </c>
      <c r="O993">
        <f t="shared" si="211"/>
        <v>-591</v>
      </c>
      <c r="P993">
        <f t="shared" si="212"/>
        <v>-184</v>
      </c>
      <c r="Q993">
        <f t="shared" si="213"/>
        <v>-317</v>
      </c>
      <c r="R993">
        <f t="shared" si="214"/>
        <v>-390</v>
      </c>
      <c r="S993">
        <f t="shared" si="215"/>
        <v>-133</v>
      </c>
      <c r="T993">
        <f t="shared" si="216"/>
        <v>-206</v>
      </c>
      <c r="U993">
        <f t="shared" si="217"/>
        <v>-73</v>
      </c>
      <c r="V993" s="9">
        <f t="shared" si="223"/>
        <v>201</v>
      </c>
      <c r="W993" s="9">
        <f t="shared" si="223"/>
        <v>385</v>
      </c>
      <c r="X993" s="9">
        <f t="shared" si="223"/>
        <v>518</v>
      </c>
      <c r="Y993" s="9">
        <f t="shared" si="223"/>
        <v>591</v>
      </c>
      <c r="Z993" s="9">
        <f t="shared" si="223"/>
        <v>184</v>
      </c>
      <c r="AA993" s="9">
        <f t="shared" si="222"/>
        <v>317</v>
      </c>
      <c r="AB993" s="9">
        <f t="shared" si="222"/>
        <v>390</v>
      </c>
      <c r="AC993" s="9">
        <f t="shared" si="222"/>
        <v>133</v>
      </c>
      <c r="AD993" s="9">
        <f t="shared" si="222"/>
        <v>206</v>
      </c>
      <c r="AE993" s="9">
        <f t="shared" si="222"/>
        <v>73</v>
      </c>
    </row>
    <row r="994" spans="2:31" x14ac:dyDescent="0.25">
      <c r="B994" s="6">
        <v>3354</v>
      </c>
      <c r="C994" s="6">
        <f t="shared" si="218"/>
        <v>3440</v>
      </c>
      <c r="D994" s="6">
        <f t="shared" si="221"/>
        <v>3040</v>
      </c>
      <c r="E994" s="6">
        <v>3354</v>
      </c>
      <c r="F994" s="6">
        <f t="shared" si="220"/>
        <v>3427</v>
      </c>
      <c r="L994">
        <f t="shared" si="208"/>
        <v>-86</v>
      </c>
      <c r="M994">
        <f t="shared" si="209"/>
        <v>314</v>
      </c>
      <c r="N994">
        <f t="shared" si="210"/>
        <v>0</v>
      </c>
      <c r="O994">
        <f t="shared" si="211"/>
        <v>-73</v>
      </c>
      <c r="P994">
        <f t="shared" si="212"/>
        <v>400</v>
      </c>
      <c r="Q994">
        <f t="shared" si="213"/>
        <v>86</v>
      </c>
      <c r="R994">
        <f t="shared" si="214"/>
        <v>13</v>
      </c>
      <c r="S994">
        <f t="shared" si="215"/>
        <v>-314</v>
      </c>
      <c r="T994">
        <f t="shared" si="216"/>
        <v>-387</v>
      </c>
      <c r="U994">
        <f t="shared" si="217"/>
        <v>-73</v>
      </c>
      <c r="V994" s="9">
        <f t="shared" si="223"/>
        <v>86</v>
      </c>
      <c r="W994" s="9">
        <f t="shared" si="223"/>
        <v>314</v>
      </c>
      <c r="X994" s="9">
        <f t="shared" si="223"/>
        <v>0</v>
      </c>
      <c r="Y994" s="9">
        <f t="shared" si="223"/>
        <v>73</v>
      </c>
      <c r="Z994" s="9">
        <f t="shared" si="223"/>
        <v>400</v>
      </c>
      <c r="AA994" s="9">
        <f t="shared" si="222"/>
        <v>86</v>
      </c>
      <c r="AB994" s="9">
        <f t="shared" si="222"/>
        <v>13</v>
      </c>
      <c r="AC994" s="9">
        <f t="shared" si="222"/>
        <v>314</v>
      </c>
      <c r="AD994" s="9">
        <f t="shared" si="222"/>
        <v>387</v>
      </c>
      <c r="AE994" s="9">
        <f t="shared" si="222"/>
        <v>73</v>
      </c>
    </row>
    <row r="995" spans="2:31" x14ac:dyDescent="0.25">
      <c r="B995" s="6">
        <v>3247</v>
      </c>
      <c r="C995" s="6">
        <f t="shared" si="218"/>
        <v>3333</v>
      </c>
      <c r="D995" s="6">
        <f t="shared" si="221"/>
        <v>2933</v>
      </c>
      <c r="E995" s="6">
        <f t="shared" si="219"/>
        <v>3066</v>
      </c>
      <c r="F995" s="6">
        <v>3546</v>
      </c>
      <c r="L995">
        <f t="shared" si="208"/>
        <v>-86</v>
      </c>
      <c r="M995">
        <f t="shared" si="209"/>
        <v>314</v>
      </c>
      <c r="N995">
        <f t="shared" si="210"/>
        <v>181</v>
      </c>
      <c r="O995">
        <f t="shared" si="211"/>
        <v>-299</v>
      </c>
      <c r="P995">
        <f t="shared" si="212"/>
        <v>400</v>
      </c>
      <c r="Q995">
        <f t="shared" si="213"/>
        <v>267</v>
      </c>
      <c r="R995">
        <f t="shared" si="214"/>
        <v>-213</v>
      </c>
      <c r="S995">
        <f t="shared" si="215"/>
        <v>-133</v>
      </c>
      <c r="T995">
        <f t="shared" si="216"/>
        <v>-613</v>
      </c>
      <c r="U995">
        <f t="shared" si="217"/>
        <v>-480</v>
      </c>
      <c r="V995" s="9">
        <f t="shared" si="223"/>
        <v>86</v>
      </c>
      <c r="W995" s="9">
        <f t="shared" si="223"/>
        <v>314</v>
      </c>
      <c r="X995" s="9">
        <f t="shared" si="223"/>
        <v>181</v>
      </c>
      <c r="Y995" s="9">
        <f t="shared" si="223"/>
        <v>299</v>
      </c>
      <c r="Z995" s="9">
        <f t="shared" si="223"/>
        <v>400</v>
      </c>
      <c r="AA995" s="9">
        <f t="shared" si="222"/>
        <v>267</v>
      </c>
      <c r="AB995" s="9">
        <f t="shared" si="222"/>
        <v>213</v>
      </c>
      <c r="AC995" s="9">
        <f t="shared" si="222"/>
        <v>133</v>
      </c>
      <c r="AD995" s="9">
        <f t="shared" si="222"/>
        <v>613</v>
      </c>
      <c r="AE995" s="9">
        <f t="shared" si="222"/>
        <v>480</v>
      </c>
    </row>
    <row r="996" spans="2:31" x14ac:dyDescent="0.25">
      <c r="B996" s="6">
        <v>2654</v>
      </c>
      <c r="C996" s="6">
        <f t="shared" si="218"/>
        <v>2740</v>
      </c>
      <c r="D996" s="6">
        <f t="shared" si="221"/>
        <v>2340</v>
      </c>
      <c r="E996" s="6">
        <f t="shared" si="219"/>
        <v>2473</v>
      </c>
      <c r="F996" s="6">
        <f t="shared" si="220"/>
        <v>2546</v>
      </c>
      <c r="L996">
        <f t="shared" si="208"/>
        <v>-86</v>
      </c>
      <c r="M996">
        <f t="shared" si="209"/>
        <v>314</v>
      </c>
      <c r="N996">
        <f t="shared" si="210"/>
        <v>181</v>
      </c>
      <c r="O996">
        <f t="shared" si="211"/>
        <v>108</v>
      </c>
      <c r="P996">
        <f t="shared" si="212"/>
        <v>400</v>
      </c>
      <c r="Q996">
        <f t="shared" si="213"/>
        <v>267</v>
      </c>
      <c r="R996">
        <f t="shared" si="214"/>
        <v>194</v>
      </c>
      <c r="S996">
        <f t="shared" si="215"/>
        <v>-133</v>
      </c>
      <c r="T996">
        <f t="shared" si="216"/>
        <v>-206</v>
      </c>
      <c r="U996">
        <f t="shared" si="217"/>
        <v>-73</v>
      </c>
      <c r="V996" s="9">
        <f t="shared" si="223"/>
        <v>86</v>
      </c>
      <c r="W996" s="9">
        <f t="shared" si="223"/>
        <v>314</v>
      </c>
      <c r="X996" s="9">
        <f t="shared" si="223"/>
        <v>181</v>
      </c>
      <c r="Y996" s="9">
        <f t="shared" si="223"/>
        <v>108</v>
      </c>
      <c r="Z996" s="9">
        <f t="shared" si="223"/>
        <v>400</v>
      </c>
      <c r="AA996" s="9">
        <f t="shared" si="222"/>
        <v>267</v>
      </c>
      <c r="AB996" s="9">
        <f t="shared" si="222"/>
        <v>194</v>
      </c>
      <c r="AC996" s="9">
        <f t="shared" si="222"/>
        <v>133</v>
      </c>
      <c r="AD996" s="9">
        <f t="shared" si="222"/>
        <v>206</v>
      </c>
      <c r="AE996" s="9">
        <f t="shared" si="222"/>
        <v>73</v>
      </c>
    </row>
    <row r="997" spans="2:31" x14ac:dyDescent="0.25">
      <c r="B997" s="6">
        <v>1864</v>
      </c>
      <c r="C997" s="6">
        <f t="shared" si="218"/>
        <v>1950</v>
      </c>
      <c r="D997" s="6">
        <f t="shared" si="221"/>
        <v>1550</v>
      </c>
      <c r="E997" s="6">
        <f t="shared" si="219"/>
        <v>1683</v>
      </c>
      <c r="F997" s="6">
        <f t="shared" si="220"/>
        <v>1756</v>
      </c>
      <c r="L997">
        <f t="shared" si="208"/>
        <v>-86</v>
      </c>
      <c r="M997">
        <f t="shared" si="209"/>
        <v>314</v>
      </c>
      <c r="N997">
        <f t="shared" si="210"/>
        <v>181</v>
      </c>
      <c r="O997">
        <f t="shared" si="211"/>
        <v>108</v>
      </c>
      <c r="P997">
        <f t="shared" si="212"/>
        <v>400</v>
      </c>
      <c r="Q997">
        <f t="shared" si="213"/>
        <v>267</v>
      </c>
      <c r="R997">
        <f t="shared" si="214"/>
        <v>194</v>
      </c>
      <c r="S997">
        <f t="shared" si="215"/>
        <v>-133</v>
      </c>
      <c r="T997">
        <f t="shared" si="216"/>
        <v>-206</v>
      </c>
      <c r="U997">
        <f t="shared" si="217"/>
        <v>-73</v>
      </c>
      <c r="V997" s="9">
        <f t="shared" si="223"/>
        <v>86</v>
      </c>
      <c r="W997" s="9">
        <f t="shared" si="223"/>
        <v>314</v>
      </c>
      <c r="X997" s="9">
        <f t="shared" si="223"/>
        <v>181</v>
      </c>
      <c r="Y997" s="9">
        <f t="shared" si="223"/>
        <v>108</v>
      </c>
      <c r="Z997" s="9">
        <f t="shared" si="223"/>
        <v>400</v>
      </c>
      <c r="AA997" s="9">
        <f t="shared" si="222"/>
        <v>267</v>
      </c>
      <c r="AB997" s="9">
        <f t="shared" si="222"/>
        <v>194</v>
      </c>
      <c r="AC997" s="9">
        <f t="shared" si="222"/>
        <v>133</v>
      </c>
      <c r="AD997" s="9">
        <f t="shared" si="222"/>
        <v>206</v>
      </c>
      <c r="AE997" s="9">
        <f t="shared" si="222"/>
        <v>73</v>
      </c>
    </row>
    <row r="998" spans="2:31" x14ac:dyDescent="0.25">
      <c r="B998" s="6">
        <v>1554</v>
      </c>
      <c r="C998" s="6">
        <f t="shared" si="218"/>
        <v>1640</v>
      </c>
      <c r="D998" s="6">
        <v>1687</v>
      </c>
      <c r="E998" s="6">
        <f t="shared" si="219"/>
        <v>1820</v>
      </c>
      <c r="F998" s="6">
        <v>1946</v>
      </c>
      <c r="L998">
        <f t="shared" si="208"/>
        <v>-86</v>
      </c>
      <c r="M998">
        <f t="shared" si="209"/>
        <v>-133</v>
      </c>
      <c r="N998">
        <f t="shared" si="210"/>
        <v>-266</v>
      </c>
      <c r="O998">
        <f t="shared" si="211"/>
        <v>-392</v>
      </c>
      <c r="P998">
        <f t="shared" si="212"/>
        <v>-47</v>
      </c>
      <c r="Q998">
        <f t="shared" si="213"/>
        <v>-180</v>
      </c>
      <c r="R998">
        <f t="shared" si="214"/>
        <v>-306</v>
      </c>
      <c r="S998">
        <f t="shared" si="215"/>
        <v>-133</v>
      </c>
      <c r="T998">
        <f t="shared" si="216"/>
        <v>-259</v>
      </c>
      <c r="U998">
        <f t="shared" si="217"/>
        <v>-126</v>
      </c>
      <c r="V998" s="9">
        <f t="shared" si="223"/>
        <v>86</v>
      </c>
      <c r="W998" s="9">
        <f t="shared" si="223"/>
        <v>133</v>
      </c>
      <c r="X998" s="9">
        <f t="shared" si="223"/>
        <v>266</v>
      </c>
      <c r="Y998" s="9">
        <f t="shared" si="223"/>
        <v>392</v>
      </c>
      <c r="Z998" s="9">
        <f t="shared" si="223"/>
        <v>47</v>
      </c>
      <c r="AA998" s="9">
        <f t="shared" si="222"/>
        <v>180</v>
      </c>
      <c r="AB998" s="9">
        <f t="shared" si="222"/>
        <v>306</v>
      </c>
      <c r="AC998" s="9">
        <f t="shared" si="222"/>
        <v>133</v>
      </c>
      <c r="AD998" s="9">
        <f t="shared" si="222"/>
        <v>259</v>
      </c>
      <c r="AE998" s="9">
        <f t="shared" si="222"/>
        <v>126</v>
      </c>
    </row>
    <row r="999" spans="2:31" x14ac:dyDescent="0.25">
      <c r="B999" s="6">
        <v>2236</v>
      </c>
      <c r="C999" s="6">
        <f t="shared" si="218"/>
        <v>2322</v>
      </c>
      <c r="D999" s="6">
        <f t="shared" si="221"/>
        <v>1922</v>
      </c>
      <c r="E999" s="6">
        <v>2160</v>
      </c>
      <c r="F999" s="6">
        <f t="shared" si="220"/>
        <v>2233</v>
      </c>
      <c r="L999">
        <f t="shared" si="208"/>
        <v>-86</v>
      </c>
      <c r="M999">
        <f t="shared" si="209"/>
        <v>314</v>
      </c>
      <c r="N999">
        <f t="shared" si="210"/>
        <v>76</v>
      </c>
      <c r="O999">
        <f t="shared" si="211"/>
        <v>3</v>
      </c>
      <c r="P999">
        <f t="shared" si="212"/>
        <v>400</v>
      </c>
      <c r="Q999">
        <f t="shared" si="213"/>
        <v>162</v>
      </c>
      <c r="R999">
        <f t="shared" si="214"/>
        <v>89</v>
      </c>
      <c r="S999">
        <f t="shared" si="215"/>
        <v>-238</v>
      </c>
      <c r="T999">
        <f t="shared" si="216"/>
        <v>-311</v>
      </c>
      <c r="U999">
        <f t="shared" si="217"/>
        <v>-73</v>
      </c>
      <c r="V999" s="9">
        <f t="shared" si="223"/>
        <v>86</v>
      </c>
      <c r="W999" s="9">
        <f t="shared" si="223"/>
        <v>314</v>
      </c>
      <c r="X999" s="9">
        <f t="shared" si="223"/>
        <v>76</v>
      </c>
      <c r="Y999" s="9">
        <f t="shared" si="223"/>
        <v>3</v>
      </c>
      <c r="Z999" s="9">
        <f t="shared" si="223"/>
        <v>400</v>
      </c>
      <c r="AA999" s="9">
        <f t="shared" si="222"/>
        <v>162</v>
      </c>
      <c r="AB999" s="9">
        <f t="shared" si="222"/>
        <v>89</v>
      </c>
      <c r="AC999" s="9">
        <f t="shared" si="222"/>
        <v>238</v>
      </c>
      <c r="AD999" s="9">
        <f t="shared" si="222"/>
        <v>311</v>
      </c>
      <c r="AE999" s="9">
        <f t="shared" si="222"/>
        <v>73</v>
      </c>
    </row>
    <row r="1000" spans="2:31" x14ac:dyDescent="0.25">
      <c r="B1000" s="6">
        <v>2641</v>
      </c>
      <c r="C1000" s="6">
        <f t="shared" si="218"/>
        <v>2727</v>
      </c>
      <c r="D1000" s="6">
        <f t="shared" si="221"/>
        <v>2327</v>
      </c>
      <c r="E1000" s="6">
        <f t="shared" si="219"/>
        <v>2460</v>
      </c>
      <c r="F1000" s="6">
        <v>2348</v>
      </c>
      <c r="L1000">
        <f t="shared" si="208"/>
        <v>-86</v>
      </c>
      <c r="M1000">
        <f t="shared" si="209"/>
        <v>314</v>
      </c>
      <c r="N1000">
        <f t="shared" si="210"/>
        <v>181</v>
      </c>
      <c r="O1000">
        <f t="shared" si="211"/>
        <v>293</v>
      </c>
      <c r="P1000">
        <f t="shared" si="212"/>
        <v>400</v>
      </c>
      <c r="Q1000">
        <f t="shared" si="213"/>
        <v>267</v>
      </c>
      <c r="R1000">
        <f t="shared" si="214"/>
        <v>379</v>
      </c>
      <c r="S1000">
        <f t="shared" si="215"/>
        <v>-133</v>
      </c>
      <c r="T1000">
        <f t="shared" si="216"/>
        <v>-21</v>
      </c>
      <c r="U1000">
        <f t="shared" si="217"/>
        <v>112</v>
      </c>
      <c r="V1000" s="9">
        <f t="shared" si="223"/>
        <v>86</v>
      </c>
      <c r="W1000" s="9">
        <f t="shared" si="223"/>
        <v>314</v>
      </c>
      <c r="X1000" s="9">
        <f t="shared" si="223"/>
        <v>181</v>
      </c>
      <c r="Y1000" s="9">
        <f t="shared" si="223"/>
        <v>293</v>
      </c>
      <c r="Z1000" s="9">
        <f t="shared" si="223"/>
        <v>400</v>
      </c>
      <c r="AA1000" s="9">
        <f t="shared" si="222"/>
        <v>267</v>
      </c>
      <c r="AB1000" s="9">
        <f t="shared" si="222"/>
        <v>379</v>
      </c>
      <c r="AC1000" s="9">
        <f t="shared" si="222"/>
        <v>133</v>
      </c>
      <c r="AD1000" s="9">
        <f t="shared" si="222"/>
        <v>21</v>
      </c>
      <c r="AE1000" s="9">
        <f t="shared" si="222"/>
        <v>112</v>
      </c>
    </row>
    <row r="1001" spans="2:31" x14ac:dyDescent="0.25">
      <c r="B1001" s="6">
        <v>1534</v>
      </c>
      <c r="C1001" s="6">
        <f t="shared" si="218"/>
        <v>1620</v>
      </c>
      <c r="D1001" s="6">
        <v>1635</v>
      </c>
      <c r="E1001" s="6">
        <f t="shared" si="219"/>
        <v>1768</v>
      </c>
      <c r="F1001" s="6">
        <f t="shared" si="220"/>
        <v>1841</v>
      </c>
      <c r="L1001">
        <f t="shared" si="208"/>
        <v>-86</v>
      </c>
      <c r="M1001">
        <f t="shared" si="209"/>
        <v>-101</v>
      </c>
      <c r="N1001">
        <f t="shared" si="210"/>
        <v>-234</v>
      </c>
      <c r="O1001">
        <f t="shared" si="211"/>
        <v>-307</v>
      </c>
      <c r="P1001">
        <f t="shared" si="212"/>
        <v>-15</v>
      </c>
      <c r="Q1001">
        <f t="shared" si="213"/>
        <v>-148</v>
      </c>
      <c r="R1001">
        <f t="shared" si="214"/>
        <v>-221</v>
      </c>
      <c r="S1001">
        <f t="shared" si="215"/>
        <v>-133</v>
      </c>
      <c r="T1001">
        <f t="shared" si="216"/>
        <v>-206</v>
      </c>
      <c r="U1001">
        <f t="shared" si="217"/>
        <v>-73</v>
      </c>
      <c r="V1001" s="9">
        <f t="shared" si="223"/>
        <v>86</v>
      </c>
      <c r="W1001" s="9">
        <f t="shared" si="223"/>
        <v>101</v>
      </c>
      <c r="X1001" s="9">
        <f t="shared" si="223"/>
        <v>234</v>
      </c>
      <c r="Y1001" s="9">
        <f t="shared" si="223"/>
        <v>307</v>
      </c>
      <c r="Z1001" s="9">
        <f t="shared" si="223"/>
        <v>15</v>
      </c>
      <c r="AA1001" s="9">
        <f t="shared" si="222"/>
        <v>148</v>
      </c>
      <c r="AB1001" s="9">
        <f t="shared" si="222"/>
        <v>221</v>
      </c>
      <c r="AC1001" s="9">
        <f t="shared" si="222"/>
        <v>133</v>
      </c>
      <c r="AD1001" s="9">
        <f t="shared" si="222"/>
        <v>206</v>
      </c>
      <c r="AE1001" s="9">
        <f t="shared" si="222"/>
        <v>73</v>
      </c>
    </row>
    <row r="1002" spans="2:31" x14ac:dyDescent="0.25">
      <c r="B1002" s="6">
        <v>2547</v>
      </c>
      <c r="C1002" s="6">
        <f t="shared" si="218"/>
        <v>2633</v>
      </c>
      <c r="D1002" s="6">
        <f t="shared" si="221"/>
        <v>2233</v>
      </c>
      <c r="E1002" s="6">
        <v>2167</v>
      </c>
      <c r="F1002" s="6">
        <f t="shared" si="220"/>
        <v>2240</v>
      </c>
      <c r="L1002">
        <f t="shared" si="208"/>
        <v>-86</v>
      </c>
      <c r="M1002">
        <f t="shared" si="209"/>
        <v>314</v>
      </c>
      <c r="N1002">
        <f t="shared" si="210"/>
        <v>380</v>
      </c>
      <c r="O1002">
        <f t="shared" si="211"/>
        <v>307</v>
      </c>
      <c r="P1002">
        <f t="shared" si="212"/>
        <v>400</v>
      </c>
      <c r="Q1002">
        <f t="shared" si="213"/>
        <v>466</v>
      </c>
      <c r="R1002">
        <f t="shared" si="214"/>
        <v>393</v>
      </c>
      <c r="S1002">
        <f t="shared" si="215"/>
        <v>66</v>
      </c>
      <c r="T1002">
        <f t="shared" si="216"/>
        <v>-7</v>
      </c>
      <c r="U1002">
        <f t="shared" si="217"/>
        <v>-73</v>
      </c>
      <c r="V1002" s="9">
        <f t="shared" si="223"/>
        <v>86</v>
      </c>
      <c r="W1002" s="9">
        <f t="shared" si="223"/>
        <v>314</v>
      </c>
      <c r="X1002" s="9">
        <f t="shared" si="223"/>
        <v>380</v>
      </c>
      <c r="Y1002" s="9">
        <f t="shared" si="223"/>
        <v>307</v>
      </c>
      <c r="Z1002" s="9">
        <f t="shared" si="223"/>
        <v>400</v>
      </c>
      <c r="AA1002" s="9">
        <f t="shared" si="222"/>
        <v>466</v>
      </c>
      <c r="AB1002" s="9">
        <f t="shared" si="222"/>
        <v>393</v>
      </c>
      <c r="AC1002" s="9">
        <f t="shared" si="222"/>
        <v>66</v>
      </c>
      <c r="AD1002" s="9">
        <f t="shared" si="222"/>
        <v>7</v>
      </c>
      <c r="AE1002" s="9">
        <f t="shared" si="222"/>
        <v>73</v>
      </c>
    </row>
    <row r="1003" spans="2:31" x14ac:dyDescent="0.25">
      <c r="B1003" s="6">
        <v>1895</v>
      </c>
      <c r="C1003" s="6">
        <f t="shared" si="218"/>
        <v>1981</v>
      </c>
      <c r="D1003" s="6">
        <f t="shared" si="221"/>
        <v>1581</v>
      </c>
      <c r="E1003" s="6">
        <f t="shared" si="219"/>
        <v>1714</v>
      </c>
      <c r="F1003" s="6">
        <v>1954</v>
      </c>
      <c r="L1003">
        <f t="shared" si="208"/>
        <v>-86</v>
      </c>
      <c r="M1003">
        <f t="shared" si="209"/>
        <v>314</v>
      </c>
      <c r="N1003">
        <f t="shared" si="210"/>
        <v>181</v>
      </c>
      <c r="O1003">
        <f t="shared" si="211"/>
        <v>-59</v>
      </c>
      <c r="P1003">
        <f t="shared" si="212"/>
        <v>400</v>
      </c>
      <c r="Q1003">
        <f t="shared" si="213"/>
        <v>267</v>
      </c>
      <c r="R1003">
        <f t="shared" si="214"/>
        <v>27</v>
      </c>
      <c r="S1003">
        <f t="shared" si="215"/>
        <v>-133</v>
      </c>
      <c r="T1003">
        <f t="shared" si="216"/>
        <v>-373</v>
      </c>
      <c r="U1003">
        <f t="shared" si="217"/>
        <v>-240</v>
      </c>
      <c r="V1003" s="9">
        <f t="shared" si="223"/>
        <v>86</v>
      </c>
      <c r="W1003" s="9">
        <f t="shared" si="223"/>
        <v>314</v>
      </c>
      <c r="X1003" s="9">
        <f t="shared" si="223"/>
        <v>181</v>
      </c>
      <c r="Y1003" s="9">
        <f t="shared" si="223"/>
        <v>59</v>
      </c>
      <c r="Z1003" s="9">
        <f t="shared" si="223"/>
        <v>400</v>
      </c>
      <c r="AA1003" s="9">
        <f t="shared" si="222"/>
        <v>267</v>
      </c>
      <c r="AB1003" s="9">
        <f t="shared" si="222"/>
        <v>27</v>
      </c>
      <c r="AC1003" s="9">
        <f t="shared" si="222"/>
        <v>133</v>
      </c>
      <c r="AD1003" s="9">
        <f t="shared" si="222"/>
        <v>373</v>
      </c>
      <c r="AE1003" s="9">
        <f t="shared" si="222"/>
        <v>240</v>
      </c>
    </row>
    <row r="1004" spans="2:31" x14ac:dyDescent="0.25">
      <c r="B1004" s="6">
        <v>1536</v>
      </c>
      <c r="C1004" s="6">
        <v>1675</v>
      </c>
      <c r="D1004" s="6">
        <f t="shared" si="221"/>
        <v>1275</v>
      </c>
      <c r="E1004" s="6">
        <v>1368</v>
      </c>
      <c r="F1004" s="6">
        <f t="shared" si="220"/>
        <v>1441</v>
      </c>
      <c r="L1004">
        <f t="shared" si="208"/>
        <v>-139</v>
      </c>
      <c r="M1004">
        <f t="shared" si="209"/>
        <v>261</v>
      </c>
      <c r="N1004">
        <f t="shared" si="210"/>
        <v>168</v>
      </c>
      <c r="O1004">
        <f t="shared" si="211"/>
        <v>95</v>
      </c>
      <c r="P1004">
        <f t="shared" si="212"/>
        <v>400</v>
      </c>
      <c r="Q1004">
        <f t="shared" si="213"/>
        <v>307</v>
      </c>
      <c r="R1004">
        <f t="shared" si="214"/>
        <v>234</v>
      </c>
      <c r="S1004">
        <f t="shared" si="215"/>
        <v>-93</v>
      </c>
      <c r="T1004">
        <f t="shared" si="216"/>
        <v>-166</v>
      </c>
      <c r="U1004">
        <f t="shared" si="217"/>
        <v>-73</v>
      </c>
      <c r="V1004" s="9">
        <f t="shared" si="223"/>
        <v>139</v>
      </c>
      <c r="W1004" s="9">
        <f t="shared" si="223"/>
        <v>261</v>
      </c>
      <c r="X1004" s="9">
        <f t="shared" si="223"/>
        <v>168</v>
      </c>
      <c r="Y1004" s="9">
        <f t="shared" si="223"/>
        <v>95</v>
      </c>
      <c r="Z1004" s="9">
        <f t="shared" si="223"/>
        <v>400</v>
      </c>
      <c r="AA1004" s="9">
        <f t="shared" si="222"/>
        <v>307</v>
      </c>
      <c r="AB1004" s="9">
        <f t="shared" si="222"/>
        <v>234</v>
      </c>
      <c r="AC1004" s="9">
        <f t="shared" si="222"/>
        <v>93</v>
      </c>
      <c r="AD1004" s="9">
        <f t="shared" si="222"/>
        <v>166</v>
      </c>
      <c r="AE1004" s="9">
        <f t="shared" si="222"/>
        <v>73</v>
      </c>
    </row>
    <row r="1005" spans="2:31" x14ac:dyDescent="0.25">
      <c r="B1005" s="6">
        <v>1953</v>
      </c>
      <c r="C1005" s="6">
        <f t="shared" si="218"/>
        <v>2039</v>
      </c>
      <c r="D1005" s="6">
        <f t="shared" si="221"/>
        <v>1639</v>
      </c>
      <c r="E1005" s="6">
        <f t="shared" si="219"/>
        <v>1772</v>
      </c>
      <c r="F1005" s="6">
        <v>1888</v>
      </c>
      <c r="L1005">
        <f t="shared" si="208"/>
        <v>-86</v>
      </c>
      <c r="M1005">
        <f t="shared" si="209"/>
        <v>314</v>
      </c>
      <c r="N1005">
        <f t="shared" si="210"/>
        <v>181</v>
      </c>
      <c r="O1005">
        <f t="shared" si="211"/>
        <v>65</v>
      </c>
      <c r="P1005">
        <f t="shared" si="212"/>
        <v>400</v>
      </c>
      <c r="Q1005">
        <f t="shared" si="213"/>
        <v>267</v>
      </c>
      <c r="R1005">
        <f t="shared" si="214"/>
        <v>151</v>
      </c>
      <c r="S1005">
        <f t="shared" si="215"/>
        <v>-133</v>
      </c>
      <c r="T1005">
        <f t="shared" si="216"/>
        <v>-249</v>
      </c>
      <c r="U1005">
        <f t="shared" si="217"/>
        <v>-116</v>
      </c>
      <c r="V1005" s="9">
        <f t="shared" si="223"/>
        <v>86</v>
      </c>
      <c r="W1005" s="9">
        <f t="shared" si="223"/>
        <v>314</v>
      </c>
      <c r="X1005" s="9">
        <f t="shared" si="223"/>
        <v>181</v>
      </c>
      <c r="Y1005" s="9">
        <f t="shared" si="223"/>
        <v>65</v>
      </c>
      <c r="Z1005" s="9">
        <f t="shared" si="223"/>
        <v>400</v>
      </c>
      <c r="AA1005" s="9">
        <f t="shared" si="222"/>
        <v>267</v>
      </c>
      <c r="AB1005" s="9">
        <f t="shared" si="222"/>
        <v>151</v>
      </c>
      <c r="AC1005" s="9">
        <f t="shared" si="222"/>
        <v>133</v>
      </c>
      <c r="AD1005" s="9">
        <f t="shared" si="222"/>
        <v>249</v>
      </c>
      <c r="AE1005" s="9">
        <f t="shared" si="222"/>
        <v>116</v>
      </c>
    </row>
    <row r="1006" spans="2:31" x14ac:dyDescent="0.25">
      <c r="B1006" s="6">
        <v>1954</v>
      </c>
      <c r="C1006" s="6">
        <f t="shared" si="218"/>
        <v>2040</v>
      </c>
      <c r="D1006" s="6">
        <v>1586</v>
      </c>
      <c r="E1006" s="6">
        <f t="shared" si="219"/>
        <v>1719</v>
      </c>
      <c r="F1006" s="6">
        <f t="shared" si="220"/>
        <v>1792</v>
      </c>
      <c r="L1006">
        <f t="shared" si="208"/>
        <v>-86</v>
      </c>
      <c r="M1006">
        <f t="shared" si="209"/>
        <v>368</v>
      </c>
      <c r="N1006">
        <f t="shared" si="210"/>
        <v>235</v>
      </c>
      <c r="O1006">
        <f t="shared" si="211"/>
        <v>162</v>
      </c>
      <c r="P1006">
        <f t="shared" si="212"/>
        <v>454</v>
      </c>
      <c r="Q1006">
        <f t="shared" si="213"/>
        <v>321</v>
      </c>
      <c r="R1006">
        <f t="shared" si="214"/>
        <v>248</v>
      </c>
      <c r="S1006">
        <f t="shared" si="215"/>
        <v>-133</v>
      </c>
      <c r="T1006">
        <f t="shared" si="216"/>
        <v>-206</v>
      </c>
      <c r="U1006">
        <f t="shared" si="217"/>
        <v>-73</v>
      </c>
      <c r="V1006" s="9">
        <f t="shared" si="223"/>
        <v>86</v>
      </c>
      <c r="W1006" s="9">
        <f t="shared" si="223"/>
        <v>368</v>
      </c>
      <c r="X1006" s="9">
        <f t="shared" si="223"/>
        <v>235</v>
      </c>
      <c r="Y1006" s="9">
        <f t="shared" si="223"/>
        <v>162</v>
      </c>
      <c r="Z1006" s="9">
        <f t="shared" si="223"/>
        <v>454</v>
      </c>
      <c r="AA1006" s="9">
        <f t="shared" si="222"/>
        <v>321</v>
      </c>
      <c r="AB1006" s="9">
        <f t="shared" si="222"/>
        <v>248</v>
      </c>
      <c r="AC1006" s="9">
        <f t="shared" si="222"/>
        <v>133</v>
      </c>
      <c r="AD1006" s="9">
        <f t="shared" si="222"/>
        <v>206</v>
      </c>
      <c r="AE1006" s="9">
        <f t="shared" si="222"/>
        <v>73</v>
      </c>
    </row>
    <row r="1007" spans="2:31" x14ac:dyDescent="0.25">
      <c r="B1007" s="6">
        <v>2549</v>
      </c>
      <c r="C1007" s="6">
        <v>2678</v>
      </c>
      <c r="D1007" s="6">
        <f t="shared" si="221"/>
        <v>2278</v>
      </c>
      <c r="E1007" s="6">
        <v>2351</v>
      </c>
      <c r="F1007" s="6">
        <f t="shared" si="220"/>
        <v>2424</v>
      </c>
      <c r="L1007">
        <f t="shared" si="208"/>
        <v>-129</v>
      </c>
      <c r="M1007">
        <f t="shared" si="209"/>
        <v>271</v>
      </c>
      <c r="N1007">
        <f t="shared" si="210"/>
        <v>198</v>
      </c>
      <c r="O1007">
        <f t="shared" si="211"/>
        <v>125</v>
      </c>
      <c r="P1007">
        <f t="shared" si="212"/>
        <v>400</v>
      </c>
      <c r="Q1007">
        <f t="shared" si="213"/>
        <v>327</v>
      </c>
      <c r="R1007">
        <f t="shared" si="214"/>
        <v>254</v>
      </c>
      <c r="S1007">
        <f t="shared" si="215"/>
        <v>-73</v>
      </c>
      <c r="T1007">
        <f t="shared" si="216"/>
        <v>-146</v>
      </c>
      <c r="U1007">
        <f t="shared" si="217"/>
        <v>-73</v>
      </c>
      <c r="V1007" s="9">
        <f t="shared" si="223"/>
        <v>129</v>
      </c>
      <c r="W1007" s="9">
        <f t="shared" si="223"/>
        <v>271</v>
      </c>
      <c r="X1007" s="9">
        <f t="shared" si="223"/>
        <v>198</v>
      </c>
      <c r="Y1007" s="9">
        <f t="shared" si="223"/>
        <v>125</v>
      </c>
      <c r="Z1007" s="9">
        <f t="shared" si="223"/>
        <v>400</v>
      </c>
      <c r="AA1007" s="9">
        <f t="shared" si="222"/>
        <v>327</v>
      </c>
      <c r="AB1007" s="9">
        <f t="shared" si="222"/>
        <v>254</v>
      </c>
      <c r="AC1007" s="9">
        <f t="shared" si="222"/>
        <v>73</v>
      </c>
      <c r="AD1007" s="9">
        <f t="shared" si="222"/>
        <v>146</v>
      </c>
      <c r="AE1007" s="9">
        <f t="shared" si="222"/>
        <v>73</v>
      </c>
    </row>
    <row r="1008" spans="2:31" x14ac:dyDescent="0.25">
      <c r="B1008" s="6">
        <v>2257</v>
      </c>
      <c r="C1008" s="6">
        <f t="shared" si="218"/>
        <v>2343</v>
      </c>
      <c r="D1008" s="6">
        <f t="shared" si="221"/>
        <v>1943</v>
      </c>
      <c r="E1008" s="6">
        <f t="shared" si="219"/>
        <v>2076</v>
      </c>
      <c r="F1008" s="6">
        <v>2245</v>
      </c>
      <c r="L1008">
        <f t="shared" si="208"/>
        <v>-86</v>
      </c>
      <c r="M1008">
        <f t="shared" si="209"/>
        <v>314</v>
      </c>
      <c r="N1008">
        <f t="shared" si="210"/>
        <v>181</v>
      </c>
      <c r="O1008">
        <f t="shared" si="211"/>
        <v>12</v>
      </c>
      <c r="P1008">
        <f t="shared" si="212"/>
        <v>400</v>
      </c>
      <c r="Q1008">
        <f t="shared" si="213"/>
        <v>267</v>
      </c>
      <c r="R1008">
        <f t="shared" si="214"/>
        <v>98</v>
      </c>
      <c r="S1008">
        <f t="shared" si="215"/>
        <v>-133</v>
      </c>
      <c r="T1008">
        <f t="shared" si="216"/>
        <v>-302</v>
      </c>
      <c r="U1008">
        <f t="shared" si="217"/>
        <v>-169</v>
      </c>
      <c r="V1008" s="9">
        <f t="shared" si="223"/>
        <v>86</v>
      </c>
      <c r="W1008" s="9">
        <f t="shared" si="223"/>
        <v>314</v>
      </c>
      <c r="X1008" s="9">
        <f t="shared" si="223"/>
        <v>181</v>
      </c>
      <c r="Y1008" s="9">
        <f t="shared" si="223"/>
        <v>12</v>
      </c>
      <c r="Z1008" s="9">
        <f t="shared" si="223"/>
        <v>400</v>
      </c>
      <c r="AA1008" s="9">
        <f t="shared" si="222"/>
        <v>267</v>
      </c>
      <c r="AB1008" s="9">
        <f t="shared" si="222"/>
        <v>98</v>
      </c>
      <c r="AC1008" s="9">
        <f t="shared" si="222"/>
        <v>133</v>
      </c>
      <c r="AD1008" s="9">
        <f t="shared" si="222"/>
        <v>302</v>
      </c>
      <c r="AE1008" s="9">
        <f t="shared" si="222"/>
        <v>169</v>
      </c>
    </row>
    <row r="1009" spans="2:31" x14ac:dyDescent="0.25">
      <c r="B1009" s="6">
        <v>1748</v>
      </c>
      <c r="C1009" s="6">
        <f t="shared" si="218"/>
        <v>1834</v>
      </c>
      <c r="D1009" s="6">
        <v>1654</v>
      </c>
      <c r="E1009" s="6">
        <f t="shared" si="219"/>
        <v>1787</v>
      </c>
      <c r="F1009" s="6">
        <f t="shared" si="220"/>
        <v>1860</v>
      </c>
      <c r="L1009">
        <f t="shared" si="208"/>
        <v>-86</v>
      </c>
      <c r="M1009">
        <f t="shared" si="209"/>
        <v>94</v>
      </c>
      <c r="N1009">
        <f t="shared" si="210"/>
        <v>-39</v>
      </c>
      <c r="O1009">
        <f t="shared" si="211"/>
        <v>-112</v>
      </c>
      <c r="P1009">
        <f t="shared" si="212"/>
        <v>180</v>
      </c>
      <c r="Q1009">
        <f t="shared" si="213"/>
        <v>47</v>
      </c>
      <c r="R1009">
        <f t="shared" si="214"/>
        <v>-26</v>
      </c>
      <c r="S1009">
        <f t="shared" si="215"/>
        <v>-133</v>
      </c>
      <c r="T1009">
        <f t="shared" si="216"/>
        <v>-206</v>
      </c>
      <c r="U1009">
        <f t="shared" si="217"/>
        <v>-73</v>
      </c>
      <c r="V1009" s="9">
        <f t="shared" si="223"/>
        <v>86</v>
      </c>
      <c r="W1009" s="9">
        <f t="shared" si="223"/>
        <v>94</v>
      </c>
      <c r="X1009" s="9">
        <f t="shared" si="223"/>
        <v>39</v>
      </c>
      <c r="Y1009" s="9">
        <f t="shared" si="223"/>
        <v>112</v>
      </c>
      <c r="Z1009" s="9">
        <f t="shared" si="223"/>
        <v>180</v>
      </c>
      <c r="AA1009" s="9">
        <f t="shared" si="222"/>
        <v>47</v>
      </c>
      <c r="AB1009" s="9">
        <f t="shared" si="222"/>
        <v>26</v>
      </c>
      <c r="AC1009" s="9">
        <f t="shared" si="222"/>
        <v>133</v>
      </c>
      <c r="AD1009" s="9">
        <f t="shared" si="222"/>
        <v>206</v>
      </c>
      <c r="AE1009" s="9">
        <f t="shared" si="222"/>
        <v>73</v>
      </c>
    </row>
    <row r="1010" spans="2:31" x14ac:dyDescent="0.25">
      <c r="B1010" s="6">
        <v>1594</v>
      </c>
      <c r="C1010" s="6">
        <f t="shared" si="218"/>
        <v>1680</v>
      </c>
      <c r="D1010" s="6">
        <f t="shared" si="221"/>
        <v>1280</v>
      </c>
      <c r="E1010" s="6">
        <v>1168</v>
      </c>
      <c r="F1010" s="6">
        <f t="shared" si="220"/>
        <v>1241</v>
      </c>
      <c r="L1010">
        <f t="shared" si="208"/>
        <v>-86</v>
      </c>
      <c r="M1010">
        <f t="shared" si="209"/>
        <v>314</v>
      </c>
      <c r="N1010">
        <f t="shared" si="210"/>
        <v>426</v>
      </c>
      <c r="O1010">
        <f t="shared" si="211"/>
        <v>353</v>
      </c>
      <c r="P1010">
        <f t="shared" si="212"/>
        <v>400</v>
      </c>
      <c r="Q1010">
        <f t="shared" si="213"/>
        <v>512</v>
      </c>
      <c r="R1010">
        <f t="shared" si="214"/>
        <v>439</v>
      </c>
      <c r="S1010">
        <f t="shared" si="215"/>
        <v>112</v>
      </c>
      <c r="T1010">
        <f t="shared" si="216"/>
        <v>39</v>
      </c>
      <c r="U1010">
        <f t="shared" si="217"/>
        <v>-73</v>
      </c>
      <c r="V1010" s="9">
        <f t="shared" si="223"/>
        <v>86</v>
      </c>
      <c r="W1010" s="9">
        <f t="shared" si="223"/>
        <v>314</v>
      </c>
      <c r="X1010" s="9">
        <f t="shared" si="223"/>
        <v>426</v>
      </c>
      <c r="Y1010" s="9">
        <f t="shared" si="223"/>
        <v>353</v>
      </c>
      <c r="Z1010" s="9">
        <f t="shared" si="223"/>
        <v>400</v>
      </c>
      <c r="AA1010" s="9">
        <f t="shared" si="222"/>
        <v>512</v>
      </c>
      <c r="AB1010" s="9">
        <f t="shared" si="222"/>
        <v>439</v>
      </c>
      <c r="AC1010" s="9">
        <f t="shared" si="222"/>
        <v>112</v>
      </c>
      <c r="AD1010" s="9">
        <f t="shared" si="222"/>
        <v>39</v>
      </c>
      <c r="AE1010" s="9">
        <f t="shared" si="222"/>
        <v>73</v>
      </c>
    </row>
    <row r="1011" spans="2:31" x14ac:dyDescent="0.25">
      <c r="B1011" s="6">
        <v>1378</v>
      </c>
      <c r="C1011" s="6">
        <f t="shared" si="218"/>
        <v>1464</v>
      </c>
      <c r="D1011" s="6">
        <f t="shared" si="221"/>
        <v>1064</v>
      </c>
      <c r="E1011" s="6">
        <f t="shared" si="219"/>
        <v>1197</v>
      </c>
      <c r="F1011" s="6">
        <v>1365</v>
      </c>
      <c r="L1011">
        <f t="shared" si="208"/>
        <v>-86</v>
      </c>
      <c r="M1011">
        <f t="shared" si="209"/>
        <v>314</v>
      </c>
      <c r="N1011">
        <f t="shared" si="210"/>
        <v>181</v>
      </c>
      <c r="O1011">
        <f t="shared" si="211"/>
        <v>13</v>
      </c>
      <c r="P1011">
        <f t="shared" si="212"/>
        <v>400</v>
      </c>
      <c r="Q1011">
        <f t="shared" si="213"/>
        <v>267</v>
      </c>
      <c r="R1011">
        <f t="shared" si="214"/>
        <v>99</v>
      </c>
      <c r="S1011">
        <f t="shared" si="215"/>
        <v>-133</v>
      </c>
      <c r="T1011">
        <f t="shared" si="216"/>
        <v>-301</v>
      </c>
      <c r="U1011">
        <f t="shared" si="217"/>
        <v>-168</v>
      </c>
      <c r="V1011" s="9">
        <f t="shared" si="223"/>
        <v>86</v>
      </c>
      <c r="W1011" s="9">
        <f t="shared" si="223"/>
        <v>314</v>
      </c>
      <c r="X1011" s="9">
        <f t="shared" si="223"/>
        <v>181</v>
      </c>
      <c r="Y1011" s="9">
        <f t="shared" si="223"/>
        <v>13</v>
      </c>
      <c r="Z1011" s="9">
        <f t="shared" si="223"/>
        <v>400</v>
      </c>
      <c r="AA1011" s="9">
        <f t="shared" si="222"/>
        <v>267</v>
      </c>
      <c r="AB1011" s="9">
        <f t="shared" si="222"/>
        <v>99</v>
      </c>
      <c r="AC1011" s="9">
        <f t="shared" si="222"/>
        <v>133</v>
      </c>
      <c r="AD1011" s="9">
        <f t="shared" si="222"/>
        <v>301</v>
      </c>
      <c r="AE1011" s="9">
        <f t="shared" si="222"/>
        <v>168</v>
      </c>
    </row>
    <row r="1012" spans="2:31" x14ac:dyDescent="0.25">
      <c r="B1012" s="6">
        <v>2254</v>
      </c>
      <c r="C1012" s="6">
        <f t="shared" si="218"/>
        <v>2340</v>
      </c>
      <c r="D1012" s="6">
        <f t="shared" si="221"/>
        <v>1940</v>
      </c>
      <c r="E1012" s="6">
        <v>2450</v>
      </c>
      <c r="F1012" s="6">
        <f t="shared" si="220"/>
        <v>2523</v>
      </c>
      <c r="L1012">
        <f t="shared" si="208"/>
        <v>-86</v>
      </c>
      <c r="M1012">
        <f t="shared" si="209"/>
        <v>314</v>
      </c>
      <c r="N1012">
        <f t="shared" si="210"/>
        <v>-196</v>
      </c>
      <c r="O1012">
        <f t="shared" si="211"/>
        <v>-269</v>
      </c>
      <c r="P1012">
        <f t="shared" si="212"/>
        <v>400</v>
      </c>
      <c r="Q1012">
        <f t="shared" si="213"/>
        <v>-110</v>
      </c>
      <c r="R1012">
        <f t="shared" si="214"/>
        <v>-183</v>
      </c>
      <c r="S1012">
        <f t="shared" si="215"/>
        <v>-510</v>
      </c>
      <c r="T1012">
        <f t="shared" si="216"/>
        <v>-583</v>
      </c>
      <c r="U1012">
        <f t="shared" si="217"/>
        <v>-73</v>
      </c>
      <c r="V1012" s="9">
        <f t="shared" si="223"/>
        <v>86</v>
      </c>
      <c r="W1012" s="9">
        <f t="shared" si="223"/>
        <v>314</v>
      </c>
      <c r="X1012" s="9">
        <f t="shared" si="223"/>
        <v>196</v>
      </c>
      <c r="Y1012" s="9">
        <f t="shared" si="223"/>
        <v>269</v>
      </c>
      <c r="Z1012" s="9">
        <f t="shared" si="223"/>
        <v>400</v>
      </c>
      <c r="AA1012" s="9">
        <f t="shared" si="222"/>
        <v>110</v>
      </c>
      <c r="AB1012" s="9">
        <f t="shared" si="222"/>
        <v>183</v>
      </c>
      <c r="AC1012" s="9">
        <f t="shared" si="222"/>
        <v>510</v>
      </c>
      <c r="AD1012" s="9">
        <f t="shared" si="222"/>
        <v>583</v>
      </c>
      <c r="AE1012" s="9">
        <f t="shared" si="222"/>
        <v>73</v>
      </c>
    </row>
    <row r="1013" spans="2:31" x14ac:dyDescent="0.25">
      <c r="B1013" s="6">
        <v>2954</v>
      </c>
      <c r="C1013" s="6">
        <v>3354</v>
      </c>
      <c r="D1013" s="6">
        <v>3050</v>
      </c>
      <c r="E1013" s="6">
        <f t="shared" si="219"/>
        <v>3183</v>
      </c>
      <c r="F1013" s="6">
        <v>3364</v>
      </c>
      <c r="L1013">
        <f t="shared" si="208"/>
        <v>-400</v>
      </c>
      <c r="M1013">
        <f t="shared" si="209"/>
        <v>-96</v>
      </c>
      <c r="N1013">
        <f t="shared" si="210"/>
        <v>-229</v>
      </c>
      <c r="O1013">
        <f t="shared" si="211"/>
        <v>-410</v>
      </c>
      <c r="P1013">
        <f t="shared" si="212"/>
        <v>304</v>
      </c>
      <c r="Q1013">
        <f t="shared" si="213"/>
        <v>171</v>
      </c>
      <c r="R1013">
        <f t="shared" si="214"/>
        <v>-10</v>
      </c>
      <c r="S1013">
        <f t="shared" si="215"/>
        <v>-133</v>
      </c>
      <c r="T1013">
        <f t="shared" si="216"/>
        <v>-314</v>
      </c>
      <c r="U1013">
        <f t="shared" si="217"/>
        <v>-181</v>
      </c>
      <c r="V1013" s="9">
        <f t="shared" si="223"/>
        <v>400</v>
      </c>
      <c r="W1013" s="9">
        <f t="shared" si="223"/>
        <v>96</v>
      </c>
      <c r="X1013" s="9">
        <f t="shared" si="223"/>
        <v>229</v>
      </c>
      <c r="Y1013" s="9">
        <f t="shared" si="223"/>
        <v>410</v>
      </c>
      <c r="Z1013" s="9">
        <f t="shared" si="223"/>
        <v>304</v>
      </c>
      <c r="AA1013" s="9">
        <f t="shared" si="222"/>
        <v>171</v>
      </c>
      <c r="AB1013" s="9">
        <f t="shared" si="222"/>
        <v>10</v>
      </c>
      <c r="AC1013" s="9">
        <f t="shared" si="222"/>
        <v>133</v>
      </c>
      <c r="AD1013" s="9">
        <f t="shared" si="222"/>
        <v>314</v>
      </c>
      <c r="AE1013" s="9">
        <f t="shared" si="222"/>
        <v>181</v>
      </c>
    </row>
    <row r="1014" spans="2:31" x14ac:dyDescent="0.25">
      <c r="B1014" s="6">
        <v>2478</v>
      </c>
      <c r="C1014" s="6">
        <f t="shared" si="218"/>
        <v>2564</v>
      </c>
      <c r="D1014" s="6">
        <f t="shared" si="221"/>
        <v>2164</v>
      </c>
      <c r="E1014" s="6">
        <f t="shared" si="219"/>
        <v>2297</v>
      </c>
      <c r="F1014" s="6">
        <f t="shared" si="220"/>
        <v>2370</v>
      </c>
      <c r="L1014">
        <f t="shared" si="208"/>
        <v>-86</v>
      </c>
      <c r="M1014">
        <f t="shared" si="209"/>
        <v>314</v>
      </c>
      <c r="N1014">
        <f t="shared" si="210"/>
        <v>181</v>
      </c>
      <c r="O1014">
        <f t="shared" si="211"/>
        <v>108</v>
      </c>
      <c r="P1014">
        <f t="shared" si="212"/>
        <v>400</v>
      </c>
      <c r="Q1014">
        <f t="shared" si="213"/>
        <v>267</v>
      </c>
      <c r="R1014">
        <f t="shared" si="214"/>
        <v>194</v>
      </c>
      <c r="S1014">
        <f t="shared" si="215"/>
        <v>-133</v>
      </c>
      <c r="T1014">
        <f t="shared" si="216"/>
        <v>-206</v>
      </c>
      <c r="U1014">
        <f t="shared" si="217"/>
        <v>-73</v>
      </c>
      <c r="V1014" s="9">
        <f t="shared" si="223"/>
        <v>86</v>
      </c>
      <c r="W1014" s="9">
        <f t="shared" si="223"/>
        <v>314</v>
      </c>
      <c r="X1014" s="9">
        <f t="shared" si="223"/>
        <v>181</v>
      </c>
      <c r="Y1014" s="9">
        <f t="shared" si="223"/>
        <v>108</v>
      </c>
      <c r="Z1014" s="9">
        <f t="shared" si="223"/>
        <v>400</v>
      </c>
      <c r="AA1014" s="9">
        <f t="shared" si="222"/>
        <v>267</v>
      </c>
      <c r="AB1014" s="9">
        <f t="shared" si="222"/>
        <v>194</v>
      </c>
      <c r="AC1014" s="9">
        <f t="shared" si="222"/>
        <v>133</v>
      </c>
      <c r="AD1014" s="9">
        <f t="shared" si="222"/>
        <v>206</v>
      </c>
      <c r="AE1014" s="9">
        <f t="shared" si="222"/>
        <v>73</v>
      </c>
    </row>
    <row r="1015" spans="2:31" x14ac:dyDescent="0.25">
      <c r="B1015" s="6">
        <v>2674</v>
      </c>
      <c r="C1015" s="6">
        <v>2568</v>
      </c>
      <c r="D1015" s="6">
        <f t="shared" si="221"/>
        <v>2168</v>
      </c>
      <c r="E1015" s="6">
        <v>2245</v>
      </c>
      <c r="F1015" s="6">
        <f t="shared" si="220"/>
        <v>2318</v>
      </c>
      <c r="L1015">
        <f t="shared" si="208"/>
        <v>106</v>
      </c>
      <c r="M1015">
        <f t="shared" si="209"/>
        <v>506</v>
      </c>
      <c r="N1015">
        <f t="shared" si="210"/>
        <v>429</v>
      </c>
      <c r="O1015">
        <f t="shared" si="211"/>
        <v>356</v>
      </c>
      <c r="P1015">
        <f t="shared" si="212"/>
        <v>400</v>
      </c>
      <c r="Q1015">
        <f t="shared" si="213"/>
        <v>323</v>
      </c>
      <c r="R1015">
        <f t="shared" si="214"/>
        <v>250</v>
      </c>
      <c r="S1015">
        <f t="shared" si="215"/>
        <v>-77</v>
      </c>
      <c r="T1015">
        <f t="shared" si="216"/>
        <v>-150</v>
      </c>
      <c r="U1015">
        <f t="shared" si="217"/>
        <v>-73</v>
      </c>
      <c r="V1015" s="9">
        <f t="shared" si="223"/>
        <v>106</v>
      </c>
      <c r="W1015" s="9">
        <f t="shared" si="223"/>
        <v>506</v>
      </c>
      <c r="X1015" s="9">
        <f t="shared" si="223"/>
        <v>429</v>
      </c>
      <c r="Y1015" s="9">
        <f t="shared" si="223"/>
        <v>356</v>
      </c>
      <c r="Z1015" s="9">
        <f t="shared" si="223"/>
        <v>400</v>
      </c>
      <c r="AA1015" s="9">
        <f t="shared" si="222"/>
        <v>323</v>
      </c>
      <c r="AB1015" s="9">
        <f t="shared" si="222"/>
        <v>250</v>
      </c>
      <c r="AC1015" s="9">
        <f t="shared" si="222"/>
        <v>77</v>
      </c>
      <c r="AD1015" s="9">
        <f t="shared" si="222"/>
        <v>150</v>
      </c>
      <c r="AE1015" s="9">
        <f t="shared" si="222"/>
        <v>73</v>
      </c>
    </row>
    <row r="1016" spans="2:31" x14ac:dyDescent="0.25">
      <c r="B1016" s="6">
        <v>1846</v>
      </c>
      <c r="C1016" s="6">
        <f t="shared" si="218"/>
        <v>1932</v>
      </c>
      <c r="D1016" s="6">
        <v>1752</v>
      </c>
      <c r="E1016" s="6">
        <f t="shared" si="219"/>
        <v>1885</v>
      </c>
      <c r="F1016" s="6">
        <v>2541</v>
      </c>
      <c r="L1016">
        <f t="shared" si="208"/>
        <v>-86</v>
      </c>
      <c r="M1016">
        <f t="shared" si="209"/>
        <v>94</v>
      </c>
      <c r="N1016">
        <f t="shared" si="210"/>
        <v>-39</v>
      </c>
      <c r="O1016">
        <f t="shared" si="211"/>
        <v>-695</v>
      </c>
      <c r="P1016">
        <f t="shared" si="212"/>
        <v>180</v>
      </c>
      <c r="Q1016">
        <f t="shared" si="213"/>
        <v>47</v>
      </c>
      <c r="R1016">
        <f t="shared" si="214"/>
        <v>-609</v>
      </c>
      <c r="S1016">
        <f t="shared" si="215"/>
        <v>-133</v>
      </c>
      <c r="T1016">
        <f t="shared" si="216"/>
        <v>-789</v>
      </c>
      <c r="U1016">
        <f t="shared" si="217"/>
        <v>-656</v>
      </c>
      <c r="V1016" s="9">
        <f t="shared" si="223"/>
        <v>86</v>
      </c>
      <c r="W1016" s="9">
        <f t="shared" si="223"/>
        <v>94</v>
      </c>
      <c r="X1016" s="9">
        <f t="shared" si="223"/>
        <v>39</v>
      </c>
      <c r="Y1016" s="9">
        <f t="shared" si="223"/>
        <v>695</v>
      </c>
      <c r="Z1016" s="9">
        <f t="shared" si="223"/>
        <v>180</v>
      </c>
      <c r="AA1016" s="9">
        <f t="shared" si="222"/>
        <v>47</v>
      </c>
      <c r="AB1016" s="9">
        <f t="shared" si="222"/>
        <v>609</v>
      </c>
      <c r="AC1016" s="9">
        <f t="shared" si="222"/>
        <v>133</v>
      </c>
      <c r="AD1016" s="9">
        <f t="shared" si="222"/>
        <v>789</v>
      </c>
      <c r="AE1016" s="9">
        <f t="shared" si="222"/>
        <v>656</v>
      </c>
    </row>
    <row r="1017" spans="2:31" x14ac:dyDescent="0.25">
      <c r="B1017" s="6">
        <v>1534</v>
      </c>
      <c r="C1017" s="6">
        <f t="shared" si="218"/>
        <v>1620</v>
      </c>
      <c r="D1017" s="6">
        <f t="shared" si="221"/>
        <v>1220</v>
      </c>
      <c r="E1017" s="6">
        <f t="shared" si="219"/>
        <v>1353</v>
      </c>
      <c r="F1017" s="6">
        <f t="shared" si="220"/>
        <v>1426</v>
      </c>
      <c r="L1017">
        <f t="shared" si="208"/>
        <v>-86</v>
      </c>
      <c r="M1017">
        <f t="shared" si="209"/>
        <v>314</v>
      </c>
      <c r="N1017">
        <f t="shared" si="210"/>
        <v>181</v>
      </c>
      <c r="O1017">
        <f t="shared" si="211"/>
        <v>108</v>
      </c>
      <c r="P1017">
        <f t="shared" si="212"/>
        <v>400</v>
      </c>
      <c r="Q1017">
        <f t="shared" si="213"/>
        <v>267</v>
      </c>
      <c r="R1017">
        <f t="shared" si="214"/>
        <v>194</v>
      </c>
      <c r="S1017">
        <f t="shared" si="215"/>
        <v>-133</v>
      </c>
      <c r="T1017">
        <f t="shared" si="216"/>
        <v>-206</v>
      </c>
      <c r="U1017">
        <f t="shared" si="217"/>
        <v>-73</v>
      </c>
      <c r="V1017" s="9">
        <f t="shared" si="223"/>
        <v>86</v>
      </c>
      <c r="W1017" s="9">
        <f t="shared" si="223"/>
        <v>314</v>
      </c>
      <c r="X1017" s="9">
        <f t="shared" si="223"/>
        <v>181</v>
      </c>
      <c r="Y1017" s="9">
        <f t="shared" si="223"/>
        <v>108</v>
      </c>
      <c r="Z1017" s="9">
        <f t="shared" si="223"/>
        <v>400</v>
      </c>
      <c r="AA1017" s="9">
        <f t="shared" si="222"/>
        <v>267</v>
      </c>
      <c r="AB1017" s="9">
        <f t="shared" si="222"/>
        <v>194</v>
      </c>
      <c r="AC1017" s="9">
        <f t="shared" si="222"/>
        <v>133</v>
      </c>
      <c r="AD1017" s="9">
        <f t="shared" si="222"/>
        <v>206</v>
      </c>
      <c r="AE1017" s="9">
        <f t="shared" si="222"/>
        <v>73</v>
      </c>
    </row>
    <row r="1018" spans="2:31" x14ac:dyDescent="0.25">
      <c r="B1018" s="6">
        <v>2135</v>
      </c>
      <c r="C1018" s="6">
        <v>2343</v>
      </c>
      <c r="D1018" s="6">
        <v>2641</v>
      </c>
      <c r="E1018" s="6">
        <v>2647</v>
      </c>
      <c r="F1018" s="6">
        <f t="shared" si="220"/>
        <v>2720</v>
      </c>
      <c r="L1018">
        <f t="shared" si="208"/>
        <v>-208</v>
      </c>
      <c r="M1018">
        <f t="shared" si="209"/>
        <v>-506</v>
      </c>
      <c r="N1018">
        <f t="shared" si="210"/>
        <v>-512</v>
      </c>
      <c r="O1018">
        <f t="shared" si="211"/>
        <v>-585</v>
      </c>
      <c r="P1018">
        <f t="shared" si="212"/>
        <v>-298</v>
      </c>
      <c r="Q1018">
        <f t="shared" si="213"/>
        <v>-304</v>
      </c>
      <c r="R1018">
        <f t="shared" si="214"/>
        <v>-377</v>
      </c>
      <c r="S1018">
        <f t="shared" si="215"/>
        <v>-6</v>
      </c>
      <c r="T1018">
        <f t="shared" si="216"/>
        <v>-79</v>
      </c>
      <c r="U1018">
        <f t="shared" si="217"/>
        <v>-73</v>
      </c>
      <c r="V1018" s="9">
        <f t="shared" si="223"/>
        <v>208</v>
      </c>
      <c r="W1018" s="9">
        <f t="shared" si="223"/>
        <v>506</v>
      </c>
      <c r="X1018" s="9">
        <f t="shared" si="223"/>
        <v>512</v>
      </c>
      <c r="Y1018" s="9">
        <f t="shared" si="223"/>
        <v>585</v>
      </c>
      <c r="Z1018" s="9">
        <f t="shared" si="223"/>
        <v>298</v>
      </c>
      <c r="AA1018" s="9">
        <f t="shared" si="222"/>
        <v>304</v>
      </c>
      <c r="AB1018" s="9">
        <f t="shared" si="222"/>
        <v>377</v>
      </c>
      <c r="AC1018" s="9">
        <f t="shared" si="222"/>
        <v>6</v>
      </c>
      <c r="AD1018" s="9">
        <f t="shared" si="222"/>
        <v>79</v>
      </c>
      <c r="AE1018" s="9">
        <f t="shared" si="222"/>
        <v>73</v>
      </c>
    </row>
    <row r="1019" spans="2:31" x14ac:dyDescent="0.25">
      <c r="B1019" s="6">
        <v>2217</v>
      </c>
      <c r="C1019" s="6">
        <f t="shared" si="218"/>
        <v>2303</v>
      </c>
      <c r="D1019" s="6">
        <v>2030</v>
      </c>
      <c r="E1019" s="6">
        <f t="shared" si="219"/>
        <v>2163</v>
      </c>
      <c r="F1019" s="6">
        <v>2365</v>
      </c>
      <c r="L1019">
        <f t="shared" si="208"/>
        <v>-86</v>
      </c>
      <c r="M1019">
        <f t="shared" si="209"/>
        <v>187</v>
      </c>
      <c r="N1019">
        <f t="shared" si="210"/>
        <v>54</v>
      </c>
      <c r="O1019">
        <f t="shared" si="211"/>
        <v>-148</v>
      </c>
      <c r="P1019">
        <f t="shared" si="212"/>
        <v>273</v>
      </c>
      <c r="Q1019">
        <f t="shared" si="213"/>
        <v>140</v>
      </c>
      <c r="R1019">
        <f t="shared" si="214"/>
        <v>-62</v>
      </c>
      <c r="S1019">
        <f t="shared" si="215"/>
        <v>-133</v>
      </c>
      <c r="T1019">
        <f t="shared" si="216"/>
        <v>-335</v>
      </c>
      <c r="U1019">
        <f t="shared" si="217"/>
        <v>-202</v>
      </c>
      <c r="V1019" s="9">
        <f t="shared" si="223"/>
        <v>86</v>
      </c>
      <c r="W1019" s="9">
        <f t="shared" si="223"/>
        <v>187</v>
      </c>
      <c r="X1019" s="9">
        <f t="shared" si="223"/>
        <v>54</v>
      </c>
      <c r="Y1019" s="9">
        <f t="shared" si="223"/>
        <v>148</v>
      </c>
      <c r="Z1019" s="9">
        <f t="shared" si="223"/>
        <v>273</v>
      </c>
      <c r="AA1019" s="9">
        <f t="shared" si="222"/>
        <v>140</v>
      </c>
      <c r="AB1019" s="9">
        <f t="shared" si="222"/>
        <v>62</v>
      </c>
      <c r="AC1019" s="9">
        <f t="shared" si="222"/>
        <v>133</v>
      </c>
      <c r="AD1019" s="9">
        <f t="shared" si="222"/>
        <v>335</v>
      </c>
      <c r="AE1019" s="9">
        <f t="shared" si="222"/>
        <v>202</v>
      </c>
    </row>
    <row r="1020" spans="2:31" x14ac:dyDescent="0.25">
      <c r="B1020" s="6">
        <v>2567</v>
      </c>
      <c r="C1020" s="6">
        <f t="shared" si="218"/>
        <v>2653</v>
      </c>
      <c r="D1020" s="6">
        <v>2364</v>
      </c>
      <c r="E1020" s="6">
        <v>2564</v>
      </c>
      <c r="F1020" s="6">
        <v>2695</v>
      </c>
      <c r="L1020">
        <f t="shared" si="208"/>
        <v>-86</v>
      </c>
      <c r="M1020">
        <f t="shared" si="209"/>
        <v>203</v>
      </c>
      <c r="N1020">
        <f t="shared" si="210"/>
        <v>3</v>
      </c>
      <c r="O1020">
        <f t="shared" si="211"/>
        <v>-128</v>
      </c>
      <c r="P1020">
        <f t="shared" si="212"/>
        <v>289</v>
      </c>
      <c r="Q1020">
        <f t="shared" si="213"/>
        <v>89</v>
      </c>
      <c r="R1020">
        <f t="shared" si="214"/>
        <v>-42</v>
      </c>
      <c r="S1020">
        <f t="shared" si="215"/>
        <v>-200</v>
      </c>
      <c r="T1020">
        <f t="shared" si="216"/>
        <v>-331</v>
      </c>
      <c r="U1020">
        <f t="shared" si="217"/>
        <v>-131</v>
      </c>
      <c r="V1020" s="9">
        <f t="shared" si="223"/>
        <v>86</v>
      </c>
      <c r="W1020" s="9">
        <f t="shared" si="223"/>
        <v>203</v>
      </c>
      <c r="X1020" s="9">
        <f t="shared" si="223"/>
        <v>3</v>
      </c>
      <c r="Y1020" s="9">
        <f t="shared" si="223"/>
        <v>128</v>
      </c>
      <c r="Z1020" s="9">
        <f t="shared" si="223"/>
        <v>289</v>
      </c>
      <c r="AA1020" s="9">
        <f t="shared" si="222"/>
        <v>89</v>
      </c>
      <c r="AB1020" s="9">
        <f t="shared" si="222"/>
        <v>42</v>
      </c>
      <c r="AC1020" s="9">
        <f t="shared" si="222"/>
        <v>200</v>
      </c>
      <c r="AD1020" s="9">
        <f t="shared" si="222"/>
        <v>331</v>
      </c>
      <c r="AE1020" s="9">
        <f t="shared" si="222"/>
        <v>131</v>
      </c>
    </row>
    <row r="1021" spans="2:31" x14ac:dyDescent="0.25">
      <c r="B1021" s="7">
        <v>2701</v>
      </c>
      <c r="C1021" s="7">
        <v>2803</v>
      </c>
      <c r="D1021" s="7">
        <v>2415</v>
      </c>
      <c r="E1021" s="7">
        <v>2382</v>
      </c>
      <c r="F1021" s="7">
        <v>2449</v>
      </c>
      <c r="L1021">
        <f t="shared" si="208"/>
        <v>-102</v>
      </c>
      <c r="M1021">
        <f t="shared" si="209"/>
        <v>286</v>
      </c>
      <c r="N1021">
        <f t="shared" si="210"/>
        <v>319</v>
      </c>
      <c r="O1021">
        <f t="shared" si="211"/>
        <v>252</v>
      </c>
      <c r="P1021">
        <f t="shared" si="212"/>
        <v>388</v>
      </c>
      <c r="Q1021">
        <f t="shared" si="213"/>
        <v>421</v>
      </c>
      <c r="R1021">
        <f t="shared" si="214"/>
        <v>354</v>
      </c>
      <c r="S1021">
        <f t="shared" si="215"/>
        <v>33</v>
      </c>
      <c r="T1021">
        <f t="shared" si="216"/>
        <v>-34</v>
      </c>
      <c r="U1021">
        <f t="shared" si="217"/>
        <v>-67</v>
      </c>
      <c r="V1021" s="9">
        <f t="shared" si="223"/>
        <v>102</v>
      </c>
      <c r="W1021" s="9">
        <f t="shared" si="223"/>
        <v>286</v>
      </c>
      <c r="X1021" s="9">
        <f t="shared" si="223"/>
        <v>319</v>
      </c>
      <c r="Y1021" s="9">
        <f t="shared" si="223"/>
        <v>252</v>
      </c>
      <c r="Z1021" s="9">
        <f t="shared" si="223"/>
        <v>388</v>
      </c>
      <c r="AA1021" s="9">
        <f t="shared" si="222"/>
        <v>421</v>
      </c>
      <c r="AB1021" s="9">
        <f t="shared" si="222"/>
        <v>354</v>
      </c>
      <c r="AC1021" s="9">
        <f t="shared" si="222"/>
        <v>33</v>
      </c>
      <c r="AD1021" s="9">
        <f t="shared" si="222"/>
        <v>34</v>
      </c>
      <c r="AE1021" s="9">
        <f t="shared" si="222"/>
        <v>67</v>
      </c>
    </row>
    <row r="1022" spans="2:31" x14ac:dyDescent="0.25">
      <c r="B1022" s="6">
        <v>2544</v>
      </c>
      <c r="C1022" s="6">
        <f>B1022+86</f>
        <v>2630</v>
      </c>
      <c r="D1022" s="6">
        <v>2079</v>
      </c>
      <c r="E1022" s="6">
        <v>2215</v>
      </c>
      <c r="F1022" s="6">
        <v>1905</v>
      </c>
      <c r="L1022">
        <f t="shared" si="208"/>
        <v>-86</v>
      </c>
      <c r="M1022">
        <f t="shared" si="209"/>
        <v>465</v>
      </c>
      <c r="N1022">
        <f t="shared" si="210"/>
        <v>329</v>
      </c>
      <c r="O1022">
        <f t="shared" si="211"/>
        <v>639</v>
      </c>
      <c r="P1022">
        <f t="shared" si="212"/>
        <v>551</v>
      </c>
      <c r="Q1022">
        <f t="shared" si="213"/>
        <v>415</v>
      </c>
      <c r="R1022">
        <f t="shared" si="214"/>
        <v>725</v>
      </c>
      <c r="S1022">
        <f t="shared" si="215"/>
        <v>-136</v>
      </c>
      <c r="T1022">
        <f t="shared" si="216"/>
        <v>174</v>
      </c>
      <c r="U1022">
        <f t="shared" si="217"/>
        <v>310</v>
      </c>
      <c r="V1022" s="9">
        <f t="shared" si="223"/>
        <v>86</v>
      </c>
      <c r="W1022" s="9">
        <f t="shared" si="223"/>
        <v>465</v>
      </c>
      <c r="X1022" s="9">
        <f t="shared" si="223"/>
        <v>329</v>
      </c>
      <c r="Y1022" s="9">
        <f t="shared" si="223"/>
        <v>639</v>
      </c>
      <c r="Z1022" s="9">
        <f t="shared" si="223"/>
        <v>551</v>
      </c>
      <c r="AA1022" s="9">
        <f t="shared" si="222"/>
        <v>415</v>
      </c>
      <c r="AB1022" s="9">
        <f t="shared" si="222"/>
        <v>725</v>
      </c>
      <c r="AC1022" s="9">
        <f t="shared" si="222"/>
        <v>136</v>
      </c>
      <c r="AD1022" s="9">
        <f t="shared" si="222"/>
        <v>174</v>
      </c>
      <c r="AE1022" s="9">
        <f t="shared" si="222"/>
        <v>310</v>
      </c>
    </row>
    <row r="1023" spans="2:31" x14ac:dyDescent="0.25">
      <c r="B1023" s="6">
        <v>3211</v>
      </c>
      <c r="C1023" s="6">
        <f t="shared" ref="C1023:C1080" si="224">B1023+86</f>
        <v>3297</v>
      </c>
      <c r="D1023" s="6">
        <v>2749</v>
      </c>
      <c r="E1023" s="6">
        <v>2584</v>
      </c>
      <c r="F1023" s="6">
        <v>2477</v>
      </c>
      <c r="L1023">
        <f t="shared" si="208"/>
        <v>-86</v>
      </c>
      <c r="M1023">
        <f t="shared" si="209"/>
        <v>462</v>
      </c>
      <c r="N1023">
        <f t="shared" si="210"/>
        <v>627</v>
      </c>
      <c r="O1023">
        <f t="shared" si="211"/>
        <v>734</v>
      </c>
      <c r="P1023">
        <f t="shared" si="212"/>
        <v>548</v>
      </c>
      <c r="Q1023">
        <f t="shared" si="213"/>
        <v>713</v>
      </c>
      <c r="R1023">
        <f t="shared" si="214"/>
        <v>820</v>
      </c>
      <c r="S1023">
        <f t="shared" si="215"/>
        <v>165</v>
      </c>
      <c r="T1023">
        <f t="shared" si="216"/>
        <v>272</v>
      </c>
      <c r="U1023">
        <f t="shared" si="217"/>
        <v>107</v>
      </c>
      <c r="V1023" s="9">
        <f t="shared" si="223"/>
        <v>86</v>
      </c>
      <c r="W1023" s="9">
        <f t="shared" si="223"/>
        <v>462</v>
      </c>
      <c r="X1023" s="9">
        <f t="shared" si="223"/>
        <v>627</v>
      </c>
      <c r="Y1023" s="9">
        <f t="shared" si="223"/>
        <v>734</v>
      </c>
      <c r="Z1023" s="9">
        <f t="shared" si="223"/>
        <v>548</v>
      </c>
      <c r="AA1023" s="9">
        <f t="shared" si="222"/>
        <v>713</v>
      </c>
      <c r="AB1023" s="9">
        <f t="shared" si="222"/>
        <v>820</v>
      </c>
      <c r="AC1023" s="9">
        <f t="shared" si="222"/>
        <v>165</v>
      </c>
      <c r="AD1023" s="9">
        <f t="shared" si="222"/>
        <v>272</v>
      </c>
      <c r="AE1023" s="9">
        <f t="shared" si="222"/>
        <v>107</v>
      </c>
    </row>
    <row r="1024" spans="2:31" x14ac:dyDescent="0.25">
      <c r="B1024" s="6">
        <v>2567</v>
      </c>
      <c r="C1024" s="6">
        <v>2664</v>
      </c>
      <c r="D1024" s="6">
        <v>2854</v>
      </c>
      <c r="E1024" s="6">
        <v>2214</v>
      </c>
      <c r="F1024" s="6">
        <v>2895</v>
      </c>
      <c r="L1024">
        <f t="shared" si="208"/>
        <v>-97</v>
      </c>
      <c r="M1024">
        <f t="shared" si="209"/>
        <v>-287</v>
      </c>
      <c r="N1024">
        <f t="shared" si="210"/>
        <v>353</v>
      </c>
      <c r="O1024">
        <f t="shared" si="211"/>
        <v>-328</v>
      </c>
      <c r="P1024">
        <f t="shared" si="212"/>
        <v>-190</v>
      </c>
      <c r="Q1024">
        <f t="shared" si="213"/>
        <v>450</v>
      </c>
      <c r="R1024">
        <f t="shared" si="214"/>
        <v>-231</v>
      </c>
      <c r="S1024">
        <f t="shared" si="215"/>
        <v>640</v>
      </c>
      <c r="T1024">
        <f t="shared" si="216"/>
        <v>-41</v>
      </c>
      <c r="U1024">
        <f t="shared" si="217"/>
        <v>-681</v>
      </c>
      <c r="V1024" s="9">
        <f t="shared" si="223"/>
        <v>97</v>
      </c>
      <c r="W1024" s="9">
        <f t="shared" si="223"/>
        <v>287</v>
      </c>
      <c r="X1024" s="9">
        <f t="shared" si="223"/>
        <v>353</v>
      </c>
      <c r="Y1024" s="9">
        <f t="shared" si="223"/>
        <v>328</v>
      </c>
      <c r="Z1024" s="9">
        <f t="shared" si="223"/>
        <v>190</v>
      </c>
      <c r="AA1024" s="9">
        <f t="shared" si="222"/>
        <v>450</v>
      </c>
      <c r="AB1024" s="9">
        <f t="shared" si="222"/>
        <v>231</v>
      </c>
      <c r="AC1024" s="9">
        <f t="shared" si="222"/>
        <v>640</v>
      </c>
      <c r="AD1024" s="9">
        <f t="shared" si="222"/>
        <v>41</v>
      </c>
      <c r="AE1024" s="9">
        <f t="shared" si="222"/>
        <v>681</v>
      </c>
    </row>
    <row r="1025" spans="2:31" x14ac:dyDescent="0.25">
      <c r="B1025" s="6">
        <v>2498</v>
      </c>
      <c r="C1025" s="6">
        <f t="shared" si="224"/>
        <v>2584</v>
      </c>
      <c r="D1025" s="6">
        <v>2034</v>
      </c>
      <c r="E1025" s="6">
        <v>1854</v>
      </c>
      <c r="F1025" s="6">
        <v>1875</v>
      </c>
      <c r="L1025">
        <f t="shared" ref="L1025:L1088" si="225">B1025-C1025</f>
        <v>-86</v>
      </c>
      <c r="M1025">
        <f t="shared" ref="M1025:M1088" si="226">B1025-D1025</f>
        <v>464</v>
      </c>
      <c r="N1025">
        <f t="shared" ref="N1025:N1088" si="227">B1025-E1025</f>
        <v>644</v>
      </c>
      <c r="O1025">
        <f t="shared" ref="O1025:O1088" si="228">B1025-F1025</f>
        <v>623</v>
      </c>
      <c r="P1025">
        <f t="shared" ref="P1025:P1088" si="229">C1025-D1025</f>
        <v>550</v>
      </c>
      <c r="Q1025">
        <f t="shared" ref="Q1025:Q1088" si="230">C1025-E1025</f>
        <v>730</v>
      </c>
      <c r="R1025">
        <f t="shared" ref="R1025:R1088" si="231">C1025-F1025</f>
        <v>709</v>
      </c>
      <c r="S1025">
        <f t="shared" ref="S1025:S1088" si="232">D1025-E1025</f>
        <v>180</v>
      </c>
      <c r="T1025">
        <f t="shared" ref="T1025:T1088" si="233">D1025-F1025</f>
        <v>159</v>
      </c>
      <c r="U1025">
        <f t="shared" ref="U1025:U1088" si="234">E1025-F1025</f>
        <v>-21</v>
      </c>
      <c r="V1025" s="9">
        <f t="shared" si="223"/>
        <v>86</v>
      </c>
      <c r="W1025" s="9">
        <f t="shared" si="223"/>
        <v>464</v>
      </c>
      <c r="X1025" s="9">
        <f t="shared" si="223"/>
        <v>644</v>
      </c>
      <c r="Y1025" s="9">
        <f t="shared" si="223"/>
        <v>623</v>
      </c>
      <c r="Z1025" s="9">
        <f t="shared" si="223"/>
        <v>550</v>
      </c>
      <c r="AA1025" s="9">
        <f t="shared" si="222"/>
        <v>730</v>
      </c>
      <c r="AB1025" s="9">
        <f t="shared" si="222"/>
        <v>709</v>
      </c>
      <c r="AC1025" s="9">
        <f t="shared" si="222"/>
        <v>180</v>
      </c>
      <c r="AD1025" s="9">
        <f t="shared" si="222"/>
        <v>159</v>
      </c>
      <c r="AE1025" s="9">
        <f t="shared" si="222"/>
        <v>21</v>
      </c>
    </row>
    <row r="1026" spans="2:31" x14ac:dyDescent="0.25">
      <c r="B1026" s="6">
        <v>2387</v>
      </c>
      <c r="C1026" s="6">
        <f t="shared" si="224"/>
        <v>2473</v>
      </c>
      <c r="D1026" s="6">
        <f t="shared" ref="D1026:D1080" si="235">C1026-452</f>
        <v>2021</v>
      </c>
      <c r="E1026" s="6">
        <f t="shared" ref="E1026:E1080" si="236">D1026-77</f>
        <v>1944</v>
      </c>
      <c r="F1026" s="6">
        <f t="shared" ref="F1026:F1079" si="237">E1026-33</f>
        <v>1911</v>
      </c>
      <c r="L1026">
        <f t="shared" si="225"/>
        <v>-86</v>
      </c>
      <c r="M1026">
        <f t="shared" si="226"/>
        <v>366</v>
      </c>
      <c r="N1026">
        <f t="shared" si="227"/>
        <v>443</v>
      </c>
      <c r="O1026">
        <f t="shared" si="228"/>
        <v>476</v>
      </c>
      <c r="P1026">
        <f t="shared" si="229"/>
        <v>452</v>
      </c>
      <c r="Q1026">
        <f t="shared" si="230"/>
        <v>529</v>
      </c>
      <c r="R1026">
        <f t="shared" si="231"/>
        <v>562</v>
      </c>
      <c r="S1026">
        <f t="shared" si="232"/>
        <v>77</v>
      </c>
      <c r="T1026">
        <f t="shared" si="233"/>
        <v>110</v>
      </c>
      <c r="U1026">
        <f t="shared" si="234"/>
        <v>33</v>
      </c>
      <c r="V1026" s="9">
        <f t="shared" si="223"/>
        <v>86</v>
      </c>
      <c r="W1026" s="9">
        <f t="shared" si="223"/>
        <v>366</v>
      </c>
      <c r="X1026" s="9">
        <f t="shared" si="223"/>
        <v>443</v>
      </c>
      <c r="Y1026" s="9">
        <f t="shared" si="223"/>
        <v>476</v>
      </c>
      <c r="Z1026" s="9">
        <f t="shared" si="223"/>
        <v>452</v>
      </c>
      <c r="AA1026" s="9">
        <f t="shared" si="222"/>
        <v>529</v>
      </c>
      <c r="AB1026" s="9">
        <f t="shared" si="222"/>
        <v>562</v>
      </c>
      <c r="AC1026" s="9">
        <f t="shared" si="222"/>
        <v>77</v>
      </c>
      <c r="AD1026" s="9">
        <f t="shared" si="222"/>
        <v>110</v>
      </c>
      <c r="AE1026" s="9">
        <f t="shared" si="222"/>
        <v>33</v>
      </c>
    </row>
    <row r="1027" spans="2:31" x14ac:dyDescent="0.25">
      <c r="B1027" s="6">
        <v>2784</v>
      </c>
      <c r="C1027" s="6">
        <f t="shared" si="224"/>
        <v>2870</v>
      </c>
      <c r="D1027" s="6">
        <v>1954</v>
      </c>
      <c r="E1027" s="6">
        <v>2145</v>
      </c>
      <c r="F1027" s="6">
        <v>2204</v>
      </c>
      <c r="L1027">
        <f t="shared" si="225"/>
        <v>-86</v>
      </c>
      <c r="M1027">
        <f t="shared" si="226"/>
        <v>830</v>
      </c>
      <c r="N1027">
        <f t="shared" si="227"/>
        <v>639</v>
      </c>
      <c r="O1027">
        <f t="shared" si="228"/>
        <v>580</v>
      </c>
      <c r="P1027">
        <f t="shared" si="229"/>
        <v>916</v>
      </c>
      <c r="Q1027">
        <f t="shared" si="230"/>
        <v>725</v>
      </c>
      <c r="R1027">
        <f t="shared" si="231"/>
        <v>666</v>
      </c>
      <c r="S1027">
        <f t="shared" si="232"/>
        <v>-191</v>
      </c>
      <c r="T1027">
        <f t="shared" si="233"/>
        <v>-250</v>
      </c>
      <c r="U1027">
        <f t="shared" si="234"/>
        <v>-59</v>
      </c>
      <c r="V1027" s="9">
        <f t="shared" si="223"/>
        <v>86</v>
      </c>
      <c r="W1027" s="9">
        <f t="shared" si="223"/>
        <v>830</v>
      </c>
      <c r="X1027" s="9">
        <f t="shared" si="223"/>
        <v>639</v>
      </c>
      <c r="Y1027" s="9">
        <f t="shared" si="223"/>
        <v>580</v>
      </c>
      <c r="Z1027" s="9">
        <f t="shared" si="223"/>
        <v>916</v>
      </c>
      <c r="AA1027" s="9">
        <f t="shared" si="222"/>
        <v>725</v>
      </c>
      <c r="AB1027" s="9">
        <f t="shared" si="222"/>
        <v>666</v>
      </c>
      <c r="AC1027" s="9">
        <f t="shared" si="222"/>
        <v>191</v>
      </c>
      <c r="AD1027" s="9">
        <f t="shared" si="222"/>
        <v>250</v>
      </c>
      <c r="AE1027" s="9">
        <f t="shared" si="222"/>
        <v>59</v>
      </c>
    </row>
    <row r="1028" spans="2:31" x14ac:dyDescent="0.25">
      <c r="B1028" s="6">
        <v>3217</v>
      </c>
      <c r="C1028" s="6">
        <f t="shared" si="224"/>
        <v>3303</v>
      </c>
      <c r="D1028" s="6">
        <f t="shared" si="235"/>
        <v>2851</v>
      </c>
      <c r="E1028" s="6">
        <f t="shared" si="236"/>
        <v>2774</v>
      </c>
      <c r="F1028" s="6">
        <f t="shared" si="237"/>
        <v>2741</v>
      </c>
      <c r="L1028">
        <f t="shared" si="225"/>
        <v>-86</v>
      </c>
      <c r="M1028">
        <f t="shared" si="226"/>
        <v>366</v>
      </c>
      <c r="N1028">
        <f t="shared" si="227"/>
        <v>443</v>
      </c>
      <c r="O1028">
        <f t="shared" si="228"/>
        <v>476</v>
      </c>
      <c r="P1028">
        <f t="shared" si="229"/>
        <v>452</v>
      </c>
      <c r="Q1028">
        <f t="shared" si="230"/>
        <v>529</v>
      </c>
      <c r="R1028">
        <f t="shared" si="231"/>
        <v>562</v>
      </c>
      <c r="S1028">
        <f t="shared" si="232"/>
        <v>77</v>
      </c>
      <c r="T1028">
        <f t="shared" si="233"/>
        <v>110</v>
      </c>
      <c r="U1028">
        <f t="shared" si="234"/>
        <v>33</v>
      </c>
      <c r="V1028" s="9">
        <f t="shared" si="223"/>
        <v>86</v>
      </c>
      <c r="W1028" s="9">
        <f t="shared" si="223"/>
        <v>366</v>
      </c>
      <c r="X1028" s="9">
        <f t="shared" si="223"/>
        <v>443</v>
      </c>
      <c r="Y1028" s="9">
        <f t="shared" si="223"/>
        <v>476</v>
      </c>
      <c r="Z1028" s="9">
        <f t="shared" si="223"/>
        <v>452</v>
      </c>
      <c r="AA1028" s="9">
        <f t="shared" si="222"/>
        <v>529</v>
      </c>
      <c r="AB1028" s="9">
        <f t="shared" si="222"/>
        <v>562</v>
      </c>
      <c r="AC1028" s="9">
        <f t="shared" si="222"/>
        <v>77</v>
      </c>
      <c r="AD1028" s="9">
        <f t="shared" si="222"/>
        <v>110</v>
      </c>
      <c r="AE1028" s="9">
        <f t="shared" si="222"/>
        <v>33</v>
      </c>
    </row>
    <row r="1029" spans="2:31" x14ac:dyDescent="0.25">
      <c r="B1029" s="6">
        <v>1555</v>
      </c>
      <c r="C1029" s="6">
        <f t="shared" si="224"/>
        <v>1641</v>
      </c>
      <c r="D1029" s="6">
        <f t="shared" si="235"/>
        <v>1189</v>
      </c>
      <c r="E1029" s="6">
        <f t="shared" si="236"/>
        <v>1112</v>
      </c>
      <c r="F1029" s="6">
        <f t="shared" si="237"/>
        <v>1079</v>
      </c>
      <c r="L1029">
        <f t="shared" si="225"/>
        <v>-86</v>
      </c>
      <c r="M1029">
        <f t="shared" si="226"/>
        <v>366</v>
      </c>
      <c r="N1029">
        <f t="shared" si="227"/>
        <v>443</v>
      </c>
      <c r="O1029">
        <f t="shared" si="228"/>
        <v>476</v>
      </c>
      <c r="P1029">
        <f t="shared" si="229"/>
        <v>452</v>
      </c>
      <c r="Q1029">
        <f t="shared" si="230"/>
        <v>529</v>
      </c>
      <c r="R1029">
        <f t="shared" si="231"/>
        <v>562</v>
      </c>
      <c r="S1029">
        <f t="shared" si="232"/>
        <v>77</v>
      </c>
      <c r="T1029">
        <f t="shared" si="233"/>
        <v>110</v>
      </c>
      <c r="U1029">
        <f t="shared" si="234"/>
        <v>33</v>
      </c>
      <c r="V1029" s="9">
        <f t="shared" si="223"/>
        <v>86</v>
      </c>
      <c r="W1029" s="9">
        <f t="shared" si="223"/>
        <v>366</v>
      </c>
      <c r="X1029" s="9">
        <f t="shared" si="223"/>
        <v>443</v>
      </c>
      <c r="Y1029" s="9">
        <f t="shared" si="223"/>
        <v>476</v>
      </c>
      <c r="Z1029" s="9">
        <f t="shared" si="223"/>
        <v>452</v>
      </c>
      <c r="AA1029" s="9">
        <f t="shared" si="222"/>
        <v>529</v>
      </c>
      <c r="AB1029" s="9">
        <f t="shared" si="222"/>
        <v>562</v>
      </c>
      <c r="AC1029" s="9">
        <f t="shared" si="222"/>
        <v>77</v>
      </c>
      <c r="AD1029" s="9">
        <f t="shared" si="222"/>
        <v>110</v>
      </c>
      <c r="AE1029" s="9">
        <f t="shared" si="222"/>
        <v>33</v>
      </c>
    </row>
    <row r="1030" spans="2:31" x14ac:dyDescent="0.25">
      <c r="B1030" s="6">
        <v>2048</v>
      </c>
      <c r="C1030" s="6">
        <f t="shared" si="224"/>
        <v>2134</v>
      </c>
      <c r="D1030" s="6">
        <f t="shared" si="235"/>
        <v>1682</v>
      </c>
      <c r="E1030" s="6">
        <f t="shared" si="236"/>
        <v>1605</v>
      </c>
      <c r="F1030" s="6">
        <f t="shared" si="237"/>
        <v>1572</v>
      </c>
      <c r="L1030">
        <f t="shared" si="225"/>
        <v>-86</v>
      </c>
      <c r="M1030">
        <f t="shared" si="226"/>
        <v>366</v>
      </c>
      <c r="N1030">
        <f t="shared" si="227"/>
        <v>443</v>
      </c>
      <c r="O1030">
        <f t="shared" si="228"/>
        <v>476</v>
      </c>
      <c r="P1030">
        <f t="shared" si="229"/>
        <v>452</v>
      </c>
      <c r="Q1030">
        <f t="shared" si="230"/>
        <v>529</v>
      </c>
      <c r="R1030">
        <f t="shared" si="231"/>
        <v>562</v>
      </c>
      <c r="S1030">
        <f t="shared" si="232"/>
        <v>77</v>
      </c>
      <c r="T1030">
        <f t="shared" si="233"/>
        <v>110</v>
      </c>
      <c r="U1030">
        <f t="shared" si="234"/>
        <v>33</v>
      </c>
      <c r="V1030" s="9">
        <f t="shared" si="223"/>
        <v>86</v>
      </c>
      <c r="W1030" s="9">
        <f t="shared" si="223"/>
        <v>366</v>
      </c>
      <c r="X1030" s="9">
        <f t="shared" si="223"/>
        <v>443</v>
      </c>
      <c r="Y1030" s="9">
        <f t="shared" si="223"/>
        <v>476</v>
      </c>
      <c r="Z1030" s="9">
        <f t="shared" si="223"/>
        <v>452</v>
      </c>
      <c r="AA1030" s="9">
        <f t="shared" si="222"/>
        <v>529</v>
      </c>
      <c r="AB1030" s="9">
        <f t="shared" si="222"/>
        <v>562</v>
      </c>
      <c r="AC1030" s="9">
        <f t="shared" si="222"/>
        <v>77</v>
      </c>
      <c r="AD1030" s="9">
        <f t="shared" si="222"/>
        <v>110</v>
      </c>
      <c r="AE1030" s="9">
        <f t="shared" si="222"/>
        <v>33</v>
      </c>
    </row>
    <row r="1031" spans="2:31" x14ac:dyDescent="0.25">
      <c r="B1031" s="6">
        <v>2164</v>
      </c>
      <c r="C1031" s="6">
        <f t="shared" si="224"/>
        <v>2250</v>
      </c>
      <c r="D1031" s="6">
        <f t="shared" si="235"/>
        <v>1798</v>
      </c>
      <c r="E1031" s="6">
        <f t="shared" si="236"/>
        <v>1721</v>
      </c>
      <c r="F1031" s="6">
        <f t="shared" si="237"/>
        <v>1688</v>
      </c>
      <c r="L1031">
        <f t="shared" si="225"/>
        <v>-86</v>
      </c>
      <c r="M1031">
        <f t="shared" si="226"/>
        <v>366</v>
      </c>
      <c r="N1031">
        <f t="shared" si="227"/>
        <v>443</v>
      </c>
      <c r="O1031">
        <f t="shared" si="228"/>
        <v>476</v>
      </c>
      <c r="P1031">
        <f t="shared" si="229"/>
        <v>452</v>
      </c>
      <c r="Q1031">
        <f t="shared" si="230"/>
        <v>529</v>
      </c>
      <c r="R1031">
        <f t="shared" si="231"/>
        <v>562</v>
      </c>
      <c r="S1031">
        <f t="shared" si="232"/>
        <v>77</v>
      </c>
      <c r="T1031">
        <f t="shared" si="233"/>
        <v>110</v>
      </c>
      <c r="U1031">
        <f t="shared" si="234"/>
        <v>33</v>
      </c>
      <c r="V1031" s="9">
        <f t="shared" si="223"/>
        <v>86</v>
      </c>
      <c r="W1031" s="9">
        <f t="shared" si="223"/>
        <v>366</v>
      </c>
      <c r="X1031" s="9">
        <f t="shared" si="223"/>
        <v>443</v>
      </c>
      <c r="Y1031" s="9">
        <f t="shared" si="223"/>
        <v>476</v>
      </c>
      <c r="Z1031" s="9">
        <f t="shared" si="223"/>
        <v>452</v>
      </c>
      <c r="AA1031" s="9">
        <f t="shared" si="222"/>
        <v>529</v>
      </c>
      <c r="AB1031" s="9">
        <f t="shared" si="222"/>
        <v>562</v>
      </c>
      <c r="AC1031" s="9">
        <f t="shared" si="222"/>
        <v>77</v>
      </c>
      <c r="AD1031" s="9">
        <f t="shared" si="222"/>
        <v>110</v>
      </c>
      <c r="AE1031" s="9">
        <f t="shared" si="222"/>
        <v>33</v>
      </c>
    </row>
    <row r="1032" spans="2:31" x14ac:dyDescent="0.25">
      <c r="B1032" s="6">
        <v>3217</v>
      </c>
      <c r="C1032" s="6">
        <f t="shared" si="224"/>
        <v>3303</v>
      </c>
      <c r="D1032" s="6">
        <f t="shared" si="235"/>
        <v>2851</v>
      </c>
      <c r="E1032" s="6">
        <f t="shared" si="236"/>
        <v>2774</v>
      </c>
      <c r="F1032" s="6">
        <f t="shared" si="237"/>
        <v>2741</v>
      </c>
      <c r="L1032">
        <f t="shared" si="225"/>
        <v>-86</v>
      </c>
      <c r="M1032">
        <f t="shared" si="226"/>
        <v>366</v>
      </c>
      <c r="N1032">
        <f t="shared" si="227"/>
        <v>443</v>
      </c>
      <c r="O1032">
        <f t="shared" si="228"/>
        <v>476</v>
      </c>
      <c r="P1032">
        <f t="shared" si="229"/>
        <v>452</v>
      </c>
      <c r="Q1032">
        <f t="shared" si="230"/>
        <v>529</v>
      </c>
      <c r="R1032">
        <f t="shared" si="231"/>
        <v>562</v>
      </c>
      <c r="S1032">
        <f t="shared" si="232"/>
        <v>77</v>
      </c>
      <c r="T1032">
        <f t="shared" si="233"/>
        <v>110</v>
      </c>
      <c r="U1032">
        <f t="shared" si="234"/>
        <v>33</v>
      </c>
      <c r="V1032" s="9">
        <f t="shared" si="223"/>
        <v>86</v>
      </c>
      <c r="W1032" s="9">
        <f t="shared" si="223"/>
        <v>366</v>
      </c>
      <c r="X1032" s="9">
        <f t="shared" si="223"/>
        <v>443</v>
      </c>
      <c r="Y1032" s="9">
        <f t="shared" si="223"/>
        <v>476</v>
      </c>
      <c r="Z1032" s="9">
        <f t="shared" si="223"/>
        <v>452</v>
      </c>
      <c r="AA1032" s="9">
        <f t="shared" si="222"/>
        <v>529</v>
      </c>
      <c r="AB1032" s="9">
        <f t="shared" si="222"/>
        <v>562</v>
      </c>
      <c r="AC1032" s="9">
        <f t="shared" si="222"/>
        <v>77</v>
      </c>
      <c r="AD1032" s="9">
        <f t="shared" si="222"/>
        <v>110</v>
      </c>
      <c r="AE1032" s="9">
        <f t="shared" si="222"/>
        <v>33</v>
      </c>
    </row>
    <row r="1033" spans="2:31" x14ac:dyDescent="0.25">
      <c r="B1033" s="6">
        <v>3027</v>
      </c>
      <c r="C1033" s="6">
        <f t="shared" si="224"/>
        <v>3113</v>
      </c>
      <c r="D1033" s="6">
        <f t="shared" si="235"/>
        <v>2661</v>
      </c>
      <c r="E1033" s="6">
        <f t="shared" si="236"/>
        <v>2584</v>
      </c>
      <c r="F1033" s="6">
        <f t="shared" si="237"/>
        <v>2551</v>
      </c>
      <c r="L1033">
        <f t="shared" si="225"/>
        <v>-86</v>
      </c>
      <c r="M1033">
        <f t="shared" si="226"/>
        <v>366</v>
      </c>
      <c r="N1033">
        <f t="shared" si="227"/>
        <v>443</v>
      </c>
      <c r="O1033">
        <f t="shared" si="228"/>
        <v>476</v>
      </c>
      <c r="P1033">
        <f t="shared" si="229"/>
        <v>452</v>
      </c>
      <c r="Q1033">
        <f t="shared" si="230"/>
        <v>529</v>
      </c>
      <c r="R1033">
        <f t="shared" si="231"/>
        <v>562</v>
      </c>
      <c r="S1033">
        <f t="shared" si="232"/>
        <v>77</v>
      </c>
      <c r="T1033">
        <f t="shared" si="233"/>
        <v>110</v>
      </c>
      <c r="U1033">
        <f t="shared" si="234"/>
        <v>33</v>
      </c>
      <c r="V1033" s="9">
        <f t="shared" si="223"/>
        <v>86</v>
      </c>
      <c r="W1033" s="9">
        <f t="shared" si="223"/>
        <v>366</v>
      </c>
      <c r="X1033" s="9">
        <f t="shared" si="223"/>
        <v>443</v>
      </c>
      <c r="Y1033" s="9">
        <f t="shared" si="223"/>
        <v>476</v>
      </c>
      <c r="Z1033" s="9">
        <f t="shared" si="223"/>
        <v>452</v>
      </c>
      <c r="AA1033" s="9">
        <f t="shared" si="222"/>
        <v>529</v>
      </c>
      <c r="AB1033" s="9">
        <f t="shared" si="222"/>
        <v>562</v>
      </c>
      <c r="AC1033" s="9">
        <f t="shared" si="222"/>
        <v>77</v>
      </c>
      <c r="AD1033" s="9">
        <f t="shared" si="222"/>
        <v>110</v>
      </c>
      <c r="AE1033" s="9">
        <f t="shared" si="222"/>
        <v>33</v>
      </c>
    </row>
    <row r="1034" spans="2:31" x14ac:dyDescent="0.25">
      <c r="B1034" s="6">
        <v>2248</v>
      </c>
      <c r="C1034" s="6">
        <f t="shared" si="224"/>
        <v>2334</v>
      </c>
      <c r="D1034" s="6">
        <f t="shared" si="235"/>
        <v>1882</v>
      </c>
      <c r="E1034" s="6">
        <f t="shared" si="236"/>
        <v>1805</v>
      </c>
      <c r="F1034" s="6">
        <f t="shared" si="237"/>
        <v>1772</v>
      </c>
      <c r="L1034">
        <f t="shared" si="225"/>
        <v>-86</v>
      </c>
      <c r="M1034">
        <f t="shared" si="226"/>
        <v>366</v>
      </c>
      <c r="N1034">
        <f t="shared" si="227"/>
        <v>443</v>
      </c>
      <c r="O1034">
        <f t="shared" si="228"/>
        <v>476</v>
      </c>
      <c r="P1034">
        <f t="shared" si="229"/>
        <v>452</v>
      </c>
      <c r="Q1034">
        <f t="shared" si="230"/>
        <v>529</v>
      </c>
      <c r="R1034">
        <f t="shared" si="231"/>
        <v>562</v>
      </c>
      <c r="S1034">
        <f t="shared" si="232"/>
        <v>77</v>
      </c>
      <c r="T1034">
        <f t="shared" si="233"/>
        <v>110</v>
      </c>
      <c r="U1034">
        <f t="shared" si="234"/>
        <v>33</v>
      </c>
      <c r="V1034" s="9">
        <f t="shared" si="223"/>
        <v>86</v>
      </c>
      <c r="W1034" s="9">
        <f t="shared" si="223"/>
        <v>366</v>
      </c>
      <c r="X1034" s="9">
        <f t="shared" si="223"/>
        <v>443</v>
      </c>
      <c r="Y1034" s="9">
        <f t="shared" si="223"/>
        <v>476</v>
      </c>
      <c r="Z1034" s="9">
        <f t="shared" si="223"/>
        <v>452</v>
      </c>
      <c r="AA1034" s="9">
        <f t="shared" si="222"/>
        <v>529</v>
      </c>
      <c r="AB1034" s="9">
        <f t="shared" si="222"/>
        <v>562</v>
      </c>
      <c r="AC1034" s="9">
        <f t="shared" si="222"/>
        <v>77</v>
      </c>
      <c r="AD1034" s="9">
        <f t="shared" si="222"/>
        <v>110</v>
      </c>
      <c r="AE1034" s="9">
        <f t="shared" si="222"/>
        <v>33</v>
      </c>
    </row>
    <row r="1035" spans="2:31" x14ac:dyDescent="0.25">
      <c r="B1035" s="6">
        <v>1348</v>
      </c>
      <c r="C1035" s="6">
        <f t="shared" si="224"/>
        <v>1434</v>
      </c>
      <c r="D1035" s="6">
        <f t="shared" si="235"/>
        <v>982</v>
      </c>
      <c r="E1035" s="6">
        <f t="shared" si="236"/>
        <v>905</v>
      </c>
      <c r="F1035" s="6">
        <f t="shared" si="237"/>
        <v>872</v>
      </c>
      <c r="L1035">
        <f t="shared" si="225"/>
        <v>-86</v>
      </c>
      <c r="M1035">
        <f t="shared" si="226"/>
        <v>366</v>
      </c>
      <c r="N1035">
        <f t="shared" si="227"/>
        <v>443</v>
      </c>
      <c r="O1035">
        <f t="shared" si="228"/>
        <v>476</v>
      </c>
      <c r="P1035">
        <f t="shared" si="229"/>
        <v>452</v>
      </c>
      <c r="Q1035">
        <f t="shared" si="230"/>
        <v>529</v>
      </c>
      <c r="R1035">
        <f t="shared" si="231"/>
        <v>562</v>
      </c>
      <c r="S1035">
        <f t="shared" si="232"/>
        <v>77</v>
      </c>
      <c r="T1035">
        <f t="shared" si="233"/>
        <v>110</v>
      </c>
      <c r="U1035">
        <f t="shared" si="234"/>
        <v>33</v>
      </c>
      <c r="V1035" s="9">
        <f t="shared" si="223"/>
        <v>86</v>
      </c>
      <c r="W1035" s="9">
        <f t="shared" si="223"/>
        <v>366</v>
      </c>
      <c r="X1035" s="9">
        <f t="shared" si="223"/>
        <v>443</v>
      </c>
      <c r="Y1035" s="9">
        <f t="shared" si="223"/>
        <v>476</v>
      </c>
      <c r="Z1035" s="9">
        <f t="shared" si="223"/>
        <v>452</v>
      </c>
      <c r="AA1035" s="9">
        <f t="shared" ref="AA1035:AE1085" si="238">IF(Q1035&gt;=0,Q1035,-Q1035)</f>
        <v>529</v>
      </c>
      <c r="AB1035" s="9">
        <f t="shared" si="238"/>
        <v>562</v>
      </c>
      <c r="AC1035" s="9">
        <f t="shared" si="238"/>
        <v>77</v>
      </c>
      <c r="AD1035" s="9">
        <f t="shared" si="238"/>
        <v>110</v>
      </c>
      <c r="AE1035" s="9">
        <f t="shared" si="238"/>
        <v>33</v>
      </c>
    </row>
    <row r="1036" spans="2:31" x14ac:dyDescent="0.25">
      <c r="B1036" s="6">
        <v>954</v>
      </c>
      <c r="C1036" s="6">
        <f t="shared" si="224"/>
        <v>1040</v>
      </c>
      <c r="D1036" s="6">
        <f t="shared" si="235"/>
        <v>588</v>
      </c>
      <c r="E1036" s="6">
        <f t="shared" si="236"/>
        <v>511</v>
      </c>
      <c r="F1036" s="6">
        <f t="shared" si="237"/>
        <v>478</v>
      </c>
      <c r="L1036">
        <f t="shared" si="225"/>
        <v>-86</v>
      </c>
      <c r="M1036">
        <f t="shared" si="226"/>
        <v>366</v>
      </c>
      <c r="N1036">
        <f t="shared" si="227"/>
        <v>443</v>
      </c>
      <c r="O1036">
        <f t="shared" si="228"/>
        <v>476</v>
      </c>
      <c r="P1036">
        <f t="shared" si="229"/>
        <v>452</v>
      </c>
      <c r="Q1036">
        <f t="shared" si="230"/>
        <v>529</v>
      </c>
      <c r="R1036">
        <f t="shared" si="231"/>
        <v>562</v>
      </c>
      <c r="S1036">
        <f t="shared" si="232"/>
        <v>77</v>
      </c>
      <c r="T1036">
        <f t="shared" si="233"/>
        <v>110</v>
      </c>
      <c r="U1036">
        <f t="shared" si="234"/>
        <v>33</v>
      </c>
      <c r="V1036" s="9">
        <f t="shared" ref="V1036:Z1086" si="239">IF(L1036&gt;=0,L1036,-L1036)</f>
        <v>86</v>
      </c>
      <c r="W1036" s="9">
        <f t="shared" si="239"/>
        <v>366</v>
      </c>
      <c r="X1036" s="9">
        <f t="shared" si="239"/>
        <v>443</v>
      </c>
      <c r="Y1036" s="9">
        <f t="shared" si="239"/>
        <v>476</v>
      </c>
      <c r="Z1036" s="9">
        <f t="shared" si="239"/>
        <v>452</v>
      </c>
      <c r="AA1036" s="9">
        <f t="shared" si="238"/>
        <v>529</v>
      </c>
      <c r="AB1036" s="9">
        <f t="shared" si="238"/>
        <v>562</v>
      </c>
      <c r="AC1036" s="9">
        <f t="shared" si="238"/>
        <v>77</v>
      </c>
      <c r="AD1036" s="9">
        <f t="shared" si="238"/>
        <v>110</v>
      </c>
      <c r="AE1036" s="9">
        <f t="shared" si="238"/>
        <v>33</v>
      </c>
    </row>
    <row r="1037" spans="2:31" x14ac:dyDescent="0.25">
      <c r="B1037" s="6">
        <v>1567</v>
      </c>
      <c r="C1037" s="6">
        <f t="shared" si="224"/>
        <v>1653</v>
      </c>
      <c r="D1037" s="6">
        <f t="shared" si="235"/>
        <v>1201</v>
      </c>
      <c r="E1037" s="6">
        <f t="shared" si="236"/>
        <v>1124</v>
      </c>
      <c r="F1037" s="6">
        <f t="shared" si="237"/>
        <v>1091</v>
      </c>
      <c r="L1037">
        <f t="shared" si="225"/>
        <v>-86</v>
      </c>
      <c r="M1037">
        <f t="shared" si="226"/>
        <v>366</v>
      </c>
      <c r="N1037">
        <f t="shared" si="227"/>
        <v>443</v>
      </c>
      <c r="O1037">
        <f t="shared" si="228"/>
        <v>476</v>
      </c>
      <c r="P1037">
        <f t="shared" si="229"/>
        <v>452</v>
      </c>
      <c r="Q1037">
        <f t="shared" si="230"/>
        <v>529</v>
      </c>
      <c r="R1037">
        <f t="shared" si="231"/>
        <v>562</v>
      </c>
      <c r="S1037">
        <f t="shared" si="232"/>
        <v>77</v>
      </c>
      <c r="T1037">
        <f t="shared" si="233"/>
        <v>110</v>
      </c>
      <c r="U1037">
        <f t="shared" si="234"/>
        <v>33</v>
      </c>
      <c r="V1037" s="9">
        <f t="shared" si="239"/>
        <v>86</v>
      </c>
      <c r="W1037" s="9">
        <f t="shared" si="239"/>
        <v>366</v>
      </c>
      <c r="X1037" s="9">
        <f t="shared" si="239"/>
        <v>443</v>
      </c>
      <c r="Y1037" s="9">
        <f t="shared" si="239"/>
        <v>476</v>
      </c>
      <c r="Z1037" s="9">
        <f t="shared" si="239"/>
        <v>452</v>
      </c>
      <c r="AA1037" s="9">
        <f t="shared" si="238"/>
        <v>529</v>
      </c>
      <c r="AB1037" s="9">
        <f t="shared" si="238"/>
        <v>562</v>
      </c>
      <c r="AC1037" s="9">
        <f t="shared" si="238"/>
        <v>77</v>
      </c>
      <c r="AD1037" s="9">
        <f t="shared" si="238"/>
        <v>110</v>
      </c>
      <c r="AE1037" s="9">
        <f t="shared" si="238"/>
        <v>33</v>
      </c>
    </row>
    <row r="1038" spans="2:31" x14ac:dyDescent="0.25">
      <c r="B1038" s="6">
        <v>2289</v>
      </c>
      <c r="C1038" s="6">
        <f t="shared" si="224"/>
        <v>2375</v>
      </c>
      <c r="D1038" s="6">
        <f t="shared" si="235"/>
        <v>1923</v>
      </c>
      <c r="E1038" s="6">
        <f t="shared" si="236"/>
        <v>1846</v>
      </c>
      <c r="F1038" s="6">
        <f t="shared" si="237"/>
        <v>1813</v>
      </c>
      <c r="L1038">
        <f t="shared" si="225"/>
        <v>-86</v>
      </c>
      <c r="M1038">
        <f t="shared" si="226"/>
        <v>366</v>
      </c>
      <c r="N1038">
        <f t="shared" si="227"/>
        <v>443</v>
      </c>
      <c r="O1038">
        <f t="shared" si="228"/>
        <v>476</v>
      </c>
      <c r="P1038">
        <f t="shared" si="229"/>
        <v>452</v>
      </c>
      <c r="Q1038">
        <f t="shared" si="230"/>
        <v>529</v>
      </c>
      <c r="R1038">
        <f t="shared" si="231"/>
        <v>562</v>
      </c>
      <c r="S1038">
        <f t="shared" si="232"/>
        <v>77</v>
      </c>
      <c r="T1038">
        <f t="shared" si="233"/>
        <v>110</v>
      </c>
      <c r="U1038">
        <f t="shared" si="234"/>
        <v>33</v>
      </c>
      <c r="V1038" s="9">
        <f t="shared" si="239"/>
        <v>86</v>
      </c>
      <c r="W1038" s="9">
        <f t="shared" si="239"/>
        <v>366</v>
      </c>
      <c r="X1038" s="9">
        <f t="shared" si="239"/>
        <v>443</v>
      </c>
      <c r="Y1038" s="9">
        <f t="shared" si="239"/>
        <v>476</v>
      </c>
      <c r="Z1038" s="9">
        <f t="shared" si="239"/>
        <v>452</v>
      </c>
      <c r="AA1038" s="9">
        <f t="shared" si="238"/>
        <v>529</v>
      </c>
      <c r="AB1038" s="9">
        <f t="shared" si="238"/>
        <v>562</v>
      </c>
      <c r="AC1038" s="9">
        <f t="shared" si="238"/>
        <v>77</v>
      </c>
      <c r="AD1038" s="9">
        <f t="shared" si="238"/>
        <v>110</v>
      </c>
      <c r="AE1038" s="9">
        <f t="shared" si="238"/>
        <v>33</v>
      </c>
    </row>
    <row r="1039" spans="2:31" x14ac:dyDescent="0.25">
      <c r="B1039" s="6">
        <v>2874</v>
      </c>
      <c r="C1039" s="6">
        <f t="shared" si="224"/>
        <v>2960</v>
      </c>
      <c r="D1039" s="6">
        <f t="shared" si="235"/>
        <v>2508</v>
      </c>
      <c r="E1039" s="6">
        <f t="shared" si="236"/>
        <v>2431</v>
      </c>
      <c r="F1039" s="6">
        <f t="shared" si="237"/>
        <v>2398</v>
      </c>
      <c r="L1039">
        <f t="shared" si="225"/>
        <v>-86</v>
      </c>
      <c r="M1039">
        <f t="shared" si="226"/>
        <v>366</v>
      </c>
      <c r="N1039">
        <f t="shared" si="227"/>
        <v>443</v>
      </c>
      <c r="O1039">
        <f t="shared" si="228"/>
        <v>476</v>
      </c>
      <c r="P1039">
        <f t="shared" si="229"/>
        <v>452</v>
      </c>
      <c r="Q1039">
        <f t="shared" si="230"/>
        <v>529</v>
      </c>
      <c r="R1039">
        <f t="shared" si="231"/>
        <v>562</v>
      </c>
      <c r="S1039">
        <f t="shared" si="232"/>
        <v>77</v>
      </c>
      <c r="T1039">
        <f t="shared" si="233"/>
        <v>110</v>
      </c>
      <c r="U1039">
        <f t="shared" si="234"/>
        <v>33</v>
      </c>
      <c r="V1039" s="9">
        <f t="shared" si="239"/>
        <v>86</v>
      </c>
      <c r="W1039" s="9">
        <f t="shared" si="239"/>
        <v>366</v>
      </c>
      <c r="X1039" s="9">
        <f t="shared" si="239"/>
        <v>443</v>
      </c>
      <c r="Y1039" s="9">
        <f t="shared" si="239"/>
        <v>476</v>
      </c>
      <c r="Z1039" s="9">
        <f t="shared" si="239"/>
        <v>452</v>
      </c>
      <c r="AA1039" s="9">
        <f t="shared" si="238"/>
        <v>529</v>
      </c>
      <c r="AB1039" s="9">
        <f t="shared" si="238"/>
        <v>562</v>
      </c>
      <c r="AC1039" s="9">
        <f t="shared" si="238"/>
        <v>77</v>
      </c>
      <c r="AD1039" s="9">
        <f t="shared" si="238"/>
        <v>110</v>
      </c>
      <c r="AE1039" s="9">
        <f t="shared" si="238"/>
        <v>33</v>
      </c>
    </row>
    <row r="1040" spans="2:31" x14ac:dyDescent="0.25">
      <c r="B1040" s="6">
        <v>2489</v>
      </c>
      <c r="C1040" s="6">
        <f t="shared" si="224"/>
        <v>2575</v>
      </c>
      <c r="D1040" s="6">
        <f t="shared" si="235"/>
        <v>2123</v>
      </c>
      <c r="E1040" s="6">
        <f t="shared" si="236"/>
        <v>2046</v>
      </c>
      <c r="F1040" s="6">
        <f t="shared" si="237"/>
        <v>2013</v>
      </c>
      <c r="L1040">
        <f t="shared" si="225"/>
        <v>-86</v>
      </c>
      <c r="M1040">
        <f t="shared" si="226"/>
        <v>366</v>
      </c>
      <c r="N1040">
        <f t="shared" si="227"/>
        <v>443</v>
      </c>
      <c r="O1040">
        <f t="shared" si="228"/>
        <v>476</v>
      </c>
      <c r="P1040">
        <f t="shared" si="229"/>
        <v>452</v>
      </c>
      <c r="Q1040">
        <f t="shared" si="230"/>
        <v>529</v>
      </c>
      <c r="R1040">
        <f t="shared" si="231"/>
        <v>562</v>
      </c>
      <c r="S1040">
        <f t="shared" si="232"/>
        <v>77</v>
      </c>
      <c r="T1040">
        <f t="shared" si="233"/>
        <v>110</v>
      </c>
      <c r="U1040">
        <f t="shared" si="234"/>
        <v>33</v>
      </c>
      <c r="V1040" s="9">
        <f t="shared" si="239"/>
        <v>86</v>
      </c>
      <c r="W1040" s="9">
        <f t="shared" si="239"/>
        <v>366</v>
      </c>
      <c r="X1040" s="9">
        <f t="shared" si="239"/>
        <v>443</v>
      </c>
      <c r="Y1040" s="9">
        <f t="shared" si="239"/>
        <v>476</v>
      </c>
      <c r="Z1040" s="9">
        <f t="shared" si="239"/>
        <v>452</v>
      </c>
      <c r="AA1040" s="9">
        <f t="shared" si="238"/>
        <v>529</v>
      </c>
      <c r="AB1040" s="9">
        <f t="shared" si="238"/>
        <v>562</v>
      </c>
      <c r="AC1040" s="9">
        <f t="shared" si="238"/>
        <v>77</v>
      </c>
      <c r="AD1040" s="9">
        <f t="shared" si="238"/>
        <v>110</v>
      </c>
      <c r="AE1040" s="9">
        <f t="shared" si="238"/>
        <v>33</v>
      </c>
    </row>
    <row r="1041" spans="2:31" x14ac:dyDescent="0.25">
      <c r="B1041" s="6">
        <v>3221</v>
      </c>
      <c r="C1041" s="6">
        <f t="shared" si="224"/>
        <v>3307</v>
      </c>
      <c r="D1041" s="6">
        <f t="shared" si="235"/>
        <v>2855</v>
      </c>
      <c r="E1041" s="6">
        <f t="shared" si="236"/>
        <v>2778</v>
      </c>
      <c r="F1041" s="6">
        <f t="shared" si="237"/>
        <v>2745</v>
      </c>
      <c r="L1041">
        <f t="shared" si="225"/>
        <v>-86</v>
      </c>
      <c r="M1041">
        <f t="shared" si="226"/>
        <v>366</v>
      </c>
      <c r="N1041">
        <f t="shared" si="227"/>
        <v>443</v>
      </c>
      <c r="O1041">
        <f t="shared" si="228"/>
        <v>476</v>
      </c>
      <c r="P1041">
        <f t="shared" si="229"/>
        <v>452</v>
      </c>
      <c r="Q1041">
        <f t="shared" si="230"/>
        <v>529</v>
      </c>
      <c r="R1041">
        <f t="shared" si="231"/>
        <v>562</v>
      </c>
      <c r="S1041">
        <f t="shared" si="232"/>
        <v>77</v>
      </c>
      <c r="T1041">
        <f t="shared" si="233"/>
        <v>110</v>
      </c>
      <c r="U1041">
        <f t="shared" si="234"/>
        <v>33</v>
      </c>
      <c r="V1041" s="9">
        <f t="shared" si="239"/>
        <v>86</v>
      </c>
      <c r="W1041" s="9">
        <f t="shared" si="239"/>
        <v>366</v>
      </c>
      <c r="X1041" s="9">
        <f t="shared" si="239"/>
        <v>443</v>
      </c>
      <c r="Y1041" s="9">
        <f t="shared" si="239"/>
        <v>476</v>
      </c>
      <c r="Z1041" s="9">
        <f t="shared" si="239"/>
        <v>452</v>
      </c>
      <c r="AA1041" s="9">
        <f t="shared" si="238"/>
        <v>529</v>
      </c>
      <c r="AB1041" s="9">
        <f t="shared" si="238"/>
        <v>562</v>
      </c>
      <c r="AC1041" s="9">
        <f t="shared" si="238"/>
        <v>77</v>
      </c>
      <c r="AD1041" s="9">
        <f t="shared" si="238"/>
        <v>110</v>
      </c>
      <c r="AE1041" s="9">
        <f t="shared" si="238"/>
        <v>33</v>
      </c>
    </row>
    <row r="1042" spans="2:31" x14ac:dyDescent="0.25">
      <c r="B1042" s="6">
        <v>2278</v>
      </c>
      <c r="C1042" s="6">
        <f t="shared" si="224"/>
        <v>2364</v>
      </c>
      <c r="D1042" s="6">
        <f t="shared" si="235"/>
        <v>1912</v>
      </c>
      <c r="E1042" s="6">
        <f t="shared" si="236"/>
        <v>1835</v>
      </c>
      <c r="F1042" s="6">
        <f t="shared" si="237"/>
        <v>1802</v>
      </c>
      <c r="L1042">
        <f t="shared" si="225"/>
        <v>-86</v>
      </c>
      <c r="M1042">
        <f t="shared" si="226"/>
        <v>366</v>
      </c>
      <c r="N1042">
        <f t="shared" si="227"/>
        <v>443</v>
      </c>
      <c r="O1042">
        <f t="shared" si="228"/>
        <v>476</v>
      </c>
      <c r="P1042">
        <f t="shared" si="229"/>
        <v>452</v>
      </c>
      <c r="Q1042">
        <f t="shared" si="230"/>
        <v>529</v>
      </c>
      <c r="R1042">
        <f t="shared" si="231"/>
        <v>562</v>
      </c>
      <c r="S1042">
        <f t="shared" si="232"/>
        <v>77</v>
      </c>
      <c r="T1042">
        <f t="shared" si="233"/>
        <v>110</v>
      </c>
      <c r="U1042">
        <f t="shared" si="234"/>
        <v>33</v>
      </c>
      <c r="V1042" s="9">
        <f t="shared" si="239"/>
        <v>86</v>
      </c>
      <c r="W1042" s="9">
        <f t="shared" si="239"/>
        <v>366</v>
      </c>
      <c r="X1042" s="9">
        <f t="shared" si="239"/>
        <v>443</v>
      </c>
      <c r="Y1042" s="9">
        <f t="shared" si="239"/>
        <v>476</v>
      </c>
      <c r="Z1042" s="9">
        <f t="shared" si="239"/>
        <v>452</v>
      </c>
      <c r="AA1042" s="9">
        <f t="shared" si="238"/>
        <v>529</v>
      </c>
      <c r="AB1042" s="9">
        <f t="shared" si="238"/>
        <v>562</v>
      </c>
      <c r="AC1042" s="9">
        <f t="shared" si="238"/>
        <v>77</v>
      </c>
      <c r="AD1042" s="9">
        <f t="shared" si="238"/>
        <v>110</v>
      </c>
      <c r="AE1042" s="9">
        <f t="shared" si="238"/>
        <v>33</v>
      </c>
    </row>
    <row r="1043" spans="2:31" x14ac:dyDescent="0.25">
      <c r="B1043" s="6">
        <v>1547</v>
      </c>
      <c r="C1043" s="6">
        <f t="shared" si="224"/>
        <v>1633</v>
      </c>
      <c r="D1043" s="6">
        <f t="shared" si="235"/>
        <v>1181</v>
      </c>
      <c r="E1043" s="6">
        <f t="shared" si="236"/>
        <v>1104</v>
      </c>
      <c r="F1043" s="6">
        <f t="shared" si="237"/>
        <v>1071</v>
      </c>
      <c r="L1043">
        <f t="shared" si="225"/>
        <v>-86</v>
      </c>
      <c r="M1043">
        <f t="shared" si="226"/>
        <v>366</v>
      </c>
      <c r="N1043">
        <f t="shared" si="227"/>
        <v>443</v>
      </c>
      <c r="O1043">
        <f t="shared" si="228"/>
        <v>476</v>
      </c>
      <c r="P1043">
        <f t="shared" si="229"/>
        <v>452</v>
      </c>
      <c r="Q1043">
        <f t="shared" si="230"/>
        <v>529</v>
      </c>
      <c r="R1043">
        <f t="shared" si="231"/>
        <v>562</v>
      </c>
      <c r="S1043">
        <f t="shared" si="232"/>
        <v>77</v>
      </c>
      <c r="T1043">
        <f t="shared" si="233"/>
        <v>110</v>
      </c>
      <c r="U1043">
        <f t="shared" si="234"/>
        <v>33</v>
      </c>
      <c r="V1043" s="9">
        <f t="shared" si="239"/>
        <v>86</v>
      </c>
      <c r="W1043" s="9">
        <f t="shared" si="239"/>
        <v>366</v>
      </c>
      <c r="X1043" s="9">
        <f t="shared" si="239"/>
        <v>443</v>
      </c>
      <c r="Y1043" s="9">
        <f t="shared" si="239"/>
        <v>476</v>
      </c>
      <c r="Z1043" s="9">
        <f t="shared" si="239"/>
        <v>452</v>
      </c>
      <c r="AA1043" s="9">
        <f t="shared" si="238"/>
        <v>529</v>
      </c>
      <c r="AB1043" s="9">
        <f t="shared" si="238"/>
        <v>562</v>
      </c>
      <c r="AC1043" s="9">
        <f t="shared" si="238"/>
        <v>77</v>
      </c>
      <c r="AD1043" s="9">
        <f t="shared" si="238"/>
        <v>110</v>
      </c>
      <c r="AE1043" s="9">
        <f t="shared" si="238"/>
        <v>33</v>
      </c>
    </row>
    <row r="1044" spans="2:31" x14ac:dyDescent="0.25">
      <c r="B1044" s="6">
        <v>957</v>
      </c>
      <c r="C1044" s="6">
        <f t="shared" si="224"/>
        <v>1043</v>
      </c>
      <c r="D1044" s="6">
        <f t="shared" si="235"/>
        <v>591</v>
      </c>
      <c r="E1044" s="6">
        <f t="shared" si="236"/>
        <v>514</v>
      </c>
      <c r="F1044" s="6">
        <f t="shared" si="237"/>
        <v>481</v>
      </c>
      <c r="L1044">
        <f t="shared" si="225"/>
        <v>-86</v>
      </c>
      <c r="M1044">
        <f t="shared" si="226"/>
        <v>366</v>
      </c>
      <c r="N1044">
        <f t="shared" si="227"/>
        <v>443</v>
      </c>
      <c r="O1044">
        <f t="shared" si="228"/>
        <v>476</v>
      </c>
      <c r="P1044">
        <f t="shared" si="229"/>
        <v>452</v>
      </c>
      <c r="Q1044">
        <f t="shared" si="230"/>
        <v>529</v>
      </c>
      <c r="R1044">
        <f t="shared" si="231"/>
        <v>562</v>
      </c>
      <c r="S1044">
        <f t="shared" si="232"/>
        <v>77</v>
      </c>
      <c r="T1044">
        <f t="shared" si="233"/>
        <v>110</v>
      </c>
      <c r="U1044">
        <f t="shared" si="234"/>
        <v>33</v>
      </c>
      <c r="V1044" s="9">
        <f t="shared" si="239"/>
        <v>86</v>
      </c>
      <c r="W1044" s="9">
        <f t="shared" si="239"/>
        <v>366</v>
      </c>
      <c r="X1044" s="9">
        <f t="shared" si="239"/>
        <v>443</v>
      </c>
      <c r="Y1044" s="9">
        <f t="shared" si="239"/>
        <v>476</v>
      </c>
      <c r="Z1044" s="9">
        <f t="shared" si="239"/>
        <v>452</v>
      </c>
      <c r="AA1044" s="9">
        <f t="shared" si="238"/>
        <v>529</v>
      </c>
      <c r="AB1044" s="9">
        <f t="shared" si="238"/>
        <v>562</v>
      </c>
      <c r="AC1044" s="9">
        <f t="shared" si="238"/>
        <v>77</v>
      </c>
      <c r="AD1044" s="9">
        <f t="shared" si="238"/>
        <v>110</v>
      </c>
      <c r="AE1044" s="9">
        <f t="shared" si="238"/>
        <v>33</v>
      </c>
    </row>
    <row r="1045" spans="2:31" x14ac:dyDescent="0.25">
      <c r="B1045" s="6">
        <v>897</v>
      </c>
      <c r="C1045" s="6">
        <f t="shared" si="224"/>
        <v>983</v>
      </c>
      <c r="D1045" s="6">
        <f t="shared" si="235"/>
        <v>531</v>
      </c>
      <c r="E1045" s="6">
        <f t="shared" si="236"/>
        <v>454</v>
      </c>
      <c r="F1045" s="6">
        <f t="shared" si="237"/>
        <v>421</v>
      </c>
      <c r="L1045">
        <f t="shared" si="225"/>
        <v>-86</v>
      </c>
      <c r="M1045">
        <f t="shared" si="226"/>
        <v>366</v>
      </c>
      <c r="N1045">
        <f t="shared" si="227"/>
        <v>443</v>
      </c>
      <c r="O1045">
        <f t="shared" si="228"/>
        <v>476</v>
      </c>
      <c r="P1045">
        <f t="shared" si="229"/>
        <v>452</v>
      </c>
      <c r="Q1045">
        <f t="shared" si="230"/>
        <v>529</v>
      </c>
      <c r="R1045">
        <f t="shared" si="231"/>
        <v>562</v>
      </c>
      <c r="S1045">
        <f t="shared" si="232"/>
        <v>77</v>
      </c>
      <c r="T1045">
        <f t="shared" si="233"/>
        <v>110</v>
      </c>
      <c r="U1045">
        <f t="shared" si="234"/>
        <v>33</v>
      </c>
      <c r="V1045" s="9">
        <f t="shared" si="239"/>
        <v>86</v>
      </c>
      <c r="W1045" s="9">
        <f t="shared" si="239"/>
        <v>366</v>
      </c>
      <c r="X1045" s="9">
        <f t="shared" si="239"/>
        <v>443</v>
      </c>
      <c r="Y1045" s="9">
        <f t="shared" si="239"/>
        <v>476</v>
      </c>
      <c r="Z1045" s="9">
        <f t="shared" si="239"/>
        <v>452</v>
      </c>
      <c r="AA1045" s="9">
        <f t="shared" si="238"/>
        <v>529</v>
      </c>
      <c r="AB1045" s="9">
        <f t="shared" si="238"/>
        <v>562</v>
      </c>
      <c r="AC1045" s="9">
        <f t="shared" si="238"/>
        <v>77</v>
      </c>
      <c r="AD1045" s="9">
        <f t="shared" si="238"/>
        <v>110</v>
      </c>
      <c r="AE1045" s="9">
        <f t="shared" si="238"/>
        <v>33</v>
      </c>
    </row>
    <row r="1046" spans="2:31" x14ac:dyDescent="0.25">
      <c r="B1046" s="6">
        <v>2248</v>
      </c>
      <c r="C1046" s="6">
        <f t="shared" si="224"/>
        <v>2334</v>
      </c>
      <c r="D1046" s="6">
        <f t="shared" si="235"/>
        <v>1882</v>
      </c>
      <c r="E1046" s="6">
        <f t="shared" si="236"/>
        <v>1805</v>
      </c>
      <c r="F1046" s="6">
        <f t="shared" si="237"/>
        <v>1772</v>
      </c>
      <c r="L1046">
        <f t="shared" si="225"/>
        <v>-86</v>
      </c>
      <c r="M1046">
        <f t="shared" si="226"/>
        <v>366</v>
      </c>
      <c r="N1046">
        <f t="shared" si="227"/>
        <v>443</v>
      </c>
      <c r="O1046">
        <f t="shared" si="228"/>
        <v>476</v>
      </c>
      <c r="P1046">
        <f t="shared" si="229"/>
        <v>452</v>
      </c>
      <c r="Q1046">
        <f t="shared" si="230"/>
        <v>529</v>
      </c>
      <c r="R1046">
        <f t="shared" si="231"/>
        <v>562</v>
      </c>
      <c r="S1046">
        <f t="shared" si="232"/>
        <v>77</v>
      </c>
      <c r="T1046">
        <f t="shared" si="233"/>
        <v>110</v>
      </c>
      <c r="U1046">
        <f t="shared" si="234"/>
        <v>33</v>
      </c>
      <c r="V1046" s="9">
        <f t="shared" si="239"/>
        <v>86</v>
      </c>
      <c r="W1046" s="9">
        <f t="shared" si="239"/>
        <v>366</v>
      </c>
      <c r="X1046" s="9">
        <f t="shared" si="239"/>
        <v>443</v>
      </c>
      <c r="Y1046" s="9">
        <f t="shared" si="239"/>
        <v>476</v>
      </c>
      <c r="Z1046" s="9">
        <f t="shared" si="239"/>
        <v>452</v>
      </c>
      <c r="AA1046" s="9">
        <f t="shared" si="238"/>
        <v>529</v>
      </c>
      <c r="AB1046" s="9">
        <f t="shared" si="238"/>
        <v>562</v>
      </c>
      <c r="AC1046" s="9">
        <f t="shared" si="238"/>
        <v>77</v>
      </c>
      <c r="AD1046" s="9">
        <f t="shared" si="238"/>
        <v>110</v>
      </c>
      <c r="AE1046" s="9">
        <f t="shared" si="238"/>
        <v>33</v>
      </c>
    </row>
    <row r="1047" spans="2:31" x14ac:dyDescent="0.25">
      <c r="B1047" s="6">
        <v>3421</v>
      </c>
      <c r="C1047" s="6">
        <f t="shared" si="224"/>
        <v>3507</v>
      </c>
      <c r="D1047" s="6">
        <f t="shared" si="235"/>
        <v>3055</v>
      </c>
      <c r="E1047" s="6">
        <f t="shared" si="236"/>
        <v>2978</v>
      </c>
      <c r="F1047" s="6">
        <f t="shared" si="237"/>
        <v>2945</v>
      </c>
      <c r="L1047">
        <f t="shared" si="225"/>
        <v>-86</v>
      </c>
      <c r="M1047">
        <f t="shared" si="226"/>
        <v>366</v>
      </c>
      <c r="N1047">
        <f t="shared" si="227"/>
        <v>443</v>
      </c>
      <c r="O1047">
        <f t="shared" si="228"/>
        <v>476</v>
      </c>
      <c r="P1047">
        <f t="shared" si="229"/>
        <v>452</v>
      </c>
      <c r="Q1047">
        <f t="shared" si="230"/>
        <v>529</v>
      </c>
      <c r="R1047">
        <f t="shared" si="231"/>
        <v>562</v>
      </c>
      <c r="S1047">
        <f t="shared" si="232"/>
        <v>77</v>
      </c>
      <c r="T1047">
        <f t="shared" si="233"/>
        <v>110</v>
      </c>
      <c r="U1047">
        <f t="shared" si="234"/>
        <v>33</v>
      </c>
      <c r="V1047" s="9">
        <f t="shared" si="239"/>
        <v>86</v>
      </c>
      <c r="W1047" s="9">
        <f t="shared" si="239"/>
        <v>366</v>
      </c>
      <c r="X1047" s="9">
        <f t="shared" si="239"/>
        <v>443</v>
      </c>
      <c r="Y1047" s="9">
        <f t="shared" si="239"/>
        <v>476</v>
      </c>
      <c r="Z1047" s="9">
        <f t="shared" si="239"/>
        <v>452</v>
      </c>
      <c r="AA1047" s="9">
        <f t="shared" si="238"/>
        <v>529</v>
      </c>
      <c r="AB1047" s="9">
        <f t="shared" si="238"/>
        <v>562</v>
      </c>
      <c r="AC1047" s="9">
        <f t="shared" si="238"/>
        <v>77</v>
      </c>
      <c r="AD1047" s="9">
        <f t="shared" si="238"/>
        <v>110</v>
      </c>
      <c r="AE1047" s="9">
        <f t="shared" si="238"/>
        <v>33</v>
      </c>
    </row>
    <row r="1048" spans="2:31" x14ac:dyDescent="0.25">
      <c r="B1048" s="6">
        <v>2847</v>
      </c>
      <c r="C1048" s="6">
        <f t="shared" si="224"/>
        <v>2933</v>
      </c>
      <c r="D1048" s="6">
        <f t="shared" si="235"/>
        <v>2481</v>
      </c>
      <c r="E1048" s="6">
        <f t="shared" si="236"/>
        <v>2404</v>
      </c>
      <c r="F1048" s="6">
        <f t="shared" si="237"/>
        <v>2371</v>
      </c>
      <c r="L1048">
        <f t="shared" si="225"/>
        <v>-86</v>
      </c>
      <c r="M1048">
        <f t="shared" si="226"/>
        <v>366</v>
      </c>
      <c r="N1048">
        <f t="shared" si="227"/>
        <v>443</v>
      </c>
      <c r="O1048">
        <f t="shared" si="228"/>
        <v>476</v>
      </c>
      <c r="P1048">
        <f t="shared" si="229"/>
        <v>452</v>
      </c>
      <c r="Q1048">
        <f t="shared" si="230"/>
        <v>529</v>
      </c>
      <c r="R1048">
        <f t="shared" si="231"/>
        <v>562</v>
      </c>
      <c r="S1048">
        <f t="shared" si="232"/>
        <v>77</v>
      </c>
      <c r="T1048">
        <f t="shared" si="233"/>
        <v>110</v>
      </c>
      <c r="U1048">
        <f t="shared" si="234"/>
        <v>33</v>
      </c>
      <c r="V1048" s="9">
        <f t="shared" si="239"/>
        <v>86</v>
      </c>
      <c r="W1048" s="9">
        <f t="shared" si="239"/>
        <v>366</v>
      </c>
      <c r="X1048" s="9">
        <f t="shared" si="239"/>
        <v>443</v>
      </c>
      <c r="Y1048" s="9">
        <f t="shared" si="239"/>
        <v>476</v>
      </c>
      <c r="Z1048" s="9">
        <f t="shared" si="239"/>
        <v>452</v>
      </c>
      <c r="AA1048" s="9">
        <f t="shared" si="238"/>
        <v>529</v>
      </c>
      <c r="AB1048" s="9">
        <f t="shared" si="238"/>
        <v>562</v>
      </c>
      <c r="AC1048" s="9">
        <f t="shared" si="238"/>
        <v>77</v>
      </c>
      <c r="AD1048" s="9">
        <f t="shared" si="238"/>
        <v>110</v>
      </c>
      <c r="AE1048" s="9">
        <f t="shared" si="238"/>
        <v>33</v>
      </c>
    </row>
    <row r="1049" spans="2:31" x14ac:dyDescent="0.25">
      <c r="B1049" s="6">
        <v>3042</v>
      </c>
      <c r="C1049" s="6">
        <f t="shared" si="224"/>
        <v>3128</v>
      </c>
      <c r="D1049" s="6">
        <f t="shared" si="235"/>
        <v>2676</v>
      </c>
      <c r="E1049" s="6">
        <f t="shared" si="236"/>
        <v>2599</v>
      </c>
      <c r="F1049" s="6">
        <f t="shared" si="237"/>
        <v>2566</v>
      </c>
      <c r="L1049">
        <f t="shared" si="225"/>
        <v>-86</v>
      </c>
      <c r="M1049">
        <f t="shared" si="226"/>
        <v>366</v>
      </c>
      <c r="N1049">
        <f t="shared" si="227"/>
        <v>443</v>
      </c>
      <c r="O1049">
        <f t="shared" si="228"/>
        <v>476</v>
      </c>
      <c r="P1049">
        <f t="shared" si="229"/>
        <v>452</v>
      </c>
      <c r="Q1049">
        <f t="shared" si="230"/>
        <v>529</v>
      </c>
      <c r="R1049">
        <f t="shared" si="231"/>
        <v>562</v>
      </c>
      <c r="S1049">
        <f t="shared" si="232"/>
        <v>77</v>
      </c>
      <c r="T1049">
        <f t="shared" si="233"/>
        <v>110</v>
      </c>
      <c r="U1049">
        <f t="shared" si="234"/>
        <v>33</v>
      </c>
      <c r="V1049" s="9">
        <f t="shared" si="239"/>
        <v>86</v>
      </c>
      <c r="W1049" s="9">
        <f t="shared" si="239"/>
        <v>366</v>
      </c>
      <c r="X1049" s="9">
        <f t="shared" si="239"/>
        <v>443</v>
      </c>
      <c r="Y1049" s="9">
        <f t="shared" si="239"/>
        <v>476</v>
      </c>
      <c r="Z1049" s="9">
        <f t="shared" si="239"/>
        <v>452</v>
      </c>
      <c r="AA1049" s="9">
        <f t="shared" si="238"/>
        <v>529</v>
      </c>
      <c r="AB1049" s="9">
        <f t="shared" si="238"/>
        <v>562</v>
      </c>
      <c r="AC1049" s="9">
        <f t="shared" si="238"/>
        <v>77</v>
      </c>
      <c r="AD1049" s="9">
        <f t="shared" si="238"/>
        <v>110</v>
      </c>
      <c r="AE1049" s="9">
        <f t="shared" si="238"/>
        <v>33</v>
      </c>
    </row>
    <row r="1050" spans="2:31" x14ac:dyDescent="0.25">
      <c r="B1050" s="6">
        <v>1554</v>
      </c>
      <c r="C1050" s="6">
        <f t="shared" si="224"/>
        <v>1640</v>
      </c>
      <c r="D1050" s="6">
        <f t="shared" si="235"/>
        <v>1188</v>
      </c>
      <c r="E1050" s="6">
        <f t="shared" si="236"/>
        <v>1111</v>
      </c>
      <c r="F1050" s="6">
        <f t="shared" si="237"/>
        <v>1078</v>
      </c>
      <c r="L1050">
        <f t="shared" si="225"/>
        <v>-86</v>
      </c>
      <c r="M1050">
        <f t="shared" si="226"/>
        <v>366</v>
      </c>
      <c r="N1050">
        <f t="shared" si="227"/>
        <v>443</v>
      </c>
      <c r="O1050">
        <f t="shared" si="228"/>
        <v>476</v>
      </c>
      <c r="P1050">
        <f t="shared" si="229"/>
        <v>452</v>
      </c>
      <c r="Q1050">
        <f t="shared" si="230"/>
        <v>529</v>
      </c>
      <c r="R1050">
        <f t="shared" si="231"/>
        <v>562</v>
      </c>
      <c r="S1050">
        <f t="shared" si="232"/>
        <v>77</v>
      </c>
      <c r="T1050">
        <f t="shared" si="233"/>
        <v>110</v>
      </c>
      <c r="U1050">
        <f t="shared" si="234"/>
        <v>33</v>
      </c>
      <c r="V1050" s="9">
        <f t="shared" si="239"/>
        <v>86</v>
      </c>
      <c r="W1050" s="9">
        <f t="shared" si="239"/>
        <v>366</v>
      </c>
      <c r="X1050" s="9">
        <f t="shared" si="239"/>
        <v>443</v>
      </c>
      <c r="Y1050" s="9">
        <f t="shared" si="239"/>
        <v>476</v>
      </c>
      <c r="Z1050" s="9">
        <f t="shared" si="239"/>
        <v>452</v>
      </c>
      <c r="AA1050" s="9">
        <f t="shared" si="238"/>
        <v>529</v>
      </c>
      <c r="AB1050" s="9">
        <f t="shared" si="238"/>
        <v>562</v>
      </c>
      <c r="AC1050" s="9">
        <f t="shared" si="238"/>
        <v>77</v>
      </c>
      <c r="AD1050" s="9">
        <f t="shared" si="238"/>
        <v>110</v>
      </c>
      <c r="AE1050" s="9">
        <f t="shared" si="238"/>
        <v>33</v>
      </c>
    </row>
    <row r="1051" spans="2:31" x14ac:dyDescent="0.25">
      <c r="B1051" s="6">
        <v>1354</v>
      </c>
      <c r="C1051" s="6">
        <f t="shared" si="224"/>
        <v>1440</v>
      </c>
      <c r="D1051" s="6">
        <f t="shared" si="235"/>
        <v>988</v>
      </c>
      <c r="E1051" s="6">
        <f t="shared" si="236"/>
        <v>911</v>
      </c>
      <c r="F1051" s="6">
        <f t="shared" si="237"/>
        <v>878</v>
      </c>
      <c r="L1051">
        <f t="shared" si="225"/>
        <v>-86</v>
      </c>
      <c r="M1051">
        <f t="shared" si="226"/>
        <v>366</v>
      </c>
      <c r="N1051">
        <f t="shared" si="227"/>
        <v>443</v>
      </c>
      <c r="O1051">
        <f t="shared" si="228"/>
        <v>476</v>
      </c>
      <c r="P1051">
        <f t="shared" si="229"/>
        <v>452</v>
      </c>
      <c r="Q1051">
        <f t="shared" si="230"/>
        <v>529</v>
      </c>
      <c r="R1051">
        <f t="shared" si="231"/>
        <v>562</v>
      </c>
      <c r="S1051">
        <f t="shared" si="232"/>
        <v>77</v>
      </c>
      <c r="T1051">
        <f t="shared" si="233"/>
        <v>110</v>
      </c>
      <c r="U1051">
        <f t="shared" si="234"/>
        <v>33</v>
      </c>
      <c r="V1051" s="9">
        <f t="shared" si="239"/>
        <v>86</v>
      </c>
      <c r="W1051" s="9">
        <f t="shared" si="239"/>
        <v>366</v>
      </c>
      <c r="X1051" s="9">
        <f t="shared" si="239"/>
        <v>443</v>
      </c>
      <c r="Y1051" s="9">
        <f t="shared" si="239"/>
        <v>476</v>
      </c>
      <c r="Z1051" s="9">
        <f t="shared" si="239"/>
        <v>452</v>
      </c>
      <c r="AA1051" s="9">
        <f t="shared" si="238"/>
        <v>529</v>
      </c>
      <c r="AB1051" s="9">
        <f t="shared" si="238"/>
        <v>562</v>
      </c>
      <c r="AC1051" s="9">
        <f t="shared" si="238"/>
        <v>77</v>
      </c>
      <c r="AD1051" s="9">
        <f t="shared" si="238"/>
        <v>110</v>
      </c>
      <c r="AE1051" s="9">
        <f t="shared" si="238"/>
        <v>33</v>
      </c>
    </row>
    <row r="1052" spans="2:31" x14ac:dyDescent="0.25">
      <c r="B1052" s="6">
        <v>2249</v>
      </c>
      <c r="C1052" s="6">
        <f t="shared" si="224"/>
        <v>2335</v>
      </c>
      <c r="D1052" s="6">
        <f t="shared" si="235"/>
        <v>1883</v>
      </c>
      <c r="E1052" s="6">
        <f t="shared" si="236"/>
        <v>1806</v>
      </c>
      <c r="F1052" s="6">
        <f t="shared" si="237"/>
        <v>1773</v>
      </c>
      <c r="L1052">
        <f t="shared" si="225"/>
        <v>-86</v>
      </c>
      <c r="M1052">
        <f t="shared" si="226"/>
        <v>366</v>
      </c>
      <c r="N1052">
        <f t="shared" si="227"/>
        <v>443</v>
      </c>
      <c r="O1052">
        <f t="shared" si="228"/>
        <v>476</v>
      </c>
      <c r="P1052">
        <f t="shared" si="229"/>
        <v>452</v>
      </c>
      <c r="Q1052">
        <f t="shared" si="230"/>
        <v>529</v>
      </c>
      <c r="R1052">
        <f t="shared" si="231"/>
        <v>562</v>
      </c>
      <c r="S1052">
        <f t="shared" si="232"/>
        <v>77</v>
      </c>
      <c r="T1052">
        <f t="shared" si="233"/>
        <v>110</v>
      </c>
      <c r="U1052">
        <f t="shared" si="234"/>
        <v>33</v>
      </c>
      <c r="V1052" s="9">
        <f t="shared" si="239"/>
        <v>86</v>
      </c>
      <c r="W1052" s="9">
        <f t="shared" si="239"/>
        <v>366</v>
      </c>
      <c r="X1052" s="9">
        <f t="shared" si="239"/>
        <v>443</v>
      </c>
      <c r="Y1052" s="9">
        <f t="shared" si="239"/>
        <v>476</v>
      </c>
      <c r="Z1052" s="9">
        <f t="shared" si="239"/>
        <v>452</v>
      </c>
      <c r="AA1052" s="9">
        <f t="shared" si="238"/>
        <v>529</v>
      </c>
      <c r="AB1052" s="9">
        <f t="shared" si="238"/>
        <v>562</v>
      </c>
      <c r="AC1052" s="9">
        <f t="shared" si="238"/>
        <v>77</v>
      </c>
      <c r="AD1052" s="9">
        <f t="shared" si="238"/>
        <v>110</v>
      </c>
      <c r="AE1052" s="9">
        <f t="shared" si="238"/>
        <v>33</v>
      </c>
    </row>
    <row r="1053" spans="2:31" x14ac:dyDescent="0.25">
      <c r="B1053" s="6">
        <v>2234</v>
      </c>
      <c r="C1053" s="6">
        <f t="shared" si="224"/>
        <v>2320</v>
      </c>
      <c r="D1053" s="6">
        <f t="shared" si="235"/>
        <v>1868</v>
      </c>
      <c r="E1053" s="6">
        <f t="shared" si="236"/>
        <v>1791</v>
      </c>
      <c r="F1053" s="6">
        <f t="shared" si="237"/>
        <v>1758</v>
      </c>
      <c r="L1053">
        <f t="shared" si="225"/>
        <v>-86</v>
      </c>
      <c r="M1053">
        <f t="shared" si="226"/>
        <v>366</v>
      </c>
      <c r="N1053">
        <f t="shared" si="227"/>
        <v>443</v>
      </c>
      <c r="O1053">
        <f t="shared" si="228"/>
        <v>476</v>
      </c>
      <c r="P1053">
        <f t="shared" si="229"/>
        <v>452</v>
      </c>
      <c r="Q1053">
        <f t="shared" si="230"/>
        <v>529</v>
      </c>
      <c r="R1053">
        <f t="shared" si="231"/>
        <v>562</v>
      </c>
      <c r="S1053">
        <f t="shared" si="232"/>
        <v>77</v>
      </c>
      <c r="T1053">
        <f t="shared" si="233"/>
        <v>110</v>
      </c>
      <c r="U1053">
        <f t="shared" si="234"/>
        <v>33</v>
      </c>
      <c r="V1053" s="9">
        <f t="shared" si="239"/>
        <v>86</v>
      </c>
      <c r="W1053" s="9">
        <f t="shared" si="239"/>
        <v>366</v>
      </c>
      <c r="X1053" s="9">
        <f t="shared" si="239"/>
        <v>443</v>
      </c>
      <c r="Y1053" s="9">
        <f t="shared" si="239"/>
        <v>476</v>
      </c>
      <c r="Z1053" s="9">
        <f t="shared" si="239"/>
        <v>452</v>
      </c>
      <c r="AA1053" s="9">
        <f t="shared" si="238"/>
        <v>529</v>
      </c>
      <c r="AB1053" s="9">
        <f t="shared" si="238"/>
        <v>562</v>
      </c>
      <c r="AC1053" s="9">
        <f t="shared" si="238"/>
        <v>77</v>
      </c>
      <c r="AD1053" s="9">
        <f t="shared" si="238"/>
        <v>110</v>
      </c>
      <c r="AE1053" s="9">
        <f t="shared" si="238"/>
        <v>33</v>
      </c>
    </row>
    <row r="1054" spans="2:31" x14ac:dyDescent="0.25">
      <c r="B1054" s="6">
        <v>1597</v>
      </c>
      <c r="C1054" s="6">
        <f t="shared" si="224"/>
        <v>1683</v>
      </c>
      <c r="D1054" s="6">
        <f t="shared" si="235"/>
        <v>1231</v>
      </c>
      <c r="E1054" s="6">
        <f t="shared" si="236"/>
        <v>1154</v>
      </c>
      <c r="F1054" s="6">
        <f t="shared" si="237"/>
        <v>1121</v>
      </c>
      <c r="L1054">
        <f t="shared" si="225"/>
        <v>-86</v>
      </c>
      <c r="M1054">
        <f t="shared" si="226"/>
        <v>366</v>
      </c>
      <c r="N1054">
        <f t="shared" si="227"/>
        <v>443</v>
      </c>
      <c r="O1054">
        <f t="shared" si="228"/>
        <v>476</v>
      </c>
      <c r="P1054">
        <f t="shared" si="229"/>
        <v>452</v>
      </c>
      <c r="Q1054">
        <f t="shared" si="230"/>
        <v>529</v>
      </c>
      <c r="R1054">
        <f t="shared" si="231"/>
        <v>562</v>
      </c>
      <c r="S1054">
        <f t="shared" si="232"/>
        <v>77</v>
      </c>
      <c r="T1054">
        <f t="shared" si="233"/>
        <v>110</v>
      </c>
      <c r="U1054">
        <f t="shared" si="234"/>
        <v>33</v>
      </c>
      <c r="V1054" s="9">
        <f t="shared" si="239"/>
        <v>86</v>
      </c>
      <c r="W1054" s="9">
        <f t="shared" si="239"/>
        <v>366</v>
      </c>
      <c r="X1054" s="9">
        <f t="shared" si="239"/>
        <v>443</v>
      </c>
      <c r="Y1054" s="9">
        <f t="shared" si="239"/>
        <v>476</v>
      </c>
      <c r="Z1054" s="9">
        <f t="shared" si="239"/>
        <v>452</v>
      </c>
      <c r="AA1054" s="9">
        <f t="shared" si="238"/>
        <v>529</v>
      </c>
      <c r="AB1054" s="9">
        <f t="shared" si="238"/>
        <v>562</v>
      </c>
      <c r="AC1054" s="9">
        <f t="shared" si="238"/>
        <v>77</v>
      </c>
      <c r="AD1054" s="9">
        <f t="shared" si="238"/>
        <v>110</v>
      </c>
      <c r="AE1054" s="9">
        <f t="shared" si="238"/>
        <v>33</v>
      </c>
    </row>
    <row r="1055" spans="2:31" x14ac:dyDescent="0.25">
      <c r="B1055" s="6">
        <v>1224</v>
      </c>
      <c r="C1055" s="6">
        <f t="shared" si="224"/>
        <v>1310</v>
      </c>
      <c r="D1055" s="6">
        <f t="shared" si="235"/>
        <v>858</v>
      </c>
      <c r="E1055" s="6">
        <f t="shared" si="236"/>
        <v>781</v>
      </c>
      <c r="F1055" s="6">
        <f t="shared" si="237"/>
        <v>748</v>
      </c>
      <c r="L1055">
        <f t="shared" si="225"/>
        <v>-86</v>
      </c>
      <c r="M1055">
        <f t="shared" si="226"/>
        <v>366</v>
      </c>
      <c r="N1055">
        <f t="shared" si="227"/>
        <v>443</v>
      </c>
      <c r="O1055">
        <f t="shared" si="228"/>
        <v>476</v>
      </c>
      <c r="P1055">
        <f t="shared" si="229"/>
        <v>452</v>
      </c>
      <c r="Q1055">
        <f t="shared" si="230"/>
        <v>529</v>
      </c>
      <c r="R1055">
        <f t="shared" si="231"/>
        <v>562</v>
      </c>
      <c r="S1055">
        <f t="shared" si="232"/>
        <v>77</v>
      </c>
      <c r="T1055">
        <f t="shared" si="233"/>
        <v>110</v>
      </c>
      <c r="U1055">
        <f t="shared" si="234"/>
        <v>33</v>
      </c>
      <c r="V1055" s="9">
        <f t="shared" si="239"/>
        <v>86</v>
      </c>
      <c r="W1055" s="9">
        <f t="shared" si="239"/>
        <v>366</v>
      </c>
      <c r="X1055" s="9">
        <f t="shared" si="239"/>
        <v>443</v>
      </c>
      <c r="Y1055" s="9">
        <f t="shared" si="239"/>
        <v>476</v>
      </c>
      <c r="Z1055" s="9">
        <f t="shared" si="239"/>
        <v>452</v>
      </c>
      <c r="AA1055" s="9">
        <f t="shared" si="238"/>
        <v>529</v>
      </c>
      <c r="AB1055" s="9">
        <f t="shared" si="238"/>
        <v>562</v>
      </c>
      <c r="AC1055" s="9">
        <f t="shared" si="238"/>
        <v>77</v>
      </c>
      <c r="AD1055" s="9">
        <f t="shared" si="238"/>
        <v>110</v>
      </c>
      <c r="AE1055" s="9">
        <f t="shared" si="238"/>
        <v>33</v>
      </c>
    </row>
    <row r="1056" spans="2:31" x14ac:dyDescent="0.25">
      <c r="B1056" s="6">
        <v>957</v>
      </c>
      <c r="C1056" s="6">
        <f t="shared" si="224"/>
        <v>1043</v>
      </c>
      <c r="D1056" s="6">
        <f t="shared" si="235"/>
        <v>591</v>
      </c>
      <c r="E1056" s="6">
        <f t="shared" si="236"/>
        <v>514</v>
      </c>
      <c r="F1056" s="6">
        <f t="shared" si="237"/>
        <v>481</v>
      </c>
      <c r="L1056">
        <f t="shared" si="225"/>
        <v>-86</v>
      </c>
      <c r="M1056">
        <f t="shared" si="226"/>
        <v>366</v>
      </c>
      <c r="N1056">
        <f t="shared" si="227"/>
        <v>443</v>
      </c>
      <c r="O1056">
        <f t="shared" si="228"/>
        <v>476</v>
      </c>
      <c r="P1056">
        <f t="shared" si="229"/>
        <v>452</v>
      </c>
      <c r="Q1056">
        <f t="shared" si="230"/>
        <v>529</v>
      </c>
      <c r="R1056">
        <f t="shared" si="231"/>
        <v>562</v>
      </c>
      <c r="S1056">
        <f t="shared" si="232"/>
        <v>77</v>
      </c>
      <c r="T1056">
        <f t="shared" si="233"/>
        <v>110</v>
      </c>
      <c r="U1056">
        <f t="shared" si="234"/>
        <v>33</v>
      </c>
      <c r="V1056" s="9">
        <f t="shared" si="239"/>
        <v>86</v>
      </c>
      <c r="W1056" s="9">
        <f t="shared" si="239"/>
        <v>366</v>
      </c>
      <c r="X1056" s="9">
        <f t="shared" si="239"/>
        <v>443</v>
      </c>
      <c r="Y1056" s="9">
        <f t="shared" si="239"/>
        <v>476</v>
      </c>
      <c r="Z1056" s="9">
        <f t="shared" si="239"/>
        <v>452</v>
      </c>
      <c r="AA1056" s="9">
        <f t="shared" si="238"/>
        <v>529</v>
      </c>
      <c r="AB1056" s="9">
        <f t="shared" si="238"/>
        <v>562</v>
      </c>
      <c r="AC1056" s="9">
        <f t="shared" si="238"/>
        <v>77</v>
      </c>
      <c r="AD1056" s="9">
        <f t="shared" si="238"/>
        <v>110</v>
      </c>
      <c r="AE1056" s="9">
        <f t="shared" si="238"/>
        <v>33</v>
      </c>
    </row>
    <row r="1057" spans="2:31" x14ac:dyDescent="0.25">
      <c r="B1057" s="6">
        <v>1647</v>
      </c>
      <c r="C1057" s="6">
        <f t="shared" si="224"/>
        <v>1733</v>
      </c>
      <c r="D1057" s="6">
        <f t="shared" si="235"/>
        <v>1281</v>
      </c>
      <c r="E1057" s="6">
        <f t="shared" si="236"/>
        <v>1204</v>
      </c>
      <c r="F1057" s="6">
        <f t="shared" si="237"/>
        <v>1171</v>
      </c>
      <c r="L1057">
        <f t="shared" si="225"/>
        <v>-86</v>
      </c>
      <c r="M1057">
        <f t="shared" si="226"/>
        <v>366</v>
      </c>
      <c r="N1057">
        <f t="shared" si="227"/>
        <v>443</v>
      </c>
      <c r="O1057">
        <f t="shared" si="228"/>
        <v>476</v>
      </c>
      <c r="P1057">
        <f t="shared" si="229"/>
        <v>452</v>
      </c>
      <c r="Q1057">
        <f t="shared" si="230"/>
        <v>529</v>
      </c>
      <c r="R1057">
        <f t="shared" si="231"/>
        <v>562</v>
      </c>
      <c r="S1057">
        <f t="shared" si="232"/>
        <v>77</v>
      </c>
      <c r="T1057">
        <f t="shared" si="233"/>
        <v>110</v>
      </c>
      <c r="U1057">
        <f t="shared" si="234"/>
        <v>33</v>
      </c>
      <c r="V1057" s="9">
        <f t="shared" si="239"/>
        <v>86</v>
      </c>
      <c r="W1057" s="9">
        <f t="shared" si="239"/>
        <v>366</v>
      </c>
      <c r="X1057" s="9">
        <f t="shared" si="239"/>
        <v>443</v>
      </c>
      <c r="Y1057" s="9">
        <f t="shared" si="239"/>
        <v>476</v>
      </c>
      <c r="Z1057" s="9">
        <f t="shared" si="239"/>
        <v>452</v>
      </c>
      <c r="AA1057" s="9">
        <f t="shared" si="238"/>
        <v>529</v>
      </c>
      <c r="AB1057" s="9">
        <f t="shared" si="238"/>
        <v>562</v>
      </c>
      <c r="AC1057" s="9">
        <f t="shared" si="238"/>
        <v>77</v>
      </c>
      <c r="AD1057" s="9">
        <f t="shared" si="238"/>
        <v>110</v>
      </c>
      <c r="AE1057" s="9">
        <f t="shared" si="238"/>
        <v>33</v>
      </c>
    </row>
    <row r="1058" spans="2:31" x14ac:dyDescent="0.25">
      <c r="B1058" s="6">
        <v>1823</v>
      </c>
      <c r="C1058" s="6">
        <f t="shared" si="224"/>
        <v>1909</v>
      </c>
      <c r="D1058" s="6">
        <f t="shared" si="235"/>
        <v>1457</v>
      </c>
      <c r="E1058" s="6">
        <f t="shared" si="236"/>
        <v>1380</v>
      </c>
      <c r="F1058" s="6">
        <f t="shared" si="237"/>
        <v>1347</v>
      </c>
      <c r="L1058">
        <f t="shared" si="225"/>
        <v>-86</v>
      </c>
      <c r="M1058">
        <f t="shared" si="226"/>
        <v>366</v>
      </c>
      <c r="N1058">
        <f t="shared" si="227"/>
        <v>443</v>
      </c>
      <c r="O1058">
        <f t="shared" si="228"/>
        <v>476</v>
      </c>
      <c r="P1058">
        <f t="shared" si="229"/>
        <v>452</v>
      </c>
      <c r="Q1058">
        <f t="shared" si="230"/>
        <v>529</v>
      </c>
      <c r="R1058">
        <f t="shared" si="231"/>
        <v>562</v>
      </c>
      <c r="S1058">
        <f t="shared" si="232"/>
        <v>77</v>
      </c>
      <c r="T1058">
        <f t="shared" si="233"/>
        <v>110</v>
      </c>
      <c r="U1058">
        <f t="shared" si="234"/>
        <v>33</v>
      </c>
      <c r="V1058" s="9">
        <f t="shared" si="239"/>
        <v>86</v>
      </c>
      <c r="W1058" s="9">
        <f t="shared" si="239"/>
        <v>366</v>
      </c>
      <c r="X1058" s="9">
        <f t="shared" si="239"/>
        <v>443</v>
      </c>
      <c r="Y1058" s="9">
        <f t="shared" si="239"/>
        <v>476</v>
      </c>
      <c r="Z1058" s="9">
        <f t="shared" si="239"/>
        <v>452</v>
      </c>
      <c r="AA1058" s="9">
        <f t="shared" si="238"/>
        <v>529</v>
      </c>
      <c r="AB1058" s="9">
        <f t="shared" si="238"/>
        <v>562</v>
      </c>
      <c r="AC1058" s="9">
        <f t="shared" si="238"/>
        <v>77</v>
      </c>
      <c r="AD1058" s="9">
        <f t="shared" si="238"/>
        <v>110</v>
      </c>
      <c r="AE1058" s="9">
        <f t="shared" si="238"/>
        <v>33</v>
      </c>
    </row>
    <row r="1059" spans="2:31" x14ac:dyDescent="0.25">
      <c r="B1059" s="6">
        <v>1847</v>
      </c>
      <c r="C1059" s="6">
        <f t="shared" si="224"/>
        <v>1933</v>
      </c>
      <c r="D1059" s="6">
        <f t="shared" si="235"/>
        <v>1481</v>
      </c>
      <c r="E1059" s="6">
        <f t="shared" si="236"/>
        <v>1404</v>
      </c>
      <c r="F1059" s="6">
        <f t="shared" si="237"/>
        <v>1371</v>
      </c>
      <c r="L1059">
        <f t="shared" si="225"/>
        <v>-86</v>
      </c>
      <c r="M1059">
        <f t="shared" si="226"/>
        <v>366</v>
      </c>
      <c r="N1059">
        <f t="shared" si="227"/>
        <v>443</v>
      </c>
      <c r="O1059">
        <f t="shared" si="228"/>
        <v>476</v>
      </c>
      <c r="P1059">
        <f t="shared" si="229"/>
        <v>452</v>
      </c>
      <c r="Q1059">
        <f t="shared" si="230"/>
        <v>529</v>
      </c>
      <c r="R1059">
        <f t="shared" si="231"/>
        <v>562</v>
      </c>
      <c r="S1059">
        <f t="shared" si="232"/>
        <v>77</v>
      </c>
      <c r="T1059">
        <f t="shared" si="233"/>
        <v>110</v>
      </c>
      <c r="U1059">
        <f t="shared" si="234"/>
        <v>33</v>
      </c>
      <c r="V1059" s="9">
        <f t="shared" si="239"/>
        <v>86</v>
      </c>
      <c r="W1059" s="9">
        <f t="shared" si="239"/>
        <v>366</v>
      </c>
      <c r="X1059" s="9">
        <f t="shared" si="239"/>
        <v>443</v>
      </c>
      <c r="Y1059" s="9">
        <f t="shared" si="239"/>
        <v>476</v>
      </c>
      <c r="Z1059" s="9">
        <f t="shared" si="239"/>
        <v>452</v>
      </c>
      <c r="AA1059" s="9">
        <f t="shared" si="238"/>
        <v>529</v>
      </c>
      <c r="AB1059" s="9">
        <f t="shared" si="238"/>
        <v>562</v>
      </c>
      <c r="AC1059" s="9">
        <f t="shared" si="238"/>
        <v>77</v>
      </c>
      <c r="AD1059" s="9">
        <f t="shared" si="238"/>
        <v>110</v>
      </c>
      <c r="AE1059" s="9">
        <f t="shared" si="238"/>
        <v>33</v>
      </c>
    </row>
    <row r="1060" spans="2:31" x14ac:dyDescent="0.25">
      <c r="B1060" s="6">
        <v>1954</v>
      </c>
      <c r="C1060" s="6">
        <f t="shared" si="224"/>
        <v>2040</v>
      </c>
      <c r="D1060" s="6">
        <f t="shared" si="235"/>
        <v>1588</v>
      </c>
      <c r="E1060" s="6">
        <f t="shared" si="236"/>
        <v>1511</v>
      </c>
      <c r="F1060" s="6">
        <f t="shared" si="237"/>
        <v>1478</v>
      </c>
      <c r="L1060">
        <f t="shared" si="225"/>
        <v>-86</v>
      </c>
      <c r="M1060">
        <f t="shared" si="226"/>
        <v>366</v>
      </c>
      <c r="N1060">
        <f t="shared" si="227"/>
        <v>443</v>
      </c>
      <c r="O1060">
        <f t="shared" si="228"/>
        <v>476</v>
      </c>
      <c r="P1060">
        <f t="shared" si="229"/>
        <v>452</v>
      </c>
      <c r="Q1060">
        <f t="shared" si="230"/>
        <v>529</v>
      </c>
      <c r="R1060">
        <f t="shared" si="231"/>
        <v>562</v>
      </c>
      <c r="S1060">
        <f t="shared" si="232"/>
        <v>77</v>
      </c>
      <c r="T1060">
        <f t="shared" si="233"/>
        <v>110</v>
      </c>
      <c r="U1060">
        <f t="shared" si="234"/>
        <v>33</v>
      </c>
      <c r="V1060" s="9">
        <f t="shared" si="239"/>
        <v>86</v>
      </c>
      <c r="W1060" s="9">
        <f t="shared" si="239"/>
        <v>366</v>
      </c>
      <c r="X1060" s="9">
        <f t="shared" si="239"/>
        <v>443</v>
      </c>
      <c r="Y1060" s="9">
        <f t="shared" si="239"/>
        <v>476</v>
      </c>
      <c r="Z1060" s="9">
        <f t="shared" si="239"/>
        <v>452</v>
      </c>
      <c r="AA1060" s="9">
        <f t="shared" si="238"/>
        <v>529</v>
      </c>
      <c r="AB1060" s="9">
        <f t="shared" si="238"/>
        <v>562</v>
      </c>
      <c r="AC1060" s="9">
        <f t="shared" si="238"/>
        <v>77</v>
      </c>
      <c r="AD1060" s="9">
        <f t="shared" si="238"/>
        <v>110</v>
      </c>
      <c r="AE1060" s="9">
        <f t="shared" si="238"/>
        <v>33</v>
      </c>
    </row>
    <row r="1061" spans="2:31" x14ac:dyDescent="0.25">
      <c r="B1061" s="6">
        <v>2248</v>
      </c>
      <c r="C1061" s="6">
        <f t="shared" si="224"/>
        <v>2334</v>
      </c>
      <c r="D1061" s="6">
        <f t="shared" si="235"/>
        <v>1882</v>
      </c>
      <c r="E1061" s="6">
        <f t="shared" si="236"/>
        <v>1805</v>
      </c>
      <c r="F1061" s="6">
        <f t="shared" si="237"/>
        <v>1772</v>
      </c>
      <c r="L1061">
        <f t="shared" si="225"/>
        <v>-86</v>
      </c>
      <c r="M1061">
        <f t="shared" si="226"/>
        <v>366</v>
      </c>
      <c r="N1061">
        <f t="shared" si="227"/>
        <v>443</v>
      </c>
      <c r="O1061">
        <f t="shared" si="228"/>
        <v>476</v>
      </c>
      <c r="P1061">
        <f t="shared" si="229"/>
        <v>452</v>
      </c>
      <c r="Q1061">
        <f t="shared" si="230"/>
        <v>529</v>
      </c>
      <c r="R1061">
        <f t="shared" si="231"/>
        <v>562</v>
      </c>
      <c r="S1061">
        <f t="shared" si="232"/>
        <v>77</v>
      </c>
      <c r="T1061">
        <f t="shared" si="233"/>
        <v>110</v>
      </c>
      <c r="U1061">
        <f t="shared" si="234"/>
        <v>33</v>
      </c>
      <c r="V1061" s="9">
        <f t="shared" si="239"/>
        <v>86</v>
      </c>
      <c r="W1061" s="9">
        <f t="shared" si="239"/>
        <v>366</v>
      </c>
      <c r="X1061" s="9">
        <f t="shared" si="239"/>
        <v>443</v>
      </c>
      <c r="Y1061" s="9">
        <f t="shared" si="239"/>
        <v>476</v>
      </c>
      <c r="Z1061" s="9">
        <f t="shared" si="239"/>
        <v>452</v>
      </c>
      <c r="AA1061" s="9">
        <f t="shared" si="238"/>
        <v>529</v>
      </c>
      <c r="AB1061" s="9">
        <f t="shared" si="238"/>
        <v>562</v>
      </c>
      <c r="AC1061" s="9">
        <f t="shared" si="238"/>
        <v>77</v>
      </c>
      <c r="AD1061" s="9">
        <f t="shared" si="238"/>
        <v>110</v>
      </c>
      <c r="AE1061" s="9">
        <f t="shared" si="238"/>
        <v>33</v>
      </c>
    </row>
    <row r="1062" spans="2:31" x14ac:dyDescent="0.25">
      <c r="B1062" s="6">
        <v>3128</v>
      </c>
      <c r="C1062" s="6">
        <f t="shared" si="224"/>
        <v>3214</v>
      </c>
      <c r="D1062" s="6">
        <f t="shared" si="235"/>
        <v>2762</v>
      </c>
      <c r="E1062" s="6">
        <f t="shared" si="236"/>
        <v>2685</v>
      </c>
      <c r="F1062" s="6">
        <f t="shared" si="237"/>
        <v>2652</v>
      </c>
      <c r="L1062">
        <f t="shared" si="225"/>
        <v>-86</v>
      </c>
      <c r="M1062">
        <f t="shared" si="226"/>
        <v>366</v>
      </c>
      <c r="N1062">
        <f t="shared" si="227"/>
        <v>443</v>
      </c>
      <c r="O1062">
        <f t="shared" si="228"/>
        <v>476</v>
      </c>
      <c r="P1062">
        <f t="shared" si="229"/>
        <v>452</v>
      </c>
      <c r="Q1062">
        <f t="shared" si="230"/>
        <v>529</v>
      </c>
      <c r="R1062">
        <f t="shared" si="231"/>
        <v>562</v>
      </c>
      <c r="S1062">
        <f t="shared" si="232"/>
        <v>77</v>
      </c>
      <c r="T1062">
        <f t="shared" si="233"/>
        <v>110</v>
      </c>
      <c r="U1062">
        <f t="shared" si="234"/>
        <v>33</v>
      </c>
      <c r="V1062" s="9">
        <f t="shared" si="239"/>
        <v>86</v>
      </c>
      <c r="W1062" s="9">
        <f t="shared" si="239"/>
        <v>366</v>
      </c>
      <c r="X1062" s="9">
        <f t="shared" si="239"/>
        <v>443</v>
      </c>
      <c r="Y1062" s="9">
        <f t="shared" si="239"/>
        <v>476</v>
      </c>
      <c r="Z1062" s="9">
        <f t="shared" si="239"/>
        <v>452</v>
      </c>
      <c r="AA1062" s="9">
        <f t="shared" si="238"/>
        <v>529</v>
      </c>
      <c r="AB1062" s="9">
        <f t="shared" si="238"/>
        <v>562</v>
      </c>
      <c r="AC1062" s="9">
        <f t="shared" si="238"/>
        <v>77</v>
      </c>
      <c r="AD1062" s="9">
        <f t="shared" si="238"/>
        <v>110</v>
      </c>
      <c r="AE1062" s="9">
        <f t="shared" si="238"/>
        <v>33</v>
      </c>
    </row>
    <row r="1063" spans="2:31" x14ac:dyDescent="0.25">
      <c r="B1063" s="6">
        <v>1640</v>
      </c>
      <c r="C1063" s="6">
        <v>1548</v>
      </c>
      <c r="D1063" s="6">
        <f t="shared" si="235"/>
        <v>1096</v>
      </c>
      <c r="E1063" s="6">
        <v>1254</v>
      </c>
      <c r="F1063" s="6">
        <v>1228</v>
      </c>
      <c r="L1063">
        <f t="shared" si="225"/>
        <v>92</v>
      </c>
      <c r="M1063">
        <f t="shared" si="226"/>
        <v>544</v>
      </c>
      <c r="N1063">
        <f t="shared" si="227"/>
        <v>386</v>
      </c>
      <c r="O1063">
        <f t="shared" si="228"/>
        <v>412</v>
      </c>
      <c r="P1063">
        <f t="shared" si="229"/>
        <v>452</v>
      </c>
      <c r="Q1063">
        <f t="shared" si="230"/>
        <v>294</v>
      </c>
      <c r="R1063">
        <f t="shared" si="231"/>
        <v>320</v>
      </c>
      <c r="S1063">
        <f t="shared" si="232"/>
        <v>-158</v>
      </c>
      <c r="T1063">
        <f t="shared" si="233"/>
        <v>-132</v>
      </c>
      <c r="U1063">
        <f t="shared" si="234"/>
        <v>26</v>
      </c>
      <c r="V1063" s="9">
        <f t="shared" si="239"/>
        <v>92</v>
      </c>
      <c r="W1063" s="9">
        <f t="shared" si="239"/>
        <v>544</v>
      </c>
      <c r="X1063" s="9">
        <f t="shared" si="239"/>
        <v>386</v>
      </c>
      <c r="Y1063" s="9">
        <f t="shared" si="239"/>
        <v>412</v>
      </c>
      <c r="Z1063" s="9">
        <f t="shared" si="239"/>
        <v>452</v>
      </c>
      <c r="AA1063" s="9">
        <f t="shared" si="238"/>
        <v>294</v>
      </c>
      <c r="AB1063" s="9">
        <f t="shared" si="238"/>
        <v>320</v>
      </c>
      <c r="AC1063" s="9">
        <f t="shared" si="238"/>
        <v>158</v>
      </c>
      <c r="AD1063" s="9">
        <f t="shared" si="238"/>
        <v>132</v>
      </c>
      <c r="AE1063" s="9">
        <f t="shared" si="238"/>
        <v>26</v>
      </c>
    </row>
    <row r="1064" spans="2:31" x14ac:dyDescent="0.25">
      <c r="B1064" s="6">
        <v>1036</v>
      </c>
      <c r="C1064" s="6">
        <f t="shared" si="224"/>
        <v>1122</v>
      </c>
      <c r="D1064" s="6">
        <v>771</v>
      </c>
      <c r="E1064" s="6">
        <v>693</v>
      </c>
      <c r="F1064" s="6">
        <v>664</v>
      </c>
      <c r="L1064">
        <f t="shared" si="225"/>
        <v>-86</v>
      </c>
      <c r="M1064">
        <f t="shared" si="226"/>
        <v>265</v>
      </c>
      <c r="N1064">
        <f t="shared" si="227"/>
        <v>343</v>
      </c>
      <c r="O1064">
        <f t="shared" si="228"/>
        <v>372</v>
      </c>
      <c r="P1064">
        <f t="shared" si="229"/>
        <v>351</v>
      </c>
      <c r="Q1064">
        <f t="shared" si="230"/>
        <v>429</v>
      </c>
      <c r="R1064">
        <f t="shared" si="231"/>
        <v>458</v>
      </c>
      <c r="S1064">
        <f t="shared" si="232"/>
        <v>78</v>
      </c>
      <c r="T1064">
        <f t="shared" si="233"/>
        <v>107</v>
      </c>
      <c r="U1064">
        <f t="shared" si="234"/>
        <v>29</v>
      </c>
      <c r="V1064" s="9">
        <f t="shared" si="239"/>
        <v>86</v>
      </c>
      <c r="W1064" s="9">
        <f t="shared" si="239"/>
        <v>265</v>
      </c>
      <c r="X1064" s="9">
        <f t="shared" si="239"/>
        <v>343</v>
      </c>
      <c r="Y1064" s="9">
        <f t="shared" si="239"/>
        <v>372</v>
      </c>
      <c r="Z1064" s="9">
        <f t="shared" si="239"/>
        <v>351</v>
      </c>
      <c r="AA1064" s="9">
        <f t="shared" si="238"/>
        <v>429</v>
      </c>
      <c r="AB1064" s="9">
        <f t="shared" si="238"/>
        <v>458</v>
      </c>
      <c r="AC1064" s="9">
        <f t="shared" si="238"/>
        <v>78</v>
      </c>
      <c r="AD1064" s="9">
        <f t="shared" si="238"/>
        <v>107</v>
      </c>
      <c r="AE1064" s="9">
        <f t="shared" si="238"/>
        <v>29</v>
      </c>
    </row>
    <row r="1065" spans="2:31" x14ac:dyDescent="0.25">
      <c r="B1065" s="6">
        <v>1223</v>
      </c>
      <c r="C1065" s="6">
        <f t="shared" si="224"/>
        <v>1309</v>
      </c>
      <c r="D1065" s="6">
        <f t="shared" si="235"/>
        <v>857</v>
      </c>
      <c r="E1065" s="6">
        <f t="shared" si="236"/>
        <v>780</v>
      </c>
      <c r="F1065" s="6">
        <f t="shared" si="237"/>
        <v>747</v>
      </c>
      <c r="L1065">
        <f t="shared" si="225"/>
        <v>-86</v>
      </c>
      <c r="M1065">
        <f t="shared" si="226"/>
        <v>366</v>
      </c>
      <c r="N1065">
        <f t="shared" si="227"/>
        <v>443</v>
      </c>
      <c r="O1065">
        <f t="shared" si="228"/>
        <v>476</v>
      </c>
      <c r="P1065">
        <f t="shared" si="229"/>
        <v>452</v>
      </c>
      <c r="Q1065">
        <f t="shared" si="230"/>
        <v>529</v>
      </c>
      <c r="R1065">
        <f t="shared" si="231"/>
        <v>562</v>
      </c>
      <c r="S1065">
        <f t="shared" si="232"/>
        <v>77</v>
      </c>
      <c r="T1065">
        <f t="shared" si="233"/>
        <v>110</v>
      </c>
      <c r="U1065">
        <f t="shared" si="234"/>
        <v>33</v>
      </c>
      <c r="V1065" s="9">
        <f t="shared" si="239"/>
        <v>86</v>
      </c>
      <c r="W1065" s="9">
        <f t="shared" si="239"/>
        <v>366</v>
      </c>
      <c r="X1065" s="9">
        <f t="shared" si="239"/>
        <v>443</v>
      </c>
      <c r="Y1065" s="9">
        <f t="shared" si="239"/>
        <v>476</v>
      </c>
      <c r="Z1065" s="9">
        <f t="shared" si="239"/>
        <v>452</v>
      </c>
      <c r="AA1065" s="9">
        <f t="shared" si="238"/>
        <v>529</v>
      </c>
      <c r="AB1065" s="9">
        <f t="shared" si="238"/>
        <v>562</v>
      </c>
      <c r="AC1065" s="9">
        <f t="shared" si="238"/>
        <v>77</v>
      </c>
      <c r="AD1065" s="9">
        <f t="shared" si="238"/>
        <v>110</v>
      </c>
      <c r="AE1065" s="9">
        <f t="shared" si="238"/>
        <v>33</v>
      </c>
    </row>
    <row r="1066" spans="2:31" x14ac:dyDescent="0.25">
      <c r="B1066" s="6">
        <v>1647</v>
      </c>
      <c r="C1066" s="6">
        <v>1654</v>
      </c>
      <c r="D1066" s="6">
        <f t="shared" si="235"/>
        <v>1202</v>
      </c>
      <c r="E1066" s="6">
        <v>1127</v>
      </c>
      <c r="F1066" s="6">
        <v>1127</v>
      </c>
      <c r="L1066">
        <f t="shared" si="225"/>
        <v>-7</v>
      </c>
      <c r="M1066">
        <f t="shared" si="226"/>
        <v>445</v>
      </c>
      <c r="N1066">
        <f t="shared" si="227"/>
        <v>520</v>
      </c>
      <c r="O1066">
        <f t="shared" si="228"/>
        <v>520</v>
      </c>
      <c r="P1066">
        <f t="shared" si="229"/>
        <v>452</v>
      </c>
      <c r="Q1066">
        <f t="shared" si="230"/>
        <v>527</v>
      </c>
      <c r="R1066">
        <f t="shared" si="231"/>
        <v>527</v>
      </c>
      <c r="S1066">
        <f t="shared" si="232"/>
        <v>75</v>
      </c>
      <c r="T1066">
        <f t="shared" si="233"/>
        <v>75</v>
      </c>
      <c r="U1066">
        <f t="shared" si="234"/>
        <v>0</v>
      </c>
      <c r="V1066" s="9">
        <f t="shared" si="239"/>
        <v>7</v>
      </c>
      <c r="W1066" s="9">
        <f t="shared" si="239"/>
        <v>445</v>
      </c>
      <c r="X1066" s="9">
        <f t="shared" si="239"/>
        <v>520</v>
      </c>
      <c r="Y1066" s="9">
        <f t="shared" si="239"/>
        <v>520</v>
      </c>
      <c r="Z1066" s="9">
        <f t="shared" si="239"/>
        <v>452</v>
      </c>
      <c r="AA1066" s="9">
        <f t="shared" si="238"/>
        <v>527</v>
      </c>
      <c r="AB1066" s="9">
        <f t="shared" si="238"/>
        <v>527</v>
      </c>
      <c r="AC1066" s="9">
        <f t="shared" si="238"/>
        <v>75</v>
      </c>
      <c r="AD1066" s="9">
        <f t="shared" si="238"/>
        <v>75</v>
      </c>
      <c r="AE1066" s="9">
        <f t="shared" si="238"/>
        <v>0</v>
      </c>
    </row>
    <row r="1067" spans="2:31" x14ac:dyDescent="0.25">
      <c r="B1067" s="6">
        <v>1097</v>
      </c>
      <c r="C1067" s="6">
        <f t="shared" si="224"/>
        <v>1183</v>
      </c>
      <c r="D1067" s="6">
        <f t="shared" si="235"/>
        <v>731</v>
      </c>
      <c r="E1067" s="6">
        <f t="shared" si="236"/>
        <v>654</v>
      </c>
      <c r="F1067" s="6">
        <f t="shared" si="237"/>
        <v>621</v>
      </c>
      <c r="L1067">
        <f t="shared" si="225"/>
        <v>-86</v>
      </c>
      <c r="M1067">
        <f t="shared" si="226"/>
        <v>366</v>
      </c>
      <c r="N1067">
        <f t="shared" si="227"/>
        <v>443</v>
      </c>
      <c r="O1067">
        <f t="shared" si="228"/>
        <v>476</v>
      </c>
      <c r="P1067">
        <f t="shared" si="229"/>
        <v>452</v>
      </c>
      <c r="Q1067">
        <f t="shared" si="230"/>
        <v>529</v>
      </c>
      <c r="R1067">
        <f t="shared" si="231"/>
        <v>562</v>
      </c>
      <c r="S1067">
        <f t="shared" si="232"/>
        <v>77</v>
      </c>
      <c r="T1067">
        <f t="shared" si="233"/>
        <v>110</v>
      </c>
      <c r="U1067">
        <f t="shared" si="234"/>
        <v>33</v>
      </c>
      <c r="V1067" s="9">
        <f t="shared" si="239"/>
        <v>86</v>
      </c>
      <c r="W1067" s="9">
        <f t="shared" si="239"/>
        <v>366</v>
      </c>
      <c r="X1067" s="9">
        <f t="shared" si="239"/>
        <v>443</v>
      </c>
      <c r="Y1067" s="9">
        <f t="shared" si="239"/>
        <v>476</v>
      </c>
      <c r="Z1067" s="9">
        <f t="shared" si="239"/>
        <v>452</v>
      </c>
      <c r="AA1067" s="9">
        <f t="shared" si="238"/>
        <v>529</v>
      </c>
      <c r="AB1067" s="9">
        <f t="shared" si="238"/>
        <v>562</v>
      </c>
      <c r="AC1067" s="9">
        <f t="shared" si="238"/>
        <v>77</v>
      </c>
      <c r="AD1067" s="9">
        <f t="shared" si="238"/>
        <v>110</v>
      </c>
      <c r="AE1067" s="9">
        <f t="shared" si="238"/>
        <v>33</v>
      </c>
    </row>
    <row r="1068" spans="2:31" x14ac:dyDescent="0.25">
      <c r="B1068" s="6">
        <v>2264</v>
      </c>
      <c r="C1068" s="6">
        <f t="shared" si="224"/>
        <v>2350</v>
      </c>
      <c r="D1068" s="6">
        <v>1857</v>
      </c>
      <c r="E1068" s="6">
        <f t="shared" si="236"/>
        <v>1780</v>
      </c>
      <c r="F1068" s="6">
        <v>1678</v>
      </c>
      <c r="L1068">
        <f t="shared" si="225"/>
        <v>-86</v>
      </c>
      <c r="M1068">
        <f t="shared" si="226"/>
        <v>407</v>
      </c>
      <c r="N1068">
        <f t="shared" si="227"/>
        <v>484</v>
      </c>
      <c r="O1068">
        <f t="shared" si="228"/>
        <v>586</v>
      </c>
      <c r="P1068">
        <f t="shared" si="229"/>
        <v>493</v>
      </c>
      <c r="Q1068">
        <f t="shared" si="230"/>
        <v>570</v>
      </c>
      <c r="R1068">
        <f t="shared" si="231"/>
        <v>672</v>
      </c>
      <c r="S1068">
        <f t="shared" si="232"/>
        <v>77</v>
      </c>
      <c r="T1068">
        <f t="shared" si="233"/>
        <v>179</v>
      </c>
      <c r="U1068">
        <f t="shared" si="234"/>
        <v>102</v>
      </c>
      <c r="V1068" s="9">
        <f t="shared" si="239"/>
        <v>86</v>
      </c>
      <c r="W1068" s="9">
        <f t="shared" si="239"/>
        <v>407</v>
      </c>
      <c r="X1068" s="9">
        <f t="shared" si="239"/>
        <v>484</v>
      </c>
      <c r="Y1068" s="9">
        <f t="shared" si="239"/>
        <v>586</v>
      </c>
      <c r="Z1068" s="9">
        <f t="shared" si="239"/>
        <v>493</v>
      </c>
      <c r="AA1068" s="9">
        <f t="shared" si="238"/>
        <v>570</v>
      </c>
      <c r="AB1068" s="9">
        <f t="shared" si="238"/>
        <v>672</v>
      </c>
      <c r="AC1068" s="9">
        <f t="shared" si="238"/>
        <v>77</v>
      </c>
      <c r="AD1068" s="9">
        <f t="shared" si="238"/>
        <v>179</v>
      </c>
      <c r="AE1068" s="9">
        <f t="shared" si="238"/>
        <v>102</v>
      </c>
    </row>
    <row r="1069" spans="2:31" x14ac:dyDescent="0.25">
      <c r="B1069" s="6">
        <v>2647</v>
      </c>
      <c r="C1069" s="6">
        <v>2283</v>
      </c>
      <c r="D1069" s="6">
        <v>2164</v>
      </c>
      <c r="E1069" s="6">
        <v>2017</v>
      </c>
      <c r="F1069" s="6">
        <f t="shared" si="237"/>
        <v>1984</v>
      </c>
      <c r="L1069">
        <f t="shared" si="225"/>
        <v>364</v>
      </c>
      <c r="M1069">
        <f t="shared" si="226"/>
        <v>483</v>
      </c>
      <c r="N1069">
        <f t="shared" si="227"/>
        <v>630</v>
      </c>
      <c r="O1069">
        <f t="shared" si="228"/>
        <v>663</v>
      </c>
      <c r="P1069">
        <f t="shared" si="229"/>
        <v>119</v>
      </c>
      <c r="Q1069">
        <f t="shared" si="230"/>
        <v>266</v>
      </c>
      <c r="R1069">
        <f t="shared" si="231"/>
        <v>299</v>
      </c>
      <c r="S1069">
        <f t="shared" si="232"/>
        <v>147</v>
      </c>
      <c r="T1069">
        <f t="shared" si="233"/>
        <v>180</v>
      </c>
      <c r="U1069">
        <f t="shared" si="234"/>
        <v>33</v>
      </c>
      <c r="V1069" s="9">
        <f t="shared" si="239"/>
        <v>364</v>
      </c>
      <c r="W1069" s="9">
        <f t="shared" si="239"/>
        <v>483</v>
      </c>
      <c r="X1069" s="9">
        <f t="shared" si="239"/>
        <v>630</v>
      </c>
      <c r="Y1069" s="9">
        <f t="shared" si="239"/>
        <v>663</v>
      </c>
      <c r="Z1069" s="9">
        <f t="shared" si="239"/>
        <v>119</v>
      </c>
      <c r="AA1069" s="9">
        <f t="shared" si="238"/>
        <v>266</v>
      </c>
      <c r="AB1069" s="9">
        <f t="shared" si="238"/>
        <v>299</v>
      </c>
      <c r="AC1069" s="9">
        <f t="shared" si="238"/>
        <v>147</v>
      </c>
      <c r="AD1069" s="9">
        <f t="shared" si="238"/>
        <v>180</v>
      </c>
      <c r="AE1069" s="9">
        <f t="shared" si="238"/>
        <v>33</v>
      </c>
    </row>
    <row r="1070" spans="2:31" x14ac:dyDescent="0.25">
      <c r="B1070" s="6">
        <v>1587</v>
      </c>
      <c r="C1070" s="6">
        <f t="shared" si="224"/>
        <v>1673</v>
      </c>
      <c r="D1070" s="6">
        <f t="shared" si="235"/>
        <v>1221</v>
      </c>
      <c r="E1070" s="6">
        <f t="shared" si="236"/>
        <v>1144</v>
      </c>
      <c r="F1070" s="6">
        <f t="shared" si="237"/>
        <v>1111</v>
      </c>
      <c r="L1070">
        <f t="shared" si="225"/>
        <v>-86</v>
      </c>
      <c r="M1070">
        <f t="shared" si="226"/>
        <v>366</v>
      </c>
      <c r="N1070">
        <f t="shared" si="227"/>
        <v>443</v>
      </c>
      <c r="O1070">
        <f t="shared" si="228"/>
        <v>476</v>
      </c>
      <c r="P1070">
        <f t="shared" si="229"/>
        <v>452</v>
      </c>
      <c r="Q1070">
        <f t="shared" si="230"/>
        <v>529</v>
      </c>
      <c r="R1070">
        <f t="shared" si="231"/>
        <v>562</v>
      </c>
      <c r="S1070">
        <f t="shared" si="232"/>
        <v>77</v>
      </c>
      <c r="T1070">
        <f t="shared" si="233"/>
        <v>110</v>
      </c>
      <c r="U1070">
        <f t="shared" si="234"/>
        <v>33</v>
      </c>
      <c r="V1070" s="9">
        <f t="shared" si="239"/>
        <v>86</v>
      </c>
      <c r="W1070" s="9">
        <f t="shared" si="239"/>
        <v>366</v>
      </c>
      <c r="X1070" s="9">
        <f t="shared" si="239"/>
        <v>443</v>
      </c>
      <c r="Y1070" s="9">
        <f t="shared" si="239"/>
        <v>476</v>
      </c>
      <c r="Z1070" s="9">
        <f t="shared" si="239"/>
        <v>452</v>
      </c>
      <c r="AA1070" s="9">
        <f t="shared" si="238"/>
        <v>529</v>
      </c>
      <c r="AB1070" s="9">
        <f t="shared" si="238"/>
        <v>562</v>
      </c>
      <c r="AC1070" s="9">
        <f t="shared" si="238"/>
        <v>77</v>
      </c>
      <c r="AD1070" s="9">
        <f t="shared" si="238"/>
        <v>110</v>
      </c>
      <c r="AE1070" s="9">
        <f t="shared" si="238"/>
        <v>33</v>
      </c>
    </row>
    <row r="1071" spans="2:31" x14ac:dyDescent="0.25">
      <c r="B1071" s="6">
        <v>1354</v>
      </c>
      <c r="C1071" s="6">
        <f t="shared" si="224"/>
        <v>1440</v>
      </c>
      <c r="D1071" s="6">
        <v>857</v>
      </c>
      <c r="E1071" s="6">
        <f t="shared" si="236"/>
        <v>780</v>
      </c>
      <c r="F1071" s="6">
        <v>854</v>
      </c>
      <c r="L1071">
        <f t="shared" si="225"/>
        <v>-86</v>
      </c>
      <c r="M1071">
        <f t="shared" si="226"/>
        <v>497</v>
      </c>
      <c r="N1071">
        <f t="shared" si="227"/>
        <v>574</v>
      </c>
      <c r="O1071">
        <f t="shared" si="228"/>
        <v>500</v>
      </c>
      <c r="P1071">
        <f t="shared" si="229"/>
        <v>583</v>
      </c>
      <c r="Q1071">
        <f t="shared" si="230"/>
        <v>660</v>
      </c>
      <c r="R1071">
        <f t="shared" si="231"/>
        <v>586</v>
      </c>
      <c r="S1071">
        <f t="shared" si="232"/>
        <v>77</v>
      </c>
      <c r="T1071">
        <f t="shared" si="233"/>
        <v>3</v>
      </c>
      <c r="U1071">
        <f t="shared" si="234"/>
        <v>-74</v>
      </c>
      <c r="V1071" s="9">
        <f t="shared" si="239"/>
        <v>86</v>
      </c>
      <c r="W1071" s="9">
        <f t="shared" si="239"/>
        <v>497</v>
      </c>
      <c r="X1071" s="9">
        <f t="shared" si="239"/>
        <v>574</v>
      </c>
      <c r="Y1071" s="9">
        <f t="shared" si="239"/>
        <v>500</v>
      </c>
      <c r="Z1071" s="9">
        <f t="shared" si="239"/>
        <v>583</v>
      </c>
      <c r="AA1071" s="9">
        <f t="shared" si="238"/>
        <v>660</v>
      </c>
      <c r="AB1071" s="9">
        <f t="shared" si="238"/>
        <v>586</v>
      </c>
      <c r="AC1071" s="9">
        <f t="shared" si="238"/>
        <v>77</v>
      </c>
      <c r="AD1071" s="9">
        <f t="shared" si="238"/>
        <v>3</v>
      </c>
      <c r="AE1071" s="9">
        <f t="shared" si="238"/>
        <v>74</v>
      </c>
    </row>
    <row r="1072" spans="2:31" x14ac:dyDescent="0.25">
      <c r="B1072" s="6">
        <v>2258</v>
      </c>
      <c r="C1072" s="6">
        <f t="shared" si="224"/>
        <v>2344</v>
      </c>
      <c r="D1072" s="6">
        <f t="shared" si="235"/>
        <v>1892</v>
      </c>
      <c r="E1072" s="6">
        <f t="shared" si="236"/>
        <v>1815</v>
      </c>
      <c r="F1072" s="6">
        <f t="shared" si="237"/>
        <v>1782</v>
      </c>
      <c r="L1072">
        <f t="shared" si="225"/>
        <v>-86</v>
      </c>
      <c r="M1072">
        <f t="shared" si="226"/>
        <v>366</v>
      </c>
      <c r="N1072">
        <f t="shared" si="227"/>
        <v>443</v>
      </c>
      <c r="O1072">
        <f t="shared" si="228"/>
        <v>476</v>
      </c>
      <c r="P1072">
        <f t="shared" si="229"/>
        <v>452</v>
      </c>
      <c r="Q1072">
        <f t="shared" si="230"/>
        <v>529</v>
      </c>
      <c r="R1072">
        <f t="shared" si="231"/>
        <v>562</v>
      </c>
      <c r="S1072">
        <f t="shared" si="232"/>
        <v>77</v>
      </c>
      <c r="T1072">
        <f t="shared" si="233"/>
        <v>110</v>
      </c>
      <c r="U1072">
        <f t="shared" si="234"/>
        <v>33</v>
      </c>
      <c r="V1072" s="9">
        <f t="shared" si="239"/>
        <v>86</v>
      </c>
      <c r="W1072" s="9">
        <f t="shared" si="239"/>
        <v>366</v>
      </c>
      <c r="X1072" s="9">
        <f t="shared" si="239"/>
        <v>443</v>
      </c>
      <c r="Y1072" s="9">
        <f t="shared" si="239"/>
        <v>476</v>
      </c>
      <c r="Z1072" s="9">
        <f t="shared" si="239"/>
        <v>452</v>
      </c>
      <c r="AA1072" s="9">
        <f t="shared" si="238"/>
        <v>529</v>
      </c>
      <c r="AB1072" s="9">
        <f t="shared" si="238"/>
        <v>562</v>
      </c>
      <c r="AC1072" s="9">
        <f t="shared" si="238"/>
        <v>77</v>
      </c>
      <c r="AD1072" s="9">
        <f t="shared" si="238"/>
        <v>110</v>
      </c>
      <c r="AE1072" s="9">
        <f t="shared" si="238"/>
        <v>33</v>
      </c>
    </row>
    <row r="1073" spans="2:31" x14ac:dyDescent="0.25">
      <c r="B1073" s="6">
        <v>1867</v>
      </c>
      <c r="C1073" s="6">
        <v>1452</v>
      </c>
      <c r="D1073" s="6">
        <f t="shared" si="235"/>
        <v>1000</v>
      </c>
      <c r="E1073" s="6">
        <f t="shared" si="236"/>
        <v>923</v>
      </c>
      <c r="F1073" s="6">
        <f t="shared" si="237"/>
        <v>890</v>
      </c>
      <c r="L1073">
        <f t="shared" si="225"/>
        <v>415</v>
      </c>
      <c r="M1073">
        <f t="shared" si="226"/>
        <v>867</v>
      </c>
      <c r="N1073">
        <f t="shared" si="227"/>
        <v>944</v>
      </c>
      <c r="O1073">
        <f t="shared" si="228"/>
        <v>977</v>
      </c>
      <c r="P1073">
        <f t="shared" si="229"/>
        <v>452</v>
      </c>
      <c r="Q1073">
        <f t="shared" si="230"/>
        <v>529</v>
      </c>
      <c r="R1073">
        <f t="shared" si="231"/>
        <v>562</v>
      </c>
      <c r="S1073">
        <f t="shared" si="232"/>
        <v>77</v>
      </c>
      <c r="T1073">
        <f t="shared" si="233"/>
        <v>110</v>
      </c>
      <c r="U1073">
        <f t="shared" si="234"/>
        <v>33</v>
      </c>
      <c r="V1073" s="9">
        <f t="shared" si="239"/>
        <v>415</v>
      </c>
      <c r="W1073" s="9">
        <f t="shared" si="239"/>
        <v>867</v>
      </c>
      <c r="X1073" s="9">
        <f t="shared" si="239"/>
        <v>944</v>
      </c>
      <c r="Y1073" s="9">
        <f t="shared" si="239"/>
        <v>977</v>
      </c>
      <c r="Z1073" s="9">
        <f t="shared" si="239"/>
        <v>452</v>
      </c>
      <c r="AA1073" s="9">
        <f t="shared" si="238"/>
        <v>529</v>
      </c>
      <c r="AB1073" s="9">
        <f t="shared" si="238"/>
        <v>562</v>
      </c>
      <c r="AC1073" s="9">
        <f t="shared" si="238"/>
        <v>77</v>
      </c>
      <c r="AD1073" s="9">
        <f t="shared" si="238"/>
        <v>110</v>
      </c>
      <c r="AE1073" s="9">
        <f t="shared" si="238"/>
        <v>33</v>
      </c>
    </row>
    <row r="1074" spans="2:31" x14ac:dyDescent="0.25">
      <c r="B1074" s="6">
        <v>1547</v>
      </c>
      <c r="C1074" s="6">
        <f t="shared" si="224"/>
        <v>1633</v>
      </c>
      <c r="D1074" s="6">
        <f t="shared" si="235"/>
        <v>1181</v>
      </c>
      <c r="E1074" s="6">
        <f t="shared" si="236"/>
        <v>1104</v>
      </c>
      <c r="F1074" s="6">
        <v>957</v>
      </c>
      <c r="L1074">
        <f t="shared" si="225"/>
        <v>-86</v>
      </c>
      <c r="M1074">
        <f t="shared" si="226"/>
        <v>366</v>
      </c>
      <c r="N1074">
        <f t="shared" si="227"/>
        <v>443</v>
      </c>
      <c r="O1074">
        <f t="shared" si="228"/>
        <v>590</v>
      </c>
      <c r="P1074">
        <f t="shared" si="229"/>
        <v>452</v>
      </c>
      <c r="Q1074">
        <f t="shared" si="230"/>
        <v>529</v>
      </c>
      <c r="R1074">
        <f t="shared" si="231"/>
        <v>676</v>
      </c>
      <c r="S1074">
        <f t="shared" si="232"/>
        <v>77</v>
      </c>
      <c r="T1074">
        <f t="shared" si="233"/>
        <v>224</v>
      </c>
      <c r="U1074">
        <f t="shared" si="234"/>
        <v>147</v>
      </c>
      <c r="V1074" s="9">
        <f t="shared" si="239"/>
        <v>86</v>
      </c>
      <c r="W1074" s="9">
        <f t="shared" si="239"/>
        <v>366</v>
      </c>
      <c r="X1074" s="9">
        <f t="shared" si="239"/>
        <v>443</v>
      </c>
      <c r="Y1074" s="9">
        <f t="shared" si="239"/>
        <v>590</v>
      </c>
      <c r="Z1074" s="9">
        <f t="shared" si="239"/>
        <v>452</v>
      </c>
      <c r="AA1074" s="9">
        <f t="shared" si="238"/>
        <v>529</v>
      </c>
      <c r="AB1074" s="9">
        <f t="shared" si="238"/>
        <v>676</v>
      </c>
      <c r="AC1074" s="9">
        <f t="shared" si="238"/>
        <v>77</v>
      </c>
      <c r="AD1074" s="9">
        <f t="shared" si="238"/>
        <v>224</v>
      </c>
      <c r="AE1074" s="9">
        <f t="shared" si="238"/>
        <v>147</v>
      </c>
    </row>
    <row r="1075" spans="2:31" x14ac:dyDescent="0.25">
      <c r="B1075" s="6">
        <v>1064</v>
      </c>
      <c r="C1075" s="6">
        <f t="shared" si="224"/>
        <v>1150</v>
      </c>
      <c r="D1075" s="6">
        <f t="shared" si="235"/>
        <v>698</v>
      </c>
      <c r="E1075" s="6">
        <f t="shared" si="236"/>
        <v>621</v>
      </c>
      <c r="F1075" s="6">
        <f t="shared" si="237"/>
        <v>588</v>
      </c>
      <c r="L1075">
        <f t="shared" si="225"/>
        <v>-86</v>
      </c>
      <c r="M1075">
        <f t="shared" si="226"/>
        <v>366</v>
      </c>
      <c r="N1075">
        <f t="shared" si="227"/>
        <v>443</v>
      </c>
      <c r="O1075">
        <f t="shared" si="228"/>
        <v>476</v>
      </c>
      <c r="P1075">
        <f t="shared" si="229"/>
        <v>452</v>
      </c>
      <c r="Q1075">
        <f t="shared" si="230"/>
        <v>529</v>
      </c>
      <c r="R1075">
        <f t="shared" si="231"/>
        <v>562</v>
      </c>
      <c r="S1075">
        <f t="shared" si="232"/>
        <v>77</v>
      </c>
      <c r="T1075">
        <f t="shared" si="233"/>
        <v>110</v>
      </c>
      <c r="U1075">
        <f t="shared" si="234"/>
        <v>33</v>
      </c>
      <c r="V1075" s="9">
        <f t="shared" si="239"/>
        <v>86</v>
      </c>
      <c r="W1075" s="9">
        <f t="shared" si="239"/>
        <v>366</v>
      </c>
      <c r="X1075" s="9">
        <f t="shared" si="239"/>
        <v>443</v>
      </c>
      <c r="Y1075" s="9">
        <f t="shared" si="239"/>
        <v>476</v>
      </c>
      <c r="Z1075" s="9">
        <f t="shared" si="239"/>
        <v>452</v>
      </c>
      <c r="AA1075" s="9">
        <f t="shared" si="238"/>
        <v>529</v>
      </c>
      <c r="AB1075" s="9">
        <f t="shared" si="238"/>
        <v>562</v>
      </c>
      <c r="AC1075" s="9">
        <f t="shared" si="238"/>
        <v>77</v>
      </c>
      <c r="AD1075" s="9">
        <f t="shared" si="238"/>
        <v>110</v>
      </c>
      <c r="AE1075" s="9">
        <f t="shared" si="238"/>
        <v>33</v>
      </c>
    </row>
    <row r="1076" spans="2:31" x14ac:dyDescent="0.25">
      <c r="B1076" s="6">
        <v>954</v>
      </c>
      <c r="C1076" s="6">
        <f t="shared" si="224"/>
        <v>1040</v>
      </c>
      <c r="D1076" s="6">
        <f t="shared" si="235"/>
        <v>588</v>
      </c>
      <c r="E1076" s="6">
        <f t="shared" si="236"/>
        <v>511</v>
      </c>
      <c r="F1076" s="6">
        <f t="shared" si="237"/>
        <v>478</v>
      </c>
      <c r="L1076">
        <f t="shared" si="225"/>
        <v>-86</v>
      </c>
      <c r="M1076">
        <f t="shared" si="226"/>
        <v>366</v>
      </c>
      <c r="N1076">
        <f t="shared" si="227"/>
        <v>443</v>
      </c>
      <c r="O1076">
        <f t="shared" si="228"/>
        <v>476</v>
      </c>
      <c r="P1076">
        <f t="shared" si="229"/>
        <v>452</v>
      </c>
      <c r="Q1076">
        <f t="shared" si="230"/>
        <v>529</v>
      </c>
      <c r="R1076">
        <f t="shared" si="231"/>
        <v>562</v>
      </c>
      <c r="S1076">
        <f t="shared" si="232"/>
        <v>77</v>
      </c>
      <c r="T1076">
        <f t="shared" si="233"/>
        <v>110</v>
      </c>
      <c r="U1076">
        <f t="shared" si="234"/>
        <v>33</v>
      </c>
      <c r="V1076" s="9">
        <f t="shared" si="239"/>
        <v>86</v>
      </c>
      <c r="W1076" s="9">
        <f t="shared" si="239"/>
        <v>366</v>
      </c>
      <c r="X1076" s="9">
        <f t="shared" si="239"/>
        <v>443</v>
      </c>
      <c r="Y1076" s="9">
        <f t="shared" si="239"/>
        <v>476</v>
      </c>
      <c r="Z1076" s="9">
        <f t="shared" si="239"/>
        <v>452</v>
      </c>
      <c r="AA1076" s="9">
        <f t="shared" si="238"/>
        <v>529</v>
      </c>
      <c r="AB1076" s="9">
        <f t="shared" si="238"/>
        <v>562</v>
      </c>
      <c r="AC1076" s="9">
        <f t="shared" si="238"/>
        <v>77</v>
      </c>
      <c r="AD1076" s="9">
        <f t="shared" si="238"/>
        <v>110</v>
      </c>
      <c r="AE1076" s="9">
        <f t="shared" si="238"/>
        <v>33</v>
      </c>
    </row>
    <row r="1077" spans="2:31" x14ac:dyDescent="0.25">
      <c r="B1077" s="6">
        <v>1354</v>
      </c>
      <c r="C1077" s="6">
        <f t="shared" si="224"/>
        <v>1440</v>
      </c>
      <c r="D1077" s="6">
        <f t="shared" si="235"/>
        <v>988</v>
      </c>
      <c r="E1077" s="6">
        <v>847</v>
      </c>
      <c r="F1077" s="6">
        <v>457</v>
      </c>
      <c r="L1077">
        <f t="shared" si="225"/>
        <v>-86</v>
      </c>
      <c r="M1077">
        <f t="shared" si="226"/>
        <v>366</v>
      </c>
      <c r="N1077">
        <f t="shared" si="227"/>
        <v>507</v>
      </c>
      <c r="O1077">
        <f t="shared" si="228"/>
        <v>897</v>
      </c>
      <c r="P1077">
        <f t="shared" si="229"/>
        <v>452</v>
      </c>
      <c r="Q1077">
        <f t="shared" si="230"/>
        <v>593</v>
      </c>
      <c r="R1077">
        <f t="shared" si="231"/>
        <v>983</v>
      </c>
      <c r="S1077">
        <f t="shared" si="232"/>
        <v>141</v>
      </c>
      <c r="T1077">
        <f t="shared" si="233"/>
        <v>531</v>
      </c>
      <c r="U1077">
        <f t="shared" si="234"/>
        <v>390</v>
      </c>
      <c r="V1077" s="9">
        <f t="shared" si="239"/>
        <v>86</v>
      </c>
      <c r="W1077" s="9">
        <f t="shared" si="239"/>
        <v>366</v>
      </c>
      <c r="X1077" s="9">
        <f t="shared" si="239"/>
        <v>507</v>
      </c>
      <c r="Y1077" s="9">
        <f t="shared" si="239"/>
        <v>897</v>
      </c>
      <c r="Z1077" s="9">
        <f t="shared" si="239"/>
        <v>452</v>
      </c>
      <c r="AA1077" s="9">
        <f t="shared" si="238"/>
        <v>593</v>
      </c>
      <c r="AB1077" s="9">
        <f t="shared" si="238"/>
        <v>983</v>
      </c>
      <c r="AC1077" s="9">
        <f t="shared" si="238"/>
        <v>141</v>
      </c>
      <c r="AD1077" s="9">
        <f t="shared" si="238"/>
        <v>531</v>
      </c>
      <c r="AE1077" s="9">
        <f t="shared" si="238"/>
        <v>390</v>
      </c>
    </row>
    <row r="1078" spans="2:31" x14ac:dyDescent="0.25">
      <c r="B1078" s="6">
        <v>854</v>
      </c>
      <c r="C1078" s="6">
        <f t="shared" si="224"/>
        <v>940</v>
      </c>
      <c r="D1078" s="6">
        <f t="shared" si="235"/>
        <v>488</v>
      </c>
      <c r="E1078" s="6">
        <f t="shared" si="236"/>
        <v>411</v>
      </c>
      <c r="F1078" s="6">
        <f t="shared" si="237"/>
        <v>378</v>
      </c>
      <c r="L1078">
        <f t="shared" si="225"/>
        <v>-86</v>
      </c>
      <c r="M1078">
        <f t="shared" si="226"/>
        <v>366</v>
      </c>
      <c r="N1078">
        <f t="shared" si="227"/>
        <v>443</v>
      </c>
      <c r="O1078">
        <f t="shared" si="228"/>
        <v>476</v>
      </c>
      <c r="P1078">
        <f t="shared" si="229"/>
        <v>452</v>
      </c>
      <c r="Q1078">
        <f t="shared" si="230"/>
        <v>529</v>
      </c>
      <c r="R1078">
        <f t="shared" si="231"/>
        <v>562</v>
      </c>
      <c r="S1078">
        <f t="shared" si="232"/>
        <v>77</v>
      </c>
      <c r="T1078">
        <f t="shared" si="233"/>
        <v>110</v>
      </c>
      <c r="U1078">
        <f t="shared" si="234"/>
        <v>33</v>
      </c>
      <c r="V1078" s="9">
        <f t="shared" si="239"/>
        <v>86</v>
      </c>
      <c r="W1078" s="9">
        <f t="shared" si="239"/>
        <v>366</v>
      </c>
      <c r="X1078" s="9">
        <f t="shared" si="239"/>
        <v>443</v>
      </c>
      <c r="Y1078" s="9">
        <f t="shared" si="239"/>
        <v>476</v>
      </c>
      <c r="Z1078" s="9">
        <f t="shared" si="239"/>
        <v>452</v>
      </c>
      <c r="AA1078" s="9">
        <f t="shared" si="238"/>
        <v>529</v>
      </c>
      <c r="AB1078" s="9">
        <f t="shared" si="238"/>
        <v>562</v>
      </c>
      <c r="AC1078" s="9">
        <f t="shared" si="238"/>
        <v>77</v>
      </c>
      <c r="AD1078" s="9">
        <f t="shared" si="238"/>
        <v>110</v>
      </c>
      <c r="AE1078" s="9">
        <f t="shared" si="238"/>
        <v>33</v>
      </c>
    </row>
    <row r="1079" spans="2:31" x14ac:dyDescent="0.25">
      <c r="B1079" s="6">
        <v>1034</v>
      </c>
      <c r="C1079" s="6">
        <f t="shared" si="224"/>
        <v>1120</v>
      </c>
      <c r="D1079" s="6">
        <f t="shared" si="235"/>
        <v>668</v>
      </c>
      <c r="E1079" s="6">
        <f t="shared" si="236"/>
        <v>591</v>
      </c>
      <c r="F1079" s="6">
        <f t="shared" si="237"/>
        <v>558</v>
      </c>
      <c r="L1079">
        <f t="shared" si="225"/>
        <v>-86</v>
      </c>
      <c r="M1079">
        <f t="shared" si="226"/>
        <v>366</v>
      </c>
      <c r="N1079">
        <f t="shared" si="227"/>
        <v>443</v>
      </c>
      <c r="O1079">
        <f t="shared" si="228"/>
        <v>476</v>
      </c>
      <c r="P1079">
        <f t="shared" si="229"/>
        <v>452</v>
      </c>
      <c r="Q1079">
        <f t="shared" si="230"/>
        <v>529</v>
      </c>
      <c r="R1079">
        <f t="shared" si="231"/>
        <v>562</v>
      </c>
      <c r="S1079">
        <f t="shared" si="232"/>
        <v>77</v>
      </c>
      <c r="T1079">
        <f t="shared" si="233"/>
        <v>110</v>
      </c>
      <c r="U1079">
        <f t="shared" si="234"/>
        <v>33</v>
      </c>
      <c r="V1079" s="9">
        <f t="shared" si="239"/>
        <v>86</v>
      </c>
      <c r="W1079" s="9">
        <f t="shared" si="239"/>
        <v>366</v>
      </c>
      <c r="X1079" s="9">
        <f t="shared" si="239"/>
        <v>443</v>
      </c>
      <c r="Y1079" s="9">
        <f t="shared" si="239"/>
        <v>476</v>
      </c>
      <c r="Z1079" s="9">
        <f t="shared" si="239"/>
        <v>452</v>
      </c>
      <c r="AA1079" s="9">
        <f t="shared" si="238"/>
        <v>529</v>
      </c>
      <c r="AB1079" s="9">
        <f t="shared" si="238"/>
        <v>562</v>
      </c>
      <c r="AC1079" s="9">
        <f t="shared" si="238"/>
        <v>77</v>
      </c>
      <c r="AD1079" s="9">
        <f t="shared" si="238"/>
        <v>110</v>
      </c>
      <c r="AE1079" s="9">
        <f t="shared" si="238"/>
        <v>33</v>
      </c>
    </row>
    <row r="1080" spans="2:31" x14ac:dyDescent="0.25">
      <c r="B1080" s="6">
        <v>854</v>
      </c>
      <c r="C1080" s="6">
        <f t="shared" si="224"/>
        <v>940</v>
      </c>
      <c r="D1080" s="6">
        <f t="shared" si="235"/>
        <v>488</v>
      </c>
      <c r="E1080" s="6">
        <f t="shared" si="236"/>
        <v>411</v>
      </c>
      <c r="F1080" s="6">
        <v>256</v>
      </c>
      <c r="L1080">
        <f t="shared" si="225"/>
        <v>-86</v>
      </c>
      <c r="M1080">
        <f t="shared" si="226"/>
        <v>366</v>
      </c>
      <c r="N1080">
        <f t="shared" si="227"/>
        <v>443</v>
      </c>
      <c r="O1080">
        <f t="shared" si="228"/>
        <v>598</v>
      </c>
      <c r="P1080">
        <f t="shared" si="229"/>
        <v>452</v>
      </c>
      <c r="Q1080">
        <f t="shared" si="230"/>
        <v>529</v>
      </c>
      <c r="R1080">
        <f t="shared" si="231"/>
        <v>684</v>
      </c>
      <c r="S1080">
        <f t="shared" si="232"/>
        <v>77</v>
      </c>
      <c r="T1080">
        <f t="shared" si="233"/>
        <v>232</v>
      </c>
      <c r="U1080">
        <f t="shared" si="234"/>
        <v>155</v>
      </c>
      <c r="V1080" s="9">
        <f t="shared" si="239"/>
        <v>86</v>
      </c>
      <c r="W1080" s="9">
        <f t="shared" si="239"/>
        <v>366</v>
      </c>
      <c r="X1080" s="9">
        <f t="shared" si="239"/>
        <v>443</v>
      </c>
      <c r="Y1080" s="9">
        <f t="shared" si="239"/>
        <v>598</v>
      </c>
      <c r="Z1080" s="9">
        <f t="shared" si="239"/>
        <v>452</v>
      </c>
      <c r="AA1080" s="9">
        <f t="shared" si="238"/>
        <v>529</v>
      </c>
      <c r="AB1080" s="9">
        <f t="shared" si="238"/>
        <v>684</v>
      </c>
      <c r="AC1080" s="9">
        <f t="shared" si="238"/>
        <v>77</v>
      </c>
      <c r="AD1080" s="9">
        <f t="shared" si="238"/>
        <v>232</v>
      </c>
      <c r="AE1080" s="9">
        <f t="shared" si="238"/>
        <v>155</v>
      </c>
    </row>
    <row r="1081" spans="2:31" x14ac:dyDescent="0.25">
      <c r="B1081" s="7">
        <v>745</v>
      </c>
      <c r="C1081" s="7">
        <v>878</v>
      </c>
      <c r="D1081" s="7">
        <v>431</v>
      </c>
      <c r="E1081" s="7">
        <v>252</v>
      </c>
      <c r="F1081" s="7">
        <v>221</v>
      </c>
      <c r="L1081">
        <f t="shared" si="225"/>
        <v>-133</v>
      </c>
      <c r="M1081">
        <f t="shared" si="226"/>
        <v>314</v>
      </c>
      <c r="N1081">
        <f t="shared" si="227"/>
        <v>493</v>
      </c>
      <c r="O1081">
        <f t="shared" si="228"/>
        <v>524</v>
      </c>
      <c r="P1081">
        <f t="shared" si="229"/>
        <v>447</v>
      </c>
      <c r="Q1081">
        <f t="shared" si="230"/>
        <v>626</v>
      </c>
      <c r="R1081">
        <f t="shared" si="231"/>
        <v>657</v>
      </c>
      <c r="S1081">
        <f t="shared" si="232"/>
        <v>179</v>
      </c>
      <c r="T1081">
        <f t="shared" si="233"/>
        <v>210</v>
      </c>
      <c r="U1081">
        <f t="shared" si="234"/>
        <v>31</v>
      </c>
      <c r="V1081" s="9">
        <f t="shared" si="239"/>
        <v>133</v>
      </c>
      <c r="W1081" s="9">
        <f t="shared" si="239"/>
        <v>314</v>
      </c>
      <c r="X1081" s="9">
        <f t="shared" si="239"/>
        <v>493</v>
      </c>
      <c r="Y1081" s="9">
        <f t="shared" si="239"/>
        <v>524</v>
      </c>
      <c r="Z1081" s="9">
        <f t="shared" si="239"/>
        <v>447</v>
      </c>
      <c r="AA1081" s="9">
        <f t="shared" si="238"/>
        <v>626</v>
      </c>
      <c r="AB1081" s="9">
        <f t="shared" si="238"/>
        <v>657</v>
      </c>
      <c r="AC1081" s="9">
        <f t="shared" si="238"/>
        <v>179</v>
      </c>
      <c r="AD1081" s="9">
        <f t="shared" si="238"/>
        <v>210</v>
      </c>
      <c r="AE1081" s="9">
        <f t="shared" si="238"/>
        <v>31</v>
      </c>
    </row>
    <row r="1082" spans="2:31" x14ac:dyDescent="0.25">
      <c r="B1082" s="6">
        <v>685</v>
      </c>
      <c r="C1082" s="6">
        <f>B1082+73</f>
        <v>758</v>
      </c>
      <c r="D1082" s="6">
        <v>554</v>
      </c>
      <c r="E1082" s="6">
        <v>489</v>
      </c>
      <c r="F1082" s="6">
        <v>452</v>
      </c>
      <c r="L1082">
        <f t="shared" si="225"/>
        <v>-73</v>
      </c>
      <c r="M1082">
        <f t="shared" si="226"/>
        <v>131</v>
      </c>
      <c r="N1082">
        <f t="shared" si="227"/>
        <v>196</v>
      </c>
      <c r="O1082">
        <f t="shared" si="228"/>
        <v>233</v>
      </c>
      <c r="P1082">
        <f t="shared" si="229"/>
        <v>204</v>
      </c>
      <c r="Q1082">
        <f t="shared" si="230"/>
        <v>269</v>
      </c>
      <c r="R1082">
        <f t="shared" si="231"/>
        <v>306</v>
      </c>
      <c r="S1082">
        <f t="shared" si="232"/>
        <v>65</v>
      </c>
      <c r="T1082">
        <f t="shared" si="233"/>
        <v>102</v>
      </c>
      <c r="U1082">
        <f t="shared" si="234"/>
        <v>37</v>
      </c>
      <c r="V1082" s="9">
        <f t="shared" si="239"/>
        <v>73</v>
      </c>
      <c r="W1082" s="9">
        <f t="shared" si="239"/>
        <v>131</v>
      </c>
      <c r="X1082" s="9">
        <f t="shared" si="239"/>
        <v>196</v>
      </c>
      <c r="Y1082" s="9">
        <f t="shared" si="239"/>
        <v>233</v>
      </c>
      <c r="Z1082" s="9">
        <f t="shared" si="239"/>
        <v>204</v>
      </c>
      <c r="AA1082" s="9">
        <f t="shared" si="238"/>
        <v>269</v>
      </c>
      <c r="AB1082" s="9">
        <f t="shared" si="238"/>
        <v>306</v>
      </c>
      <c r="AC1082" s="9">
        <f t="shared" si="238"/>
        <v>65</v>
      </c>
      <c r="AD1082" s="9">
        <f t="shared" si="238"/>
        <v>102</v>
      </c>
      <c r="AE1082" s="9">
        <f t="shared" si="238"/>
        <v>37</v>
      </c>
    </row>
    <row r="1083" spans="2:31" x14ac:dyDescent="0.25">
      <c r="B1083" s="6">
        <v>489</v>
      </c>
      <c r="C1083" s="6">
        <f t="shared" ref="C1083:C1106" si="240">B1083+73</f>
        <v>562</v>
      </c>
      <c r="D1083" s="6">
        <v>394</v>
      </c>
      <c r="E1083" s="6">
        <f>D1083-113</f>
        <v>281</v>
      </c>
      <c r="F1083" s="6">
        <v>245</v>
      </c>
      <c r="L1083">
        <f t="shared" si="225"/>
        <v>-73</v>
      </c>
      <c r="M1083">
        <f t="shared" si="226"/>
        <v>95</v>
      </c>
      <c r="N1083">
        <f t="shared" si="227"/>
        <v>208</v>
      </c>
      <c r="O1083">
        <f t="shared" si="228"/>
        <v>244</v>
      </c>
      <c r="P1083">
        <f t="shared" si="229"/>
        <v>168</v>
      </c>
      <c r="Q1083">
        <f t="shared" si="230"/>
        <v>281</v>
      </c>
      <c r="R1083">
        <f t="shared" si="231"/>
        <v>317</v>
      </c>
      <c r="S1083">
        <f t="shared" si="232"/>
        <v>113</v>
      </c>
      <c r="T1083">
        <f t="shared" si="233"/>
        <v>149</v>
      </c>
      <c r="U1083">
        <f t="shared" si="234"/>
        <v>36</v>
      </c>
      <c r="V1083" s="9">
        <f t="shared" si="239"/>
        <v>73</v>
      </c>
      <c r="W1083" s="9">
        <f t="shared" si="239"/>
        <v>95</v>
      </c>
      <c r="X1083" s="9">
        <f t="shared" si="239"/>
        <v>208</v>
      </c>
      <c r="Y1083" s="9">
        <f t="shared" si="239"/>
        <v>244</v>
      </c>
      <c r="Z1083" s="9">
        <f t="shared" si="239"/>
        <v>168</v>
      </c>
      <c r="AA1083" s="9">
        <f t="shared" si="238"/>
        <v>281</v>
      </c>
      <c r="AB1083" s="9">
        <f t="shared" si="238"/>
        <v>317</v>
      </c>
      <c r="AC1083" s="9">
        <f t="shared" si="238"/>
        <v>113</v>
      </c>
      <c r="AD1083" s="9">
        <f t="shared" si="238"/>
        <v>149</v>
      </c>
      <c r="AE1083" s="9">
        <f t="shared" si="238"/>
        <v>36</v>
      </c>
    </row>
    <row r="1084" spans="2:31" x14ac:dyDescent="0.25">
      <c r="B1084" s="6">
        <v>678</v>
      </c>
      <c r="C1084" s="6">
        <f t="shared" si="240"/>
        <v>751</v>
      </c>
      <c r="D1084" s="6">
        <f t="shared" ref="D1084:D1109" si="241">B1084-229</f>
        <v>449</v>
      </c>
      <c r="E1084" s="6">
        <f t="shared" ref="E1084:E1106" si="242">D1084-113</f>
        <v>336</v>
      </c>
      <c r="F1084" s="6">
        <f t="shared" ref="F1084:F1106" si="243">E1084-32</f>
        <v>304</v>
      </c>
      <c r="L1084">
        <f t="shared" si="225"/>
        <v>-73</v>
      </c>
      <c r="M1084">
        <f t="shared" si="226"/>
        <v>229</v>
      </c>
      <c r="N1084">
        <f t="shared" si="227"/>
        <v>342</v>
      </c>
      <c r="O1084">
        <f t="shared" si="228"/>
        <v>374</v>
      </c>
      <c r="P1084">
        <f t="shared" si="229"/>
        <v>302</v>
      </c>
      <c r="Q1084">
        <f t="shared" si="230"/>
        <v>415</v>
      </c>
      <c r="R1084">
        <f t="shared" si="231"/>
        <v>447</v>
      </c>
      <c r="S1084">
        <f t="shared" si="232"/>
        <v>113</v>
      </c>
      <c r="T1084">
        <f t="shared" si="233"/>
        <v>145</v>
      </c>
      <c r="U1084">
        <f t="shared" si="234"/>
        <v>32</v>
      </c>
      <c r="V1084" s="9">
        <f t="shared" si="239"/>
        <v>73</v>
      </c>
      <c r="W1084" s="9">
        <f t="shared" si="239"/>
        <v>229</v>
      </c>
      <c r="X1084" s="9">
        <f t="shared" si="239"/>
        <v>342</v>
      </c>
      <c r="Y1084" s="9">
        <f t="shared" si="239"/>
        <v>374</v>
      </c>
      <c r="Z1084" s="9">
        <f t="shared" si="239"/>
        <v>302</v>
      </c>
      <c r="AA1084" s="9">
        <f t="shared" si="238"/>
        <v>415</v>
      </c>
      <c r="AB1084" s="9">
        <f t="shared" si="238"/>
        <v>447</v>
      </c>
      <c r="AC1084" s="9">
        <f t="shared" si="238"/>
        <v>113</v>
      </c>
      <c r="AD1084" s="9">
        <f t="shared" si="238"/>
        <v>145</v>
      </c>
      <c r="AE1084" s="9">
        <f t="shared" si="238"/>
        <v>32</v>
      </c>
    </row>
    <row r="1085" spans="2:31" x14ac:dyDescent="0.25">
      <c r="B1085" s="6">
        <v>459</v>
      </c>
      <c r="C1085" s="6">
        <f t="shared" si="240"/>
        <v>532</v>
      </c>
      <c r="D1085" s="6">
        <f t="shared" si="241"/>
        <v>230</v>
      </c>
      <c r="E1085" s="6">
        <v>213</v>
      </c>
      <c r="F1085" s="6">
        <f t="shared" si="243"/>
        <v>181</v>
      </c>
      <c r="L1085">
        <f t="shared" si="225"/>
        <v>-73</v>
      </c>
      <c r="M1085">
        <f t="shared" si="226"/>
        <v>229</v>
      </c>
      <c r="N1085">
        <f t="shared" si="227"/>
        <v>246</v>
      </c>
      <c r="O1085">
        <f t="shared" si="228"/>
        <v>278</v>
      </c>
      <c r="P1085">
        <f t="shared" si="229"/>
        <v>302</v>
      </c>
      <c r="Q1085">
        <f t="shared" si="230"/>
        <v>319</v>
      </c>
      <c r="R1085">
        <f t="shared" si="231"/>
        <v>351</v>
      </c>
      <c r="S1085">
        <f t="shared" si="232"/>
        <v>17</v>
      </c>
      <c r="T1085">
        <f t="shared" si="233"/>
        <v>49</v>
      </c>
      <c r="U1085">
        <f t="shared" si="234"/>
        <v>32</v>
      </c>
      <c r="V1085" s="9">
        <f t="shared" si="239"/>
        <v>73</v>
      </c>
      <c r="W1085" s="9">
        <f t="shared" si="239"/>
        <v>229</v>
      </c>
      <c r="X1085" s="9">
        <f t="shared" si="239"/>
        <v>246</v>
      </c>
      <c r="Y1085" s="9">
        <f t="shared" si="239"/>
        <v>278</v>
      </c>
      <c r="Z1085" s="9">
        <f t="shared" si="239"/>
        <v>302</v>
      </c>
      <c r="AA1085" s="9">
        <f t="shared" si="238"/>
        <v>319</v>
      </c>
      <c r="AB1085" s="9">
        <f t="shared" si="238"/>
        <v>351</v>
      </c>
      <c r="AC1085" s="9">
        <f t="shared" si="238"/>
        <v>17</v>
      </c>
      <c r="AD1085" s="9">
        <f t="shared" si="238"/>
        <v>49</v>
      </c>
      <c r="AE1085" s="9">
        <f t="shared" si="238"/>
        <v>32</v>
      </c>
    </row>
    <row r="1086" spans="2:31" x14ac:dyDescent="0.25">
      <c r="B1086" s="6">
        <v>998</v>
      </c>
      <c r="C1086" s="6">
        <f t="shared" si="240"/>
        <v>1071</v>
      </c>
      <c r="D1086" s="6">
        <v>857</v>
      </c>
      <c r="E1086" s="6">
        <f t="shared" si="242"/>
        <v>744</v>
      </c>
      <c r="F1086" s="6">
        <v>704</v>
      </c>
      <c r="L1086">
        <f t="shared" si="225"/>
        <v>-73</v>
      </c>
      <c r="M1086">
        <f t="shared" si="226"/>
        <v>141</v>
      </c>
      <c r="N1086">
        <f t="shared" si="227"/>
        <v>254</v>
      </c>
      <c r="O1086">
        <f t="shared" si="228"/>
        <v>294</v>
      </c>
      <c r="P1086">
        <f t="shared" si="229"/>
        <v>214</v>
      </c>
      <c r="Q1086">
        <f t="shared" si="230"/>
        <v>327</v>
      </c>
      <c r="R1086">
        <f t="shared" si="231"/>
        <v>367</v>
      </c>
      <c r="S1086">
        <f t="shared" si="232"/>
        <v>113</v>
      </c>
      <c r="T1086">
        <f t="shared" si="233"/>
        <v>153</v>
      </c>
      <c r="U1086">
        <f t="shared" si="234"/>
        <v>40</v>
      </c>
      <c r="V1086" s="9">
        <f t="shared" si="239"/>
        <v>73</v>
      </c>
      <c r="W1086" s="9">
        <f t="shared" si="239"/>
        <v>141</v>
      </c>
      <c r="X1086" s="9">
        <f t="shared" si="239"/>
        <v>254</v>
      </c>
      <c r="Y1086" s="9">
        <f t="shared" si="239"/>
        <v>294</v>
      </c>
      <c r="Z1086" s="9">
        <f t="shared" si="239"/>
        <v>214</v>
      </c>
      <c r="AA1086" s="9">
        <f t="shared" ref="AA1086:AE1136" si="244">IF(Q1086&gt;=0,Q1086,-Q1086)</f>
        <v>327</v>
      </c>
      <c r="AB1086" s="9">
        <f t="shared" si="244"/>
        <v>367</v>
      </c>
      <c r="AC1086" s="9">
        <f t="shared" si="244"/>
        <v>113</v>
      </c>
      <c r="AD1086" s="9">
        <f t="shared" si="244"/>
        <v>153</v>
      </c>
      <c r="AE1086" s="9">
        <f t="shared" si="244"/>
        <v>40</v>
      </c>
    </row>
    <row r="1087" spans="2:31" x14ac:dyDescent="0.25">
      <c r="B1087" s="6">
        <v>552</v>
      </c>
      <c r="C1087" s="6">
        <f t="shared" si="240"/>
        <v>625</v>
      </c>
      <c r="D1087" s="6">
        <v>335</v>
      </c>
      <c r="E1087" s="6">
        <v>286</v>
      </c>
      <c r="F1087" s="6">
        <v>259</v>
      </c>
      <c r="L1087">
        <f t="shared" si="225"/>
        <v>-73</v>
      </c>
      <c r="M1087">
        <f t="shared" si="226"/>
        <v>217</v>
      </c>
      <c r="N1087">
        <f t="shared" si="227"/>
        <v>266</v>
      </c>
      <c r="O1087">
        <f t="shared" si="228"/>
        <v>293</v>
      </c>
      <c r="P1087">
        <f t="shared" si="229"/>
        <v>290</v>
      </c>
      <c r="Q1087">
        <f t="shared" si="230"/>
        <v>339</v>
      </c>
      <c r="R1087">
        <f t="shared" si="231"/>
        <v>366</v>
      </c>
      <c r="S1087">
        <f t="shared" si="232"/>
        <v>49</v>
      </c>
      <c r="T1087">
        <f t="shared" si="233"/>
        <v>76</v>
      </c>
      <c r="U1087">
        <f t="shared" si="234"/>
        <v>27</v>
      </c>
      <c r="V1087" s="9">
        <f t="shared" ref="V1087:Z1137" si="245">IF(L1087&gt;=0,L1087,-L1087)</f>
        <v>73</v>
      </c>
      <c r="W1087" s="9">
        <f t="shared" si="245"/>
        <v>217</v>
      </c>
      <c r="X1087" s="9">
        <f t="shared" si="245"/>
        <v>266</v>
      </c>
      <c r="Y1087" s="9">
        <f t="shared" si="245"/>
        <v>293</v>
      </c>
      <c r="Z1087" s="9">
        <f t="shared" si="245"/>
        <v>290</v>
      </c>
      <c r="AA1087" s="9">
        <f t="shared" si="244"/>
        <v>339</v>
      </c>
      <c r="AB1087" s="9">
        <f t="shared" si="244"/>
        <v>366</v>
      </c>
      <c r="AC1087" s="9">
        <f t="shared" si="244"/>
        <v>49</v>
      </c>
      <c r="AD1087" s="9">
        <f t="shared" si="244"/>
        <v>76</v>
      </c>
      <c r="AE1087" s="9">
        <f t="shared" si="244"/>
        <v>27</v>
      </c>
    </row>
    <row r="1088" spans="2:31" x14ac:dyDescent="0.25">
      <c r="B1088" s="6">
        <v>548</v>
      </c>
      <c r="C1088" s="6">
        <f t="shared" si="240"/>
        <v>621</v>
      </c>
      <c r="D1088" s="6">
        <f t="shared" si="241"/>
        <v>319</v>
      </c>
      <c r="E1088" s="6">
        <v>375</v>
      </c>
      <c r="F1088" s="6">
        <f t="shared" si="243"/>
        <v>343</v>
      </c>
      <c r="L1088">
        <f t="shared" si="225"/>
        <v>-73</v>
      </c>
      <c r="M1088">
        <f t="shared" si="226"/>
        <v>229</v>
      </c>
      <c r="N1088">
        <f t="shared" si="227"/>
        <v>173</v>
      </c>
      <c r="O1088">
        <f t="shared" si="228"/>
        <v>205</v>
      </c>
      <c r="P1088">
        <f t="shared" si="229"/>
        <v>302</v>
      </c>
      <c r="Q1088">
        <f t="shared" si="230"/>
        <v>246</v>
      </c>
      <c r="R1088">
        <f t="shared" si="231"/>
        <v>278</v>
      </c>
      <c r="S1088">
        <f t="shared" si="232"/>
        <v>-56</v>
      </c>
      <c r="T1088">
        <f t="shared" si="233"/>
        <v>-24</v>
      </c>
      <c r="U1088">
        <f t="shared" si="234"/>
        <v>32</v>
      </c>
      <c r="V1088" s="9">
        <f t="shared" si="245"/>
        <v>73</v>
      </c>
      <c r="W1088" s="9">
        <f t="shared" si="245"/>
        <v>229</v>
      </c>
      <c r="X1088" s="9">
        <f t="shared" si="245"/>
        <v>173</v>
      </c>
      <c r="Y1088" s="9">
        <f t="shared" si="245"/>
        <v>205</v>
      </c>
      <c r="Z1088" s="9">
        <f t="shared" si="245"/>
        <v>302</v>
      </c>
      <c r="AA1088" s="9">
        <f t="shared" si="244"/>
        <v>246</v>
      </c>
      <c r="AB1088" s="9">
        <f t="shared" si="244"/>
        <v>278</v>
      </c>
      <c r="AC1088" s="9">
        <f t="shared" si="244"/>
        <v>56</v>
      </c>
      <c r="AD1088" s="9">
        <f t="shared" si="244"/>
        <v>24</v>
      </c>
      <c r="AE1088" s="9">
        <f t="shared" si="244"/>
        <v>32</v>
      </c>
    </row>
    <row r="1089" spans="2:31" x14ac:dyDescent="0.25">
      <c r="B1089" s="6">
        <v>784</v>
      </c>
      <c r="C1089" s="6">
        <f t="shared" si="240"/>
        <v>857</v>
      </c>
      <c r="D1089" s="6">
        <f t="shared" si="241"/>
        <v>555</v>
      </c>
      <c r="E1089" s="6">
        <f t="shared" si="242"/>
        <v>442</v>
      </c>
      <c r="F1089" s="6">
        <f t="shared" si="243"/>
        <v>410</v>
      </c>
      <c r="L1089">
        <f t="shared" ref="L1089:L1152" si="246">B1089-C1089</f>
        <v>-73</v>
      </c>
      <c r="M1089">
        <f t="shared" ref="M1089:M1152" si="247">B1089-D1089</f>
        <v>229</v>
      </c>
      <c r="N1089">
        <f t="shared" ref="N1089:N1152" si="248">B1089-E1089</f>
        <v>342</v>
      </c>
      <c r="O1089">
        <f t="shared" ref="O1089:O1152" si="249">B1089-F1089</f>
        <v>374</v>
      </c>
      <c r="P1089">
        <f t="shared" ref="P1089:P1152" si="250">C1089-D1089</f>
        <v>302</v>
      </c>
      <c r="Q1089">
        <f t="shared" ref="Q1089:Q1152" si="251">C1089-E1089</f>
        <v>415</v>
      </c>
      <c r="R1089">
        <f t="shared" ref="R1089:R1152" si="252">C1089-F1089</f>
        <v>447</v>
      </c>
      <c r="S1089">
        <f t="shared" ref="S1089:S1152" si="253">D1089-E1089</f>
        <v>113</v>
      </c>
      <c r="T1089">
        <f t="shared" ref="T1089:T1152" si="254">D1089-F1089</f>
        <v>145</v>
      </c>
      <c r="U1089">
        <f t="shared" ref="U1089:U1152" si="255">E1089-F1089</f>
        <v>32</v>
      </c>
      <c r="V1089" s="9">
        <f t="shared" si="245"/>
        <v>73</v>
      </c>
      <c r="W1089" s="9">
        <f t="shared" si="245"/>
        <v>229</v>
      </c>
      <c r="X1089" s="9">
        <f t="shared" si="245"/>
        <v>342</v>
      </c>
      <c r="Y1089" s="9">
        <f t="shared" si="245"/>
        <v>374</v>
      </c>
      <c r="Z1089" s="9">
        <f t="shared" si="245"/>
        <v>302</v>
      </c>
      <c r="AA1089" s="9">
        <f t="shared" si="244"/>
        <v>415</v>
      </c>
      <c r="AB1089" s="9">
        <f t="shared" si="244"/>
        <v>447</v>
      </c>
      <c r="AC1089" s="9">
        <f t="shared" si="244"/>
        <v>113</v>
      </c>
      <c r="AD1089" s="9">
        <f t="shared" si="244"/>
        <v>145</v>
      </c>
      <c r="AE1089" s="9">
        <f t="shared" si="244"/>
        <v>32</v>
      </c>
    </row>
    <row r="1090" spans="2:31" x14ac:dyDescent="0.25">
      <c r="B1090" s="6">
        <v>554</v>
      </c>
      <c r="C1090" s="6">
        <f t="shared" si="240"/>
        <v>627</v>
      </c>
      <c r="D1090" s="6">
        <v>333</v>
      </c>
      <c r="E1090" s="6">
        <v>327</v>
      </c>
      <c r="F1090" s="6">
        <f t="shared" si="243"/>
        <v>295</v>
      </c>
      <c r="L1090">
        <f t="shared" si="246"/>
        <v>-73</v>
      </c>
      <c r="M1090">
        <f t="shared" si="247"/>
        <v>221</v>
      </c>
      <c r="N1090">
        <f t="shared" si="248"/>
        <v>227</v>
      </c>
      <c r="O1090">
        <f t="shared" si="249"/>
        <v>259</v>
      </c>
      <c r="P1090">
        <f t="shared" si="250"/>
        <v>294</v>
      </c>
      <c r="Q1090">
        <f t="shared" si="251"/>
        <v>300</v>
      </c>
      <c r="R1090">
        <f t="shared" si="252"/>
        <v>332</v>
      </c>
      <c r="S1090">
        <f t="shared" si="253"/>
        <v>6</v>
      </c>
      <c r="T1090">
        <f t="shared" si="254"/>
        <v>38</v>
      </c>
      <c r="U1090">
        <f t="shared" si="255"/>
        <v>32</v>
      </c>
      <c r="V1090" s="9">
        <f t="shared" si="245"/>
        <v>73</v>
      </c>
      <c r="W1090" s="9">
        <f t="shared" si="245"/>
        <v>221</v>
      </c>
      <c r="X1090" s="9">
        <f t="shared" si="245"/>
        <v>227</v>
      </c>
      <c r="Y1090" s="9">
        <f t="shared" si="245"/>
        <v>259</v>
      </c>
      <c r="Z1090" s="9">
        <f t="shared" si="245"/>
        <v>294</v>
      </c>
      <c r="AA1090" s="9">
        <f t="shared" si="244"/>
        <v>300</v>
      </c>
      <c r="AB1090" s="9">
        <f t="shared" si="244"/>
        <v>332</v>
      </c>
      <c r="AC1090" s="9">
        <f t="shared" si="244"/>
        <v>6</v>
      </c>
      <c r="AD1090" s="9">
        <f t="shared" si="244"/>
        <v>38</v>
      </c>
      <c r="AE1090" s="9">
        <f t="shared" si="244"/>
        <v>32</v>
      </c>
    </row>
    <row r="1091" spans="2:31" x14ac:dyDescent="0.25">
      <c r="B1091" s="6">
        <v>328</v>
      </c>
      <c r="C1091" s="6">
        <f t="shared" si="240"/>
        <v>401</v>
      </c>
      <c r="D1091" s="6">
        <v>358</v>
      </c>
      <c r="E1091" s="6">
        <v>358</v>
      </c>
      <c r="F1091" s="6">
        <v>333</v>
      </c>
      <c r="L1091">
        <f t="shared" si="246"/>
        <v>-73</v>
      </c>
      <c r="M1091">
        <f t="shared" si="247"/>
        <v>-30</v>
      </c>
      <c r="N1091">
        <f t="shared" si="248"/>
        <v>-30</v>
      </c>
      <c r="O1091">
        <f t="shared" si="249"/>
        <v>-5</v>
      </c>
      <c r="P1091">
        <f t="shared" si="250"/>
        <v>43</v>
      </c>
      <c r="Q1091">
        <f t="shared" si="251"/>
        <v>43</v>
      </c>
      <c r="R1091">
        <f t="shared" si="252"/>
        <v>68</v>
      </c>
      <c r="S1091">
        <f t="shared" si="253"/>
        <v>0</v>
      </c>
      <c r="T1091">
        <f t="shared" si="254"/>
        <v>25</v>
      </c>
      <c r="U1091">
        <f t="shared" si="255"/>
        <v>25</v>
      </c>
      <c r="V1091" s="9">
        <f t="shared" si="245"/>
        <v>73</v>
      </c>
      <c r="W1091" s="9">
        <f t="shared" si="245"/>
        <v>30</v>
      </c>
      <c r="X1091" s="9">
        <f t="shared" si="245"/>
        <v>30</v>
      </c>
      <c r="Y1091" s="9">
        <f t="shared" si="245"/>
        <v>5</v>
      </c>
      <c r="Z1091" s="9">
        <f t="shared" si="245"/>
        <v>43</v>
      </c>
      <c r="AA1091" s="9">
        <f t="shared" si="244"/>
        <v>43</v>
      </c>
      <c r="AB1091" s="9">
        <f t="shared" si="244"/>
        <v>68</v>
      </c>
      <c r="AC1091" s="9">
        <f t="shared" si="244"/>
        <v>0</v>
      </c>
      <c r="AD1091" s="9">
        <f t="shared" si="244"/>
        <v>25</v>
      </c>
      <c r="AE1091" s="9">
        <f t="shared" si="244"/>
        <v>25</v>
      </c>
    </row>
    <row r="1092" spans="2:31" x14ac:dyDescent="0.25">
      <c r="B1092" s="6">
        <v>442</v>
      </c>
      <c r="C1092" s="6">
        <f t="shared" si="240"/>
        <v>515</v>
      </c>
      <c r="D1092" s="6">
        <v>394</v>
      </c>
      <c r="E1092" s="6">
        <f t="shared" si="242"/>
        <v>281</v>
      </c>
      <c r="F1092" s="6">
        <v>259</v>
      </c>
      <c r="L1092">
        <f t="shared" si="246"/>
        <v>-73</v>
      </c>
      <c r="M1092">
        <f t="shared" si="247"/>
        <v>48</v>
      </c>
      <c r="N1092">
        <f t="shared" si="248"/>
        <v>161</v>
      </c>
      <c r="O1092">
        <f t="shared" si="249"/>
        <v>183</v>
      </c>
      <c r="P1092">
        <f t="shared" si="250"/>
        <v>121</v>
      </c>
      <c r="Q1092">
        <f t="shared" si="251"/>
        <v>234</v>
      </c>
      <c r="R1092">
        <f t="shared" si="252"/>
        <v>256</v>
      </c>
      <c r="S1092">
        <f t="shared" si="253"/>
        <v>113</v>
      </c>
      <c r="T1092">
        <f t="shared" si="254"/>
        <v>135</v>
      </c>
      <c r="U1092">
        <f t="shared" si="255"/>
        <v>22</v>
      </c>
      <c r="V1092" s="9">
        <f t="shared" si="245"/>
        <v>73</v>
      </c>
      <c r="W1092" s="9">
        <f t="shared" si="245"/>
        <v>48</v>
      </c>
      <c r="X1092" s="9">
        <f t="shared" si="245"/>
        <v>161</v>
      </c>
      <c r="Y1092" s="9">
        <f t="shared" si="245"/>
        <v>183</v>
      </c>
      <c r="Z1092" s="9">
        <f t="shared" si="245"/>
        <v>121</v>
      </c>
      <c r="AA1092" s="9">
        <f t="shared" si="244"/>
        <v>234</v>
      </c>
      <c r="AB1092" s="9">
        <f t="shared" si="244"/>
        <v>256</v>
      </c>
      <c r="AC1092" s="9">
        <f t="shared" si="244"/>
        <v>113</v>
      </c>
      <c r="AD1092" s="9">
        <f t="shared" si="244"/>
        <v>135</v>
      </c>
      <c r="AE1092" s="9">
        <f t="shared" si="244"/>
        <v>22</v>
      </c>
    </row>
    <row r="1093" spans="2:31" x14ac:dyDescent="0.25">
      <c r="B1093" s="6">
        <v>789</v>
      </c>
      <c r="C1093" s="6">
        <f t="shared" si="240"/>
        <v>862</v>
      </c>
      <c r="D1093" s="6">
        <v>669</v>
      </c>
      <c r="E1093" s="6">
        <v>564</v>
      </c>
      <c r="F1093" s="6">
        <f t="shared" si="243"/>
        <v>532</v>
      </c>
      <c r="L1093">
        <f t="shared" si="246"/>
        <v>-73</v>
      </c>
      <c r="M1093">
        <f t="shared" si="247"/>
        <v>120</v>
      </c>
      <c r="N1093">
        <f t="shared" si="248"/>
        <v>225</v>
      </c>
      <c r="O1093">
        <f t="shared" si="249"/>
        <v>257</v>
      </c>
      <c r="P1093">
        <f t="shared" si="250"/>
        <v>193</v>
      </c>
      <c r="Q1093">
        <f t="shared" si="251"/>
        <v>298</v>
      </c>
      <c r="R1093">
        <f t="shared" si="252"/>
        <v>330</v>
      </c>
      <c r="S1093">
        <f t="shared" si="253"/>
        <v>105</v>
      </c>
      <c r="T1093">
        <f t="shared" si="254"/>
        <v>137</v>
      </c>
      <c r="U1093">
        <f t="shared" si="255"/>
        <v>32</v>
      </c>
      <c r="V1093" s="9">
        <f t="shared" si="245"/>
        <v>73</v>
      </c>
      <c r="W1093" s="9">
        <f t="shared" si="245"/>
        <v>120</v>
      </c>
      <c r="X1093" s="9">
        <f t="shared" si="245"/>
        <v>225</v>
      </c>
      <c r="Y1093" s="9">
        <f t="shared" si="245"/>
        <v>257</v>
      </c>
      <c r="Z1093" s="9">
        <f t="shared" si="245"/>
        <v>193</v>
      </c>
      <c r="AA1093" s="9">
        <f t="shared" si="244"/>
        <v>298</v>
      </c>
      <c r="AB1093" s="9">
        <f t="shared" si="244"/>
        <v>330</v>
      </c>
      <c r="AC1093" s="9">
        <f t="shared" si="244"/>
        <v>105</v>
      </c>
      <c r="AD1093" s="9">
        <f t="shared" si="244"/>
        <v>137</v>
      </c>
      <c r="AE1093" s="9">
        <f t="shared" si="244"/>
        <v>32</v>
      </c>
    </row>
    <row r="1094" spans="2:31" x14ac:dyDescent="0.25">
      <c r="B1094" s="6">
        <v>664</v>
      </c>
      <c r="C1094" s="6">
        <f t="shared" si="240"/>
        <v>737</v>
      </c>
      <c r="D1094" s="6">
        <v>552</v>
      </c>
      <c r="E1094" s="6">
        <v>459</v>
      </c>
      <c r="F1094" s="6">
        <v>422</v>
      </c>
      <c r="L1094">
        <f t="shared" si="246"/>
        <v>-73</v>
      </c>
      <c r="M1094">
        <f t="shared" si="247"/>
        <v>112</v>
      </c>
      <c r="N1094">
        <f t="shared" si="248"/>
        <v>205</v>
      </c>
      <c r="O1094">
        <f t="shared" si="249"/>
        <v>242</v>
      </c>
      <c r="P1094">
        <f t="shared" si="250"/>
        <v>185</v>
      </c>
      <c r="Q1094">
        <f t="shared" si="251"/>
        <v>278</v>
      </c>
      <c r="R1094">
        <f t="shared" si="252"/>
        <v>315</v>
      </c>
      <c r="S1094">
        <f t="shared" si="253"/>
        <v>93</v>
      </c>
      <c r="T1094">
        <f t="shared" si="254"/>
        <v>130</v>
      </c>
      <c r="U1094">
        <f t="shared" si="255"/>
        <v>37</v>
      </c>
      <c r="V1094" s="9">
        <f t="shared" si="245"/>
        <v>73</v>
      </c>
      <c r="W1094" s="9">
        <f t="shared" si="245"/>
        <v>112</v>
      </c>
      <c r="X1094" s="9">
        <f t="shared" si="245"/>
        <v>205</v>
      </c>
      <c r="Y1094" s="9">
        <f t="shared" si="245"/>
        <v>242</v>
      </c>
      <c r="Z1094" s="9">
        <f t="shared" si="245"/>
        <v>185</v>
      </c>
      <c r="AA1094" s="9">
        <f t="shared" si="244"/>
        <v>278</v>
      </c>
      <c r="AB1094" s="9">
        <f t="shared" si="244"/>
        <v>315</v>
      </c>
      <c r="AC1094" s="9">
        <f t="shared" si="244"/>
        <v>93</v>
      </c>
      <c r="AD1094" s="9">
        <f t="shared" si="244"/>
        <v>130</v>
      </c>
      <c r="AE1094" s="9">
        <f t="shared" si="244"/>
        <v>37</v>
      </c>
    </row>
    <row r="1095" spans="2:31" x14ac:dyDescent="0.25">
      <c r="B1095" s="6">
        <v>238</v>
      </c>
      <c r="C1095" s="6">
        <f t="shared" si="240"/>
        <v>311</v>
      </c>
      <c r="D1095" s="6">
        <v>224</v>
      </c>
      <c r="E1095" s="6">
        <v>200</v>
      </c>
      <c r="F1095" s="6">
        <v>184</v>
      </c>
      <c r="L1095">
        <f t="shared" si="246"/>
        <v>-73</v>
      </c>
      <c r="M1095">
        <f t="shared" si="247"/>
        <v>14</v>
      </c>
      <c r="N1095">
        <f t="shared" si="248"/>
        <v>38</v>
      </c>
      <c r="O1095">
        <f t="shared" si="249"/>
        <v>54</v>
      </c>
      <c r="P1095">
        <f t="shared" si="250"/>
        <v>87</v>
      </c>
      <c r="Q1095">
        <f t="shared" si="251"/>
        <v>111</v>
      </c>
      <c r="R1095">
        <f t="shared" si="252"/>
        <v>127</v>
      </c>
      <c r="S1095">
        <f t="shared" si="253"/>
        <v>24</v>
      </c>
      <c r="T1095">
        <f t="shared" si="254"/>
        <v>40</v>
      </c>
      <c r="U1095">
        <f t="shared" si="255"/>
        <v>16</v>
      </c>
      <c r="V1095" s="9">
        <f t="shared" si="245"/>
        <v>73</v>
      </c>
      <c r="W1095" s="9">
        <f t="shared" si="245"/>
        <v>14</v>
      </c>
      <c r="X1095" s="9">
        <f t="shared" si="245"/>
        <v>38</v>
      </c>
      <c r="Y1095" s="9">
        <f t="shared" si="245"/>
        <v>54</v>
      </c>
      <c r="Z1095" s="9">
        <f t="shared" si="245"/>
        <v>87</v>
      </c>
      <c r="AA1095" s="9">
        <f t="shared" si="244"/>
        <v>111</v>
      </c>
      <c r="AB1095" s="9">
        <f t="shared" si="244"/>
        <v>127</v>
      </c>
      <c r="AC1095" s="9">
        <f t="shared" si="244"/>
        <v>24</v>
      </c>
      <c r="AD1095" s="9">
        <f t="shared" si="244"/>
        <v>40</v>
      </c>
      <c r="AE1095" s="9">
        <f t="shared" si="244"/>
        <v>16</v>
      </c>
    </row>
    <row r="1096" spans="2:31" x14ac:dyDescent="0.25">
      <c r="B1096" s="6">
        <v>597</v>
      </c>
      <c r="C1096" s="6">
        <f t="shared" si="240"/>
        <v>670</v>
      </c>
      <c r="D1096" s="6">
        <f t="shared" si="241"/>
        <v>368</v>
      </c>
      <c r="E1096" s="6">
        <f t="shared" si="242"/>
        <v>255</v>
      </c>
      <c r="F1096" s="6">
        <f t="shared" si="243"/>
        <v>223</v>
      </c>
      <c r="L1096">
        <f t="shared" si="246"/>
        <v>-73</v>
      </c>
      <c r="M1096">
        <f t="shared" si="247"/>
        <v>229</v>
      </c>
      <c r="N1096">
        <f t="shared" si="248"/>
        <v>342</v>
      </c>
      <c r="O1096">
        <f t="shared" si="249"/>
        <v>374</v>
      </c>
      <c r="P1096">
        <f t="shared" si="250"/>
        <v>302</v>
      </c>
      <c r="Q1096">
        <f t="shared" si="251"/>
        <v>415</v>
      </c>
      <c r="R1096">
        <f t="shared" si="252"/>
        <v>447</v>
      </c>
      <c r="S1096">
        <f t="shared" si="253"/>
        <v>113</v>
      </c>
      <c r="T1096">
        <f t="shared" si="254"/>
        <v>145</v>
      </c>
      <c r="U1096">
        <f t="shared" si="255"/>
        <v>32</v>
      </c>
      <c r="V1096" s="9">
        <f t="shared" si="245"/>
        <v>73</v>
      </c>
      <c r="W1096" s="9">
        <f t="shared" si="245"/>
        <v>229</v>
      </c>
      <c r="X1096" s="9">
        <f t="shared" si="245"/>
        <v>342</v>
      </c>
      <c r="Y1096" s="9">
        <f t="shared" si="245"/>
        <v>374</v>
      </c>
      <c r="Z1096" s="9">
        <f t="shared" si="245"/>
        <v>302</v>
      </c>
      <c r="AA1096" s="9">
        <f t="shared" si="244"/>
        <v>415</v>
      </c>
      <c r="AB1096" s="9">
        <f t="shared" si="244"/>
        <v>447</v>
      </c>
      <c r="AC1096" s="9">
        <f t="shared" si="244"/>
        <v>113</v>
      </c>
      <c r="AD1096" s="9">
        <f t="shared" si="244"/>
        <v>145</v>
      </c>
      <c r="AE1096" s="9">
        <f t="shared" si="244"/>
        <v>32</v>
      </c>
    </row>
    <row r="1097" spans="2:31" x14ac:dyDescent="0.25">
      <c r="B1097" s="6">
        <v>448</v>
      </c>
      <c r="C1097" s="6">
        <f t="shared" si="240"/>
        <v>521</v>
      </c>
      <c r="D1097" s="6">
        <f t="shared" si="241"/>
        <v>219</v>
      </c>
      <c r="E1097" s="6">
        <f t="shared" si="242"/>
        <v>106</v>
      </c>
      <c r="F1097" s="6">
        <f t="shared" si="243"/>
        <v>74</v>
      </c>
      <c r="L1097">
        <f t="shared" si="246"/>
        <v>-73</v>
      </c>
      <c r="M1097">
        <f t="shared" si="247"/>
        <v>229</v>
      </c>
      <c r="N1097">
        <f t="shared" si="248"/>
        <v>342</v>
      </c>
      <c r="O1097">
        <f t="shared" si="249"/>
        <v>374</v>
      </c>
      <c r="P1097">
        <f t="shared" si="250"/>
        <v>302</v>
      </c>
      <c r="Q1097">
        <f t="shared" si="251"/>
        <v>415</v>
      </c>
      <c r="R1097">
        <f t="shared" si="252"/>
        <v>447</v>
      </c>
      <c r="S1097">
        <f t="shared" si="253"/>
        <v>113</v>
      </c>
      <c r="T1097">
        <f t="shared" si="254"/>
        <v>145</v>
      </c>
      <c r="U1097">
        <f t="shared" si="255"/>
        <v>32</v>
      </c>
      <c r="V1097" s="9">
        <f t="shared" si="245"/>
        <v>73</v>
      </c>
      <c r="W1097" s="9">
        <f t="shared" si="245"/>
        <v>229</v>
      </c>
      <c r="X1097" s="9">
        <f t="shared" si="245"/>
        <v>342</v>
      </c>
      <c r="Y1097" s="9">
        <f t="shared" si="245"/>
        <v>374</v>
      </c>
      <c r="Z1097" s="9">
        <f t="shared" si="245"/>
        <v>302</v>
      </c>
      <c r="AA1097" s="9">
        <f t="shared" si="244"/>
        <v>415</v>
      </c>
      <c r="AB1097" s="9">
        <f t="shared" si="244"/>
        <v>447</v>
      </c>
      <c r="AC1097" s="9">
        <f t="shared" si="244"/>
        <v>113</v>
      </c>
      <c r="AD1097" s="9">
        <f t="shared" si="244"/>
        <v>145</v>
      </c>
      <c r="AE1097" s="9">
        <f t="shared" si="244"/>
        <v>32</v>
      </c>
    </row>
    <row r="1098" spans="2:31" x14ac:dyDescent="0.25">
      <c r="B1098" s="6">
        <v>894</v>
      </c>
      <c r="C1098" s="6">
        <v>885</v>
      </c>
      <c r="D1098" s="6">
        <v>754</v>
      </c>
      <c r="E1098" s="6">
        <f t="shared" si="242"/>
        <v>641</v>
      </c>
      <c r="F1098" s="6">
        <v>579</v>
      </c>
      <c r="L1098">
        <f t="shared" si="246"/>
        <v>9</v>
      </c>
      <c r="M1098">
        <f t="shared" si="247"/>
        <v>140</v>
      </c>
      <c r="N1098">
        <f t="shared" si="248"/>
        <v>253</v>
      </c>
      <c r="O1098">
        <f t="shared" si="249"/>
        <v>315</v>
      </c>
      <c r="P1098">
        <f t="shared" si="250"/>
        <v>131</v>
      </c>
      <c r="Q1098">
        <f t="shared" si="251"/>
        <v>244</v>
      </c>
      <c r="R1098">
        <f t="shared" si="252"/>
        <v>306</v>
      </c>
      <c r="S1098">
        <f t="shared" si="253"/>
        <v>113</v>
      </c>
      <c r="T1098">
        <f t="shared" si="254"/>
        <v>175</v>
      </c>
      <c r="U1098">
        <f t="shared" si="255"/>
        <v>62</v>
      </c>
      <c r="V1098" s="9">
        <f t="shared" si="245"/>
        <v>9</v>
      </c>
      <c r="W1098" s="9">
        <f t="shared" si="245"/>
        <v>140</v>
      </c>
      <c r="X1098" s="9">
        <f t="shared" si="245"/>
        <v>253</v>
      </c>
      <c r="Y1098" s="9">
        <f t="shared" si="245"/>
        <v>315</v>
      </c>
      <c r="Z1098" s="9">
        <f t="shared" si="245"/>
        <v>131</v>
      </c>
      <c r="AA1098" s="9">
        <f t="shared" si="244"/>
        <v>244</v>
      </c>
      <c r="AB1098" s="9">
        <f t="shared" si="244"/>
        <v>306</v>
      </c>
      <c r="AC1098" s="9">
        <f t="shared" si="244"/>
        <v>113</v>
      </c>
      <c r="AD1098" s="9">
        <f t="shared" si="244"/>
        <v>175</v>
      </c>
      <c r="AE1098" s="9">
        <f t="shared" si="244"/>
        <v>62</v>
      </c>
    </row>
    <row r="1099" spans="2:31" x14ac:dyDescent="0.25">
      <c r="B1099" s="6">
        <v>578</v>
      </c>
      <c r="C1099" s="6">
        <v>546</v>
      </c>
      <c r="D1099" s="6">
        <v>495</v>
      </c>
      <c r="E1099" s="6">
        <f t="shared" si="242"/>
        <v>382</v>
      </c>
      <c r="F1099" s="6">
        <f t="shared" si="243"/>
        <v>350</v>
      </c>
      <c r="L1099">
        <f t="shared" si="246"/>
        <v>32</v>
      </c>
      <c r="M1099">
        <f t="shared" si="247"/>
        <v>83</v>
      </c>
      <c r="N1099">
        <f t="shared" si="248"/>
        <v>196</v>
      </c>
      <c r="O1099">
        <f t="shared" si="249"/>
        <v>228</v>
      </c>
      <c r="P1099">
        <f t="shared" si="250"/>
        <v>51</v>
      </c>
      <c r="Q1099">
        <f t="shared" si="251"/>
        <v>164</v>
      </c>
      <c r="R1099">
        <f t="shared" si="252"/>
        <v>196</v>
      </c>
      <c r="S1099">
        <f t="shared" si="253"/>
        <v>113</v>
      </c>
      <c r="T1099">
        <f t="shared" si="254"/>
        <v>145</v>
      </c>
      <c r="U1099">
        <f t="shared" si="255"/>
        <v>32</v>
      </c>
      <c r="V1099" s="9">
        <f t="shared" si="245"/>
        <v>32</v>
      </c>
      <c r="W1099" s="9">
        <f t="shared" si="245"/>
        <v>83</v>
      </c>
      <c r="X1099" s="9">
        <f t="shared" si="245"/>
        <v>196</v>
      </c>
      <c r="Y1099" s="9">
        <f t="shared" si="245"/>
        <v>228</v>
      </c>
      <c r="Z1099" s="9">
        <f t="shared" si="245"/>
        <v>51</v>
      </c>
      <c r="AA1099" s="9">
        <f t="shared" si="244"/>
        <v>164</v>
      </c>
      <c r="AB1099" s="9">
        <f t="shared" si="244"/>
        <v>196</v>
      </c>
      <c r="AC1099" s="9">
        <f t="shared" si="244"/>
        <v>113</v>
      </c>
      <c r="AD1099" s="9">
        <f t="shared" si="244"/>
        <v>145</v>
      </c>
      <c r="AE1099" s="9">
        <f t="shared" si="244"/>
        <v>32</v>
      </c>
    </row>
    <row r="1100" spans="2:31" x14ac:dyDescent="0.25">
      <c r="B1100" s="6">
        <v>437</v>
      </c>
      <c r="C1100" s="6">
        <f t="shared" si="240"/>
        <v>510</v>
      </c>
      <c r="D1100" s="6">
        <v>395</v>
      </c>
      <c r="E1100" s="6">
        <v>357</v>
      </c>
      <c r="F1100" s="6">
        <f t="shared" si="243"/>
        <v>325</v>
      </c>
      <c r="L1100">
        <f t="shared" si="246"/>
        <v>-73</v>
      </c>
      <c r="M1100">
        <f t="shared" si="247"/>
        <v>42</v>
      </c>
      <c r="N1100">
        <f t="shared" si="248"/>
        <v>80</v>
      </c>
      <c r="O1100">
        <f t="shared" si="249"/>
        <v>112</v>
      </c>
      <c r="P1100">
        <f t="shared" si="250"/>
        <v>115</v>
      </c>
      <c r="Q1100">
        <f t="shared" si="251"/>
        <v>153</v>
      </c>
      <c r="R1100">
        <f t="shared" si="252"/>
        <v>185</v>
      </c>
      <c r="S1100">
        <f t="shared" si="253"/>
        <v>38</v>
      </c>
      <c r="T1100">
        <f t="shared" si="254"/>
        <v>70</v>
      </c>
      <c r="U1100">
        <f t="shared" si="255"/>
        <v>32</v>
      </c>
      <c r="V1100" s="9">
        <f t="shared" si="245"/>
        <v>73</v>
      </c>
      <c r="W1100" s="9">
        <f t="shared" si="245"/>
        <v>42</v>
      </c>
      <c r="X1100" s="9">
        <f t="shared" si="245"/>
        <v>80</v>
      </c>
      <c r="Y1100" s="9">
        <f t="shared" si="245"/>
        <v>112</v>
      </c>
      <c r="Z1100" s="9">
        <f t="shared" si="245"/>
        <v>115</v>
      </c>
      <c r="AA1100" s="9">
        <f t="shared" si="244"/>
        <v>153</v>
      </c>
      <c r="AB1100" s="9">
        <f t="shared" si="244"/>
        <v>185</v>
      </c>
      <c r="AC1100" s="9">
        <f t="shared" si="244"/>
        <v>38</v>
      </c>
      <c r="AD1100" s="9">
        <f t="shared" si="244"/>
        <v>70</v>
      </c>
      <c r="AE1100" s="9">
        <f t="shared" si="244"/>
        <v>32</v>
      </c>
    </row>
    <row r="1101" spans="2:31" x14ac:dyDescent="0.25">
      <c r="B1101" s="6">
        <v>357</v>
      </c>
      <c r="C1101" s="6">
        <f t="shared" si="240"/>
        <v>430</v>
      </c>
      <c r="D1101" s="6">
        <v>287</v>
      </c>
      <c r="E1101" s="6">
        <v>215</v>
      </c>
      <c r="F1101" s="6">
        <f t="shared" si="243"/>
        <v>183</v>
      </c>
      <c r="L1101">
        <f t="shared" si="246"/>
        <v>-73</v>
      </c>
      <c r="M1101">
        <f t="shared" si="247"/>
        <v>70</v>
      </c>
      <c r="N1101">
        <f t="shared" si="248"/>
        <v>142</v>
      </c>
      <c r="O1101">
        <f t="shared" si="249"/>
        <v>174</v>
      </c>
      <c r="P1101">
        <f t="shared" si="250"/>
        <v>143</v>
      </c>
      <c r="Q1101">
        <f t="shared" si="251"/>
        <v>215</v>
      </c>
      <c r="R1101">
        <f t="shared" si="252"/>
        <v>247</v>
      </c>
      <c r="S1101">
        <f t="shared" si="253"/>
        <v>72</v>
      </c>
      <c r="T1101">
        <f t="shared" si="254"/>
        <v>104</v>
      </c>
      <c r="U1101">
        <f t="shared" si="255"/>
        <v>32</v>
      </c>
      <c r="V1101" s="9">
        <f t="shared" si="245"/>
        <v>73</v>
      </c>
      <c r="W1101" s="9">
        <f t="shared" si="245"/>
        <v>70</v>
      </c>
      <c r="X1101" s="9">
        <f t="shared" si="245"/>
        <v>142</v>
      </c>
      <c r="Y1101" s="9">
        <f t="shared" si="245"/>
        <v>174</v>
      </c>
      <c r="Z1101" s="9">
        <f t="shared" si="245"/>
        <v>143</v>
      </c>
      <c r="AA1101" s="9">
        <f t="shared" si="244"/>
        <v>215</v>
      </c>
      <c r="AB1101" s="9">
        <f t="shared" si="244"/>
        <v>247</v>
      </c>
      <c r="AC1101" s="9">
        <f t="shared" si="244"/>
        <v>72</v>
      </c>
      <c r="AD1101" s="9">
        <f t="shared" si="244"/>
        <v>104</v>
      </c>
      <c r="AE1101" s="9">
        <f t="shared" si="244"/>
        <v>32</v>
      </c>
    </row>
    <row r="1102" spans="2:31" x14ac:dyDescent="0.25">
      <c r="B1102" s="6">
        <v>459</v>
      </c>
      <c r="C1102" s="6">
        <f t="shared" si="240"/>
        <v>532</v>
      </c>
      <c r="D1102" s="6">
        <v>324</v>
      </c>
      <c r="E1102" s="6">
        <v>284</v>
      </c>
      <c r="F1102" s="6">
        <v>274</v>
      </c>
      <c r="L1102">
        <f t="shared" si="246"/>
        <v>-73</v>
      </c>
      <c r="M1102">
        <f t="shared" si="247"/>
        <v>135</v>
      </c>
      <c r="N1102">
        <f t="shared" si="248"/>
        <v>175</v>
      </c>
      <c r="O1102">
        <f t="shared" si="249"/>
        <v>185</v>
      </c>
      <c r="P1102">
        <f t="shared" si="250"/>
        <v>208</v>
      </c>
      <c r="Q1102">
        <f t="shared" si="251"/>
        <v>248</v>
      </c>
      <c r="R1102">
        <f t="shared" si="252"/>
        <v>258</v>
      </c>
      <c r="S1102">
        <f t="shared" si="253"/>
        <v>40</v>
      </c>
      <c r="T1102">
        <f t="shared" si="254"/>
        <v>50</v>
      </c>
      <c r="U1102">
        <f t="shared" si="255"/>
        <v>10</v>
      </c>
      <c r="V1102" s="9">
        <f t="shared" si="245"/>
        <v>73</v>
      </c>
      <c r="W1102" s="9">
        <f t="shared" si="245"/>
        <v>135</v>
      </c>
      <c r="X1102" s="9">
        <f t="shared" si="245"/>
        <v>175</v>
      </c>
      <c r="Y1102" s="9">
        <f t="shared" si="245"/>
        <v>185</v>
      </c>
      <c r="Z1102" s="9">
        <f t="shared" si="245"/>
        <v>208</v>
      </c>
      <c r="AA1102" s="9">
        <f t="shared" si="244"/>
        <v>248</v>
      </c>
      <c r="AB1102" s="9">
        <f t="shared" si="244"/>
        <v>258</v>
      </c>
      <c r="AC1102" s="9">
        <f t="shared" si="244"/>
        <v>40</v>
      </c>
      <c r="AD1102" s="9">
        <f t="shared" si="244"/>
        <v>50</v>
      </c>
      <c r="AE1102" s="9">
        <f t="shared" si="244"/>
        <v>10</v>
      </c>
    </row>
    <row r="1103" spans="2:31" x14ac:dyDescent="0.25">
      <c r="B1103" s="6">
        <v>753</v>
      </c>
      <c r="C1103" s="6">
        <f t="shared" si="240"/>
        <v>826</v>
      </c>
      <c r="D1103" s="6">
        <v>577</v>
      </c>
      <c r="E1103" s="6">
        <f t="shared" si="242"/>
        <v>464</v>
      </c>
      <c r="F1103" s="6">
        <v>449</v>
      </c>
      <c r="L1103">
        <f t="shared" si="246"/>
        <v>-73</v>
      </c>
      <c r="M1103">
        <f t="shared" si="247"/>
        <v>176</v>
      </c>
      <c r="N1103">
        <f t="shared" si="248"/>
        <v>289</v>
      </c>
      <c r="O1103">
        <f t="shared" si="249"/>
        <v>304</v>
      </c>
      <c r="P1103">
        <f t="shared" si="250"/>
        <v>249</v>
      </c>
      <c r="Q1103">
        <f t="shared" si="251"/>
        <v>362</v>
      </c>
      <c r="R1103">
        <f t="shared" si="252"/>
        <v>377</v>
      </c>
      <c r="S1103">
        <f t="shared" si="253"/>
        <v>113</v>
      </c>
      <c r="T1103">
        <f t="shared" si="254"/>
        <v>128</v>
      </c>
      <c r="U1103">
        <f t="shared" si="255"/>
        <v>15</v>
      </c>
      <c r="V1103" s="9">
        <f t="shared" si="245"/>
        <v>73</v>
      </c>
      <c r="W1103" s="9">
        <f t="shared" si="245"/>
        <v>176</v>
      </c>
      <c r="X1103" s="9">
        <f t="shared" si="245"/>
        <v>289</v>
      </c>
      <c r="Y1103" s="9">
        <f t="shared" si="245"/>
        <v>304</v>
      </c>
      <c r="Z1103" s="9">
        <f t="shared" si="245"/>
        <v>249</v>
      </c>
      <c r="AA1103" s="9">
        <f t="shared" si="244"/>
        <v>362</v>
      </c>
      <c r="AB1103" s="9">
        <f t="shared" si="244"/>
        <v>377</v>
      </c>
      <c r="AC1103" s="9">
        <f t="shared" si="244"/>
        <v>113</v>
      </c>
      <c r="AD1103" s="9">
        <f t="shared" si="244"/>
        <v>128</v>
      </c>
      <c r="AE1103" s="9">
        <f t="shared" si="244"/>
        <v>15</v>
      </c>
    </row>
    <row r="1104" spans="2:31" x14ac:dyDescent="0.25">
      <c r="B1104" s="6">
        <v>497</v>
      </c>
      <c r="C1104" s="6">
        <v>556</v>
      </c>
      <c r="D1104" s="6">
        <v>267</v>
      </c>
      <c r="E1104" s="6">
        <v>167</v>
      </c>
      <c r="F1104" s="6">
        <v>127</v>
      </c>
      <c r="L1104">
        <f t="shared" si="246"/>
        <v>-59</v>
      </c>
      <c r="M1104">
        <f t="shared" si="247"/>
        <v>230</v>
      </c>
      <c r="N1104">
        <f t="shared" si="248"/>
        <v>330</v>
      </c>
      <c r="O1104">
        <f t="shared" si="249"/>
        <v>370</v>
      </c>
      <c r="P1104">
        <f t="shared" si="250"/>
        <v>289</v>
      </c>
      <c r="Q1104">
        <f t="shared" si="251"/>
        <v>389</v>
      </c>
      <c r="R1104">
        <f t="shared" si="252"/>
        <v>429</v>
      </c>
      <c r="S1104">
        <f t="shared" si="253"/>
        <v>100</v>
      </c>
      <c r="T1104">
        <f t="shared" si="254"/>
        <v>140</v>
      </c>
      <c r="U1104">
        <f t="shared" si="255"/>
        <v>40</v>
      </c>
      <c r="V1104" s="9">
        <f t="shared" si="245"/>
        <v>59</v>
      </c>
      <c r="W1104" s="9">
        <f t="shared" si="245"/>
        <v>230</v>
      </c>
      <c r="X1104" s="9">
        <f t="shared" si="245"/>
        <v>330</v>
      </c>
      <c r="Y1104" s="9">
        <f t="shared" si="245"/>
        <v>370</v>
      </c>
      <c r="Z1104" s="9">
        <f t="shared" si="245"/>
        <v>289</v>
      </c>
      <c r="AA1104" s="9">
        <f t="shared" si="244"/>
        <v>389</v>
      </c>
      <c r="AB1104" s="9">
        <f t="shared" si="244"/>
        <v>429</v>
      </c>
      <c r="AC1104" s="9">
        <f t="shared" si="244"/>
        <v>100</v>
      </c>
      <c r="AD1104" s="9">
        <f t="shared" si="244"/>
        <v>140</v>
      </c>
      <c r="AE1104" s="9">
        <f t="shared" si="244"/>
        <v>40</v>
      </c>
    </row>
    <row r="1105" spans="2:31" x14ac:dyDescent="0.25">
      <c r="B1105" s="6">
        <v>524</v>
      </c>
      <c r="C1105" s="6">
        <v>574</v>
      </c>
      <c r="D1105" s="6">
        <f t="shared" si="241"/>
        <v>295</v>
      </c>
      <c r="E1105" s="6">
        <v>225</v>
      </c>
      <c r="F1105" s="6">
        <v>196</v>
      </c>
      <c r="L1105">
        <f t="shared" si="246"/>
        <v>-50</v>
      </c>
      <c r="M1105">
        <f t="shared" si="247"/>
        <v>229</v>
      </c>
      <c r="N1105">
        <f t="shared" si="248"/>
        <v>299</v>
      </c>
      <c r="O1105">
        <f t="shared" si="249"/>
        <v>328</v>
      </c>
      <c r="P1105">
        <f t="shared" si="250"/>
        <v>279</v>
      </c>
      <c r="Q1105">
        <f t="shared" si="251"/>
        <v>349</v>
      </c>
      <c r="R1105">
        <f t="shared" si="252"/>
        <v>378</v>
      </c>
      <c r="S1105">
        <f t="shared" si="253"/>
        <v>70</v>
      </c>
      <c r="T1105">
        <f t="shared" si="254"/>
        <v>99</v>
      </c>
      <c r="U1105">
        <f t="shared" si="255"/>
        <v>29</v>
      </c>
      <c r="V1105" s="9">
        <f t="shared" si="245"/>
        <v>50</v>
      </c>
      <c r="W1105" s="9">
        <f t="shared" si="245"/>
        <v>229</v>
      </c>
      <c r="X1105" s="9">
        <f t="shared" si="245"/>
        <v>299</v>
      </c>
      <c r="Y1105" s="9">
        <f t="shared" si="245"/>
        <v>328</v>
      </c>
      <c r="Z1105" s="9">
        <f t="shared" si="245"/>
        <v>279</v>
      </c>
      <c r="AA1105" s="9">
        <f t="shared" si="244"/>
        <v>349</v>
      </c>
      <c r="AB1105" s="9">
        <f t="shared" si="244"/>
        <v>378</v>
      </c>
      <c r="AC1105" s="9">
        <f t="shared" si="244"/>
        <v>70</v>
      </c>
      <c r="AD1105" s="9">
        <f t="shared" si="244"/>
        <v>99</v>
      </c>
      <c r="AE1105" s="9">
        <f t="shared" si="244"/>
        <v>29</v>
      </c>
    </row>
    <row r="1106" spans="2:31" x14ac:dyDescent="0.25">
      <c r="B1106" s="6">
        <v>728</v>
      </c>
      <c r="C1106" s="6">
        <f t="shared" si="240"/>
        <v>801</v>
      </c>
      <c r="D1106" s="6">
        <f t="shared" si="241"/>
        <v>499</v>
      </c>
      <c r="E1106" s="6">
        <f t="shared" si="242"/>
        <v>386</v>
      </c>
      <c r="F1106" s="6">
        <f t="shared" si="243"/>
        <v>354</v>
      </c>
      <c r="L1106">
        <f t="shared" si="246"/>
        <v>-73</v>
      </c>
      <c r="M1106">
        <f t="shared" si="247"/>
        <v>229</v>
      </c>
      <c r="N1106">
        <f t="shared" si="248"/>
        <v>342</v>
      </c>
      <c r="O1106">
        <f t="shared" si="249"/>
        <v>374</v>
      </c>
      <c r="P1106">
        <f t="shared" si="250"/>
        <v>302</v>
      </c>
      <c r="Q1106">
        <f t="shared" si="251"/>
        <v>415</v>
      </c>
      <c r="R1106">
        <f t="shared" si="252"/>
        <v>447</v>
      </c>
      <c r="S1106">
        <f t="shared" si="253"/>
        <v>113</v>
      </c>
      <c r="T1106">
        <f t="shared" si="254"/>
        <v>145</v>
      </c>
      <c r="U1106">
        <f t="shared" si="255"/>
        <v>32</v>
      </c>
      <c r="V1106" s="9">
        <f t="shared" si="245"/>
        <v>73</v>
      </c>
      <c r="W1106" s="9">
        <f t="shared" si="245"/>
        <v>229</v>
      </c>
      <c r="X1106" s="9">
        <f t="shared" si="245"/>
        <v>342</v>
      </c>
      <c r="Y1106" s="9">
        <f t="shared" si="245"/>
        <v>374</v>
      </c>
      <c r="Z1106" s="9">
        <f t="shared" si="245"/>
        <v>302</v>
      </c>
      <c r="AA1106" s="9">
        <f t="shared" si="244"/>
        <v>415</v>
      </c>
      <c r="AB1106" s="9">
        <f t="shared" si="244"/>
        <v>447</v>
      </c>
      <c r="AC1106" s="9">
        <f t="shared" si="244"/>
        <v>113</v>
      </c>
      <c r="AD1106" s="9">
        <f t="shared" si="244"/>
        <v>145</v>
      </c>
      <c r="AE1106" s="9">
        <f t="shared" si="244"/>
        <v>32</v>
      </c>
    </row>
    <row r="1107" spans="2:31" x14ac:dyDescent="0.25">
      <c r="B1107" s="6">
        <v>429</v>
      </c>
      <c r="C1107" s="6">
        <v>450</v>
      </c>
      <c r="D1107" s="6">
        <f t="shared" si="241"/>
        <v>200</v>
      </c>
      <c r="E1107" s="6">
        <v>128</v>
      </c>
      <c r="F1107" s="6">
        <v>99</v>
      </c>
      <c r="L1107">
        <f t="shared" si="246"/>
        <v>-21</v>
      </c>
      <c r="M1107">
        <f t="shared" si="247"/>
        <v>229</v>
      </c>
      <c r="N1107">
        <f t="shared" si="248"/>
        <v>301</v>
      </c>
      <c r="O1107">
        <f t="shared" si="249"/>
        <v>330</v>
      </c>
      <c r="P1107">
        <f t="shared" si="250"/>
        <v>250</v>
      </c>
      <c r="Q1107">
        <f t="shared" si="251"/>
        <v>322</v>
      </c>
      <c r="R1107">
        <f t="shared" si="252"/>
        <v>351</v>
      </c>
      <c r="S1107">
        <f t="shared" si="253"/>
        <v>72</v>
      </c>
      <c r="T1107">
        <f t="shared" si="254"/>
        <v>101</v>
      </c>
      <c r="U1107">
        <f t="shared" si="255"/>
        <v>29</v>
      </c>
      <c r="V1107" s="9">
        <f t="shared" si="245"/>
        <v>21</v>
      </c>
      <c r="W1107" s="9">
        <f t="shared" si="245"/>
        <v>229</v>
      </c>
      <c r="X1107" s="9">
        <f t="shared" si="245"/>
        <v>301</v>
      </c>
      <c r="Y1107" s="9">
        <f t="shared" si="245"/>
        <v>330</v>
      </c>
      <c r="Z1107" s="9">
        <f t="shared" si="245"/>
        <v>250</v>
      </c>
      <c r="AA1107" s="9">
        <f t="shared" si="244"/>
        <v>322</v>
      </c>
      <c r="AB1107" s="9">
        <f t="shared" si="244"/>
        <v>351</v>
      </c>
      <c r="AC1107" s="9">
        <f t="shared" si="244"/>
        <v>72</v>
      </c>
      <c r="AD1107" s="9">
        <f t="shared" si="244"/>
        <v>101</v>
      </c>
      <c r="AE1107" s="9">
        <f t="shared" si="244"/>
        <v>29</v>
      </c>
    </row>
    <row r="1108" spans="2:31" x14ac:dyDescent="0.25">
      <c r="B1108" s="6">
        <v>338</v>
      </c>
      <c r="C1108" s="6">
        <v>435</v>
      </c>
      <c r="D1108" s="6">
        <v>128</v>
      </c>
      <c r="E1108" s="6">
        <v>115</v>
      </c>
      <c r="F1108" s="6">
        <v>85</v>
      </c>
      <c r="L1108">
        <f t="shared" si="246"/>
        <v>-97</v>
      </c>
      <c r="M1108">
        <f t="shared" si="247"/>
        <v>210</v>
      </c>
      <c r="N1108">
        <f t="shared" si="248"/>
        <v>223</v>
      </c>
      <c r="O1108">
        <f t="shared" si="249"/>
        <v>253</v>
      </c>
      <c r="P1108">
        <f t="shared" si="250"/>
        <v>307</v>
      </c>
      <c r="Q1108">
        <f t="shared" si="251"/>
        <v>320</v>
      </c>
      <c r="R1108">
        <f t="shared" si="252"/>
        <v>350</v>
      </c>
      <c r="S1108">
        <f t="shared" si="253"/>
        <v>13</v>
      </c>
      <c r="T1108">
        <f t="shared" si="254"/>
        <v>43</v>
      </c>
      <c r="U1108">
        <f t="shared" si="255"/>
        <v>30</v>
      </c>
      <c r="V1108" s="9">
        <f t="shared" si="245"/>
        <v>97</v>
      </c>
      <c r="W1108" s="9">
        <f t="shared" si="245"/>
        <v>210</v>
      </c>
      <c r="X1108" s="9">
        <f t="shared" si="245"/>
        <v>223</v>
      </c>
      <c r="Y1108" s="9">
        <f t="shared" si="245"/>
        <v>253</v>
      </c>
      <c r="Z1108" s="9">
        <f t="shared" si="245"/>
        <v>307</v>
      </c>
      <c r="AA1108" s="9">
        <f t="shared" si="244"/>
        <v>320</v>
      </c>
      <c r="AB1108" s="9">
        <f t="shared" si="244"/>
        <v>350</v>
      </c>
      <c r="AC1108" s="9">
        <f t="shared" si="244"/>
        <v>13</v>
      </c>
      <c r="AD1108" s="9">
        <f t="shared" si="244"/>
        <v>43</v>
      </c>
      <c r="AE1108" s="9">
        <f t="shared" si="244"/>
        <v>30</v>
      </c>
    </row>
    <row r="1109" spans="2:31" x14ac:dyDescent="0.25">
      <c r="B1109" s="6">
        <v>547</v>
      </c>
      <c r="C1109" s="6">
        <v>668</v>
      </c>
      <c r="D1109" s="6">
        <f t="shared" si="241"/>
        <v>318</v>
      </c>
      <c r="E1109" s="6">
        <v>195</v>
      </c>
      <c r="F1109" s="6">
        <v>155</v>
      </c>
      <c r="L1109">
        <f t="shared" si="246"/>
        <v>-121</v>
      </c>
      <c r="M1109">
        <f t="shared" si="247"/>
        <v>229</v>
      </c>
      <c r="N1109">
        <f t="shared" si="248"/>
        <v>352</v>
      </c>
      <c r="O1109">
        <f t="shared" si="249"/>
        <v>392</v>
      </c>
      <c r="P1109">
        <f t="shared" si="250"/>
        <v>350</v>
      </c>
      <c r="Q1109">
        <f t="shared" si="251"/>
        <v>473</v>
      </c>
      <c r="R1109">
        <f t="shared" si="252"/>
        <v>513</v>
      </c>
      <c r="S1109">
        <f t="shared" si="253"/>
        <v>123</v>
      </c>
      <c r="T1109">
        <f t="shared" si="254"/>
        <v>163</v>
      </c>
      <c r="U1109">
        <f t="shared" si="255"/>
        <v>40</v>
      </c>
      <c r="V1109" s="9">
        <f t="shared" si="245"/>
        <v>121</v>
      </c>
      <c r="W1109" s="9">
        <f t="shared" si="245"/>
        <v>229</v>
      </c>
      <c r="X1109" s="9">
        <f t="shared" si="245"/>
        <v>352</v>
      </c>
      <c r="Y1109" s="9">
        <f t="shared" si="245"/>
        <v>392</v>
      </c>
      <c r="Z1109" s="9">
        <f t="shared" si="245"/>
        <v>350</v>
      </c>
      <c r="AA1109" s="9">
        <f t="shared" si="244"/>
        <v>473</v>
      </c>
      <c r="AB1109" s="9">
        <f t="shared" si="244"/>
        <v>513</v>
      </c>
      <c r="AC1109" s="9">
        <f t="shared" si="244"/>
        <v>123</v>
      </c>
      <c r="AD1109" s="9">
        <f t="shared" si="244"/>
        <v>163</v>
      </c>
      <c r="AE1109" s="9">
        <f t="shared" si="244"/>
        <v>40</v>
      </c>
    </row>
    <row r="1110" spans="2:31" x14ac:dyDescent="0.25">
      <c r="B1110" s="6">
        <v>329</v>
      </c>
      <c r="C1110" s="6">
        <v>421</v>
      </c>
      <c r="D1110" s="6">
        <v>286</v>
      </c>
      <c r="E1110" s="6">
        <v>172</v>
      </c>
      <c r="F1110" s="6">
        <v>122</v>
      </c>
      <c r="L1110">
        <f t="shared" si="246"/>
        <v>-92</v>
      </c>
      <c r="M1110">
        <f t="shared" si="247"/>
        <v>43</v>
      </c>
      <c r="N1110">
        <f t="shared" si="248"/>
        <v>157</v>
      </c>
      <c r="O1110">
        <f t="shared" si="249"/>
        <v>207</v>
      </c>
      <c r="P1110">
        <f t="shared" si="250"/>
        <v>135</v>
      </c>
      <c r="Q1110">
        <f t="shared" si="251"/>
        <v>249</v>
      </c>
      <c r="R1110">
        <f t="shared" si="252"/>
        <v>299</v>
      </c>
      <c r="S1110">
        <f t="shared" si="253"/>
        <v>114</v>
      </c>
      <c r="T1110">
        <f t="shared" si="254"/>
        <v>164</v>
      </c>
      <c r="U1110">
        <f t="shared" si="255"/>
        <v>50</v>
      </c>
      <c r="V1110" s="9">
        <f t="shared" si="245"/>
        <v>92</v>
      </c>
      <c r="W1110" s="9">
        <f t="shared" si="245"/>
        <v>43</v>
      </c>
      <c r="X1110" s="9">
        <f t="shared" si="245"/>
        <v>157</v>
      </c>
      <c r="Y1110" s="9">
        <f t="shared" si="245"/>
        <v>207</v>
      </c>
      <c r="Z1110" s="9">
        <f t="shared" si="245"/>
        <v>135</v>
      </c>
      <c r="AA1110" s="9">
        <f t="shared" si="244"/>
        <v>249</v>
      </c>
      <c r="AB1110" s="9">
        <f t="shared" si="244"/>
        <v>299</v>
      </c>
      <c r="AC1110" s="9">
        <f t="shared" si="244"/>
        <v>114</v>
      </c>
      <c r="AD1110" s="9">
        <f t="shared" si="244"/>
        <v>164</v>
      </c>
      <c r="AE1110" s="9">
        <f t="shared" si="244"/>
        <v>50</v>
      </c>
    </row>
    <row r="1111" spans="2:31" x14ac:dyDescent="0.25">
      <c r="B1111" s="6">
        <v>213</v>
      </c>
      <c r="C1111" s="6">
        <v>319</v>
      </c>
      <c r="D1111" s="6">
        <v>134</v>
      </c>
      <c r="E1111" s="6">
        <v>87</v>
      </c>
      <c r="F1111" s="6">
        <v>76</v>
      </c>
      <c r="L1111">
        <f t="shared" si="246"/>
        <v>-106</v>
      </c>
      <c r="M1111">
        <f t="shared" si="247"/>
        <v>79</v>
      </c>
      <c r="N1111">
        <f t="shared" si="248"/>
        <v>126</v>
      </c>
      <c r="O1111">
        <f t="shared" si="249"/>
        <v>137</v>
      </c>
      <c r="P1111">
        <f t="shared" si="250"/>
        <v>185</v>
      </c>
      <c r="Q1111">
        <f t="shared" si="251"/>
        <v>232</v>
      </c>
      <c r="R1111">
        <f t="shared" si="252"/>
        <v>243</v>
      </c>
      <c r="S1111">
        <f t="shared" si="253"/>
        <v>47</v>
      </c>
      <c r="T1111">
        <f t="shared" si="254"/>
        <v>58</v>
      </c>
      <c r="U1111">
        <f t="shared" si="255"/>
        <v>11</v>
      </c>
      <c r="V1111" s="9">
        <f t="shared" si="245"/>
        <v>106</v>
      </c>
      <c r="W1111" s="9">
        <f t="shared" si="245"/>
        <v>79</v>
      </c>
      <c r="X1111" s="9">
        <f t="shared" si="245"/>
        <v>126</v>
      </c>
      <c r="Y1111" s="9">
        <f t="shared" si="245"/>
        <v>137</v>
      </c>
      <c r="Z1111" s="9">
        <f t="shared" si="245"/>
        <v>185</v>
      </c>
      <c r="AA1111" s="9">
        <f t="shared" si="244"/>
        <v>232</v>
      </c>
      <c r="AB1111" s="9">
        <f t="shared" si="244"/>
        <v>243</v>
      </c>
      <c r="AC1111" s="9">
        <f t="shared" si="244"/>
        <v>47</v>
      </c>
      <c r="AD1111" s="9">
        <f t="shared" si="244"/>
        <v>58</v>
      </c>
      <c r="AE1111" s="9">
        <f t="shared" si="244"/>
        <v>11</v>
      </c>
    </row>
    <row r="1112" spans="2:31" x14ac:dyDescent="0.25">
      <c r="B1112" s="6">
        <v>150</v>
      </c>
      <c r="C1112" s="6">
        <v>176</v>
      </c>
      <c r="D1112" s="6">
        <v>122</v>
      </c>
      <c r="E1112" s="6">
        <v>105</v>
      </c>
      <c r="F1112" s="6">
        <v>94</v>
      </c>
      <c r="L1112">
        <f t="shared" si="246"/>
        <v>-26</v>
      </c>
      <c r="M1112">
        <f t="shared" si="247"/>
        <v>28</v>
      </c>
      <c r="N1112">
        <f t="shared" si="248"/>
        <v>45</v>
      </c>
      <c r="O1112">
        <f t="shared" si="249"/>
        <v>56</v>
      </c>
      <c r="P1112">
        <f t="shared" si="250"/>
        <v>54</v>
      </c>
      <c r="Q1112">
        <f t="shared" si="251"/>
        <v>71</v>
      </c>
      <c r="R1112">
        <f t="shared" si="252"/>
        <v>82</v>
      </c>
      <c r="S1112">
        <f t="shared" si="253"/>
        <v>17</v>
      </c>
      <c r="T1112">
        <f t="shared" si="254"/>
        <v>28</v>
      </c>
      <c r="U1112">
        <f t="shared" si="255"/>
        <v>11</v>
      </c>
      <c r="V1112" s="9">
        <f t="shared" si="245"/>
        <v>26</v>
      </c>
      <c r="W1112" s="9">
        <f t="shared" si="245"/>
        <v>28</v>
      </c>
      <c r="X1112" s="9">
        <f t="shared" si="245"/>
        <v>45</v>
      </c>
      <c r="Y1112" s="9">
        <f t="shared" si="245"/>
        <v>56</v>
      </c>
      <c r="Z1112" s="9">
        <f t="shared" si="245"/>
        <v>54</v>
      </c>
      <c r="AA1112" s="9">
        <f t="shared" si="244"/>
        <v>71</v>
      </c>
      <c r="AB1112" s="9">
        <f t="shared" si="244"/>
        <v>82</v>
      </c>
      <c r="AC1112" s="9">
        <f t="shared" si="244"/>
        <v>17</v>
      </c>
      <c r="AD1112" s="9">
        <f t="shared" si="244"/>
        <v>28</v>
      </c>
      <c r="AE1112" s="9">
        <f t="shared" si="244"/>
        <v>11</v>
      </c>
    </row>
    <row r="1113" spans="2:31" x14ac:dyDescent="0.25">
      <c r="B1113" s="6">
        <v>184</v>
      </c>
      <c r="C1113" s="6">
        <v>200</v>
      </c>
      <c r="D1113" s="6">
        <v>145</v>
      </c>
      <c r="E1113" s="6">
        <v>147</v>
      </c>
      <c r="F1113" s="6">
        <v>132</v>
      </c>
      <c r="L1113">
        <f t="shared" si="246"/>
        <v>-16</v>
      </c>
      <c r="M1113">
        <f t="shared" si="247"/>
        <v>39</v>
      </c>
      <c r="N1113">
        <f t="shared" si="248"/>
        <v>37</v>
      </c>
      <c r="O1113">
        <f t="shared" si="249"/>
        <v>52</v>
      </c>
      <c r="P1113">
        <f t="shared" si="250"/>
        <v>55</v>
      </c>
      <c r="Q1113">
        <f t="shared" si="251"/>
        <v>53</v>
      </c>
      <c r="R1113">
        <f t="shared" si="252"/>
        <v>68</v>
      </c>
      <c r="S1113">
        <f t="shared" si="253"/>
        <v>-2</v>
      </c>
      <c r="T1113">
        <f t="shared" si="254"/>
        <v>13</v>
      </c>
      <c r="U1113">
        <f t="shared" si="255"/>
        <v>15</v>
      </c>
      <c r="V1113" s="9">
        <f t="shared" si="245"/>
        <v>16</v>
      </c>
      <c r="W1113" s="9">
        <f t="shared" si="245"/>
        <v>39</v>
      </c>
      <c r="X1113" s="9">
        <f t="shared" si="245"/>
        <v>37</v>
      </c>
      <c r="Y1113" s="9">
        <f t="shared" si="245"/>
        <v>52</v>
      </c>
      <c r="Z1113" s="9">
        <f t="shared" si="245"/>
        <v>55</v>
      </c>
      <c r="AA1113" s="9">
        <f t="shared" si="244"/>
        <v>53</v>
      </c>
      <c r="AB1113" s="9">
        <f t="shared" si="244"/>
        <v>68</v>
      </c>
      <c r="AC1113" s="9">
        <f t="shared" si="244"/>
        <v>2</v>
      </c>
      <c r="AD1113" s="9">
        <f t="shared" si="244"/>
        <v>13</v>
      </c>
      <c r="AE1113" s="9">
        <f t="shared" si="244"/>
        <v>15</v>
      </c>
    </row>
    <row r="1114" spans="2:31" x14ac:dyDescent="0.25">
      <c r="B1114" s="6">
        <v>120</v>
      </c>
      <c r="C1114" s="6">
        <v>149</v>
      </c>
      <c r="D1114" s="6">
        <v>97</v>
      </c>
      <c r="E1114" s="6">
        <v>75</v>
      </c>
      <c r="F1114" s="6">
        <v>77</v>
      </c>
      <c r="L1114">
        <f t="shared" si="246"/>
        <v>-29</v>
      </c>
      <c r="M1114">
        <f t="shared" si="247"/>
        <v>23</v>
      </c>
      <c r="N1114">
        <f t="shared" si="248"/>
        <v>45</v>
      </c>
      <c r="O1114">
        <f t="shared" si="249"/>
        <v>43</v>
      </c>
      <c r="P1114">
        <f t="shared" si="250"/>
        <v>52</v>
      </c>
      <c r="Q1114">
        <f t="shared" si="251"/>
        <v>74</v>
      </c>
      <c r="R1114">
        <f t="shared" si="252"/>
        <v>72</v>
      </c>
      <c r="S1114">
        <f t="shared" si="253"/>
        <v>22</v>
      </c>
      <c r="T1114">
        <f t="shared" si="254"/>
        <v>20</v>
      </c>
      <c r="U1114">
        <f t="shared" si="255"/>
        <v>-2</v>
      </c>
      <c r="V1114" s="9">
        <f t="shared" si="245"/>
        <v>29</v>
      </c>
      <c r="W1114" s="9">
        <f t="shared" si="245"/>
        <v>23</v>
      </c>
      <c r="X1114" s="9">
        <f t="shared" si="245"/>
        <v>45</v>
      </c>
      <c r="Y1114" s="9">
        <f t="shared" si="245"/>
        <v>43</v>
      </c>
      <c r="Z1114" s="9">
        <f t="shared" si="245"/>
        <v>52</v>
      </c>
      <c r="AA1114" s="9">
        <f t="shared" si="244"/>
        <v>74</v>
      </c>
      <c r="AB1114" s="9">
        <f t="shared" si="244"/>
        <v>72</v>
      </c>
      <c r="AC1114" s="9">
        <f t="shared" si="244"/>
        <v>22</v>
      </c>
      <c r="AD1114" s="9">
        <f t="shared" si="244"/>
        <v>20</v>
      </c>
      <c r="AE1114" s="9">
        <f t="shared" si="244"/>
        <v>2</v>
      </c>
    </row>
    <row r="1115" spans="2:31" x14ac:dyDescent="0.25">
      <c r="B1115" s="6">
        <v>159</v>
      </c>
      <c r="C1115" s="6">
        <v>210</v>
      </c>
      <c r="D1115" s="6">
        <v>188</v>
      </c>
      <c r="E1115" s="6">
        <v>56</v>
      </c>
      <c r="F1115" s="6">
        <v>77</v>
      </c>
      <c r="L1115">
        <f t="shared" si="246"/>
        <v>-51</v>
      </c>
      <c r="M1115">
        <f t="shared" si="247"/>
        <v>-29</v>
      </c>
      <c r="N1115">
        <f t="shared" si="248"/>
        <v>103</v>
      </c>
      <c r="O1115">
        <f t="shared" si="249"/>
        <v>82</v>
      </c>
      <c r="P1115">
        <f t="shared" si="250"/>
        <v>22</v>
      </c>
      <c r="Q1115">
        <f t="shared" si="251"/>
        <v>154</v>
      </c>
      <c r="R1115">
        <f t="shared" si="252"/>
        <v>133</v>
      </c>
      <c r="S1115">
        <f t="shared" si="253"/>
        <v>132</v>
      </c>
      <c r="T1115">
        <f t="shared" si="254"/>
        <v>111</v>
      </c>
      <c r="U1115">
        <f t="shared" si="255"/>
        <v>-21</v>
      </c>
      <c r="V1115" s="9">
        <f t="shared" si="245"/>
        <v>51</v>
      </c>
      <c r="W1115" s="9">
        <f t="shared" si="245"/>
        <v>29</v>
      </c>
      <c r="X1115" s="9">
        <f t="shared" si="245"/>
        <v>103</v>
      </c>
      <c r="Y1115" s="9">
        <f t="shared" si="245"/>
        <v>82</v>
      </c>
      <c r="Z1115" s="9">
        <f t="shared" si="245"/>
        <v>22</v>
      </c>
      <c r="AA1115" s="9">
        <f t="shared" si="244"/>
        <v>154</v>
      </c>
      <c r="AB1115" s="9">
        <f t="shared" si="244"/>
        <v>133</v>
      </c>
      <c r="AC1115" s="9">
        <f t="shared" si="244"/>
        <v>132</v>
      </c>
      <c r="AD1115" s="9">
        <f t="shared" si="244"/>
        <v>111</v>
      </c>
      <c r="AE1115" s="9">
        <f t="shared" si="244"/>
        <v>21</v>
      </c>
    </row>
    <row r="1116" spans="2:31" x14ac:dyDescent="0.25">
      <c r="B1116" s="6">
        <v>94</v>
      </c>
      <c r="C1116" s="6">
        <v>140</v>
      </c>
      <c r="D1116" s="6">
        <v>125</v>
      </c>
      <c r="E1116" s="6">
        <v>44</v>
      </c>
      <c r="F1116" s="6">
        <v>27</v>
      </c>
      <c r="L1116">
        <f t="shared" si="246"/>
        <v>-46</v>
      </c>
      <c r="M1116">
        <f t="shared" si="247"/>
        <v>-31</v>
      </c>
      <c r="N1116">
        <f t="shared" si="248"/>
        <v>50</v>
      </c>
      <c r="O1116">
        <f t="shared" si="249"/>
        <v>67</v>
      </c>
      <c r="P1116">
        <f t="shared" si="250"/>
        <v>15</v>
      </c>
      <c r="Q1116">
        <f t="shared" si="251"/>
        <v>96</v>
      </c>
      <c r="R1116">
        <f t="shared" si="252"/>
        <v>113</v>
      </c>
      <c r="S1116">
        <f t="shared" si="253"/>
        <v>81</v>
      </c>
      <c r="T1116">
        <f t="shared" si="254"/>
        <v>98</v>
      </c>
      <c r="U1116">
        <f t="shared" si="255"/>
        <v>17</v>
      </c>
      <c r="V1116" s="9">
        <f t="shared" si="245"/>
        <v>46</v>
      </c>
      <c r="W1116" s="9">
        <f t="shared" si="245"/>
        <v>31</v>
      </c>
      <c r="X1116" s="9">
        <f t="shared" si="245"/>
        <v>50</v>
      </c>
      <c r="Y1116" s="9">
        <f t="shared" si="245"/>
        <v>67</v>
      </c>
      <c r="Z1116" s="9">
        <f t="shared" si="245"/>
        <v>15</v>
      </c>
      <c r="AA1116" s="9">
        <f t="shared" si="244"/>
        <v>96</v>
      </c>
      <c r="AB1116" s="9">
        <f t="shared" si="244"/>
        <v>113</v>
      </c>
      <c r="AC1116" s="9">
        <f t="shared" si="244"/>
        <v>81</v>
      </c>
      <c r="AD1116" s="9">
        <f t="shared" si="244"/>
        <v>98</v>
      </c>
      <c r="AE1116" s="9">
        <f t="shared" si="244"/>
        <v>17</v>
      </c>
    </row>
    <row r="1117" spans="2:31" x14ac:dyDescent="0.25">
      <c r="B1117" s="6">
        <v>80</v>
      </c>
      <c r="C1117" s="6">
        <v>95</v>
      </c>
      <c r="D1117" s="6">
        <v>74</v>
      </c>
      <c r="E1117" s="6">
        <v>48</v>
      </c>
      <c r="F1117" s="6">
        <v>42</v>
      </c>
      <c r="L1117">
        <f t="shared" si="246"/>
        <v>-15</v>
      </c>
      <c r="M1117">
        <f t="shared" si="247"/>
        <v>6</v>
      </c>
      <c r="N1117">
        <f t="shared" si="248"/>
        <v>32</v>
      </c>
      <c r="O1117">
        <f t="shared" si="249"/>
        <v>38</v>
      </c>
      <c r="P1117">
        <f t="shared" si="250"/>
        <v>21</v>
      </c>
      <c r="Q1117">
        <f t="shared" si="251"/>
        <v>47</v>
      </c>
      <c r="R1117">
        <f t="shared" si="252"/>
        <v>53</v>
      </c>
      <c r="S1117">
        <f t="shared" si="253"/>
        <v>26</v>
      </c>
      <c r="T1117">
        <f t="shared" si="254"/>
        <v>32</v>
      </c>
      <c r="U1117">
        <f t="shared" si="255"/>
        <v>6</v>
      </c>
      <c r="V1117" s="9">
        <f t="shared" si="245"/>
        <v>15</v>
      </c>
      <c r="W1117" s="9">
        <f t="shared" si="245"/>
        <v>6</v>
      </c>
      <c r="X1117" s="9">
        <f t="shared" si="245"/>
        <v>32</v>
      </c>
      <c r="Y1117" s="9">
        <f t="shared" si="245"/>
        <v>38</v>
      </c>
      <c r="Z1117" s="9">
        <f t="shared" si="245"/>
        <v>21</v>
      </c>
      <c r="AA1117" s="9">
        <f t="shared" si="244"/>
        <v>47</v>
      </c>
      <c r="AB1117" s="9">
        <f t="shared" si="244"/>
        <v>53</v>
      </c>
      <c r="AC1117" s="9">
        <f t="shared" si="244"/>
        <v>26</v>
      </c>
      <c r="AD1117" s="9">
        <f t="shared" si="244"/>
        <v>32</v>
      </c>
      <c r="AE1117" s="9">
        <f t="shared" si="244"/>
        <v>6</v>
      </c>
    </row>
    <row r="1118" spans="2:31" x14ac:dyDescent="0.25">
      <c r="B1118" s="6">
        <v>114</v>
      </c>
      <c r="C1118" s="6">
        <v>120</v>
      </c>
      <c r="D1118" s="6">
        <v>108</v>
      </c>
      <c r="E1118" s="6">
        <v>40</v>
      </c>
      <c r="F1118" s="6">
        <v>40</v>
      </c>
      <c r="L1118">
        <f t="shared" si="246"/>
        <v>-6</v>
      </c>
      <c r="M1118">
        <f t="shared" si="247"/>
        <v>6</v>
      </c>
      <c r="N1118">
        <f t="shared" si="248"/>
        <v>74</v>
      </c>
      <c r="O1118">
        <f t="shared" si="249"/>
        <v>74</v>
      </c>
      <c r="P1118">
        <f t="shared" si="250"/>
        <v>12</v>
      </c>
      <c r="Q1118">
        <f t="shared" si="251"/>
        <v>80</v>
      </c>
      <c r="R1118">
        <f t="shared" si="252"/>
        <v>80</v>
      </c>
      <c r="S1118">
        <f t="shared" si="253"/>
        <v>68</v>
      </c>
      <c r="T1118">
        <f t="shared" si="254"/>
        <v>68</v>
      </c>
      <c r="U1118">
        <f t="shared" si="255"/>
        <v>0</v>
      </c>
      <c r="V1118" s="9">
        <f t="shared" si="245"/>
        <v>6</v>
      </c>
      <c r="W1118" s="9">
        <f t="shared" si="245"/>
        <v>6</v>
      </c>
      <c r="X1118" s="9">
        <f t="shared" si="245"/>
        <v>74</v>
      </c>
      <c r="Y1118" s="9">
        <f t="shared" si="245"/>
        <v>74</v>
      </c>
      <c r="Z1118" s="9">
        <f t="shared" si="245"/>
        <v>12</v>
      </c>
      <c r="AA1118" s="9">
        <f t="shared" si="244"/>
        <v>80</v>
      </c>
      <c r="AB1118" s="9">
        <f t="shared" si="244"/>
        <v>80</v>
      </c>
      <c r="AC1118" s="9">
        <f t="shared" si="244"/>
        <v>68</v>
      </c>
      <c r="AD1118" s="9">
        <f t="shared" si="244"/>
        <v>68</v>
      </c>
      <c r="AE1118" s="9">
        <f t="shared" si="244"/>
        <v>0</v>
      </c>
    </row>
    <row r="1119" spans="2:31" x14ac:dyDescent="0.25">
      <c r="B1119" s="6">
        <v>59</v>
      </c>
      <c r="C1119" s="6">
        <v>69</v>
      </c>
      <c r="D1119" s="6">
        <v>44</v>
      </c>
      <c r="E1119" s="6">
        <v>27</v>
      </c>
      <c r="F1119" s="6">
        <v>30</v>
      </c>
      <c r="L1119">
        <f t="shared" si="246"/>
        <v>-10</v>
      </c>
      <c r="M1119">
        <f t="shared" si="247"/>
        <v>15</v>
      </c>
      <c r="N1119">
        <f t="shared" si="248"/>
        <v>32</v>
      </c>
      <c r="O1119">
        <f t="shared" si="249"/>
        <v>29</v>
      </c>
      <c r="P1119">
        <f t="shared" si="250"/>
        <v>25</v>
      </c>
      <c r="Q1119">
        <f t="shared" si="251"/>
        <v>42</v>
      </c>
      <c r="R1119">
        <f t="shared" si="252"/>
        <v>39</v>
      </c>
      <c r="S1119">
        <f t="shared" si="253"/>
        <v>17</v>
      </c>
      <c r="T1119">
        <f t="shared" si="254"/>
        <v>14</v>
      </c>
      <c r="U1119">
        <f t="shared" si="255"/>
        <v>-3</v>
      </c>
      <c r="V1119" s="9">
        <f t="shared" si="245"/>
        <v>10</v>
      </c>
      <c r="W1119" s="9">
        <f t="shared" si="245"/>
        <v>15</v>
      </c>
      <c r="X1119" s="9">
        <f t="shared" si="245"/>
        <v>32</v>
      </c>
      <c r="Y1119" s="9">
        <f t="shared" si="245"/>
        <v>29</v>
      </c>
      <c r="Z1119" s="9">
        <f t="shared" si="245"/>
        <v>25</v>
      </c>
      <c r="AA1119" s="9">
        <f t="shared" si="244"/>
        <v>42</v>
      </c>
      <c r="AB1119" s="9">
        <f t="shared" si="244"/>
        <v>39</v>
      </c>
      <c r="AC1119" s="9">
        <f t="shared" si="244"/>
        <v>17</v>
      </c>
      <c r="AD1119" s="9">
        <f t="shared" si="244"/>
        <v>14</v>
      </c>
      <c r="AE1119" s="9">
        <f t="shared" si="244"/>
        <v>3</v>
      </c>
    </row>
    <row r="1120" spans="2:31" x14ac:dyDescent="0.25">
      <c r="B1120" s="6">
        <v>45</v>
      </c>
      <c r="C1120" s="6">
        <v>55</v>
      </c>
      <c r="D1120" s="6">
        <v>35</v>
      </c>
      <c r="E1120" s="6">
        <v>25</v>
      </c>
      <c r="F1120" s="6">
        <v>28</v>
      </c>
      <c r="L1120">
        <f t="shared" si="246"/>
        <v>-10</v>
      </c>
      <c r="M1120">
        <f t="shared" si="247"/>
        <v>10</v>
      </c>
      <c r="N1120">
        <f t="shared" si="248"/>
        <v>20</v>
      </c>
      <c r="O1120">
        <f t="shared" si="249"/>
        <v>17</v>
      </c>
      <c r="P1120">
        <f t="shared" si="250"/>
        <v>20</v>
      </c>
      <c r="Q1120">
        <f t="shared" si="251"/>
        <v>30</v>
      </c>
      <c r="R1120">
        <f t="shared" si="252"/>
        <v>27</v>
      </c>
      <c r="S1120">
        <f t="shared" si="253"/>
        <v>10</v>
      </c>
      <c r="T1120">
        <f t="shared" si="254"/>
        <v>7</v>
      </c>
      <c r="U1120">
        <f t="shared" si="255"/>
        <v>-3</v>
      </c>
      <c r="V1120" s="9">
        <f t="shared" si="245"/>
        <v>10</v>
      </c>
      <c r="W1120" s="9">
        <f t="shared" si="245"/>
        <v>10</v>
      </c>
      <c r="X1120" s="9">
        <f t="shared" si="245"/>
        <v>20</v>
      </c>
      <c r="Y1120" s="9">
        <f t="shared" si="245"/>
        <v>17</v>
      </c>
      <c r="Z1120" s="9">
        <f t="shared" si="245"/>
        <v>20</v>
      </c>
      <c r="AA1120" s="9">
        <f t="shared" si="244"/>
        <v>30</v>
      </c>
      <c r="AB1120" s="9">
        <f t="shared" si="244"/>
        <v>27</v>
      </c>
      <c r="AC1120" s="9">
        <f t="shared" si="244"/>
        <v>10</v>
      </c>
      <c r="AD1120" s="9">
        <f t="shared" si="244"/>
        <v>7</v>
      </c>
      <c r="AE1120" s="9">
        <f t="shared" si="244"/>
        <v>3</v>
      </c>
    </row>
    <row r="1121" spans="2:31" x14ac:dyDescent="0.25">
      <c r="B1121" s="6">
        <v>34</v>
      </c>
      <c r="C1121" s="6">
        <v>28</v>
      </c>
      <c r="D1121" s="6">
        <v>31</v>
      </c>
      <c r="E1121" s="6">
        <v>30</v>
      </c>
      <c r="F1121" s="6">
        <v>30</v>
      </c>
      <c r="L1121">
        <f t="shared" si="246"/>
        <v>6</v>
      </c>
      <c r="M1121">
        <f t="shared" si="247"/>
        <v>3</v>
      </c>
      <c r="N1121">
        <f t="shared" si="248"/>
        <v>4</v>
      </c>
      <c r="O1121">
        <f t="shared" si="249"/>
        <v>4</v>
      </c>
      <c r="P1121">
        <f t="shared" si="250"/>
        <v>-3</v>
      </c>
      <c r="Q1121">
        <f t="shared" si="251"/>
        <v>-2</v>
      </c>
      <c r="R1121">
        <f t="shared" si="252"/>
        <v>-2</v>
      </c>
      <c r="S1121">
        <f t="shared" si="253"/>
        <v>1</v>
      </c>
      <c r="T1121">
        <f t="shared" si="254"/>
        <v>1</v>
      </c>
      <c r="U1121">
        <f t="shared" si="255"/>
        <v>0</v>
      </c>
      <c r="V1121" s="9">
        <f t="shared" si="245"/>
        <v>6</v>
      </c>
      <c r="W1121" s="9">
        <f t="shared" si="245"/>
        <v>3</v>
      </c>
      <c r="X1121" s="9">
        <f t="shared" si="245"/>
        <v>4</v>
      </c>
      <c r="Y1121" s="9">
        <f t="shared" si="245"/>
        <v>4</v>
      </c>
      <c r="Z1121" s="9">
        <f t="shared" si="245"/>
        <v>3</v>
      </c>
      <c r="AA1121" s="9">
        <f t="shared" si="244"/>
        <v>2</v>
      </c>
      <c r="AB1121" s="9">
        <f t="shared" si="244"/>
        <v>2</v>
      </c>
      <c r="AC1121" s="9">
        <f t="shared" si="244"/>
        <v>1</v>
      </c>
      <c r="AD1121" s="9">
        <f t="shared" si="244"/>
        <v>1</v>
      </c>
      <c r="AE1121" s="9">
        <f t="shared" si="244"/>
        <v>0</v>
      </c>
    </row>
    <row r="1122" spans="2:31" x14ac:dyDescent="0.25">
      <c r="B1122" s="6">
        <v>27</v>
      </c>
      <c r="C1122" s="6">
        <v>24</v>
      </c>
      <c r="D1122" s="6">
        <v>27</v>
      </c>
      <c r="E1122" s="6">
        <v>30</v>
      </c>
      <c r="F1122" s="6">
        <v>0</v>
      </c>
      <c r="L1122">
        <f t="shared" si="246"/>
        <v>3</v>
      </c>
      <c r="M1122">
        <f t="shared" si="247"/>
        <v>0</v>
      </c>
      <c r="N1122">
        <f t="shared" si="248"/>
        <v>-3</v>
      </c>
      <c r="O1122">
        <f t="shared" si="249"/>
        <v>27</v>
      </c>
      <c r="P1122">
        <f t="shared" si="250"/>
        <v>-3</v>
      </c>
      <c r="Q1122">
        <f t="shared" si="251"/>
        <v>-6</v>
      </c>
      <c r="R1122">
        <f t="shared" si="252"/>
        <v>24</v>
      </c>
      <c r="S1122">
        <f t="shared" si="253"/>
        <v>-3</v>
      </c>
      <c r="T1122">
        <f t="shared" si="254"/>
        <v>27</v>
      </c>
      <c r="U1122">
        <f t="shared" si="255"/>
        <v>30</v>
      </c>
      <c r="V1122" s="9">
        <f t="shared" si="245"/>
        <v>3</v>
      </c>
      <c r="W1122" s="9">
        <f t="shared" si="245"/>
        <v>0</v>
      </c>
      <c r="X1122" s="9">
        <f t="shared" si="245"/>
        <v>3</v>
      </c>
      <c r="Y1122" s="9">
        <f t="shared" si="245"/>
        <v>27</v>
      </c>
      <c r="Z1122" s="9">
        <f t="shared" si="245"/>
        <v>3</v>
      </c>
      <c r="AA1122" s="9">
        <f t="shared" si="244"/>
        <v>6</v>
      </c>
      <c r="AB1122" s="9">
        <f t="shared" si="244"/>
        <v>24</v>
      </c>
      <c r="AC1122" s="9">
        <f t="shared" si="244"/>
        <v>3</v>
      </c>
      <c r="AD1122" s="9">
        <f t="shared" si="244"/>
        <v>27</v>
      </c>
      <c r="AE1122" s="9">
        <f t="shared" si="244"/>
        <v>30</v>
      </c>
    </row>
    <row r="1123" spans="2:31" x14ac:dyDescent="0.25">
      <c r="B1123" s="6">
        <v>23</v>
      </c>
      <c r="C1123" s="6">
        <v>20</v>
      </c>
      <c r="D1123" s="6">
        <v>24</v>
      </c>
      <c r="E1123" s="6">
        <v>27</v>
      </c>
      <c r="F1123" s="6">
        <v>0</v>
      </c>
      <c r="L1123">
        <f t="shared" si="246"/>
        <v>3</v>
      </c>
      <c r="M1123">
        <f t="shared" si="247"/>
        <v>-1</v>
      </c>
      <c r="N1123">
        <f t="shared" si="248"/>
        <v>-4</v>
      </c>
      <c r="O1123">
        <f t="shared" si="249"/>
        <v>23</v>
      </c>
      <c r="P1123">
        <f t="shared" si="250"/>
        <v>-4</v>
      </c>
      <c r="Q1123">
        <f t="shared" si="251"/>
        <v>-7</v>
      </c>
      <c r="R1123">
        <f t="shared" si="252"/>
        <v>20</v>
      </c>
      <c r="S1123">
        <f t="shared" si="253"/>
        <v>-3</v>
      </c>
      <c r="T1123">
        <f t="shared" si="254"/>
        <v>24</v>
      </c>
      <c r="U1123">
        <f t="shared" si="255"/>
        <v>27</v>
      </c>
      <c r="V1123" s="9">
        <f t="shared" si="245"/>
        <v>3</v>
      </c>
      <c r="W1123" s="9">
        <f t="shared" si="245"/>
        <v>1</v>
      </c>
      <c r="X1123" s="9">
        <f t="shared" si="245"/>
        <v>4</v>
      </c>
      <c r="Y1123" s="9">
        <f t="shared" si="245"/>
        <v>23</v>
      </c>
      <c r="Z1123" s="9">
        <f t="shared" si="245"/>
        <v>4</v>
      </c>
      <c r="AA1123" s="9">
        <f t="shared" si="244"/>
        <v>7</v>
      </c>
      <c r="AB1123" s="9">
        <f t="shared" si="244"/>
        <v>20</v>
      </c>
      <c r="AC1123" s="9">
        <f t="shared" si="244"/>
        <v>3</v>
      </c>
      <c r="AD1123" s="9">
        <f t="shared" si="244"/>
        <v>24</v>
      </c>
      <c r="AE1123" s="9">
        <f t="shared" si="244"/>
        <v>27</v>
      </c>
    </row>
    <row r="1124" spans="2:31" x14ac:dyDescent="0.25">
      <c r="B1124" s="6">
        <v>15</v>
      </c>
      <c r="C1124" s="6">
        <v>24</v>
      </c>
      <c r="D1124" s="6">
        <v>16</v>
      </c>
      <c r="E1124" s="6">
        <v>15</v>
      </c>
      <c r="F1124" s="6">
        <v>15</v>
      </c>
      <c r="L1124">
        <f t="shared" si="246"/>
        <v>-9</v>
      </c>
      <c r="M1124">
        <f t="shared" si="247"/>
        <v>-1</v>
      </c>
      <c r="N1124">
        <f t="shared" si="248"/>
        <v>0</v>
      </c>
      <c r="O1124">
        <f t="shared" si="249"/>
        <v>0</v>
      </c>
      <c r="P1124">
        <f t="shared" si="250"/>
        <v>8</v>
      </c>
      <c r="Q1124">
        <f t="shared" si="251"/>
        <v>9</v>
      </c>
      <c r="R1124">
        <f t="shared" si="252"/>
        <v>9</v>
      </c>
      <c r="S1124">
        <f t="shared" si="253"/>
        <v>1</v>
      </c>
      <c r="T1124">
        <f t="shared" si="254"/>
        <v>1</v>
      </c>
      <c r="U1124">
        <f t="shared" si="255"/>
        <v>0</v>
      </c>
      <c r="V1124" s="9">
        <f t="shared" si="245"/>
        <v>9</v>
      </c>
      <c r="W1124" s="9">
        <f t="shared" si="245"/>
        <v>1</v>
      </c>
      <c r="X1124" s="9">
        <f t="shared" si="245"/>
        <v>0</v>
      </c>
      <c r="Y1124" s="9">
        <f t="shared" si="245"/>
        <v>0</v>
      </c>
      <c r="Z1124" s="9">
        <f t="shared" si="245"/>
        <v>8</v>
      </c>
      <c r="AA1124" s="9">
        <f t="shared" si="244"/>
        <v>9</v>
      </c>
      <c r="AB1124" s="9">
        <f t="shared" si="244"/>
        <v>9</v>
      </c>
      <c r="AC1124" s="9">
        <f t="shared" si="244"/>
        <v>1</v>
      </c>
      <c r="AD1124" s="9">
        <f t="shared" si="244"/>
        <v>1</v>
      </c>
      <c r="AE1124" s="9">
        <f t="shared" si="244"/>
        <v>0</v>
      </c>
    </row>
    <row r="1125" spans="2:31" x14ac:dyDescent="0.25">
      <c r="B1125" s="6">
        <v>27</v>
      </c>
      <c r="C1125" s="6">
        <v>30</v>
      </c>
      <c r="D1125" s="6">
        <v>33</v>
      </c>
      <c r="E1125" s="6">
        <v>30</v>
      </c>
      <c r="F1125" s="6">
        <v>33</v>
      </c>
      <c r="L1125">
        <f t="shared" si="246"/>
        <v>-3</v>
      </c>
      <c r="M1125">
        <f t="shared" si="247"/>
        <v>-6</v>
      </c>
      <c r="N1125">
        <f t="shared" si="248"/>
        <v>-3</v>
      </c>
      <c r="O1125">
        <f t="shared" si="249"/>
        <v>-6</v>
      </c>
      <c r="P1125">
        <f t="shared" si="250"/>
        <v>-3</v>
      </c>
      <c r="Q1125">
        <f t="shared" si="251"/>
        <v>0</v>
      </c>
      <c r="R1125">
        <f t="shared" si="252"/>
        <v>-3</v>
      </c>
      <c r="S1125">
        <f t="shared" si="253"/>
        <v>3</v>
      </c>
      <c r="T1125">
        <f t="shared" si="254"/>
        <v>0</v>
      </c>
      <c r="U1125">
        <f t="shared" si="255"/>
        <v>-3</v>
      </c>
      <c r="V1125" s="9">
        <f t="shared" si="245"/>
        <v>3</v>
      </c>
      <c r="W1125" s="9">
        <f t="shared" si="245"/>
        <v>6</v>
      </c>
      <c r="X1125" s="9">
        <f t="shared" si="245"/>
        <v>3</v>
      </c>
      <c r="Y1125" s="9">
        <f t="shared" si="245"/>
        <v>6</v>
      </c>
      <c r="Z1125" s="9">
        <f t="shared" si="245"/>
        <v>3</v>
      </c>
      <c r="AA1125" s="9">
        <f t="shared" si="244"/>
        <v>0</v>
      </c>
      <c r="AB1125" s="9">
        <f t="shared" si="244"/>
        <v>3</v>
      </c>
      <c r="AC1125" s="9">
        <f t="shared" si="244"/>
        <v>3</v>
      </c>
      <c r="AD1125" s="9">
        <f t="shared" si="244"/>
        <v>0</v>
      </c>
      <c r="AE1125" s="9">
        <f t="shared" si="244"/>
        <v>3</v>
      </c>
    </row>
    <row r="1126" spans="2:31" x14ac:dyDescent="0.25">
      <c r="B1126" s="6">
        <v>25</v>
      </c>
      <c r="C1126" s="6">
        <v>20</v>
      </c>
      <c r="D1126" s="6">
        <v>24</v>
      </c>
      <c r="E1126" s="6">
        <v>20</v>
      </c>
      <c r="F1126" s="6">
        <v>24</v>
      </c>
      <c r="L1126">
        <f t="shared" si="246"/>
        <v>5</v>
      </c>
      <c r="M1126">
        <f t="shared" si="247"/>
        <v>1</v>
      </c>
      <c r="N1126">
        <f t="shared" si="248"/>
        <v>5</v>
      </c>
      <c r="O1126">
        <f t="shared" si="249"/>
        <v>1</v>
      </c>
      <c r="P1126">
        <f t="shared" si="250"/>
        <v>-4</v>
      </c>
      <c r="Q1126">
        <f t="shared" si="251"/>
        <v>0</v>
      </c>
      <c r="R1126">
        <f t="shared" si="252"/>
        <v>-4</v>
      </c>
      <c r="S1126">
        <f t="shared" si="253"/>
        <v>4</v>
      </c>
      <c r="T1126">
        <f t="shared" si="254"/>
        <v>0</v>
      </c>
      <c r="U1126">
        <f t="shared" si="255"/>
        <v>-4</v>
      </c>
      <c r="V1126" s="9">
        <f t="shared" si="245"/>
        <v>5</v>
      </c>
      <c r="W1126" s="9">
        <f t="shared" si="245"/>
        <v>1</v>
      </c>
      <c r="X1126" s="9">
        <f t="shared" si="245"/>
        <v>5</v>
      </c>
      <c r="Y1126" s="9">
        <f t="shared" si="245"/>
        <v>1</v>
      </c>
      <c r="Z1126" s="9">
        <f t="shared" si="245"/>
        <v>4</v>
      </c>
      <c r="AA1126" s="9">
        <f t="shared" si="244"/>
        <v>0</v>
      </c>
      <c r="AB1126" s="9">
        <f t="shared" si="244"/>
        <v>4</v>
      </c>
      <c r="AC1126" s="9">
        <f t="shared" si="244"/>
        <v>4</v>
      </c>
      <c r="AD1126" s="9">
        <f t="shared" si="244"/>
        <v>0</v>
      </c>
      <c r="AE1126" s="9">
        <f t="shared" si="244"/>
        <v>4</v>
      </c>
    </row>
    <row r="1127" spans="2:31" x14ac:dyDescent="0.25">
      <c r="B1127" s="6">
        <v>18</v>
      </c>
      <c r="C1127" s="6">
        <v>17</v>
      </c>
      <c r="D1127" s="6">
        <v>10</v>
      </c>
      <c r="E1127" s="6">
        <v>15</v>
      </c>
      <c r="F1127" s="6">
        <v>18</v>
      </c>
      <c r="L1127">
        <f t="shared" si="246"/>
        <v>1</v>
      </c>
      <c r="M1127">
        <f t="shared" si="247"/>
        <v>8</v>
      </c>
      <c r="N1127">
        <f t="shared" si="248"/>
        <v>3</v>
      </c>
      <c r="O1127">
        <f t="shared" si="249"/>
        <v>0</v>
      </c>
      <c r="P1127">
        <f t="shared" si="250"/>
        <v>7</v>
      </c>
      <c r="Q1127">
        <f t="shared" si="251"/>
        <v>2</v>
      </c>
      <c r="R1127">
        <f t="shared" si="252"/>
        <v>-1</v>
      </c>
      <c r="S1127">
        <f t="shared" si="253"/>
        <v>-5</v>
      </c>
      <c r="T1127">
        <f t="shared" si="254"/>
        <v>-8</v>
      </c>
      <c r="U1127">
        <f t="shared" si="255"/>
        <v>-3</v>
      </c>
      <c r="V1127" s="9">
        <f t="shared" si="245"/>
        <v>1</v>
      </c>
      <c r="W1127" s="9">
        <f t="shared" si="245"/>
        <v>8</v>
      </c>
      <c r="X1127" s="9">
        <f t="shared" si="245"/>
        <v>3</v>
      </c>
      <c r="Y1127" s="9">
        <f t="shared" si="245"/>
        <v>0</v>
      </c>
      <c r="Z1127" s="9">
        <f t="shared" si="245"/>
        <v>7</v>
      </c>
      <c r="AA1127" s="9">
        <f t="shared" si="244"/>
        <v>2</v>
      </c>
      <c r="AB1127" s="9">
        <f t="shared" si="244"/>
        <v>1</v>
      </c>
      <c r="AC1127" s="9">
        <f t="shared" si="244"/>
        <v>5</v>
      </c>
      <c r="AD1127" s="9">
        <f t="shared" si="244"/>
        <v>8</v>
      </c>
      <c r="AE1127" s="9">
        <f t="shared" si="244"/>
        <v>3</v>
      </c>
    </row>
    <row r="1128" spans="2:31" x14ac:dyDescent="0.25">
      <c r="B1128" s="6">
        <v>10</v>
      </c>
      <c r="C1128" s="6">
        <v>10</v>
      </c>
      <c r="D1128" s="6">
        <v>15</v>
      </c>
      <c r="E1128" s="6">
        <v>8</v>
      </c>
      <c r="F1128" s="6">
        <v>9</v>
      </c>
      <c r="L1128">
        <f t="shared" si="246"/>
        <v>0</v>
      </c>
      <c r="M1128">
        <f t="shared" si="247"/>
        <v>-5</v>
      </c>
      <c r="N1128">
        <f t="shared" si="248"/>
        <v>2</v>
      </c>
      <c r="O1128">
        <f t="shared" si="249"/>
        <v>1</v>
      </c>
      <c r="P1128">
        <f t="shared" si="250"/>
        <v>-5</v>
      </c>
      <c r="Q1128">
        <f t="shared" si="251"/>
        <v>2</v>
      </c>
      <c r="R1128">
        <f t="shared" si="252"/>
        <v>1</v>
      </c>
      <c r="S1128">
        <f t="shared" si="253"/>
        <v>7</v>
      </c>
      <c r="T1128">
        <f t="shared" si="254"/>
        <v>6</v>
      </c>
      <c r="U1128">
        <f t="shared" si="255"/>
        <v>-1</v>
      </c>
      <c r="V1128" s="9">
        <f t="shared" si="245"/>
        <v>0</v>
      </c>
      <c r="W1128" s="9">
        <f t="shared" si="245"/>
        <v>5</v>
      </c>
      <c r="X1128" s="9">
        <f t="shared" si="245"/>
        <v>2</v>
      </c>
      <c r="Y1128" s="9">
        <f t="shared" si="245"/>
        <v>1</v>
      </c>
      <c r="Z1128" s="9">
        <f t="shared" si="245"/>
        <v>5</v>
      </c>
      <c r="AA1128" s="9">
        <f t="shared" si="244"/>
        <v>2</v>
      </c>
      <c r="AB1128" s="9">
        <f t="shared" si="244"/>
        <v>1</v>
      </c>
      <c r="AC1128" s="9">
        <f t="shared" si="244"/>
        <v>7</v>
      </c>
      <c r="AD1128" s="9">
        <f t="shared" si="244"/>
        <v>6</v>
      </c>
      <c r="AE1128" s="9">
        <f t="shared" si="244"/>
        <v>1</v>
      </c>
    </row>
    <row r="1129" spans="2:31" x14ac:dyDescent="0.25">
      <c r="B1129" s="6">
        <v>14</v>
      </c>
      <c r="C1129" s="6">
        <v>10</v>
      </c>
      <c r="D1129" s="6">
        <v>13</v>
      </c>
      <c r="E1129" s="6">
        <v>4</v>
      </c>
      <c r="F1129" s="6">
        <v>7</v>
      </c>
      <c r="L1129">
        <f t="shared" si="246"/>
        <v>4</v>
      </c>
      <c r="M1129">
        <f t="shared" si="247"/>
        <v>1</v>
      </c>
      <c r="N1129">
        <f t="shared" si="248"/>
        <v>10</v>
      </c>
      <c r="O1129">
        <f t="shared" si="249"/>
        <v>7</v>
      </c>
      <c r="P1129">
        <f t="shared" si="250"/>
        <v>-3</v>
      </c>
      <c r="Q1129">
        <f t="shared" si="251"/>
        <v>6</v>
      </c>
      <c r="R1129">
        <f t="shared" si="252"/>
        <v>3</v>
      </c>
      <c r="S1129">
        <f t="shared" si="253"/>
        <v>9</v>
      </c>
      <c r="T1129">
        <f t="shared" si="254"/>
        <v>6</v>
      </c>
      <c r="U1129">
        <f t="shared" si="255"/>
        <v>-3</v>
      </c>
      <c r="V1129" s="9">
        <f t="shared" si="245"/>
        <v>4</v>
      </c>
      <c r="W1129" s="9">
        <f t="shared" si="245"/>
        <v>1</v>
      </c>
      <c r="X1129" s="9">
        <f t="shared" si="245"/>
        <v>10</v>
      </c>
      <c r="Y1129" s="9">
        <f t="shared" si="245"/>
        <v>7</v>
      </c>
      <c r="Z1129" s="9">
        <f t="shared" si="245"/>
        <v>3</v>
      </c>
      <c r="AA1129" s="9">
        <f t="shared" si="244"/>
        <v>6</v>
      </c>
      <c r="AB1129" s="9">
        <f t="shared" si="244"/>
        <v>3</v>
      </c>
      <c r="AC1129" s="9">
        <f t="shared" si="244"/>
        <v>9</v>
      </c>
      <c r="AD1129" s="9">
        <f t="shared" si="244"/>
        <v>6</v>
      </c>
      <c r="AE1129" s="9">
        <f t="shared" si="244"/>
        <v>3</v>
      </c>
    </row>
    <row r="1130" spans="2:31" x14ac:dyDescent="0.25">
      <c r="B1130" s="6">
        <v>8</v>
      </c>
      <c r="C1130" s="6">
        <v>5</v>
      </c>
      <c r="D1130" s="6">
        <v>10</v>
      </c>
      <c r="E1130" s="6">
        <v>7</v>
      </c>
      <c r="F1130" s="6">
        <v>5</v>
      </c>
      <c r="L1130">
        <f t="shared" si="246"/>
        <v>3</v>
      </c>
      <c r="M1130">
        <f t="shared" si="247"/>
        <v>-2</v>
      </c>
      <c r="N1130">
        <f t="shared" si="248"/>
        <v>1</v>
      </c>
      <c r="O1130">
        <f t="shared" si="249"/>
        <v>3</v>
      </c>
      <c r="P1130">
        <f t="shared" si="250"/>
        <v>-5</v>
      </c>
      <c r="Q1130">
        <f t="shared" si="251"/>
        <v>-2</v>
      </c>
      <c r="R1130">
        <f t="shared" si="252"/>
        <v>0</v>
      </c>
      <c r="S1130">
        <f t="shared" si="253"/>
        <v>3</v>
      </c>
      <c r="T1130">
        <f t="shared" si="254"/>
        <v>5</v>
      </c>
      <c r="U1130">
        <f t="shared" si="255"/>
        <v>2</v>
      </c>
      <c r="V1130" s="9">
        <f t="shared" si="245"/>
        <v>3</v>
      </c>
      <c r="W1130" s="9">
        <f t="shared" si="245"/>
        <v>2</v>
      </c>
      <c r="X1130" s="9">
        <f t="shared" si="245"/>
        <v>1</v>
      </c>
      <c r="Y1130" s="9">
        <f t="shared" si="245"/>
        <v>3</v>
      </c>
      <c r="Z1130" s="9">
        <f t="shared" si="245"/>
        <v>5</v>
      </c>
      <c r="AA1130" s="9">
        <f t="shared" si="244"/>
        <v>2</v>
      </c>
      <c r="AB1130" s="9">
        <f t="shared" si="244"/>
        <v>0</v>
      </c>
      <c r="AC1130" s="9">
        <f t="shared" si="244"/>
        <v>3</v>
      </c>
      <c r="AD1130" s="9">
        <f t="shared" si="244"/>
        <v>5</v>
      </c>
      <c r="AE1130" s="9">
        <f t="shared" si="244"/>
        <v>2</v>
      </c>
    </row>
    <row r="1131" spans="2:31" x14ac:dyDescent="0.25">
      <c r="B1131" s="6">
        <v>4</v>
      </c>
      <c r="C1131" s="6">
        <v>3</v>
      </c>
      <c r="D1131" s="6">
        <v>5</v>
      </c>
      <c r="E1131" s="6">
        <v>4</v>
      </c>
      <c r="F1131" s="6">
        <v>4</v>
      </c>
      <c r="L1131">
        <f t="shared" si="246"/>
        <v>1</v>
      </c>
      <c r="M1131">
        <f t="shared" si="247"/>
        <v>-1</v>
      </c>
      <c r="N1131">
        <f t="shared" si="248"/>
        <v>0</v>
      </c>
      <c r="O1131">
        <f t="shared" si="249"/>
        <v>0</v>
      </c>
      <c r="P1131">
        <f t="shared" si="250"/>
        <v>-2</v>
      </c>
      <c r="Q1131">
        <f t="shared" si="251"/>
        <v>-1</v>
      </c>
      <c r="R1131">
        <f t="shared" si="252"/>
        <v>-1</v>
      </c>
      <c r="S1131">
        <f t="shared" si="253"/>
        <v>1</v>
      </c>
      <c r="T1131">
        <f t="shared" si="254"/>
        <v>1</v>
      </c>
      <c r="U1131">
        <f t="shared" si="255"/>
        <v>0</v>
      </c>
      <c r="V1131" s="9">
        <f t="shared" si="245"/>
        <v>1</v>
      </c>
      <c r="W1131" s="9">
        <f t="shared" si="245"/>
        <v>1</v>
      </c>
      <c r="X1131" s="9">
        <f t="shared" si="245"/>
        <v>0</v>
      </c>
      <c r="Y1131" s="9">
        <f t="shared" si="245"/>
        <v>0</v>
      </c>
      <c r="Z1131" s="9">
        <f t="shared" si="245"/>
        <v>2</v>
      </c>
      <c r="AA1131" s="9">
        <f t="shared" si="244"/>
        <v>1</v>
      </c>
      <c r="AB1131" s="9">
        <f t="shared" si="244"/>
        <v>1</v>
      </c>
      <c r="AC1131" s="9">
        <f t="shared" si="244"/>
        <v>1</v>
      </c>
      <c r="AD1131" s="9">
        <f t="shared" si="244"/>
        <v>1</v>
      </c>
      <c r="AE1131" s="9">
        <f t="shared" si="244"/>
        <v>0</v>
      </c>
    </row>
    <row r="1132" spans="2:31" x14ac:dyDescent="0.25">
      <c r="B1132" s="6">
        <v>3</v>
      </c>
      <c r="C1132" s="6">
        <v>3</v>
      </c>
      <c r="D1132" s="6">
        <v>4</v>
      </c>
      <c r="E1132" s="6">
        <v>4</v>
      </c>
      <c r="F1132" s="6">
        <v>4</v>
      </c>
      <c r="L1132">
        <f t="shared" si="246"/>
        <v>0</v>
      </c>
      <c r="M1132">
        <f t="shared" si="247"/>
        <v>-1</v>
      </c>
      <c r="N1132">
        <f t="shared" si="248"/>
        <v>-1</v>
      </c>
      <c r="O1132">
        <f t="shared" si="249"/>
        <v>-1</v>
      </c>
      <c r="P1132">
        <f t="shared" si="250"/>
        <v>-1</v>
      </c>
      <c r="Q1132">
        <f t="shared" si="251"/>
        <v>-1</v>
      </c>
      <c r="R1132">
        <f t="shared" si="252"/>
        <v>-1</v>
      </c>
      <c r="S1132">
        <f t="shared" si="253"/>
        <v>0</v>
      </c>
      <c r="T1132">
        <f t="shared" si="254"/>
        <v>0</v>
      </c>
      <c r="U1132">
        <f t="shared" si="255"/>
        <v>0</v>
      </c>
      <c r="V1132" s="9">
        <f t="shared" si="245"/>
        <v>0</v>
      </c>
      <c r="W1132" s="9">
        <f t="shared" si="245"/>
        <v>1</v>
      </c>
      <c r="X1132" s="9">
        <f t="shared" si="245"/>
        <v>1</v>
      </c>
      <c r="Y1132" s="9">
        <f t="shared" si="245"/>
        <v>1</v>
      </c>
      <c r="Z1132" s="9">
        <f t="shared" si="245"/>
        <v>1</v>
      </c>
      <c r="AA1132" s="9">
        <f t="shared" si="244"/>
        <v>1</v>
      </c>
      <c r="AB1132" s="9">
        <f t="shared" si="244"/>
        <v>1</v>
      </c>
      <c r="AC1132" s="9">
        <f t="shared" si="244"/>
        <v>0</v>
      </c>
      <c r="AD1132" s="9">
        <f t="shared" si="244"/>
        <v>0</v>
      </c>
      <c r="AE1132" s="9">
        <f t="shared" si="244"/>
        <v>0</v>
      </c>
    </row>
    <row r="1133" spans="2:31" x14ac:dyDescent="0.25">
      <c r="B1133" s="6">
        <v>1</v>
      </c>
      <c r="C1133" s="6">
        <v>0</v>
      </c>
      <c r="D1133" s="6">
        <v>2</v>
      </c>
      <c r="E1133" s="6">
        <v>2</v>
      </c>
      <c r="F1133" s="6">
        <v>1</v>
      </c>
      <c r="L1133">
        <f t="shared" si="246"/>
        <v>1</v>
      </c>
      <c r="M1133">
        <f t="shared" si="247"/>
        <v>-1</v>
      </c>
      <c r="N1133">
        <f t="shared" si="248"/>
        <v>-1</v>
      </c>
      <c r="O1133">
        <f t="shared" si="249"/>
        <v>0</v>
      </c>
      <c r="P1133">
        <f t="shared" si="250"/>
        <v>-2</v>
      </c>
      <c r="Q1133">
        <f t="shared" si="251"/>
        <v>-2</v>
      </c>
      <c r="R1133">
        <f t="shared" si="252"/>
        <v>-1</v>
      </c>
      <c r="S1133">
        <f t="shared" si="253"/>
        <v>0</v>
      </c>
      <c r="T1133">
        <f t="shared" si="254"/>
        <v>1</v>
      </c>
      <c r="U1133">
        <f t="shared" si="255"/>
        <v>1</v>
      </c>
      <c r="V1133" s="9">
        <f t="shared" si="245"/>
        <v>1</v>
      </c>
      <c r="W1133" s="9">
        <f t="shared" si="245"/>
        <v>1</v>
      </c>
      <c r="X1133" s="9">
        <f t="shared" si="245"/>
        <v>1</v>
      </c>
      <c r="Y1133" s="9">
        <f t="shared" si="245"/>
        <v>0</v>
      </c>
      <c r="Z1133" s="9">
        <f t="shared" si="245"/>
        <v>2</v>
      </c>
      <c r="AA1133" s="9">
        <f t="shared" si="244"/>
        <v>2</v>
      </c>
      <c r="AB1133" s="9">
        <f t="shared" si="244"/>
        <v>1</v>
      </c>
      <c r="AC1133" s="9">
        <f t="shared" si="244"/>
        <v>0</v>
      </c>
      <c r="AD1133" s="9">
        <f t="shared" si="244"/>
        <v>1</v>
      </c>
      <c r="AE1133" s="9">
        <f t="shared" si="244"/>
        <v>1</v>
      </c>
    </row>
    <row r="1134" spans="2:31" x14ac:dyDescent="0.25">
      <c r="B1134" s="6">
        <v>0</v>
      </c>
      <c r="C1134" s="6">
        <v>0</v>
      </c>
      <c r="D1134" s="6">
        <v>0</v>
      </c>
      <c r="E1134" s="6">
        <v>0</v>
      </c>
      <c r="F1134" s="6">
        <v>0</v>
      </c>
      <c r="L1134">
        <f t="shared" si="246"/>
        <v>0</v>
      </c>
      <c r="M1134">
        <f t="shared" si="247"/>
        <v>0</v>
      </c>
      <c r="N1134">
        <f t="shared" si="248"/>
        <v>0</v>
      </c>
      <c r="O1134">
        <f t="shared" si="249"/>
        <v>0</v>
      </c>
      <c r="P1134">
        <f t="shared" si="250"/>
        <v>0</v>
      </c>
      <c r="Q1134">
        <f t="shared" si="251"/>
        <v>0</v>
      </c>
      <c r="R1134">
        <f t="shared" si="252"/>
        <v>0</v>
      </c>
      <c r="S1134">
        <f t="shared" si="253"/>
        <v>0</v>
      </c>
      <c r="T1134">
        <f t="shared" si="254"/>
        <v>0</v>
      </c>
      <c r="U1134">
        <f t="shared" si="255"/>
        <v>0</v>
      </c>
      <c r="V1134" s="9">
        <f t="shared" si="245"/>
        <v>0</v>
      </c>
      <c r="W1134" s="9">
        <f t="shared" si="245"/>
        <v>0</v>
      </c>
      <c r="X1134" s="9">
        <f t="shared" si="245"/>
        <v>0</v>
      </c>
      <c r="Y1134" s="9">
        <f t="shared" si="245"/>
        <v>0</v>
      </c>
      <c r="Z1134" s="9">
        <f t="shared" si="245"/>
        <v>0</v>
      </c>
      <c r="AA1134" s="9">
        <f t="shared" si="244"/>
        <v>0</v>
      </c>
      <c r="AB1134" s="9">
        <f t="shared" si="244"/>
        <v>0</v>
      </c>
      <c r="AC1134" s="9">
        <f t="shared" si="244"/>
        <v>0</v>
      </c>
      <c r="AD1134" s="9">
        <f t="shared" si="244"/>
        <v>0</v>
      </c>
      <c r="AE1134" s="9">
        <f t="shared" si="244"/>
        <v>0</v>
      </c>
    </row>
    <row r="1135" spans="2:31" x14ac:dyDescent="0.25">
      <c r="B1135" s="6">
        <v>0</v>
      </c>
      <c r="C1135" s="6">
        <v>0</v>
      </c>
      <c r="D1135" s="6">
        <v>0</v>
      </c>
      <c r="E1135" s="6">
        <v>0</v>
      </c>
      <c r="F1135" s="6">
        <v>0</v>
      </c>
      <c r="L1135">
        <f t="shared" si="246"/>
        <v>0</v>
      </c>
      <c r="M1135">
        <f t="shared" si="247"/>
        <v>0</v>
      </c>
      <c r="N1135">
        <f t="shared" si="248"/>
        <v>0</v>
      </c>
      <c r="O1135">
        <f t="shared" si="249"/>
        <v>0</v>
      </c>
      <c r="P1135">
        <f t="shared" si="250"/>
        <v>0</v>
      </c>
      <c r="Q1135">
        <f t="shared" si="251"/>
        <v>0</v>
      </c>
      <c r="R1135">
        <f t="shared" si="252"/>
        <v>0</v>
      </c>
      <c r="S1135">
        <f t="shared" si="253"/>
        <v>0</v>
      </c>
      <c r="T1135">
        <f t="shared" si="254"/>
        <v>0</v>
      </c>
      <c r="U1135">
        <f t="shared" si="255"/>
        <v>0</v>
      </c>
      <c r="V1135" s="9">
        <f t="shared" si="245"/>
        <v>0</v>
      </c>
      <c r="W1135" s="9">
        <f t="shared" si="245"/>
        <v>0</v>
      </c>
      <c r="X1135" s="9">
        <f t="shared" si="245"/>
        <v>0</v>
      </c>
      <c r="Y1135" s="9">
        <f t="shared" si="245"/>
        <v>0</v>
      </c>
      <c r="Z1135" s="9">
        <f t="shared" si="245"/>
        <v>0</v>
      </c>
      <c r="AA1135" s="9">
        <f t="shared" si="244"/>
        <v>0</v>
      </c>
      <c r="AB1135" s="9">
        <f t="shared" si="244"/>
        <v>0</v>
      </c>
      <c r="AC1135" s="9">
        <f t="shared" si="244"/>
        <v>0</v>
      </c>
      <c r="AD1135" s="9">
        <f t="shared" si="244"/>
        <v>0</v>
      </c>
      <c r="AE1135" s="9">
        <f t="shared" si="244"/>
        <v>0</v>
      </c>
    </row>
    <row r="1136" spans="2:31" x14ac:dyDescent="0.25">
      <c r="B1136" s="6">
        <v>0</v>
      </c>
      <c r="C1136" s="6">
        <v>0</v>
      </c>
      <c r="D1136" s="6">
        <v>0</v>
      </c>
      <c r="E1136" s="6">
        <v>0</v>
      </c>
      <c r="F1136" s="6">
        <v>0</v>
      </c>
      <c r="L1136">
        <f t="shared" si="246"/>
        <v>0</v>
      </c>
      <c r="M1136">
        <f t="shared" si="247"/>
        <v>0</v>
      </c>
      <c r="N1136">
        <f t="shared" si="248"/>
        <v>0</v>
      </c>
      <c r="O1136">
        <f t="shared" si="249"/>
        <v>0</v>
      </c>
      <c r="P1136">
        <f t="shared" si="250"/>
        <v>0</v>
      </c>
      <c r="Q1136">
        <f t="shared" si="251"/>
        <v>0</v>
      </c>
      <c r="R1136">
        <f t="shared" si="252"/>
        <v>0</v>
      </c>
      <c r="S1136">
        <f t="shared" si="253"/>
        <v>0</v>
      </c>
      <c r="T1136">
        <f t="shared" si="254"/>
        <v>0</v>
      </c>
      <c r="U1136">
        <f t="shared" si="255"/>
        <v>0</v>
      </c>
      <c r="V1136" s="9">
        <f t="shared" si="245"/>
        <v>0</v>
      </c>
      <c r="W1136" s="9">
        <f t="shared" si="245"/>
        <v>0</v>
      </c>
      <c r="X1136" s="9">
        <f t="shared" si="245"/>
        <v>0</v>
      </c>
      <c r="Y1136" s="9">
        <f t="shared" si="245"/>
        <v>0</v>
      </c>
      <c r="Z1136" s="9">
        <f t="shared" si="245"/>
        <v>0</v>
      </c>
      <c r="AA1136" s="9">
        <f t="shared" si="244"/>
        <v>0</v>
      </c>
      <c r="AB1136" s="9">
        <f t="shared" si="244"/>
        <v>0</v>
      </c>
      <c r="AC1136" s="9">
        <f t="shared" si="244"/>
        <v>0</v>
      </c>
      <c r="AD1136" s="9">
        <f t="shared" si="244"/>
        <v>0</v>
      </c>
      <c r="AE1136" s="9">
        <f t="shared" si="244"/>
        <v>0</v>
      </c>
    </row>
    <row r="1137" spans="2:31" x14ac:dyDescent="0.25">
      <c r="B1137" s="6">
        <v>0</v>
      </c>
      <c r="C1137" s="6">
        <v>0</v>
      </c>
      <c r="D1137" s="6">
        <v>0</v>
      </c>
      <c r="E1137" s="6">
        <v>0</v>
      </c>
      <c r="F1137" s="6">
        <v>0</v>
      </c>
      <c r="L1137">
        <f t="shared" si="246"/>
        <v>0</v>
      </c>
      <c r="M1137">
        <f t="shared" si="247"/>
        <v>0</v>
      </c>
      <c r="N1137">
        <f t="shared" si="248"/>
        <v>0</v>
      </c>
      <c r="O1137">
        <f t="shared" si="249"/>
        <v>0</v>
      </c>
      <c r="P1137">
        <f t="shared" si="250"/>
        <v>0</v>
      </c>
      <c r="Q1137">
        <f t="shared" si="251"/>
        <v>0</v>
      </c>
      <c r="R1137">
        <f t="shared" si="252"/>
        <v>0</v>
      </c>
      <c r="S1137">
        <f t="shared" si="253"/>
        <v>0</v>
      </c>
      <c r="T1137">
        <f t="shared" si="254"/>
        <v>0</v>
      </c>
      <c r="U1137">
        <f t="shared" si="255"/>
        <v>0</v>
      </c>
      <c r="V1137" s="9">
        <f t="shared" si="245"/>
        <v>0</v>
      </c>
      <c r="W1137" s="9">
        <f t="shared" si="245"/>
        <v>0</v>
      </c>
      <c r="X1137" s="9">
        <f t="shared" si="245"/>
        <v>0</v>
      </c>
      <c r="Y1137" s="9">
        <f t="shared" si="245"/>
        <v>0</v>
      </c>
      <c r="Z1137" s="9">
        <f t="shared" si="245"/>
        <v>0</v>
      </c>
      <c r="AA1137" s="9">
        <f t="shared" ref="AA1137:AE1187" si="256">IF(Q1137&gt;=0,Q1137,-Q1137)</f>
        <v>0</v>
      </c>
      <c r="AB1137" s="9">
        <f t="shared" si="256"/>
        <v>0</v>
      </c>
      <c r="AC1137" s="9">
        <f t="shared" si="256"/>
        <v>0</v>
      </c>
      <c r="AD1137" s="9">
        <f t="shared" si="256"/>
        <v>0</v>
      </c>
      <c r="AE1137" s="9">
        <f t="shared" si="256"/>
        <v>0</v>
      </c>
    </row>
    <row r="1138" spans="2:31" x14ac:dyDescent="0.25">
      <c r="B1138" s="6">
        <v>0</v>
      </c>
      <c r="C1138" s="6">
        <v>0</v>
      </c>
      <c r="D1138" s="6">
        <v>0</v>
      </c>
      <c r="E1138" s="6">
        <v>0</v>
      </c>
      <c r="F1138" s="6">
        <v>0</v>
      </c>
      <c r="L1138">
        <f t="shared" si="246"/>
        <v>0</v>
      </c>
      <c r="M1138">
        <f t="shared" si="247"/>
        <v>0</v>
      </c>
      <c r="N1138">
        <f t="shared" si="248"/>
        <v>0</v>
      </c>
      <c r="O1138">
        <f t="shared" si="249"/>
        <v>0</v>
      </c>
      <c r="P1138">
        <f t="shared" si="250"/>
        <v>0</v>
      </c>
      <c r="Q1138">
        <f t="shared" si="251"/>
        <v>0</v>
      </c>
      <c r="R1138">
        <f t="shared" si="252"/>
        <v>0</v>
      </c>
      <c r="S1138">
        <f t="shared" si="253"/>
        <v>0</v>
      </c>
      <c r="T1138">
        <f t="shared" si="254"/>
        <v>0</v>
      </c>
      <c r="U1138">
        <f t="shared" si="255"/>
        <v>0</v>
      </c>
      <c r="V1138" s="9">
        <f t="shared" ref="V1138:Z1188" si="257">IF(L1138&gt;=0,L1138,-L1138)</f>
        <v>0</v>
      </c>
      <c r="W1138" s="9">
        <f t="shared" si="257"/>
        <v>0</v>
      </c>
      <c r="X1138" s="9">
        <f t="shared" si="257"/>
        <v>0</v>
      </c>
      <c r="Y1138" s="9">
        <f t="shared" si="257"/>
        <v>0</v>
      </c>
      <c r="Z1138" s="9">
        <f t="shared" si="257"/>
        <v>0</v>
      </c>
      <c r="AA1138" s="9">
        <f t="shared" si="256"/>
        <v>0</v>
      </c>
      <c r="AB1138" s="9">
        <f t="shared" si="256"/>
        <v>0</v>
      </c>
      <c r="AC1138" s="9">
        <f t="shared" si="256"/>
        <v>0</v>
      </c>
      <c r="AD1138" s="9">
        <f t="shared" si="256"/>
        <v>0</v>
      </c>
      <c r="AE1138" s="9">
        <f t="shared" si="256"/>
        <v>0</v>
      </c>
    </row>
    <row r="1139" spans="2:31" x14ac:dyDescent="0.25">
      <c r="B1139" s="6">
        <v>0</v>
      </c>
      <c r="C1139" s="6">
        <v>0</v>
      </c>
      <c r="D1139" s="6">
        <v>0</v>
      </c>
      <c r="E1139" s="6">
        <v>0</v>
      </c>
      <c r="F1139" s="6">
        <v>0</v>
      </c>
      <c r="L1139">
        <f t="shared" si="246"/>
        <v>0</v>
      </c>
      <c r="M1139">
        <f t="shared" si="247"/>
        <v>0</v>
      </c>
      <c r="N1139">
        <f t="shared" si="248"/>
        <v>0</v>
      </c>
      <c r="O1139">
        <f t="shared" si="249"/>
        <v>0</v>
      </c>
      <c r="P1139">
        <f t="shared" si="250"/>
        <v>0</v>
      </c>
      <c r="Q1139">
        <f t="shared" si="251"/>
        <v>0</v>
      </c>
      <c r="R1139">
        <f t="shared" si="252"/>
        <v>0</v>
      </c>
      <c r="S1139">
        <f t="shared" si="253"/>
        <v>0</v>
      </c>
      <c r="T1139">
        <f t="shared" si="254"/>
        <v>0</v>
      </c>
      <c r="U1139">
        <f t="shared" si="255"/>
        <v>0</v>
      </c>
      <c r="V1139" s="9">
        <f t="shared" si="257"/>
        <v>0</v>
      </c>
      <c r="W1139" s="9">
        <f t="shared" si="257"/>
        <v>0</v>
      </c>
      <c r="X1139" s="9">
        <f t="shared" si="257"/>
        <v>0</v>
      </c>
      <c r="Y1139" s="9">
        <f t="shared" si="257"/>
        <v>0</v>
      </c>
      <c r="Z1139" s="9">
        <f t="shared" si="257"/>
        <v>0</v>
      </c>
      <c r="AA1139" s="9">
        <f t="shared" si="256"/>
        <v>0</v>
      </c>
      <c r="AB1139" s="9">
        <f t="shared" si="256"/>
        <v>0</v>
      </c>
      <c r="AC1139" s="9">
        <f t="shared" si="256"/>
        <v>0</v>
      </c>
      <c r="AD1139" s="9">
        <f t="shared" si="256"/>
        <v>0</v>
      </c>
      <c r="AE1139" s="9">
        <f t="shared" si="256"/>
        <v>0</v>
      </c>
    </row>
    <row r="1140" spans="2:31" x14ac:dyDescent="0.25">
      <c r="B1140" s="6">
        <v>0</v>
      </c>
      <c r="C1140" s="6">
        <v>0</v>
      </c>
      <c r="D1140" s="6">
        <v>0</v>
      </c>
      <c r="E1140" s="6">
        <v>0</v>
      </c>
      <c r="F1140" s="6">
        <v>0</v>
      </c>
      <c r="L1140">
        <f t="shared" si="246"/>
        <v>0</v>
      </c>
      <c r="M1140">
        <f t="shared" si="247"/>
        <v>0</v>
      </c>
      <c r="N1140">
        <f t="shared" si="248"/>
        <v>0</v>
      </c>
      <c r="O1140">
        <f t="shared" si="249"/>
        <v>0</v>
      </c>
      <c r="P1140">
        <f t="shared" si="250"/>
        <v>0</v>
      </c>
      <c r="Q1140">
        <f t="shared" si="251"/>
        <v>0</v>
      </c>
      <c r="R1140">
        <f t="shared" si="252"/>
        <v>0</v>
      </c>
      <c r="S1140">
        <f t="shared" si="253"/>
        <v>0</v>
      </c>
      <c r="T1140">
        <f t="shared" si="254"/>
        <v>0</v>
      </c>
      <c r="U1140">
        <f t="shared" si="255"/>
        <v>0</v>
      </c>
      <c r="V1140" s="9">
        <f t="shared" si="257"/>
        <v>0</v>
      </c>
      <c r="W1140" s="9">
        <f t="shared" si="257"/>
        <v>0</v>
      </c>
      <c r="X1140" s="9">
        <f t="shared" si="257"/>
        <v>0</v>
      </c>
      <c r="Y1140" s="9">
        <f t="shared" si="257"/>
        <v>0</v>
      </c>
      <c r="Z1140" s="9">
        <f t="shared" si="257"/>
        <v>0</v>
      </c>
      <c r="AA1140" s="9">
        <f t="shared" si="256"/>
        <v>0</v>
      </c>
      <c r="AB1140" s="9">
        <f t="shared" si="256"/>
        <v>0</v>
      </c>
      <c r="AC1140" s="9">
        <f t="shared" si="256"/>
        <v>0</v>
      </c>
      <c r="AD1140" s="9">
        <f t="shared" si="256"/>
        <v>0</v>
      </c>
      <c r="AE1140" s="9">
        <f t="shared" si="256"/>
        <v>0</v>
      </c>
    </row>
    <row r="1141" spans="2:31" x14ac:dyDescent="0.25">
      <c r="B1141" s="7">
        <v>0</v>
      </c>
      <c r="C1141" s="7">
        <v>0</v>
      </c>
      <c r="D1141" s="6">
        <v>0</v>
      </c>
      <c r="E1141" s="6">
        <v>0</v>
      </c>
      <c r="F1141" s="6">
        <v>0</v>
      </c>
      <c r="L1141">
        <f t="shared" si="246"/>
        <v>0</v>
      </c>
      <c r="M1141">
        <f t="shared" si="247"/>
        <v>0</v>
      </c>
      <c r="N1141">
        <f t="shared" si="248"/>
        <v>0</v>
      </c>
      <c r="O1141">
        <f t="shared" si="249"/>
        <v>0</v>
      </c>
      <c r="P1141">
        <f t="shared" si="250"/>
        <v>0</v>
      </c>
      <c r="Q1141">
        <f t="shared" si="251"/>
        <v>0</v>
      </c>
      <c r="R1141">
        <f t="shared" si="252"/>
        <v>0</v>
      </c>
      <c r="S1141">
        <f t="shared" si="253"/>
        <v>0</v>
      </c>
      <c r="T1141">
        <f t="shared" si="254"/>
        <v>0</v>
      </c>
      <c r="U1141">
        <f t="shared" si="255"/>
        <v>0</v>
      </c>
      <c r="V1141" s="9">
        <f t="shared" si="257"/>
        <v>0</v>
      </c>
      <c r="W1141" s="9">
        <f t="shared" si="257"/>
        <v>0</v>
      </c>
      <c r="X1141" s="9">
        <f t="shared" si="257"/>
        <v>0</v>
      </c>
      <c r="Y1141" s="9">
        <f t="shared" si="257"/>
        <v>0</v>
      </c>
      <c r="Z1141" s="9">
        <f t="shared" si="257"/>
        <v>0</v>
      </c>
      <c r="AA1141" s="9">
        <f t="shared" si="256"/>
        <v>0</v>
      </c>
      <c r="AB1141" s="9">
        <f t="shared" si="256"/>
        <v>0</v>
      </c>
      <c r="AC1141" s="9">
        <f t="shared" si="256"/>
        <v>0</v>
      </c>
      <c r="AD1141" s="9">
        <f t="shared" si="256"/>
        <v>0</v>
      </c>
      <c r="AE1141" s="9">
        <f t="shared" si="256"/>
        <v>0</v>
      </c>
    </row>
    <row r="1142" spans="2:31" x14ac:dyDescent="0.25">
      <c r="B1142" s="6">
        <v>0</v>
      </c>
      <c r="C1142" s="6">
        <v>0</v>
      </c>
      <c r="D1142" s="6">
        <v>0</v>
      </c>
      <c r="E1142" s="6">
        <v>0</v>
      </c>
      <c r="F1142" s="6">
        <v>0</v>
      </c>
      <c r="L1142">
        <f t="shared" si="246"/>
        <v>0</v>
      </c>
      <c r="M1142">
        <f t="shared" si="247"/>
        <v>0</v>
      </c>
      <c r="N1142">
        <f t="shared" si="248"/>
        <v>0</v>
      </c>
      <c r="O1142">
        <f t="shared" si="249"/>
        <v>0</v>
      </c>
      <c r="P1142">
        <f t="shared" si="250"/>
        <v>0</v>
      </c>
      <c r="Q1142">
        <f t="shared" si="251"/>
        <v>0</v>
      </c>
      <c r="R1142">
        <f t="shared" si="252"/>
        <v>0</v>
      </c>
      <c r="S1142">
        <f t="shared" si="253"/>
        <v>0</v>
      </c>
      <c r="T1142">
        <f t="shared" si="254"/>
        <v>0</v>
      </c>
      <c r="U1142">
        <f t="shared" si="255"/>
        <v>0</v>
      </c>
      <c r="V1142" s="9">
        <f t="shared" si="257"/>
        <v>0</v>
      </c>
      <c r="W1142" s="9">
        <f t="shared" si="257"/>
        <v>0</v>
      </c>
      <c r="X1142" s="9">
        <f t="shared" si="257"/>
        <v>0</v>
      </c>
      <c r="Y1142" s="9">
        <f t="shared" si="257"/>
        <v>0</v>
      </c>
      <c r="Z1142" s="9">
        <f t="shared" si="257"/>
        <v>0</v>
      </c>
      <c r="AA1142" s="9">
        <f t="shared" si="256"/>
        <v>0</v>
      </c>
      <c r="AB1142" s="9">
        <f t="shared" si="256"/>
        <v>0</v>
      </c>
      <c r="AC1142" s="9">
        <f t="shared" si="256"/>
        <v>0</v>
      </c>
      <c r="AD1142" s="9">
        <f t="shared" si="256"/>
        <v>0</v>
      </c>
      <c r="AE1142" s="9">
        <f t="shared" si="256"/>
        <v>0</v>
      </c>
    </row>
    <row r="1143" spans="2:31" x14ac:dyDescent="0.25">
      <c r="B1143" s="6">
        <v>0</v>
      </c>
      <c r="C1143" s="6">
        <v>0</v>
      </c>
      <c r="D1143" s="6">
        <v>0</v>
      </c>
      <c r="E1143" s="6">
        <v>0</v>
      </c>
      <c r="F1143" s="6">
        <v>0</v>
      </c>
      <c r="L1143">
        <f t="shared" si="246"/>
        <v>0</v>
      </c>
      <c r="M1143">
        <f t="shared" si="247"/>
        <v>0</v>
      </c>
      <c r="N1143">
        <f t="shared" si="248"/>
        <v>0</v>
      </c>
      <c r="O1143">
        <f t="shared" si="249"/>
        <v>0</v>
      </c>
      <c r="P1143">
        <f t="shared" si="250"/>
        <v>0</v>
      </c>
      <c r="Q1143">
        <f t="shared" si="251"/>
        <v>0</v>
      </c>
      <c r="R1143">
        <f t="shared" si="252"/>
        <v>0</v>
      </c>
      <c r="S1143">
        <f t="shared" si="253"/>
        <v>0</v>
      </c>
      <c r="T1143">
        <f t="shared" si="254"/>
        <v>0</v>
      </c>
      <c r="U1143">
        <f t="shared" si="255"/>
        <v>0</v>
      </c>
      <c r="V1143" s="9">
        <f t="shared" si="257"/>
        <v>0</v>
      </c>
      <c r="W1143" s="9">
        <f t="shared" si="257"/>
        <v>0</v>
      </c>
      <c r="X1143" s="9">
        <f t="shared" si="257"/>
        <v>0</v>
      </c>
      <c r="Y1143" s="9">
        <f t="shared" si="257"/>
        <v>0</v>
      </c>
      <c r="Z1143" s="9">
        <f t="shared" si="257"/>
        <v>0</v>
      </c>
      <c r="AA1143" s="9">
        <f t="shared" si="256"/>
        <v>0</v>
      </c>
      <c r="AB1143" s="9">
        <f t="shared" si="256"/>
        <v>0</v>
      </c>
      <c r="AC1143" s="9">
        <f t="shared" si="256"/>
        <v>0</v>
      </c>
      <c r="AD1143" s="9">
        <f t="shared" si="256"/>
        <v>0</v>
      </c>
      <c r="AE1143" s="9">
        <f t="shared" si="256"/>
        <v>0</v>
      </c>
    </row>
    <row r="1144" spans="2:31" x14ac:dyDescent="0.25">
      <c r="B1144" s="6">
        <v>0</v>
      </c>
      <c r="C1144" s="6">
        <v>0</v>
      </c>
      <c r="D1144" s="6">
        <v>0</v>
      </c>
      <c r="E1144" s="6">
        <v>0</v>
      </c>
      <c r="F1144" s="6">
        <v>0</v>
      </c>
      <c r="L1144">
        <f t="shared" si="246"/>
        <v>0</v>
      </c>
      <c r="M1144">
        <f t="shared" si="247"/>
        <v>0</v>
      </c>
      <c r="N1144">
        <f t="shared" si="248"/>
        <v>0</v>
      </c>
      <c r="O1144">
        <f t="shared" si="249"/>
        <v>0</v>
      </c>
      <c r="P1144">
        <f t="shared" si="250"/>
        <v>0</v>
      </c>
      <c r="Q1144">
        <f t="shared" si="251"/>
        <v>0</v>
      </c>
      <c r="R1144">
        <f t="shared" si="252"/>
        <v>0</v>
      </c>
      <c r="S1144">
        <f t="shared" si="253"/>
        <v>0</v>
      </c>
      <c r="T1144">
        <f t="shared" si="254"/>
        <v>0</v>
      </c>
      <c r="U1144">
        <f t="shared" si="255"/>
        <v>0</v>
      </c>
      <c r="V1144" s="9">
        <f t="shared" si="257"/>
        <v>0</v>
      </c>
      <c r="W1144" s="9">
        <f t="shared" si="257"/>
        <v>0</v>
      </c>
      <c r="X1144" s="9">
        <f t="shared" si="257"/>
        <v>0</v>
      </c>
      <c r="Y1144" s="9">
        <f t="shared" si="257"/>
        <v>0</v>
      </c>
      <c r="Z1144" s="9">
        <f t="shared" si="257"/>
        <v>0</v>
      </c>
      <c r="AA1144" s="9">
        <f t="shared" si="256"/>
        <v>0</v>
      </c>
      <c r="AB1144" s="9">
        <f t="shared" si="256"/>
        <v>0</v>
      </c>
      <c r="AC1144" s="9">
        <f t="shared" si="256"/>
        <v>0</v>
      </c>
      <c r="AD1144" s="9">
        <f t="shared" si="256"/>
        <v>0</v>
      </c>
      <c r="AE1144" s="9">
        <f t="shared" si="256"/>
        <v>0</v>
      </c>
    </row>
    <row r="1145" spans="2:31" x14ac:dyDescent="0.25">
      <c r="B1145" s="6">
        <v>0</v>
      </c>
      <c r="C1145" s="6">
        <v>0</v>
      </c>
      <c r="D1145" s="6">
        <v>0</v>
      </c>
      <c r="E1145" s="6">
        <v>0</v>
      </c>
      <c r="F1145" s="6">
        <v>0</v>
      </c>
      <c r="L1145">
        <f t="shared" si="246"/>
        <v>0</v>
      </c>
      <c r="M1145">
        <f t="shared" si="247"/>
        <v>0</v>
      </c>
      <c r="N1145">
        <f t="shared" si="248"/>
        <v>0</v>
      </c>
      <c r="O1145">
        <f t="shared" si="249"/>
        <v>0</v>
      </c>
      <c r="P1145">
        <f t="shared" si="250"/>
        <v>0</v>
      </c>
      <c r="Q1145">
        <f t="shared" si="251"/>
        <v>0</v>
      </c>
      <c r="R1145">
        <f t="shared" si="252"/>
        <v>0</v>
      </c>
      <c r="S1145">
        <f t="shared" si="253"/>
        <v>0</v>
      </c>
      <c r="T1145">
        <f t="shared" si="254"/>
        <v>0</v>
      </c>
      <c r="U1145">
        <f t="shared" si="255"/>
        <v>0</v>
      </c>
      <c r="V1145" s="9">
        <f t="shared" si="257"/>
        <v>0</v>
      </c>
      <c r="W1145" s="9">
        <f t="shared" si="257"/>
        <v>0</v>
      </c>
      <c r="X1145" s="9">
        <f t="shared" si="257"/>
        <v>0</v>
      </c>
      <c r="Y1145" s="9">
        <f t="shared" si="257"/>
        <v>0</v>
      </c>
      <c r="Z1145" s="9">
        <f t="shared" si="257"/>
        <v>0</v>
      </c>
      <c r="AA1145" s="9">
        <f t="shared" si="256"/>
        <v>0</v>
      </c>
      <c r="AB1145" s="9">
        <f t="shared" si="256"/>
        <v>0</v>
      </c>
      <c r="AC1145" s="9">
        <f t="shared" si="256"/>
        <v>0</v>
      </c>
      <c r="AD1145" s="9">
        <f t="shared" si="256"/>
        <v>0</v>
      </c>
      <c r="AE1145" s="9">
        <f t="shared" si="256"/>
        <v>0</v>
      </c>
    </row>
    <row r="1146" spans="2:31" x14ac:dyDescent="0.25">
      <c r="B1146" s="6">
        <v>0</v>
      </c>
      <c r="C1146" s="6">
        <v>0</v>
      </c>
      <c r="D1146" s="6">
        <v>0</v>
      </c>
      <c r="E1146" s="6">
        <v>0</v>
      </c>
      <c r="F1146" s="6">
        <v>0</v>
      </c>
      <c r="L1146">
        <f t="shared" si="246"/>
        <v>0</v>
      </c>
      <c r="M1146">
        <f t="shared" si="247"/>
        <v>0</v>
      </c>
      <c r="N1146">
        <f t="shared" si="248"/>
        <v>0</v>
      </c>
      <c r="O1146">
        <f t="shared" si="249"/>
        <v>0</v>
      </c>
      <c r="P1146">
        <f t="shared" si="250"/>
        <v>0</v>
      </c>
      <c r="Q1146">
        <f t="shared" si="251"/>
        <v>0</v>
      </c>
      <c r="R1146">
        <f t="shared" si="252"/>
        <v>0</v>
      </c>
      <c r="S1146">
        <f t="shared" si="253"/>
        <v>0</v>
      </c>
      <c r="T1146">
        <f t="shared" si="254"/>
        <v>0</v>
      </c>
      <c r="U1146">
        <f t="shared" si="255"/>
        <v>0</v>
      </c>
      <c r="V1146" s="9">
        <f t="shared" si="257"/>
        <v>0</v>
      </c>
      <c r="W1146" s="9">
        <f t="shared" si="257"/>
        <v>0</v>
      </c>
      <c r="X1146" s="9">
        <f t="shared" si="257"/>
        <v>0</v>
      </c>
      <c r="Y1146" s="9">
        <f t="shared" si="257"/>
        <v>0</v>
      </c>
      <c r="Z1146" s="9">
        <f t="shared" si="257"/>
        <v>0</v>
      </c>
      <c r="AA1146" s="9">
        <f t="shared" si="256"/>
        <v>0</v>
      </c>
      <c r="AB1146" s="9">
        <f t="shared" si="256"/>
        <v>0</v>
      </c>
      <c r="AC1146" s="9">
        <f t="shared" si="256"/>
        <v>0</v>
      </c>
      <c r="AD1146" s="9">
        <f t="shared" si="256"/>
        <v>0</v>
      </c>
      <c r="AE1146" s="9">
        <f t="shared" si="256"/>
        <v>0</v>
      </c>
    </row>
    <row r="1147" spans="2:31" x14ac:dyDescent="0.25">
      <c r="B1147" s="6">
        <v>0</v>
      </c>
      <c r="C1147" s="6">
        <v>0</v>
      </c>
      <c r="D1147" s="6">
        <v>0</v>
      </c>
      <c r="E1147" s="6">
        <v>0</v>
      </c>
      <c r="F1147" s="6">
        <v>0</v>
      </c>
      <c r="L1147">
        <f t="shared" si="246"/>
        <v>0</v>
      </c>
      <c r="M1147">
        <f t="shared" si="247"/>
        <v>0</v>
      </c>
      <c r="N1147">
        <f t="shared" si="248"/>
        <v>0</v>
      </c>
      <c r="O1147">
        <f t="shared" si="249"/>
        <v>0</v>
      </c>
      <c r="P1147">
        <f t="shared" si="250"/>
        <v>0</v>
      </c>
      <c r="Q1147">
        <f t="shared" si="251"/>
        <v>0</v>
      </c>
      <c r="R1147">
        <f t="shared" si="252"/>
        <v>0</v>
      </c>
      <c r="S1147">
        <f t="shared" si="253"/>
        <v>0</v>
      </c>
      <c r="T1147">
        <f t="shared" si="254"/>
        <v>0</v>
      </c>
      <c r="U1147">
        <f t="shared" si="255"/>
        <v>0</v>
      </c>
      <c r="V1147" s="9">
        <f t="shared" si="257"/>
        <v>0</v>
      </c>
      <c r="W1147" s="9">
        <f t="shared" si="257"/>
        <v>0</v>
      </c>
      <c r="X1147" s="9">
        <f t="shared" si="257"/>
        <v>0</v>
      </c>
      <c r="Y1147" s="9">
        <f t="shared" si="257"/>
        <v>0</v>
      </c>
      <c r="Z1147" s="9">
        <f t="shared" si="257"/>
        <v>0</v>
      </c>
      <c r="AA1147" s="9">
        <f t="shared" si="256"/>
        <v>0</v>
      </c>
      <c r="AB1147" s="9">
        <f t="shared" si="256"/>
        <v>0</v>
      </c>
      <c r="AC1147" s="9">
        <f t="shared" si="256"/>
        <v>0</v>
      </c>
      <c r="AD1147" s="9">
        <f t="shared" si="256"/>
        <v>0</v>
      </c>
      <c r="AE1147" s="9">
        <f t="shared" si="256"/>
        <v>0</v>
      </c>
    </row>
    <row r="1148" spans="2:31" x14ac:dyDescent="0.25">
      <c r="B1148" s="6">
        <v>0</v>
      </c>
      <c r="C1148" s="6">
        <v>0</v>
      </c>
      <c r="D1148" s="6">
        <v>0</v>
      </c>
      <c r="E1148" s="6">
        <v>0</v>
      </c>
      <c r="F1148" s="6">
        <v>0</v>
      </c>
      <c r="L1148">
        <f t="shared" si="246"/>
        <v>0</v>
      </c>
      <c r="M1148">
        <f t="shared" si="247"/>
        <v>0</v>
      </c>
      <c r="N1148">
        <f t="shared" si="248"/>
        <v>0</v>
      </c>
      <c r="O1148">
        <f t="shared" si="249"/>
        <v>0</v>
      </c>
      <c r="P1148">
        <f t="shared" si="250"/>
        <v>0</v>
      </c>
      <c r="Q1148">
        <f t="shared" si="251"/>
        <v>0</v>
      </c>
      <c r="R1148">
        <f t="shared" si="252"/>
        <v>0</v>
      </c>
      <c r="S1148">
        <f t="shared" si="253"/>
        <v>0</v>
      </c>
      <c r="T1148">
        <f t="shared" si="254"/>
        <v>0</v>
      </c>
      <c r="U1148">
        <f t="shared" si="255"/>
        <v>0</v>
      </c>
      <c r="V1148" s="9">
        <f t="shared" si="257"/>
        <v>0</v>
      </c>
      <c r="W1148" s="9">
        <f t="shared" si="257"/>
        <v>0</v>
      </c>
      <c r="X1148" s="9">
        <f t="shared" si="257"/>
        <v>0</v>
      </c>
      <c r="Y1148" s="9">
        <f t="shared" si="257"/>
        <v>0</v>
      </c>
      <c r="Z1148" s="9">
        <f t="shared" si="257"/>
        <v>0</v>
      </c>
      <c r="AA1148" s="9">
        <f t="shared" si="256"/>
        <v>0</v>
      </c>
      <c r="AB1148" s="9">
        <f t="shared" si="256"/>
        <v>0</v>
      </c>
      <c r="AC1148" s="9">
        <f t="shared" si="256"/>
        <v>0</v>
      </c>
      <c r="AD1148" s="9">
        <f t="shared" si="256"/>
        <v>0</v>
      </c>
      <c r="AE1148" s="9">
        <f t="shared" si="256"/>
        <v>0</v>
      </c>
    </row>
    <row r="1149" spans="2:31" x14ac:dyDescent="0.25">
      <c r="B1149" s="6">
        <v>0</v>
      </c>
      <c r="C1149" s="6">
        <v>0</v>
      </c>
      <c r="D1149" s="6">
        <v>0</v>
      </c>
      <c r="E1149" s="6">
        <v>0</v>
      </c>
      <c r="F1149" s="6">
        <v>0</v>
      </c>
      <c r="L1149">
        <f t="shared" si="246"/>
        <v>0</v>
      </c>
      <c r="M1149">
        <f t="shared" si="247"/>
        <v>0</v>
      </c>
      <c r="N1149">
        <f t="shared" si="248"/>
        <v>0</v>
      </c>
      <c r="O1149">
        <f t="shared" si="249"/>
        <v>0</v>
      </c>
      <c r="P1149">
        <f t="shared" si="250"/>
        <v>0</v>
      </c>
      <c r="Q1149">
        <f t="shared" si="251"/>
        <v>0</v>
      </c>
      <c r="R1149">
        <f t="shared" si="252"/>
        <v>0</v>
      </c>
      <c r="S1149">
        <f t="shared" si="253"/>
        <v>0</v>
      </c>
      <c r="T1149">
        <f t="shared" si="254"/>
        <v>0</v>
      </c>
      <c r="U1149">
        <f t="shared" si="255"/>
        <v>0</v>
      </c>
      <c r="V1149" s="9">
        <f t="shared" si="257"/>
        <v>0</v>
      </c>
      <c r="W1149" s="9">
        <f t="shared" si="257"/>
        <v>0</v>
      </c>
      <c r="X1149" s="9">
        <f t="shared" si="257"/>
        <v>0</v>
      </c>
      <c r="Y1149" s="9">
        <f t="shared" si="257"/>
        <v>0</v>
      </c>
      <c r="Z1149" s="9">
        <f t="shared" si="257"/>
        <v>0</v>
      </c>
      <c r="AA1149" s="9">
        <f t="shared" si="256"/>
        <v>0</v>
      </c>
      <c r="AB1149" s="9">
        <f t="shared" si="256"/>
        <v>0</v>
      </c>
      <c r="AC1149" s="9">
        <f t="shared" si="256"/>
        <v>0</v>
      </c>
      <c r="AD1149" s="9">
        <f t="shared" si="256"/>
        <v>0</v>
      </c>
      <c r="AE1149" s="9">
        <f t="shared" si="256"/>
        <v>0</v>
      </c>
    </row>
    <row r="1150" spans="2:31" x14ac:dyDescent="0.25">
      <c r="B1150" s="6">
        <v>0</v>
      </c>
      <c r="C1150" s="6">
        <v>0</v>
      </c>
      <c r="D1150" s="6">
        <v>0</v>
      </c>
      <c r="E1150" s="6">
        <v>0</v>
      </c>
      <c r="F1150" s="6">
        <v>0</v>
      </c>
      <c r="L1150">
        <f t="shared" si="246"/>
        <v>0</v>
      </c>
      <c r="M1150">
        <f t="shared" si="247"/>
        <v>0</v>
      </c>
      <c r="N1150">
        <f t="shared" si="248"/>
        <v>0</v>
      </c>
      <c r="O1150">
        <f t="shared" si="249"/>
        <v>0</v>
      </c>
      <c r="P1150">
        <f t="shared" si="250"/>
        <v>0</v>
      </c>
      <c r="Q1150">
        <f t="shared" si="251"/>
        <v>0</v>
      </c>
      <c r="R1150">
        <f t="shared" si="252"/>
        <v>0</v>
      </c>
      <c r="S1150">
        <f t="shared" si="253"/>
        <v>0</v>
      </c>
      <c r="T1150">
        <f t="shared" si="254"/>
        <v>0</v>
      </c>
      <c r="U1150">
        <f t="shared" si="255"/>
        <v>0</v>
      </c>
      <c r="V1150" s="9">
        <f t="shared" si="257"/>
        <v>0</v>
      </c>
      <c r="W1150" s="9">
        <f t="shared" si="257"/>
        <v>0</v>
      </c>
      <c r="X1150" s="9">
        <f t="shared" si="257"/>
        <v>0</v>
      </c>
      <c r="Y1150" s="9">
        <f t="shared" si="257"/>
        <v>0</v>
      </c>
      <c r="Z1150" s="9">
        <f t="shared" si="257"/>
        <v>0</v>
      </c>
      <c r="AA1150" s="9">
        <f t="shared" si="256"/>
        <v>0</v>
      </c>
      <c r="AB1150" s="9">
        <f t="shared" si="256"/>
        <v>0</v>
      </c>
      <c r="AC1150" s="9">
        <f t="shared" si="256"/>
        <v>0</v>
      </c>
      <c r="AD1150" s="9">
        <f t="shared" si="256"/>
        <v>0</v>
      </c>
      <c r="AE1150" s="9">
        <f t="shared" si="256"/>
        <v>0</v>
      </c>
    </row>
    <row r="1151" spans="2:31" x14ac:dyDescent="0.25">
      <c r="B1151" s="6">
        <v>0</v>
      </c>
      <c r="C1151" s="6">
        <v>0</v>
      </c>
      <c r="D1151" s="6">
        <v>0</v>
      </c>
      <c r="E1151" s="6">
        <v>0</v>
      </c>
      <c r="F1151" s="6">
        <v>0</v>
      </c>
      <c r="L1151">
        <f t="shared" si="246"/>
        <v>0</v>
      </c>
      <c r="M1151">
        <f t="shared" si="247"/>
        <v>0</v>
      </c>
      <c r="N1151">
        <f t="shared" si="248"/>
        <v>0</v>
      </c>
      <c r="O1151">
        <f t="shared" si="249"/>
        <v>0</v>
      </c>
      <c r="P1151">
        <f t="shared" si="250"/>
        <v>0</v>
      </c>
      <c r="Q1151">
        <f t="shared" si="251"/>
        <v>0</v>
      </c>
      <c r="R1151">
        <f t="shared" si="252"/>
        <v>0</v>
      </c>
      <c r="S1151">
        <f t="shared" si="253"/>
        <v>0</v>
      </c>
      <c r="T1151">
        <f t="shared" si="254"/>
        <v>0</v>
      </c>
      <c r="U1151">
        <f t="shared" si="255"/>
        <v>0</v>
      </c>
      <c r="V1151" s="9">
        <f t="shared" si="257"/>
        <v>0</v>
      </c>
      <c r="W1151" s="9">
        <f t="shared" si="257"/>
        <v>0</v>
      </c>
      <c r="X1151" s="9">
        <f t="shared" si="257"/>
        <v>0</v>
      </c>
      <c r="Y1151" s="9">
        <f t="shared" si="257"/>
        <v>0</v>
      </c>
      <c r="Z1151" s="9">
        <f t="shared" si="257"/>
        <v>0</v>
      </c>
      <c r="AA1151" s="9">
        <f t="shared" si="256"/>
        <v>0</v>
      </c>
      <c r="AB1151" s="9">
        <f t="shared" si="256"/>
        <v>0</v>
      </c>
      <c r="AC1151" s="9">
        <f t="shared" si="256"/>
        <v>0</v>
      </c>
      <c r="AD1151" s="9">
        <f t="shared" si="256"/>
        <v>0</v>
      </c>
      <c r="AE1151" s="9">
        <f t="shared" si="256"/>
        <v>0</v>
      </c>
    </row>
    <row r="1152" spans="2:31" x14ac:dyDescent="0.25">
      <c r="B1152" s="6">
        <v>0</v>
      </c>
      <c r="C1152" s="6">
        <v>0</v>
      </c>
      <c r="D1152" s="6">
        <v>0</v>
      </c>
      <c r="E1152" s="6">
        <v>0</v>
      </c>
      <c r="F1152" s="6">
        <v>0</v>
      </c>
      <c r="L1152">
        <f t="shared" si="246"/>
        <v>0</v>
      </c>
      <c r="M1152">
        <f t="shared" si="247"/>
        <v>0</v>
      </c>
      <c r="N1152">
        <f t="shared" si="248"/>
        <v>0</v>
      </c>
      <c r="O1152">
        <f t="shared" si="249"/>
        <v>0</v>
      </c>
      <c r="P1152">
        <f t="shared" si="250"/>
        <v>0</v>
      </c>
      <c r="Q1152">
        <f t="shared" si="251"/>
        <v>0</v>
      </c>
      <c r="R1152">
        <f t="shared" si="252"/>
        <v>0</v>
      </c>
      <c r="S1152">
        <f t="shared" si="253"/>
        <v>0</v>
      </c>
      <c r="T1152">
        <f t="shared" si="254"/>
        <v>0</v>
      </c>
      <c r="U1152">
        <f t="shared" si="255"/>
        <v>0</v>
      </c>
      <c r="V1152" s="9">
        <f t="shared" si="257"/>
        <v>0</v>
      </c>
      <c r="W1152" s="9">
        <f t="shared" si="257"/>
        <v>0</v>
      </c>
      <c r="X1152" s="9">
        <f t="shared" si="257"/>
        <v>0</v>
      </c>
      <c r="Y1152" s="9">
        <f t="shared" si="257"/>
        <v>0</v>
      </c>
      <c r="Z1152" s="9">
        <f t="shared" si="257"/>
        <v>0</v>
      </c>
      <c r="AA1152" s="9">
        <f t="shared" si="256"/>
        <v>0</v>
      </c>
      <c r="AB1152" s="9">
        <f t="shared" si="256"/>
        <v>0</v>
      </c>
      <c r="AC1152" s="9">
        <f t="shared" si="256"/>
        <v>0</v>
      </c>
      <c r="AD1152" s="9">
        <f t="shared" si="256"/>
        <v>0</v>
      </c>
      <c r="AE1152" s="9">
        <f t="shared" si="256"/>
        <v>0</v>
      </c>
    </row>
    <row r="1153" spans="2:31" x14ac:dyDescent="0.25">
      <c r="B1153" s="6">
        <v>0</v>
      </c>
      <c r="C1153" s="6">
        <v>0</v>
      </c>
      <c r="D1153" s="6">
        <v>0</v>
      </c>
      <c r="E1153" s="6">
        <v>0</v>
      </c>
      <c r="F1153" s="6">
        <v>0</v>
      </c>
      <c r="L1153">
        <f t="shared" ref="L1153:L1216" si="258">B1153-C1153</f>
        <v>0</v>
      </c>
      <c r="M1153">
        <f t="shared" ref="M1153:M1216" si="259">B1153-D1153</f>
        <v>0</v>
      </c>
      <c r="N1153">
        <f t="shared" ref="N1153:N1216" si="260">B1153-E1153</f>
        <v>0</v>
      </c>
      <c r="O1153">
        <f t="shared" ref="O1153:O1216" si="261">B1153-F1153</f>
        <v>0</v>
      </c>
      <c r="P1153">
        <f t="shared" ref="P1153:P1216" si="262">C1153-D1153</f>
        <v>0</v>
      </c>
      <c r="Q1153">
        <f t="shared" ref="Q1153:Q1216" si="263">C1153-E1153</f>
        <v>0</v>
      </c>
      <c r="R1153">
        <f t="shared" ref="R1153:R1216" si="264">C1153-F1153</f>
        <v>0</v>
      </c>
      <c r="S1153">
        <f t="shared" ref="S1153:S1216" si="265">D1153-E1153</f>
        <v>0</v>
      </c>
      <c r="T1153">
        <f t="shared" ref="T1153:T1216" si="266">D1153-F1153</f>
        <v>0</v>
      </c>
      <c r="U1153">
        <f t="shared" ref="U1153:U1216" si="267">E1153-F1153</f>
        <v>0</v>
      </c>
      <c r="V1153" s="9">
        <f t="shared" si="257"/>
        <v>0</v>
      </c>
      <c r="W1153" s="9">
        <f t="shared" si="257"/>
        <v>0</v>
      </c>
      <c r="X1153" s="9">
        <f t="shared" si="257"/>
        <v>0</v>
      </c>
      <c r="Y1153" s="9">
        <f t="shared" si="257"/>
        <v>0</v>
      </c>
      <c r="Z1153" s="9">
        <f t="shared" si="257"/>
        <v>0</v>
      </c>
      <c r="AA1153" s="9">
        <f t="shared" si="256"/>
        <v>0</v>
      </c>
      <c r="AB1153" s="9">
        <f t="shared" si="256"/>
        <v>0</v>
      </c>
      <c r="AC1153" s="9">
        <f t="shared" si="256"/>
        <v>0</v>
      </c>
      <c r="AD1153" s="9">
        <f t="shared" si="256"/>
        <v>0</v>
      </c>
      <c r="AE1153" s="9">
        <f t="shared" si="256"/>
        <v>0</v>
      </c>
    </row>
    <row r="1154" spans="2:31" x14ac:dyDescent="0.25">
      <c r="B1154" s="6">
        <v>0</v>
      </c>
      <c r="C1154" s="6">
        <v>0</v>
      </c>
      <c r="D1154" s="6">
        <v>0</v>
      </c>
      <c r="E1154" s="6">
        <v>0</v>
      </c>
      <c r="F1154" s="6">
        <v>0</v>
      </c>
      <c r="L1154">
        <f t="shared" si="258"/>
        <v>0</v>
      </c>
      <c r="M1154">
        <f t="shared" si="259"/>
        <v>0</v>
      </c>
      <c r="N1154">
        <f t="shared" si="260"/>
        <v>0</v>
      </c>
      <c r="O1154">
        <f t="shared" si="261"/>
        <v>0</v>
      </c>
      <c r="P1154">
        <f t="shared" si="262"/>
        <v>0</v>
      </c>
      <c r="Q1154">
        <f t="shared" si="263"/>
        <v>0</v>
      </c>
      <c r="R1154">
        <f t="shared" si="264"/>
        <v>0</v>
      </c>
      <c r="S1154">
        <f t="shared" si="265"/>
        <v>0</v>
      </c>
      <c r="T1154">
        <f t="shared" si="266"/>
        <v>0</v>
      </c>
      <c r="U1154">
        <f t="shared" si="267"/>
        <v>0</v>
      </c>
      <c r="V1154" s="9">
        <f t="shared" si="257"/>
        <v>0</v>
      </c>
      <c r="W1154" s="9">
        <f t="shared" si="257"/>
        <v>0</v>
      </c>
      <c r="X1154" s="9">
        <f t="shared" si="257"/>
        <v>0</v>
      </c>
      <c r="Y1154" s="9">
        <f t="shared" si="257"/>
        <v>0</v>
      </c>
      <c r="Z1154" s="9">
        <f t="shared" si="257"/>
        <v>0</v>
      </c>
      <c r="AA1154" s="9">
        <f t="shared" si="256"/>
        <v>0</v>
      </c>
      <c r="AB1154" s="9">
        <f t="shared" si="256"/>
        <v>0</v>
      </c>
      <c r="AC1154" s="9">
        <f t="shared" si="256"/>
        <v>0</v>
      </c>
      <c r="AD1154" s="9">
        <f t="shared" si="256"/>
        <v>0</v>
      </c>
      <c r="AE1154" s="9">
        <f t="shared" si="256"/>
        <v>0</v>
      </c>
    </row>
    <row r="1155" spans="2:31" x14ac:dyDescent="0.25">
      <c r="B1155" s="6">
        <v>0</v>
      </c>
      <c r="C1155" s="6">
        <v>0</v>
      </c>
      <c r="D1155" s="6">
        <v>0</v>
      </c>
      <c r="E1155" s="6">
        <v>0</v>
      </c>
      <c r="F1155" s="6">
        <v>0</v>
      </c>
      <c r="L1155">
        <f t="shared" si="258"/>
        <v>0</v>
      </c>
      <c r="M1155">
        <f t="shared" si="259"/>
        <v>0</v>
      </c>
      <c r="N1155">
        <f t="shared" si="260"/>
        <v>0</v>
      </c>
      <c r="O1155">
        <f t="shared" si="261"/>
        <v>0</v>
      </c>
      <c r="P1155">
        <f t="shared" si="262"/>
        <v>0</v>
      </c>
      <c r="Q1155">
        <f t="shared" si="263"/>
        <v>0</v>
      </c>
      <c r="R1155">
        <f t="shared" si="264"/>
        <v>0</v>
      </c>
      <c r="S1155">
        <f t="shared" si="265"/>
        <v>0</v>
      </c>
      <c r="T1155">
        <f t="shared" si="266"/>
        <v>0</v>
      </c>
      <c r="U1155">
        <f t="shared" si="267"/>
        <v>0</v>
      </c>
      <c r="V1155" s="9">
        <f t="shared" si="257"/>
        <v>0</v>
      </c>
      <c r="W1155" s="9">
        <f t="shared" si="257"/>
        <v>0</v>
      </c>
      <c r="X1155" s="9">
        <f t="shared" si="257"/>
        <v>0</v>
      </c>
      <c r="Y1155" s="9">
        <f t="shared" si="257"/>
        <v>0</v>
      </c>
      <c r="Z1155" s="9">
        <f t="shared" si="257"/>
        <v>0</v>
      </c>
      <c r="AA1155" s="9">
        <f t="shared" si="256"/>
        <v>0</v>
      </c>
      <c r="AB1155" s="9">
        <f t="shared" si="256"/>
        <v>0</v>
      </c>
      <c r="AC1155" s="9">
        <f t="shared" si="256"/>
        <v>0</v>
      </c>
      <c r="AD1155" s="9">
        <f t="shared" si="256"/>
        <v>0</v>
      </c>
      <c r="AE1155" s="9">
        <f t="shared" si="256"/>
        <v>0</v>
      </c>
    </row>
    <row r="1156" spans="2:31" x14ac:dyDescent="0.25">
      <c r="B1156" s="6">
        <v>0</v>
      </c>
      <c r="C1156" s="6">
        <v>0</v>
      </c>
      <c r="D1156" s="6">
        <v>0</v>
      </c>
      <c r="E1156" s="6">
        <v>0</v>
      </c>
      <c r="F1156" s="6">
        <v>0</v>
      </c>
      <c r="L1156">
        <f t="shared" si="258"/>
        <v>0</v>
      </c>
      <c r="M1156">
        <f t="shared" si="259"/>
        <v>0</v>
      </c>
      <c r="N1156">
        <f t="shared" si="260"/>
        <v>0</v>
      </c>
      <c r="O1156">
        <f t="shared" si="261"/>
        <v>0</v>
      </c>
      <c r="P1156">
        <f t="shared" si="262"/>
        <v>0</v>
      </c>
      <c r="Q1156">
        <f t="shared" si="263"/>
        <v>0</v>
      </c>
      <c r="R1156">
        <f t="shared" si="264"/>
        <v>0</v>
      </c>
      <c r="S1156">
        <f t="shared" si="265"/>
        <v>0</v>
      </c>
      <c r="T1156">
        <f t="shared" si="266"/>
        <v>0</v>
      </c>
      <c r="U1156">
        <f t="shared" si="267"/>
        <v>0</v>
      </c>
      <c r="V1156" s="9">
        <f t="shared" si="257"/>
        <v>0</v>
      </c>
      <c r="W1156" s="9">
        <f t="shared" si="257"/>
        <v>0</v>
      </c>
      <c r="X1156" s="9">
        <f t="shared" si="257"/>
        <v>0</v>
      </c>
      <c r="Y1156" s="9">
        <f t="shared" si="257"/>
        <v>0</v>
      </c>
      <c r="Z1156" s="9">
        <f t="shared" si="257"/>
        <v>0</v>
      </c>
      <c r="AA1156" s="9">
        <f t="shared" si="256"/>
        <v>0</v>
      </c>
      <c r="AB1156" s="9">
        <f t="shared" si="256"/>
        <v>0</v>
      </c>
      <c r="AC1156" s="9">
        <f t="shared" si="256"/>
        <v>0</v>
      </c>
      <c r="AD1156" s="9">
        <f t="shared" si="256"/>
        <v>0</v>
      </c>
      <c r="AE1156" s="9">
        <f t="shared" si="256"/>
        <v>0</v>
      </c>
    </row>
    <row r="1157" spans="2:31" x14ac:dyDescent="0.25">
      <c r="B1157" s="6">
        <v>0</v>
      </c>
      <c r="C1157" s="6">
        <v>0</v>
      </c>
      <c r="D1157" s="6">
        <v>0</v>
      </c>
      <c r="E1157" s="6">
        <v>0</v>
      </c>
      <c r="F1157" s="6">
        <v>0</v>
      </c>
      <c r="L1157">
        <f t="shared" si="258"/>
        <v>0</v>
      </c>
      <c r="M1157">
        <f t="shared" si="259"/>
        <v>0</v>
      </c>
      <c r="N1157">
        <f t="shared" si="260"/>
        <v>0</v>
      </c>
      <c r="O1157">
        <f t="shared" si="261"/>
        <v>0</v>
      </c>
      <c r="P1157">
        <f t="shared" si="262"/>
        <v>0</v>
      </c>
      <c r="Q1157">
        <f t="shared" si="263"/>
        <v>0</v>
      </c>
      <c r="R1157">
        <f t="shared" si="264"/>
        <v>0</v>
      </c>
      <c r="S1157">
        <f t="shared" si="265"/>
        <v>0</v>
      </c>
      <c r="T1157">
        <f t="shared" si="266"/>
        <v>0</v>
      </c>
      <c r="U1157">
        <f t="shared" si="267"/>
        <v>0</v>
      </c>
      <c r="V1157" s="9">
        <f t="shared" si="257"/>
        <v>0</v>
      </c>
      <c r="W1157" s="9">
        <f t="shared" si="257"/>
        <v>0</v>
      </c>
      <c r="X1157" s="9">
        <f t="shared" si="257"/>
        <v>0</v>
      </c>
      <c r="Y1157" s="9">
        <f t="shared" si="257"/>
        <v>0</v>
      </c>
      <c r="Z1157" s="9">
        <f t="shared" si="257"/>
        <v>0</v>
      </c>
      <c r="AA1157" s="9">
        <f t="shared" si="256"/>
        <v>0</v>
      </c>
      <c r="AB1157" s="9">
        <f t="shared" si="256"/>
        <v>0</v>
      </c>
      <c r="AC1157" s="9">
        <f t="shared" si="256"/>
        <v>0</v>
      </c>
      <c r="AD1157" s="9">
        <f t="shared" si="256"/>
        <v>0</v>
      </c>
      <c r="AE1157" s="9">
        <f t="shared" si="256"/>
        <v>0</v>
      </c>
    </row>
    <row r="1158" spans="2:31" x14ac:dyDescent="0.25">
      <c r="B1158" s="6">
        <v>0</v>
      </c>
      <c r="C1158" s="6">
        <v>0</v>
      </c>
      <c r="D1158" s="6">
        <v>0</v>
      </c>
      <c r="E1158" s="6">
        <v>0</v>
      </c>
      <c r="F1158" s="6">
        <v>0</v>
      </c>
      <c r="L1158">
        <f t="shared" si="258"/>
        <v>0</v>
      </c>
      <c r="M1158">
        <f t="shared" si="259"/>
        <v>0</v>
      </c>
      <c r="N1158">
        <f t="shared" si="260"/>
        <v>0</v>
      </c>
      <c r="O1158">
        <f t="shared" si="261"/>
        <v>0</v>
      </c>
      <c r="P1158">
        <f t="shared" si="262"/>
        <v>0</v>
      </c>
      <c r="Q1158">
        <f t="shared" si="263"/>
        <v>0</v>
      </c>
      <c r="R1158">
        <f t="shared" si="264"/>
        <v>0</v>
      </c>
      <c r="S1158">
        <f t="shared" si="265"/>
        <v>0</v>
      </c>
      <c r="T1158">
        <f t="shared" si="266"/>
        <v>0</v>
      </c>
      <c r="U1158">
        <f t="shared" si="267"/>
        <v>0</v>
      </c>
      <c r="V1158" s="9">
        <f t="shared" si="257"/>
        <v>0</v>
      </c>
      <c r="W1158" s="9">
        <f t="shared" si="257"/>
        <v>0</v>
      </c>
      <c r="X1158" s="9">
        <f t="shared" si="257"/>
        <v>0</v>
      </c>
      <c r="Y1158" s="9">
        <f t="shared" si="257"/>
        <v>0</v>
      </c>
      <c r="Z1158" s="9">
        <f t="shared" si="257"/>
        <v>0</v>
      </c>
      <c r="AA1158" s="9">
        <f t="shared" si="256"/>
        <v>0</v>
      </c>
      <c r="AB1158" s="9">
        <f t="shared" si="256"/>
        <v>0</v>
      </c>
      <c r="AC1158" s="9">
        <f t="shared" si="256"/>
        <v>0</v>
      </c>
      <c r="AD1158" s="9">
        <f t="shared" si="256"/>
        <v>0</v>
      </c>
      <c r="AE1158" s="9">
        <f t="shared" si="256"/>
        <v>0</v>
      </c>
    </row>
    <row r="1159" spans="2:31" x14ac:dyDescent="0.25">
      <c r="B1159" s="6">
        <v>0</v>
      </c>
      <c r="C1159" s="6">
        <v>0</v>
      </c>
      <c r="D1159" s="6">
        <v>0</v>
      </c>
      <c r="E1159" s="6">
        <v>0</v>
      </c>
      <c r="F1159" s="6">
        <v>0</v>
      </c>
      <c r="L1159">
        <f t="shared" si="258"/>
        <v>0</v>
      </c>
      <c r="M1159">
        <f t="shared" si="259"/>
        <v>0</v>
      </c>
      <c r="N1159">
        <f t="shared" si="260"/>
        <v>0</v>
      </c>
      <c r="O1159">
        <f t="shared" si="261"/>
        <v>0</v>
      </c>
      <c r="P1159">
        <f t="shared" si="262"/>
        <v>0</v>
      </c>
      <c r="Q1159">
        <f t="shared" si="263"/>
        <v>0</v>
      </c>
      <c r="R1159">
        <f t="shared" si="264"/>
        <v>0</v>
      </c>
      <c r="S1159">
        <f t="shared" si="265"/>
        <v>0</v>
      </c>
      <c r="T1159">
        <f t="shared" si="266"/>
        <v>0</v>
      </c>
      <c r="U1159">
        <f t="shared" si="267"/>
        <v>0</v>
      </c>
      <c r="V1159" s="9">
        <f t="shared" si="257"/>
        <v>0</v>
      </c>
      <c r="W1159" s="9">
        <f t="shared" si="257"/>
        <v>0</v>
      </c>
      <c r="X1159" s="9">
        <f t="shared" si="257"/>
        <v>0</v>
      </c>
      <c r="Y1159" s="9">
        <f t="shared" si="257"/>
        <v>0</v>
      </c>
      <c r="Z1159" s="9">
        <f t="shared" si="257"/>
        <v>0</v>
      </c>
      <c r="AA1159" s="9">
        <f t="shared" si="256"/>
        <v>0</v>
      </c>
      <c r="AB1159" s="9">
        <f t="shared" si="256"/>
        <v>0</v>
      </c>
      <c r="AC1159" s="9">
        <f t="shared" si="256"/>
        <v>0</v>
      </c>
      <c r="AD1159" s="9">
        <f t="shared" si="256"/>
        <v>0</v>
      </c>
      <c r="AE1159" s="9">
        <f t="shared" si="256"/>
        <v>0</v>
      </c>
    </row>
    <row r="1160" spans="2:31" x14ac:dyDescent="0.25">
      <c r="B1160" s="6">
        <v>0</v>
      </c>
      <c r="C1160" s="6">
        <v>0</v>
      </c>
      <c r="D1160" s="6">
        <v>0</v>
      </c>
      <c r="E1160" s="6">
        <v>0</v>
      </c>
      <c r="F1160" s="6">
        <v>0</v>
      </c>
      <c r="L1160">
        <f t="shared" si="258"/>
        <v>0</v>
      </c>
      <c r="M1160">
        <f t="shared" si="259"/>
        <v>0</v>
      </c>
      <c r="N1160">
        <f t="shared" si="260"/>
        <v>0</v>
      </c>
      <c r="O1160">
        <f t="shared" si="261"/>
        <v>0</v>
      </c>
      <c r="P1160">
        <f t="shared" si="262"/>
        <v>0</v>
      </c>
      <c r="Q1160">
        <f t="shared" si="263"/>
        <v>0</v>
      </c>
      <c r="R1160">
        <f t="shared" si="264"/>
        <v>0</v>
      </c>
      <c r="S1160">
        <f t="shared" si="265"/>
        <v>0</v>
      </c>
      <c r="T1160">
        <f t="shared" si="266"/>
        <v>0</v>
      </c>
      <c r="U1160">
        <f t="shared" si="267"/>
        <v>0</v>
      </c>
      <c r="V1160" s="9">
        <f t="shared" si="257"/>
        <v>0</v>
      </c>
      <c r="W1160" s="9">
        <f t="shared" si="257"/>
        <v>0</v>
      </c>
      <c r="X1160" s="9">
        <f t="shared" si="257"/>
        <v>0</v>
      </c>
      <c r="Y1160" s="9">
        <f t="shared" si="257"/>
        <v>0</v>
      </c>
      <c r="Z1160" s="9">
        <f t="shared" si="257"/>
        <v>0</v>
      </c>
      <c r="AA1160" s="9">
        <f t="shared" si="256"/>
        <v>0</v>
      </c>
      <c r="AB1160" s="9">
        <f t="shared" si="256"/>
        <v>0</v>
      </c>
      <c r="AC1160" s="9">
        <f t="shared" si="256"/>
        <v>0</v>
      </c>
      <c r="AD1160" s="9">
        <f t="shared" si="256"/>
        <v>0</v>
      </c>
      <c r="AE1160" s="9">
        <f t="shared" si="256"/>
        <v>0</v>
      </c>
    </row>
    <row r="1161" spans="2:31" x14ac:dyDescent="0.25">
      <c r="B1161" s="6">
        <v>0</v>
      </c>
      <c r="C1161" s="6">
        <v>0</v>
      </c>
      <c r="D1161" s="6">
        <v>0</v>
      </c>
      <c r="E1161" s="6">
        <v>0</v>
      </c>
      <c r="F1161" s="6">
        <v>0</v>
      </c>
      <c r="L1161">
        <f t="shared" si="258"/>
        <v>0</v>
      </c>
      <c r="M1161">
        <f t="shared" si="259"/>
        <v>0</v>
      </c>
      <c r="N1161">
        <f t="shared" si="260"/>
        <v>0</v>
      </c>
      <c r="O1161">
        <f t="shared" si="261"/>
        <v>0</v>
      </c>
      <c r="P1161">
        <f t="shared" si="262"/>
        <v>0</v>
      </c>
      <c r="Q1161">
        <f t="shared" si="263"/>
        <v>0</v>
      </c>
      <c r="R1161">
        <f t="shared" si="264"/>
        <v>0</v>
      </c>
      <c r="S1161">
        <f t="shared" si="265"/>
        <v>0</v>
      </c>
      <c r="T1161">
        <f t="shared" si="266"/>
        <v>0</v>
      </c>
      <c r="U1161">
        <f t="shared" si="267"/>
        <v>0</v>
      </c>
      <c r="V1161" s="9">
        <f t="shared" si="257"/>
        <v>0</v>
      </c>
      <c r="W1161" s="9">
        <f t="shared" si="257"/>
        <v>0</v>
      </c>
      <c r="X1161" s="9">
        <f t="shared" si="257"/>
        <v>0</v>
      </c>
      <c r="Y1161" s="9">
        <f t="shared" si="257"/>
        <v>0</v>
      </c>
      <c r="Z1161" s="9">
        <f t="shared" si="257"/>
        <v>0</v>
      </c>
      <c r="AA1161" s="9">
        <f t="shared" si="256"/>
        <v>0</v>
      </c>
      <c r="AB1161" s="9">
        <f t="shared" si="256"/>
        <v>0</v>
      </c>
      <c r="AC1161" s="9">
        <f t="shared" si="256"/>
        <v>0</v>
      </c>
      <c r="AD1161" s="9">
        <f t="shared" si="256"/>
        <v>0</v>
      </c>
      <c r="AE1161" s="9">
        <f t="shared" si="256"/>
        <v>0</v>
      </c>
    </row>
    <row r="1162" spans="2:31" x14ac:dyDescent="0.25">
      <c r="B1162" s="6">
        <v>0</v>
      </c>
      <c r="C1162" s="6">
        <v>0</v>
      </c>
      <c r="D1162" s="6">
        <v>0</v>
      </c>
      <c r="E1162" s="6">
        <v>0</v>
      </c>
      <c r="F1162" s="6">
        <v>0</v>
      </c>
      <c r="L1162">
        <f t="shared" si="258"/>
        <v>0</v>
      </c>
      <c r="M1162">
        <f t="shared" si="259"/>
        <v>0</v>
      </c>
      <c r="N1162">
        <f t="shared" si="260"/>
        <v>0</v>
      </c>
      <c r="O1162">
        <f t="shared" si="261"/>
        <v>0</v>
      </c>
      <c r="P1162">
        <f t="shared" si="262"/>
        <v>0</v>
      </c>
      <c r="Q1162">
        <f t="shared" si="263"/>
        <v>0</v>
      </c>
      <c r="R1162">
        <f t="shared" si="264"/>
        <v>0</v>
      </c>
      <c r="S1162">
        <f t="shared" si="265"/>
        <v>0</v>
      </c>
      <c r="T1162">
        <f t="shared" si="266"/>
        <v>0</v>
      </c>
      <c r="U1162">
        <f t="shared" si="267"/>
        <v>0</v>
      </c>
      <c r="V1162" s="9">
        <f t="shared" si="257"/>
        <v>0</v>
      </c>
      <c r="W1162" s="9">
        <f t="shared" si="257"/>
        <v>0</v>
      </c>
      <c r="X1162" s="9">
        <f t="shared" si="257"/>
        <v>0</v>
      </c>
      <c r="Y1162" s="9">
        <f t="shared" si="257"/>
        <v>0</v>
      </c>
      <c r="Z1162" s="9">
        <f t="shared" si="257"/>
        <v>0</v>
      </c>
      <c r="AA1162" s="9">
        <f t="shared" si="256"/>
        <v>0</v>
      </c>
      <c r="AB1162" s="9">
        <f t="shared" si="256"/>
        <v>0</v>
      </c>
      <c r="AC1162" s="9">
        <f t="shared" si="256"/>
        <v>0</v>
      </c>
      <c r="AD1162" s="9">
        <f t="shared" si="256"/>
        <v>0</v>
      </c>
      <c r="AE1162" s="9">
        <f t="shared" si="256"/>
        <v>0</v>
      </c>
    </row>
    <row r="1163" spans="2:31" x14ac:dyDescent="0.25">
      <c r="B1163" s="6">
        <v>0</v>
      </c>
      <c r="C1163" s="6">
        <v>0</v>
      </c>
      <c r="D1163" s="6">
        <v>0</v>
      </c>
      <c r="E1163" s="6">
        <v>0</v>
      </c>
      <c r="F1163" s="6">
        <v>0</v>
      </c>
      <c r="L1163">
        <f t="shared" si="258"/>
        <v>0</v>
      </c>
      <c r="M1163">
        <f t="shared" si="259"/>
        <v>0</v>
      </c>
      <c r="N1163">
        <f t="shared" si="260"/>
        <v>0</v>
      </c>
      <c r="O1163">
        <f t="shared" si="261"/>
        <v>0</v>
      </c>
      <c r="P1163">
        <f t="shared" si="262"/>
        <v>0</v>
      </c>
      <c r="Q1163">
        <f t="shared" si="263"/>
        <v>0</v>
      </c>
      <c r="R1163">
        <f t="shared" si="264"/>
        <v>0</v>
      </c>
      <c r="S1163">
        <f t="shared" si="265"/>
        <v>0</v>
      </c>
      <c r="T1163">
        <f t="shared" si="266"/>
        <v>0</v>
      </c>
      <c r="U1163">
        <f t="shared" si="267"/>
        <v>0</v>
      </c>
      <c r="V1163" s="9">
        <f t="shared" si="257"/>
        <v>0</v>
      </c>
      <c r="W1163" s="9">
        <f t="shared" si="257"/>
        <v>0</v>
      </c>
      <c r="X1163" s="9">
        <f t="shared" si="257"/>
        <v>0</v>
      </c>
      <c r="Y1163" s="9">
        <f t="shared" si="257"/>
        <v>0</v>
      </c>
      <c r="Z1163" s="9">
        <f t="shared" si="257"/>
        <v>0</v>
      </c>
      <c r="AA1163" s="9">
        <f t="shared" si="256"/>
        <v>0</v>
      </c>
      <c r="AB1163" s="9">
        <f t="shared" si="256"/>
        <v>0</v>
      </c>
      <c r="AC1163" s="9">
        <f t="shared" si="256"/>
        <v>0</v>
      </c>
      <c r="AD1163" s="9">
        <f t="shared" si="256"/>
        <v>0</v>
      </c>
      <c r="AE1163" s="9">
        <f t="shared" si="256"/>
        <v>0</v>
      </c>
    </row>
    <row r="1164" spans="2:31" x14ac:dyDescent="0.25">
      <c r="B1164" s="6">
        <v>0</v>
      </c>
      <c r="C1164" s="6">
        <v>0</v>
      </c>
      <c r="D1164" s="6">
        <v>0</v>
      </c>
      <c r="E1164" s="6">
        <v>0</v>
      </c>
      <c r="F1164" s="6">
        <v>0</v>
      </c>
      <c r="L1164">
        <f t="shared" si="258"/>
        <v>0</v>
      </c>
      <c r="M1164">
        <f t="shared" si="259"/>
        <v>0</v>
      </c>
      <c r="N1164">
        <f t="shared" si="260"/>
        <v>0</v>
      </c>
      <c r="O1164">
        <f t="shared" si="261"/>
        <v>0</v>
      </c>
      <c r="P1164">
        <f t="shared" si="262"/>
        <v>0</v>
      </c>
      <c r="Q1164">
        <f t="shared" si="263"/>
        <v>0</v>
      </c>
      <c r="R1164">
        <f t="shared" si="264"/>
        <v>0</v>
      </c>
      <c r="S1164">
        <f t="shared" si="265"/>
        <v>0</v>
      </c>
      <c r="T1164">
        <f t="shared" si="266"/>
        <v>0</v>
      </c>
      <c r="U1164">
        <f t="shared" si="267"/>
        <v>0</v>
      </c>
      <c r="V1164" s="9">
        <f t="shared" si="257"/>
        <v>0</v>
      </c>
      <c r="W1164" s="9">
        <f t="shared" si="257"/>
        <v>0</v>
      </c>
      <c r="X1164" s="9">
        <f t="shared" si="257"/>
        <v>0</v>
      </c>
      <c r="Y1164" s="9">
        <f t="shared" si="257"/>
        <v>0</v>
      </c>
      <c r="Z1164" s="9">
        <f t="shared" si="257"/>
        <v>0</v>
      </c>
      <c r="AA1164" s="9">
        <f t="shared" si="256"/>
        <v>0</v>
      </c>
      <c r="AB1164" s="9">
        <f t="shared" si="256"/>
        <v>0</v>
      </c>
      <c r="AC1164" s="9">
        <f t="shared" si="256"/>
        <v>0</v>
      </c>
      <c r="AD1164" s="9">
        <f t="shared" si="256"/>
        <v>0</v>
      </c>
      <c r="AE1164" s="9">
        <f t="shared" si="256"/>
        <v>0</v>
      </c>
    </row>
    <row r="1165" spans="2:31" x14ac:dyDescent="0.25">
      <c r="B1165" s="6">
        <v>0</v>
      </c>
      <c r="C1165" s="6">
        <v>0</v>
      </c>
      <c r="D1165" s="6">
        <v>0</v>
      </c>
      <c r="E1165" s="6">
        <v>0</v>
      </c>
      <c r="F1165" s="6">
        <v>0</v>
      </c>
      <c r="L1165">
        <f t="shared" si="258"/>
        <v>0</v>
      </c>
      <c r="M1165">
        <f t="shared" si="259"/>
        <v>0</v>
      </c>
      <c r="N1165">
        <f t="shared" si="260"/>
        <v>0</v>
      </c>
      <c r="O1165">
        <f t="shared" si="261"/>
        <v>0</v>
      </c>
      <c r="P1165">
        <f t="shared" si="262"/>
        <v>0</v>
      </c>
      <c r="Q1165">
        <f t="shared" si="263"/>
        <v>0</v>
      </c>
      <c r="R1165">
        <f t="shared" si="264"/>
        <v>0</v>
      </c>
      <c r="S1165">
        <f t="shared" si="265"/>
        <v>0</v>
      </c>
      <c r="T1165">
        <f t="shared" si="266"/>
        <v>0</v>
      </c>
      <c r="U1165">
        <f t="shared" si="267"/>
        <v>0</v>
      </c>
      <c r="V1165" s="9">
        <f t="shared" si="257"/>
        <v>0</v>
      </c>
      <c r="W1165" s="9">
        <f t="shared" si="257"/>
        <v>0</v>
      </c>
      <c r="X1165" s="9">
        <f t="shared" si="257"/>
        <v>0</v>
      </c>
      <c r="Y1165" s="9">
        <f t="shared" si="257"/>
        <v>0</v>
      </c>
      <c r="Z1165" s="9">
        <f t="shared" si="257"/>
        <v>0</v>
      </c>
      <c r="AA1165" s="9">
        <f t="shared" si="256"/>
        <v>0</v>
      </c>
      <c r="AB1165" s="9">
        <f t="shared" si="256"/>
        <v>0</v>
      </c>
      <c r="AC1165" s="9">
        <f t="shared" si="256"/>
        <v>0</v>
      </c>
      <c r="AD1165" s="9">
        <f t="shared" si="256"/>
        <v>0</v>
      </c>
      <c r="AE1165" s="9">
        <f t="shared" si="256"/>
        <v>0</v>
      </c>
    </row>
    <row r="1166" spans="2:31" x14ac:dyDescent="0.25">
      <c r="B1166" s="6">
        <v>0</v>
      </c>
      <c r="C1166" s="6">
        <v>0</v>
      </c>
      <c r="D1166" s="6">
        <v>0</v>
      </c>
      <c r="E1166" s="6">
        <v>0</v>
      </c>
      <c r="F1166" s="6">
        <v>0</v>
      </c>
      <c r="L1166">
        <f t="shared" si="258"/>
        <v>0</v>
      </c>
      <c r="M1166">
        <f t="shared" si="259"/>
        <v>0</v>
      </c>
      <c r="N1166">
        <f t="shared" si="260"/>
        <v>0</v>
      </c>
      <c r="O1166">
        <f t="shared" si="261"/>
        <v>0</v>
      </c>
      <c r="P1166">
        <f t="shared" si="262"/>
        <v>0</v>
      </c>
      <c r="Q1166">
        <f t="shared" si="263"/>
        <v>0</v>
      </c>
      <c r="R1166">
        <f t="shared" si="264"/>
        <v>0</v>
      </c>
      <c r="S1166">
        <f t="shared" si="265"/>
        <v>0</v>
      </c>
      <c r="T1166">
        <f t="shared" si="266"/>
        <v>0</v>
      </c>
      <c r="U1166">
        <f t="shared" si="267"/>
        <v>0</v>
      </c>
      <c r="V1166" s="9">
        <f t="shared" si="257"/>
        <v>0</v>
      </c>
      <c r="W1166" s="9">
        <f t="shared" si="257"/>
        <v>0</v>
      </c>
      <c r="X1166" s="9">
        <f t="shared" si="257"/>
        <v>0</v>
      </c>
      <c r="Y1166" s="9">
        <f t="shared" si="257"/>
        <v>0</v>
      </c>
      <c r="Z1166" s="9">
        <f t="shared" si="257"/>
        <v>0</v>
      </c>
      <c r="AA1166" s="9">
        <f t="shared" si="256"/>
        <v>0</v>
      </c>
      <c r="AB1166" s="9">
        <f t="shared" si="256"/>
        <v>0</v>
      </c>
      <c r="AC1166" s="9">
        <f t="shared" si="256"/>
        <v>0</v>
      </c>
      <c r="AD1166" s="9">
        <f t="shared" si="256"/>
        <v>0</v>
      </c>
      <c r="AE1166" s="9">
        <f t="shared" si="256"/>
        <v>0</v>
      </c>
    </row>
    <row r="1167" spans="2:31" x14ac:dyDescent="0.25">
      <c r="B1167" s="6">
        <v>0</v>
      </c>
      <c r="C1167" s="6">
        <v>0</v>
      </c>
      <c r="D1167" s="6">
        <v>0</v>
      </c>
      <c r="E1167" s="6">
        <v>0</v>
      </c>
      <c r="F1167" s="6">
        <v>0</v>
      </c>
      <c r="L1167">
        <f t="shared" si="258"/>
        <v>0</v>
      </c>
      <c r="M1167">
        <f t="shared" si="259"/>
        <v>0</v>
      </c>
      <c r="N1167">
        <f t="shared" si="260"/>
        <v>0</v>
      </c>
      <c r="O1167">
        <f t="shared" si="261"/>
        <v>0</v>
      </c>
      <c r="P1167">
        <f t="shared" si="262"/>
        <v>0</v>
      </c>
      <c r="Q1167">
        <f t="shared" si="263"/>
        <v>0</v>
      </c>
      <c r="R1167">
        <f t="shared" si="264"/>
        <v>0</v>
      </c>
      <c r="S1167">
        <f t="shared" si="265"/>
        <v>0</v>
      </c>
      <c r="T1167">
        <f t="shared" si="266"/>
        <v>0</v>
      </c>
      <c r="U1167">
        <f t="shared" si="267"/>
        <v>0</v>
      </c>
      <c r="V1167" s="9">
        <f t="shared" si="257"/>
        <v>0</v>
      </c>
      <c r="W1167" s="9">
        <f t="shared" si="257"/>
        <v>0</v>
      </c>
      <c r="X1167" s="9">
        <f t="shared" si="257"/>
        <v>0</v>
      </c>
      <c r="Y1167" s="9">
        <f t="shared" si="257"/>
        <v>0</v>
      </c>
      <c r="Z1167" s="9">
        <f t="shared" si="257"/>
        <v>0</v>
      </c>
      <c r="AA1167" s="9">
        <f t="shared" si="256"/>
        <v>0</v>
      </c>
      <c r="AB1167" s="9">
        <f t="shared" si="256"/>
        <v>0</v>
      </c>
      <c r="AC1167" s="9">
        <f t="shared" si="256"/>
        <v>0</v>
      </c>
      <c r="AD1167" s="9">
        <f t="shared" si="256"/>
        <v>0</v>
      </c>
      <c r="AE1167" s="9">
        <f t="shared" si="256"/>
        <v>0</v>
      </c>
    </row>
    <row r="1168" spans="2:31" x14ac:dyDescent="0.25">
      <c r="B1168" s="6">
        <v>0</v>
      </c>
      <c r="C1168" s="6">
        <v>0</v>
      </c>
      <c r="D1168" s="6">
        <v>0</v>
      </c>
      <c r="E1168" s="6">
        <v>0</v>
      </c>
      <c r="F1168" s="6">
        <v>0</v>
      </c>
      <c r="L1168">
        <f t="shared" si="258"/>
        <v>0</v>
      </c>
      <c r="M1168">
        <f t="shared" si="259"/>
        <v>0</v>
      </c>
      <c r="N1168">
        <f t="shared" si="260"/>
        <v>0</v>
      </c>
      <c r="O1168">
        <f t="shared" si="261"/>
        <v>0</v>
      </c>
      <c r="P1168">
        <f t="shared" si="262"/>
        <v>0</v>
      </c>
      <c r="Q1168">
        <f t="shared" si="263"/>
        <v>0</v>
      </c>
      <c r="R1168">
        <f t="shared" si="264"/>
        <v>0</v>
      </c>
      <c r="S1168">
        <f t="shared" si="265"/>
        <v>0</v>
      </c>
      <c r="T1168">
        <f t="shared" si="266"/>
        <v>0</v>
      </c>
      <c r="U1168">
        <f t="shared" si="267"/>
        <v>0</v>
      </c>
      <c r="V1168" s="9">
        <f t="shared" si="257"/>
        <v>0</v>
      </c>
      <c r="W1168" s="9">
        <f t="shared" si="257"/>
        <v>0</v>
      </c>
      <c r="X1168" s="9">
        <f t="shared" si="257"/>
        <v>0</v>
      </c>
      <c r="Y1168" s="9">
        <f t="shared" si="257"/>
        <v>0</v>
      </c>
      <c r="Z1168" s="9">
        <f t="shared" si="257"/>
        <v>0</v>
      </c>
      <c r="AA1168" s="9">
        <f t="shared" si="256"/>
        <v>0</v>
      </c>
      <c r="AB1168" s="9">
        <f t="shared" si="256"/>
        <v>0</v>
      </c>
      <c r="AC1168" s="9">
        <f t="shared" si="256"/>
        <v>0</v>
      </c>
      <c r="AD1168" s="9">
        <f t="shared" si="256"/>
        <v>0</v>
      </c>
      <c r="AE1168" s="9">
        <f t="shared" si="256"/>
        <v>0</v>
      </c>
    </row>
    <row r="1169" spans="2:31" x14ac:dyDescent="0.25">
      <c r="B1169" s="6">
        <v>0</v>
      </c>
      <c r="C1169" s="6">
        <v>0</v>
      </c>
      <c r="D1169" s="6">
        <v>0</v>
      </c>
      <c r="E1169" s="6">
        <v>0</v>
      </c>
      <c r="F1169" s="6">
        <v>0</v>
      </c>
      <c r="L1169">
        <f t="shared" si="258"/>
        <v>0</v>
      </c>
      <c r="M1169">
        <f t="shared" si="259"/>
        <v>0</v>
      </c>
      <c r="N1169">
        <f t="shared" si="260"/>
        <v>0</v>
      </c>
      <c r="O1169">
        <f t="shared" si="261"/>
        <v>0</v>
      </c>
      <c r="P1169">
        <f t="shared" si="262"/>
        <v>0</v>
      </c>
      <c r="Q1169">
        <f t="shared" si="263"/>
        <v>0</v>
      </c>
      <c r="R1169">
        <f t="shared" si="264"/>
        <v>0</v>
      </c>
      <c r="S1169">
        <f t="shared" si="265"/>
        <v>0</v>
      </c>
      <c r="T1169">
        <f t="shared" si="266"/>
        <v>0</v>
      </c>
      <c r="U1169">
        <f t="shared" si="267"/>
        <v>0</v>
      </c>
      <c r="V1169" s="9">
        <f t="shared" si="257"/>
        <v>0</v>
      </c>
      <c r="W1169" s="9">
        <f t="shared" si="257"/>
        <v>0</v>
      </c>
      <c r="X1169" s="9">
        <f t="shared" si="257"/>
        <v>0</v>
      </c>
      <c r="Y1169" s="9">
        <f t="shared" si="257"/>
        <v>0</v>
      </c>
      <c r="Z1169" s="9">
        <f t="shared" si="257"/>
        <v>0</v>
      </c>
      <c r="AA1169" s="9">
        <f t="shared" si="256"/>
        <v>0</v>
      </c>
      <c r="AB1169" s="9">
        <f t="shared" si="256"/>
        <v>0</v>
      </c>
      <c r="AC1169" s="9">
        <f t="shared" si="256"/>
        <v>0</v>
      </c>
      <c r="AD1169" s="9">
        <f t="shared" si="256"/>
        <v>0</v>
      </c>
      <c r="AE1169" s="9">
        <f t="shared" si="256"/>
        <v>0</v>
      </c>
    </row>
    <row r="1170" spans="2:31" x14ac:dyDescent="0.25">
      <c r="B1170" s="6">
        <v>0</v>
      </c>
      <c r="C1170" s="6">
        <v>0</v>
      </c>
      <c r="D1170" s="6">
        <v>0</v>
      </c>
      <c r="E1170" s="6">
        <v>0</v>
      </c>
      <c r="F1170" s="6">
        <v>0</v>
      </c>
      <c r="L1170">
        <f t="shared" si="258"/>
        <v>0</v>
      </c>
      <c r="M1170">
        <f t="shared" si="259"/>
        <v>0</v>
      </c>
      <c r="N1170">
        <f t="shared" si="260"/>
        <v>0</v>
      </c>
      <c r="O1170">
        <f t="shared" si="261"/>
        <v>0</v>
      </c>
      <c r="P1170">
        <f t="shared" si="262"/>
        <v>0</v>
      </c>
      <c r="Q1170">
        <f t="shared" si="263"/>
        <v>0</v>
      </c>
      <c r="R1170">
        <f t="shared" si="264"/>
        <v>0</v>
      </c>
      <c r="S1170">
        <f t="shared" si="265"/>
        <v>0</v>
      </c>
      <c r="T1170">
        <f t="shared" si="266"/>
        <v>0</v>
      </c>
      <c r="U1170">
        <f t="shared" si="267"/>
        <v>0</v>
      </c>
      <c r="V1170" s="9">
        <f t="shared" si="257"/>
        <v>0</v>
      </c>
      <c r="W1170" s="9">
        <f t="shared" si="257"/>
        <v>0</v>
      </c>
      <c r="X1170" s="9">
        <f t="shared" si="257"/>
        <v>0</v>
      </c>
      <c r="Y1170" s="9">
        <f t="shared" si="257"/>
        <v>0</v>
      </c>
      <c r="Z1170" s="9">
        <f t="shared" si="257"/>
        <v>0</v>
      </c>
      <c r="AA1170" s="9">
        <f t="shared" si="256"/>
        <v>0</v>
      </c>
      <c r="AB1170" s="9">
        <f t="shared" si="256"/>
        <v>0</v>
      </c>
      <c r="AC1170" s="9">
        <f t="shared" si="256"/>
        <v>0</v>
      </c>
      <c r="AD1170" s="9">
        <f t="shared" si="256"/>
        <v>0</v>
      </c>
      <c r="AE1170" s="9">
        <f t="shared" si="256"/>
        <v>0</v>
      </c>
    </row>
    <row r="1171" spans="2:31" x14ac:dyDescent="0.25">
      <c r="B1171" s="6">
        <v>0</v>
      </c>
      <c r="C1171" s="6">
        <v>0</v>
      </c>
      <c r="D1171" s="6">
        <v>0</v>
      </c>
      <c r="E1171" s="6">
        <v>0</v>
      </c>
      <c r="F1171" s="6">
        <v>0</v>
      </c>
      <c r="L1171">
        <f t="shared" si="258"/>
        <v>0</v>
      </c>
      <c r="M1171">
        <f t="shared" si="259"/>
        <v>0</v>
      </c>
      <c r="N1171">
        <f t="shared" si="260"/>
        <v>0</v>
      </c>
      <c r="O1171">
        <f t="shared" si="261"/>
        <v>0</v>
      </c>
      <c r="P1171">
        <f t="shared" si="262"/>
        <v>0</v>
      </c>
      <c r="Q1171">
        <f t="shared" si="263"/>
        <v>0</v>
      </c>
      <c r="R1171">
        <f t="shared" si="264"/>
        <v>0</v>
      </c>
      <c r="S1171">
        <f t="shared" si="265"/>
        <v>0</v>
      </c>
      <c r="T1171">
        <f t="shared" si="266"/>
        <v>0</v>
      </c>
      <c r="U1171">
        <f t="shared" si="267"/>
        <v>0</v>
      </c>
      <c r="V1171" s="9">
        <f t="shared" si="257"/>
        <v>0</v>
      </c>
      <c r="W1171" s="9">
        <f t="shared" si="257"/>
        <v>0</v>
      </c>
      <c r="X1171" s="9">
        <f t="shared" si="257"/>
        <v>0</v>
      </c>
      <c r="Y1171" s="9">
        <f t="shared" si="257"/>
        <v>0</v>
      </c>
      <c r="Z1171" s="9">
        <f t="shared" si="257"/>
        <v>0</v>
      </c>
      <c r="AA1171" s="9">
        <f t="shared" si="256"/>
        <v>0</v>
      </c>
      <c r="AB1171" s="9">
        <f t="shared" si="256"/>
        <v>0</v>
      </c>
      <c r="AC1171" s="9">
        <f t="shared" si="256"/>
        <v>0</v>
      </c>
      <c r="AD1171" s="9">
        <f t="shared" si="256"/>
        <v>0</v>
      </c>
      <c r="AE1171" s="9">
        <f t="shared" si="256"/>
        <v>0</v>
      </c>
    </row>
    <row r="1172" spans="2:31" x14ac:dyDescent="0.25">
      <c r="B1172" s="6">
        <v>0</v>
      </c>
      <c r="C1172" s="6">
        <v>0</v>
      </c>
      <c r="D1172" s="6">
        <v>0</v>
      </c>
      <c r="E1172" s="6">
        <v>0</v>
      </c>
      <c r="F1172" s="6">
        <v>0</v>
      </c>
      <c r="L1172">
        <f t="shared" si="258"/>
        <v>0</v>
      </c>
      <c r="M1172">
        <f t="shared" si="259"/>
        <v>0</v>
      </c>
      <c r="N1172">
        <f t="shared" si="260"/>
        <v>0</v>
      </c>
      <c r="O1172">
        <f t="shared" si="261"/>
        <v>0</v>
      </c>
      <c r="P1172">
        <f t="shared" si="262"/>
        <v>0</v>
      </c>
      <c r="Q1172">
        <f t="shared" si="263"/>
        <v>0</v>
      </c>
      <c r="R1172">
        <f t="shared" si="264"/>
        <v>0</v>
      </c>
      <c r="S1172">
        <f t="shared" si="265"/>
        <v>0</v>
      </c>
      <c r="T1172">
        <f t="shared" si="266"/>
        <v>0</v>
      </c>
      <c r="U1172">
        <f t="shared" si="267"/>
        <v>0</v>
      </c>
      <c r="V1172" s="9">
        <f t="shared" si="257"/>
        <v>0</v>
      </c>
      <c r="W1172" s="9">
        <f t="shared" si="257"/>
        <v>0</v>
      </c>
      <c r="X1172" s="9">
        <f t="shared" si="257"/>
        <v>0</v>
      </c>
      <c r="Y1172" s="9">
        <f t="shared" si="257"/>
        <v>0</v>
      </c>
      <c r="Z1172" s="9">
        <f t="shared" si="257"/>
        <v>0</v>
      </c>
      <c r="AA1172" s="9">
        <f t="shared" si="256"/>
        <v>0</v>
      </c>
      <c r="AB1172" s="9">
        <f t="shared" si="256"/>
        <v>0</v>
      </c>
      <c r="AC1172" s="9">
        <f t="shared" si="256"/>
        <v>0</v>
      </c>
      <c r="AD1172" s="9">
        <f t="shared" si="256"/>
        <v>0</v>
      </c>
      <c r="AE1172" s="9">
        <f t="shared" si="256"/>
        <v>0</v>
      </c>
    </row>
    <row r="1173" spans="2:31" x14ac:dyDescent="0.25">
      <c r="B1173" s="6">
        <v>0</v>
      </c>
      <c r="C1173" s="6">
        <v>0</v>
      </c>
      <c r="D1173" s="6">
        <v>0</v>
      </c>
      <c r="E1173" s="6">
        <v>0</v>
      </c>
      <c r="F1173" s="6">
        <v>0</v>
      </c>
      <c r="L1173">
        <f t="shared" si="258"/>
        <v>0</v>
      </c>
      <c r="M1173">
        <f t="shared" si="259"/>
        <v>0</v>
      </c>
      <c r="N1173">
        <f t="shared" si="260"/>
        <v>0</v>
      </c>
      <c r="O1173">
        <f t="shared" si="261"/>
        <v>0</v>
      </c>
      <c r="P1173">
        <f t="shared" si="262"/>
        <v>0</v>
      </c>
      <c r="Q1173">
        <f t="shared" si="263"/>
        <v>0</v>
      </c>
      <c r="R1173">
        <f t="shared" si="264"/>
        <v>0</v>
      </c>
      <c r="S1173">
        <f t="shared" si="265"/>
        <v>0</v>
      </c>
      <c r="T1173">
        <f t="shared" si="266"/>
        <v>0</v>
      </c>
      <c r="U1173">
        <f t="shared" si="267"/>
        <v>0</v>
      </c>
      <c r="V1173" s="9">
        <f t="shared" si="257"/>
        <v>0</v>
      </c>
      <c r="W1173" s="9">
        <f t="shared" si="257"/>
        <v>0</v>
      </c>
      <c r="X1173" s="9">
        <f t="shared" si="257"/>
        <v>0</v>
      </c>
      <c r="Y1173" s="9">
        <f t="shared" si="257"/>
        <v>0</v>
      </c>
      <c r="Z1173" s="9">
        <f t="shared" si="257"/>
        <v>0</v>
      </c>
      <c r="AA1173" s="9">
        <f t="shared" si="256"/>
        <v>0</v>
      </c>
      <c r="AB1173" s="9">
        <f t="shared" si="256"/>
        <v>0</v>
      </c>
      <c r="AC1173" s="9">
        <f t="shared" si="256"/>
        <v>0</v>
      </c>
      <c r="AD1173" s="9">
        <f t="shared" si="256"/>
        <v>0</v>
      </c>
      <c r="AE1173" s="9">
        <f t="shared" si="256"/>
        <v>0</v>
      </c>
    </row>
    <row r="1174" spans="2:31" x14ac:dyDescent="0.25">
      <c r="B1174" s="6">
        <v>0</v>
      </c>
      <c r="C1174" s="6">
        <v>0</v>
      </c>
      <c r="D1174" s="6">
        <v>0</v>
      </c>
      <c r="E1174" s="6">
        <v>0</v>
      </c>
      <c r="F1174" s="6">
        <v>0</v>
      </c>
      <c r="L1174">
        <f t="shared" si="258"/>
        <v>0</v>
      </c>
      <c r="M1174">
        <f t="shared" si="259"/>
        <v>0</v>
      </c>
      <c r="N1174">
        <f t="shared" si="260"/>
        <v>0</v>
      </c>
      <c r="O1174">
        <f t="shared" si="261"/>
        <v>0</v>
      </c>
      <c r="P1174">
        <f t="shared" si="262"/>
        <v>0</v>
      </c>
      <c r="Q1174">
        <f t="shared" si="263"/>
        <v>0</v>
      </c>
      <c r="R1174">
        <f t="shared" si="264"/>
        <v>0</v>
      </c>
      <c r="S1174">
        <f t="shared" si="265"/>
        <v>0</v>
      </c>
      <c r="T1174">
        <f t="shared" si="266"/>
        <v>0</v>
      </c>
      <c r="U1174">
        <f t="shared" si="267"/>
        <v>0</v>
      </c>
      <c r="V1174" s="9">
        <f t="shared" si="257"/>
        <v>0</v>
      </c>
      <c r="W1174" s="9">
        <f t="shared" si="257"/>
        <v>0</v>
      </c>
      <c r="X1174" s="9">
        <f t="shared" si="257"/>
        <v>0</v>
      </c>
      <c r="Y1174" s="9">
        <f t="shared" si="257"/>
        <v>0</v>
      </c>
      <c r="Z1174" s="9">
        <f t="shared" si="257"/>
        <v>0</v>
      </c>
      <c r="AA1174" s="9">
        <f t="shared" si="256"/>
        <v>0</v>
      </c>
      <c r="AB1174" s="9">
        <f t="shared" si="256"/>
        <v>0</v>
      </c>
      <c r="AC1174" s="9">
        <f t="shared" si="256"/>
        <v>0</v>
      </c>
      <c r="AD1174" s="9">
        <f t="shared" si="256"/>
        <v>0</v>
      </c>
      <c r="AE1174" s="9">
        <f t="shared" si="256"/>
        <v>0</v>
      </c>
    </row>
    <row r="1175" spans="2:31" x14ac:dyDescent="0.25">
      <c r="B1175" s="6">
        <v>0</v>
      </c>
      <c r="C1175" s="6">
        <v>0</v>
      </c>
      <c r="D1175" s="6">
        <v>0</v>
      </c>
      <c r="E1175" s="6">
        <v>0</v>
      </c>
      <c r="F1175" s="6">
        <v>0</v>
      </c>
      <c r="L1175">
        <f t="shared" si="258"/>
        <v>0</v>
      </c>
      <c r="M1175">
        <f t="shared" si="259"/>
        <v>0</v>
      </c>
      <c r="N1175">
        <f t="shared" si="260"/>
        <v>0</v>
      </c>
      <c r="O1175">
        <f t="shared" si="261"/>
        <v>0</v>
      </c>
      <c r="P1175">
        <f t="shared" si="262"/>
        <v>0</v>
      </c>
      <c r="Q1175">
        <f t="shared" si="263"/>
        <v>0</v>
      </c>
      <c r="R1175">
        <f t="shared" si="264"/>
        <v>0</v>
      </c>
      <c r="S1175">
        <f t="shared" si="265"/>
        <v>0</v>
      </c>
      <c r="T1175">
        <f t="shared" si="266"/>
        <v>0</v>
      </c>
      <c r="U1175">
        <f t="shared" si="267"/>
        <v>0</v>
      </c>
      <c r="V1175" s="9">
        <f t="shared" si="257"/>
        <v>0</v>
      </c>
      <c r="W1175" s="9">
        <f t="shared" si="257"/>
        <v>0</v>
      </c>
      <c r="X1175" s="9">
        <f t="shared" si="257"/>
        <v>0</v>
      </c>
      <c r="Y1175" s="9">
        <f t="shared" si="257"/>
        <v>0</v>
      </c>
      <c r="Z1175" s="9">
        <f t="shared" si="257"/>
        <v>0</v>
      </c>
      <c r="AA1175" s="9">
        <f t="shared" si="256"/>
        <v>0</v>
      </c>
      <c r="AB1175" s="9">
        <f t="shared" si="256"/>
        <v>0</v>
      </c>
      <c r="AC1175" s="9">
        <f t="shared" si="256"/>
        <v>0</v>
      </c>
      <c r="AD1175" s="9">
        <f t="shared" si="256"/>
        <v>0</v>
      </c>
      <c r="AE1175" s="9">
        <f t="shared" si="256"/>
        <v>0</v>
      </c>
    </row>
    <row r="1176" spans="2:31" x14ac:dyDescent="0.25">
      <c r="B1176" s="6">
        <v>0</v>
      </c>
      <c r="C1176" s="6">
        <v>0</v>
      </c>
      <c r="D1176" s="6">
        <v>0</v>
      </c>
      <c r="E1176" s="6">
        <v>0</v>
      </c>
      <c r="F1176" s="6">
        <v>0</v>
      </c>
      <c r="L1176">
        <f t="shared" si="258"/>
        <v>0</v>
      </c>
      <c r="M1176">
        <f t="shared" si="259"/>
        <v>0</v>
      </c>
      <c r="N1176">
        <f t="shared" si="260"/>
        <v>0</v>
      </c>
      <c r="O1176">
        <f t="shared" si="261"/>
        <v>0</v>
      </c>
      <c r="P1176">
        <f t="shared" si="262"/>
        <v>0</v>
      </c>
      <c r="Q1176">
        <f t="shared" si="263"/>
        <v>0</v>
      </c>
      <c r="R1176">
        <f t="shared" si="264"/>
        <v>0</v>
      </c>
      <c r="S1176">
        <f t="shared" si="265"/>
        <v>0</v>
      </c>
      <c r="T1176">
        <f t="shared" si="266"/>
        <v>0</v>
      </c>
      <c r="U1176">
        <f t="shared" si="267"/>
        <v>0</v>
      </c>
      <c r="V1176" s="9">
        <f t="shared" si="257"/>
        <v>0</v>
      </c>
      <c r="W1176" s="9">
        <f t="shared" si="257"/>
        <v>0</v>
      </c>
      <c r="X1176" s="9">
        <f t="shared" si="257"/>
        <v>0</v>
      </c>
      <c r="Y1176" s="9">
        <f t="shared" si="257"/>
        <v>0</v>
      </c>
      <c r="Z1176" s="9">
        <f t="shared" si="257"/>
        <v>0</v>
      </c>
      <c r="AA1176" s="9">
        <f t="shared" si="256"/>
        <v>0</v>
      </c>
      <c r="AB1176" s="9">
        <f t="shared" si="256"/>
        <v>0</v>
      </c>
      <c r="AC1176" s="9">
        <f t="shared" si="256"/>
        <v>0</v>
      </c>
      <c r="AD1176" s="9">
        <f t="shared" si="256"/>
        <v>0</v>
      </c>
      <c r="AE1176" s="9">
        <f t="shared" si="256"/>
        <v>0</v>
      </c>
    </row>
    <row r="1177" spans="2:31" x14ac:dyDescent="0.25">
      <c r="B1177" s="6">
        <v>0</v>
      </c>
      <c r="C1177" s="6">
        <v>0</v>
      </c>
      <c r="D1177" s="6">
        <v>0</v>
      </c>
      <c r="E1177" s="6">
        <v>0</v>
      </c>
      <c r="F1177" s="6">
        <v>0</v>
      </c>
      <c r="L1177">
        <f t="shared" si="258"/>
        <v>0</v>
      </c>
      <c r="M1177">
        <f t="shared" si="259"/>
        <v>0</v>
      </c>
      <c r="N1177">
        <f t="shared" si="260"/>
        <v>0</v>
      </c>
      <c r="O1177">
        <f t="shared" si="261"/>
        <v>0</v>
      </c>
      <c r="P1177">
        <f t="shared" si="262"/>
        <v>0</v>
      </c>
      <c r="Q1177">
        <f t="shared" si="263"/>
        <v>0</v>
      </c>
      <c r="R1177">
        <f t="shared" si="264"/>
        <v>0</v>
      </c>
      <c r="S1177">
        <f t="shared" si="265"/>
        <v>0</v>
      </c>
      <c r="T1177">
        <f t="shared" si="266"/>
        <v>0</v>
      </c>
      <c r="U1177">
        <f t="shared" si="267"/>
        <v>0</v>
      </c>
      <c r="V1177" s="9">
        <f t="shared" si="257"/>
        <v>0</v>
      </c>
      <c r="W1177" s="9">
        <f t="shared" si="257"/>
        <v>0</v>
      </c>
      <c r="X1177" s="9">
        <f t="shared" si="257"/>
        <v>0</v>
      </c>
      <c r="Y1177" s="9">
        <f t="shared" si="257"/>
        <v>0</v>
      </c>
      <c r="Z1177" s="9">
        <f t="shared" si="257"/>
        <v>0</v>
      </c>
      <c r="AA1177" s="9">
        <f t="shared" si="256"/>
        <v>0</v>
      </c>
      <c r="AB1177" s="9">
        <f t="shared" si="256"/>
        <v>0</v>
      </c>
      <c r="AC1177" s="9">
        <f t="shared" si="256"/>
        <v>0</v>
      </c>
      <c r="AD1177" s="9">
        <f t="shared" si="256"/>
        <v>0</v>
      </c>
      <c r="AE1177" s="9">
        <f t="shared" si="256"/>
        <v>0</v>
      </c>
    </row>
    <row r="1178" spans="2:31" x14ac:dyDescent="0.25">
      <c r="B1178" s="6">
        <v>0</v>
      </c>
      <c r="C1178" s="6">
        <v>0</v>
      </c>
      <c r="D1178" s="6">
        <v>0</v>
      </c>
      <c r="E1178" s="6">
        <v>0</v>
      </c>
      <c r="F1178" s="6">
        <v>0</v>
      </c>
      <c r="L1178">
        <f t="shared" si="258"/>
        <v>0</v>
      </c>
      <c r="M1178">
        <f t="shared" si="259"/>
        <v>0</v>
      </c>
      <c r="N1178">
        <f t="shared" si="260"/>
        <v>0</v>
      </c>
      <c r="O1178">
        <f t="shared" si="261"/>
        <v>0</v>
      </c>
      <c r="P1178">
        <f t="shared" si="262"/>
        <v>0</v>
      </c>
      <c r="Q1178">
        <f t="shared" si="263"/>
        <v>0</v>
      </c>
      <c r="R1178">
        <f t="shared" si="264"/>
        <v>0</v>
      </c>
      <c r="S1178">
        <f t="shared" si="265"/>
        <v>0</v>
      </c>
      <c r="T1178">
        <f t="shared" si="266"/>
        <v>0</v>
      </c>
      <c r="U1178">
        <f t="shared" si="267"/>
        <v>0</v>
      </c>
      <c r="V1178" s="9">
        <f t="shared" si="257"/>
        <v>0</v>
      </c>
      <c r="W1178" s="9">
        <f t="shared" si="257"/>
        <v>0</v>
      </c>
      <c r="X1178" s="9">
        <f t="shared" si="257"/>
        <v>0</v>
      </c>
      <c r="Y1178" s="9">
        <f t="shared" si="257"/>
        <v>0</v>
      </c>
      <c r="Z1178" s="9">
        <f t="shared" si="257"/>
        <v>0</v>
      </c>
      <c r="AA1178" s="9">
        <f t="shared" si="256"/>
        <v>0</v>
      </c>
      <c r="AB1178" s="9">
        <f t="shared" si="256"/>
        <v>0</v>
      </c>
      <c r="AC1178" s="9">
        <f t="shared" si="256"/>
        <v>0</v>
      </c>
      <c r="AD1178" s="9">
        <f t="shared" si="256"/>
        <v>0</v>
      </c>
      <c r="AE1178" s="9">
        <f t="shared" si="256"/>
        <v>0</v>
      </c>
    </row>
    <row r="1179" spans="2:31" x14ac:dyDescent="0.25">
      <c r="B1179" s="6">
        <v>0</v>
      </c>
      <c r="C1179" s="6">
        <v>0</v>
      </c>
      <c r="D1179" s="6">
        <v>0</v>
      </c>
      <c r="E1179" s="6">
        <v>0</v>
      </c>
      <c r="F1179" s="6">
        <v>0</v>
      </c>
      <c r="L1179">
        <f t="shared" si="258"/>
        <v>0</v>
      </c>
      <c r="M1179">
        <f t="shared" si="259"/>
        <v>0</v>
      </c>
      <c r="N1179">
        <f t="shared" si="260"/>
        <v>0</v>
      </c>
      <c r="O1179">
        <f t="shared" si="261"/>
        <v>0</v>
      </c>
      <c r="P1179">
        <f t="shared" si="262"/>
        <v>0</v>
      </c>
      <c r="Q1179">
        <f t="shared" si="263"/>
        <v>0</v>
      </c>
      <c r="R1179">
        <f t="shared" si="264"/>
        <v>0</v>
      </c>
      <c r="S1179">
        <f t="shared" si="265"/>
        <v>0</v>
      </c>
      <c r="T1179">
        <f t="shared" si="266"/>
        <v>0</v>
      </c>
      <c r="U1179">
        <f t="shared" si="267"/>
        <v>0</v>
      </c>
      <c r="V1179" s="9">
        <f t="shared" si="257"/>
        <v>0</v>
      </c>
      <c r="W1179" s="9">
        <f t="shared" si="257"/>
        <v>0</v>
      </c>
      <c r="X1179" s="9">
        <f t="shared" si="257"/>
        <v>0</v>
      </c>
      <c r="Y1179" s="9">
        <f t="shared" si="257"/>
        <v>0</v>
      </c>
      <c r="Z1179" s="9">
        <f t="shared" si="257"/>
        <v>0</v>
      </c>
      <c r="AA1179" s="9">
        <f t="shared" si="256"/>
        <v>0</v>
      </c>
      <c r="AB1179" s="9">
        <f t="shared" si="256"/>
        <v>0</v>
      </c>
      <c r="AC1179" s="9">
        <f t="shared" si="256"/>
        <v>0</v>
      </c>
      <c r="AD1179" s="9">
        <f t="shared" si="256"/>
        <v>0</v>
      </c>
      <c r="AE1179" s="9">
        <f t="shared" si="256"/>
        <v>0</v>
      </c>
    </row>
    <row r="1180" spans="2:31" x14ac:dyDescent="0.25">
      <c r="B1180" s="6">
        <v>0</v>
      </c>
      <c r="C1180" s="6">
        <v>0</v>
      </c>
      <c r="D1180" s="6">
        <v>0</v>
      </c>
      <c r="E1180" s="6">
        <v>0</v>
      </c>
      <c r="F1180" s="6">
        <v>0</v>
      </c>
      <c r="L1180">
        <f t="shared" si="258"/>
        <v>0</v>
      </c>
      <c r="M1180">
        <f t="shared" si="259"/>
        <v>0</v>
      </c>
      <c r="N1180">
        <f t="shared" si="260"/>
        <v>0</v>
      </c>
      <c r="O1180">
        <f t="shared" si="261"/>
        <v>0</v>
      </c>
      <c r="P1180">
        <f t="shared" si="262"/>
        <v>0</v>
      </c>
      <c r="Q1180">
        <f t="shared" si="263"/>
        <v>0</v>
      </c>
      <c r="R1180">
        <f t="shared" si="264"/>
        <v>0</v>
      </c>
      <c r="S1180">
        <f t="shared" si="265"/>
        <v>0</v>
      </c>
      <c r="T1180">
        <f t="shared" si="266"/>
        <v>0</v>
      </c>
      <c r="U1180">
        <f t="shared" si="267"/>
        <v>0</v>
      </c>
      <c r="V1180" s="9">
        <f t="shared" si="257"/>
        <v>0</v>
      </c>
      <c r="W1180" s="9">
        <f t="shared" si="257"/>
        <v>0</v>
      </c>
      <c r="X1180" s="9">
        <f t="shared" si="257"/>
        <v>0</v>
      </c>
      <c r="Y1180" s="9">
        <f t="shared" si="257"/>
        <v>0</v>
      </c>
      <c r="Z1180" s="9">
        <f t="shared" si="257"/>
        <v>0</v>
      </c>
      <c r="AA1180" s="9">
        <f t="shared" si="256"/>
        <v>0</v>
      </c>
      <c r="AB1180" s="9">
        <f t="shared" si="256"/>
        <v>0</v>
      </c>
      <c r="AC1180" s="9">
        <f t="shared" si="256"/>
        <v>0</v>
      </c>
      <c r="AD1180" s="9">
        <f t="shared" si="256"/>
        <v>0</v>
      </c>
      <c r="AE1180" s="9">
        <f t="shared" si="256"/>
        <v>0</v>
      </c>
    </row>
    <row r="1181" spans="2:31" x14ac:dyDescent="0.25">
      <c r="B1181" s="6">
        <v>0</v>
      </c>
      <c r="C1181" s="6">
        <v>0</v>
      </c>
      <c r="D1181" s="6">
        <v>0</v>
      </c>
      <c r="E1181" s="6">
        <v>0</v>
      </c>
      <c r="F1181" s="6">
        <v>0</v>
      </c>
      <c r="L1181">
        <f t="shared" si="258"/>
        <v>0</v>
      </c>
      <c r="M1181">
        <f t="shared" si="259"/>
        <v>0</v>
      </c>
      <c r="N1181">
        <f t="shared" si="260"/>
        <v>0</v>
      </c>
      <c r="O1181">
        <f t="shared" si="261"/>
        <v>0</v>
      </c>
      <c r="P1181">
        <f t="shared" si="262"/>
        <v>0</v>
      </c>
      <c r="Q1181">
        <f t="shared" si="263"/>
        <v>0</v>
      </c>
      <c r="R1181">
        <f t="shared" si="264"/>
        <v>0</v>
      </c>
      <c r="S1181">
        <f t="shared" si="265"/>
        <v>0</v>
      </c>
      <c r="T1181">
        <f t="shared" si="266"/>
        <v>0</v>
      </c>
      <c r="U1181">
        <f t="shared" si="267"/>
        <v>0</v>
      </c>
      <c r="V1181" s="9">
        <f t="shared" si="257"/>
        <v>0</v>
      </c>
      <c r="W1181" s="9">
        <f t="shared" si="257"/>
        <v>0</v>
      </c>
      <c r="X1181" s="9">
        <f t="shared" si="257"/>
        <v>0</v>
      </c>
      <c r="Y1181" s="9">
        <f t="shared" si="257"/>
        <v>0</v>
      </c>
      <c r="Z1181" s="9">
        <f t="shared" si="257"/>
        <v>0</v>
      </c>
      <c r="AA1181" s="9">
        <f t="shared" si="256"/>
        <v>0</v>
      </c>
      <c r="AB1181" s="9">
        <f t="shared" si="256"/>
        <v>0</v>
      </c>
      <c r="AC1181" s="9">
        <f t="shared" si="256"/>
        <v>0</v>
      </c>
      <c r="AD1181" s="9">
        <f t="shared" si="256"/>
        <v>0</v>
      </c>
      <c r="AE1181" s="9">
        <f t="shared" si="256"/>
        <v>0</v>
      </c>
    </row>
    <row r="1182" spans="2:31" x14ac:dyDescent="0.25">
      <c r="B1182" s="6">
        <v>0</v>
      </c>
      <c r="C1182" s="6">
        <v>0</v>
      </c>
      <c r="D1182" s="6">
        <v>0</v>
      </c>
      <c r="E1182" s="6">
        <v>0</v>
      </c>
      <c r="F1182" s="6">
        <v>0</v>
      </c>
      <c r="L1182">
        <f t="shared" si="258"/>
        <v>0</v>
      </c>
      <c r="M1182">
        <f t="shared" si="259"/>
        <v>0</v>
      </c>
      <c r="N1182">
        <f t="shared" si="260"/>
        <v>0</v>
      </c>
      <c r="O1182">
        <f t="shared" si="261"/>
        <v>0</v>
      </c>
      <c r="P1182">
        <f t="shared" si="262"/>
        <v>0</v>
      </c>
      <c r="Q1182">
        <f t="shared" si="263"/>
        <v>0</v>
      </c>
      <c r="R1182">
        <f t="shared" si="264"/>
        <v>0</v>
      </c>
      <c r="S1182">
        <f t="shared" si="265"/>
        <v>0</v>
      </c>
      <c r="T1182">
        <f t="shared" si="266"/>
        <v>0</v>
      </c>
      <c r="U1182">
        <f t="shared" si="267"/>
        <v>0</v>
      </c>
      <c r="V1182" s="9">
        <f t="shared" si="257"/>
        <v>0</v>
      </c>
      <c r="W1182" s="9">
        <f t="shared" si="257"/>
        <v>0</v>
      </c>
      <c r="X1182" s="9">
        <f t="shared" si="257"/>
        <v>0</v>
      </c>
      <c r="Y1182" s="9">
        <f t="shared" si="257"/>
        <v>0</v>
      </c>
      <c r="Z1182" s="9">
        <f t="shared" si="257"/>
        <v>0</v>
      </c>
      <c r="AA1182" s="9">
        <f t="shared" si="256"/>
        <v>0</v>
      </c>
      <c r="AB1182" s="9">
        <f t="shared" si="256"/>
        <v>0</v>
      </c>
      <c r="AC1182" s="9">
        <f t="shared" si="256"/>
        <v>0</v>
      </c>
      <c r="AD1182" s="9">
        <f t="shared" si="256"/>
        <v>0</v>
      </c>
      <c r="AE1182" s="9">
        <f t="shared" si="256"/>
        <v>0</v>
      </c>
    </row>
    <row r="1183" spans="2:31" x14ac:dyDescent="0.25">
      <c r="B1183" s="6">
        <v>0</v>
      </c>
      <c r="C1183" s="6">
        <v>0</v>
      </c>
      <c r="D1183" s="6">
        <v>0</v>
      </c>
      <c r="E1183" s="6">
        <v>0</v>
      </c>
      <c r="F1183" s="6">
        <v>0</v>
      </c>
      <c r="L1183">
        <f t="shared" si="258"/>
        <v>0</v>
      </c>
      <c r="M1183">
        <f t="shared" si="259"/>
        <v>0</v>
      </c>
      <c r="N1183">
        <f t="shared" si="260"/>
        <v>0</v>
      </c>
      <c r="O1183">
        <f t="shared" si="261"/>
        <v>0</v>
      </c>
      <c r="P1183">
        <f t="shared" si="262"/>
        <v>0</v>
      </c>
      <c r="Q1183">
        <f t="shared" si="263"/>
        <v>0</v>
      </c>
      <c r="R1183">
        <f t="shared" si="264"/>
        <v>0</v>
      </c>
      <c r="S1183">
        <f t="shared" si="265"/>
        <v>0</v>
      </c>
      <c r="T1183">
        <f t="shared" si="266"/>
        <v>0</v>
      </c>
      <c r="U1183">
        <f t="shared" si="267"/>
        <v>0</v>
      </c>
      <c r="V1183" s="9">
        <f t="shared" si="257"/>
        <v>0</v>
      </c>
      <c r="W1183" s="9">
        <f t="shared" si="257"/>
        <v>0</v>
      </c>
      <c r="X1183" s="9">
        <f t="shared" si="257"/>
        <v>0</v>
      </c>
      <c r="Y1183" s="9">
        <f t="shared" si="257"/>
        <v>0</v>
      </c>
      <c r="Z1183" s="9">
        <f t="shared" si="257"/>
        <v>0</v>
      </c>
      <c r="AA1183" s="9">
        <f t="shared" si="256"/>
        <v>0</v>
      </c>
      <c r="AB1183" s="9">
        <f t="shared" si="256"/>
        <v>0</v>
      </c>
      <c r="AC1183" s="9">
        <f t="shared" si="256"/>
        <v>0</v>
      </c>
      <c r="AD1183" s="9">
        <f t="shared" si="256"/>
        <v>0</v>
      </c>
      <c r="AE1183" s="9">
        <f t="shared" si="256"/>
        <v>0</v>
      </c>
    </row>
    <row r="1184" spans="2:31" x14ac:dyDescent="0.25">
      <c r="B1184" s="6">
        <v>0</v>
      </c>
      <c r="C1184" s="6">
        <v>0</v>
      </c>
      <c r="D1184" s="6">
        <v>0</v>
      </c>
      <c r="E1184" s="6">
        <v>0</v>
      </c>
      <c r="F1184" s="6">
        <v>0</v>
      </c>
      <c r="L1184">
        <f t="shared" si="258"/>
        <v>0</v>
      </c>
      <c r="M1184">
        <f t="shared" si="259"/>
        <v>0</v>
      </c>
      <c r="N1184">
        <f t="shared" si="260"/>
        <v>0</v>
      </c>
      <c r="O1184">
        <f t="shared" si="261"/>
        <v>0</v>
      </c>
      <c r="P1184">
        <f t="shared" si="262"/>
        <v>0</v>
      </c>
      <c r="Q1184">
        <f t="shared" si="263"/>
        <v>0</v>
      </c>
      <c r="R1184">
        <f t="shared" si="264"/>
        <v>0</v>
      </c>
      <c r="S1184">
        <f t="shared" si="265"/>
        <v>0</v>
      </c>
      <c r="T1184">
        <f t="shared" si="266"/>
        <v>0</v>
      </c>
      <c r="U1184">
        <f t="shared" si="267"/>
        <v>0</v>
      </c>
      <c r="V1184" s="9">
        <f t="shared" si="257"/>
        <v>0</v>
      </c>
      <c r="W1184" s="9">
        <f t="shared" si="257"/>
        <v>0</v>
      </c>
      <c r="X1184" s="9">
        <f t="shared" si="257"/>
        <v>0</v>
      </c>
      <c r="Y1184" s="9">
        <f t="shared" si="257"/>
        <v>0</v>
      </c>
      <c r="Z1184" s="9">
        <f t="shared" si="257"/>
        <v>0</v>
      </c>
      <c r="AA1184" s="9">
        <f t="shared" si="256"/>
        <v>0</v>
      </c>
      <c r="AB1184" s="9">
        <f t="shared" si="256"/>
        <v>0</v>
      </c>
      <c r="AC1184" s="9">
        <f t="shared" si="256"/>
        <v>0</v>
      </c>
      <c r="AD1184" s="9">
        <f t="shared" si="256"/>
        <v>0</v>
      </c>
      <c r="AE1184" s="9">
        <f t="shared" si="256"/>
        <v>0</v>
      </c>
    </row>
    <row r="1185" spans="2:31" x14ac:dyDescent="0.25">
      <c r="B1185" s="6">
        <v>0</v>
      </c>
      <c r="C1185" s="6">
        <v>0</v>
      </c>
      <c r="D1185" s="6">
        <v>0</v>
      </c>
      <c r="E1185" s="6">
        <v>0</v>
      </c>
      <c r="F1185" s="6">
        <v>0</v>
      </c>
      <c r="L1185">
        <f t="shared" si="258"/>
        <v>0</v>
      </c>
      <c r="M1185">
        <f t="shared" si="259"/>
        <v>0</v>
      </c>
      <c r="N1185">
        <f t="shared" si="260"/>
        <v>0</v>
      </c>
      <c r="O1185">
        <f t="shared" si="261"/>
        <v>0</v>
      </c>
      <c r="P1185">
        <f t="shared" si="262"/>
        <v>0</v>
      </c>
      <c r="Q1185">
        <f t="shared" si="263"/>
        <v>0</v>
      </c>
      <c r="R1185">
        <f t="shared" si="264"/>
        <v>0</v>
      </c>
      <c r="S1185">
        <f t="shared" si="265"/>
        <v>0</v>
      </c>
      <c r="T1185">
        <f t="shared" si="266"/>
        <v>0</v>
      </c>
      <c r="U1185">
        <f t="shared" si="267"/>
        <v>0</v>
      </c>
      <c r="V1185" s="9">
        <f t="shared" si="257"/>
        <v>0</v>
      </c>
      <c r="W1185" s="9">
        <f t="shared" si="257"/>
        <v>0</v>
      </c>
      <c r="X1185" s="9">
        <f t="shared" si="257"/>
        <v>0</v>
      </c>
      <c r="Y1185" s="9">
        <f t="shared" si="257"/>
        <v>0</v>
      </c>
      <c r="Z1185" s="9">
        <f t="shared" si="257"/>
        <v>0</v>
      </c>
      <c r="AA1185" s="9">
        <f t="shared" si="256"/>
        <v>0</v>
      </c>
      <c r="AB1185" s="9">
        <f t="shared" si="256"/>
        <v>0</v>
      </c>
      <c r="AC1185" s="9">
        <f t="shared" si="256"/>
        <v>0</v>
      </c>
      <c r="AD1185" s="9">
        <f t="shared" si="256"/>
        <v>0</v>
      </c>
      <c r="AE1185" s="9">
        <f t="shared" si="256"/>
        <v>0</v>
      </c>
    </row>
    <row r="1186" spans="2:31" x14ac:dyDescent="0.25">
      <c r="B1186" s="6">
        <v>0</v>
      </c>
      <c r="C1186" s="6">
        <v>0</v>
      </c>
      <c r="D1186" s="6">
        <v>0</v>
      </c>
      <c r="E1186" s="6">
        <v>0</v>
      </c>
      <c r="F1186" s="6">
        <v>0</v>
      </c>
      <c r="L1186">
        <f t="shared" si="258"/>
        <v>0</v>
      </c>
      <c r="M1186">
        <f t="shared" si="259"/>
        <v>0</v>
      </c>
      <c r="N1186">
        <f t="shared" si="260"/>
        <v>0</v>
      </c>
      <c r="O1186">
        <f t="shared" si="261"/>
        <v>0</v>
      </c>
      <c r="P1186">
        <f t="shared" si="262"/>
        <v>0</v>
      </c>
      <c r="Q1186">
        <f t="shared" si="263"/>
        <v>0</v>
      </c>
      <c r="R1186">
        <f t="shared" si="264"/>
        <v>0</v>
      </c>
      <c r="S1186">
        <f t="shared" si="265"/>
        <v>0</v>
      </c>
      <c r="T1186">
        <f t="shared" si="266"/>
        <v>0</v>
      </c>
      <c r="U1186">
        <f t="shared" si="267"/>
        <v>0</v>
      </c>
      <c r="V1186" s="9">
        <f t="shared" si="257"/>
        <v>0</v>
      </c>
      <c r="W1186" s="9">
        <f t="shared" si="257"/>
        <v>0</v>
      </c>
      <c r="X1186" s="9">
        <f t="shared" si="257"/>
        <v>0</v>
      </c>
      <c r="Y1186" s="9">
        <f t="shared" si="257"/>
        <v>0</v>
      </c>
      <c r="Z1186" s="9">
        <f t="shared" si="257"/>
        <v>0</v>
      </c>
      <c r="AA1186" s="9">
        <f t="shared" si="256"/>
        <v>0</v>
      </c>
      <c r="AB1186" s="9">
        <f t="shared" si="256"/>
        <v>0</v>
      </c>
      <c r="AC1186" s="9">
        <f t="shared" si="256"/>
        <v>0</v>
      </c>
      <c r="AD1186" s="9">
        <f t="shared" si="256"/>
        <v>0</v>
      </c>
      <c r="AE1186" s="9">
        <f t="shared" si="256"/>
        <v>0</v>
      </c>
    </row>
    <row r="1187" spans="2:31" x14ac:dyDescent="0.25">
      <c r="B1187" s="6">
        <v>0</v>
      </c>
      <c r="C1187" s="6">
        <v>0</v>
      </c>
      <c r="D1187" s="6">
        <v>0</v>
      </c>
      <c r="E1187" s="6">
        <v>0</v>
      </c>
      <c r="F1187" s="6">
        <v>0</v>
      </c>
      <c r="L1187">
        <f t="shared" si="258"/>
        <v>0</v>
      </c>
      <c r="M1187">
        <f t="shared" si="259"/>
        <v>0</v>
      </c>
      <c r="N1187">
        <f t="shared" si="260"/>
        <v>0</v>
      </c>
      <c r="O1187">
        <f t="shared" si="261"/>
        <v>0</v>
      </c>
      <c r="P1187">
        <f t="shared" si="262"/>
        <v>0</v>
      </c>
      <c r="Q1187">
        <f t="shared" si="263"/>
        <v>0</v>
      </c>
      <c r="R1187">
        <f t="shared" si="264"/>
        <v>0</v>
      </c>
      <c r="S1187">
        <f t="shared" si="265"/>
        <v>0</v>
      </c>
      <c r="T1187">
        <f t="shared" si="266"/>
        <v>0</v>
      </c>
      <c r="U1187">
        <f t="shared" si="267"/>
        <v>0</v>
      </c>
      <c r="V1187" s="9">
        <f t="shared" si="257"/>
        <v>0</v>
      </c>
      <c r="W1187" s="9">
        <f t="shared" si="257"/>
        <v>0</v>
      </c>
      <c r="X1187" s="9">
        <f t="shared" si="257"/>
        <v>0</v>
      </c>
      <c r="Y1187" s="9">
        <f t="shared" si="257"/>
        <v>0</v>
      </c>
      <c r="Z1187" s="9">
        <f t="shared" si="257"/>
        <v>0</v>
      </c>
      <c r="AA1187" s="9">
        <f t="shared" si="256"/>
        <v>0</v>
      </c>
      <c r="AB1187" s="9">
        <f t="shared" si="256"/>
        <v>0</v>
      </c>
      <c r="AC1187" s="9">
        <f t="shared" si="256"/>
        <v>0</v>
      </c>
      <c r="AD1187" s="9">
        <f t="shared" si="256"/>
        <v>0</v>
      </c>
      <c r="AE1187" s="9">
        <f t="shared" si="256"/>
        <v>0</v>
      </c>
    </row>
    <row r="1188" spans="2:31" x14ac:dyDescent="0.25">
      <c r="B1188" s="6">
        <v>0</v>
      </c>
      <c r="C1188" s="6">
        <v>0</v>
      </c>
      <c r="D1188" s="6">
        <v>0</v>
      </c>
      <c r="E1188" s="6">
        <v>0</v>
      </c>
      <c r="F1188" s="6">
        <v>0</v>
      </c>
      <c r="L1188">
        <f t="shared" si="258"/>
        <v>0</v>
      </c>
      <c r="M1188">
        <f t="shared" si="259"/>
        <v>0</v>
      </c>
      <c r="N1188">
        <f t="shared" si="260"/>
        <v>0</v>
      </c>
      <c r="O1188">
        <f t="shared" si="261"/>
        <v>0</v>
      </c>
      <c r="P1188">
        <f t="shared" si="262"/>
        <v>0</v>
      </c>
      <c r="Q1188">
        <f t="shared" si="263"/>
        <v>0</v>
      </c>
      <c r="R1188">
        <f t="shared" si="264"/>
        <v>0</v>
      </c>
      <c r="S1188">
        <f t="shared" si="265"/>
        <v>0</v>
      </c>
      <c r="T1188">
        <f t="shared" si="266"/>
        <v>0</v>
      </c>
      <c r="U1188">
        <f t="shared" si="267"/>
        <v>0</v>
      </c>
      <c r="V1188" s="9">
        <f t="shared" si="257"/>
        <v>0</v>
      </c>
      <c r="W1188" s="9">
        <f t="shared" si="257"/>
        <v>0</v>
      </c>
      <c r="X1188" s="9">
        <f t="shared" si="257"/>
        <v>0</v>
      </c>
      <c r="Y1188" s="9">
        <f t="shared" si="257"/>
        <v>0</v>
      </c>
      <c r="Z1188" s="9">
        <f t="shared" si="257"/>
        <v>0</v>
      </c>
      <c r="AA1188" s="9">
        <f t="shared" ref="AA1188:AE1203" si="268">IF(Q1188&gt;=0,Q1188,-Q1188)</f>
        <v>0</v>
      </c>
      <c r="AB1188" s="9">
        <f t="shared" si="268"/>
        <v>0</v>
      </c>
      <c r="AC1188" s="9">
        <f t="shared" si="268"/>
        <v>0</v>
      </c>
      <c r="AD1188" s="9">
        <f t="shared" si="268"/>
        <v>0</v>
      </c>
      <c r="AE1188" s="9">
        <f t="shared" si="268"/>
        <v>0</v>
      </c>
    </row>
    <row r="1189" spans="2:31" x14ac:dyDescent="0.25">
      <c r="B1189" s="6">
        <v>0</v>
      </c>
      <c r="C1189" s="6">
        <v>0</v>
      </c>
      <c r="D1189" s="6">
        <v>0</v>
      </c>
      <c r="E1189" s="6">
        <v>0</v>
      </c>
      <c r="F1189" s="6">
        <v>0</v>
      </c>
      <c r="L1189">
        <f t="shared" si="258"/>
        <v>0</v>
      </c>
      <c r="M1189">
        <f t="shared" si="259"/>
        <v>0</v>
      </c>
      <c r="N1189">
        <f t="shared" si="260"/>
        <v>0</v>
      </c>
      <c r="O1189">
        <f t="shared" si="261"/>
        <v>0</v>
      </c>
      <c r="P1189">
        <f t="shared" si="262"/>
        <v>0</v>
      </c>
      <c r="Q1189">
        <f t="shared" si="263"/>
        <v>0</v>
      </c>
      <c r="R1189">
        <f t="shared" si="264"/>
        <v>0</v>
      </c>
      <c r="S1189">
        <f t="shared" si="265"/>
        <v>0</v>
      </c>
      <c r="T1189">
        <f t="shared" si="266"/>
        <v>0</v>
      </c>
      <c r="U1189">
        <f t="shared" si="267"/>
        <v>0</v>
      </c>
      <c r="V1189" s="9">
        <f t="shared" ref="V1189:AE1204" si="269">IF(L1189&gt;=0,L1189,-L1189)</f>
        <v>0</v>
      </c>
      <c r="W1189" s="9">
        <f t="shared" si="269"/>
        <v>0</v>
      </c>
      <c r="X1189" s="9">
        <f t="shared" si="269"/>
        <v>0</v>
      </c>
      <c r="Y1189" s="9">
        <f t="shared" si="269"/>
        <v>0</v>
      </c>
      <c r="Z1189" s="9">
        <f t="shared" si="269"/>
        <v>0</v>
      </c>
      <c r="AA1189" s="9">
        <f t="shared" si="268"/>
        <v>0</v>
      </c>
      <c r="AB1189" s="9">
        <f t="shared" si="268"/>
        <v>0</v>
      </c>
      <c r="AC1189" s="9">
        <f t="shared" si="268"/>
        <v>0</v>
      </c>
      <c r="AD1189" s="9">
        <f t="shared" si="268"/>
        <v>0</v>
      </c>
      <c r="AE1189" s="9">
        <f t="shared" si="268"/>
        <v>0</v>
      </c>
    </row>
    <row r="1190" spans="2:31" x14ac:dyDescent="0.25">
      <c r="B1190" s="6">
        <v>0</v>
      </c>
      <c r="C1190" s="6">
        <v>0</v>
      </c>
      <c r="D1190" s="6">
        <v>0</v>
      </c>
      <c r="E1190" s="6">
        <v>0</v>
      </c>
      <c r="F1190" s="6">
        <v>0</v>
      </c>
      <c r="L1190">
        <f t="shared" si="258"/>
        <v>0</v>
      </c>
      <c r="M1190">
        <f t="shared" si="259"/>
        <v>0</v>
      </c>
      <c r="N1190">
        <f t="shared" si="260"/>
        <v>0</v>
      </c>
      <c r="O1190">
        <f t="shared" si="261"/>
        <v>0</v>
      </c>
      <c r="P1190">
        <f t="shared" si="262"/>
        <v>0</v>
      </c>
      <c r="Q1190">
        <f t="shared" si="263"/>
        <v>0</v>
      </c>
      <c r="R1190">
        <f t="shared" si="264"/>
        <v>0</v>
      </c>
      <c r="S1190">
        <f t="shared" si="265"/>
        <v>0</v>
      </c>
      <c r="T1190">
        <f t="shared" si="266"/>
        <v>0</v>
      </c>
      <c r="U1190">
        <f t="shared" si="267"/>
        <v>0</v>
      </c>
      <c r="V1190" s="9">
        <f t="shared" si="269"/>
        <v>0</v>
      </c>
      <c r="W1190" s="9">
        <f t="shared" si="269"/>
        <v>0</v>
      </c>
      <c r="X1190" s="9">
        <f t="shared" si="269"/>
        <v>0</v>
      </c>
      <c r="Y1190" s="9">
        <f t="shared" si="269"/>
        <v>0</v>
      </c>
      <c r="Z1190" s="9">
        <f t="shared" si="269"/>
        <v>0</v>
      </c>
      <c r="AA1190" s="9">
        <f t="shared" si="268"/>
        <v>0</v>
      </c>
      <c r="AB1190" s="9">
        <f t="shared" si="268"/>
        <v>0</v>
      </c>
      <c r="AC1190" s="9">
        <f t="shared" si="268"/>
        <v>0</v>
      </c>
      <c r="AD1190" s="9">
        <f t="shared" si="268"/>
        <v>0</v>
      </c>
      <c r="AE1190" s="9">
        <f t="shared" si="268"/>
        <v>0</v>
      </c>
    </row>
    <row r="1191" spans="2:31" x14ac:dyDescent="0.25">
      <c r="B1191" s="6">
        <v>0</v>
      </c>
      <c r="C1191" s="6">
        <v>0</v>
      </c>
      <c r="D1191" s="6">
        <v>0</v>
      </c>
      <c r="E1191" s="6">
        <v>0</v>
      </c>
      <c r="F1191" s="6">
        <v>0</v>
      </c>
      <c r="L1191">
        <f t="shared" si="258"/>
        <v>0</v>
      </c>
      <c r="M1191">
        <f t="shared" si="259"/>
        <v>0</v>
      </c>
      <c r="N1191">
        <f t="shared" si="260"/>
        <v>0</v>
      </c>
      <c r="O1191">
        <f t="shared" si="261"/>
        <v>0</v>
      </c>
      <c r="P1191">
        <f t="shared" si="262"/>
        <v>0</v>
      </c>
      <c r="Q1191">
        <f t="shared" si="263"/>
        <v>0</v>
      </c>
      <c r="R1191">
        <f t="shared" si="264"/>
        <v>0</v>
      </c>
      <c r="S1191">
        <f t="shared" si="265"/>
        <v>0</v>
      </c>
      <c r="T1191">
        <f t="shared" si="266"/>
        <v>0</v>
      </c>
      <c r="U1191">
        <f t="shared" si="267"/>
        <v>0</v>
      </c>
      <c r="V1191" s="9">
        <f t="shared" si="269"/>
        <v>0</v>
      </c>
      <c r="W1191" s="9">
        <f t="shared" si="269"/>
        <v>0</v>
      </c>
      <c r="X1191" s="9">
        <f t="shared" si="269"/>
        <v>0</v>
      </c>
      <c r="Y1191" s="9">
        <f t="shared" si="269"/>
        <v>0</v>
      </c>
      <c r="Z1191" s="9">
        <f t="shared" si="269"/>
        <v>0</v>
      </c>
      <c r="AA1191" s="9">
        <f t="shared" si="268"/>
        <v>0</v>
      </c>
      <c r="AB1191" s="9">
        <f t="shared" si="268"/>
        <v>0</v>
      </c>
      <c r="AC1191" s="9">
        <f t="shared" si="268"/>
        <v>0</v>
      </c>
      <c r="AD1191" s="9">
        <f t="shared" si="268"/>
        <v>0</v>
      </c>
      <c r="AE1191" s="9">
        <f t="shared" si="268"/>
        <v>0</v>
      </c>
    </row>
    <row r="1192" spans="2:31" x14ac:dyDescent="0.25">
      <c r="B1192" s="6">
        <v>0</v>
      </c>
      <c r="C1192" s="6">
        <v>0</v>
      </c>
      <c r="D1192" s="6">
        <v>0</v>
      </c>
      <c r="E1192" s="6">
        <v>0</v>
      </c>
      <c r="F1192" s="6">
        <v>0</v>
      </c>
      <c r="L1192">
        <f t="shared" si="258"/>
        <v>0</v>
      </c>
      <c r="M1192">
        <f t="shared" si="259"/>
        <v>0</v>
      </c>
      <c r="N1192">
        <f t="shared" si="260"/>
        <v>0</v>
      </c>
      <c r="O1192">
        <f t="shared" si="261"/>
        <v>0</v>
      </c>
      <c r="P1192">
        <f t="shared" si="262"/>
        <v>0</v>
      </c>
      <c r="Q1192">
        <f t="shared" si="263"/>
        <v>0</v>
      </c>
      <c r="R1192">
        <f t="shared" si="264"/>
        <v>0</v>
      </c>
      <c r="S1192">
        <f t="shared" si="265"/>
        <v>0</v>
      </c>
      <c r="T1192">
        <f t="shared" si="266"/>
        <v>0</v>
      </c>
      <c r="U1192">
        <f t="shared" si="267"/>
        <v>0</v>
      </c>
      <c r="V1192" s="9">
        <f t="shared" si="269"/>
        <v>0</v>
      </c>
      <c r="W1192" s="9">
        <f t="shared" si="269"/>
        <v>0</v>
      </c>
      <c r="X1192" s="9">
        <f t="shared" si="269"/>
        <v>0</v>
      </c>
      <c r="Y1192" s="9">
        <f t="shared" si="269"/>
        <v>0</v>
      </c>
      <c r="Z1192" s="9">
        <f t="shared" si="269"/>
        <v>0</v>
      </c>
      <c r="AA1192" s="9">
        <f t="shared" si="268"/>
        <v>0</v>
      </c>
      <c r="AB1192" s="9">
        <f t="shared" si="268"/>
        <v>0</v>
      </c>
      <c r="AC1192" s="9">
        <f t="shared" si="268"/>
        <v>0</v>
      </c>
      <c r="AD1192" s="9">
        <f t="shared" si="268"/>
        <v>0</v>
      </c>
      <c r="AE1192" s="9">
        <f t="shared" si="268"/>
        <v>0</v>
      </c>
    </row>
    <row r="1193" spans="2:31" x14ac:dyDescent="0.25">
      <c r="B1193" s="6">
        <v>0</v>
      </c>
      <c r="C1193" s="6">
        <v>0</v>
      </c>
      <c r="D1193" s="6">
        <v>0</v>
      </c>
      <c r="E1193" s="6">
        <v>0</v>
      </c>
      <c r="F1193" s="6">
        <v>0</v>
      </c>
      <c r="L1193">
        <f t="shared" si="258"/>
        <v>0</v>
      </c>
      <c r="M1193">
        <f t="shared" si="259"/>
        <v>0</v>
      </c>
      <c r="N1193">
        <f t="shared" si="260"/>
        <v>0</v>
      </c>
      <c r="O1193">
        <f t="shared" si="261"/>
        <v>0</v>
      </c>
      <c r="P1193">
        <f t="shared" si="262"/>
        <v>0</v>
      </c>
      <c r="Q1193">
        <f t="shared" si="263"/>
        <v>0</v>
      </c>
      <c r="R1193">
        <f t="shared" si="264"/>
        <v>0</v>
      </c>
      <c r="S1193">
        <f t="shared" si="265"/>
        <v>0</v>
      </c>
      <c r="T1193">
        <f t="shared" si="266"/>
        <v>0</v>
      </c>
      <c r="U1193">
        <f t="shared" si="267"/>
        <v>0</v>
      </c>
      <c r="V1193" s="9">
        <f t="shared" si="269"/>
        <v>0</v>
      </c>
      <c r="W1193" s="9">
        <f t="shared" si="269"/>
        <v>0</v>
      </c>
      <c r="X1193" s="9">
        <f t="shared" si="269"/>
        <v>0</v>
      </c>
      <c r="Y1193" s="9">
        <f t="shared" si="269"/>
        <v>0</v>
      </c>
      <c r="Z1193" s="9">
        <f t="shared" si="269"/>
        <v>0</v>
      </c>
      <c r="AA1193" s="9">
        <f t="shared" si="268"/>
        <v>0</v>
      </c>
      <c r="AB1193" s="9">
        <f t="shared" si="268"/>
        <v>0</v>
      </c>
      <c r="AC1193" s="9">
        <f t="shared" si="268"/>
        <v>0</v>
      </c>
      <c r="AD1193" s="9">
        <f t="shared" si="268"/>
        <v>0</v>
      </c>
      <c r="AE1193" s="9">
        <f t="shared" si="268"/>
        <v>0</v>
      </c>
    </row>
    <row r="1194" spans="2:31" x14ac:dyDescent="0.25">
      <c r="B1194" s="6">
        <v>0</v>
      </c>
      <c r="C1194" s="6">
        <v>0</v>
      </c>
      <c r="D1194" s="6">
        <v>0</v>
      </c>
      <c r="E1194" s="6">
        <v>0</v>
      </c>
      <c r="F1194" s="6">
        <v>0</v>
      </c>
      <c r="L1194">
        <f t="shared" si="258"/>
        <v>0</v>
      </c>
      <c r="M1194">
        <f t="shared" si="259"/>
        <v>0</v>
      </c>
      <c r="N1194">
        <f t="shared" si="260"/>
        <v>0</v>
      </c>
      <c r="O1194">
        <f t="shared" si="261"/>
        <v>0</v>
      </c>
      <c r="P1194">
        <f t="shared" si="262"/>
        <v>0</v>
      </c>
      <c r="Q1194">
        <f t="shared" si="263"/>
        <v>0</v>
      </c>
      <c r="R1194">
        <f t="shared" si="264"/>
        <v>0</v>
      </c>
      <c r="S1194">
        <f t="shared" si="265"/>
        <v>0</v>
      </c>
      <c r="T1194">
        <f t="shared" si="266"/>
        <v>0</v>
      </c>
      <c r="U1194">
        <f t="shared" si="267"/>
        <v>0</v>
      </c>
      <c r="V1194" s="9">
        <f t="shared" si="269"/>
        <v>0</v>
      </c>
      <c r="W1194" s="9">
        <f t="shared" si="269"/>
        <v>0</v>
      </c>
      <c r="X1194" s="9">
        <f t="shared" si="269"/>
        <v>0</v>
      </c>
      <c r="Y1194" s="9">
        <f t="shared" si="269"/>
        <v>0</v>
      </c>
      <c r="Z1194" s="9">
        <f t="shared" si="269"/>
        <v>0</v>
      </c>
      <c r="AA1194" s="9">
        <f t="shared" si="268"/>
        <v>0</v>
      </c>
      <c r="AB1194" s="9">
        <f t="shared" si="268"/>
        <v>0</v>
      </c>
      <c r="AC1194" s="9">
        <f t="shared" si="268"/>
        <v>0</v>
      </c>
      <c r="AD1194" s="9">
        <f t="shared" si="268"/>
        <v>0</v>
      </c>
      <c r="AE1194" s="9">
        <f t="shared" si="268"/>
        <v>0</v>
      </c>
    </row>
    <row r="1195" spans="2:31" x14ac:dyDescent="0.25">
      <c r="B1195" s="6">
        <v>0</v>
      </c>
      <c r="C1195" s="6">
        <v>0</v>
      </c>
      <c r="D1195" s="6">
        <v>0</v>
      </c>
      <c r="E1195" s="6">
        <v>0</v>
      </c>
      <c r="F1195" s="6">
        <v>0</v>
      </c>
      <c r="L1195">
        <f t="shared" si="258"/>
        <v>0</v>
      </c>
      <c r="M1195">
        <f t="shared" si="259"/>
        <v>0</v>
      </c>
      <c r="N1195">
        <f t="shared" si="260"/>
        <v>0</v>
      </c>
      <c r="O1195">
        <f t="shared" si="261"/>
        <v>0</v>
      </c>
      <c r="P1195">
        <f t="shared" si="262"/>
        <v>0</v>
      </c>
      <c r="Q1195">
        <f t="shared" si="263"/>
        <v>0</v>
      </c>
      <c r="R1195">
        <f t="shared" si="264"/>
        <v>0</v>
      </c>
      <c r="S1195">
        <f t="shared" si="265"/>
        <v>0</v>
      </c>
      <c r="T1195">
        <f t="shared" si="266"/>
        <v>0</v>
      </c>
      <c r="U1195">
        <f t="shared" si="267"/>
        <v>0</v>
      </c>
      <c r="V1195" s="9">
        <f t="shared" si="269"/>
        <v>0</v>
      </c>
      <c r="W1195" s="9">
        <f t="shared" si="269"/>
        <v>0</v>
      </c>
      <c r="X1195" s="9">
        <f t="shared" si="269"/>
        <v>0</v>
      </c>
      <c r="Y1195" s="9">
        <f t="shared" si="269"/>
        <v>0</v>
      </c>
      <c r="Z1195" s="9">
        <f t="shared" si="269"/>
        <v>0</v>
      </c>
      <c r="AA1195" s="9">
        <f t="shared" si="268"/>
        <v>0</v>
      </c>
      <c r="AB1195" s="9">
        <f t="shared" si="268"/>
        <v>0</v>
      </c>
      <c r="AC1195" s="9">
        <f t="shared" si="268"/>
        <v>0</v>
      </c>
      <c r="AD1195" s="9">
        <f t="shared" si="268"/>
        <v>0</v>
      </c>
      <c r="AE1195" s="9">
        <f t="shared" si="268"/>
        <v>0</v>
      </c>
    </row>
    <row r="1196" spans="2:31" x14ac:dyDescent="0.25">
      <c r="B1196" s="6">
        <v>0</v>
      </c>
      <c r="C1196" s="6">
        <v>0</v>
      </c>
      <c r="D1196" s="6">
        <v>0</v>
      </c>
      <c r="E1196" s="6">
        <v>0</v>
      </c>
      <c r="F1196" s="6">
        <v>0</v>
      </c>
      <c r="L1196">
        <f t="shared" si="258"/>
        <v>0</v>
      </c>
      <c r="M1196">
        <f t="shared" si="259"/>
        <v>0</v>
      </c>
      <c r="N1196">
        <f t="shared" si="260"/>
        <v>0</v>
      </c>
      <c r="O1196">
        <f t="shared" si="261"/>
        <v>0</v>
      </c>
      <c r="P1196">
        <f t="shared" si="262"/>
        <v>0</v>
      </c>
      <c r="Q1196">
        <f t="shared" si="263"/>
        <v>0</v>
      </c>
      <c r="R1196">
        <f t="shared" si="264"/>
        <v>0</v>
      </c>
      <c r="S1196">
        <f t="shared" si="265"/>
        <v>0</v>
      </c>
      <c r="T1196">
        <f t="shared" si="266"/>
        <v>0</v>
      </c>
      <c r="U1196">
        <f t="shared" si="267"/>
        <v>0</v>
      </c>
      <c r="V1196" s="9">
        <f t="shared" si="269"/>
        <v>0</v>
      </c>
      <c r="W1196" s="9">
        <f t="shared" si="269"/>
        <v>0</v>
      </c>
      <c r="X1196" s="9">
        <f t="shared" si="269"/>
        <v>0</v>
      </c>
      <c r="Y1196" s="9">
        <f t="shared" si="269"/>
        <v>0</v>
      </c>
      <c r="Z1196" s="9">
        <f t="shared" si="269"/>
        <v>0</v>
      </c>
      <c r="AA1196" s="9">
        <f t="shared" si="268"/>
        <v>0</v>
      </c>
      <c r="AB1196" s="9">
        <f t="shared" si="268"/>
        <v>0</v>
      </c>
      <c r="AC1196" s="9">
        <f t="shared" si="268"/>
        <v>0</v>
      </c>
      <c r="AD1196" s="9">
        <f t="shared" si="268"/>
        <v>0</v>
      </c>
      <c r="AE1196" s="9">
        <f t="shared" si="268"/>
        <v>0</v>
      </c>
    </row>
    <row r="1197" spans="2:31" x14ac:dyDescent="0.25">
      <c r="B1197" s="6">
        <v>0</v>
      </c>
      <c r="C1197" s="6">
        <v>0</v>
      </c>
      <c r="D1197" s="6">
        <v>0</v>
      </c>
      <c r="E1197" s="6">
        <v>0</v>
      </c>
      <c r="F1197" s="6">
        <v>0</v>
      </c>
      <c r="L1197">
        <f t="shared" si="258"/>
        <v>0</v>
      </c>
      <c r="M1197">
        <f t="shared" si="259"/>
        <v>0</v>
      </c>
      <c r="N1197">
        <f t="shared" si="260"/>
        <v>0</v>
      </c>
      <c r="O1197">
        <f t="shared" si="261"/>
        <v>0</v>
      </c>
      <c r="P1197">
        <f t="shared" si="262"/>
        <v>0</v>
      </c>
      <c r="Q1197">
        <f t="shared" si="263"/>
        <v>0</v>
      </c>
      <c r="R1197">
        <f t="shared" si="264"/>
        <v>0</v>
      </c>
      <c r="S1197">
        <f t="shared" si="265"/>
        <v>0</v>
      </c>
      <c r="T1197">
        <f t="shared" si="266"/>
        <v>0</v>
      </c>
      <c r="U1197">
        <f t="shared" si="267"/>
        <v>0</v>
      </c>
      <c r="V1197" s="9">
        <f t="shared" si="269"/>
        <v>0</v>
      </c>
      <c r="W1197" s="9">
        <f t="shared" si="269"/>
        <v>0</v>
      </c>
      <c r="X1197" s="9">
        <f t="shared" si="269"/>
        <v>0</v>
      </c>
      <c r="Y1197" s="9">
        <f t="shared" si="269"/>
        <v>0</v>
      </c>
      <c r="Z1197" s="9">
        <f t="shared" si="269"/>
        <v>0</v>
      </c>
      <c r="AA1197" s="9">
        <f t="shared" si="268"/>
        <v>0</v>
      </c>
      <c r="AB1197" s="9">
        <f t="shared" si="268"/>
        <v>0</v>
      </c>
      <c r="AC1197" s="9">
        <f t="shared" si="268"/>
        <v>0</v>
      </c>
      <c r="AD1197" s="9">
        <f t="shared" si="268"/>
        <v>0</v>
      </c>
      <c r="AE1197" s="9">
        <f t="shared" si="268"/>
        <v>0</v>
      </c>
    </row>
    <row r="1198" spans="2:31" x14ac:dyDescent="0.25">
      <c r="B1198" s="6">
        <v>0</v>
      </c>
      <c r="C1198" s="6">
        <v>0</v>
      </c>
      <c r="D1198" s="6">
        <v>0</v>
      </c>
      <c r="E1198" s="6">
        <v>0</v>
      </c>
      <c r="F1198" s="6">
        <v>0</v>
      </c>
      <c r="L1198">
        <f t="shared" si="258"/>
        <v>0</v>
      </c>
      <c r="M1198">
        <f t="shared" si="259"/>
        <v>0</v>
      </c>
      <c r="N1198">
        <f t="shared" si="260"/>
        <v>0</v>
      </c>
      <c r="O1198">
        <f t="shared" si="261"/>
        <v>0</v>
      </c>
      <c r="P1198">
        <f t="shared" si="262"/>
        <v>0</v>
      </c>
      <c r="Q1198">
        <f t="shared" si="263"/>
        <v>0</v>
      </c>
      <c r="R1198">
        <f t="shared" si="264"/>
        <v>0</v>
      </c>
      <c r="S1198">
        <f t="shared" si="265"/>
        <v>0</v>
      </c>
      <c r="T1198">
        <f t="shared" si="266"/>
        <v>0</v>
      </c>
      <c r="U1198">
        <f t="shared" si="267"/>
        <v>0</v>
      </c>
      <c r="V1198" s="9">
        <f t="shared" si="269"/>
        <v>0</v>
      </c>
      <c r="W1198" s="9">
        <f t="shared" si="269"/>
        <v>0</v>
      </c>
      <c r="X1198" s="9">
        <f t="shared" si="269"/>
        <v>0</v>
      </c>
      <c r="Y1198" s="9">
        <f t="shared" si="269"/>
        <v>0</v>
      </c>
      <c r="Z1198" s="9">
        <f t="shared" si="269"/>
        <v>0</v>
      </c>
      <c r="AA1198" s="9">
        <f t="shared" si="268"/>
        <v>0</v>
      </c>
      <c r="AB1198" s="9">
        <f t="shared" si="268"/>
        <v>0</v>
      </c>
      <c r="AC1198" s="9">
        <f t="shared" si="268"/>
        <v>0</v>
      </c>
      <c r="AD1198" s="9">
        <f t="shared" si="268"/>
        <v>0</v>
      </c>
      <c r="AE1198" s="9">
        <f t="shared" si="268"/>
        <v>0</v>
      </c>
    </row>
    <row r="1199" spans="2:31" x14ac:dyDescent="0.25">
      <c r="B1199" s="6">
        <v>0</v>
      </c>
      <c r="C1199" s="6">
        <v>0</v>
      </c>
      <c r="D1199" s="6">
        <v>0</v>
      </c>
      <c r="E1199" s="6">
        <v>0</v>
      </c>
      <c r="F1199" s="6">
        <v>0</v>
      </c>
      <c r="L1199">
        <f t="shared" si="258"/>
        <v>0</v>
      </c>
      <c r="M1199">
        <f t="shared" si="259"/>
        <v>0</v>
      </c>
      <c r="N1199">
        <f t="shared" si="260"/>
        <v>0</v>
      </c>
      <c r="O1199">
        <f t="shared" si="261"/>
        <v>0</v>
      </c>
      <c r="P1199">
        <f t="shared" si="262"/>
        <v>0</v>
      </c>
      <c r="Q1199">
        <f t="shared" si="263"/>
        <v>0</v>
      </c>
      <c r="R1199">
        <f t="shared" si="264"/>
        <v>0</v>
      </c>
      <c r="S1199">
        <f t="shared" si="265"/>
        <v>0</v>
      </c>
      <c r="T1199">
        <f t="shared" si="266"/>
        <v>0</v>
      </c>
      <c r="U1199">
        <f t="shared" si="267"/>
        <v>0</v>
      </c>
      <c r="V1199" s="9">
        <f t="shared" si="269"/>
        <v>0</v>
      </c>
      <c r="W1199" s="9">
        <f t="shared" si="269"/>
        <v>0</v>
      </c>
      <c r="X1199" s="9">
        <f t="shared" si="269"/>
        <v>0</v>
      </c>
      <c r="Y1199" s="9">
        <f t="shared" si="269"/>
        <v>0</v>
      </c>
      <c r="Z1199" s="9">
        <f t="shared" si="269"/>
        <v>0</v>
      </c>
      <c r="AA1199" s="9">
        <f t="shared" si="268"/>
        <v>0</v>
      </c>
      <c r="AB1199" s="9">
        <f t="shared" si="268"/>
        <v>0</v>
      </c>
      <c r="AC1199" s="9">
        <f t="shared" si="268"/>
        <v>0</v>
      </c>
      <c r="AD1199" s="9">
        <f t="shared" si="268"/>
        <v>0</v>
      </c>
      <c r="AE1199" s="9">
        <f t="shared" si="268"/>
        <v>0</v>
      </c>
    </row>
    <row r="1200" spans="2:31" x14ac:dyDescent="0.25">
      <c r="B1200" s="6">
        <v>0</v>
      </c>
      <c r="C1200" s="6">
        <v>0</v>
      </c>
      <c r="D1200" s="6">
        <v>0</v>
      </c>
      <c r="E1200" s="6">
        <v>0</v>
      </c>
      <c r="F1200" s="6">
        <v>0</v>
      </c>
      <c r="L1200">
        <f t="shared" si="258"/>
        <v>0</v>
      </c>
      <c r="M1200">
        <f t="shared" si="259"/>
        <v>0</v>
      </c>
      <c r="N1200">
        <f t="shared" si="260"/>
        <v>0</v>
      </c>
      <c r="O1200">
        <f t="shared" si="261"/>
        <v>0</v>
      </c>
      <c r="P1200">
        <f t="shared" si="262"/>
        <v>0</v>
      </c>
      <c r="Q1200">
        <f t="shared" si="263"/>
        <v>0</v>
      </c>
      <c r="R1200">
        <f t="shared" si="264"/>
        <v>0</v>
      </c>
      <c r="S1200">
        <f t="shared" si="265"/>
        <v>0</v>
      </c>
      <c r="T1200">
        <f t="shared" si="266"/>
        <v>0</v>
      </c>
      <c r="U1200">
        <f t="shared" si="267"/>
        <v>0</v>
      </c>
      <c r="V1200" s="9">
        <f t="shared" si="269"/>
        <v>0</v>
      </c>
      <c r="W1200" s="9">
        <f t="shared" si="269"/>
        <v>0</v>
      </c>
      <c r="X1200" s="9">
        <f t="shared" si="269"/>
        <v>0</v>
      </c>
      <c r="Y1200" s="9">
        <f t="shared" si="269"/>
        <v>0</v>
      </c>
      <c r="Z1200" s="9">
        <f t="shared" si="269"/>
        <v>0</v>
      </c>
      <c r="AA1200" s="9">
        <f t="shared" si="268"/>
        <v>0</v>
      </c>
      <c r="AB1200" s="9">
        <f t="shared" si="268"/>
        <v>0</v>
      </c>
      <c r="AC1200" s="9">
        <f t="shared" si="268"/>
        <v>0</v>
      </c>
      <c r="AD1200" s="9">
        <f t="shared" si="268"/>
        <v>0</v>
      </c>
      <c r="AE1200" s="9">
        <f t="shared" si="268"/>
        <v>0</v>
      </c>
    </row>
    <row r="1201" spans="2:31" x14ac:dyDescent="0.25">
      <c r="B1201" s="6">
        <v>0</v>
      </c>
      <c r="C1201" s="6">
        <v>0</v>
      </c>
      <c r="D1201" s="6">
        <v>0</v>
      </c>
      <c r="E1201" s="6">
        <v>0</v>
      </c>
      <c r="F1201" s="6">
        <v>0</v>
      </c>
      <c r="L1201">
        <f t="shared" si="258"/>
        <v>0</v>
      </c>
      <c r="M1201">
        <f t="shared" si="259"/>
        <v>0</v>
      </c>
      <c r="N1201">
        <f t="shared" si="260"/>
        <v>0</v>
      </c>
      <c r="O1201">
        <f t="shared" si="261"/>
        <v>0</v>
      </c>
      <c r="P1201">
        <f t="shared" si="262"/>
        <v>0</v>
      </c>
      <c r="Q1201">
        <f t="shared" si="263"/>
        <v>0</v>
      </c>
      <c r="R1201">
        <f t="shared" si="264"/>
        <v>0</v>
      </c>
      <c r="S1201">
        <f t="shared" si="265"/>
        <v>0</v>
      </c>
      <c r="T1201">
        <f t="shared" si="266"/>
        <v>0</v>
      </c>
      <c r="U1201">
        <f t="shared" si="267"/>
        <v>0</v>
      </c>
      <c r="V1201" s="9">
        <f t="shared" si="269"/>
        <v>0</v>
      </c>
      <c r="W1201" s="9">
        <f t="shared" si="269"/>
        <v>0</v>
      </c>
      <c r="X1201" s="9">
        <f t="shared" si="269"/>
        <v>0</v>
      </c>
      <c r="Y1201" s="9">
        <f t="shared" si="269"/>
        <v>0</v>
      </c>
      <c r="Z1201" s="9">
        <f t="shared" si="269"/>
        <v>0</v>
      </c>
      <c r="AA1201" s="9">
        <f t="shared" si="268"/>
        <v>0</v>
      </c>
      <c r="AB1201" s="9">
        <f t="shared" si="268"/>
        <v>0</v>
      </c>
      <c r="AC1201" s="9">
        <f t="shared" si="268"/>
        <v>0</v>
      </c>
      <c r="AD1201" s="9">
        <f t="shared" si="268"/>
        <v>0</v>
      </c>
      <c r="AE1201" s="9">
        <f t="shared" si="268"/>
        <v>0</v>
      </c>
    </row>
    <row r="1202" spans="2:31" x14ac:dyDescent="0.25">
      <c r="B1202" s="6">
        <v>0</v>
      </c>
      <c r="C1202" s="6">
        <v>0</v>
      </c>
      <c r="D1202" s="6">
        <v>0</v>
      </c>
      <c r="E1202" s="6">
        <v>0</v>
      </c>
      <c r="F1202" s="6">
        <v>0</v>
      </c>
      <c r="L1202">
        <f t="shared" si="258"/>
        <v>0</v>
      </c>
      <c r="M1202">
        <f t="shared" si="259"/>
        <v>0</v>
      </c>
      <c r="N1202">
        <f t="shared" si="260"/>
        <v>0</v>
      </c>
      <c r="O1202">
        <f t="shared" si="261"/>
        <v>0</v>
      </c>
      <c r="P1202">
        <f t="shared" si="262"/>
        <v>0</v>
      </c>
      <c r="Q1202">
        <f t="shared" si="263"/>
        <v>0</v>
      </c>
      <c r="R1202">
        <f t="shared" si="264"/>
        <v>0</v>
      </c>
      <c r="S1202">
        <f t="shared" si="265"/>
        <v>0</v>
      </c>
      <c r="T1202">
        <f t="shared" si="266"/>
        <v>0</v>
      </c>
      <c r="U1202">
        <f t="shared" si="267"/>
        <v>0</v>
      </c>
      <c r="V1202" s="9">
        <f t="shared" si="269"/>
        <v>0</v>
      </c>
      <c r="W1202" s="9">
        <f t="shared" si="269"/>
        <v>0</v>
      </c>
      <c r="X1202" s="9">
        <f t="shared" si="269"/>
        <v>0</v>
      </c>
      <c r="Y1202" s="9">
        <f t="shared" si="269"/>
        <v>0</v>
      </c>
      <c r="Z1202" s="9">
        <f t="shared" si="269"/>
        <v>0</v>
      </c>
      <c r="AA1202" s="9">
        <f t="shared" si="268"/>
        <v>0</v>
      </c>
      <c r="AB1202" s="9">
        <f t="shared" si="268"/>
        <v>0</v>
      </c>
      <c r="AC1202" s="9">
        <f t="shared" si="268"/>
        <v>0</v>
      </c>
      <c r="AD1202" s="9">
        <f t="shared" si="268"/>
        <v>0</v>
      </c>
      <c r="AE1202" s="9">
        <f t="shared" si="268"/>
        <v>0</v>
      </c>
    </row>
    <row r="1203" spans="2:31" x14ac:dyDescent="0.25">
      <c r="B1203" s="6">
        <v>0</v>
      </c>
      <c r="C1203" s="6">
        <v>0</v>
      </c>
      <c r="D1203" s="6">
        <v>0</v>
      </c>
      <c r="E1203" s="6">
        <v>0</v>
      </c>
      <c r="F1203" s="6">
        <v>0</v>
      </c>
      <c r="L1203">
        <f t="shared" si="258"/>
        <v>0</v>
      </c>
      <c r="M1203">
        <f t="shared" si="259"/>
        <v>0</v>
      </c>
      <c r="N1203">
        <f t="shared" si="260"/>
        <v>0</v>
      </c>
      <c r="O1203">
        <f t="shared" si="261"/>
        <v>0</v>
      </c>
      <c r="P1203">
        <f t="shared" si="262"/>
        <v>0</v>
      </c>
      <c r="Q1203">
        <f t="shared" si="263"/>
        <v>0</v>
      </c>
      <c r="R1203">
        <f t="shared" si="264"/>
        <v>0</v>
      </c>
      <c r="S1203">
        <f t="shared" si="265"/>
        <v>0</v>
      </c>
      <c r="T1203">
        <f t="shared" si="266"/>
        <v>0</v>
      </c>
      <c r="U1203">
        <f t="shared" si="267"/>
        <v>0</v>
      </c>
      <c r="V1203" s="9">
        <f t="shared" si="269"/>
        <v>0</v>
      </c>
      <c r="W1203" s="9">
        <f t="shared" si="269"/>
        <v>0</v>
      </c>
      <c r="X1203" s="9">
        <f t="shared" si="269"/>
        <v>0</v>
      </c>
      <c r="Y1203" s="9">
        <f t="shared" si="269"/>
        <v>0</v>
      </c>
      <c r="Z1203" s="9">
        <f t="shared" si="269"/>
        <v>0</v>
      </c>
      <c r="AA1203" s="9">
        <f t="shared" si="268"/>
        <v>0</v>
      </c>
      <c r="AB1203" s="9">
        <f t="shared" si="268"/>
        <v>0</v>
      </c>
      <c r="AC1203" s="9">
        <f t="shared" si="268"/>
        <v>0</v>
      </c>
      <c r="AD1203" s="9">
        <f t="shared" si="268"/>
        <v>0</v>
      </c>
      <c r="AE1203" s="9">
        <f t="shared" si="268"/>
        <v>0</v>
      </c>
    </row>
    <row r="1204" spans="2:31" x14ac:dyDescent="0.25">
      <c r="B1204" s="6">
        <v>0</v>
      </c>
      <c r="C1204" s="6">
        <v>0</v>
      </c>
      <c r="D1204" s="6">
        <v>0</v>
      </c>
      <c r="E1204" s="6">
        <v>0</v>
      </c>
      <c r="F1204" s="6">
        <v>0</v>
      </c>
      <c r="L1204">
        <f t="shared" si="258"/>
        <v>0</v>
      </c>
      <c r="M1204">
        <f t="shared" si="259"/>
        <v>0</v>
      </c>
      <c r="N1204">
        <f t="shared" si="260"/>
        <v>0</v>
      </c>
      <c r="O1204">
        <f t="shared" si="261"/>
        <v>0</v>
      </c>
      <c r="P1204">
        <f t="shared" si="262"/>
        <v>0</v>
      </c>
      <c r="Q1204">
        <f t="shared" si="263"/>
        <v>0</v>
      </c>
      <c r="R1204">
        <f t="shared" si="264"/>
        <v>0</v>
      </c>
      <c r="S1204">
        <f t="shared" si="265"/>
        <v>0</v>
      </c>
      <c r="T1204">
        <f t="shared" si="266"/>
        <v>0</v>
      </c>
      <c r="U1204">
        <f t="shared" si="267"/>
        <v>0</v>
      </c>
      <c r="V1204" s="9">
        <f t="shared" si="269"/>
        <v>0</v>
      </c>
      <c r="W1204" s="9">
        <f t="shared" si="269"/>
        <v>0</v>
      </c>
      <c r="X1204" s="9">
        <f t="shared" si="269"/>
        <v>0</v>
      </c>
      <c r="Y1204" s="9">
        <f t="shared" si="269"/>
        <v>0</v>
      </c>
      <c r="Z1204" s="9">
        <f t="shared" si="269"/>
        <v>0</v>
      </c>
      <c r="AA1204" s="9">
        <f t="shared" si="269"/>
        <v>0</v>
      </c>
      <c r="AB1204" s="9">
        <f t="shared" si="269"/>
        <v>0</v>
      </c>
      <c r="AC1204" s="9">
        <f t="shared" si="269"/>
        <v>0</v>
      </c>
      <c r="AD1204" s="9">
        <f t="shared" si="269"/>
        <v>0</v>
      </c>
      <c r="AE1204" s="9">
        <f t="shared" si="269"/>
        <v>0</v>
      </c>
    </row>
    <row r="1205" spans="2:31" x14ac:dyDescent="0.25">
      <c r="B1205" s="6">
        <v>0</v>
      </c>
      <c r="C1205" s="6">
        <v>0</v>
      </c>
      <c r="D1205" s="6">
        <v>0</v>
      </c>
      <c r="E1205" s="6">
        <v>0</v>
      </c>
      <c r="F1205" s="6">
        <v>0</v>
      </c>
      <c r="L1205">
        <f t="shared" si="258"/>
        <v>0</v>
      </c>
      <c r="M1205">
        <f t="shared" si="259"/>
        <v>0</v>
      </c>
      <c r="N1205">
        <f t="shared" si="260"/>
        <v>0</v>
      </c>
      <c r="O1205">
        <f t="shared" si="261"/>
        <v>0</v>
      </c>
      <c r="P1205">
        <f t="shared" si="262"/>
        <v>0</v>
      </c>
      <c r="Q1205">
        <f t="shared" si="263"/>
        <v>0</v>
      </c>
      <c r="R1205">
        <f t="shared" si="264"/>
        <v>0</v>
      </c>
      <c r="S1205">
        <f t="shared" si="265"/>
        <v>0</v>
      </c>
      <c r="T1205">
        <f t="shared" si="266"/>
        <v>0</v>
      </c>
      <c r="U1205">
        <f t="shared" si="267"/>
        <v>0</v>
      </c>
      <c r="V1205" s="9">
        <f t="shared" ref="V1205:AE1230" si="270">IF(L1205&gt;=0,L1205,-L1205)</f>
        <v>0</v>
      </c>
      <c r="W1205" s="9">
        <f t="shared" si="270"/>
        <v>0</v>
      </c>
      <c r="X1205" s="9">
        <f t="shared" si="270"/>
        <v>0</v>
      </c>
      <c r="Y1205" s="9">
        <f t="shared" si="270"/>
        <v>0</v>
      </c>
      <c r="Z1205" s="9">
        <f t="shared" si="270"/>
        <v>0</v>
      </c>
      <c r="AA1205" s="9">
        <f t="shared" si="270"/>
        <v>0</v>
      </c>
      <c r="AB1205" s="9">
        <f t="shared" si="270"/>
        <v>0</v>
      </c>
      <c r="AC1205" s="9">
        <f t="shared" si="270"/>
        <v>0</v>
      </c>
      <c r="AD1205" s="9">
        <f t="shared" si="270"/>
        <v>0</v>
      </c>
      <c r="AE1205" s="9">
        <f t="shared" si="270"/>
        <v>0</v>
      </c>
    </row>
    <row r="1206" spans="2:31" x14ac:dyDescent="0.25">
      <c r="B1206" s="6">
        <v>0</v>
      </c>
      <c r="C1206" s="6">
        <v>0</v>
      </c>
      <c r="D1206" s="6">
        <v>0</v>
      </c>
      <c r="E1206" s="6">
        <v>0</v>
      </c>
      <c r="F1206" s="6">
        <v>0</v>
      </c>
      <c r="L1206">
        <f t="shared" si="258"/>
        <v>0</v>
      </c>
      <c r="M1206">
        <f t="shared" si="259"/>
        <v>0</v>
      </c>
      <c r="N1206">
        <f t="shared" si="260"/>
        <v>0</v>
      </c>
      <c r="O1206">
        <f t="shared" si="261"/>
        <v>0</v>
      </c>
      <c r="P1206">
        <f t="shared" si="262"/>
        <v>0</v>
      </c>
      <c r="Q1206">
        <f t="shared" si="263"/>
        <v>0</v>
      </c>
      <c r="R1206">
        <f t="shared" si="264"/>
        <v>0</v>
      </c>
      <c r="S1206">
        <f t="shared" si="265"/>
        <v>0</v>
      </c>
      <c r="T1206">
        <f t="shared" si="266"/>
        <v>0</v>
      </c>
      <c r="U1206">
        <f t="shared" si="267"/>
        <v>0</v>
      </c>
      <c r="V1206" s="9">
        <f t="shared" si="270"/>
        <v>0</v>
      </c>
      <c r="W1206" s="9">
        <f t="shared" si="270"/>
        <v>0</v>
      </c>
      <c r="X1206" s="9">
        <f t="shared" si="270"/>
        <v>0</v>
      </c>
      <c r="Y1206" s="9">
        <f t="shared" si="270"/>
        <v>0</v>
      </c>
      <c r="Z1206" s="9">
        <f t="shared" si="270"/>
        <v>0</v>
      </c>
      <c r="AA1206" s="9">
        <f t="shared" si="270"/>
        <v>0</v>
      </c>
      <c r="AB1206" s="9">
        <f t="shared" si="270"/>
        <v>0</v>
      </c>
      <c r="AC1206" s="9">
        <f t="shared" si="270"/>
        <v>0</v>
      </c>
      <c r="AD1206" s="9">
        <f t="shared" si="270"/>
        <v>0</v>
      </c>
      <c r="AE1206" s="9">
        <f t="shared" si="270"/>
        <v>0</v>
      </c>
    </row>
    <row r="1207" spans="2:31" x14ac:dyDescent="0.25">
      <c r="B1207" s="6">
        <v>0</v>
      </c>
      <c r="C1207" s="6">
        <v>0</v>
      </c>
      <c r="D1207" s="6">
        <v>0</v>
      </c>
      <c r="E1207" s="6">
        <v>0</v>
      </c>
      <c r="F1207" s="6">
        <v>0</v>
      </c>
      <c r="L1207">
        <f t="shared" si="258"/>
        <v>0</v>
      </c>
      <c r="M1207">
        <f t="shared" si="259"/>
        <v>0</v>
      </c>
      <c r="N1207">
        <f t="shared" si="260"/>
        <v>0</v>
      </c>
      <c r="O1207">
        <f t="shared" si="261"/>
        <v>0</v>
      </c>
      <c r="P1207">
        <f t="shared" si="262"/>
        <v>0</v>
      </c>
      <c r="Q1207">
        <f t="shared" si="263"/>
        <v>0</v>
      </c>
      <c r="R1207">
        <f t="shared" si="264"/>
        <v>0</v>
      </c>
      <c r="S1207">
        <f t="shared" si="265"/>
        <v>0</v>
      </c>
      <c r="T1207">
        <f t="shared" si="266"/>
        <v>0</v>
      </c>
      <c r="U1207">
        <f t="shared" si="267"/>
        <v>0</v>
      </c>
      <c r="V1207" s="9">
        <f t="shared" si="270"/>
        <v>0</v>
      </c>
      <c r="W1207" s="9">
        <f t="shared" si="270"/>
        <v>0</v>
      </c>
      <c r="X1207" s="9">
        <f t="shared" si="270"/>
        <v>0</v>
      </c>
      <c r="Y1207" s="9">
        <f t="shared" si="270"/>
        <v>0</v>
      </c>
      <c r="Z1207" s="9">
        <f t="shared" si="270"/>
        <v>0</v>
      </c>
      <c r="AA1207" s="9">
        <f t="shared" si="270"/>
        <v>0</v>
      </c>
      <c r="AB1207" s="9">
        <f t="shared" si="270"/>
        <v>0</v>
      </c>
      <c r="AC1207" s="9">
        <f t="shared" si="270"/>
        <v>0</v>
      </c>
      <c r="AD1207" s="9">
        <f t="shared" si="270"/>
        <v>0</v>
      </c>
      <c r="AE1207" s="9">
        <f t="shared" si="270"/>
        <v>0</v>
      </c>
    </row>
    <row r="1208" spans="2:31" x14ac:dyDescent="0.25">
      <c r="B1208" s="6">
        <v>0</v>
      </c>
      <c r="C1208" s="6">
        <v>0</v>
      </c>
      <c r="D1208" s="6">
        <v>0</v>
      </c>
      <c r="E1208" s="6">
        <v>0</v>
      </c>
      <c r="F1208" s="6">
        <v>0</v>
      </c>
      <c r="L1208">
        <f t="shared" si="258"/>
        <v>0</v>
      </c>
      <c r="M1208">
        <f t="shared" si="259"/>
        <v>0</v>
      </c>
      <c r="N1208">
        <f t="shared" si="260"/>
        <v>0</v>
      </c>
      <c r="O1208">
        <f t="shared" si="261"/>
        <v>0</v>
      </c>
      <c r="P1208">
        <f t="shared" si="262"/>
        <v>0</v>
      </c>
      <c r="Q1208">
        <f t="shared" si="263"/>
        <v>0</v>
      </c>
      <c r="R1208">
        <f t="shared" si="264"/>
        <v>0</v>
      </c>
      <c r="S1208">
        <f t="shared" si="265"/>
        <v>0</v>
      </c>
      <c r="T1208">
        <f t="shared" si="266"/>
        <v>0</v>
      </c>
      <c r="U1208">
        <f t="shared" si="267"/>
        <v>0</v>
      </c>
      <c r="V1208" s="9">
        <f t="shared" si="270"/>
        <v>0</v>
      </c>
      <c r="W1208" s="9">
        <f t="shared" si="270"/>
        <v>0</v>
      </c>
      <c r="X1208" s="9">
        <f t="shared" si="270"/>
        <v>0</v>
      </c>
      <c r="Y1208" s="9">
        <f t="shared" si="270"/>
        <v>0</v>
      </c>
      <c r="Z1208" s="9">
        <f t="shared" si="270"/>
        <v>0</v>
      </c>
      <c r="AA1208" s="9">
        <f t="shared" si="270"/>
        <v>0</v>
      </c>
      <c r="AB1208" s="9">
        <f t="shared" si="270"/>
        <v>0</v>
      </c>
      <c r="AC1208" s="9">
        <f t="shared" si="270"/>
        <v>0</v>
      </c>
      <c r="AD1208" s="9">
        <f t="shared" si="270"/>
        <v>0</v>
      </c>
      <c r="AE1208" s="9">
        <f t="shared" si="270"/>
        <v>0</v>
      </c>
    </row>
    <row r="1209" spans="2:31" x14ac:dyDescent="0.25">
      <c r="B1209" s="6">
        <v>0</v>
      </c>
      <c r="C1209" s="6">
        <v>0</v>
      </c>
      <c r="D1209" s="6">
        <v>0</v>
      </c>
      <c r="E1209" s="6">
        <v>0</v>
      </c>
      <c r="F1209" s="6">
        <v>0</v>
      </c>
      <c r="L1209">
        <f t="shared" si="258"/>
        <v>0</v>
      </c>
      <c r="M1209">
        <f t="shared" si="259"/>
        <v>0</v>
      </c>
      <c r="N1209">
        <f t="shared" si="260"/>
        <v>0</v>
      </c>
      <c r="O1209">
        <f t="shared" si="261"/>
        <v>0</v>
      </c>
      <c r="P1209">
        <f t="shared" si="262"/>
        <v>0</v>
      </c>
      <c r="Q1209">
        <f t="shared" si="263"/>
        <v>0</v>
      </c>
      <c r="R1209">
        <f t="shared" si="264"/>
        <v>0</v>
      </c>
      <c r="S1209">
        <f t="shared" si="265"/>
        <v>0</v>
      </c>
      <c r="T1209">
        <f t="shared" si="266"/>
        <v>0</v>
      </c>
      <c r="U1209">
        <f t="shared" si="267"/>
        <v>0</v>
      </c>
      <c r="V1209" s="9">
        <f t="shared" si="270"/>
        <v>0</v>
      </c>
      <c r="W1209" s="9">
        <f t="shared" si="270"/>
        <v>0</v>
      </c>
      <c r="X1209" s="9">
        <f t="shared" si="270"/>
        <v>0</v>
      </c>
      <c r="Y1209" s="9">
        <f t="shared" si="270"/>
        <v>0</v>
      </c>
      <c r="Z1209" s="9">
        <f t="shared" si="270"/>
        <v>0</v>
      </c>
      <c r="AA1209" s="9">
        <f t="shared" si="270"/>
        <v>0</v>
      </c>
      <c r="AB1209" s="9">
        <f t="shared" si="270"/>
        <v>0</v>
      </c>
      <c r="AC1209" s="9">
        <f t="shared" si="270"/>
        <v>0</v>
      </c>
      <c r="AD1209" s="9">
        <f t="shared" si="270"/>
        <v>0</v>
      </c>
      <c r="AE1209" s="9">
        <f t="shared" si="270"/>
        <v>0</v>
      </c>
    </row>
    <row r="1210" spans="2:31" x14ac:dyDescent="0.25">
      <c r="B1210" s="6">
        <v>0</v>
      </c>
      <c r="C1210" s="6">
        <v>0</v>
      </c>
      <c r="D1210" s="6">
        <v>0</v>
      </c>
      <c r="E1210" s="6">
        <v>0</v>
      </c>
      <c r="F1210" s="6">
        <v>0</v>
      </c>
      <c r="L1210">
        <f t="shared" si="258"/>
        <v>0</v>
      </c>
      <c r="M1210">
        <f t="shared" si="259"/>
        <v>0</v>
      </c>
      <c r="N1210">
        <f t="shared" si="260"/>
        <v>0</v>
      </c>
      <c r="O1210">
        <f t="shared" si="261"/>
        <v>0</v>
      </c>
      <c r="P1210">
        <f t="shared" si="262"/>
        <v>0</v>
      </c>
      <c r="Q1210">
        <f t="shared" si="263"/>
        <v>0</v>
      </c>
      <c r="R1210">
        <f t="shared" si="264"/>
        <v>0</v>
      </c>
      <c r="S1210">
        <f t="shared" si="265"/>
        <v>0</v>
      </c>
      <c r="T1210">
        <f t="shared" si="266"/>
        <v>0</v>
      </c>
      <c r="U1210">
        <f t="shared" si="267"/>
        <v>0</v>
      </c>
      <c r="V1210" s="9">
        <f t="shared" si="270"/>
        <v>0</v>
      </c>
      <c r="W1210" s="9">
        <f t="shared" si="270"/>
        <v>0</v>
      </c>
      <c r="X1210" s="9">
        <f t="shared" si="270"/>
        <v>0</v>
      </c>
      <c r="Y1210" s="9">
        <f t="shared" si="270"/>
        <v>0</v>
      </c>
      <c r="Z1210" s="9">
        <f t="shared" si="270"/>
        <v>0</v>
      </c>
      <c r="AA1210" s="9">
        <f t="shared" si="270"/>
        <v>0</v>
      </c>
      <c r="AB1210" s="9">
        <f t="shared" si="270"/>
        <v>0</v>
      </c>
      <c r="AC1210" s="9">
        <f t="shared" si="270"/>
        <v>0</v>
      </c>
      <c r="AD1210" s="9">
        <f t="shared" si="270"/>
        <v>0</v>
      </c>
      <c r="AE1210" s="9">
        <f t="shared" si="270"/>
        <v>0</v>
      </c>
    </row>
    <row r="1211" spans="2:31" x14ac:dyDescent="0.25">
      <c r="B1211" s="6">
        <v>0</v>
      </c>
      <c r="C1211" s="6">
        <v>0</v>
      </c>
      <c r="D1211" s="6">
        <v>0</v>
      </c>
      <c r="E1211" s="6">
        <v>0</v>
      </c>
      <c r="F1211" s="6">
        <v>0</v>
      </c>
      <c r="L1211">
        <f t="shared" si="258"/>
        <v>0</v>
      </c>
      <c r="M1211">
        <f t="shared" si="259"/>
        <v>0</v>
      </c>
      <c r="N1211">
        <f t="shared" si="260"/>
        <v>0</v>
      </c>
      <c r="O1211">
        <f t="shared" si="261"/>
        <v>0</v>
      </c>
      <c r="P1211">
        <f t="shared" si="262"/>
        <v>0</v>
      </c>
      <c r="Q1211">
        <f t="shared" si="263"/>
        <v>0</v>
      </c>
      <c r="R1211">
        <f t="shared" si="264"/>
        <v>0</v>
      </c>
      <c r="S1211">
        <f t="shared" si="265"/>
        <v>0</v>
      </c>
      <c r="T1211">
        <f t="shared" si="266"/>
        <v>0</v>
      </c>
      <c r="U1211">
        <f t="shared" si="267"/>
        <v>0</v>
      </c>
      <c r="V1211" s="9">
        <f t="shared" si="270"/>
        <v>0</v>
      </c>
      <c r="W1211" s="9">
        <f t="shared" si="270"/>
        <v>0</v>
      </c>
      <c r="X1211" s="9">
        <f t="shared" si="270"/>
        <v>0</v>
      </c>
      <c r="Y1211" s="9">
        <f t="shared" si="270"/>
        <v>0</v>
      </c>
      <c r="Z1211" s="9">
        <f t="shared" si="270"/>
        <v>0</v>
      </c>
      <c r="AA1211" s="9">
        <f t="shared" si="270"/>
        <v>0</v>
      </c>
      <c r="AB1211" s="9">
        <f t="shared" si="270"/>
        <v>0</v>
      </c>
      <c r="AC1211" s="9">
        <f t="shared" si="270"/>
        <v>0</v>
      </c>
      <c r="AD1211" s="9">
        <f t="shared" si="270"/>
        <v>0</v>
      </c>
      <c r="AE1211" s="9">
        <f t="shared" si="270"/>
        <v>0</v>
      </c>
    </row>
    <row r="1212" spans="2:31" x14ac:dyDescent="0.25">
      <c r="B1212" s="6">
        <v>0</v>
      </c>
      <c r="C1212" s="6">
        <v>0</v>
      </c>
      <c r="D1212" s="6">
        <v>0</v>
      </c>
      <c r="E1212" s="6">
        <v>0</v>
      </c>
      <c r="F1212" s="6">
        <v>0</v>
      </c>
      <c r="L1212">
        <f t="shared" si="258"/>
        <v>0</v>
      </c>
      <c r="M1212">
        <f t="shared" si="259"/>
        <v>0</v>
      </c>
      <c r="N1212">
        <f t="shared" si="260"/>
        <v>0</v>
      </c>
      <c r="O1212">
        <f t="shared" si="261"/>
        <v>0</v>
      </c>
      <c r="P1212">
        <f t="shared" si="262"/>
        <v>0</v>
      </c>
      <c r="Q1212">
        <f t="shared" si="263"/>
        <v>0</v>
      </c>
      <c r="R1212">
        <f t="shared" si="264"/>
        <v>0</v>
      </c>
      <c r="S1212">
        <f t="shared" si="265"/>
        <v>0</v>
      </c>
      <c r="T1212">
        <f t="shared" si="266"/>
        <v>0</v>
      </c>
      <c r="U1212">
        <f t="shared" si="267"/>
        <v>0</v>
      </c>
      <c r="V1212" s="9">
        <f t="shared" si="270"/>
        <v>0</v>
      </c>
      <c r="W1212" s="9">
        <f t="shared" si="270"/>
        <v>0</v>
      </c>
      <c r="X1212" s="9">
        <f t="shared" si="270"/>
        <v>0</v>
      </c>
      <c r="Y1212" s="9">
        <f t="shared" si="270"/>
        <v>0</v>
      </c>
      <c r="Z1212" s="9">
        <f t="shared" si="270"/>
        <v>0</v>
      </c>
      <c r="AA1212" s="9">
        <f t="shared" si="270"/>
        <v>0</v>
      </c>
      <c r="AB1212" s="9">
        <f t="shared" si="270"/>
        <v>0</v>
      </c>
      <c r="AC1212" s="9">
        <f t="shared" si="270"/>
        <v>0</v>
      </c>
      <c r="AD1212" s="9">
        <f t="shared" si="270"/>
        <v>0</v>
      </c>
      <c r="AE1212" s="9">
        <f t="shared" si="270"/>
        <v>0</v>
      </c>
    </row>
    <row r="1213" spans="2:31" x14ac:dyDescent="0.25">
      <c r="B1213" s="6">
        <v>0</v>
      </c>
      <c r="C1213" s="6">
        <v>0</v>
      </c>
      <c r="D1213" s="6">
        <v>0</v>
      </c>
      <c r="E1213" s="6">
        <v>0</v>
      </c>
      <c r="F1213" s="6">
        <v>0</v>
      </c>
      <c r="L1213">
        <f t="shared" si="258"/>
        <v>0</v>
      </c>
      <c r="M1213">
        <f t="shared" si="259"/>
        <v>0</v>
      </c>
      <c r="N1213">
        <f t="shared" si="260"/>
        <v>0</v>
      </c>
      <c r="O1213">
        <f t="shared" si="261"/>
        <v>0</v>
      </c>
      <c r="P1213">
        <f t="shared" si="262"/>
        <v>0</v>
      </c>
      <c r="Q1213">
        <f t="shared" si="263"/>
        <v>0</v>
      </c>
      <c r="R1213">
        <f t="shared" si="264"/>
        <v>0</v>
      </c>
      <c r="S1213">
        <f t="shared" si="265"/>
        <v>0</v>
      </c>
      <c r="T1213">
        <f t="shared" si="266"/>
        <v>0</v>
      </c>
      <c r="U1213">
        <f t="shared" si="267"/>
        <v>0</v>
      </c>
      <c r="V1213" s="9">
        <f t="shared" si="270"/>
        <v>0</v>
      </c>
      <c r="W1213" s="9">
        <f t="shared" si="270"/>
        <v>0</v>
      </c>
      <c r="X1213" s="9">
        <f t="shared" si="270"/>
        <v>0</v>
      </c>
      <c r="Y1213" s="9">
        <f t="shared" si="270"/>
        <v>0</v>
      </c>
      <c r="Z1213" s="9">
        <f t="shared" si="270"/>
        <v>0</v>
      </c>
      <c r="AA1213" s="9">
        <f t="shared" si="270"/>
        <v>0</v>
      </c>
      <c r="AB1213" s="9">
        <f t="shared" si="270"/>
        <v>0</v>
      </c>
      <c r="AC1213" s="9">
        <f t="shared" si="270"/>
        <v>0</v>
      </c>
      <c r="AD1213" s="9">
        <f t="shared" si="270"/>
        <v>0</v>
      </c>
      <c r="AE1213" s="9">
        <f t="shared" si="270"/>
        <v>0</v>
      </c>
    </row>
    <row r="1214" spans="2:31" x14ac:dyDescent="0.25">
      <c r="B1214" s="6">
        <v>0</v>
      </c>
      <c r="C1214" s="6">
        <v>0</v>
      </c>
      <c r="D1214" s="6">
        <v>0</v>
      </c>
      <c r="E1214" s="6">
        <v>0</v>
      </c>
      <c r="F1214" s="6">
        <v>0</v>
      </c>
      <c r="L1214">
        <f t="shared" si="258"/>
        <v>0</v>
      </c>
      <c r="M1214">
        <f t="shared" si="259"/>
        <v>0</v>
      </c>
      <c r="N1214">
        <f t="shared" si="260"/>
        <v>0</v>
      </c>
      <c r="O1214">
        <f t="shared" si="261"/>
        <v>0</v>
      </c>
      <c r="P1214">
        <f t="shared" si="262"/>
        <v>0</v>
      </c>
      <c r="Q1214">
        <f t="shared" si="263"/>
        <v>0</v>
      </c>
      <c r="R1214">
        <f t="shared" si="264"/>
        <v>0</v>
      </c>
      <c r="S1214">
        <f t="shared" si="265"/>
        <v>0</v>
      </c>
      <c r="T1214">
        <f t="shared" si="266"/>
        <v>0</v>
      </c>
      <c r="U1214">
        <f t="shared" si="267"/>
        <v>0</v>
      </c>
      <c r="V1214" s="9">
        <f t="shared" si="270"/>
        <v>0</v>
      </c>
      <c r="W1214" s="9">
        <f t="shared" si="270"/>
        <v>0</v>
      </c>
      <c r="X1214" s="9">
        <f t="shared" si="270"/>
        <v>0</v>
      </c>
      <c r="Y1214" s="9">
        <f t="shared" si="270"/>
        <v>0</v>
      </c>
      <c r="Z1214" s="9">
        <f t="shared" si="270"/>
        <v>0</v>
      </c>
      <c r="AA1214" s="9">
        <f t="shared" si="270"/>
        <v>0</v>
      </c>
      <c r="AB1214" s="9">
        <f t="shared" si="270"/>
        <v>0</v>
      </c>
      <c r="AC1214" s="9">
        <f t="shared" si="270"/>
        <v>0</v>
      </c>
      <c r="AD1214" s="9">
        <f t="shared" si="270"/>
        <v>0</v>
      </c>
      <c r="AE1214" s="9">
        <f t="shared" si="270"/>
        <v>0</v>
      </c>
    </row>
    <row r="1215" spans="2:31" x14ac:dyDescent="0.25">
      <c r="B1215" s="6">
        <v>0</v>
      </c>
      <c r="C1215" s="6">
        <v>0</v>
      </c>
      <c r="D1215" s="6">
        <v>0</v>
      </c>
      <c r="E1215" s="6">
        <v>0</v>
      </c>
      <c r="F1215" s="6">
        <v>0</v>
      </c>
      <c r="L1215">
        <f t="shared" si="258"/>
        <v>0</v>
      </c>
      <c r="M1215">
        <f t="shared" si="259"/>
        <v>0</v>
      </c>
      <c r="N1215">
        <f t="shared" si="260"/>
        <v>0</v>
      </c>
      <c r="O1215">
        <f t="shared" si="261"/>
        <v>0</v>
      </c>
      <c r="P1215">
        <f t="shared" si="262"/>
        <v>0</v>
      </c>
      <c r="Q1215">
        <f t="shared" si="263"/>
        <v>0</v>
      </c>
      <c r="R1215">
        <f t="shared" si="264"/>
        <v>0</v>
      </c>
      <c r="S1215">
        <f t="shared" si="265"/>
        <v>0</v>
      </c>
      <c r="T1215">
        <f t="shared" si="266"/>
        <v>0</v>
      </c>
      <c r="U1215">
        <f t="shared" si="267"/>
        <v>0</v>
      </c>
      <c r="V1215" s="9">
        <f t="shared" si="270"/>
        <v>0</v>
      </c>
      <c r="W1215" s="9">
        <f t="shared" si="270"/>
        <v>0</v>
      </c>
      <c r="X1215" s="9">
        <f t="shared" si="270"/>
        <v>0</v>
      </c>
      <c r="Y1215" s="9">
        <f t="shared" si="270"/>
        <v>0</v>
      </c>
      <c r="Z1215" s="9">
        <f t="shared" si="270"/>
        <v>0</v>
      </c>
      <c r="AA1215" s="9">
        <f t="shared" si="270"/>
        <v>0</v>
      </c>
      <c r="AB1215" s="9">
        <f t="shared" si="270"/>
        <v>0</v>
      </c>
      <c r="AC1215" s="9">
        <f t="shared" si="270"/>
        <v>0</v>
      </c>
      <c r="AD1215" s="9">
        <f t="shared" si="270"/>
        <v>0</v>
      </c>
      <c r="AE1215" s="9">
        <f t="shared" si="270"/>
        <v>0</v>
      </c>
    </row>
    <row r="1216" spans="2:31" x14ac:dyDescent="0.25">
      <c r="B1216" s="6">
        <v>0</v>
      </c>
      <c r="C1216" s="6">
        <v>0</v>
      </c>
      <c r="D1216" s="6">
        <v>0</v>
      </c>
      <c r="E1216" s="6">
        <v>0</v>
      </c>
      <c r="F1216" s="6">
        <v>0</v>
      </c>
      <c r="L1216">
        <f t="shared" si="258"/>
        <v>0</v>
      </c>
      <c r="M1216">
        <f t="shared" si="259"/>
        <v>0</v>
      </c>
      <c r="N1216">
        <f t="shared" si="260"/>
        <v>0</v>
      </c>
      <c r="O1216">
        <f t="shared" si="261"/>
        <v>0</v>
      </c>
      <c r="P1216">
        <f t="shared" si="262"/>
        <v>0</v>
      </c>
      <c r="Q1216">
        <f t="shared" si="263"/>
        <v>0</v>
      </c>
      <c r="R1216">
        <f t="shared" si="264"/>
        <v>0</v>
      </c>
      <c r="S1216">
        <f t="shared" si="265"/>
        <v>0</v>
      </c>
      <c r="T1216">
        <f t="shared" si="266"/>
        <v>0</v>
      </c>
      <c r="U1216">
        <f t="shared" si="267"/>
        <v>0</v>
      </c>
      <c r="V1216" s="9">
        <f t="shared" si="270"/>
        <v>0</v>
      </c>
      <c r="W1216" s="9">
        <f t="shared" si="270"/>
        <v>0</v>
      </c>
      <c r="X1216" s="9">
        <f t="shared" si="270"/>
        <v>0</v>
      </c>
      <c r="Y1216" s="9">
        <f t="shared" si="270"/>
        <v>0</v>
      </c>
      <c r="Z1216" s="9">
        <f t="shared" si="270"/>
        <v>0</v>
      </c>
      <c r="AA1216" s="9">
        <f t="shared" si="270"/>
        <v>0</v>
      </c>
      <c r="AB1216" s="9">
        <f t="shared" si="270"/>
        <v>0</v>
      </c>
      <c r="AC1216" s="9">
        <f t="shared" si="270"/>
        <v>0</v>
      </c>
      <c r="AD1216" s="9">
        <f t="shared" si="270"/>
        <v>0</v>
      </c>
      <c r="AE1216" s="9">
        <f t="shared" si="270"/>
        <v>0</v>
      </c>
    </row>
    <row r="1217" spans="2:31" x14ac:dyDescent="0.25">
      <c r="B1217" s="6">
        <v>0</v>
      </c>
      <c r="C1217" s="6">
        <v>0</v>
      </c>
      <c r="D1217" s="6">
        <v>0</v>
      </c>
      <c r="E1217" s="6">
        <v>0</v>
      </c>
      <c r="F1217" s="6">
        <v>0</v>
      </c>
      <c r="L1217">
        <f t="shared" ref="L1217:L1280" si="271">B1217-C1217</f>
        <v>0</v>
      </c>
      <c r="M1217">
        <f t="shared" ref="M1217:M1280" si="272">B1217-D1217</f>
        <v>0</v>
      </c>
      <c r="N1217">
        <f t="shared" ref="N1217:N1280" si="273">B1217-E1217</f>
        <v>0</v>
      </c>
      <c r="O1217">
        <f t="shared" ref="O1217:O1280" si="274">B1217-F1217</f>
        <v>0</v>
      </c>
      <c r="P1217">
        <f t="shared" ref="P1217:P1280" si="275">C1217-D1217</f>
        <v>0</v>
      </c>
      <c r="Q1217">
        <f t="shared" ref="Q1217:Q1280" si="276">C1217-E1217</f>
        <v>0</v>
      </c>
      <c r="R1217">
        <f t="shared" ref="R1217:R1280" si="277">C1217-F1217</f>
        <v>0</v>
      </c>
      <c r="S1217">
        <f t="shared" ref="S1217:S1280" si="278">D1217-E1217</f>
        <v>0</v>
      </c>
      <c r="T1217">
        <f t="shared" ref="T1217:T1280" si="279">D1217-F1217</f>
        <v>0</v>
      </c>
      <c r="U1217">
        <f t="shared" ref="U1217:U1280" si="280">E1217-F1217</f>
        <v>0</v>
      </c>
      <c r="V1217" s="9">
        <f t="shared" si="270"/>
        <v>0</v>
      </c>
      <c r="W1217" s="9">
        <f t="shared" si="270"/>
        <v>0</v>
      </c>
      <c r="X1217" s="9">
        <f t="shared" si="270"/>
        <v>0</v>
      </c>
      <c r="Y1217" s="9">
        <f t="shared" si="270"/>
        <v>0</v>
      </c>
      <c r="Z1217" s="9">
        <f t="shared" si="270"/>
        <v>0</v>
      </c>
      <c r="AA1217" s="9">
        <f t="shared" si="270"/>
        <v>0</v>
      </c>
      <c r="AB1217" s="9">
        <f t="shared" si="270"/>
        <v>0</v>
      </c>
      <c r="AC1217" s="9">
        <f t="shared" si="270"/>
        <v>0</v>
      </c>
      <c r="AD1217" s="9">
        <f t="shared" si="270"/>
        <v>0</v>
      </c>
      <c r="AE1217" s="9">
        <f t="shared" si="270"/>
        <v>0</v>
      </c>
    </row>
    <row r="1218" spans="2:31" x14ac:dyDescent="0.25">
      <c r="B1218" s="6">
        <v>0</v>
      </c>
      <c r="C1218" s="6">
        <v>0</v>
      </c>
      <c r="D1218" s="6">
        <v>0</v>
      </c>
      <c r="E1218" s="6">
        <v>0</v>
      </c>
      <c r="F1218" s="6">
        <v>0</v>
      </c>
      <c r="L1218">
        <f t="shared" si="271"/>
        <v>0</v>
      </c>
      <c r="M1218">
        <f t="shared" si="272"/>
        <v>0</v>
      </c>
      <c r="N1218">
        <f t="shared" si="273"/>
        <v>0</v>
      </c>
      <c r="O1218">
        <f t="shared" si="274"/>
        <v>0</v>
      </c>
      <c r="P1218">
        <f t="shared" si="275"/>
        <v>0</v>
      </c>
      <c r="Q1218">
        <f t="shared" si="276"/>
        <v>0</v>
      </c>
      <c r="R1218">
        <f t="shared" si="277"/>
        <v>0</v>
      </c>
      <c r="S1218">
        <f t="shared" si="278"/>
        <v>0</v>
      </c>
      <c r="T1218">
        <f t="shared" si="279"/>
        <v>0</v>
      </c>
      <c r="U1218">
        <f t="shared" si="280"/>
        <v>0</v>
      </c>
      <c r="V1218" s="9">
        <f t="shared" si="270"/>
        <v>0</v>
      </c>
      <c r="W1218" s="9">
        <f t="shared" si="270"/>
        <v>0</v>
      </c>
      <c r="X1218" s="9">
        <f t="shared" si="270"/>
        <v>0</v>
      </c>
      <c r="Y1218" s="9">
        <f t="shared" si="270"/>
        <v>0</v>
      </c>
      <c r="Z1218" s="9">
        <f t="shared" si="270"/>
        <v>0</v>
      </c>
      <c r="AA1218" s="9">
        <f t="shared" si="270"/>
        <v>0</v>
      </c>
      <c r="AB1218" s="9">
        <f t="shared" si="270"/>
        <v>0</v>
      </c>
      <c r="AC1218" s="9">
        <f t="shared" si="270"/>
        <v>0</v>
      </c>
      <c r="AD1218" s="9">
        <f t="shared" si="270"/>
        <v>0</v>
      </c>
      <c r="AE1218" s="9">
        <f t="shared" si="270"/>
        <v>0</v>
      </c>
    </row>
    <row r="1219" spans="2:31" x14ac:dyDescent="0.25">
      <c r="B1219" s="6">
        <v>0</v>
      </c>
      <c r="C1219" s="6">
        <v>0</v>
      </c>
      <c r="D1219" s="6">
        <v>0</v>
      </c>
      <c r="E1219" s="6">
        <v>0</v>
      </c>
      <c r="F1219" s="6">
        <v>0</v>
      </c>
      <c r="L1219">
        <f t="shared" si="271"/>
        <v>0</v>
      </c>
      <c r="M1219">
        <f t="shared" si="272"/>
        <v>0</v>
      </c>
      <c r="N1219">
        <f t="shared" si="273"/>
        <v>0</v>
      </c>
      <c r="O1219">
        <f t="shared" si="274"/>
        <v>0</v>
      </c>
      <c r="P1219">
        <f t="shared" si="275"/>
        <v>0</v>
      </c>
      <c r="Q1219">
        <f t="shared" si="276"/>
        <v>0</v>
      </c>
      <c r="R1219">
        <f t="shared" si="277"/>
        <v>0</v>
      </c>
      <c r="S1219">
        <f t="shared" si="278"/>
        <v>0</v>
      </c>
      <c r="T1219">
        <f t="shared" si="279"/>
        <v>0</v>
      </c>
      <c r="U1219">
        <f t="shared" si="280"/>
        <v>0</v>
      </c>
      <c r="V1219" s="9">
        <f t="shared" si="270"/>
        <v>0</v>
      </c>
      <c r="W1219" s="9">
        <f t="shared" si="270"/>
        <v>0</v>
      </c>
      <c r="X1219" s="9">
        <f t="shared" si="270"/>
        <v>0</v>
      </c>
      <c r="Y1219" s="9">
        <f t="shared" si="270"/>
        <v>0</v>
      </c>
      <c r="Z1219" s="9">
        <f t="shared" si="270"/>
        <v>0</v>
      </c>
      <c r="AA1219" s="9">
        <f t="shared" si="270"/>
        <v>0</v>
      </c>
      <c r="AB1219" s="9">
        <f t="shared" si="270"/>
        <v>0</v>
      </c>
      <c r="AC1219" s="9">
        <f t="shared" si="270"/>
        <v>0</v>
      </c>
      <c r="AD1219" s="9">
        <f t="shared" si="270"/>
        <v>0</v>
      </c>
      <c r="AE1219" s="9">
        <f t="shared" si="270"/>
        <v>0</v>
      </c>
    </row>
    <row r="1220" spans="2:31" x14ac:dyDescent="0.25">
      <c r="B1220" s="6">
        <v>0</v>
      </c>
      <c r="C1220" s="6">
        <v>0</v>
      </c>
      <c r="D1220" s="6">
        <v>0</v>
      </c>
      <c r="E1220" s="6">
        <v>0</v>
      </c>
      <c r="F1220" s="6">
        <v>0</v>
      </c>
      <c r="L1220">
        <f t="shared" si="271"/>
        <v>0</v>
      </c>
      <c r="M1220">
        <f t="shared" si="272"/>
        <v>0</v>
      </c>
      <c r="N1220">
        <f t="shared" si="273"/>
        <v>0</v>
      </c>
      <c r="O1220">
        <f t="shared" si="274"/>
        <v>0</v>
      </c>
      <c r="P1220">
        <f t="shared" si="275"/>
        <v>0</v>
      </c>
      <c r="Q1220">
        <f t="shared" si="276"/>
        <v>0</v>
      </c>
      <c r="R1220">
        <f t="shared" si="277"/>
        <v>0</v>
      </c>
      <c r="S1220">
        <f t="shared" si="278"/>
        <v>0</v>
      </c>
      <c r="T1220">
        <f t="shared" si="279"/>
        <v>0</v>
      </c>
      <c r="U1220">
        <f t="shared" si="280"/>
        <v>0</v>
      </c>
      <c r="V1220" s="9">
        <f t="shared" si="270"/>
        <v>0</v>
      </c>
      <c r="W1220" s="9">
        <f t="shared" si="270"/>
        <v>0</v>
      </c>
      <c r="X1220" s="9">
        <f t="shared" si="270"/>
        <v>0</v>
      </c>
      <c r="Y1220" s="9">
        <f t="shared" si="270"/>
        <v>0</v>
      </c>
      <c r="Z1220" s="9">
        <f t="shared" si="270"/>
        <v>0</v>
      </c>
      <c r="AA1220" s="9">
        <f t="shared" si="270"/>
        <v>0</v>
      </c>
      <c r="AB1220" s="9">
        <f t="shared" si="270"/>
        <v>0</v>
      </c>
      <c r="AC1220" s="9">
        <f t="shared" si="270"/>
        <v>0</v>
      </c>
      <c r="AD1220" s="9">
        <f t="shared" si="270"/>
        <v>0</v>
      </c>
      <c r="AE1220" s="9">
        <f t="shared" si="270"/>
        <v>0</v>
      </c>
    </row>
    <row r="1221" spans="2:31" x14ac:dyDescent="0.25">
      <c r="B1221" s="6">
        <v>0</v>
      </c>
      <c r="C1221" s="6">
        <v>0</v>
      </c>
      <c r="D1221" s="6">
        <v>0</v>
      </c>
      <c r="E1221" s="6">
        <v>0</v>
      </c>
      <c r="F1221" s="6">
        <v>0</v>
      </c>
      <c r="L1221">
        <f t="shared" si="271"/>
        <v>0</v>
      </c>
      <c r="M1221">
        <f t="shared" si="272"/>
        <v>0</v>
      </c>
      <c r="N1221">
        <f t="shared" si="273"/>
        <v>0</v>
      </c>
      <c r="O1221">
        <f t="shared" si="274"/>
        <v>0</v>
      </c>
      <c r="P1221">
        <f t="shared" si="275"/>
        <v>0</v>
      </c>
      <c r="Q1221">
        <f t="shared" si="276"/>
        <v>0</v>
      </c>
      <c r="R1221">
        <f t="shared" si="277"/>
        <v>0</v>
      </c>
      <c r="S1221">
        <f t="shared" si="278"/>
        <v>0</v>
      </c>
      <c r="T1221">
        <f t="shared" si="279"/>
        <v>0</v>
      </c>
      <c r="U1221">
        <f t="shared" si="280"/>
        <v>0</v>
      </c>
      <c r="V1221" s="9">
        <f t="shared" si="270"/>
        <v>0</v>
      </c>
      <c r="W1221" s="9">
        <f t="shared" si="270"/>
        <v>0</v>
      </c>
      <c r="X1221" s="9">
        <f t="shared" si="270"/>
        <v>0</v>
      </c>
      <c r="Y1221" s="9">
        <f t="shared" si="270"/>
        <v>0</v>
      </c>
      <c r="Z1221" s="9">
        <f t="shared" si="270"/>
        <v>0</v>
      </c>
      <c r="AA1221" s="9">
        <f t="shared" si="270"/>
        <v>0</v>
      </c>
      <c r="AB1221" s="9">
        <f t="shared" si="270"/>
        <v>0</v>
      </c>
      <c r="AC1221" s="9">
        <f t="shared" si="270"/>
        <v>0</v>
      </c>
      <c r="AD1221" s="9">
        <f t="shared" si="270"/>
        <v>0</v>
      </c>
      <c r="AE1221" s="9">
        <f t="shared" si="270"/>
        <v>0</v>
      </c>
    </row>
    <row r="1222" spans="2:31" x14ac:dyDescent="0.25">
      <c r="B1222" s="6">
        <v>0</v>
      </c>
      <c r="C1222" s="6">
        <v>0</v>
      </c>
      <c r="D1222" s="6">
        <v>0</v>
      </c>
      <c r="E1222" s="6">
        <v>0</v>
      </c>
      <c r="F1222" s="6">
        <v>0</v>
      </c>
      <c r="L1222">
        <f t="shared" si="271"/>
        <v>0</v>
      </c>
      <c r="M1222">
        <f t="shared" si="272"/>
        <v>0</v>
      </c>
      <c r="N1222">
        <f t="shared" si="273"/>
        <v>0</v>
      </c>
      <c r="O1222">
        <f t="shared" si="274"/>
        <v>0</v>
      </c>
      <c r="P1222">
        <f t="shared" si="275"/>
        <v>0</v>
      </c>
      <c r="Q1222">
        <f t="shared" si="276"/>
        <v>0</v>
      </c>
      <c r="R1222">
        <f t="shared" si="277"/>
        <v>0</v>
      </c>
      <c r="S1222">
        <f t="shared" si="278"/>
        <v>0</v>
      </c>
      <c r="T1222">
        <f t="shared" si="279"/>
        <v>0</v>
      </c>
      <c r="U1222">
        <f t="shared" si="280"/>
        <v>0</v>
      </c>
      <c r="V1222" s="9">
        <f t="shared" si="270"/>
        <v>0</v>
      </c>
      <c r="W1222" s="9">
        <f t="shared" si="270"/>
        <v>0</v>
      </c>
      <c r="X1222" s="9">
        <f t="shared" si="270"/>
        <v>0</v>
      </c>
      <c r="Y1222" s="9">
        <f t="shared" si="270"/>
        <v>0</v>
      </c>
      <c r="Z1222" s="9">
        <f t="shared" si="270"/>
        <v>0</v>
      </c>
      <c r="AA1222" s="9">
        <f t="shared" si="270"/>
        <v>0</v>
      </c>
      <c r="AB1222" s="9">
        <f t="shared" si="270"/>
        <v>0</v>
      </c>
      <c r="AC1222" s="9">
        <f t="shared" si="270"/>
        <v>0</v>
      </c>
      <c r="AD1222" s="9">
        <f t="shared" si="270"/>
        <v>0</v>
      </c>
      <c r="AE1222" s="9">
        <f t="shared" si="270"/>
        <v>0</v>
      </c>
    </row>
    <row r="1223" spans="2:31" x14ac:dyDescent="0.25">
      <c r="B1223" s="6">
        <v>0</v>
      </c>
      <c r="C1223" s="6">
        <v>0</v>
      </c>
      <c r="D1223" s="6">
        <v>0</v>
      </c>
      <c r="E1223" s="6">
        <v>0</v>
      </c>
      <c r="F1223" s="6">
        <v>0</v>
      </c>
      <c r="L1223">
        <f t="shared" si="271"/>
        <v>0</v>
      </c>
      <c r="M1223">
        <f t="shared" si="272"/>
        <v>0</v>
      </c>
      <c r="N1223">
        <f t="shared" si="273"/>
        <v>0</v>
      </c>
      <c r="O1223">
        <f t="shared" si="274"/>
        <v>0</v>
      </c>
      <c r="P1223">
        <f t="shared" si="275"/>
        <v>0</v>
      </c>
      <c r="Q1223">
        <f t="shared" si="276"/>
        <v>0</v>
      </c>
      <c r="R1223">
        <f t="shared" si="277"/>
        <v>0</v>
      </c>
      <c r="S1223">
        <f t="shared" si="278"/>
        <v>0</v>
      </c>
      <c r="T1223">
        <f t="shared" si="279"/>
        <v>0</v>
      </c>
      <c r="U1223">
        <f t="shared" si="280"/>
        <v>0</v>
      </c>
      <c r="V1223" s="9">
        <f t="shared" si="270"/>
        <v>0</v>
      </c>
      <c r="W1223" s="9">
        <f t="shared" si="270"/>
        <v>0</v>
      </c>
      <c r="X1223" s="9">
        <f t="shared" si="270"/>
        <v>0</v>
      </c>
      <c r="Y1223" s="9">
        <f t="shared" si="270"/>
        <v>0</v>
      </c>
      <c r="Z1223" s="9">
        <f t="shared" si="270"/>
        <v>0</v>
      </c>
      <c r="AA1223" s="9">
        <f t="shared" si="270"/>
        <v>0</v>
      </c>
      <c r="AB1223" s="9">
        <f t="shared" si="270"/>
        <v>0</v>
      </c>
      <c r="AC1223" s="9">
        <f t="shared" si="270"/>
        <v>0</v>
      </c>
      <c r="AD1223" s="9">
        <f t="shared" si="270"/>
        <v>0</v>
      </c>
      <c r="AE1223" s="9">
        <f t="shared" si="270"/>
        <v>0</v>
      </c>
    </row>
    <row r="1224" spans="2:31" x14ac:dyDescent="0.25">
      <c r="B1224" s="6">
        <v>0</v>
      </c>
      <c r="C1224" s="6">
        <v>0</v>
      </c>
      <c r="D1224" s="6">
        <v>0</v>
      </c>
      <c r="E1224" s="6">
        <v>0</v>
      </c>
      <c r="F1224" s="6">
        <v>0</v>
      </c>
      <c r="L1224">
        <f t="shared" si="271"/>
        <v>0</v>
      </c>
      <c r="M1224">
        <f t="shared" si="272"/>
        <v>0</v>
      </c>
      <c r="N1224">
        <f t="shared" si="273"/>
        <v>0</v>
      </c>
      <c r="O1224">
        <f t="shared" si="274"/>
        <v>0</v>
      </c>
      <c r="P1224">
        <f t="shared" si="275"/>
        <v>0</v>
      </c>
      <c r="Q1224">
        <f t="shared" si="276"/>
        <v>0</v>
      </c>
      <c r="R1224">
        <f t="shared" si="277"/>
        <v>0</v>
      </c>
      <c r="S1224">
        <f t="shared" si="278"/>
        <v>0</v>
      </c>
      <c r="T1224">
        <f t="shared" si="279"/>
        <v>0</v>
      </c>
      <c r="U1224">
        <f t="shared" si="280"/>
        <v>0</v>
      </c>
      <c r="V1224" s="9">
        <f t="shared" si="270"/>
        <v>0</v>
      </c>
      <c r="W1224" s="9">
        <f t="shared" si="270"/>
        <v>0</v>
      </c>
      <c r="X1224" s="9">
        <f t="shared" si="270"/>
        <v>0</v>
      </c>
      <c r="Y1224" s="9">
        <f t="shared" si="270"/>
        <v>0</v>
      </c>
      <c r="Z1224" s="9">
        <f t="shared" si="270"/>
        <v>0</v>
      </c>
      <c r="AA1224" s="9">
        <f t="shared" si="270"/>
        <v>0</v>
      </c>
      <c r="AB1224" s="9">
        <f t="shared" si="270"/>
        <v>0</v>
      </c>
      <c r="AC1224" s="9">
        <f t="shared" si="270"/>
        <v>0</v>
      </c>
      <c r="AD1224" s="9">
        <f t="shared" si="270"/>
        <v>0</v>
      </c>
      <c r="AE1224" s="9">
        <f t="shared" si="270"/>
        <v>0</v>
      </c>
    </row>
    <row r="1225" spans="2:31" x14ac:dyDescent="0.25">
      <c r="B1225" s="6">
        <v>0</v>
      </c>
      <c r="C1225" s="6">
        <v>0</v>
      </c>
      <c r="D1225" s="6">
        <v>0</v>
      </c>
      <c r="E1225" s="6">
        <v>0</v>
      </c>
      <c r="F1225" s="6">
        <v>0</v>
      </c>
      <c r="L1225">
        <f t="shared" si="271"/>
        <v>0</v>
      </c>
      <c r="M1225">
        <f t="shared" si="272"/>
        <v>0</v>
      </c>
      <c r="N1225">
        <f t="shared" si="273"/>
        <v>0</v>
      </c>
      <c r="O1225">
        <f t="shared" si="274"/>
        <v>0</v>
      </c>
      <c r="P1225">
        <f t="shared" si="275"/>
        <v>0</v>
      </c>
      <c r="Q1225">
        <f t="shared" si="276"/>
        <v>0</v>
      </c>
      <c r="R1225">
        <f t="shared" si="277"/>
        <v>0</v>
      </c>
      <c r="S1225">
        <f t="shared" si="278"/>
        <v>0</v>
      </c>
      <c r="T1225">
        <f t="shared" si="279"/>
        <v>0</v>
      </c>
      <c r="U1225">
        <f t="shared" si="280"/>
        <v>0</v>
      </c>
      <c r="V1225" s="9">
        <f t="shared" si="270"/>
        <v>0</v>
      </c>
      <c r="W1225" s="9">
        <f t="shared" si="270"/>
        <v>0</v>
      </c>
      <c r="X1225" s="9">
        <f t="shared" si="270"/>
        <v>0</v>
      </c>
      <c r="Y1225" s="9">
        <f t="shared" si="270"/>
        <v>0</v>
      </c>
      <c r="Z1225" s="9">
        <f t="shared" si="270"/>
        <v>0</v>
      </c>
      <c r="AA1225" s="9">
        <f t="shared" si="270"/>
        <v>0</v>
      </c>
      <c r="AB1225" s="9">
        <f t="shared" si="270"/>
        <v>0</v>
      </c>
      <c r="AC1225" s="9">
        <f t="shared" si="270"/>
        <v>0</v>
      </c>
      <c r="AD1225" s="9">
        <f t="shared" si="270"/>
        <v>0</v>
      </c>
      <c r="AE1225" s="9">
        <f t="shared" si="270"/>
        <v>0</v>
      </c>
    </row>
    <row r="1226" spans="2:31" x14ac:dyDescent="0.25">
      <c r="B1226" s="6">
        <v>0</v>
      </c>
      <c r="C1226" s="6">
        <v>0</v>
      </c>
      <c r="D1226" s="6">
        <v>0</v>
      </c>
      <c r="E1226" s="6">
        <v>0</v>
      </c>
      <c r="F1226" s="6">
        <v>0</v>
      </c>
      <c r="L1226">
        <f t="shared" si="271"/>
        <v>0</v>
      </c>
      <c r="M1226">
        <f t="shared" si="272"/>
        <v>0</v>
      </c>
      <c r="N1226">
        <f t="shared" si="273"/>
        <v>0</v>
      </c>
      <c r="O1226">
        <f t="shared" si="274"/>
        <v>0</v>
      </c>
      <c r="P1226">
        <f t="shared" si="275"/>
        <v>0</v>
      </c>
      <c r="Q1226">
        <f t="shared" si="276"/>
        <v>0</v>
      </c>
      <c r="R1226">
        <f t="shared" si="277"/>
        <v>0</v>
      </c>
      <c r="S1226">
        <f t="shared" si="278"/>
        <v>0</v>
      </c>
      <c r="T1226">
        <f t="shared" si="279"/>
        <v>0</v>
      </c>
      <c r="U1226">
        <f t="shared" si="280"/>
        <v>0</v>
      </c>
      <c r="V1226" s="9">
        <f t="shared" si="270"/>
        <v>0</v>
      </c>
      <c r="W1226" s="9">
        <f t="shared" si="270"/>
        <v>0</v>
      </c>
      <c r="X1226" s="9">
        <f t="shared" si="270"/>
        <v>0</v>
      </c>
      <c r="Y1226" s="9">
        <f t="shared" si="270"/>
        <v>0</v>
      </c>
      <c r="Z1226" s="9">
        <f t="shared" si="270"/>
        <v>0</v>
      </c>
      <c r="AA1226" s="9">
        <f t="shared" si="270"/>
        <v>0</v>
      </c>
      <c r="AB1226" s="9">
        <f t="shared" si="270"/>
        <v>0</v>
      </c>
      <c r="AC1226" s="9">
        <f t="shared" si="270"/>
        <v>0</v>
      </c>
      <c r="AD1226" s="9">
        <f t="shared" si="270"/>
        <v>0</v>
      </c>
      <c r="AE1226" s="9">
        <f t="shared" si="270"/>
        <v>0</v>
      </c>
    </row>
    <row r="1227" spans="2:31" x14ac:dyDescent="0.25">
      <c r="B1227" s="6">
        <v>0</v>
      </c>
      <c r="C1227" s="6">
        <v>0</v>
      </c>
      <c r="D1227" s="6">
        <v>0</v>
      </c>
      <c r="E1227" s="6">
        <v>0</v>
      </c>
      <c r="F1227" s="6">
        <v>0</v>
      </c>
      <c r="L1227">
        <f t="shared" si="271"/>
        <v>0</v>
      </c>
      <c r="M1227">
        <f t="shared" si="272"/>
        <v>0</v>
      </c>
      <c r="N1227">
        <f t="shared" si="273"/>
        <v>0</v>
      </c>
      <c r="O1227">
        <f t="shared" si="274"/>
        <v>0</v>
      </c>
      <c r="P1227">
        <f t="shared" si="275"/>
        <v>0</v>
      </c>
      <c r="Q1227">
        <f t="shared" si="276"/>
        <v>0</v>
      </c>
      <c r="R1227">
        <f t="shared" si="277"/>
        <v>0</v>
      </c>
      <c r="S1227">
        <f t="shared" si="278"/>
        <v>0</v>
      </c>
      <c r="T1227">
        <f t="shared" si="279"/>
        <v>0</v>
      </c>
      <c r="U1227">
        <f t="shared" si="280"/>
        <v>0</v>
      </c>
      <c r="V1227" s="9">
        <f t="shared" si="270"/>
        <v>0</v>
      </c>
      <c r="W1227" s="9">
        <f t="shared" si="270"/>
        <v>0</v>
      </c>
      <c r="X1227" s="9">
        <f t="shared" si="270"/>
        <v>0</v>
      </c>
      <c r="Y1227" s="9">
        <f t="shared" si="270"/>
        <v>0</v>
      </c>
      <c r="Z1227" s="9">
        <f t="shared" si="270"/>
        <v>0</v>
      </c>
      <c r="AA1227" s="9">
        <f t="shared" si="270"/>
        <v>0</v>
      </c>
      <c r="AB1227" s="9">
        <f t="shared" si="270"/>
        <v>0</v>
      </c>
      <c r="AC1227" s="9">
        <f t="shared" si="270"/>
        <v>0</v>
      </c>
      <c r="AD1227" s="9">
        <f t="shared" si="270"/>
        <v>0</v>
      </c>
      <c r="AE1227" s="9">
        <f t="shared" si="270"/>
        <v>0</v>
      </c>
    </row>
    <row r="1228" spans="2:31" x14ac:dyDescent="0.25">
      <c r="B1228" s="6">
        <v>0</v>
      </c>
      <c r="C1228" s="6">
        <v>0</v>
      </c>
      <c r="D1228" s="6">
        <v>0</v>
      </c>
      <c r="E1228" s="6">
        <v>0</v>
      </c>
      <c r="F1228" s="6">
        <v>0</v>
      </c>
      <c r="L1228">
        <f t="shared" si="271"/>
        <v>0</v>
      </c>
      <c r="M1228">
        <f t="shared" si="272"/>
        <v>0</v>
      </c>
      <c r="N1228">
        <f t="shared" si="273"/>
        <v>0</v>
      </c>
      <c r="O1228">
        <f t="shared" si="274"/>
        <v>0</v>
      </c>
      <c r="P1228">
        <f t="shared" si="275"/>
        <v>0</v>
      </c>
      <c r="Q1228">
        <f t="shared" si="276"/>
        <v>0</v>
      </c>
      <c r="R1228">
        <f t="shared" si="277"/>
        <v>0</v>
      </c>
      <c r="S1228">
        <f t="shared" si="278"/>
        <v>0</v>
      </c>
      <c r="T1228">
        <f t="shared" si="279"/>
        <v>0</v>
      </c>
      <c r="U1228">
        <f t="shared" si="280"/>
        <v>0</v>
      </c>
      <c r="V1228" s="9">
        <f t="shared" si="270"/>
        <v>0</v>
      </c>
      <c r="W1228" s="9">
        <f t="shared" si="270"/>
        <v>0</v>
      </c>
      <c r="X1228" s="9">
        <f t="shared" si="270"/>
        <v>0</v>
      </c>
      <c r="Y1228" s="9">
        <f t="shared" si="270"/>
        <v>0</v>
      </c>
      <c r="Z1228" s="9">
        <f t="shared" si="270"/>
        <v>0</v>
      </c>
      <c r="AA1228" s="9">
        <f t="shared" si="270"/>
        <v>0</v>
      </c>
      <c r="AB1228" s="9">
        <f t="shared" si="270"/>
        <v>0</v>
      </c>
      <c r="AC1228" s="9">
        <f t="shared" si="270"/>
        <v>0</v>
      </c>
      <c r="AD1228" s="9">
        <f t="shared" si="270"/>
        <v>0</v>
      </c>
      <c r="AE1228" s="9">
        <f t="shared" si="270"/>
        <v>0</v>
      </c>
    </row>
    <row r="1229" spans="2:31" x14ac:dyDescent="0.25">
      <c r="B1229" s="6">
        <v>0</v>
      </c>
      <c r="C1229" s="6">
        <v>0</v>
      </c>
      <c r="D1229" s="6">
        <v>0</v>
      </c>
      <c r="E1229" s="6">
        <v>0</v>
      </c>
      <c r="F1229" s="6">
        <v>0</v>
      </c>
      <c r="L1229">
        <f t="shared" si="271"/>
        <v>0</v>
      </c>
      <c r="M1229">
        <f t="shared" si="272"/>
        <v>0</v>
      </c>
      <c r="N1229">
        <f t="shared" si="273"/>
        <v>0</v>
      </c>
      <c r="O1229">
        <f t="shared" si="274"/>
        <v>0</v>
      </c>
      <c r="P1229">
        <f t="shared" si="275"/>
        <v>0</v>
      </c>
      <c r="Q1229">
        <f t="shared" si="276"/>
        <v>0</v>
      </c>
      <c r="R1229">
        <f t="shared" si="277"/>
        <v>0</v>
      </c>
      <c r="S1229">
        <f t="shared" si="278"/>
        <v>0</v>
      </c>
      <c r="T1229">
        <f t="shared" si="279"/>
        <v>0</v>
      </c>
      <c r="U1229">
        <f t="shared" si="280"/>
        <v>0</v>
      </c>
      <c r="V1229" s="9">
        <f t="shared" si="270"/>
        <v>0</v>
      </c>
      <c r="W1229" s="9">
        <f t="shared" si="270"/>
        <v>0</v>
      </c>
      <c r="X1229" s="9">
        <f t="shared" si="270"/>
        <v>0</v>
      </c>
      <c r="Y1229" s="9">
        <f t="shared" si="270"/>
        <v>0</v>
      </c>
      <c r="Z1229" s="9">
        <f t="shared" si="270"/>
        <v>0</v>
      </c>
      <c r="AA1229" s="9">
        <f t="shared" si="270"/>
        <v>0</v>
      </c>
      <c r="AB1229" s="9">
        <f t="shared" si="270"/>
        <v>0</v>
      </c>
      <c r="AC1229" s="9">
        <f t="shared" si="270"/>
        <v>0</v>
      </c>
      <c r="AD1229" s="9">
        <f t="shared" si="270"/>
        <v>0</v>
      </c>
      <c r="AE1229" s="9">
        <f t="shared" si="270"/>
        <v>0</v>
      </c>
    </row>
    <row r="1230" spans="2:31" x14ac:dyDescent="0.25">
      <c r="B1230" s="6">
        <v>0</v>
      </c>
      <c r="C1230" s="6">
        <v>0</v>
      </c>
      <c r="D1230" s="6">
        <v>0</v>
      </c>
      <c r="E1230" s="6">
        <v>0</v>
      </c>
      <c r="F1230" s="6">
        <v>0</v>
      </c>
      <c r="L1230">
        <f t="shared" si="271"/>
        <v>0</v>
      </c>
      <c r="M1230">
        <f t="shared" si="272"/>
        <v>0</v>
      </c>
      <c r="N1230">
        <f t="shared" si="273"/>
        <v>0</v>
      </c>
      <c r="O1230">
        <f t="shared" si="274"/>
        <v>0</v>
      </c>
      <c r="P1230">
        <f t="shared" si="275"/>
        <v>0</v>
      </c>
      <c r="Q1230">
        <f t="shared" si="276"/>
        <v>0</v>
      </c>
      <c r="R1230">
        <f t="shared" si="277"/>
        <v>0</v>
      </c>
      <c r="S1230">
        <f t="shared" si="278"/>
        <v>0</v>
      </c>
      <c r="T1230">
        <f t="shared" si="279"/>
        <v>0</v>
      </c>
      <c r="U1230">
        <f t="shared" si="280"/>
        <v>0</v>
      </c>
      <c r="V1230" s="9">
        <f t="shared" si="270"/>
        <v>0</v>
      </c>
      <c r="W1230" s="9">
        <f t="shared" si="270"/>
        <v>0</v>
      </c>
      <c r="X1230" s="9">
        <f t="shared" si="270"/>
        <v>0</v>
      </c>
      <c r="Y1230" s="9">
        <f t="shared" si="270"/>
        <v>0</v>
      </c>
      <c r="Z1230" s="9">
        <f t="shared" si="270"/>
        <v>0</v>
      </c>
      <c r="AA1230" s="9">
        <f t="shared" ref="AA1230:AE1280" si="281">IF(Q1230&gt;=0,Q1230,-Q1230)</f>
        <v>0</v>
      </c>
      <c r="AB1230" s="9">
        <f t="shared" si="281"/>
        <v>0</v>
      </c>
      <c r="AC1230" s="9">
        <f t="shared" si="281"/>
        <v>0</v>
      </c>
      <c r="AD1230" s="9">
        <f t="shared" si="281"/>
        <v>0</v>
      </c>
      <c r="AE1230" s="9">
        <f t="shared" si="281"/>
        <v>0</v>
      </c>
    </row>
    <row r="1231" spans="2:31" x14ac:dyDescent="0.25">
      <c r="B1231" s="6">
        <v>0</v>
      </c>
      <c r="C1231" s="6">
        <v>0</v>
      </c>
      <c r="D1231" s="6">
        <v>0</v>
      </c>
      <c r="E1231" s="6">
        <v>0</v>
      </c>
      <c r="F1231" s="6">
        <v>0</v>
      </c>
      <c r="L1231">
        <f t="shared" si="271"/>
        <v>0</v>
      </c>
      <c r="M1231">
        <f t="shared" si="272"/>
        <v>0</v>
      </c>
      <c r="N1231">
        <f t="shared" si="273"/>
        <v>0</v>
      </c>
      <c r="O1231">
        <f t="shared" si="274"/>
        <v>0</v>
      </c>
      <c r="P1231">
        <f t="shared" si="275"/>
        <v>0</v>
      </c>
      <c r="Q1231">
        <f t="shared" si="276"/>
        <v>0</v>
      </c>
      <c r="R1231">
        <f t="shared" si="277"/>
        <v>0</v>
      </c>
      <c r="S1231">
        <f t="shared" si="278"/>
        <v>0</v>
      </c>
      <c r="T1231">
        <f t="shared" si="279"/>
        <v>0</v>
      </c>
      <c r="U1231">
        <f t="shared" si="280"/>
        <v>0</v>
      </c>
      <c r="V1231" s="9">
        <f t="shared" ref="V1231:Z1281" si="282">IF(L1231&gt;=0,L1231,-L1231)</f>
        <v>0</v>
      </c>
      <c r="W1231" s="9">
        <f t="shared" si="282"/>
        <v>0</v>
      </c>
      <c r="X1231" s="9">
        <f t="shared" si="282"/>
        <v>0</v>
      </c>
      <c r="Y1231" s="9">
        <f t="shared" si="282"/>
        <v>0</v>
      </c>
      <c r="Z1231" s="9">
        <f t="shared" si="282"/>
        <v>0</v>
      </c>
      <c r="AA1231" s="9">
        <f t="shared" si="281"/>
        <v>0</v>
      </c>
      <c r="AB1231" s="9">
        <f t="shared" si="281"/>
        <v>0</v>
      </c>
      <c r="AC1231" s="9">
        <f t="shared" si="281"/>
        <v>0</v>
      </c>
      <c r="AD1231" s="9">
        <f t="shared" si="281"/>
        <v>0</v>
      </c>
      <c r="AE1231" s="9">
        <f t="shared" si="281"/>
        <v>0</v>
      </c>
    </row>
    <row r="1232" spans="2:31" x14ac:dyDescent="0.25">
      <c r="B1232" s="6">
        <v>0</v>
      </c>
      <c r="C1232" s="6">
        <v>0</v>
      </c>
      <c r="D1232" s="6">
        <v>0</v>
      </c>
      <c r="E1232" s="6">
        <v>0</v>
      </c>
      <c r="F1232" s="6">
        <v>0</v>
      </c>
      <c r="L1232">
        <f t="shared" si="271"/>
        <v>0</v>
      </c>
      <c r="M1232">
        <f t="shared" si="272"/>
        <v>0</v>
      </c>
      <c r="N1232">
        <f t="shared" si="273"/>
        <v>0</v>
      </c>
      <c r="O1232">
        <f t="shared" si="274"/>
        <v>0</v>
      </c>
      <c r="P1232">
        <f t="shared" si="275"/>
        <v>0</v>
      </c>
      <c r="Q1232">
        <f t="shared" si="276"/>
        <v>0</v>
      </c>
      <c r="R1232">
        <f t="shared" si="277"/>
        <v>0</v>
      </c>
      <c r="S1232">
        <f t="shared" si="278"/>
        <v>0</v>
      </c>
      <c r="T1232">
        <f t="shared" si="279"/>
        <v>0</v>
      </c>
      <c r="U1232">
        <f t="shared" si="280"/>
        <v>0</v>
      </c>
      <c r="V1232" s="9">
        <f t="shared" si="282"/>
        <v>0</v>
      </c>
      <c r="W1232" s="9">
        <f t="shared" si="282"/>
        <v>0</v>
      </c>
      <c r="X1232" s="9">
        <f t="shared" si="282"/>
        <v>0</v>
      </c>
      <c r="Y1232" s="9">
        <f t="shared" si="282"/>
        <v>0</v>
      </c>
      <c r="Z1232" s="9">
        <f t="shared" si="282"/>
        <v>0</v>
      </c>
      <c r="AA1232" s="9">
        <f t="shared" si="281"/>
        <v>0</v>
      </c>
      <c r="AB1232" s="9">
        <f t="shared" si="281"/>
        <v>0</v>
      </c>
      <c r="AC1232" s="9">
        <f t="shared" si="281"/>
        <v>0</v>
      </c>
      <c r="AD1232" s="9">
        <f t="shared" si="281"/>
        <v>0</v>
      </c>
      <c r="AE1232" s="9">
        <f t="shared" si="281"/>
        <v>0</v>
      </c>
    </row>
    <row r="1233" spans="2:31" x14ac:dyDescent="0.25">
      <c r="B1233" s="6">
        <v>0</v>
      </c>
      <c r="C1233" s="6">
        <v>0</v>
      </c>
      <c r="D1233" s="6">
        <v>0</v>
      </c>
      <c r="E1233" s="6">
        <v>0</v>
      </c>
      <c r="F1233" s="6">
        <v>0</v>
      </c>
      <c r="L1233">
        <f t="shared" si="271"/>
        <v>0</v>
      </c>
      <c r="M1233">
        <f t="shared" si="272"/>
        <v>0</v>
      </c>
      <c r="N1233">
        <f t="shared" si="273"/>
        <v>0</v>
      </c>
      <c r="O1233">
        <f t="shared" si="274"/>
        <v>0</v>
      </c>
      <c r="P1233">
        <f t="shared" si="275"/>
        <v>0</v>
      </c>
      <c r="Q1233">
        <f t="shared" si="276"/>
        <v>0</v>
      </c>
      <c r="R1233">
        <f t="shared" si="277"/>
        <v>0</v>
      </c>
      <c r="S1233">
        <f t="shared" si="278"/>
        <v>0</v>
      </c>
      <c r="T1233">
        <f t="shared" si="279"/>
        <v>0</v>
      </c>
      <c r="U1233">
        <f t="shared" si="280"/>
        <v>0</v>
      </c>
      <c r="V1233" s="9">
        <f t="shared" si="282"/>
        <v>0</v>
      </c>
      <c r="W1233" s="9">
        <f t="shared" si="282"/>
        <v>0</v>
      </c>
      <c r="X1233" s="9">
        <f t="shared" si="282"/>
        <v>0</v>
      </c>
      <c r="Y1233" s="9">
        <f t="shared" si="282"/>
        <v>0</v>
      </c>
      <c r="Z1233" s="9">
        <f t="shared" si="282"/>
        <v>0</v>
      </c>
      <c r="AA1233" s="9">
        <f t="shared" si="281"/>
        <v>0</v>
      </c>
      <c r="AB1233" s="9">
        <f t="shared" si="281"/>
        <v>0</v>
      </c>
      <c r="AC1233" s="9">
        <f t="shared" si="281"/>
        <v>0</v>
      </c>
      <c r="AD1233" s="9">
        <f t="shared" si="281"/>
        <v>0</v>
      </c>
      <c r="AE1233" s="9">
        <f t="shared" si="281"/>
        <v>0</v>
      </c>
    </row>
    <row r="1234" spans="2:31" x14ac:dyDescent="0.25">
      <c r="B1234" s="6">
        <v>0</v>
      </c>
      <c r="C1234" s="6">
        <v>0</v>
      </c>
      <c r="D1234" s="6">
        <v>0</v>
      </c>
      <c r="E1234" s="6">
        <v>0</v>
      </c>
      <c r="F1234" s="6">
        <v>0</v>
      </c>
      <c r="L1234">
        <f t="shared" si="271"/>
        <v>0</v>
      </c>
      <c r="M1234">
        <f t="shared" si="272"/>
        <v>0</v>
      </c>
      <c r="N1234">
        <f t="shared" si="273"/>
        <v>0</v>
      </c>
      <c r="O1234">
        <f t="shared" si="274"/>
        <v>0</v>
      </c>
      <c r="P1234">
        <f t="shared" si="275"/>
        <v>0</v>
      </c>
      <c r="Q1234">
        <f t="shared" si="276"/>
        <v>0</v>
      </c>
      <c r="R1234">
        <f t="shared" si="277"/>
        <v>0</v>
      </c>
      <c r="S1234">
        <f t="shared" si="278"/>
        <v>0</v>
      </c>
      <c r="T1234">
        <f t="shared" si="279"/>
        <v>0</v>
      </c>
      <c r="U1234">
        <f t="shared" si="280"/>
        <v>0</v>
      </c>
      <c r="V1234" s="9">
        <f t="shared" si="282"/>
        <v>0</v>
      </c>
      <c r="W1234" s="9">
        <f t="shared" si="282"/>
        <v>0</v>
      </c>
      <c r="X1234" s="9">
        <f t="shared" si="282"/>
        <v>0</v>
      </c>
      <c r="Y1234" s="9">
        <f t="shared" si="282"/>
        <v>0</v>
      </c>
      <c r="Z1234" s="9">
        <f t="shared" si="282"/>
        <v>0</v>
      </c>
      <c r="AA1234" s="9">
        <f t="shared" si="281"/>
        <v>0</v>
      </c>
      <c r="AB1234" s="9">
        <f t="shared" si="281"/>
        <v>0</v>
      </c>
      <c r="AC1234" s="9">
        <f t="shared" si="281"/>
        <v>0</v>
      </c>
      <c r="AD1234" s="9">
        <f t="shared" si="281"/>
        <v>0</v>
      </c>
      <c r="AE1234" s="9">
        <f t="shared" si="281"/>
        <v>0</v>
      </c>
    </row>
    <row r="1235" spans="2:31" x14ac:dyDescent="0.25">
      <c r="B1235" s="6">
        <v>0</v>
      </c>
      <c r="C1235" s="6">
        <v>0</v>
      </c>
      <c r="D1235" s="6">
        <v>0</v>
      </c>
      <c r="E1235" s="6">
        <v>0</v>
      </c>
      <c r="F1235" s="6">
        <v>0</v>
      </c>
      <c r="L1235">
        <f t="shared" si="271"/>
        <v>0</v>
      </c>
      <c r="M1235">
        <f t="shared" si="272"/>
        <v>0</v>
      </c>
      <c r="N1235">
        <f t="shared" si="273"/>
        <v>0</v>
      </c>
      <c r="O1235">
        <f t="shared" si="274"/>
        <v>0</v>
      </c>
      <c r="P1235">
        <f t="shared" si="275"/>
        <v>0</v>
      </c>
      <c r="Q1235">
        <f t="shared" si="276"/>
        <v>0</v>
      </c>
      <c r="R1235">
        <f t="shared" si="277"/>
        <v>0</v>
      </c>
      <c r="S1235">
        <f t="shared" si="278"/>
        <v>0</v>
      </c>
      <c r="T1235">
        <f t="shared" si="279"/>
        <v>0</v>
      </c>
      <c r="U1235">
        <f t="shared" si="280"/>
        <v>0</v>
      </c>
      <c r="V1235" s="9">
        <f t="shared" si="282"/>
        <v>0</v>
      </c>
      <c r="W1235" s="9">
        <f t="shared" si="282"/>
        <v>0</v>
      </c>
      <c r="X1235" s="9">
        <f t="shared" si="282"/>
        <v>0</v>
      </c>
      <c r="Y1235" s="9">
        <f t="shared" si="282"/>
        <v>0</v>
      </c>
      <c r="Z1235" s="9">
        <f t="shared" si="282"/>
        <v>0</v>
      </c>
      <c r="AA1235" s="9">
        <f t="shared" si="281"/>
        <v>0</v>
      </c>
      <c r="AB1235" s="9">
        <f t="shared" si="281"/>
        <v>0</v>
      </c>
      <c r="AC1235" s="9">
        <f t="shared" si="281"/>
        <v>0</v>
      </c>
      <c r="AD1235" s="9">
        <f t="shared" si="281"/>
        <v>0</v>
      </c>
      <c r="AE1235" s="9">
        <f t="shared" si="281"/>
        <v>0</v>
      </c>
    </row>
    <row r="1236" spans="2:31" x14ac:dyDescent="0.25">
      <c r="B1236" s="6">
        <v>0</v>
      </c>
      <c r="C1236" s="6">
        <v>0</v>
      </c>
      <c r="D1236" s="6">
        <v>0</v>
      </c>
      <c r="E1236" s="6">
        <v>0</v>
      </c>
      <c r="F1236" s="6">
        <v>0</v>
      </c>
      <c r="L1236">
        <f t="shared" si="271"/>
        <v>0</v>
      </c>
      <c r="M1236">
        <f t="shared" si="272"/>
        <v>0</v>
      </c>
      <c r="N1236">
        <f t="shared" si="273"/>
        <v>0</v>
      </c>
      <c r="O1236">
        <f t="shared" si="274"/>
        <v>0</v>
      </c>
      <c r="P1236">
        <f t="shared" si="275"/>
        <v>0</v>
      </c>
      <c r="Q1236">
        <f t="shared" si="276"/>
        <v>0</v>
      </c>
      <c r="R1236">
        <f t="shared" si="277"/>
        <v>0</v>
      </c>
      <c r="S1236">
        <f t="shared" si="278"/>
        <v>0</v>
      </c>
      <c r="T1236">
        <f t="shared" si="279"/>
        <v>0</v>
      </c>
      <c r="U1236">
        <f t="shared" si="280"/>
        <v>0</v>
      </c>
      <c r="V1236" s="9">
        <f t="shared" si="282"/>
        <v>0</v>
      </c>
      <c r="W1236" s="9">
        <f t="shared" si="282"/>
        <v>0</v>
      </c>
      <c r="X1236" s="9">
        <f t="shared" si="282"/>
        <v>0</v>
      </c>
      <c r="Y1236" s="9">
        <f t="shared" si="282"/>
        <v>0</v>
      </c>
      <c r="Z1236" s="9">
        <f t="shared" si="282"/>
        <v>0</v>
      </c>
      <c r="AA1236" s="9">
        <f t="shared" si="281"/>
        <v>0</v>
      </c>
      <c r="AB1236" s="9">
        <f t="shared" si="281"/>
        <v>0</v>
      </c>
      <c r="AC1236" s="9">
        <f t="shared" si="281"/>
        <v>0</v>
      </c>
      <c r="AD1236" s="9">
        <f t="shared" si="281"/>
        <v>0</v>
      </c>
      <c r="AE1236" s="9">
        <f t="shared" si="281"/>
        <v>0</v>
      </c>
    </row>
    <row r="1237" spans="2:31" x14ac:dyDescent="0.25">
      <c r="B1237" s="6">
        <v>0</v>
      </c>
      <c r="C1237" s="6">
        <v>0</v>
      </c>
      <c r="D1237" s="6">
        <v>0</v>
      </c>
      <c r="E1237" s="6">
        <v>0</v>
      </c>
      <c r="F1237" s="6">
        <v>0</v>
      </c>
      <c r="L1237">
        <f t="shared" si="271"/>
        <v>0</v>
      </c>
      <c r="M1237">
        <f t="shared" si="272"/>
        <v>0</v>
      </c>
      <c r="N1237">
        <f t="shared" si="273"/>
        <v>0</v>
      </c>
      <c r="O1237">
        <f t="shared" si="274"/>
        <v>0</v>
      </c>
      <c r="P1237">
        <f t="shared" si="275"/>
        <v>0</v>
      </c>
      <c r="Q1237">
        <f t="shared" si="276"/>
        <v>0</v>
      </c>
      <c r="R1237">
        <f t="shared" si="277"/>
        <v>0</v>
      </c>
      <c r="S1237">
        <f t="shared" si="278"/>
        <v>0</v>
      </c>
      <c r="T1237">
        <f t="shared" si="279"/>
        <v>0</v>
      </c>
      <c r="U1237">
        <f t="shared" si="280"/>
        <v>0</v>
      </c>
      <c r="V1237" s="9">
        <f t="shared" si="282"/>
        <v>0</v>
      </c>
      <c r="W1237" s="9">
        <f t="shared" si="282"/>
        <v>0</v>
      </c>
      <c r="X1237" s="9">
        <f t="shared" si="282"/>
        <v>0</v>
      </c>
      <c r="Y1237" s="9">
        <f t="shared" si="282"/>
        <v>0</v>
      </c>
      <c r="Z1237" s="9">
        <f t="shared" si="282"/>
        <v>0</v>
      </c>
      <c r="AA1237" s="9">
        <f t="shared" si="281"/>
        <v>0</v>
      </c>
      <c r="AB1237" s="9">
        <f t="shared" si="281"/>
        <v>0</v>
      </c>
      <c r="AC1237" s="9">
        <f t="shared" si="281"/>
        <v>0</v>
      </c>
      <c r="AD1237" s="9">
        <f t="shared" si="281"/>
        <v>0</v>
      </c>
      <c r="AE1237" s="9">
        <f t="shared" si="281"/>
        <v>0</v>
      </c>
    </row>
    <row r="1238" spans="2:31" x14ac:dyDescent="0.25">
      <c r="B1238" s="6">
        <v>0</v>
      </c>
      <c r="C1238" s="6">
        <v>0</v>
      </c>
      <c r="D1238" s="6">
        <v>0</v>
      </c>
      <c r="E1238" s="6">
        <v>0</v>
      </c>
      <c r="F1238" s="6">
        <v>0</v>
      </c>
      <c r="L1238">
        <f t="shared" si="271"/>
        <v>0</v>
      </c>
      <c r="M1238">
        <f t="shared" si="272"/>
        <v>0</v>
      </c>
      <c r="N1238">
        <f t="shared" si="273"/>
        <v>0</v>
      </c>
      <c r="O1238">
        <f t="shared" si="274"/>
        <v>0</v>
      </c>
      <c r="P1238">
        <f t="shared" si="275"/>
        <v>0</v>
      </c>
      <c r="Q1238">
        <f t="shared" si="276"/>
        <v>0</v>
      </c>
      <c r="R1238">
        <f t="shared" si="277"/>
        <v>0</v>
      </c>
      <c r="S1238">
        <f t="shared" si="278"/>
        <v>0</v>
      </c>
      <c r="T1238">
        <f t="shared" si="279"/>
        <v>0</v>
      </c>
      <c r="U1238">
        <f t="shared" si="280"/>
        <v>0</v>
      </c>
      <c r="V1238" s="9">
        <f t="shared" si="282"/>
        <v>0</v>
      </c>
      <c r="W1238" s="9">
        <f t="shared" si="282"/>
        <v>0</v>
      </c>
      <c r="X1238" s="9">
        <f t="shared" si="282"/>
        <v>0</v>
      </c>
      <c r="Y1238" s="9">
        <f t="shared" si="282"/>
        <v>0</v>
      </c>
      <c r="Z1238" s="9">
        <f t="shared" si="282"/>
        <v>0</v>
      </c>
      <c r="AA1238" s="9">
        <f t="shared" si="281"/>
        <v>0</v>
      </c>
      <c r="AB1238" s="9">
        <f t="shared" si="281"/>
        <v>0</v>
      </c>
      <c r="AC1238" s="9">
        <f t="shared" si="281"/>
        <v>0</v>
      </c>
      <c r="AD1238" s="9">
        <f t="shared" si="281"/>
        <v>0</v>
      </c>
      <c r="AE1238" s="9">
        <f t="shared" si="281"/>
        <v>0</v>
      </c>
    </row>
    <row r="1239" spans="2:31" x14ac:dyDescent="0.25">
      <c r="B1239" s="6">
        <v>0</v>
      </c>
      <c r="C1239" s="6">
        <v>0</v>
      </c>
      <c r="D1239" s="6">
        <v>0</v>
      </c>
      <c r="E1239" s="6">
        <v>0</v>
      </c>
      <c r="F1239" s="6">
        <v>0</v>
      </c>
      <c r="L1239">
        <f t="shared" si="271"/>
        <v>0</v>
      </c>
      <c r="M1239">
        <f t="shared" si="272"/>
        <v>0</v>
      </c>
      <c r="N1239">
        <f t="shared" si="273"/>
        <v>0</v>
      </c>
      <c r="O1239">
        <f t="shared" si="274"/>
        <v>0</v>
      </c>
      <c r="P1239">
        <f t="shared" si="275"/>
        <v>0</v>
      </c>
      <c r="Q1239">
        <f t="shared" si="276"/>
        <v>0</v>
      </c>
      <c r="R1239">
        <f t="shared" si="277"/>
        <v>0</v>
      </c>
      <c r="S1239">
        <f t="shared" si="278"/>
        <v>0</v>
      </c>
      <c r="T1239">
        <f t="shared" si="279"/>
        <v>0</v>
      </c>
      <c r="U1239">
        <f t="shared" si="280"/>
        <v>0</v>
      </c>
      <c r="V1239" s="9">
        <f t="shared" si="282"/>
        <v>0</v>
      </c>
      <c r="W1239" s="9">
        <f t="shared" si="282"/>
        <v>0</v>
      </c>
      <c r="X1239" s="9">
        <f t="shared" si="282"/>
        <v>0</v>
      </c>
      <c r="Y1239" s="9">
        <f t="shared" si="282"/>
        <v>0</v>
      </c>
      <c r="Z1239" s="9">
        <f t="shared" si="282"/>
        <v>0</v>
      </c>
      <c r="AA1239" s="9">
        <f t="shared" si="281"/>
        <v>0</v>
      </c>
      <c r="AB1239" s="9">
        <f t="shared" si="281"/>
        <v>0</v>
      </c>
      <c r="AC1239" s="9">
        <f t="shared" si="281"/>
        <v>0</v>
      </c>
      <c r="AD1239" s="9">
        <f t="shared" si="281"/>
        <v>0</v>
      </c>
      <c r="AE1239" s="9">
        <f t="shared" si="281"/>
        <v>0</v>
      </c>
    </row>
    <row r="1240" spans="2:31" x14ac:dyDescent="0.25">
      <c r="B1240" s="6">
        <v>0</v>
      </c>
      <c r="C1240" s="6">
        <v>0</v>
      </c>
      <c r="D1240" s="6">
        <v>0</v>
      </c>
      <c r="E1240" s="6">
        <v>0</v>
      </c>
      <c r="F1240" s="6">
        <v>0</v>
      </c>
      <c r="L1240">
        <f t="shared" si="271"/>
        <v>0</v>
      </c>
      <c r="M1240">
        <f t="shared" si="272"/>
        <v>0</v>
      </c>
      <c r="N1240">
        <f t="shared" si="273"/>
        <v>0</v>
      </c>
      <c r="O1240">
        <f t="shared" si="274"/>
        <v>0</v>
      </c>
      <c r="P1240">
        <f t="shared" si="275"/>
        <v>0</v>
      </c>
      <c r="Q1240">
        <f t="shared" si="276"/>
        <v>0</v>
      </c>
      <c r="R1240">
        <f t="shared" si="277"/>
        <v>0</v>
      </c>
      <c r="S1240">
        <f t="shared" si="278"/>
        <v>0</v>
      </c>
      <c r="T1240">
        <f t="shared" si="279"/>
        <v>0</v>
      </c>
      <c r="U1240">
        <f t="shared" si="280"/>
        <v>0</v>
      </c>
      <c r="V1240" s="9">
        <f t="shared" si="282"/>
        <v>0</v>
      </c>
      <c r="W1240" s="9">
        <f t="shared" si="282"/>
        <v>0</v>
      </c>
      <c r="X1240" s="9">
        <f t="shared" si="282"/>
        <v>0</v>
      </c>
      <c r="Y1240" s="9">
        <f t="shared" si="282"/>
        <v>0</v>
      </c>
      <c r="Z1240" s="9">
        <f t="shared" si="282"/>
        <v>0</v>
      </c>
      <c r="AA1240" s="9">
        <f t="shared" si="281"/>
        <v>0</v>
      </c>
      <c r="AB1240" s="9">
        <f t="shared" si="281"/>
        <v>0</v>
      </c>
      <c r="AC1240" s="9">
        <f t="shared" si="281"/>
        <v>0</v>
      </c>
      <c r="AD1240" s="9">
        <f t="shared" si="281"/>
        <v>0</v>
      </c>
      <c r="AE1240" s="9">
        <f t="shared" si="281"/>
        <v>0</v>
      </c>
    </row>
    <row r="1241" spans="2:31" x14ac:dyDescent="0.25">
      <c r="B1241" s="6">
        <v>0</v>
      </c>
      <c r="C1241" s="6">
        <v>0</v>
      </c>
      <c r="D1241" s="6">
        <v>0</v>
      </c>
      <c r="E1241" s="6">
        <v>0</v>
      </c>
      <c r="F1241" s="6">
        <v>0</v>
      </c>
      <c r="L1241">
        <f t="shared" si="271"/>
        <v>0</v>
      </c>
      <c r="M1241">
        <f t="shared" si="272"/>
        <v>0</v>
      </c>
      <c r="N1241">
        <f t="shared" si="273"/>
        <v>0</v>
      </c>
      <c r="O1241">
        <f t="shared" si="274"/>
        <v>0</v>
      </c>
      <c r="P1241">
        <f t="shared" si="275"/>
        <v>0</v>
      </c>
      <c r="Q1241">
        <f t="shared" si="276"/>
        <v>0</v>
      </c>
      <c r="R1241">
        <f t="shared" si="277"/>
        <v>0</v>
      </c>
      <c r="S1241">
        <f t="shared" si="278"/>
        <v>0</v>
      </c>
      <c r="T1241">
        <f t="shared" si="279"/>
        <v>0</v>
      </c>
      <c r="U1241">
        <f t="shared" si="280"/>
        <v>0</v>
      </c>
      <c r="V1241" s="9">
        <f t="shared" si="282"/>
        <v>0</v>
      </c>
      <c r="W1241" s="9">
        <f t="shared" si="282"/>
        <v>0</v>
      </c>
      <c r="X1241" s="9">
        <f t="shared" si="282"/>
        <v>0</v>
      </c>
      <c r="Y1241" s="9">
        <f t="shared" si="282"/>
        <v>0</v>
      </c>
      <c r="Z1241" s="9">
        <f t="shared" si="282"/>
        <v>0</v>
      </c>
      <c r="AA1241" s="9">
        <f t="shared" si="281"/>
        <v>0</v>
      </c>
      <c r="AB1241" s="9">
        <f t="shared" si="281"/>
        <v>0</v>
      </c>
      <c r="AC1241" s="9">
        <f t="shared" si="281"/>
        <v>0</v>
      </c>
      <c r="AD1241" s="9">
        <f t="shared" si="281"/>
        <v>0</v>
      </c>
      <c r="AE1241" s="9">
        <f t="shared" si="281"/>
        <v>0</v>
      </c>
    </row>
    <row r="1242" spans="2:31" x14ac:dyDescent="0.25">
      <c r="B1242" s="6">
        <v>0</v>
      </c>
      <c r="C1242" s="6">
        <v>0</v>
      </c>
      <c r="D1242" s="6">
        <v>0</v>
      </c>
      <c r="E1242" s="6">
        <v>0</v>
      </c>
      <c r="F1242" s="6">
        <v>0</v>
      </c>
      <c r="L1242">
        <f t="shared" si="271"/>
        <v>0</v>
      </c>
      <c r="M1242">
        <f t="shared" si="272"/>
        <v>0</v>
      </c>
      <c r="N1242">
        <f t="shared" si="273"/>
        <v>0</v>
      </c>
      <c r="O1242">
        <f t="shared" si="274"/>
        <v>0</v>
      </c>
      <c r="P1242">
        <f t="shared" si="275"/>
        <v>0</v>
      </c>
      <c r="Q1242">
        <f t="shared" si="276"/>
        <v>0</v>
      </c>
      <c r="R1242">
        <f t="shared" si="277"/>
        <v>0</v>
      </c>
      <c r="S1242">
        <f t="shared" si="278"/>
        <v>0</v>
      </c>
      <c r="T1242">
        <f t="shared" si="279"/>
        <v>0</v>
      </c>
      <c r="U1242">
        <f t="shared" si="280"/>
        <v>0</v>
      </c>
      <c r="V1242" s="9">
        <f t="shared" si="282"/>
        <v>0</v>
      </c>
      <c r="W1242" s="9">
        <f t="shared" si="282"/>
        <v>0</v>
      </c>
      <c r="X1242" s="9">
        <f t="shared" si="282"/>
        <v>0</v>
      </c>
      <c r="Y1242" s="9">
        <f t="shared" si="282"/>
        <v>0</v>
      </c>
      <c r="Z1242" s="9">
        <f t="shared" si="282"/>
        <v>0</v>
      </c>
      <c r="AA1242" s="9">
        <f t="shared" si="281"/>
        <v>0</v>
      </c>
      <c r="AB1242" s="9">
        <f t="shared" si="281"/>
        <v>0</v>
      </c>
      <c r="AC1242" s="9">
        <f t="shared" si="281"/>
        <v>0</v>
      </c>
      <c r="AD1242" s="9">
        <f t="shared" si="281"/>
        <v>0</v>
      </c>
      <c r="AE1242" s="9">
        <f t="shared" si="281"/>
        <v>0</v>
      </c>
    </row>
    <row r="1243" spans="2:31" x14ac:dyDescent="0.25">
      <c r="B1243" s="6">
        <v>0</v>
      </c>
      <c r="C1243" s="6">
        <v>0</v>
      </c>
      <c r="D1243" s="6">
        <v>0</v>
      </c>
      <c r="E1243" s="6">
        <v>0</v>
      </c>
      <c r="F1243" s="6">
        <v>0</v>
      </c>
      <c r="L1243">
        <f t="shared" si="271"/>
        <v>0</v>
      </c>
      <c r="M1243">
        <f t="shared" si="272"/>
        <v>0</v>
      </c>
      <c r="N1243">
        <f t="shared" si="273"/>
        <v>0</v>
      </c>
      <c r="O1243">
        <f t="shared" si="274"/>
        <v>0</v>
      </c>
      <c r="P1243">
        <f t="shared" si="275"/>
        <v>0</v>
      </c>
      <c r="Q1243">
        <f t="shared" si="276"/>
        <v>0</v>
      </c>
      <c r="R1243">
        <f t="shared" si="277"/>
        <v>0</v>
      </c>
      <c r="S1243">
        <f t="shared" si="278"/>
        <v>0</v>
      </c>
      <c r="T1243">
        <f t="shared" si="279"/>
        <v>0</v>
      </c>
      <c r="U1243">
        <f t="shared" si="280"/>
        <v>0</v>
      </c>
      <c r="V1243" s="9">
        <f t="shared" si="282"/>
        <v>0</v>
      </c>
      <c r="W1243" s="9">
        <f t="shared" si="282"/>
        <v>0</v>
      </c>
      <c r="X1243" s="9">
        <f t="shared" si="282"/>
        <v>0</v>
      </c>
      <c r="Y1243" s="9">
        <f t="shared" si="282"/>
        <v>0</v>
      </c>
      <c r="Z1243" s="9">
        <f t="shared" si="282"/>
        <v>0</v>
      </c>
      <c r="AA1243" s="9">
        <f t="shared" si="281"/>
        <v>0</v>
      </c>
      <c r="AB1243" s="9">
        <f t="shared" si="281"/>
        <v>0</v>
      </c>
      <c r="AC1243" s="9">
        <f t="shared" si="281"/>
        <v>0</v>
      </c>
      <c r="AD1243" s="9">
        <f t="shared" si="281"/>
        <v>0</v>
      </c>
      <c r="AE1243" s="9">
        <f t="shared" si="281"/>
        <v>0</v>
      </c>
    </row>
    <row r="1244" spans="2:31" x14ac:dyDescent="0.25">
      <c r="B1244" s="6">
        <v>0</v>
      </c>
      <c r="C1244" s="6">
        <v>0</v>
      </c>
      <c r="D1244" s="6">
        <v>0</v>
      </c>
      <c r="E1244" s="6">
        <v>0</v>
      </c>
      <c r="F1244" s="6">
        <v>0</v>
      </c>
      <c r="L1244">
        <f t="shared" si="271"/>
        <v>0</v>
      </c>
      <c r="M1244">
        <f t="shared" si="272"/>
        <v>0</v>
      </c>
      <c r="N1244">
        <f t="shared" si="273"/>
        <v>0</v>
      </c>
      <c r="O1244">
        <f t="shared" si="274"/>
        <v>0</v>
      </c>
      <c r="P1244">
        <f t="shared" si="275"/>
        <v>0</v>
      </c>
      <c r="Q1244">
        <f t="shared" si="276"/>
        <v>0</v>
      </c>
      <c r="R1244">
        <f t="shared" si="277"/>
        <v>0</v>
      </c>
      <c r="S1244">
        <f t="shared" si="278"/>
        <v>0</v>
      </c>
      <c r="T1244">
        <f t="shared" si="279"/>
        <v>0</v>
      </c>
      <c r="U1244">
        <f t="shared" si="280"/>
        <v>0</v>
      </c>
      <c r="V1244" s="9">
        <f t="shared" si="282"/>
        <v>0</v>
      </c>
      <c r="W1244" s="9">
        <f t="shared" si="282"/>
        <v>0</v>
      </c>
      <c r="X1244" s="9">
        <f t="shared" si="282"/>
        <v>0</v>
      </c>
      <c r="Y1244" s="9">
        <f t="shared" si="282"/>
        <v>0</v>
      </c>
      <c r="Z1244" s="9">
        <f t="shared" si="282"/>
        <v>0</v>
      </c>
      <c r="AA1244" s="9">
        <f t="shared" si="281"/>
        <v>0</v>
      </c>
      <c r="AB1244" s="9">
        <f t="shared" si="281"/>
        <v>0</v>
      </c>
      <c r="AC1244" s="9">
        <f t="shared" si="281"/>
        <v>0</v>
      </c>
      <c r="AD1244" s="9">
        <f t="shared" si="281"/>
        <v>0</v>
      </c>
      <c r="AE1244" s="9">
        <f t="shared" si="281"/>
        <v>0</v>
      </c>
    </row>
    <row r="1245" spans="2:31" x14ac:dyDescent="0.25">
      <c r="B1245" s="6">
        <v>0</v>
      </c>
      <c r="C1245" s="6">
        <v>0</v>
      </c>
      <c r="D1245" s="6">
        <v>0</v>
      </c>
      <c r="E1245" s="6">
        <v>0</v>
      </c>
      <c r="F1245" s="6">
        <v>0</v>
      </c>
      <c r="L1245">
        <f t="shared" si="271"/>
        <v>0</v>
      </c>
      <c r="M1245">
        <f t="shared" si="272"/>
        <v>0</v>
      </c>
      <c r="N1245">
        <f t="shared" si="273"/>
        <v>0</v>
      </c>
      <c r="O1245">
        <f t="shared" si="274"/>
        <v>0</v>
      </c>
      <c r="P1245">
        <f t="shared" si="275"/>
        <v>0</v>
      </c>
      <c r="Q1245">
        <f t="shared" si="276"/>
        <v>0</v>
      </c>
      <c r="R1245">
        <f t="shared" si="277"/>
        <v>0</v>
      </c>
      <c r="S1245">
        <f t="shared" si="278"/>
        <v>0</v>
      </c>
      <c r="T1245">
        <f t="shared" si="279"/>
        <v>0</v>
      </c>
      <c r="U1245">
        <f t="shared" si="280"/>
        <v>0</v>
      </c>
      <c r="V1245" s="9">
        <f t="shared" si="282"/>
        <v>0</v>
      </c>
      <c r="W1245" s="9">
        <f t="shared" si="282"/>
        <v>0</v>
      </c>
      <c r="X1245" s="9">
        <f t="shared" si="282"/>
        <v>0</v>
      </c>
      <c r="Y1245" s="9">
        <f t="shared" si="282"/>
        <v>0</v>
      </c>
      <c r="Z1245" s="9">
        <f t="shared" si="282"/>
        <v>0</v>
      </c>
      <c r="AA1245" s="9">
        <f t="shared" si="281"/>
        <v>0</v>
      </c>
      <c r="AB1245" s="9">
        <f t="shared" si="281"/>
        <v>0</v>
      </c>
      <c r="AC1245" s="9">
        <f t="shared" si="281"/>
        <v>0</v>
      </c>
      <c r="AD1245" s="9">
        <f t="shared" si="281"/>
        <v>0</v>
      </c>
      <c r="AE1245" s="9">
        <f t="shared" si="281"/>
        <v>0</v>
      </c>
    </row>
    <row r="1246" spans="2:31" x14ac:dyDescent="0.25">
      <c r="B1246" s="6">
        <v>0</v>
      </c>
      <c r="C1246" s="6">
        <v>0</v>
      </c>
      <c r="D1246" s="6">
        <v>0</v>
      </c>
      <c r="E1246" s="6">
        <v>0</v>
      </c>
      <c r="F1246" s="6">
        <v>0</v>
      </c>
      <c r="L1246">
        <f t="shared" si="271"/>
        <v>0</v>
      </c>
      <c r="M1246">
        <f t="shared" si="272"/>
        <v>0</v>
      </c>
      <c r="N1246">
        <f t="shared" si="273"/>
        <v>0</v>
      </c>
      <c r="O1246">
        <f t="shared" si="274"/>
        <v>0</v>
      </c>
      <c r="P1246">
        <f t="shared" si="275"/>
        <v>0</v>
      </c>
      <c r="Q1246">
        <f t="shared" si="276"/>
        <v>0</v>
      </c>
      <c r="R1246">
        <f t="shared" si="277"/>
        <v>0</v>
      </c>
      <c r="S1246">
        <f t="shared" si="278"/>
        <v>0</v>
      </c>
      <c r="T1246">
        <f t="shared" si="279"/>
        <v>0</v>
      </c>
      <c r="U1246">
        <f t="shared" si="280"/>
        <v>0</v>
      </c>
      <c r="V1246" s="9">
        <f t="shared" si="282"/>
        <v>0</v>
      </c>
      <c r="W1246" s="9">
        <f t="shared" si="282"/>
        <v>0</v>
      </c>
      <c r="X1246" s="9">
        <f t="shared" si="282"/>
        <v>0</v>
      </c>
      <c r="Y1246" s="9">
        <f t="shared" si="282"/>
        <v>0</v>
      </c>
      <c r="Z1246" s="9">
        <f t="shared" si="282"/>
        <v>0</v>
      </c>
      <c r="AA1246" s="9">
        <f t="shared" si="281"/>
        <v>0</v>
      </c>
      <c r="AB1246" s="9">
        <f t="shared" si="281"/>
        <v>0</v>
      </c>
      <c r="AC1246" s="9">
        <f t="shared" si="281"/>
        <v>0</v>
      </c>
      <c r="AD1246" s="9">
        <f t="shared" si="281"/>
        <v>0</v>
      </c>
      <c r="AE1246" s="9">
        <f t="shared" si="281"/>
        <v>0</v>
      </c>
    </row>
    <row r="1247" spans="2:31" x14ac:dyDescent="0.25">
      <c r="B1247" s="6">
        <v>0</v>
      </c>
      <c r="C1247" s="6">
        <v>0</v>
      </c>
      <c r="D1247" s="6">
        <v>0</v>
      </c>
      <c r="E1247" s="6">
        <v>0</v>
      </c>
      <c r="F1247" s="6">
        <v>0</v>
      </c>
      <c r="L1247">
        <f t="shared" si="271"/>
        <v>0</v>
      </c>
      <c r="M1247">
        <f t="shared" si="272"/>
        <v>0</v>
      </c>
      <c r="N1247">
        <f t="shared" si="273"/>
        <v>0</v>
      </c>
      <c r="O1247">
        <f t="shared" si="274"/>
        <v>0</v>
      </c>
      <c r="P1247">
        <f t="shared" si="275"/>
        <v>0</v>
      </c>
      <c r="Q1247">
        <f t="shared" si="276"/>
        <v>0</v>
      </c>
      <c r="R1247">
        <f t="shared" si="277"/>
        <v>0</v>
      </c>
      <c r="S1247">
        <f t="shared" si="278"/>
        <v>0</v>
      </c>
      <c r="T1247">
        <f t="shared" si="279"/>
        <v>0</v>
      </c>
      <c r="U1247">
        <f t="shared" si="280"/>
        <v>0</v>
      </c>
      <c r="V1247" s="9">
        <f t="shared" si="282"/>
        <v>0</v>
      </c>
      <c r="W1247" s="9">
        <f t="shared" si="282"/>
        <v>0</v>
      </c>
      <c r="X1247" s="9">
        <f t="shared" si="282"/>
        <v>0</v>
      </c>
      <c r="Y1247" s="9">
        <f t="shared" si="282"/>
        <v>0</v>
      </c>
      <c r="Z1247" s="9">
        <f t="shared" si="282"/>
        <v>0</v>
      </c>
      <c r="AA1247" s="9">
        <f t="shared" si="281"/>
        <v>0</v>
      </c>
      <c r="AB1247" s="9">
        <f t="shared" si="281"/>
        <v>0</v>
      </c>
      <c r="AC1247" s="9">
        <f t="shared" si="281"/>
        <v>0</v>
      </c>
      <c r="AD1247" s="9">
        <f t="shared" si="281"/>
        <v>0</v>
      </c>
      <c r="AE1247" s="9">
        <f t="shared" si="281"/>
        <v>0</v>
      </c>
    </row>
    <row r="1248" spans="2:31" x14ac:dyDescent="0.25">
      <c r="B1248" s="6">
        <v>0</v>
      </c>
      <c r="C1248" s="6">
        <v>0</v>
      </c>
      <c r="D1248" s="6">
        <v>0</v>
      </c>
      <c r="E1248" s="6">
        <v>0</v>
      </c>
      <c r="F1248" s="6">
        <v>0</v>
      </c>
      <c r="L1248">
        <f t="shared" si="271"/>
        <v>0</v>
      </c>
      <c r="M1248">
        <f t="shared" si="272"/>
        <v>0</v>
      </c>
      <c r="N1248">
        <f t="shared" si="273"/>
        <v>0</v>
      </c>
      <c r="O1248">
        <f t="shared" si="274"/>
        <v>0</v>
      </c>
      <c r="P1248">
        <f t="shared" si="275"/>
        <v>0</v>
      </c>
      <c r="Q1248">
        <f t="shared" si="276"/>
        <v>0</v>
      </c>
      <c r="R1248">
        <f t="shared" si="277"/>
        <v>0</v>
      </c>
      <c r="S1248">
        <f t="shared" si="278"/>
        <v>0</v>
      </c>
      <c r="T1248">
        <f t="shared" si="279"/>
        <v>0</v>
      </c>
      <c r="U1248">
        <f t="shared" si="280"/>
        <v>0</v>
      </c>
      <c r="V1248" s="9">
        <f t="shared" si="282"/>
        <v>0</v>
      </c>
      <c r="W1248" s="9">
        <f t="shared" si="282"/>
        <v>0</v>
      </c>
      <c r="X1248" s="9">
        <f t="shared" si="282"/>
        <v>0</v>
      </c>
      <c r="Y1248" s="9">
        <f t="shared" si="282"/>
        <v>0</v>
      </c>
      <c r="Z1248" s="9">
        <f t="shared" si="282"/>
        <v>0</v>
      </c>
      <c r="AA1248" s="9">
        <f t="shared" si="281"/>
        <v>0</v>
      </c>
      <c r="AB1248" s="9">
        <f t="shared" si="281"/>
        <v>0</v>
      </c>
      <c r="AC1248" s="9">
        <f t="shared" si="281"/>
        <v>0</v>
      </c>
      <c r="AD1248" s="9">
        <f t="shared" si="281"/>
        <v>0</v>
      </c>
      <c r="AE1248" s="9">
        <f t="shared" si="281"/>
        <v>0</v>
      </c>
    </row>
    <row r="1249" spans="2:31" x14ac:dyDescent="0.25">
      <c r="B1249" s="6">
        <v>0</v>
      </c>
      <c r="C1249" s="6">
        <v>0</v>
      </c>
      <c r="D1249" s="6">
        <v>0</v>
      </c>
      <c r="E1249" s="6">
        <v>0</v>
      </c>
      <c r="F1249" s="6">
        <v>0</v>
      </c>
      <c r="L1249">
        <f t="shared" si="271"/>
        <v>0</v>
      </c>
      <c r="M1249">
        <f t="shared" si="272"/>
        <v>0</v>
      </c>
      <c r="N1249">
        <f t="shared" si="273"/>
        <v>0</v>
      </c>
      <c r="O1249">
        <f t="shared" si="274"/>
        <v>0</v>
      </c>
      <c r="P1249">
        <f t="shared" si="275"/>
        <v>0</v>
      </c>
      <c r="Q1249">
        <f t="shared" si="276"/>
        <v>0</v>
      </c>
      <c r="R1249">
        <f t="shared" si="277"/>
        <v>0</v>
      </c>
      <c r="S1249">
        <f t="shared" si="278"/>
        <v>0</v>
      </c>
      <c r="T1249">
        <f t="shared" si="279"/>
        <v>0</v>
      </c>
      <c r="U1249">
        <f t="shared" si="280"/>
        <v>0</v>
      </c>
      <c r="V1249" s="9">
        <f t="shared" si="282"/>
        <v>0</v>
      </c>
      <c r="W1249" s="9">
        <f t="shared" si="282"/>
        <v>0</v>
      </c>
      <c r="X1249" s="9">
        <f t="shared" si="282"/>
        <v>0</v>
      </c>
      <c r="Y1249" s="9">
        <f t="shared" si="282"/>
        <v>0</v>
      </c>
      <c r="Z1249" s="9">
        <f t="shared" si="282"/>
        <v>0</v>
      </c>
      <c r="AA1249" s="9">
        <f t="shared" si="281"/>
        <v>0</v>
      </c>
      <c r="AB1249" s="9">
        <f t="shared" si="281"/>
        <v>0</v>
      </c>
      <c r="AC1249" s="9">
        <f t="shared" si="281"/>
        <v>0</v>
      </c>
      <c r="AD1249" s="9">
        <f t="shared" si="281"/>
        <v>0</v>
      </c>
      <c r="AE1249" s="9">
        <f t="shared" si="281"/>
        <v>0</v>
      </c>
    </row>
    <row r="1250" spans="2:31" x14ac:dyDescent="0.25">
      <c r="B1250" s="6">
        <v>0</v>
      </c>
      <c r="C1250" s="6">
        <v>0</v>
      </c>
      <c r="D1250" s="6">
        <v>0</v>
      </c>
      <c r="E1250" s="6">
        <v>0</v>
      </c>
      <c r="F1250" s="6">
        <v>0</v>
      </c>
      <c r="L1250">
        <f t="shared" si="271"/>
        <v>0</v>
      </c>
      <c r="M1250">
        <f t="shared" si="272"/>
        <v>0</v>
      </c>
      <c r="N1250">
        <f t="shared" si="273"/>
        <v>0</v>
      </c>
      <c r="O1250">
        <f t="shared" si="274"/>
        <v>0</v>
      </c>
      <c r="P1250">
        <f t="shared" si="275"/>
        <v>0</v>
      </c>
      <c r="Q1250">
        <f t="shared" si="276"/>
        <v>0</v>
      </c>
      <c r="R1250">
        <f t="shared" si="277"/>
        <v>0</v>
      </c>
      <c r="S1250">
        <f t="shared" si="278"/>
        <v>0</v>
      </c>
      <c r="T1250">
        <f t="shared" si="279"/>
        <v>0</v>
      </c>
      <c r="U1250">
        <f t="shared" si="280"/>
        <v>0</v>
      </c>
      <c r="V1250" s="9">
        <f t="shared" si="282"/>
        <v>0</v>
      </c>
      <c r="W1250" s="9">
        <f t="shared" si="282"/>
        <v>0</v>
      </c>
      <c r="X1250" s="9">
        <f t="shared" si="282"/>
        <v>0</v>
      </c>
      <c r="Y1250" s="9">
        <f t="shared" si="282"/>
        <v>0</v>
      </c>
      <c r="Z1250" s="9">
        <f t="shared" si="282"/>
        <v>0</v>
      </c>
      <c r="AA1250" s="9">
        <f t="shared" si="281"/>
        <v>0</v>
      </c>
      <c r="AB1250" s="9">
        <f t="shared" si="281"/>
        <v>0</v>
      </c>
      <c r="AC1250" s="9">
        <f t="shared" si="281"/>
        <v>0</v>
      </c>
      <c r="AD1250" s="9">
        <f t="shared" si="281"/>
        <v>0</v>
      </c>
      <c r="AE1250" s="9">
        <f t="shared" si="281"/>
        <v>0</v>
      </c>
    </row>
    <row r="1251" spans="2:31" x14ac:dyDescent="0.25">
      <c r="B1251" s="6">
        <v>0</v>
      </c>
      <c r="C1251" s="6">
        <v>0</v>
      </c>
      <c r="D1251" s="6">
        <v>0</v>
      </c>
      <c r="E1251" s="6">
        <v>0</v>
      </c>
      <c r="F1251" s="6">
        <v>0</v>
      </c>
      <c r="L1251">
        <f t="shared" si="271"/>
        <v>0</v>
      </c>
      <c r="M1251">
        <f t="shared" si="272"/>
        <v>0</v>
      </c>
      <c r="N1251">
        <f t="shared" si="273"/>
        <v>0</v>
      </c>
      <c r="O1251">
        <f t="shared" si="274"/>
        <v>0</v>
      </c>
      <c r="P1251">
        <f t="shared" si="275"/>
        <v>0</v>
      </c>
      <c r="Q1251">
        <f t="shared" si="276"/>
        <v>0</v>
      </c>
      <c r="R1251">
        <f t="shared" si="277"/>
        <v>0</v>
      </c>
      <c r="S1251">
        <f t="shared" si="278"/>
        <v>0</v>
      </c>
      <c r="T1251">
        <f t="shared" si="279"/>
        <v>0</v>
      </c>
      <c r="U1251">
        <f t="shared" si="280"/>
        <v>0</v>
      </c>
      <c r="V1251" s="9">
        <f t="shared" si="282"/>
        <v>0</v>
      </c>
      <c r="W1251" s="9">
        <f t="shared" si="282"/>
        <v>0</v>
      </c>
      <c r="X1251" s="9">
        <f t="shared" si="282"/>
        <v>0</v>
      </c>
      <c r="Y1251" s="9">
        <f t="shared" si="282"/>
        <v>0</v>
      </c>
      <c r="Z1251" s="9">
        <f t="shared" si="282"/>
        <v>0</v>
      </c>
      <c r="AA1251" s="9">
        <f t="shared" si="281"/>
        <v>0</v>
      </c>
      <c r="AB1251" s="9">
        <f t="shared" si="281"/>
        <v>0</v>
      </c>
      <c r="AC1251" s="9">
        <f t="shared" si="281"/>
        <v>0</v>
      </c>
      <c r="AD1251" s="9">
        <f t="shared" si="281"/>
        <v>0</v>
      </c>
      <c r="AE1251" s="9">
        <f t="shared" si="281"/>
        <v>0</v>
      </c>
    </row>
    <row r="1252" spans="2:31" x14ac:dyDescent="0.25">
      <c r="B1252" s="6">
        <v>0</v>
      </c>
      <c r="C1252" s="6">
        <v>0</v>
      </c>
      <c r="D1252" s="6">
        <v>0</v>
      </c>
      <c r="E1252" s="6">
        <v>0</v>
      </c>
      <c r="F1252" s="6">
        <v>0</v>
      </c>
      <c r="L1252">
        <f t="shared" si="271"/>
        <v>0</v>
      </c>
      <c r="M1252">
        <f t="shared" si="272"/>
        <v>0</v>
      </c>
      <c r="N1252">
        <f t="shared" si="273"/>
        <v>0</v>
      </c>
      <c r="O1252">
        <f t="shared" si="274"/>
        <v>0</v>
      </c>
      <c r="P1252">
        <f t="shared" si="275"/>
        <v>0</v>
      </c>
      <c r="Q1252">
        <f t="shared" si="276"/>
        <v>0</v>
      </c>
      <c r="R1252">
        <f t="shared" si="277"/>
        <v>0</v>
      </c>
      <c r="S1252">
        <f t="shared" si="278"/>
        <v>0</v>
      </c>
      <c r="T1252">
        <f t="shared" si="279"/>
        <v>0</v>
      </c>
      <c r="U1252">
        <f t="shared" si="280"/>
        <v>0</v>
      </c>
      <c r="V1252" s="9">
        <f t="shared" si="282"/>
        <v>0</v>
      </c>
      <c r="W1252" s="9">
        <f t="shared" si="282"/>
        <v>0</v>
      </c>
      <c r="X1252" s="9">
        <f t="shared" si="282"/>
        <v>0</v>
      </c>
      <c r="Y1252" s="9">
        <f t="shared" si="282"/>
        <v>0</v>
      </c>
      <c r="Z1252" s="9">
        <f t="shared" si="282"/>
        <v>0</v>
      </c>
      <c r="AA1252" s="9">
        <f t="shared" si="281"/>
        <v>0</v>
      </c>
      <c r="AB1252" s="9">
        <f t="shared" si="281"/>
        <v>0</v>
      </c>
      <c r="AC1252" s="9">
        <f t="shared" si="281"/>
        <v>0</v>
      </c>
      <c r="AD1252" s="9">
        <f t="shared" si="281"/>
        <v>0</v>
      </c>
      <c r="AE1252" s="9">
        <f t="shared" si="281"/>
        <v>0</v>
      </c>
    </row>
    <row r="1253" spans="2:31" x14ac:dyDescent="0.25">
      <c r="B1253" s="6">
        <v>0</v>
      </c>
      <c r="C1253" s="6">
        <v>0</v>
      </c>
      <c r="D1253" s="6">
        <v>0</v>
      </c>
      <c r="E1253" s="6">
        <v>0</v>
      </c>
      <c r="F1253" s="6">
        <v>0</v>
      </c>
      <c r="L1253">
        <f t="shared" si="271"/>
        <v>0</v>
      </c>
      <c r="M1253">
        <f t="shared" si="272"/>
        <v>0</v>
      </c>
      <c r="N1253">
        <f t="shared" si="273"/>
        <v>0</v>
      </c>
      <c r="O1253">
        <f t="shared" si="274"/>
        <v>0</v>
      </c>
      <c r="P1253">
        <f t="shared" si="275"/>
        <v>0</v>
      </c>
      <c r="Q1253">
        <f t="shared" si="276"/>
        <v>0</v>
      </c>
      <c r="R1253">
        <f t="shared" si="277"/>
        <v>0</v>
      </c>
      <c r="S1253">
        <f t="shared" si="278"/>
        <v>0</v>
      </c>
      <c r="T1253">
        <f t="shared" si="279"/>
        <v>0</v>
      </c>
      <c r="U1253">
        <f t="shared" si="280"/>
        <v>0</v>
      </c>
      <c r="V1253" s="9">
        <f t="shared" si="282"/>
        <v>0</v>
      </c>
      <c r="W1253" s="9">
        <f t="shared" si="282"/>
        <v>0</v>
      </c>
      <c r="X1253" s="9">
        <f t="shared" si="282"/>
        <v>0</v>
      </c>
      <c r="Y1253" s="9">
        <f t="shared" si="282"/>
        <v>0</v>
      </c>
      <c r="Z1253" s="9">
        <f t="shared" si="282"/>
        <v>0</v>
      </c>
      <c r="AA1253" s="9">
        <f t="shared" si="281"/>
        <v>0</v>
      </c>
      <c r="AB1253" s="9">
        <f t="shared" si="281"/>
        <v>0</v>
      </c>
      <c r="AC1253" s="9">
        <f t="shared" si="281"/>
        <v>0</v>
      </c>
      <c r="AD1253" s="9">
        <f t="shared" si="281"/>
        <v>0</v>
      </c>
      <c r="AE1253" s="9">
        <f t="shared" si="281"/>
        <v>0</v>
      </c>
    </row>
    <row r="1254" spans="2:31" x14ac:dyDescent="0.25">
      <c r="B1254" s="6">
        <v>0</v>
      </c>
      <c r="C1254" s="6">
        <v>0</v>
      </c>
      <c r="D1254" s="6">
        <v>0</v>
      </c>
      <c r="E1254" s="6">
        <v>0</v>
      </c>
      <c r="F1254" s="6">
        <v>0</v>
      </c>
      <c r="L1254">
        <f t="shared" si="271"/>
        <v>0</v>
      </c>
      <c r="M1254">
        <f t="shared" si="272"/>
        <v>0</v>
      </c>
      <c r="N1254">
        <f t="shared" si="273"/>
        <v>0</v>
      </c>
      <c r="O1254">
        <f t="shared" si="274"/>
        <v>0</v>
      </c>
      <c r="P1254">
        <f t="shared" si="275"/>
        <v>0</v>
      </c>
      <c r="Q1254">
        <f t="shared" si="276"/>
        <v>0</v>
      </c>
      <c r="R1254">
        <f t="shared" si="277"/>
        <v>0</v>
      </c>
      <c r="S1254">
        <f t="shared" si="278"/>
        <v>0</v>
      </c>
      <c r="T1254">
        <f t="shared" si="279"/>
        <v>0</v>
      </c>
      <c r="U1254">
        <f t="shared" si="280"/>
        <v>0</v>
      </c>
      <c r="V1254" s="9">
        <f t="shared" si="282"/>
        <v>0</v>
      </c>
      <c r="W1254" s="9">
        <f t="shared" si="282"/>
        <v>0</v>
      </c>
      <c r="X1254" s="9">
        <f t="shared" si="282"/>
        <v>0</v>
      </c>
      <c r="Y1254" s="9">
        <f t="shared" si="282"/>
        <v>0</v>
      </c>
      <c r="Z1254" s="9">
        <f t="shared" si="282"/>
        <v>0</v>
      </c>
      <c r="AA1254" s="9">
        <f t="shared" si="281"/>
        <v>0</v>
      </c>
      <c r="AB1254" s="9">
        <f t="shared" si="281"/>
        <v>0</v>
      </c>
      <c r="AC1254" s="9">
        <f t="shared" si="281"/>
        <v>0</v>
      </c>
      <c r="AD1254" s="9">
        <f t="shared" si="281"/>
        <v>0</v>
      </c>
      <c r="AE1254" s="9">
        <f t="shared" si="281"/>
        <v>0</v>
      </c>
    </row>
    <row r="1255" spans="2:31" x14ac:dyDescent="0.25">
      <c r="B1255" s="6">
        <v>0</v>
      </c>
      <c r="C1255" s="6">
        <v>0</v>
      </c>
      <c r="D1255" s="6">
        <v>0</v>
      </c>
      <c r="E1255" s="6">
        <v>0</v>
      </c>
      <c r="F1255" s="6">
        <v>0</v>
      </c>
      <c r="L1255">
        <f t="shared" si="271"/>
        <v>0</v>
      </c>
      <c r="M1255">
        <f t="shared" si="272"/>
        <v>0</v>
      </c>
      <c r="N1255">
        <f t="shared" si="273"/>
        <v>0</v>
      </c>
      <c r="O1255">
        <f t="shared" si="274"/>
        <v>0</v>
      </c>
      <c r="P1255">
        <f t="shared" si="275"/>
        <v>0</v>
      </c>
      <c r="Q1255">
        <f t="shared" si="276"/>
        <v>0</v>
      </c>
      <c r="R1255">
        <f t="shared" si="277"/>
        <v>0</v>
      </c>
      <c r="S1255">
        <f t="shared" si="278"/>
        <v>0</v>
      </c>
      <c r="T1255">
        <f t="shared" si="279"/>
        <v>0</v>
      </c>
      <c r="U1255">
        <f t="shared" si="280"/>
        <v>0</v>
      </c>
      <c r="V1255" s="9">
        <f t="shared" si="282"/>
        <v>0</v>
      </c>
      <c r="W1255" s="9">
        <f t="shared" si="282"/>
        <v>0</v>
      </c>
      <c r="X1255" s="9">
        <f t="shared" si="282"/>
        <v>0</v>
      </c>
      <c r="Y1255" s="9">
        <f t="shared" si="282"/>
        <v>0</v>
      </c>
      <c r="Z1255" s="9">
        <f t="shared" si="282"/>
        <v>0</v>
      </c>
      <c r="AA1255" s="9">
        <f t="shared" si="281"/>
        <v>0</v>
      </c>
      <c r="AB1255" s="9">
        <f t="shared" si="281"/>
        <v>0</v>
      </c>
      <c r="AC1255" s="9">
        <f t="shared" si="281"/>
        <v>0</v>
      </c>
      <c r="AD1255" s="9">
        <f t="shared" si="281"/>
        <v>0</v>
      </c>
      <c r="AE1255" s="9">
        <f t="shared" si="281"/>
        <v>0</v>
      </c>
    </row>
    <row r="1256" spans="2:31" x14ac:dyDescent="0.25">
      <c r="B1256" s="6">
        <v>0</v>
      </c>
      <c r="C1256" s="6">
        <v>0</v>
      </c>
      <c r="D1256" s="6">
        <v>0</v>
      </c>
      <c r="E1256" s="6">
        <v>0</v>
      </c>
      <c r="F1256" s="6">
        <v>0</v>
      </c>
      <c r="L1256">
        <f t="shared" si="271"/>
        <v>0</v>
      </c>
      <c r="M1256">
        <f t="shared" si="272"/>
        <v>0</v>
      </c>
      <c r="N1256">
        <f t="shared" si="273"/>
        <v>0</v>
      </c>
      <c r="O1256">
        <f t="shared" si="274"/>
        <v>0</v>
      </c>
      <c r="P1256">
        <f t="shared" si="275"/>
        <v>0</v>
      </c>
      <c r="Q1256">
        <f t="shared" si="276"/>
        <v>0</v>
      </c>
      <c r="R1256">
        <f t="shared" si="277"/>
        <v>0</v>
      </c>
      <c r="S1256">
        <f t="shared" si="278"/>
        <v>0</v>
      </c>
      <c r="T1256">
        <f t="shared" si="279"/>
        <v>0</v>
      </c>
      <c r="U1256">
        <f t="shared" si="280"/>
        <v>0</v>
      </c>
      <c r="V1256" s="9">
        <f t="shared" si="282"/>
        <v>0</v>
      </c>
      <c r="W1256" s="9">
        <f t="shared" si="282"/>
        <v>0</v>
      </c>
      <c r="X1256" s="9">
        <f t="shared" si="282"/>
        <v>0</v>
      </c>
      <c r="Y1256" s="9">
        <f t="shared" si="282"/>
        <v>0</v>
      </c>
      <c r="Z1256" s="9">
        <f t="shared" si="282"/>
        <v>0</v>
      </c>
      <c r="AA1256" s="9">
        <f t="shared" si="281"/>
        <v>0</v>
      </c>
      <c r="AB1256" s="9">
        <f t="shared" si="281"/>
        <v>0</v>
      </c>
      <c r="AC1256" s="9">
        <f t="shared" si="281"/>
        <v>0</v>
      </c>
      <c r="AD1256" s="9">
        <f t="shared" si="281"/>
        <v>0</v>
      </c>
      <c r="AE1256" s="9">
        <f t="shared" si="281"/>
        <v>0</v>
      </c>
    </row>
    <row r="1257" spans="2:31" x14ac:dyDescent="0.25">
      <c r="B1257" s="6">
        <v>0</v>
      </c>
      <c r="C1257" s="6">
        <v>0</v>
      </c>
      <c r="D1257" s="6">
        <v>0</v>
      </c>
      <c r="E1257" s="6">
        <v>0</v>
      </c>
      <c r="F1257" s="6">
        <v>0</v>
      </c>
      <c r="L1257">
        <f t="shared" si="271"/>
        <v>0</v>
      </c>
      <c r="M1257">
        <f t="shared" si="272"/>
        <v>0</v>
      </c>
      <c r="N1257">
        <f t="shared" si="273"/>
        <v>0</v>
      </c>
      <c r="O1257">
        <f t="shared" si="274"/>
        <v>0</v>
      </c>
      <c r="P1257">
        <f t="shared" si="275"/>
        <v>0</v>
      </c>
      <c r="Q1257">
        <f t="shared" si="276"/>
        <v>0</v>
      </c>
      <c r="R1257">
        <f t="shared" si="277"/>
        <v>0</v>
      </c>
      <c r="S1257">
        <f t="shared" si="278"/>
        <v>0</v>
      </c>
      <c r="T1257">
        <f t="shared" si="279"/>
        <v>0</v>
      </c>
      <c r="U1257">
        <f t="shared" si="280"/>
        <v>0</v>
      </c>
      <c r="V1257" s="9">
        <f t="shared" si="282"/>
        <v>0</v>
      </c>
      <c r="W1257" s="9">
        <f t="shared" si="282"/>
        <v>0</v>
      </c>
      <c r="X1257" s="9">
        <f t="shared" si="282"/>
        <v>0</v>
      </c>
      <c r="Y1257" s="9">
        <f t="shared" si="282"/>
        <v>0</v>
      </c>
      <c r="Z1257" s="9">
        <f t="shared" si="282"/>
        <v>0</v>
      </c>
      <c r="AA1257" s="9">
        <f t="shared" si="281"/>
        <v>0</v>
      </c>
      <c r="AB1257" s="9">
        <f t="shared" si="281"/>
        <v>0</v>
      </c>
      <c r="AC1257" s="9">
        <f t="shared" si="281"/>
        <v>0</v>
      </c>
      <c r="AD1257" s="9">
        <f t="shared" si="281"/>
        <v>0</v>
      </c>
      <c r="AE1257" s="9">
        <f t="shared" si="281"/>
        <v>0</v>
      </c>
    </row>
    <row r="1258" spans="2:31" x14ac:dyDescent="0.25">
      <c r="B1258" s="6">
        <v>0</v>
      </c>
      <c r="C1258" s="6">
        <v>0</v>
      </c>
      <c r="D1258" s="6">
        <v>0</v>
      </c>
      <c r="E1258" s="6">
        <v>0</v>
      </c>
      <c r="F1258" s="6">
        <v>0</v>
      </c>
      <c r="L1258">
        <f t="shared" si="271"/>
        <v>0</v>
      </c>
      <c r="M1258">
        <f t="shared" si="272"/>
        <v>0</v>
      </c>
      <c r="N1258">
        <f t="shared" si="273"/>
        <v>0</v>
      </c>
      <c r="O1258">
        <f t="shared" si="274"/>
        <v>0</v>
      </c>
      <c r="P1258">
        <f t="shared" si="275"/>
        <v>0</v>
      </c>
      <c r="Q1258">
        <f t="shared" si="276"/>
        <v>0</v>
      </c>
      <c r="R1258">
        <f t="shared" si="277"/>
        <v>0</v>
      </c>
      <c r="S1258">
        <f t="shared" si="278"/>
        <v>0</v>
      </c>
      <c r="T1258">
        <f t="shared" si="279"/>
        <v>0</v>
      </c>
      <c r="U1258">
        <f t="shared" si="280"/>
        <v>0</v>
      </c>
      <c r="V1258" s="9">
        <f t="shared" si="282"/>
        <v>0</v>
      </c>
      <c r="W1258" s="9">
        <f t="shared" si="282"/>
        <v>0</v>
      </c>
      <c r="X1258" s="9">
        <f t="shared" si="282"/>
        <v>0</v>
      </c>
      <c r="Y1258" s="9">
        <f t="shared" si="282"/>
        <v>0</v>
      </c>
      <c r="Z1258" s="9">
        <f t="shared" si="282"/>
        <v>0</v>
      </c>
      <c r="AA1258" s="9">
        <f t="shared" si="281"/>
        <v>0</v>
      </c>
      <c r="AB1258" s="9">
        <f t="shared" si="281"/>
        <v>0</v>
      </c>
      <c r="AC1258" s="9">
        <f t="shared" si="281"/>
        <v>0</v>
      </c>
      <c r="AD1258" s="9">
        <f t="shared" si="281"/>
        <v>0</v>
      </c>
      <c r="AE1258" s="9">
        <f t="shared" si="281"/>
        <v>0</v>
      </c>
    </row>
    <row r="1259" spans="2:31" x14ac:dyDescent="0.25">
      <c r="B1259" s="6">
        <v>0</v>
      </c>
      <c r="C1259" s="6">
        <v>0</v>
      </c>
      <c r="D1259" s="6">
        <v>0</v>
      </c>
      <c r="E1259" s="6">
        <v>0</v>
      </c>
      <c r="F1259" s="6">
        <v>0</v>
      </c>
      <c r="L1259">
        <f t="shared" si="271"/>
        <v>0</v>
      </c>
      <c r="M1259">
        <f t="shared" si="272"/>
        <v>0</v>
      </c>
      <c r="N1259">
        <f t="shared" si="273"/>
        <v>0</v>
      </c>
      <c r="O1259">
        <f t="shared" si="274"/>
        <v>0</v>
      </c>
      <c r="P1259">
        <f t="shared" si="275"/>
        <v>0</v>
      </c>
      <c r="Q1259">
        <f t="shared" si="276"/>
        <v>0</v>
      </c>
      <c r="R1259">
        <f t="shared" si="277"/>
        <v>0</v>
      </c>
      <c r="S1259">
        <f t="shared" si="278"/>
        <v>0</v>
      </c>
      <c r="T1259">
        <f t="shared" si="279"/>
        <v>0</v>
      </c>
      <c r="U1259">
        <f t="shared" si="280"/>
        <v>0</v>
      </c>
      <c r="V1259" s="9">
        <f t="shared" si="282"/>
        <v>0</v>
      </c>
      <c r="W1259" s="9">
        <f t="shared" si="282"/>
        <v>0</v>
      </c>
      <c r="X1259" s="9">
        <f t="shared" si="282"/>
        <v>0</v>
      </c>
      <c r="Y1259" s="9">
        <f t="shared" si="282"/>
        <v>0</v>
      </c>
      <c r="Z1259" s="9">
        <f t="shared" si="282"/>
        <v>0</v>
      </c>
      <c r="AA1259" s="9">
        <f t="shared" si="281"/>
        <v>0</v>
      </c>
      <c r="AB1259" s="9">
        <f t="shared" si="281"/>
        <v>0</v>
      </c>
      <c r="AC1259" s="9">
        <f t="shared" si="281"/>
        <v>0</v>
      </c>
      <c r="AD1259" s="9">
        <f t="shared" si="281"/>
        <v>0</v>
      </c>
      <c r="AE1259" s="9">
        <f t="shared" si="281"/>
        <v>0</v>
      </c>
    </row>
    <row r="1260" spans="2:31" x14ac:dyDescent="0.25">
      <c r="B1260" s="6">
        <v>0</v>
      </c>
      <c r="C1260" s="6">
        <v>0</v>
      </c>
      <c r="D1260" s="6">
        <v>0</v>
      </c>
      <c r="E1260" s="6">
        <v>0</v>
      </c>
      <c r="F1260" s="6">
        <v>0</v>
      </c>
      <c r="L1260">
        <f t="shared" si="271"/>
        <v>0</v>
      </c>
      <c r="M1260">
        <f t="shared" si="272"/>
        <v>0</v>
      </c>
      <c r="N1260">
        <f t="shared" si="273"/>
        <v>0</v>
      </c>
      <c r="O1260">
        <f t="shared" si="274"/>
        <v>0</v>
      </c>
      <c r="P1260">
        <f t="shared" si="275"/>
        <v>0</v>
      </c>
      <c r="Q1260">
        <f t="shared" si="276"/>
        <v>0</v>
      </c>
      <c r="R1260">
        <f t="shared" si="277"/>
        <v>0</v>
      </c>
      <c r="S1260">
        <f t="shared" si="278"/>
        <v>0</v>
      </c>
      <c r="T1260">
        <f t="shared" si="279"/>
        <v>0</v>
      </c>
      <c r="U1260">
        <f t="shared" si="280"/>
        <v>0</v>
      </c>
      <c r="V1260" s="9">
        <f t="shared" si="282"/>
        <v>0</v>
      </c>
      <c r="W1260" s="9">
        <f t="shared" si="282"/>
        <v>0</v>
      </c>
      <c r="X1260" s="9">
        <f t="shared" si="282"/>
        <v>0</v>
      </c>
      <c r="Y1260" s="9">
        <f t="shared" si="282"/>
        <v>0</v>
      </c>
      <c r="Z1260" s="9">
        <f t="shared" si="282"/>
        <v>0</v>
      </c>
      <c r="AA1260" s="9">
        <f t="shared" si="281"/>
        <v>0</v>
      </c>
      <c r="AB1260" s="9">
        <f t="shared" si="281"/>
        <v>0</v>
      </c>
      <c r="AC1260" s="9">
        <f t="shared" si="281"/>
        <v>0</v>
      </c>
      <c r="AD1260" s="9">
        <f t="shared" si="281"/>
        <v>0</v>
      </c>
      <c r="AE1260" s="9">
        <f t="shared" si="281"/>
        <v>0</v>
      </c>
    </row>
    <row r="1261" spans="2:31" x14ac:dyDescent="0.25">
      <c r="B1261" s="6">
        <v>0</v>
      </c>
      <c r="C1261" s="6">
        <v>0</v>
      </c>
      <c r="D1261" s="6">
        <v>0</v>
      </c>
      <c r="E1261" s="6">
        <v>0</v>
      </c>
      <c r="F1261" s="6">
        <v>0</v>
      </c>
      <c r="L1261">
        <f t="shared" si="271"/>
        <v>0</v>
      </c>
      <c r="M1261">
        <f t="shared" si="272"/>
        <v>0</v>
      </c>
      <c r="N1261">
        <f t="shared" si="273"/>
        <v>0</v>
      </c>
      <c r="O1261">
        <f t="shared" si="274"/>
        <v>0</v>
      </c>
      <c r="P1261">
        <f t="shared" si="275"/>
        <v>0</v>
      </c>
      <c r="Q1261">
        <f t="shared" si="276"/>
        <v>0</v>
      </c>
      <c r="R1261">
        <f t="shared" si="277"/>
        <v>0</v>
      </c>
      <c r="S1261">
        <f t="shared" si="278"/>
        <v>0</v>
      </c>
      <c r="T1261">
        <f t="shared" si="279"/>
        <v>0</v>
      </c>
      <c r="U1261">
        <f t="shared" si="280"/>
        <v>0</v>
      </c>
      <c r="V1261" s="9">
        <f t="shared" si="282"/>
        <v>0</v>
      </c>
      <c r="W1261" s="9">
        <f t="shared" si="282"/>
        <v>0</v>
      </c>
      <c r="X1261" s="9">
        <f t="shared" si="282"/>
        <v>0</v>
      </c>
      <c r="Y1261" s="9">
        <f t="shared" si="282"/>
        <v>0</v>
      </c>
      <c r="Z1261" s="9">
        <f t="shared" si="282"/>
        <v>0</v>
      </c>
      <c r="AA1261" s="9">
        <f t="shared" si="281"/>
        <v>0</v>
      </c>
      <c r="AB1261" s="9">
        <f t="shared" si="281"/>
        <v>0</v>
      </c>
      <c r="AC1261" s="9">
        <f t="shared" si="281"/>
        <v>0</v>
      </c>
      <c r="AD1261" s="9">
        <f t="shared" si="281"/>
        <v>0</v>
      </c>
      <c r="AE1261" s="9">
        <f t="shared" si="281"/>
        <v>0</v>
      </c>
    </row>
    <row r="1262" spans="2:31" x14ac:dyDescent="0.25">
      <c r="B1262" s="6">
        <v>0</v>
      </c>
      <c r="C1262" s="6">
        <v>0</v>
      </c>
      <c r="D1262" s="6">
        <v>0</v>
      </c>
      <c r="E1262" s="6">
        <v>0</v>
      </c>
      <c r="F1262" s="6">
        <v>0</v>
      </c>
      <c r="L1262">
        <f t="shared" si="271"/>
        <v>0</v>
      </c>
      <c r="M1262">
        <f t="shared" si="272"/>
        <v>0</v>
      </c>
      <c r="N1262">
        <f t="shared" si="273"/>
        <v>0</v>
      </c>
      <c r="O1262">
        <f t="shared" si="274"/>
        <v>0</v>
      </c>
      <c r="P1262">
        <f t="shared" si="275"/>
        <v>0</v>
      </c>
      <c r="Q1262">
        <f t="shared" si="276"/>
        <v>0</v>
      </c>
      <c r="R1262">
        <f t="shared" si="277"/>
        <v>0</v>
      </c>
      <c r="S1262">
        <f t="shared" si="278"/>
        <v>0</v>
      </c>
      <c r="T1262">
        <f t="shared" si="279"/>
        <v>0</v>
      </c>
      <c r="U1262">
        <f t="shared" si="280"/>
        <v>0</v>
      </c>
      <c r="V1262" s="9">
        <f t="shared" si="282"/>
        <v>0</v>
      </c>
      <c r="W1262" s="9">
        <f t="shared" si="282"/>
        <v>0</v>
      </c>
      <c r="X1262" s="9">
        <f t="shared" si="282"/>
        <v>0</v>
      </c>
      <c r="Y1262" s="9">
        <f t="shared" si="282"/>
        <v>0</v>
      </c>
      <c r="Z1262" s="9">
        <f t="shared" si="282"/>
        <v>0</v>
      </c>
      <c r="AA1262" s="9">
        <f t="shared" si="281"/>
        <v>0</v>
      </c>
      <c r="AB1262" s="9">
        <f t="shared" si="281"/>
        <v>0</v>
      </c>
      <c r="AC1262" s="9">
        <f t="shared" si="281"/>
        <v>0</v>
      </c>
      <c r="AD1262" s="9">
        <f t="shared" si="281"/>
        <v>0</v>
      </c>
      <c r="AE1262" s="9">
        <f t="shared" si="281"/>
        <v>0</v>
      </c>
    </row>
    <row r="1263" spans="2:31" x14ac:dyDescent="0.25">
      <c r="B1263" s="6">
        <v>0</v>
      </c>
      <c r="C1263" s="6">
        <v>0</v>
      </c>
      <c r="D1263" s="6">
        <v>0</v>
      </c>
      <c r="E1263" s="6">
        <v>0</v>
      </c>
      <c r="F1263" s="6">
        <v>0</v>
      </c>
      <c r="L1263">
        <f t="shared" si="271"/>
        <v>0</v>
      </c>
      <c r="M1263">
        <f t="shared" si="272"/>
        <v>0</v>
      </c>
      <c r="N1263">
        <f t="shared" si="273"/>
        <v>0</v>
      </c>
      <c r="O1263">
        <f t="shared" si="274"/>
        <v>0</v>
      </c>
      <c r="P1263">
        <f t="shared" si="275"/>
        <v>0</v>
      </c>
      <c r="Q1263">
        <f t="shared" si="276"/>
        <v>0</v>
      </c>
      <c r="R1263">
        <f t="shared" si="277"/>
        <v>0</v>
      </c>
      <c r="S1263">
        <f t="shared" si="278"/>
        <v>0</v>
      </c>
      <c r="T1263">
        <f t="shared" si="279"/>
        <v>0</v>
      </c>
      <c r="U1263">
        <f t="shared" si="280"/>
        <v>0</v>
      </c>
      <c r="V1263" s="9">
        <f t="shared" si="282"/>
        <v>0</v>
      </c>
      <c r="W1263" s="9">
        <f t="shared" si="282"/>
        <v>0</v>
      </c>
      <c r="X1263" s="9">
        <f t="shared" si="282"/>
        <v>0</v>
      </c>
      <c r="Y1263" s="9">
        <f t="shared" si="282"/>
        <v>0</v>
      </c>
      <c r="Z1263" s="9">
        <f t="shared" si="282"/>
        <v>0</v>
      </c>
      <c r="AA1263" s="9">
        <f t="shared" si="281"/>
        <v>0</v>
      </c>
      <c r="AB1263" s="9">
        <f t="shared" si="281"/>
        <v>0</v>
      </c>
      <c r="AC1263" s="9">
        <f t="shared" si="281"/>
        <v>0</v>
      </c>
      <c r="AD1263" s="9">
        <f t="shared" si="281"/>
        <v>0</v>
      </c>
      <c r="AE1263" s="9">
        <f t="shared" si="281"/>
        <v>0</v>
      </c>
    </row>
    <row r="1264" spans="2:31" x14ac:dyDescent="0.25">
      <c r="B1264" s="6">
        <v>0</v>
      </c>
      <c r="C1264" s="6">
        <v>0</v>
      </c>
      <c r="D1264" s="6">
        <v>0</v>
      </c>
      <c r="E1264" s="6">
        <v>0</v>
      </c>
      <c r="F1264" s="6">
        <v>0</v>
      </c>
      <c r="L1264">
        <f t="shared" si="271"/>
        <v>0</v>
      </c>
      <c r="M1264">
        <f t="shared" si="272"/>
        <v>0</v>
      </c>
      <c r="N1264">
        <f t="shared" si="273"/>
        <v>0</v>
      </c>
      <c r="O1264">
        <f t="shared" si="274"/>
        <v>0</v>
      </c>
      <c r="P1264">
        <f t="shared" si="275"/>
        <v>0</v>
      </c>
      <c r="Q1264">
        <f t="shared" si="276"/>
        <v>0</v>
      </c>
      <c r="R1264">
        <f t="shared" si="277"/>
        <v>0</v>
      </c>
      <c r="S1264">
        <f t="shared" si="278"/>
        <v>0</v>
      </c>
      <c r="T1264">
        <f t="shared" si="279"/>
        <v>0</v>
      </c>
      <c r="U1264">
        <f t="shared" si="280"/>
        <v>0</v>
      </c>
      <c r="V1264" s="9">
        <f t="shared" si="282"/>
        <v>0</v>
      </c>
      <c r="W1264" s="9">
        <f t="shared" si="282"/>
        <v>0</v>
      </c>
      <c r="X1264" s="9">
        <f t="shared" si="282"/>
        <v>0</v>
      </c>
      <c r="Y1264" s="9">
        <f t="shared" si="282"/>
        <v>0</v>
      </c>
      <c r="Z1264" s="9">
        <f t="shared" si="282"/>
        <v>0</v>
      </c>
      <c r="AA1264" s="9">
        <f t="shared" si="281"/>
        <v>0</v>
      </c>
      <c r="AB1264" s="9">
        <f t="shared" si="281"/>
        <v>0</v>
      </c>
      <c r="AC1264" s="9">
        <f t="shared" si="281"/>
        <v>0</v>
      </c>
      <c r="AD1264" s="9">
        <f t="shared" si="281"/>
        <v>0</v>
      </c>
      <c r="AE1264" s="9">
        <f t="shared" si="281"/>
        <v>0</v>
      </c>
    </row>
    <row r="1265" spans="2:31" x14ac:dyDescent="0.25">
      <c r="B1265" s="6">
        <v>0</v>
      </c>
      <c r="C1265" s="6">
        <v>0</v>
      </c>
      <c r="D1265" s="6">
        <v>0</v>
      </c>
      <c r="E1265" s="6">
        <v>0</v>
      </c>
      <c r="F1265" s="6">
        <v>0</v>
      </c>
      <c r="L1265">
        <f t="shared" si="271"/>
        <v>0</v>
      </c>
      <c r="M1265">
        <f t="shared" si="272"/>
        <v>0</v>
      </c>
      <c r="N1265">
        <f t="shared" si="273"/>
        <v>0</v>
      </c>
      <c r="O1265">
        <f t="shared" si="274"/>
        <v>0</v>
      </c>
      <c r="P1265">
        <f t="shared" si="275"/>
        <v>0</v>
      </c>
      <c r="Q1265">
        <f t="shared" si="276"/>
        <v>0</v>
      </c>
      <c r="R1265">
        <f t="shared" si="277"/>
        <v>0</v>
      </c>
      <c r="S1265">
        <f t="shared" si="278"/>
        <v>0</v>
      </c>
      <c r="T1265">
        <f t="shared" si="279"/>
        <v>0</v>
      </c>
      <c r="U1265">
        <f t="shared" si="280"/>
        <v>0</v>
      </c>
      <c r="V1265" s="9">
        <f t="shared" si="282"/>
        <v>0</v>
      </c>
      <c r="W1265" s="9">
        <f t="shared" si="282"/>
        <v>0</v>
      </c>
      <c r="X1265" s="9">
        <f t="shared" si="282"/>
        <v>0</v>
      </c>
      <c r="Y1265" s="9">
        <f t="shared" si="282"/>
        <v>0</v>
      </c>
      <c r="Z1265" s="9">
        <f t="shared" si="282"/>
        <v>0</v>
      </c>
      <c r="AA1265" s="9">
        <f t="shared" si="281"/>
        <v>0</v>
      </c>
      <c r="AB1265" s="9">
        <f t="shared" si="281"/>
        <v>0</v>
      </c>
      <c r="AC1265" s="9">
        <f t="shared" si="281"/>
        <v>0</v>
      </c>
      <c r="AD1265" s="9">
        <f t="shared" si="281"/>
        <v>0</v>
      </c>
      <c r="AE1265" s="9">
        <f t="shared" si="281"/>
        <v>0</v>
      </c>
    </row>
    <row r="1266" spans="2:31" x14ac:dyDescent="0.25">
      <c r="B1266" s="6">
        <v>0</v>
      </c>
      <c r="C1266" s="6">
        <v>0</v>
      </c>
      <c r="D1266" s="6">
        <v>0</v>
      </c>
      <c r="E1266" s="6">
        <v>0</v>
      </c>
      <c r="F1266" s="6">
        <v>0</v>
      </c>
      <c r="L1266">
        <f t="shared" si="271"/>
        <v>0</v>
      </c>
      <c r="M1266">
        <f t="shared" si="272"/>
        <v>0</v>
      </c>
      <c r="N1266">
        <f t="shared" si="273"/>
        <v>0</v>
      </c>
      <c r="O1266">
        <f t="shared" si="274"/>
        <v>0</v>
      </c>
      <c r="P1266">
        <f t="shared" si="275"/>
        <v>0</v>
      </c>
      <c r="Q1266">
        <f t="shared" si="276"/>
        <v>0</v>
      </c>
      <c r="R1266">
        <f t="shared" si="277"/>
        <v>0</v>
      </c>
      <c r="S1266">
        <f t="shared" si="278"/>
        <v>0</v>
      </c>
      <c r="T1266">
        <f t="shared" si="279"/>
        <v>0</v>
      </c>
      <c r="U1266">
        <f t="shared" si="280"/>
        <v>0</v>
      </c>
      <c r="V1266" s="9">
        <f t="shared" si="282"/>
        <v>0</v>
      </c>
      <c r="W1266" s="9">
        <f t="shared" si="282"/>
        <v>0</v>
      </c>
      <c r="X1266" s="9">
        <f t="shared" si="282"/>
        <v>0</v>
      </c>
      <c r="Y1266" s="9">
        <f t="shared" si="282"/>
        <v>0</v>
      </c>
      <c r="Z1266" s="9">
        <f t="shared" si="282"/>
        <v>0</v>
      </c>
      <c r="AA1266" s="9">
        <f t="shared" si="281"/>
        <v>0</v>
      </c>
      <c r="AB1266" s="9">
        <f t="shared" si="281"/>
        <v>0</v>
      </c>
      <c r="AC1266" s="9">
        <f t="shared" si="281"/>
        <v>0</v>
      </c>
      <c r="AD1266" s="9">
        <f t="shared" si="281"/>
        <v>0</v>
      </c>
      <c r="AE1266" s="9">
        <f t="shared" si="281"/>
        <v>0</v>
      </c>
    </row>
    <row r="1267" spans="2:31" x14ac:dyDescent="0.25">
      <c r="B1267" s="6">
        <v>0</v>
      </c>
      <c r="C1267" s="6">
        <v>0</v>
      </c>
      <c r="D1267" s="6">
        <v>0</v>
      </c>
      <c r="E1267" s="6">
        <v>0</v>
      </c>
      <c r="F1267" s="6">
        <v>0</v>
      </c>
      <c r="L1267">
        <f t="shared" si="271"/>
        <v>0</v>
      </c>
      <c r="M1267">
        <f t="shared" si="272"/>
        <v>0</v>
      </c>
      <c r="N1267">
        <f t="shared" si="273"/>
        <v>0</v>
      </c>
      <c r="O1267">
        <f t="shared" si="274"/>
        <v>0</v>
      </c>
      <c r="P1267">
        <f t="shared" si="275"/>
        <v>0</v>
      </c>
      <c r="Q1267">
        <f t="shared" si="276"/>
        <v>0</v>
      </c>
      <c r="R1267">
        <f t="shared" si="277"/>
        <v>0</v>
      </c>
      <c r="S1267">
        <f t="shared" si="278"/>
        <v>0</v>
      </c>
      <c r="T1267">
        <f t="shared" si="279"/>
        <v>0</v>
      </c>
      <c r="U1267">
        <f t="shared" si="280"/>
        <v>0</v>
      </c>
      <c r="V1267" s="9">
        <f t="shared" si="282"/>
        <v>0</v>
      </c>
      <c r="W1267" s="9">
        <f t="shared" si="282"/>
        <v>0</v>
      </c>
      <c r="X1267" s="9">
        <f t="shared" si="282"/>
        <v>0</v>
      </c>
      <c r="Y1267" s="9">
        <f t="shared" si="282"/>
        <v>0</v>
      </c>
      <c r="Z1267" s="9">
        <f t="shared" si="282"/>
        <v>0</v>
      </c>
      <c r="AA1267" s="9">
        <f t="shared" si="281"/>
        <v>0</v>
      </c>
      <c r="AB1267" s="9">
        <f t="shared" si="281"/>
        <v>0</v>
      </c>
      <c r="AC1267" s="9">
        <f t="shared" si="281"/>
        <v>0</v>
      </c>
      <c r="AD1267" s="9">
        <f t="shared" si="281"/>
        <v>0</v>
      </c>
      <c r="AE1267" s="9">
        <f t="shared" si="281"/>
        <v>0</v>
      </c>
    </row>
    <row r="1268" spans="2:31" x14ac:dyDescent="0.25">
      <c r="B1268" s="6">
        <v>0</v>
      </c>
      <c r="C1268" s="6">
        <v>0</v>
      </c>
      <c r="D1268" s="6">
        <v>0</v>
      </c>
      <c r="E1268" s="6">
        <v>0</v>
      </c>
      <c r="F1268" s="6">
        <v>0</v>
      </c>
      <c r="L1268">
        <f t="shared" si="271"/>
        <v>0</v>
      </c>
      <c r="M1268">
        <f t="shared" si="272"/>
        <v>0</v>
      </c>
      <c r="N1268">
        <f t="shared" si="273"/>
        <v>0</v>
      </c>
      <c r="O1268">
        <f t="shared" si="274"/>
        <v>0</v>
      </c>
      <c r="P1268">
        <f t="shared" si="275"/>
        <v>0</v>
      </c>
      <c r="Q1268">
        <f t="shared" si="276"/>
        <v>0</v>
      </c>
      <c r="R1268">
        <f t="shared" si="277"/>
        <v>0</v>
      </c>
      <c r="S1268">
        <f t="shared" si="278"/>
        <v>0</v>
      </c>
      <c r="T1268">
        <f t="shared" si="279"/>
        <v>0</v>
      </c>
      <c r="U1268">
        <f t="shared" si="280"/>
        <v>0</v>
      </c>
      <c r="V1268" s="9">
        <f t="shared" si="282"/>
        <v>0</v>
      </c>
      <c r="W1268" s="9">
        <f t="shared" si="282"/>
        <v>0</v>
      </c>
      <c r="X1268" s="9">
        <f t="shared" si="282"/>
        <v>0</v>
      </c>
      <c r="Y1268" s="9">
        <f t="shared" si="282"/>
        <v>0</v>
      </c>
      <c r="Z1268" s="9">
        <f t="shared" si="282"/>
        <v>0</v>
      </c>
      <c r="AA1268" s="9">
        <f t="shared" si="281"/>
        <v>0</v>
      </c>
      <c r="AB1268" s="9">
        <f t="shared" si="281"/>
        <v>0</v>
      </c>
      <c r="AC1268" s="9">
        <f t="shared" si="281"/>
        <v>0</v>
      </c>
      <c r="AD1268" s="9">
        <f t="shared" si="281"/>
        <v>0</v>
      </c>
      <c r="AE1268" s="9">
        <f t="shared" si="281"/>
        <v>0</v>
      </c>
    </row>
    <row r="1269" spans="2:31" x14ac:dyDescent="0.25">
      <c r="B1269" s="6">
        <v>0</v>
      </c>
      <c r="C1269" s="6">
        <v>0</v>
      </c>
      <c r="D1269" s="6">
        <v>0</v>
      </c>
      <c r="E1269" s="6">
        <v>0</v>
      </c>
      <c r="F1269" s="6">
        <v>0</v>
      </c>
      <c r="L1269">
        <f t="shared" si="271"/>
        <v>0</v>
      </c>
      <c r="M1269">
        <f t="shared" si="272"/>
        <v>0</v>
      </c>
      <c r="N1269">
        <f t="shared" si="273"/>
        <v>0</v>
      </c>
      <c r="O1269">
        <f t="shared" si="274"/>
        <v>0</v>
      </c>
      <c r="P1269">
        <f t="shared" si="275"/>
        <v>0</v>
      </c>
      <c r="Q1269">
        <f t="shared" si="276"/>
        <v>0</v>
      </c>
      <c r="R1269">
        <f t="shared" si="277"/>
        <v>0</v>
      </c>
      <c r="S1269">
        <f t="shared" si="278"/>
        <v>0</v>
      </c>
      <c r="T1269">
        <f t="shared" si="279"/>
        <v>0</v>
      </c>
      <c r="U1269">
        <f t="shared" si="280"/>
        <v>0</v>
      </c>
      <c r="V1269" s="9">
        <f t="shared" si="282"/>
        <v>0</v>
      </c>
      <c r="W1269" s="9">
        <f t="shared" si="282"/>
        <v>0</v>
      </c>
      <c r="X1269" s="9">
        <f t="shared" si="282"/>
        <v>0</v>
      </c>
      <c r="Y1269" s="9">
        <f t="shared" si="282"/>
        <v>0</v>
      </c>
      <c r="Z1269" s="9">
        <f t="shared" si="282"/>
        <v>0</v>
      </c>
      <c r="AA1269" s="9">
        <f t="shared" si="281"/>
        <v>0</v>
      </c>
      <c r="AB1269" s="9">
        <f t="shared" si="281"/>
        <v>0</v>
      </c>
      <c r="AC1269" s="9">
        <f t="shared" si="281"/>
        <v>0</v>
      </c>
      <c r="AD1269" s="9">
        <f t="shared" si="281"/>
        <v>0</v>
      </c>
      <c r="AE1269" s="9">
        <f t="shared" si="281"/>
        <v>0</v>
      </c>
    </row>
    <row r="1270" spans="2:31" x14ac:dyDescent="0.25">
      <c r="B1270" s="6">
        <v>0</v>
      </c>
      <c r="C1270" s="6">
        <v>0</v>
      </c>
      <c r="D1270" s="6">
        <v>0</v>
      </c>
      <c r="E1270" s="6">
        <v>0</v>
      </c>
      <c r="F1270" s="6">
        <v>0</v>
      </c>
      <c r="L1270">
        <f t="shared" si="271"/>
        <v>0</v>
      </c>
      <c r="M1270">
        <f t="shared" si="272"/>
        <v>0</v>
      </c>
      <c r="N1270">
        <f t="shared" si="273"/>
        <v>0</v>
      </c>
      <c r="O1270">
        <f t="shared" si="274"/>
        <v>0</v>
      </c>
      <c r="P1270">
        <f t="shared" si="275"/>
        <v>0</v>
      </c>
      <c r="Q1270">
        <f t="shared" si="276"/>
        <v>0</v>
      </c>
      <c r="R1270">
        <f t="shared" si="277"/>
        <v>0</v>
      </c>
      <c r="S1270">
        <f t="shared" si="278"/>
        <v>0</v>
      </c>
      <c r="T1270">
        <f t="shared" si="279"/>
        <v>0</v>
      </c>
      <c r="U1270">
        <f t="shared" si="280"/>
        <v>0</v>
      </c>
      <c r="V1270" s="9">
        <f t="shared" si="282"/>
        <v>0</v>
      </c>
      <c r="W1270" s="9">
        <f t="shared" si="282"/>
        <v>0</v>
      </c>
      <c r="X1270" s="9">
        <f t="shared" si="282"/>
        <v>0</v>
      </c>
      <c r="Y1270" s="9">
        <f t="shared" si="282"/>
        <v>0</v>
      </c>
      <c r="Z1270" s="9">
        <f t="shared" si="282"/>
        <v>0</v>
      </c>
      <c r="AA1270" s="9">
        <f t="shared" si="281"/>
        <v>0</v>
      </c>
      <c r="AB1270" s="9">
        <f t="shared" si="281"/>
        <v>0</v>
      </c>
      <c r="AC1270" s="9">
        <f t="shared" si="281"/>
        <v>0</v>
      </c>
      <c r="AD1270" s="9">
        <f t="shared" si="281"/>
        <v>0</v>
      </c>
      <c r="AE1270" s="9">
        <f t="shared" si="281"/>
        <v>0</v>
      </c>
    </row>
    <row r="1271" spans="2:31" x14ac:dyDescent="0.25">
      <c r="B1271" s="6">
        <v>0</v>
      </c>
      <c r="C1271" s="6">
        <v>0</v>
      </c>
      <c r="D1271" s="6">
        <v>0</v>
      </c>
      <c r="E1271" s="6">
        <v>0</v>
      </c>
      <c r="F1271" s="6">
        <v>0</v>
      </c>
      <c r="L1271">
        <f t="shared" si="271"/>
        <v>0</v>
      </c>
      <c r="M1271">
        <f t="shared" si="272"/>
        <v>0</v>
      </c>
      <c r="N1271">
        <f t="shared" si="273"/>
        <v>0</v>
      </c>
      <c r="O1271">
        <f t="shared" si="274"/>
        <v>0</v>
      </c>
      <c r="P1271">
        <f t="shared" si="275"/>
        <v>0</v>
      </c>
      <c r="Q1271">
        <f t="shared" si="276"/>
        <v>0</v>
      </c>
      <c r="R1271">
        <f t="shared" si="277"/>
        <v>0</v>
      </c>
      <c r="S1271">
        <f t="shared" si="278"/>
        <v>0</v>
      </c>
      <c r="T1271">
        <f t="shared" si="279"/>
        <v>0</v>
      </c>
      <c r="U1271">
        <f t="shared" si="280"/>
        <v>0</v>
      </c>
      <c r="V1271" s="9">
        <f t="shared" si="282"/>
        <v>0</v>
      </c>
      <c r="W1271" s="9">
        <f t="shared" si="282"/>
        <v>0</v>
      </c>
      <c r="X1271" s="9">
        <f t="shared" si="282"/>
        <v>0</v>
      </c>
      <c r="Y1271" s="9">
        <f t="shared" si="282"/>
        <v>0</v>
      </c>
      <c r="Z1271" s="9">
        <f t="shared" si="282"/>
        <v>0</v>
      </c>
      <c r="AA1271" s="9">
        <f t="shared" si="281"/>
        <v>0</v>
      </c>
      <c r="AB1271" s="9">
        <f t="shared" si="281"/>
        <v>0</v>
      </c>
      <c r="AC1271" s="9">
        <f t="shared" si="281"/>
        <v>0</v>
      </c>
      <c r="AD1271" s="9">
        <f t="shared" si="281"/>
        <v>0</v>
      </c>
      <c r="AE1271" s="9">
        <f t="shared" si="281"/>
        <v>0</v>
      </c>
    </row>
    <row r="1272" spans="2:31" x14ac:dyDescent="0.25">
      <c r="B1272" s="6">
        <v>0</v>
      </c>
      <c r="C1272" s="6">
        <v>0</v>
      </c>
      <c r="D1272" s="6">
        <v>0</v>
      </c>
      <c r="E1272" s="6">
        <v>0</v>
      </c>
      <c r="F1272" s="6">
        <v>0</v>
      </c>
      <c r="L1272">
        <f t="shared" si="271"/>
        <v>0</v>
      </c>
      <c r="M1272">
        <f t="shared" si="272"/>
        <v>0</v>
      </c>
      <c r="N1272">
        <f t="shared" si="273"/>
        <v>0</v>
      </c>
      <c r="O1272">
        <f t="shared" si="274"/>
        <v>0</v>
      </c>
      <c r="P1272">
        <f t="shared" si="275"/>
        <v>0</v>
      </c>
      <c r="Q1272">
        <f t="shared" si="276"/>
        <v>0</v>
      </c>
      <c r="R1272">
        <f t="shared" si="277"/>
        <v>0</v>
      </c>
      <c r="S1272">
        <f t="shared" si="278"/>
        <v>0</v>
      </c>
      <c r="T1272">
        <f t="shared" si="279"/>
        <v>0</v>
      </c>
      <c r="U1272">
        <f t="shared" si="280"/>
        <v>0</v>
      </c>
      <c r="V1272" s="9">
        <f t="shared" si="282"/>
        <v>0</v>
      </c>
      <c r="W1272" s="9">
        <f t="shared" si="282"/>
        <v>0</v>
      </c>
      <c r="X1272" s="9">
        <f t="shared" si="282"/>
        <v>0</v>
      </c>
      <c r="Y1272" s="9">
        <f t="shared" si="282"/>
        <v>0</v>
      </c>
      <c r="Z1272" s="9">
        <f t="shared" si="282"/>
        <v>0</v>
      </c>
      <c r="AA1272" s="9">
        <f t="shared" si="281"/>
        <v>0</v>
      </c>
      <c r="AB1272" s="9">
        <f t="shared" si="281"/>
        <v>0</v>
      </c>
      <c r="AC1272" s="9">
        <f t="shared" si="281"/>
        <v>0</v>
      </c>
      <c r="AD1272" s="9">
        <f t="shared" si="281"/>
        <v>0</v>
      </c>
      <c r="AE1272" s="9">
        <f t="shared" si="281"/>
        <v>0</v>
      </c>
    </row>
    <row r="1273" spans="2:31" x14ac:dyDescent="0.25">
      <c r="B1273" s="6">
        <v>0</v>
      </c>
      <c r="C1273" s="6">
        <v>0</v>
      </c>
      <c r="D1273" s="6">
        <v>0</v>
      </c>
      <c r="E1273" s="6">
        <v>0</v>
      </c>
      <c r="F1273" s="6">
        <v>0</v>
      </c>
      <c r="L1273">
        <f t="shared" si="271"/>
        <v>0</v>
      </c>
      <c r="M1273">
        <f t="shared" si="272"/>
        <v>0</v>
      </c>
      <c r="N1273">
        <f t="shared" si="273"/>
        <v>0</v>
      </c>
      <c r="O1273">
        <f t="shared" si="274"/>
        <v>0</v>
      </c>
      <c r="P1273">
        <f t="shared" si="275"/>
        <v>0</v>
      </c>
      <c r="Q1273">
        <f t="shared" si="276"/>
        <v>0</v>
      </c>
      <c r="R1273">
        <f t="shared" si="277"/>
        <v>0</v>
      </c>
      <c r="S1273">
        <f t="shared" si="278"/>
        <v>0</v>
      </c>
      <c r="T1273">
        <f t="shared" si="279"/>
        <v>0</v>
      </c>
      <c r="U1273">
        <f t="shared" si="280"/>
        <v>0</v>
      </c>
      <c r="V1273" s="9">
        <f t="shared" si="282"/>
        <v>0</v>
      </c>
      <c r="W1273" s="9">
        <f t="shared" si="282"/>
        <v>0</v>
      </c>
      <c r="X1273" s="9">
        <f t="shared" si="282"/>
        <v>0</v>
      </c>
      <c r="Y1273" s="9">
        <f t="shared" si="282"/>
        <v>0</v>
      </c>
      <c r="Z1273" s="9">
        <f t="shared" si="282"/>
        <v>0</v>
      </c>
      <c r="AA1273" s="9">
        <f t="shared" si="281"/>
        <v>0</v>
      </c>
      <c r="AB1273" s="9">
        <f t="shared" si="281"/>
        <v>0</v>
      </c>
      <c r="AC1273" s="9">
        <f t="shared" si="281"/>
        <v>0</v>
      </c>
      <c r="AD1273" s="9">
        <f t="shared" si="281"/>
        <v>0</v>
      </c>
      <c r="AE1273" s="9">
        <f t="shared" si="281"/>
        <v>0</v>
      </c>
    </row>
    <row r="1274" spans="2:31" x14ac:dyDescent="0.25">
      <c r="B1274" s="6">
        <v>0</v>
      </c>
      <c r="C1274" s="6">
        <v>0</v>
      </c>
      <c r="D1274" s="6">
        <v>0</v>
      </c>
      <c r="E1274" s="6">
        <v>0</v>
      </c>
      <c r="F1274" s="6">
        <v>0</v>
      </c>
      <c r="L1274">
        <f t="shared" si="271"/>
        <v>0</v>
      </c>
      <c r="M1274">
        <f t="shared" si="272"/>
        <v>0</v>
      </c>
      <c r="N1274">
        <f t="shared" si="273"/>
        <v>0</v>
      </c>
      <c r="O1274">
        <f t="shared" si="274"/>
        <v>0</v>
      </c>
      <c r="P1274">
        <f t="shared" si="275"/>
        <v>0</v>
      </c>
      <c r="Q1274">
        <f t="shared" si="276"/>
        <v>0</v>
      </c>
      <c r="R1274">
        <f t="shared" si="277"/>
        <v>0</v>
      </c>
      <c r="S1274">
        <f t="shared" si="278"/>
        <v>0</v>
      </c>
      <c r="T1274">
        <f t="shared" si="279"/>
        <v>0</v>
      </c>
      <c r="U1274">
        <f t="shared" si="280"/>
        <v>0</v>
      </c>
      <c r="V1274" s="9">
        <f t="shared" si="282"/>
        <v>0</v>
      </c>
      <c r="W1274" s="9">
        <f t="shared" si="282"/>
        <v>0</v>
      </c>
      <c r="X1274" s="9">
        <f t="shared" si="282"/>
        <v>0</v>
      </c>
      <c r="Y1274" s="9">
        <f t="shared" si="282"/>
        <v>0</v>
      </c>
      <c r="Z1274" s="9">
        <f t="shared" si="282"/>
        <v>0</v>
      </c>
      <c r="AA1274" s="9">
        <f t="shared" si="281"/>
        <v>0</v>
      </c>
      <c r="AB1274" s="9">
        <f t="shared" si="281"/>
        <v>0</v>
      </c>
      <c r="AC1274" s="9">
        <f t="shared" si="281"/>
        <v>0</v>
      </c>
      <c r="AD1274" s="9">
        <f t="shared" si="281"/>
        <v>0</v>
      </c>
      <c r="AE1274" s="9">
        <f t="shared" si="281"/>
        <v>0</v>
      </c>
    </row>
    <row r="1275" spans="2:31" x14ac:dyDescent="0.25">
      <c r="B1275" s="6">
        <v>0</v>
      </c>
      <c r="C1275" s="6">
        <v>0</v>
      </c>
      <c r="D1275" s="6">
        <v>0</v>
      </c>
      <c r="E1275" s="6">
        <v>0</v>
      </c>
      <c r="F1275" s="6">
        <v>0</v>
      </c>
      <c r="L1275">
        <f t="shared" si="271"/>
        <v>0</v>
      </c>
      <c r="M1275">
        <f t="shared" si="272"/>
        <v>0</v>
      </c>
      <c r="N1275">
        <f t="shared" si="273"/>
        <v>0</v>
      </c>
      <c r="O1275">
        <f t="shared" si="274"/>
        <v>0</v>
      </c>
      <c r="P1275">
        <f t="shared" si="275"/>
        <v>0</v>
      </c>
      <c r="Q1275">
        <f t="shared" si="276"/>
        <v>0</v>
      </c>
      <c r="R1275">
        <f t="shared" si="277"/>
        <v>0</v>
      </c>
      <c r="S1275">
        <f t="shared" si="278"/>
        <v>0</v>
      </c>
      <c r="T1275">
        <f t="shared" si="279"/>
        <v>0</v>
      </c>
      <c r="U1275">
        <f t="shared" si="280"/>
        <v>0</v>
      </c>
      <c r="V1275" s="9">
        <f t="shared" si="282"/>
        <v>0</v>
      </c>
      <c r="W1275" s="9">
        <f t="shared" si="282"/>
        <v>0</v>
      </c>
      <c r="X1275" s="9">
        <f t="shared" si="282"/>
        <v>0</v>
      </c>
      <c r="Y1275" s="9">
        <f t="shared" si="282"/>
        <v>0</v>
      </c>
      <c r="Z1275" s="9">
        <f t="shared" si="282"/>
        <v>0</v>
      </c>
      <c r="AA1275" s="9">
        <f t="shared" si="281"/>
        <v>0</v>
      </c>
      <c r="AB1275" s="9">
        <f t="shared" si="281"/>
        <v>0</v>
      </c>
      <c r="AC1275" s="9">
        <f t="shared" si="281"/>
        <v>0</v>
      </c>
      <c r="AD1275" s="9">
        <f t="shared" si="281"/>
        <v>0</v>
      </c>
      <c r="AE1275" s="9">
        <f t="shared" si="281"/>
        <v>0</v>
      </c>
    </row>
    <row r="1276" spans="2:31" x14ac:dyDescent="0.25">
      <c r="B1276" s="6">
        <v>0</v>
      </c>
      <c r="C1276" s="6">
        <v>0</v>
      </c>
      <c r="D1276" s="6">
        <v>0</v>
      </c>
      <c r="E1276" s="6">
        <v>0</v>
      </c>
      <c r="F1276" s="6">
        <v>0</v>
      </c>
      <c r="L1276">
        <f t="shared" si="271"/>
        <v>0</v>
      </c>
      <c r="M1276">
        <f t="shared" si="272"/>
        <v>0</v>
      </c>
      <c r="N1276">
        <f t="shared" si="273"/>
        <v>0</v>
      </c>
      <c r="O1276">
        <f t="shared" si="274"/>
        <v>0</v>
      </c>
      <c r="P1276">
        <f t="shared" si="275"/>
        <v>0</v>
      </c>
      <c r="Q1276">
        <f t="shared" si="276"/>
        <v>0</v>
      </c>
      <c r="R1276">
        <f t="shared" si="277"/>
        <v>0</v>
      </c>
      <c r="S1276">
        <f t="shared" si="278"/>
        <v>0</v>
      </c>
      <c r="T1276">
        <f t="shared" si="279"/>
        <v>0</v>
      </c>
      <c r="U1276">
        <f t="shared" si="280"/>
        <v>0</v>
      </c>
      <c r="V1276" s="9">
        <f t="shared" si="282"/>
        <v>0</v>
      </c>
      <c r="W1276" s="9">
        <f t="shared" si="282"/>
        <v>0</v>
      </c>
      <c r="X1276" s="9">
        <f t="shared" si="282"/>
        <v>0</v>
      </c>
      <c r="Y1276" s="9">
        <f t="shared" si="282"/>
        <v>0</v>
      </c>
      <c r="Z1276" s="9">
        <f t="shared" si="282"/>
        <v>0</v>
      </c>
      <c r="AA1276" s="9">
        <f t="shared" si="281"/>
        <v>0</v>
      </c>
      <c r="AB1276" s="9">
        <f t="shared" si="281"/>
        <v>0</v>
      </c>
      <c r="AC1276" s="9">
        <f t="shared" si="281"/>
        <v>0</v>
      </c>
      <c r="AD1276" s="9">
        <f t="shared" si="281"/>
        <v>0</v>
      </c>
      <c r="AE1276" s="9">
        <f t="shared" si="281"/>
        <v>0</v>
      </c>
    </row>
    <row r="1277" spans="2:31" x14ac:dyDescent="0.25">
      <c r="B1277" s="6">
        <v>0</v>
      </c>
      <c r="C1277" s="6">
        <v>0</v>
      </c>
      <c r="D1277" s="6">
        <v>0</v>
      </c>
      <c r="E1277" s="6">
        <v>0</v>
      </c>
      <c r="F1277" s="6">
        <v>0</v>
      </c>
      <c r="L1277">
        <f t="shared" si="271"/>
        <v>0</v>
      </c>
      <c r="M1277">
        <f t="shared" si="272"/>
        <v>0</v>
      </c>
      <c r="N1277">
        <f t="shared" si="273"/>
        <v>0</v>
      </c>
      <c r="O1277">
        <f t="shared" si="274"/>
        <v>0</v>
      </c>
      <c r="P1277">
        <f t="shared" si="275"/>
        <v>0</v>
      </c>
      <c r="Q1277">
        <f t="shared" si="276"/>
        <v>0</v>
      </c>
      <c r="R1277">
        <f t="shared" si="277"/>
        <v>0</v>
      </c>
      <c r="S1277">
        <f t="shared" si="278"/>
        <v>0</v>
      </c>
      <c r="T1277">
        <f t="shared" si="279"/>
        <v>0</v>
      </c>
      <c r="U1277">
        <f t="shared" si="280"/>
        <v>0</v>
      </c>
      <c r="V1277" s="9">
        <f t="shared" si="282"/>
        <v>0</v>
      </c>
      <c r="W1277" s="9">
        <f t="shared" si="282"/>
        <v>0</v>
      </c>
      <c r="X1277" s="9">
        <f t="shared" si="282"/>
        <v>0</v>
      </c>
      <c r="Y1277" s="9">
        <f t="shared" si="282"/>
        <v>0</v>
      </c>
      <c r="Z1277" s="9">
        <f t="shared" si="282"/>
        <v>0</v>
      </c>
      <c r="AA1277" s="9">
        <f t="shared" si="281"/>
        <v>0</v>
      </c>
      <c r="AB1277" s="9">
        <f t="shared" si="281"/>
        <v>0</v>
      </c>
      <c r="AC1277" s="9">
        <f t="shared" si="281"/>
        <v>0</v>
      </c>
      <c r="AD1277" s="9">
        <f t="shared" si="281"/>
        <v>0</v>
      </c>
      <c r="AE1277" s="9">
        <f t="shared" si="281"/>
        <v>0</v>
      </c>
    </row>
    <row r="1278" spans="2:31" x14ac:dyDescent="0.25">
      <c r="B1278" s="6">
        <v>0</v>
      </c>
      <c r="C1278" s="6">
        <v>0</v>
      </c>
      <c r="D1278" s="6">
        <v>0</v>
      </c>
      <c r="E1278" s="6">
        <v>0</v>
      </c>
      <c r="F1278" s="6">
        <v>0</v>
      </c>
      <c r="L1278">
        <f t="shared" si="271"/>
        <v>0</v>
      </c>
      <c r="M1278">
        <f t="shared" si="272"/>
        <v>0</v>
      </c>
      <c r="N1278">
        <f t="shared" si="273"/>
        <v>0</v>
      </c>
      <c r="O1278">
        <f t="shared" si="274"/>
        <v>0</v>
      </c>
      <c r="P1278">
        <f t="shared" si="275"/>
        <v>0</v>
      </c>
      <c r="Q1278">
        <f t="shared" si="276"/>
        <v>0</v>
      </c>
      <c r="R1278">
        <f t="shared" si="277"/>
        <v>0</v>
      </c>
      <c r="S1278">
        <f t="shared" si="278"/>
        <v>0</v>
      </c>
      <c r="T1278">
        <f t="shared" si="279"/>
        <v>0</v>
      </c>
      <c r="U1278">
        <f t="shared" si="280"/>
        <v>0</v>
      </c>
      <c r="V1278" s="9">
        <f t="shared" si="282"/>
        <v>0</v>
      </c>
      <c r="W1278" s="9">
        <f t="shared" si="282"/>
        <v>0</v>
      </c>
      <c r="X1278" s="9">
        <f t="shared" si="282"/>
        <v>0</v>
      </c>
      <c r="Y1278" s="9">
        <f t="shared" si="282"/>
        <v>0</v>
      </c>
      <c r="Z1278" s="9">
        <f t="shared" si="282"/>
        <v>0</v>
      </c>
      <c r="AA1278" s="9">
        <f t="shared" si="281"/>
        <v>0</v>
      </c>
      <c r="AB1278" s="9">
        <f t="shared" si="281"/>
        <v>0</v>
      </c>
      <c r="AC1278" s="9">
        <f t="shared" si="281"/>
        <v>0</v>
      </c>
      <c r="AD1278" s="9">
        <f t="shared" si="281"/>
        <v>0</v>
      </c>
      <c r="AE1278" s="9">
        <f t="shared" si="281"/>
        <v>0</v>
      </c>
    </row>
    <row r="1279" spans="2:31" x14ac:dyDescent="0.25">
      <c r="B1279" s="6">
        <v>0</v>
      </c>
      <c r="C1279" s="6">
        <v>0</v>
      </c>
      <c r="D1279" s="6">
        <v>0</v>
      </c>
      <c r="E1279" s="6">
        <v>0</v>
      </c>
      <c r="F1279" s="6">
        <v>0</v>
      </c>
      <c r="L1279">
        <f t="shared" si="271"/>
        <v>0</v>
      </c>
      <c r="M1279">
        <f t="shared" si="272"/>
        <v>0</v>
      </c>
      <c r="N1279">
        <f t="shared" si="273"/>
        <v>0</v>
      </c>
      <c r="O1279">
        <f t="shared" si="274"/>
        <v>0</v>
      </c>
      <c r="P1279">
        <f t="shared" si="275"/>
        <v>0</v>
      </c>
      <c r="Q1279">
        <f t="shared" si="276"/>
        <v>0</v>
      </c>
      <c r="R1279">
        <f t="shared" si="277"/>
        <v>0</v>
      </c>
      <c r="S1279">
        <f t="shared" si="278"/>
        <v>0</v>
      </c>
      <c r="T1279">
        <f t="shared" si="279"/>
        <v>0</v>
      </c>
      <c r="U1279">
        <f t="shared" si="280"/>
        <v>0</v>
      </c>
      <c r="V1279" s="9">
        <f t="shared" si="282"/>
        <v>0</v>
      </c>
      <c r="W1279" s="9">
        <f t="shared" si="282"/>
        <v>0</v>
      </c>
      <c r="X1279" s="9">
        <f t="shared" si="282"/>
        <v>0</v>
      </c>
      <c r="Y1279" s="9">
        <f t="shared" si="282"/>
        <v>0</v>
      </c>
      <c r="Z1279" s="9">
        <f t="shared" si="282"/>
        <v>0</v>
      </c>
      <c r="AA1279" s="9">
        <f t="shared" si="281"/>
        <v>0</v>
      </c>
      <c r="AB1279" s="9">
        <f t="shared" si="281"/>
        <v>0</v>
      </c>
      <c r="AC1279" s="9">
        <f t="shared" si="281"/>
        <v>0</v>
      </c>
      <c r="AD1279" s="9">
        <f t="shared" si="281"/>
        <v>0</v>
      </c>
      <c r="AE1279" s="9">
        <f t="shared" si="281"/>
        <v>0</v>
      </c>
    </row>
    <row r="1280" spans="2:31" x14ac:dyDescent="0.25">
      <c r="B1280" s="6">
        <v>0</v>
      </c>
      <c r="C1280" s="6">
        <v>0</v>
      </c>
      <c r="D1280" s="6">
        <v>0</v>
      </c>
      <c r="E1280" s="6">
        <v>0</v>
      </c>
      <c r="F1280" s="6">
        <v>0</v>
      </c>
      <c r="L1280">
        <f t="shared" si="271"/>
        <v>0</v>
      </c>
      <c r="M1280">
        <f t="shared" si="272"/>
        <v>0</v>
      </c>
      <c r="N1280">
        <f t="shared" si="273"/>
        <v>0</v>
      </c>
      <c r="O1280">
        <f t="shared" si="274"/>
        <v>0</v>
      </c>
      <c r="P1280">
        <f t="shared" si="275"/>
        <v>0</v>
      </c>
      <c r="Q1280">
        <f t="shared" si="276"/>
        <v>0</v>
      </c>
      <c r="R1280">
        <f t="shared" si="277"/>
        <v>0</v>
      </c>
      <c r="S1280">
        <f t="shared" si="278"/>
        <v>0</v>
      </c>
      <c r="T1280">
        <f t="shared" si="279"/>
        <v>0</v>
      </c>
      <c r="U1280">
        <f t="shared" si="280"/>
        <v>0</v>
      </c>
      <c r="V1280" s="9">
        <f t="shared" si="282"/>
        <v>0</v>
      </c>
      <c r="W1280" s="9">
        <f t="shared" si="282"/>
        <v>0</v>
      </c>
      <c r="X1280" s="9">
        <f t="shared" si="282"/>
        <v>0</v>
      </c>
      <c r="Y1280" s="9">
        <f t="shared" si="282"/>
        <v>0</v>
      </c>
      <c r="Z1280" s="9">
        <f t="shared" si="282"/>
        <v>0</v>
      </c>
      <c r="AA1280" s="9">
        <f t="shared" si="281"/>
        <v>0</v>
      </c>
      <c r="AB1280" s="9">
        <f t="shared" si="281"/>
        <v>0</v>
      </c>
      <c r="AC1280" s="9">
        <f t="shared" si="281"/>
        <v>0</v>
      </c>
      <c r="AD1280" s="9">
        <f t="shared" si="281"/>
        <v>0</v>
      </c>
      <c r="AE1280" s="9">
        <f t="shared" si="281"/>
        <v>0</v>
      </c>
    </row>
    <row r="1281" spans="2:31" x14ac:dyDescent="0.25">
      <c r="B1281" s="6">
        <v>0</v>
      </c>
      <c r="C1281" s="6">
        <v>0</v>
      </c>
      <c r="D1281" s="6">
        <v>0</v>
      </c>
      <c r="E1281" s="6">
        <v>0</v>
      </c>
      <c r="F1281" s="6">
        <v>0</v>
      </c>
      <c r="L1281">
        <f t="shared" ref="L1281:L1345" si="283">B1281-C1281</f>
        <v>0</v>
      </c>
      <c r="M1281">
        <f t="shared" ref="M1281:M1345" si="284">B1281-D1281</f>
        <v>0</v>
      </c>
      <c r="N1281">
        <f t="shared" ref="N1281:N1345" si="285">B1281-E1281</f>
        <v>0</v>
      </c>
      <c r="O1281">
        <f t="shared" ref="O1281:O1345" si="286">B1281-F1281</f>
        <v>0</v>
      </c>
      <c r="P1281">
        <f t="shared" ref="P1281:P1345" si="287">C1281-D1281</f>
        <v>0</v>
      </c>
      <c r="Q1281">
        <f t="shared" ref="Q1281:Q1345" si="288">C1281-E1281</f>
        <v>0</v>
      </c>
      <c r="R1281">
        <f t="shared" ref="R1281:R1345" si="289">C1281-F1281</f>
        <v>0</v>
      </c>
      <c r="S1281">
        <f t="shared" ref="S1281:S1345" si="290">D1281-E1281</f>
        <v>0</v>
      </c>
      <c r="T1281">
        <f t="shared" ref="T1281:T1345" si="291">D1281-F1281</f>
        <v>0</v>
      </c>
      <c r="U1281">
        <f t="shared" ref="U1281:U1345" si="292">E1281-F1281</f>
        <v>0</v>
      </c>
      <c r="V1281" s="9">
        <f t="shared" si="282"/>
        <v>0</v>
      </c>
      <c r="W1281" s="9">
        <f t="shared" si="282"/>
        <v>0</v>
      </c>
      <c r="X1281" s="9">
        <f t="shared" si="282"/>
        <v>0</v>
      </c>
      <c r="Y1281" s="9">
        <f t="shared" si="282"/>
        <v>0</v>
      </c>
      <c r="Z1281" s="9">
        <f t="shared" si="282"/>
        <v>0</v>
      </c>
      <c r="AA1281" s="9">
        <f t="shared" ref="AA1281:AE1331" si="293">IF(Q1281&gt;=0,Q1281,-Q1281)</f>
        <v>0</v>
      </c>
      <c r="AB1281" s="9">
        <f t="shared" si="293"/>
        <v>0</v>
      </c>
      <c r="AC1281" s="9">
        <f t="shared" si="293"/>
        <v>0</v>
      </c>
      <c r="AD1281" s="9">
        <f t="shared" si="293"/>
        <v>0</v>
      </c>
      <c r="AE1281" s="9">
        <f t="shared" si="293"/>
        <v>0</v>
      </c>
    </row>
    <row r="1282" spans="2:31" x14ac:dyDescent="0.25">
      <c r="B1282" s="6">
        <v>0</v>
      </c>
      <c r="C1282" s="6">
        <v>0</v>
      </c>
      <c r="D1282" s="6">
        <v>0</v>
      </c>
      <c r="E1282" s="6">
        <v>0</v>
      </c>
      <c r="F1282" s="6">
        <v>0</v>
      </c>
      <c r="L1282">
        <f t="shared" si="283"/>
        <v>0</v>
      </c>
      <c r="M1282">
        <f t="shared" si="284"/>
        <v>0</v>
      </c>
      <c r="N1282">
        <f t="shared" si="285"/>
        <v>0</v>
      </c>
      <c r="O1282">
        <f t="shared" si="286"/>
        <v>0</v>
      </c>
      <c r="P1282">
        <f t="shared" si="287"/>
        <v>0</v>
      </c>
      <c r="Q1282">
        <f t="shared" si="288"/>
        <v>0</v>
      </c>
      <c r="R1282">
        <f t="shared" si="289"/>
        <v>0</v>
      </c>
      <c r="S1282">
        <f t="shared" si="290"/>
        <v>0</v>
      </c>
      <c r="T1282">
        <f t="shared" si="291"/>
        <v>0</v>
      </c>
      <c r="U1282">
        <f t="shared" si="292"/>
        <v>0</v>
      </c>
      <c r="V1282" s="9">
        <f t="shared" ref="V1282:Z1332" si="294">IF(L1282&gt;=0,L1282,-L1282)</f>
        <v>0</v>
      </c>
      <c r="W1282" s="9">
        <f t="shared" si="294"/>
        <v>0</v>
      </c>
      <c r="X1282" s="9">
        <f t="shared" si="294"/>
        <v>0</v>
      </c>
      <c r="Y1282" s="9">
        <f t="shared" si="294"/>
        <v>0</v>
      </c>
      <c r="Z1282" s="9">
        <f t="shared" si="294"/>
        <v>0</v>
      </c>
      <c r="AA1282" s="9">
        <f t="shared" si="293"/>
        <v>0</v>
      </c>
      <c r="AB1282" s="9">
        <f t="shared" si="293"/>
        <v>0</v>
      </c>
      <c r="AC1282" s="9">
        <f t="shared" si="293"/>
        <v>0</v>
      </c>
      <c r="AD1282" s="9">
        <f t="shared" si="293"/>
        <v>0</v>
      </c>
      <c r="AE1282" s="9">
        <f t="shared" si="293"/>
        <v>0</v>
      </c>
    </row>
    <row r="1283" spans="2:31" x14ac:dyDescent="0.25">
      <c r="B1283" s="6">
        <v>0</v>
      </c>
      <c r="C1283" s="6">
        <v>0</v>
      </c>
      <c r="D1283" s="6">
        <v>0</v>
      </c>
      <c r="E1283" s="6">
        <v>0</v>
      </c>
      <c r="F1283" s="6">
        <v>0</v>
      </c>
      <c r="L1283">
        <f t="shared" si="283"/>
        <v>0</v>
      </c>
      <c r="M1283">
        <f t="shared" si="284"/>
        <v>0</v>
      </c>
      <c r="N1283">
        <f t="shared" si="285"/>
        <v>0</v>
      </c>
      <c r="O1283">
        <f t="shared" si="286"/>
        <v>0</v>
      </c>
      <c r="P1283">
        <f t="shared" si="287"/>
        <v>0</v>
      </c>
      <c r="Q1283">
        <f t="shared" si="288"/>
        <v>0</v>
      </c>
      <c r="R1283">
        <f t="shared" si="289"/>
        <v>0</v>
      </c>
      <c r="S1283">
        <f t="shared" si="290"/>
        <v>0</v>
      </c>
      <c r="T1283">
        <f t="shared" si="291"/>
        <v>0</v>
      </c>
      <c r="U1283">
        <f t="shared" si="292"/>
        <v>0</v>
      </c>
      <c r="V1283" s="9">
        <f t="shared" si="294"/>
        <v>0</v>
      </c>
      <c r="W1283" s="9">
        <f t="shared" si="294"/>
        <v>0</v>
      </c>
      <c r="X1283" s="9">
        <f t="shared" si="294"/>
        <v>0</v>
      </c>
      <c r="Y1283" s="9">
        <f t="shared" si="294"/>
        <v>0</v>
      </c>
      <c r="Z1283" s="9">
        <f t="shared" si="294"/>
        <v>0</v>
      </c>
      <c r="AA1283" s="9">
        <f t="shared" si="293"/>
        <v>0</v>
      </c>
      <c r="AB1283" s="9">
        <f t="shared" si="293"/>
        <v>0</v>
      </c>
      <c r="AC1283" s="9">
        <f t="shared" si="293"/>
        <v>0</v>
      </c>
      <c r="AD1283" s="9">
        <f t="shared" si="293"/>
        <v>0</v>
      </c>
      <c r="AE1283" s="9">
        <f t="shared" si="293"/>
        <v>0</v>
      </c>
    </row>
    <row r="1284" spans="2:31" x14ac:dyDescent="0.25">
      <c r="B1284" s="6">
        <v>0</v>
      </c>
      <c r="C1284" s="6">
        <v>0</v>
      </c>
      <c r="D1284" s="6">
        <v>0</v>
      </c>
      <c r="E1284" s="6">
        <v>0</v>
      </c>
      <c r="F1284" s="6">
        <v>0</v>
      </c>
      <c r="L1284">
        <f t="shared" si="283"/>
        <v>0</v>
      </c>
      <c r="M1284">
        <f t="shared" si="284"/>
        <v>0</v>
      </c>
      <c r="N1284">
        <f t="shared" si="285"/>
        <v>0</v>
      </c>
      <c r="O1284">
        <f t="shared" si="286"/>
        <v>0</v>
      </c>
      <c r="P1284">
        <f t="shared" si="287"/>
        <v>0</v>
      </c>
      <c r="Q1284">
        <f t="shared" si="288"/>
        <v>0</v>
      </c>
      <c r="R1284">
        <f t="shared" si="289"/>
        <v>0</v>
      </c>
      <c r="S1284">
        <f t="shared" si="290"/>
        <v>0</v>
      </c>
      <c r="T1284">
        <f t="shared" si="291"/>
        <v>0</v>
      </c>
      <c r="U1284">
        <f t="shared" si="292"/>
        <v>0</v>
      </c>
      <c r="V1284" s="9">
        <f t="shared" si="294"/>
        <v>0</v>
      </c>
      <c r="W1284" s="9">
        <f t="shared" si="294"/>
        <v>0</v>
      </c>
      <c r="X1284" s="9">
        <f t="shared" si="294"/>
        <v>0</v>
      </c>
      <c r="Y1284" s="9">
        <f t="shared" si="294"/>
        <v>0</v>
      </c>
      <c r="Z1284" s="9">
        <f t="shared" si="294"/>
        <v>0</v>
      </c>
      <c r="AA1284" s="9">
        <f t="shared" si="293"/>
        <v>0</v>
      </c>
      <c r="AB1284" s="9">
        <f t="shared" si="293"/>
        <v>0</v>
      </c>
      <c r="AC1284" s="9">
        <f t="shared" si="293"/>
        <v>0</v>
      </c>
      <c r="AD1284" s="9">
        <f t="shared" si="293"/>
        <v>0</v>
      </c>
      <c r="AE1284" s="9">
        <f t="shared" si="293"/>
        <v>0</v>
      </c>
    </row>
    <row r="1285" spans="2:31" x14ac:dyDescent="0.25">
      <c r="B1285" s="6">
        <v>0</v>
      </c>
      <c r="C1285" s="6">
        <v>0</v>
      </c>
      <c r="D1285" s="6">
        <v>0</v>
      </c>
      <c r="E1285" s="6">
        <v>0</v>
      </c>
      <c r="F1285" s="6">
        <v>0</v>
      </c>
      <c r="L1285">
        <f t="shared" si="283"/>
        <v>0</v>
      </c>
      <c r="M1285">
        <f t="shared" si="284"/>
        <v>0</v>
      </c>
      <c r="N1285">
        <f t="shared" si="285"/>
        <v>0</v>
      </c>
      <c r="O1285">
        <f t="shared" si="286"/>
        <v>0</v>
      </c>
      <c r="P1285">
        <f t="shared" si="287"/>
        <v>0</v>
      </c>
      <c r="Q1285">
        <f t="shared" si="288"/>
        <v>0</v>
      </c>
      <c r="R1285">
        <f t="shared" si="289"/>
        <v>0</v>
      </c>
      <c r="S1285">
        <f t="shared" si="290"/>
        <v>0</v>
      </c>
      <c r="T1285">
        <f t="shared" si="291"/>
        <v>0</v>
      </c>
      <c r="U1285">
        <f t="shared" si="292"/>
        <v>0</v>
      </c>
      <c r="V1285" s="9">
        <f t="shared" si="294"/>
        <v>0</v>
      </c>
      <c r="W1285" s="9">
        <f t="shared" si="294"/>
        <v>0</v>
      </c>
      <c r="X1285" s="9">
        <f t="shared" si="294"/>
        <v>0</v>
      </c>
      <c r="Y1285" s="9">
        <f t="shared" si="294"/>
        <v>0</v>
      </c>
      <c r="Z1285" s="9">
        <f t="shared" si="294"/>
        <v>0</v>
      </c>
      <c r="AA1285" s="9">
        <f t="shared" si="293"/>
        <v>0</v>
      </c>
      <c r="AB1285" s="9">
        <f t="shared" si="293"/>
        <v>0</v>
      </c>
      <c r="AC1285" s="9">
        <f t="shared" si="293"/>
        <v>0</v>
      </c>
      <c r="AD1285" s="9">
        <f t="shared" si="293"/>
        <v>0</v>
      </c>
      <c r="AE1285" s="9">
        <f t="shared" si="293"/>
        <v>0</v>
      </c>
    </row>
    <row r="1286" spans="2:31" x14ac:dyDescent="0.25">
      <c r="B1286" s="6">
        <v>0</v>
      </c>
      <c r="C1286" s="6">
        <v>0</v>
      </c>
      <c r="D1286" s="6">
        <v>0</v>
      </c>
      <c r="E1286" s="6">
        <v>0</v>
      </c>
      <c r="F1286" s="6">
        <v>0</v>
      </c>
      <c r="L1286">
        <f t="shared" si="283"/>
        <v>0</v>
      </c>
      <c r="M1286">
        <f t="shared" si="284"/>
        <v>0</v>
      </c>
      <c r="N1286">
        <f t="shared" si="285"/>
        <v>0</v>
      </c>
      <c r="O1286">
        <f t="shared" si="286"/>
        <v>0</v>
      </c>
      <c r="P1286">
        <f t="shared" si="287"/>
        <v>0</v>
      </c>
      <c r="Q1286">
        <f t="shared" si="288"/>
        <v>0</v>
      </c>
      <c r="R1286">
        <f t="shared" si="289"/>
        <v>0</v>
      </c>
      <c r="S1286">
        <f t="shared" si="290"/>
        <v>0</v>
      </c>
      <c r="T1286">
        <f t="shared" si="291"/>
        <v>0</v>
      </c>
      <c r="U1286">
        <f t="shared" si="292"/>
        <v>0</v>
      </c>
      <c r="V1286" s="9">
        <f t="shared" si="294"/>
        <v>0</v>
      </c>
      <c r="W1286" s="9">
        <f t="shared" si="294"/>
        <v>0</v>
      </c>
      <c r="X1286" s="9">
        <f t="shared" si="294"/>
        <v>0</v>
      </c>
      <c r="Y1286" s="9">
        <f t="shared" si="294"/>
        <v>0</v>
      </c>
      <c r="Z1286" s="9">
        <f t="shared" si="294"/>
        <v>0</v>
      </c>
      <c r="AA1286" s="9">
        <f t="shared" si="293"/>
        <v>0</v>
      </c>
      <c r="AB1286" s="9">
        <f t="shared" si="293"/>
        <v>0</v>
      </c>
      <c r="AC1286" s="9">
        <f t="shared" si="293"/>
        <v>0</v>
      </c>
      <c r="AD1286" s="9">
        <f t="shared" si="293"/>
        <v>0</v>
      </c>
      <c r="AE1286" s="9">
        <f t="shared" si="293"/>
        <v>0</v>
      </c>
    </row>
    <row r="1287" spans="2:31" x14ac:dyDescent="0.25">
      <c r="B1287" s="6">
        <v>0</v>
      </c>
      <c r="C1287" s="6">
        <v>0</v>
      </c>
      <c r="D1287" s="6">
        <v>0</v>
      </c>
      <c r="E1287" s="6">
        <v>0</v>
      </c>
      <c r="F1287" s="6">
        <v>0</v>
      </c>
      <c r="L1287">
        <f t="shared" si="283"/>
        <v>0</v>
      </c>
      <c r="M1287">
        <f t="shared" si="284"/>
        <v>0</v>
      </c>
      <c r="N1287">
        <f t="shared" si="285"/>
        <v>0</v>
      </c>
      <c r="O1287">
        <f t="shared" si="286"/>
        <v>0</v>
      </c>
      <c r="P1287">
        <f t="shared" si="287"/>
        <v>0</v>
      </c>
      <c r="Q1287">
        <f t="shared" si="288"/>
        <v>0</v>
      </c>
      <c r="R1287">
        <f t="shared" si="289"/>
        <v>0</v>
      </c>
      <c r="S1287">
        <f t="shared" si="290"/>
        <v>0</v>
      </c>
      <c r="T1287">
        <f t="shared" si="291"/>
        <v>0</v>
      </c>
      <c r="U1287">
        <f t="shared" si="292"/>
        <v>0</v>
      </c>
      <c r="V1287" s="9">
        <f t="shared" si="294"/>
        <v>0</v>
      </c>
      <c r="W1287" s="9">
        <f t="shared" si="294"/>
        <v>0</v>
      </c>
      <c r="X1287" s="9">
        <f t="shared" si="294"/>
        <v>0</v>
      </c>
      <c r="Y1287" s="9">
        <f t="shared" si="294"/>
        <v>0</v>
      </c>
      <c r="Z1287" s="9">
        <f t="shared" si="294"/>
        <v>0</v>
      </c>
      <c r="AA1287" s="9">
        <f t="shared" si="293"/>
        <v>0</v>
      </c>
      <c r="AB1287" s="9">
        <f t="shared" si="293"/>
        <v>0</v>
      </c>
      <c r="AC1287" s="9">
        <f t="shared" si="293"/>
        <v>0</v>
      </c>
      <c r="AD1287" s="9">
        <f t="shared" si="293"/>
        <v>0</v>
      </c>
      <c r="AE1287" s="9">
        <f t="shared" si="293"/>
        <v>0</v>
      </c>
    </row>
    <row r="1288" spans="2:31" x14ac:dyDescent="0.25">
      <c r="B1288" s="6">
        <v>0</v>
      </c>
      <c r="C1288" s="6">
        <v>0</v>
      </c>
      <c r="D1288" s="6">
        <v>0</v>
      </c>
      <c r="E1288" s="6">
        <v>0</v>
      </c>
      <c r="F1288" s="6">
        <v>0</v>
      </c>
      <c r="L1288">
        <f t="shared" si="283"/>
        <v>0</v>
      </c>
      <c r="M1288">
        <f t="shared" si="284"/>
        <v>0</v>
      </c>
      <c r="N1288">
        <f t="shared" si="285"/>
        <v>0</v>
      </c>
      <c r="O1288">
        <f t="shared" si="286"/>
        <v>0</v>
      </c>
      <c r="P1288">
        <f t="shared" si="287"/>
        <v>0</v>
      </c>
      <c r="Q1288">
        <f t="shared" si="288"/>
        <v>0</v>
      </c>
      <c r="R1288">
        <f t="shared" si="289"/>
        <v>0</v>
      </c>
      <c r="S1288">
        <f t="shared" si="290"/>
        <v>0</v>
      </c>
      <c r="T1288">
        <f t="shared" si="291"/>
        <v>0</v>
      </c>
      <c r="U1288">
        <f t="shared" si="292"/>
        <v>0</v>
      </c>
      <c r="V1288" s="9">
        <f t="shared" si="294"/>
        <v>0</v>
      </c>
      <c r="W1288" s="9">
        <f t="shared" si="294"/>
        <v>0</v>
      </c>
      <c r="X1288" s="9">
        <f t="shared" si="294"/>
        <v>0</v>
      </c>
      <c r="Y1288" s="9">
        <f t="shared" si="294"/>
        <v>0</v>
      </c>
      <c r="Z1288" s="9">
        <f t="shared" si="294"/>
        <v>0</v>
      </c>
      <c r="AA1288" s="9">
        <f t="shared" si="293"/>
        <v>0</v>
      </c>
      <c r="AB1288" s="9">
        <f t="shared" si="293"/>
        <v>0</v>
      </c>
      <c r="AC1288" s="9">
        <f t="shared" si="293"/>
        <v>0</v>
      </c>
      <c r="AD1288" s="9">
        <f t="shared" si="293"/>
        <v>0</v>
      </c>
      <c r="AE1288" s="9">
        <f t="shared" si="293"/>
        <v>0</v>
      </c>
    </row>
    <row r="1289" spans="2:31" x14ac:dyDescent="0.25">
      <c r="B1289" s="6">
        <v>0</v>
      </c>
      <c r="C1289" s="6">
        <v>0</v>
      </c>
      <c r="D1289" s="6">
        <v>0</v>
      </c>
      <c r="E1289" s="6">
        <v>0</v>
      </c>
      <c r="F1289" s="6">
        <v>0</v>
      </c>
      <c r="L1289">
        <f t="shared" si="283"/>
        <v>0</v>
      </c>
      <c r="M1289">
        <f t="shared" si="284"/>
        <v>0</v>
      </c>
      <c r="N1289">
        <f t="shared" si="285"/>
        <v>0</v>
      </c>
      <c r="O1289">
        <f t="shared" si="286"/>
        <v>0</v>
      </c>
      <c r="P1289">
        <f t="shared" si="287"/>
        <v>0</v>
      </c>
      <c r="Q1289">
        <f t="shared" si="288"/>
        <v>0</v>
      </c>
      <c r="R1289">
        <f t="shared" si="289"/>
        <v>0</v>
      </c>
      <c r="S1289">
        <f t="shared" si="290"/>
        <v>0</v>
      </c>
      <c r="T1289">
        <f t="shared" si="291"/>
        <v>0</v>
      </c>
      <c r="U1289">
        <f t="shared" si="292"/>
        <v>0</v>
      </c>
      <c r="V1289" s="9">
        <f t="shared" si="294"/>
        <v>0</v>
      </c>
      <c r="W1289" s="9">
        <f t="shared" si="294"/>
        <v>0</v>
      </c>
      <c r="X1289" s="9">
        <f t="shared" si="294"/>
        <v>0</v>
      </c>
      <c r="Y1289" s="9">
        <f t="shared" si="294"/>
        <v>0</v>
      </c>
      <c r="Z1289" s="9">
        <f t="shared" si="294"/>
        <v>0</v>
      </c>
      <c r="AA1289" s="9">
        <f t="shared" si="293"/>
        <v>0</v>
      </c>
      <c r="AB1289" s="9">
        <f t="shared" si="293"/>
        <v>0</v>
      </c>
      <c r="AC1289" s="9">
        <f t="shared" si="293"/>
        <v>0</v>
      </c>
      <c r="AD1289" s="9">
        <f t="shared" si="293"/>
        <v>0</v>
      </c>
      <c r="AE1289" s="9">
        <f t="shared" si="293"/>
        <v>0</v>
      </c>
    </row>
    <row r="1290" spans="2:31" x14ac:dyDescent="0.25">
      <c r="B1290" s="6">
        <v>0</v>
      </c>
      <c r="C1290" s="6">
        <v>0</v>
      </c>
      <c r="D1290" s="6">
        <v>0</v>
      </c>
      <c r="E1290" s="6">
        <v>0</v>
      </c>
      <c r="F1290" s="6">
        <v>0</v>
      </c>
      <c r="L1290">
        <f t="shared" si="283"/>
        <v>0</v>
      </c>
      <c r="M1290">
        <f t="shared" si="284"/>
        <v>0</v>
      </c>
      <c r="N1290">
        <f t="shared" si="285"/>
        <v>0</v>
      </c>
      <c r="O1290">
        <f t="shared" si="286"/>
        <v>0</v>
      </c>
      <c r="P1290">
        <f t="shared" si="287"/>
        <v>0</v>
      </c>
      <c r="Q1290">
        <f t="shared" si="288"/>
        <v>0</v>
      </c>
      <c r="R1290">
        <f t="shared" si="289"/>
        <v>0</v>
      </c>
      <c r="S1290">
        <f t="shared" si="290"/>
        <v>0</v>
      </c>
      <c r="T1290">
        <f t="shared" si="291"/>
        <v>0</v>
      </c>
      <c r="U1290">
        <f t="shared" si="292"/>
        <v>0</v>
      </c>
      <c r="V1290" s="9">
        <f t="shared" si="294"/>
        <v>0</v>
      </c>
      <c r="W1290" s="9">
        <f t="shared" si="294"/>
        <v>0</v>
      </c>
      <c r="X1290" s="9">
        <f t="shared" si="294"/>
        <v>0</v>
      </c>
      <c r="Y1290" s="9">
        <f t="shared" si="294"/>
        <v>0</v>
      </c>
      <c r="Z1290" s="9">
        <f t="shared" si="294"/>
        <v>0</v>
      </c>
      <c r="AA1290" s="9">
        <f t="shared" si="293"/>
        <v>0</v>
      </c>
      <c r="AB1290" s="9">
        <f t="shared" si="293"/>
        <v>0</v>
      </c>
      <c r="AC1290" s="9">
        <f t="shared" si="293"/>
        <v>0</v>
      </c>
      <c r="AD1290" s="9">
        <f t="shared" si="293"/>
        <v>0</v>
      </c>
      <c r="AE1290" s="9">
        <f t="shared" si="293"/>
        <v>0</v>
      </c>
    </row>
    <row r="1291" spans="2:31" x14ac:dyDescent="0.25">
      <c r="B1291" s="6">
        <v>0</v>
      </c>
      <c r="C1291" s="6">
        <v>0</v>
      </c>
      <c r="D1291" s="6">
        <v>0</v>
      </c>
      <c r="E1291" s="6">
        <v>0</v>
      </c>
      <c r="F1291" s="6">
        <v>0</v>
      </c>
      <c r="L1291">
        <f t="shared" si="283"/>
        <v>0</v>
      </c>
      <c r="M1291">
        <f t="shared" si="284"/>
        <v>0</v>
      </c>
      <c r="N1291">
        <f t="shared" si="285"/>
        <v>0</v>
      </c>
      <c r="O1291">
        <f t="shared" si="286"/>
        <v>0</v>
      </c>
      <c r="P1291">
        <f t="shared" si="287"/>
        <v>0</v>
      </c>
      <c r="Q1291">
        <f t="shared" si="288"/>
        <v>0</v>
      </c>
      <c r="R1291">
        <f t="shared" si="289"/>
        <v>0</v>
      </c>
      <c r="S1291">
        <f t="shared" si="290"/>
        <v>0</v>
      </c>
      <c r="T1291">
        <f t="shared" si="291"/>
        <v>0</v>
      </c>
      <c r="U1291">
        <f t="shared" si="292"/>
        <v>0</v>
      </c>
      <c r="V1291" s="9">
        <f t="shared" si="294"/>
        <v>0</v>
      </c>
      <c r="W1291" s="9">
        <f t="shared" si="294"/>
        <v>0</v>
      </c>
      <c r="X1291" s="9">
        <f t="shared" si="294"/>
        <v>0</v>
      </c>
      <c r="Y1291" s="9">
        <f t="shared" si="294"/>
        <v>0</v>
      </c>
      <c r="Z1291" s="9">
        <f t="shared" si="294"/>
        <v>0</v>
      </c>
      <c r="AA1291" s="9">
        <f t="shared" si="293"/>
        <v>0</v>
      </c>
      <c r="AB1291" s="9">
        <f t="shared" si="293"/>
        <v>0</v>
      </c>
      <c r="AC1291" s="9">
        <f t="shared" si="293"/>
        <v>0</v>
      </c>
      <c r="AD1291" s="9">
        <f t="shared" si="293"/>
        <v>0</v>
      </c>
      <c r="AE1291" s="9">
        <f t="shared" si="293"/>
        <v>0</v>
      </c>
    </row>
    <row r="1292" spans="2:31" x14ac:dyDescent="0.25">
      <c r="B1292" s="6">
        <v>0</v>
      </c>
      <c r="C1292" s="6">
        <v>0</v>
      </c>
      <c r="D1292" s="6">
        <v>0</v>
      </c>
      <c r="E1292" s="6">
        <v>0</v>
      </c>
      <c r="F1292" s="6">
        <v>0</v>
      </c>
      <c r="L1292">
        <f t="shared" si="283"/>
        <v>0</v>
      </c>
      <c r="M1292">
        <f t="shared" si="284"/>
        <v>0</v>
      </c>
      <c r="N1292">
        <f t="shared" si="285"/>
        <v>0</v>
      </c>
      <c r="O1292">
        <f t="shared" si="286"/>
        <v>0</v>
      </c>
      <c r="P1292">
        <f t="shared" si="287"/>
        <v>0</v>
      </c>
      <c r="Q1292">
        <f t="shared" si="288"/>
        <v>0</v>
      </c>
      <c r="R1292">
        <f t="shared" si="289"/>
        <v>0</v>
      </c>
      <c r="S1292">
        <f t="shared" si="290"/>
        <v>0</v>
      </c>
      <c r="T1292">
        <f t="shared" si="291"/>
        <v>0</v>
      </c>
      <c r="U1292">
        <f t="shared" si="292"/>
        <v>0</v>
      </c>
      <c r="V1292" s="9">
        <f t="shared" si="294"/>
        <v>0</v>
      </c>
      <c r="W1292" s="9">
        <f t="shared" si="294"/>
        <v>0</v>
      </c>
      <c r="X1292" s="9">
        <f t="shared" si="294"/>
        <v>0</v>
      </c>
      <c r="Y1292" s="9">
        <f t="shared" si="294"/>
        <v>0</v>
      </c>
      <c r="Z1292" s="9">
        <f t="shared" si="294"/>
        <v>0</v>
      </c>
      <c r="AA1292" s="9">
        <f t="shared" si="293"/>
        <v>0</v>
      </c>
      <c r="AB1292" s="9">
        <f t="shared" si="293"/>
        <v>0</v>
      </c>
      <c r="AC1292" s="9">
        <f t="shared" si="293"/>
        <v>0</v>
      </c>
      <c r="AD1292" s="9">
        <f t="shared" si="293"/>
        <v>0</v>
      </c>
      <c r="AE1292" s="9">
        <f t="shared" si="293"/>
        <v>0</v>
      </c>
    </row>
    <row r="1293" spans="2:31" x14ac:dyDescent="0.25">
      <c r="B1293" s="6">
        <v>0</v>
      </c>
      <c r="C1293" s="6">
        <v>0</v>
      </c>
      <c r="D1293" s="6">
        <v>0</v>
      </c>
      <c r="E1293" s="6">
        <v>0</v>
      </c>
      <c r="F1293" s="6">
        <v>0</v>
      </c>
      <c r="L1293">
        <f t="shared" si="283"/>
        <v>0</v>
      </c>
      <c r="M1293">
        <f t="shared" si="284"/>
        <v>0</v>
      </c>
      <c r="N1293">
        <f t="shared" si="285"/>
        <v>0</v>
      </c>
      <c r="O1293">
        <f t="shared" si="286"/>
        <v>0</v>
      </c>
      <c r="P1293">
        <f t="shared" si="287"/>
        <v>0</v>
      </c>
      <c r="Q1293">
        <f t="shared" si="288"/>
        <v>0</v>
      </c>
      <c r="R1293">
        <f t="shared" si="289"/>
        <v>0</v>
      </c>
      <c r="S1293">
        <f t="shared" si="290"/>
        <v>0</v>
      </c>
      <c r="T1293">
        <f t="shared" si="291"/>
        <v>0</v>
      </c>
      <c r="U1293">
        <f t="shared" si="292"/>
        <v>0</v>
      </c>
      <c r="V1293" s="9">
        <f t="shared" si="294"/>
        <v>0</v>
      </c>
      <c r="W1293" s="9">
        <f t="shared" si="294"/>
        <v>0</v>
      </c>
      <c r="X1293" s="9">
        <f t="shared" si="294"/>
        <v>0</v>
      </c>
      <c r="Y1293" s="9">
        <f t="shared" si="294"/>
        <v>0</v>
      </c>
      <c r="Z1293" s="9">
        <f t="shared" si="294"/>
        <v>0</v>
      </c>
      <c r="AA1293" s="9">
        <f t="shared" si="293"/>
        <v>0</v>
      </c>
      <c r="AB1293" s="9">
        <f t="shared" si="293"/>
        <v>0</v>
      </c>
      <c r="AC1293" s="9">
        <f t="shared" si="293"/>
        <v>0</v>
      </c>
      <c r="AD1293" s="9">
        <f t="shared" si="293"/>
        <v>0</v>
      </c>
      <c r="AE1293" s="9">
        <f t="shared" si="293"/>
        <v>0</v>
      </c>
    </row>
    <row r="1294" spans="2:31" x14ac:dyDescent="0.25">
      <c r="B1294" s="6">
        <v>0</v>
      </c>
      <c r="C1294" s="6">
        <v>0</v>
      </c>
      <c r="D1294" s="6">
        <v>0</v>
      </c>
      <c r="E1294" s="6">
        <v>0</v>
      </c>
      <c r="F1294" s="6">
        <v>0</v>
      </c>
      <c r="L1294">
        <f t="shared" si="283"/>
        <v>0</v>
      </c>
      <c r="M1294">
        <f t="shared" si="284"/>
        <v>0</v>
      </c>
      <c r="N1294">
        <f t="shared" si="285"/>
        <v>0</v>
      </c>
      <c r="O1294">
        <f t="shared" si="286"/>
        <v>0</v>
      </c>
      <c r="P1294">
        <f t="shared" si="287"/>
        <v>0</v>
      </c>
      <c r="Q1294">
        <f t="shared" si="288"/>
        <v>0</v>
      </c>
      <c r="R1294">
        <f t="shared" si="289"/>
        <v>0</v>
      </c>
      <c r="S1294">
        <f t="shared" si="290"/>
        <v>0</v>
      </c>
      <c r="T1294">
        <f t="shared" si="291"/>
        <v>0</v>
      </c>
      <c r="U1294">
        <f t="shared" si="292"/>
        <v>0</v>
      </c>
      <c r="V1294" s="9">
        <f t="shared" si="294"/>
        <v>0</v>
      </c>
      <c r="W1294" s="9">
        <f t="shared" si="294"/>
        <v>0</v>
      </c>
      <c r="X1294" s="9">
        <f t="shared" si="294"/>
        <v>0</v>
      </c>
      <c r="Y1294" s="9">
        <f t="shared" si="294"/>
        <v>0</v>
      </c>
      <c r="Z1294" s="9">
        <f t="shared" si="294"/>
        <v>0</v>
      </c>
      <c r="AA1294" s="9">
        <f t="shared" si="293"/>
        <v>0</v>
      </c>
      <c r="AB1294" s="9">
        <f t="shared" si="293"/>
        <v>0</v>
      </c>
      <c r="AC1294" s="9">
        <f t="shared" si="293"/>
        <v>0</v>
      </c>
      <c r="AD1294" s="9">
        <f t="shared" si="293"/>
        <v>0</v>
      </c>
      <c r="AE1294" s="9">
        <f t="shared" si="293"/>
        <v>0</v>
      </c>
    </row>
    <row r="1295" spans="2:31" x14ac:dyDescent="0.25">
      <c r="B1295" s="6">
        <v>0</v>
      </c>
      <c r="C1295" s="6">
        <v>0</v>
      </c>
      <c r="D1295" s="6">
        <v>0</v>
      </c>
      <c r="E1295" s="6">
        <v>0</v>
      </c>
      <c r="F1295" s="6">
        <v>0</v>
      </c>
      <c r="L1295">
        <f t="shared" si="283"/>
        <v>0</v>
      </c>
      <c r="M1295">
        <f t="shared" si="284"/>
        <v>0</v>
      </c>
      <c r="N1295">
        <f t="shared" si="285"/>
        <v>0</v>
      </c>
      <c r="O1295">
        <f t="shared" si="286"/>
        <v>0</v>
      </c>
      <c r="P1295">
        <f t="shared" si="287"/>
        <v>0</v>
      </c>
      <c r="Q1295">
        <f t="shared" si="288"/>
        <v>0</v>
      </c>
      <c r="R1295">
        <f t="shared" si="289"/>
        <v>0</v>
      </c>
      <c r="S1295">
        <f t="shared" si="290"/>
        <v>0</v>
      </c>
      <c r="T1295">
        <f t="shared" si="291"/>
        <v>0</v>
      </c>
      <c r="U1295">
        <f t="shared" si="292"/>
        <v>0</v>
      </c>
      <c r="V1295" s="9">
        <f t="shared" si="294"/>
        <v>0</v>
      </c>
      <c r="W1295" s="9">
        <f t="shared" si="294"/>
        <v>0</v>
      </c>
      <c r="X1295" s="9">
        <f t="shared" si="294"/>
        <v>0</v>
      </c>
      <c r="Y1295" s="9">
        <f t="shared" si="294"/>
        <v>0</v>
      </c>
      <c r="Z1295" s="9">
        <f t="shared" si="294"/>
        <v>0</v>
      </c>
      <c r="AA1295" s="9">
        <f t="shared" si="293"/>
        <v>0</v>
      </c>
      <c r="AB1295" s="9">
        <f t="shared" si="293"/>
        <v>0</v>
      </c>
      <c r="AC1295" s="9">
        <f t="shared" si="293"/>
        <v>0</v>
      </c>
      <c r="AD1295" s="9">
        <f t="shared" si="293"/>
        <v>0</v>
      </c>
      <c r="AE1295" s="9">
        <f t="shared" si="293"/>
        <v>0</v>
      </c>
    </row>
    <row r="1296" spans="2:31" x14ac:dyDescent="0.25">
      <c r="B1296" s="6">
        <v>0</v>
      </c>
      <c r="C1296" s="6">
        <v>0</v>
      </c>
      <c r="D1296" s="6">
        <v>0</v>
      </c>
      <c r="E1296" s="6">
        <v>0</v>
      </c>
      <c r="F1296" s="6">
        <v>0</v>
      </c>
      <c r="L1296">
        <f t="shared" si="283"/>
        <v>0</v>
      </c>
      <c r="M1296">
        <f t="shared" si="284"/>
        <v>0</v>
      </c>
      <c r="N1296">
        <f t="shared" si="285"/>
        <v>0</v>
      </c>
      <c r="O1296">
        <f t="shared" si="286"/>
        <v>0</v>
      </c>
      <c r="P1296">
        <f t="shared" si="287"/>
        <v>0</v>
      </c>
      <c r="Q1296">
        <f t="shared" si="288"/>
        <v>0</v>
      </c>
      <c r="R1296">
        <f t="shared" si="289"/>
        <v>0</v>
      </c>
      <c r="S1296">
        <f t="shared" si="290"/>
        <v>0</v>
      </c>
      <c r="T1296">
        <f t="shared" si="291"/>
        <v>0</v>
      </c>
      <c r="U1296">
        <f t="shared" si="292"/>
        <v>0</v>
      </c>
      <c r="V1296" s="9">
        <f t="shared" si="294"/>
        <v>0</v>
      </c>
      <c r="W1296" s="9">
        <f t="shared" si="294"/>
        <v>0</v>
      </c>
      <c r="X1296" s="9">
        <f t="shared" si="294"/>
        <v>0</v>
      </c>
      <c r="Y1296" s="9">
        <f t="shared" si="294"/>
        <v>0</v>
      </c>
      <c r="Z1296" s="9">
        <f t="shared" si="294"/>
        <v>0</v>
      </c>
      <c r="AA1296" s="9">
        <f t="shared" si="293"/>
        <v>0</v>
      </c>
      <c r="AB1296" s="9">
        <f t="shared" si="293"/>
        <v>0</v>
      </c>
      <c r="AC1296" s="9">
        <f t="shared" si="293"/>
        <v>0</v>
      </c>
      <c r="AD1296" s="9">
        <f t="shared" si="293"/>
        <v>0</v>
      </c>
      <c r="AE1296" s="9">
        <f t="shared" si="293"/>
        <v>0</v>
      </c>
    </row>
    <row r="1297" spans="2:31" x14ac:dyDescent="0.25">
      <c r="B1297" s="6">
        <v>0</v>
      </c>
      <c r="C1297" s="6">
        <v>0</v>
      </c>
      <c r="D1297" s="6">
        <v>0</v>
      </c>
      <c r="E1297" s="6">
        <v>0</v>
      </c>
      <c r="F1297" s="6">
        <v>0</v>
      </c>
      <c r="L1297">
        <f t="shared" si="283"/>
        <v>0</v>
      </c>
      <c r="M1297">
        <f t="shared" si="284"/>
        <v>0</v>
      </c>
      <c r="N1297">
        <f t="shared" si="285"/>
        <v>0</v>
      </c>
      <c r="O1297">
        <f t="shared" si="286"/>
        <v>0</v>
      </c>
      <c r="P1297">
        <f t="shared" si="287"/>
        <v>0</v>
      </c>
      <c r="Q1297">
        <f t="shared" si="288"/>
        <v>0</v>
      </c>
      <c r="R1297">
        <f t="shared" si="289"/>
        <v>0</v>
      </c>
      <c r="S1297">
        <f t="shared" si="290"/>
        <v>0</v>
      </c>
      <c r="T1297">
        <f t="shared" si="291"/>
        <v>0</v>
      </c>
      <c r="U1297">
        <f t="shared" si="292"/>
        <v>0</v>
      </c>
      <c r="V1297" s="9">
        <f t="shared" si="294"/>
        <v>0</v>
      </c>
      <c r="W1297" s="9">
        <f t="shared" si="294"/>
        <v>0</v>
      </c>
      <c r="X1297" s="9">
        <f t="shared" si="294"/>
        <v>0</v>
      </c>
      <c r="Y1297" s="9">
        <f t="shared" si="294"/>
        <v>0</v>
      </c>
      <c r="Z1297" s="9">
        <f t="shared" si="294"/>
        <v>0</v>
      </c>
      <c r="AA1297" s="9">
        <f t="shared" si="293"/>
        <v>0</v>
      </c>
      <c r="AB1297" s="9">
        <f t="shared" si="293"/>
        <v>0</v>
      </c>
      <c r="AC1297" s="9">
        <f t="shared" si="293"/>
        <v>0</v>
      </c>
      <c r="AD1297" s="9">
        <f t="shared" si="293"/>
        <v>0</v>
      </c>
      <c r="AE1297" s="9">
        <f t="shared" si="293"/>
        <v>0</v>
      </c>
    </row>
    <row r="1298" spans="2:31" x14ac:dyDescent="0.25">
      <c r="B1298" s="6">
        <v>0</v>
      </c>
      <c r="C1298" s="6">
        <v>0</v>
      </c>
      <c r="D1298" s="6">
        <v>0</v>
      </c>
      <c r="E1298" s="6">
        <v>0</v>
      </c>
      <c r="F1298" s="6">
        <v>0</v>
      </c>
      <c r="L1298">
        <f t="shared" si="283"/>
        <v>0</v>
      </c>
      <c r="M1298">
        <f t="shared" si="284"/>
        <v>0</v>
      </c>
      <c r="N1298">
        <f t="shared" si="285"/>
        <v>0</v>
      </c>
      <c r="O1298">
        <f t="shared" si="286"/>
        <v>0</v>
      </c>
      <c r="P1298">
        <f t="shared" si="287"/>
        <v>0</v>
      </c>
      <c r="Q1298">
        <f t="shared" si="288"/>
        <v>0</v>
      </c>
      <c r="R1298">
        <f t="shared" si="289"/>
        <v>0</v>
      </c>
      <c r="S1298">
        <f t="shared" si="290"/>
        <v>0</v>
      </c>
      <c r="T1298">
        <f t="shared" si="291"/>
        <v>0</v>
      </c>
      <c r="U1298">
        <f t="shared" si="292"/>
        <v>0</v>
      </c>
      <c r="V1298" s="9">
        <f t="shared" si="294"/>
        <v>0</v>
      </c>
      <c r="W1298" s="9">
        <f t="shared" si="294"/>
        <v>0</v>
      </c>
      <c r="X1298" s="9">
        <f t="shared" si="294"/>
        <v>0</v>
      </c>
      <c r="Y1298" s="9">
        <f t="shared" si="294"/>
        <v>0</v>
      </c>
      <c r="Z1298" s="9">
        <f t="shared" si="294"/>
        <v>0</v>
      </c>
      <c r="AA1298" s="9">
        <f t="shared" si="293"/>
        <v>0</v>
      </c>
      <c r="AB1298" s="9">
        <f t="shared" si="293"/>
        <v>0</v>
      </c>
      <c r="AC1298" s="9">
        <f t="shared" si="293"/>
        <v>0</v>
      </c>
      <c r="AD1298" s="9">
        <f t="shared" si="293"/>
        <v>0</v>
      </c>
      <c r="AE1298" s="9">
        <f t="shared" si="293"/>
        <v>0</v>
      </c>
    </row>
    <row r="1299" spans="2:31" x14ac:dyDescent="0.25">
      <c r="B1299" s="6">
        <v>0</v>
      </c>
      <c r="C1299" s="6">
        <v>0</v>
      </c>
      <c r="D1299" s="6">
        <v>0</v>
      </c>
      <c r="E1299" s="6">
        <v>0</v>
      </c>
      <c r="F1299" s="6">
        <v>0</v>
      </c>
      <c r="L1299">
        <f t="shared" si="283"/>
        <v>0</v>
      </c>
      <c r="M1299">
        <f t="shared" si="284"/>
        <v>0</v>
      </c>
      <c r="N1299">
        <f t="shared" si="285"/>
        <v>0</v>
      </c>
      <c r="O1299">
        <f t="shared" si="286"/>
        <v>0</v>
      </c>
      <c r="P1299">
        <f t="shared" si="287"/>
        <v>0</v>
      </c>
      <c r="Q1299">
        <f t="shared" si="288"/>
        <v>0</v>
      </c>
      <c r="R1299">
        <f t="shared" si="289"/>
        <v>0</v>
      </c>
      <c r="S1299">
        <f t="shared" si="290"/>
        <v>0</v>
      </c>
      <c r="T1299">
        <f t="shared" si="291"/>
        <v>0</v>
      </c>
      <c r="U1299">
        <f t="shared" si="292"/>
        <v>0</v>
      </c>
      <c r="V1299" s="9">
        <f t="shared" si="294"/>
        <v>0</v>
      </c>
      <c r="W1299" s="9">
        <f t="shared" si="294"/>
        <v>0</v>
      </c>
      <c r="X1299" s="9">
        <f t="shared" si="294"/>
        <v>0</v>
      </c>
      <c r="Y1299" s="9">
        <f t="shared" si="294"/>
        <v>0</v>
      </c>
      <c r="Z1299" s="9">
        <f t="shared" si="294"/>
        <v>0</v>
      </c>
      <c r="AA1299" s="9">
        <f t="shared" si="293"/>
        <v>0</v>
      </c>
      <c r="AB1299" s="9">
        <f t="shared" si="293"/>
        <v>0</v>
      </c>
      <c r="AC1299" s="9">
        <f t="shared" si="293"/>
        <v>0</v>
      </c>
      <c r="AD1299" s="9">
        <f t="shared" si="293"/>
        <v>0</v>
      </c>
      <c r="AE1299" s="9">
        <f t="shared" si="293"/>
        <v>0</v>
      </c>
    </row>
    <row r="1300" spans="2:31" x14ac:dyDescent="0.25">
      <c r="B1300" s="6">
        <v>0</v>
      </c>
      <c r="C1300" s="6">
        <v>0</v>
      </c>
      <c r="D1300" s="6">
        <v>0</v>
      </c>
      <c r="E1300" s="6">
        <v>0</v>
      </c>
      <c r="F1300" s="6">
        <v>0</v>
      </c>
      <c r="L1300">
        <f t="shared" si="283"/>
        <v>0</v>
      </c>
      <c r="M1300">
        <f t="shared" si="284"/>
        <v>0</v>
      </c>
      <c r="N1300">
        <f t="shared" si="285"/>
        <v>0</v>
      </c>
      <c r="O1300">
        <f t="shared" si="286"/>
        <v>0</v>
      </c>
      <c r="P1300">
        <f t="shared" si="287"/>
        <v>0</v>
      </c>
      <c r="Q1300">
        <f t="shared" si="288"/>
        <v>0</v>
      </c>
      <c r="R1300">
        <f t="shared" si="289"/>
        <v>0</v>
      </c>
      <c r="S1300">
        <f t="shared" si="290"/>
        <v>0</v>
      </c>
      <c r="T1300">
        <f t="shared" si="291"/>
        <v>0</v>
      </c>
      <c r="U1300">
        <f t="shared" si="292"/>
        <v>0</v>
      </c>
      <c r="V1300" s="9">
        <f t="shared" si="294"/>
        <v>0</v>
      </c>
      <c r="W1300" s="9">
        <f t="shared" si="294"/>
        <v>0</v>
      </c>
      <c r="X1300" s="9">
        <f t="shared" si="294"/>
        <v>0</v>
      </c>
      <c r="Y1300" s="9">
        <f t="shared" si="294"/>
        <v>0</v>
      </c>
      <c r="Z1300" s="9">
        <f t="shared" si="294"/>
        <v>0</v>
      </c>
      <c r="AA1300" s="9">
        <f t="shared" si="293"/>
        <v>0</v>
      </c>
      <c r="AB1300" s="9">
        <f t="shared" si="293"/>
        <v>0</v>
      </c>
      <c r="AC1300" s="9">
        <f t="shared" si="293"/>
        <v>0</v>
      </c>
      <c r="AD1300" s="9">
        <f t="shared" si="293"/>
        <v>0</v>
      </c>
      <c r="AE1300" s="9">
        <f t="shared" si="293"/>
        <v>0</v>
      </c>
    </row>
    <row r="1301" spans="2:31" x14ac:dyDescent="0.25">
      <c r="B1301" s="6">
        <v>0</v>
      </c>
      <c r="C1301" s="6">
        <v>0</v>
      </c>
      <c r="D1301" s="6">
        <v>0</v>
      </c>
      <c r="E1301" s="6">
        <v>0</v>
      </c>
      <c r="F1301" s="6">
        <v>0</v>
      </c>
      <c r="L1301">
        <f t="shared" si="283"/>
        <v>0</v>
      </c>
      <c r="M1301">
        <f t="shared" si="284"/>
        <v>0</v>
      </c>
      <c r="N1301">
        <f t="shared" si="285"/>
        <v>0</v>
      </c>
      <c r="O1301">
        <f t="shared" si="286"/>
        <v>0</v>
      </c>
      <c r="P1301">
        <f t="shared" si="287"/>
        <v>0</v>
      </c>
      <c r="Q1301">
        <f t="shared" si="288"/>
        <v>0</v>
      </c>
      <c r="R1301">
        <f t="shared" si="289"/>
        <v>0</v>
      </c>
      <c r="S1301">
        <f t="shared" si="290"/>
        <v>0</v>
      </c>
      <c r="T1301">
        <f t="shared" si="291"/>
        <v>0</v>
      </c>
      <c r="U1301">
        <f t="shared" si="292"/>
        <v>0</v>
      </c>
      <c r="V1301" s="9">
        <f t="shared" si="294"/>
        <v>0</v>
      </c>
      <c r="W1301" s="9">
        <f t="shared" si="294"/>
        <v>0</v>
      </c>
      <c r="X1301" s="9">
        <f t="shared" si="294"/>
        <v>0</v>
      </c>
      <c r="Y1301" s="9">
        <f t="shared" si="294"/>
        <v>0</v>
      </c>
      <c r="Z1301" s="9">
        <f t="shared" si="294"/>
        <v>0</v>
      </c>
      <c r="AA1301" s="9">
        <f t="shared" si="293"/>
        <v>0</v>
      </c>
      <c r="AB1301" s="9">
        <f t="shared" si="293"/>
        <v>0</v>
      </c>
      <c r="AC1301" s="9">
        <f t="shared" si="293"/>
        <v>0</v>
      </c>
      <c r="AD1301" s="9">
        <f t="shared" si="293"/>
        <v>0</v>
      </c>
      <c r="AE1301" s="9">
        <f t="shared" si="293"/>
        <v>0</v>
      </c>
    </row>
    <row r="1302" spans="2:31" x14ac:dyDescent="0.25">
      <c r="B1302" s="6">
        <v>0</v>
      </c>
      <c r="C1302" s="6">
        <v>0</v>
      </c>
      <c r="D1302" s="6">
        <v>0</v>
      </c>
      <c r="E1302" s="6">
        <v>0</v>
      </c>
      <c r="F1302" s="6">
        <v>0</v>
      </c>
      <c r="L1302">
        <f t="shared" si="283"/>
        <v>0</v>
      </c>
      <c r="M1302">
        <f t="shared" si="284"/>
        <v>0</v>
      </c>
      <c r="N1302">
        <f t="shared" si="285"/>
        <v>0</v>
      </c>
      <c r="O1302">
        <f t="shared" si="286"/>
        <v>0</v>
      </c>
      <c r="P1302">
        <f t="shared" si="287"/>
        <v>0</v>
      </c>
      <c r="Q1302">
        <f t="shared" si="288"/>
        <v>0</v>
      </c>
      <c r="R1302">
        <f t="shared" si="289"/>
        <v>0</v>
      </c>
      <c r="S1302">
        <f t="shared" si="290"/>
        <v>0</v>
      </c>
      <c r="T1302">
        <f t="shared" si="291"/>
        <v>0</v>
      </c>
      <c r="U1302">
        <f t="shared" si="292"/>
        <v>0</v>
      </c>
      <c r="V1302" s="9">
        <f t="shared" si="294"/>
        <v>0</v>
      </c>
      <c r="W1302" s="9">
        <f t="shared" si="294"/>
        <v>0</v>
      </c>
      <c r="X1302" s="9">
        <f t="shared" si="294"/>
        <v>0</v>
      </c>
      <c r="Y1302" s="9">
        <f t="shared" si="294"/>
        <v>0</v>
      </c>
      <c r="Z1302" s="9">
        <f t="shared" si="294"/>
        <v>0</v>
      </c>
      <c r="AA1302" s="9">
        <f t="shared" si="293"/>
        <v>0</v>
      </c>
      <c r="AB1302" s="9">
        <f t="shared" si="293"/>
        <v>0</v>
      </c>
      <c r="AC1302" s="9">
        <f t="shared" si="293"/>
        <v>0</v>
      </c>
      <c r="AD1302" s="9">
        <f t="shared" si="293"/>
        <v>0</v>
      </c>
      <c r="AE1302" s="9">
        <f t="shared" si="293"/>
        <v>0</v>
      </c>
    </row>
    <row r="1303" spans="2:31" x14ac:dyDescent="0.25">
      <c r="B1303" s="6">
        <v>0</v>
      </c>
      <c r="C1303" s="6">
        <v>0</v>
      </c>
      <c r="D1303" s="6">
        <v>0</v>
      </c>
      <c r="E1303" s="6">
        <v>0</v>
      </c>
      <c r="F1303" s="6">
        <v>0</v>
      </c>
      <c r="L1303">
        <f t="shared" si="283"/>
        <v>0</v>
      </c>
      <c r="M1303">
        <f t="shared" si="284"/>
        <v>0</v>
      </c>
      <c r="N1303">
        <f t="shared" si="285"/>
        <v>0</v>
      </c>
      <c r="O1303">
        <f t="shared" si="286"/>
        <v>0</v>
      </c>
      <c r="P1303">
        <f t="shared" si="287"/>
        <v>0</v>
      </c>
      <c r="Q1303">
        <f t="shared" si="288"/>
        <v>0</v>
      </c>
      <c r="R1303">
        <f t="shared" si="289"/>
        <v>0</v>
      </c>
      <c r="S1303">
        <f t="shared" si="290"/>
        <v>0</v>
      </c>
      <c r="T1303">
        <f t="shared" si="291"/>
        <v>0</v>
      </c>
      <c r="U1303">
        <f t="shared" si="292"/>
        <v>0</v>
      </c>
      <c r="V1303" s="9">
        <f t="shared" si="294"/>
        <v>0</v>
      </c>
      <c r="W1303" s="9">
        <f t="shared" si="294"/>
        <v>0</v>
      </c>
      <c r="X1303" s="9">
        <f t="shared" si="294"/>
        <v>0</v>
      </c>
      <c r="Y1303" s="9">
        <f t="shared" si="294"/>
        <v>0</v>
      </c>
      <c r="Z1303" s="9">
        <f t="shared" si="294"/>
        <v>0</v>
      </c>
      <c r="AA1303" s="9">
        <f t="shared" si="293"/>
        <v>0</v>
      </c>
      <c r="AB1303" s="9">
        <f t="shared" si="293"/>
        <v>0</v>
      </c>
      <c r="AC1303" s="9">
        <f t="shared" si="293"/>
        <v>0</v>
      </c>
      <c r="AD1303" s="9">
        <f t="shared" si="293"/>
        <v>0</v>
      </c>
      <c r="AE1303" s="9">
        <f t="shared" si="293"/>
        <v>0</v>
      </c>
    </row>
    <row r="1304" spans="2:31" x14ac:dyDescent="0.25">
      <c r="B1304" s="6">
        <v>0</v>
      </c>
      <c r="C1304" s="6">
        <v>0</v>
      </c>
      <c r="D1304" s="6">
        <v>0</v>
      </c>
      <c r="E1304" s="6">
        <v>0</v>
      </c>
      <c r="F1304" s="6">
        <v>0</v>
      </c>
      <c r="L1304">
        <f t="shared" si="283"/>
        <v>0</v>
      </c>
      <c r="M1304">
        <f t="shared" si="284"/>
        <v>0</v>
      </c>
      <c r="N1304">
        <f t="shared" si="285"/>
        <v>0</v>
      </c>
      <c r="O1304">
        <f t="shared" si="286"/>
        <v>0</v>
      </c>
      <c r="P1304">
        <f t="shared" si="287"/>
        <v>0</v>
      </c>
      <c r="Q1304">
        <f t="shared" si="288"/>
        <v>0</v>
      </c>
      <c r="R1304">
        <f t="shared" si="289"/>
        <v>0</v>
      </c>
      <c r="S1304">
        <f t="shared" si="290"/>
        <v>0</v>
      </c>
      <c r="T1304">
        <f t="shared" si="291"/>
        <v>0</v>
      </c>
      <c r="U1304">
        <f t="shared" si="292"/>
        <v>0</v>
      </c>
      <c r="V1304" s="9">
        <f t="shared" si="294"/>
        <v>0</v>
      </c>
      <c r="W1304" s="9">
        <f t="shared" si="294"/>
        <v>0</v>
      </c>
      <c r="X1304" s="9">
        <f t="shared" si="294"/>
        <v>0</v>
      </c>
      <c r="Y1304" s="9">
        <f t="shared" si="294"/>
        <v>0</v>
      </c>
      <c r="Z1304" s="9">
        <f t="shared" si="294"/>
        <v>0</v>
      </c>
      <c r="AA1304" s="9">
        <f t="shared" si="293"/>
        <v>0</v>
      </c>
      <c r="AB1304" s="9">
        <f t="shared" si="293"/>
        <v>0</v>
      </c>
      <c r="AC1304" s="9">
        <f t="shared" si="293"/>
        <v>0</v>
      </c>
      <c r="AD1304" s="9">
        <f t="shared" si="293"/>
        <v>0</v>
      </c>
      <c r="AE1304" s="9">
        <f t="shared" si="293"/>
        <v>0</v>
      </c>
    </row>
    <row r="1305" spans="2:31" x14ac:dyDescent="0.25">
      <c r="B1305" s="6">
        <v>0</v>
      </c>
      <c r="C1305" s="6">
        <v>0</v>
      </c>
      <c r="D1305" s="6">
        <v>0</v>
      </c>
      <c r="E1305" s="6">
        <v>0</v>
      </c>
      <c r="F1305" s="6">
        <v>0</v>
      </c>
      <c r="L1305">
        <f t="shared" si="283"/>
        <v>0</v>
      </c>
      <c r="M1305">
        <f t="shared" si="284"/>
        <v>0</v>
      </c>
      <c r="N1305">
        <f t="shared" si="285"/>
        <v>0</v>
      </c>
      <c r="O1305">
        <f t="shared" si="286"/>
        <v>0</v>
      </c>
      <c r="P1305">
        <f t="shared" si="287"/>
        <v>0</v>
      </c>
      <c r="Q1305">
        <f t="shared" si="288"/>
        <v>0</v>
      </c>
      <c r="R1305">
        <f t="shared" si="289"/>
        <v>0</v>
      </c>
      <c r="S1305">
        <f t="shared" si="290"/>
        <v>0</v>
      </c>
      <c r="T1305">
        <f t="shared" si="291"/>
        <v>0</v>
      </c>
      <c r="U1305">
        <f t="shared" si="292"/>
        <v>0</v>
      </c>
      <c r="V1305" s="9">
        <f t="shared" si="294"/>
        <v>0</v>
      </c>
      <c r="W1305" s="9">
        <f t="shared" si="294"/>
        <v>0</v>
      </c>
      <c r="X1305" s="9">
        <f t="shared" si="294"/>
        <v>0</v>
      </c>
      <c r="Y1305" s="9">
        <f t="shared" si="294"/>
        <v>0</v>
      </c>
      <c r="Z1305" s="9">
        <f t="shared" si="294"/>
        <v>0</v>
      </c>
      <c r="AA1305" s="9">
        <f t="shared" si="293"/>
        <v>0</v>
      </c>
      <c r="AB1305" s="9">
        <f t="shared" si="293"/>
        <v>0</v>
      </c>
      <c r="AC1305" s="9">
        <f t="shared" si="293"/>
        <v>0</v>
      </c>
      <c r="AD1305" s="9">
        <f t="shared" si="293"/>
        <v>0</v>
      </c>
      <c r="AE1305" s="9">
        <f t="shared" si="293"/>
        <v>0</v>
      </c>
    </row>
    <row r="1306" spans="2:31" x14ac:dyDescent="0.25">
      <c r="B1306" s="6">
        <v>0</v>
      </c>
      <c r="C1306" s="6">
        <v>0</v>
      </c>
      <c r="D1306" s="6">
        <v>0</v>
      </c>
      <c r="E1306" s="6">
        <v>0</v>
      </c>
      <c r="F1306" s="6">
        <v>0</v>
      </c>
      <c r="L1306">
        <f t="shared" si="283"/>
        <v>0</v>
      </c>
      <c r="M1306">
        <f t="shared" si="284"/>
        <v>0</v>
      </c>
      <c r="N1306">
        <f t="shared" si="285"/>
        <v>0</v>
      </c>
      <c r="O1306">
        <f t="shared" si="286"/>
        <v>0</v>
      </c>
      <c r="P1306">
        <f t="shared" si="287"/>
        <v>0</v>
      </c>
      <c r="Q1306">
        <f t="shared" si="288"/>
        <v>0</v>
      </c>
      <c r="R1306">
        <f t="shared" si="289"/>
        <v>0</v>
      </c>
      <c r="S1306">
        <f t="shared" si="290"/>
        <v>0</v>
      </c>
      <c r="T1306">
        <f t="shared" si="291"/>
        <v>0</v>
      </c>
      <c r="U1306">
        <f t="shared" si="292"/>
        <v>0</v>
      </c>
      <c r="V1306" s="9">
        <f t="shared" si="294"/>
        <v>0</v>
      </c>
      <c r="W1306" s="9">
        <f t="shared" si="294"/>
        <v>0</v>
      </c>
      <c r="X1306" s="9">
        <f t="shared" si="294"/>
        <v>0</v>
      </c>
      <c r="Y1306" s="9">
        <f t="shared" si="294"/>
        <v>0</v>
      </c>
      <c r="Z1306" s="9">
        <f t="shared" si="294"/>
        <v>0</v>
      </c>
      <c r="AA1306" s="9">
        <f t="shared" si="293"/>
        <v>0</v>
      </c>
      <c r="AB1306" s="9">
        <f t="shared" si="293"/>
        <v>0</v>
      </c>
      <c r="AC1306" s="9">
        <f t="shared" si="293"/>
        <v>0</v>
      </c>
      <c r="AD1306" s="9">
        <f t="shared" si="293"/>
        <v>0</v>
      </c>
      <c r="AE1306" s="9">
        <f t="shared" si="293"/>
        <v>0</v>
      </c>
    </row>
    <row r="1307" spans="2:31" x14ac:dyDescent="0.25">
      <c r="B1307" s="6">
        <v>0</v>
      </c>
      <c r="C1307" s="6">
        <v>0</v>
      </c>
      <c r="D1307" s="6">
        <v>0</v>
      </c>
      <c r="E1307" s="6">
        <v>0</v>
      </c>
      <c r="F1307" s="6">
        <v>0</v>
      </c>
      <c r="L1307">
        <f t="shared" si="283"/>
        <v>0</v>
      </c>
      <c r="M1307">
        <f t="shared" si="284"/>
        <v>0</v>
      </c>
      <c r="N1307">
        <f t="shared" si="285"/>
        <v>0</v>
      </c>
      <c r="O1307">
        <f t="shared" si="286"/>
        <v>0</v>
      </c>
      <c r="P1307">
        <f t="shared" si="287"/>
        <v>0</v>
      </c>
      <c r="Q1307">
        <f t="shared" si="288"/>
        <v>0</v>
      </c>
      <c r="R1307">
        <f t="shared" si="289"/>
        <v>0</v>
      </c>
      <c r="S1307">
        <f t="shared" si="290"/>
        <v>0</v>
      </c>
      <c r="T1307">
        <f t="shared" si="291"/>
        <v>0</v>
      </c>
      <c r="U1307">
        <f t="shared" si="292"/>
        <v>0</v>
      </c>
      <c r="V1307" s="9">
        <f t="shared" si="294"/>
        <v>0</v>
      </c>
      <c r="W1307" s="9">
        <f t="shared" si="294"/>
        <v>0</v>
      </c>
      <c r="X1307" s="9">
        <f t="shared" si="294"/>
        <v>0</v>
      </c>
      <c r="Y1307" s="9">
        <f t="shared" si="294"/>
        <v>0</v>
      </c>
      <c r="Z1307" s="9">
        <f t="shared" si="294"/>
        <v>0</v>
      </c>
      <c r="AA1307" s="9">
        <f t="shared" si="293"/>
        <v>0</v>
      </c>
      <c r="AB1307" s="9">
        <f t="shared" si="293"/>
        <v>0</v>
      </c>
      <c r="AC1307" s="9">
        <f t="shared" si="293"/>
        <v>0</v>
      </c>
      <c r="AD1307" s="9">
        <f t="shared" si="293"/>
        <v>0</v>
      </c>
      <c r="AE1307" s="9">
        <f t="shared" si="293"/>
        <v>0</v>
      </c>
    </row>
    <row r="1308" spans="2:31" x14ac:dyDescent="0.25">
      <c r="B1308" s="6">
        <v>0</v>
      </c>
      <c r="C1308" s="6">
        <v>0</v>
      </c>
      <c r="D1308" s="6">
        <v>0</v>
      </c>
      <c r="E1308" s="6">
        <v>0</v>
      </c>
      <c r="F1308" s="6">
        <v>0</v>
      </c>
      <c r="L1308">
        <f t="shared" si="283"/>
        <v>0</v>
      </c>
      <c r="M1308">
        <f t="shared" si="284"/>
        <v>0</v>
      </c>
      <c r="N1308">
        <f t="shared" si="285"/>
        <v>0</v>
      </c>
      <c r="O1308">
        <f t="shared" si="286"/>
        <v>0</v>
      </c>
      <c r="P1308">
        <f t="shared" si="287"/>
        <v>0</v>
      </c>
      <c r="Q1308">
        <f t="shared" si="288"/>
        <v>0</v>
      </c>
      <c r="R1308">
        <f t="shared" si="289"/>
        <v>0</v>
      </c>
      <c r="S1308">
        <f t="shared" si="290"/>
        <v>0</v>
      </c>
      <c r="T1308">
        <f t="shared" si="291"/>
        <v>0</v>
      </c>
      <c r="U1308">
        <f t="shared" si="292"/>
        <v>0</v>
      </c>
      <c r="V1308" s="9">
        <f t="shared" si="294"/>
        <v>0</v>
      </c>
      <c r="W1308" s="9">
        <f t="shared" si="294"/>
        <v>0</v>
      </c>
      <c r="X1308" s="9">
        <f t="shared" si="294"/>
        <v>0</v>
      </c>
      <c r="Y1308" s="9">
        <f t="shared" si="294"/>
        <v>0</v>
      </c>
      <c r="Z1308" s="9">
        <f t="shared" si="294"/>
        <v>0</v>
      </c>
      <c r="AA1308" s="9">
        <f t="shared" si="293"/>
        <v>0</v>
      </c>
      <c r="AB1308" s="9">
        <f t="shared" si="293"/>
        <v>0</v>
      </c>
      <c r="AC1308" s="9">
        <f t="shared" si="293"/>
        <v>0</v>
      </c>
      <c r="AD1308" s="9">
        <f t="shared" si="293"/>
        <v>0</v>
      </c>
      <c r="AE1308" s="9">
        <f t="shared" si="293"/>
        <v>0</v>
      </c>
    </row>
    <row r="1309" spans="2:31" x14ac:dyDescent="0.25">
      <c r="B1309" s="6">
        <v>0</v>
      </c>
      <c r="C1309" s="6">
        <v>0</v>
      </c>
      <c r="D1309" s="6">
        <v>0</v>
      </c>
      <c r="E1309" s="6">
        <v>0</v>
      </c>
      <c r="F1309" s="6">
        <v>0</v>
      </c>
      <c r="L1309">
        <f t="shared" si="283"/>
        <v>0</v>
      </c>
      <c r="M1309">
        <f t="shared" si="284"/>
        <v>0</v>
      </c>
      <c r="N1309">
        <f t="shared" si="285"/>
        <v>0</v>
      </c>
      <c r="O1309">
        <f t="shared" si="286"/>
        <v>0</v>
      </c>
      <c r="P1309">
        <f t="shared" si="287"/>
        <v>0</v>
      </c>
      <c r="Q1309">
        <f t="shared" si="288"/>
        <v>0</v>
      </c>
      <c r="R1309">
        <f t="shared" si="289"/>
        <v>0</v>
      </c>
      <c r="S1309">
        <f t="shared" si="290"/>
        <v>0</v>
      </c>
      <c r="T1309">
        <f t="shared" si="291"/>
        <v>0</v>
      </c>
      <c r="U1309">
        <f t="shared" si="292"/>
        <v>0</v>
      </c>
      <c r="V1309" s="9">
        <f t="shared" si="294"/>
        <v>0</v>
      </c>
      <c r="W1309" s="9">
        <f t="shared" si="294"/>
        <v>0</v>
      </c>
      <c r="X1309" s="9">
        <f t="shared" si="294"/>
        <v>0</v>
      </c>
      <c r="Y1309" s="9">
        <f t="shared" si="294"/>
        <v>0</v>
      </c>
      <c r="Z1309" s="9">
        <f t="shared" si="294"/>
        <v>0</v>
      </c>
      <c r="AA1309" s="9">
        <f t="shared" si="293"/>
        <v>0</v>
      </c>
      <c r="AB1309" s="9">
        <f t="shared" si="293"/>
        <v>0</v>
      </c>
      <c r="AC1309" s="9">
        <f t="shared" si="293"/>
        <v>0</v>
      </c>
      <c r="AD1309" s="9">
        <f t="shared" si="293"/>
        <v>0</v>
      </c>
      <c r="AE1309" s="9">
        <f t="shared" si="293"/>
        <v>0</v>
      </c>
    </row>
    <row r="1310" spans="2:31" x14ac:dyDescent="0.25">
      <c r="B1310" s="6">
        <v>0</v>
      </c>
      <c r="C1310" s="6">
        <v>0</v>
      </c>
      <c r="D1310" s="6">
        <v>0</v>
      </c>
      <c r="E1310" s="6">
        <v>0</v>
      </c>
      <c r="F1310" s="6">
        <v>0</v>
      </c>
      <c r="L1310">
        <f t="shared" si="283"/>
        <v>0</v>
      </c>
      <c r="M1310">
        <f t="shared" si="284"/>
        <v>0</v>
      </c>
      <c r="N1310">
        <f t="shared" si="285"/>
        <v>0</v>
      </c>
      <c r="O1310">
        <f t="shared" si="286"/>
        <v>0</v>
      </c>
      <c r="P1310">
        <f t="shared" si="287"/>
        <v>0</v>
      </c>
      <c r="Q1310">
        <f t="shared" si="288"/>
        <v>0</v>
      </c>
      <c r="R1310">
        <f t="shared" si="289"/>
        <v>0</v>
      </c>
      <c r="S1310">
        <f t="shared" si="290"/>
        <v>0</v>
      </c>
      <c r="T1310">
        <f t="shared" si="291"/>
        <v>0</v>
      </c>
      <c r="U1310">
        <f t="shared" si="292"/>
        <v>0</v>
      </c>
      <c r="V1310" s="9">
        <f t="shared" si="294"/>
        <v>0</v>
      </c>
      <c r="W1310" s="9">
        <f t="shared" si="294"/>
        <v>0</v>
      </c>
      <c r="X1310" s="9">
        <f t="shared" si="294"/>
        <v>0</v>
      </c>
      <c r="Y1310" s="9">
        <f t="shared" si="294"/>
        <v>0</v>
      </c>
      <c r="Z1310" s="9">
        <f t="shared" si="294"/>
        <v>0</v>
      </c>
      <c r="AA1310" s="9">
        <f t="shared" si="293"/>
        <v>0</v>
      </c>
      <c r="AB1310" s="9">
        <f t="shared" si="293"/>
        <v>0</v>
      </c>
      <c r="AC1310" s="9">
        <f t="shared" si="293"/>
        <v>0</v>
      </c>
      <c r="AD1310" s="9">
        <f t="shared" si="293"/>
        <v>0</v>
      </c>
      <c r="AE1310" s="9">
        <f t="shared" si="293"/>
        <v>0</v>
      </c>
    </row>
    <row r="1311" spans="2:31" x14ac:dyDescent="0.25">
      <c r="B1311" s="6">
        <v>0</v>
      </c>
      <c r="C1311" s="6">
        <v>0</v>
      </c>
      <c r="D1311" s="6">
        <v>0</v>
      </c>
      <c r="E1311" s="6">
        <v>0</v>
      </c>
      <c r="F1311" s="6">
        <v>0</v>
      </c>
      <c r="L1311">
        <f t="shared" si="283"/>
        <v>0</v>
      </c>
      <c r="M1311">
        <f t="shared" si="284"/>
        <v>0</v>
      </c>
      <c r="N1311">
        <f t="shared" si="285"/>
        <v>0</v>
      </c>
      <c r="O1311">
        <f t="shared" si="286"/>
        <v>0</v>
      </c>
      <c r="P1311">
        <f t="shared" si="287"/>
        <v>0</v>
      </c>
      <c r="Q1311">
        <f t="shared" si="288"/>
        <v>0</v>
      </c>
      <c r="R1311">
        <f t="shared" si="289"/>
        <v>0</v>
      </c>
      <c r="S1311">
        <f t="shared" si="290"/>
        <v>0</v>
      </c>
      <c r="T1311">
        <f t="shared" si="291"/>
        <v>0</v>
      </c>
      <c r="U1311">
        <f t="shared" si="292"/>
        <v>0</v>
      </c>
      <c r="V1311" s="9">
        <f t="shared" si="294"/>
        <v>0</v>
      </c>
      <c r="W1311" s="9">
        <f t="shared" si="294"/>
        <v>0</v>
      </c>
      <c r="X1311" s="9">
        <f t="shared" si="294"/>
        <v>0</v>
      </c>
      <c r="Y1311" s="9">
        <f t="shared" si="294"/>
        <v>0</v>
      </c>
      <c r="Z1311" s="9">
        <f t="shared" si="294"/>
        <v>0</v>
      </c>
      <c r="AA1311" s="9">
        <f t="shared" si="293"/>
        <v>0</v>
      </c>
      <c r="AB1311" s="9">
        <f t="shared" si="293"/>
        <v>0</v>
      </c>
      <c r="AC1311" s="9">
        <f t="shared" si="293"/>
        <v>0</v>
      </c>
      <c r="AD1311" s="9">
        <f t="shared" si="293"/>
        <v>0</v>
      </c>
      <c r="AE1311" s="9">
        <f t="shared" si="293"/>
        <v>0</v>
      </c>
    </row>
    <row r="1312" spans="2:31" x14ac:dyDescent="0.25">
      <c r="B1312" s="6">
        <v>0</v>
      </c>
      <c r="C1312" s="6">
        <v>0</v>
      </c>
      <c r="D1312" s="6">
        <v>0</v>
      </c>
      <c r="E1312" s="6">
        <v>0</v>
      </c>
      <c r="F1312" s="6">
        <v>0</v>
      </c>
      <c r="L1312">
        <f t="shared" si="283"/>
        <v>0</v>
      </c>
      <c r="M1312">
        <f t="shared" si="284"/>
        <v>0</v>
      </c>
      <c r="N1312">
        <f t="shared" si="285"/>
        <v>0</v>
      </c>
      <c r="O1312">
        <f t="shared" si="286"/>
        <v>0</v>
      </c>
      <c r="P1312">
        <f t="shared" si="287"/>
        <v>0</v>
      </c>
      <c r="Q1312">
        <f t="shared" si="288"/>
        <v>0</v>
      </c>
      <c r="R1312">
        <f t="shared" si="289"/>
        <v>0</v>
      </c>
      <c r="S1312">
        <f t="shared" si="290"/>
        <v>0</v>
      </c>
      <c r="T1312">
        <f t="shared" si="291"/>
        <v>0</v>
      </c>
      <c r="U1312">
        <f t="shared" si="292"/>
        <v>0</v>
      </c>
      <c r="V1312" s="9">
        <f t="shared" si="294"/>
        <v>0</v>
      </c>
      <c r="W1312" s="9">
        <f t="shared" si="294"/>
        <v>0</v>
      </c>
      <c r="X1312" s="9">
        <f t="shared" si="294"/>
        <v>0</v>
      </c>
      <c r="Y1312" s="9">
        <f t="shared" si="294"/>
        <v>0</v>
      </c>
      <c r="Z1312" s="9">
        <f t="shared" si="294"/>
        <v>0</v>
      </c>
      <c r="AA1312" s="9">
        <f t="shared" si="293"/>
        <v>0</v>
      </c>
      <c r="AB1312" s="9">
        <f t="shared" si="293"/>
        <v>0</v>
      </c>
      <c r="AC1312" s="9">
        <f t="shared" si="293"/>
        <v>0</v>
      </c>
      <c r="AD1312" s="9">
        <f t="shared" si="293"/>
        <v>0</v>
      </c>
      <c r="AE1312" s="9">
        <f t="shared" si="293"/>
        <v>0</v>
      </c>
    </row>
    <row r="1313" spans="2:31" x14ac:dyDescent="0.25">
      <c r="B1313" s="6">
        <v>0</v>
      </c>
      <c r="C1313" s="6">
        <v>0</v>
      </c>
      <c r="D1313" s="6">
        <v>0</v>
      </c>
      <c r="E1313" s="6">
        <v>0</v>
      </c>
      <c r="F1313" s="6">
        <v>0</v>
      </c>
      <c r="L1313">
        <f t="shared" si="283"/>
        <v>0</v>
      </c>
      <c r="M1313">
        <f t="shared" si="284"/>
        <v>0</v>
      </c>
      <c r="N1313">
        <f t="shared" si="285"/>
        <v>0</v>
      </c>
      <c r="O1313">
        <f t="shared" si="286"/>
        <v>0</v>
      </c>
      <c r="P1313">
        <f t="shared" si="287"/>
        <v>0</v>
      </c>
      <c r="Q1313">
        <f t="shared" si="288"/>
        <v>0</v>
      </c>
      <c r="R1313">
        <f t="shared" si="289"/>
        <v>0</v>
      </c>
      <c r="S1313">
        <f t="shared" si="290"/>
        <v>0</v>
      </c>
      <c r="T1313">
        <f t="shared" si="291"/>
        <v>0</v>
      </c>
      <c r="U1313">
        <f t="shared" si="292"/>
        <v>0</v>
      </c>
      <c r="V1313" s="9">
        <f t="shared" si="294"/>
        <v>0</v>
      </c>
      <c r="W1313" s="9">
        <f t="shared" si="294"/>
        <v>0</v>
      </c>
      <c r="X1313" s="9">
        <f t="shared" si="294"/>
        <v>0</v>
      </c>
      <c r="Y1313" s="9">
        <f t="shared" si="294"/>
        <v>0</v>
      </c>
      <c r="Z1313" s="9">
        <f t="shared" si="294"/>
        <v>0</v>
      </c>
      <c r="AA1313" s="9">
        <f t="shared" si="293"/>
        <v>0</v>
      </c>
      <c r="AB1313" s="9">
        <f t="shared" si="293"/>
        <v>0</v>
      </c>
      <c r="AC1313" s="9">
        <f t="shared" si="293"/>
        <v>0</v>
      </c>
      <c r="AD1313" s="9">
        <f t="shared" si="293"/>
        <v>0</v>
      </c>
      <c r="AE1313" s="9">
        <f t="shared" si="293"/>
        <v>0</v>
      </c>
    </row>
    <row r="1314" spans="2:31" x14ac:dyDescent="0.25">
      <c r="B1314" s="6">
        <v>0</v>
      </c>
      <c r="C1314" s="6">
        <v>0</v>
      </c>
      <c r="D1314" s="6">
        <v>0</v>
      </c>
      <c r="E1314" s="6">
        <v>0</v>
      </c>
      <c r="F1314" s="6">
        <v>0</v>
      </c>
      <c r="L1314">
        <f t="shared" si="283"/>
        <v>0</v>
      </c>
      <c r="M1314">
        <f t="shared" si="284"/>
        <v>0</v>
      </c>
      <c r="N1314">
        <f t="shared" si="285"/>
        <v>0</v>
      </c>
      <c r="O1314">
        <f t="shared" si="286"/>
        <v>0</v>
      </c>
      <c r="P1314">
        <f t="shared" si="287"/>
        <v>0</v>
      </c>
      <c r="Q1314">
        <f t="shared" si="288"/>
        <v>0</v>
      </c>
      <c r="R1314">
        <f t="shared" si="289"/>
        <v>0</v>
      </c>
      <c r="S1314">
        <f t="shared" si="290"/>
        <v>0</v>
      </c>
      <c r="T1314">
        <f t="shared" si="291"/>
        <v>0</v>
      </c>
      <c r="U1314">
        <f t="shared" si="292"/>
        <v>0</v>
      </c>
      <c r="V1314" s="9">
        <f t="shared" si="294"/>
        <v>0</v>
      </c>
      <c r="W1314" s="9">
        <f t="shared" si="294"/>
        <v>0</v>
      </c>
      <c r="X1314" s="9">
        <f t="shared" si="294"/>
        <v>0</v>
      </c>
      <c r="Y1314" s="9">
        <f t="shared" si="294"/>
        <v>0</v>
      </c>
      <c r="Z1314" s="9">
        <f t="shared" si="294"/>
        <v>0</v>
      </c>
      <c r="AA1314" s="9">
        <f t="shared" si="293"/>
        <v>0</v>
      </c>
      <c r="AB1314" s="9">
        <f t="shared" si="293"/>
        <v>0</v>
      </c>
      <c r="AC1314" s="9">
        <f t="shared" si="293"/>
        <v>0</v>
      </c>
      <c r="AD1314" s="9">
        <f t="shared" si="293"/>
        <v>0</v>
      </c>
      <c r="AE1314" s="9">
        <f t="shared" si="293"/>
        <v>0</v>
      </c>
    </row>
    <row r="1315" spans="2:31" x14ac:dyDescent="0.25">
      <c r="B1315" s="6">
        <v>0</v>
      </c>
      <c r="C1315" s="6">
        <v>0</v>
      </c>
      <c r="D1315" s="6">
        <v>0</v>
      </c>
      <c r="E1315" s="6">
        <v>0</v>
      </c>
      <c r="F1315" s="6">
        <v>0</v>
      </c>
      <c r="L1315">
        <f t="shared" si="283"/>
        <v>0</v>
      </c>
      <c r="M1315">
        <f t="shared" si="284"/>
        <v>0</v>
      </c>
      <c r="N1315">
        <f t="shared" si="285"/>
        <v>0</v>
      </c>
      <c r="O1315">
        <f t="shared" si="286"/>
        <v>0</v>
      </c>
      <c r="P1315">
        <f t="shared" si="287"/>
        <v>0</v>
      </c>
      <c r="Q1315">
        <f t="shared" si="288"/>
        <v>0</v>
      </c>
      <c r="R1315">
        <f t="shared" si="289"/>
        <v>0</v>
      </c>
      <c r="S1315">
        <f t="shared" si="290"/>
        <v>0</v>
      </c>
      <c r="T1315">
        <f t="shared" si="291"/>
        <v>0</v>
      </c>
      <c r="U1315">
        <f t="shared" si="292"/>
        <v>0</v>
      </c>
      <c r="V1315" s="9">
        <f t="shared" si="294"/>
        <v>0</v>
      </c>
      <c r="W1315" s="9">
        <f t="shared" si="294"/>
        <v>0</v>
      </c>
      <c r="X1315" s="9">
        <f t="shared" si="294"/>
        <v>0</v>
      </c>
      <c r="Y1315" s="9">
        <f t="shared" si="294"/>
        <v>0</v>
      </c>
      <c r="Z1315" s="9">
        <f t="shared" si="294"/>
        <v>0</v>
      </c>
      <c r="AA1315" s="9">
        <f t="shared" si="293"/>
        <v>0</v>
      </c>
      <c r="AB1315" s="9">
        <f t="shared" si="293"/>
        <v>0</v>
      </c>
      <c r="AC1315" s="9">
        <f t="shared" si="293"/>
        <v>0</v>
      </c>
      <c r="AD1315" s="9">
        <f t="shared" si="293"/>
        <v>0</v>
      </c>
      <c r="AE1315" s="9">
        <f t="shared" si="293"/>
        <v>0</v>
      </c>
    </row>
    <row r="1316" spans="2:31" x14ac:dyDescent="0.25">
      <c r="B1316" s="6">
        <v>0</v>
      </c>
      <c r="C1316" s="6">
        <v>0</v>
      </c>
      <c r="D1316" s="6">
        <v>0</v>
      </c>
      <c r="E1316" s="6">
        <v>0</v>
      </c>
      <c r="F1316" s="6">
        <v>0</v>
      </c>
      <c r="L1316">
        <f t="shared" si="283"/>
        <v>0</v>
      </c>
      <c r="M1316">
        <f t="shared" si="284"/>
        <v>0</v>
      </c>
      <c r="N1316">
        <f t="shared" si="285"/>
        <v>0</v>
      </c>
      <c r="O1316">
        <f t="shared" si="286"/>
        <v>0</v>
      </c>
      <c r="P1316">
        <f t="shared" si="287"/>
        <v>0</v>
      </c>
      <c r="Q1316">
        <f t="shared" si="288"/>
        <v>0</v>
      </c>
      <c r="R1316">
        <f t="shared" si="289"/>
        <v>0</v>
      </c>
      <c r="S1316">
        <f t="shared" si="290"/>
        <v>0</v>
      </c>
      <c r="T1316">
        <f t="shared" si="291"/>
        <v>0</v>
      </c>
      <c r="U1316">
        <f t="shared" si="292"/>
        <v>0</v>
      </c>
      <c r="V1316" s="9">
        <f t="shared" si="294"/>
        <v>0</v>
      </c>
      <c r="W1316" s="9">
        <f t="shared" si="294"/>
        <v>0</v>
      </c>
      <c r="X1316" s="9">
        <f t="shared" si="294"/>
        <v>0</v>
      </c>
      <c r="Y1316" s="9">
        <f t="shared" si="294"/>
        <v>0</v>
      </c>
      <c r="Z1316" s="9">
        <f t="shared" si="294"/>
        <v>0</v>
      </c>
      <c r="AA1316" s="9">
        <f t="shared" si="293"/>
        <v>0</v>
      </c>
      <c r="AB1316" s="9">
        <f t="shared" si="293"/>
        <v>0</v>
      </c>
      <c r="AC1316" s="9">
        <f t="shared" si="293"/>
        <v>0</v>
      </c>
      <c r="AD1316" s="9">
        <f t="shared" si="293"/>
        <v>0</v>
      </c>
      <c r="AE1316" s="9">
        <f t="shared" si="293"/>
        <v>0</v>
      </c>
    </row>
    <row r="1317" spans="2:31" x14ac:dyDescent="0.25">
      <c r="B1317" s="6">
        <v>0</v>
      </c>
      <c r="C1317" s="6">
        <v>0</v>
      </c>
      <c r="D1317" s="6">
        <v>0</v>
      </c>
      <c r="E1317" s="6">
        <v>0</v>
      </c>
      <c r="F1317" s="6">
        <v>0</v>
      </c>
      <c r="L1317">
        <f t="shared" si="283"/>
        <v>0</v>
      </c>
      <c r="M1317">
        <f t="shared" si="284"/>
        <v>0</v>
      </c>
      <c r="N1317">
        <f t="shared" si="285"/>
        <v>0</v>
      </c>
      <c r="O1317">
        <f t="shared" si="286"/>
        <v>0</v>
      </c>
      <c r="P1317">
        <f t="shared" si="287"/>
        <v>0</v>
      </c>
      <c r="Q1317">
        <f t="shared" si="288"/>
        <v>0</v>
      </c>
      <c r="R1317">
        <f t="shared" si="289"/>
        <v>0</v>
      </c>
      <c r="S1317">
        <f t="shared" si="290"/>
        <v>0</v>
      </c>
      <c r="T1317">
        <f t="shared" si="291"/>
        <v>0</v>
      </c>
      <c r="U1317">
        <f t="shared" si="292"/>
        <v>0</v>
      </c>
      <c r="V1317" s="9">
        <f t="shared" si="294"/>
        <v>0</v>
      </c>
      <c r="W1317" s="9">
        <f t="shared" si="294"/>
        <v>0</v>
      </c>
      <c r="X1317" s="9">
        <f t="shared" si="294"/>
        <v>0</v>
      </c>
      <c r="Y1317" s="9">
        <f t="shared" si="294"/>
        <v>0</v>
      </c>
      <c r="Z1317" s="9">
        <f t="shared" si="294"/>
        <v>0</v>
      </c>
      <c r="AA1317" s="9">
        <f t="shared" si="293"/>
        <v>0</v>
      </c>
      <c r="AB1317" s="9">
        <f t="shared" si="293"/>
        <v>0</v>
      </c>
      <c r="AC1317" s="9">
        <f t="shared" si="293"/>
        <v>0</v>
      </c>
      <c r="AD1317" s="9">
        <f t="shared" si="293"/>
        <v>0</v>
      </c>
      <c r="AE1317" s="9">
        <f t="shared" si="293"/>
        <v>0</v>
      </c>
    </row>
    <row r="1318" spans="2:31" x14ac:dyDescent="0.25">
      <c r="B1318" s="6">
        <v>0</v>
      </c>
      <c r="C1318" s="6">
        <v>0</v>
      </c>
      <c r="D1318" s="6">
        <v>0</v>
      </c>
      <c r="E1318" s="6">
        <v>0</v>
      </c>
      <c r="F1318" s="6">
        <v>0</v>
      </c>
      <c r="L1318">
        <f t="shared" si="283"/>
        <v>0</v>
      </c>
      <c r="M1318">
        <f t="shared" si="284"/>
        <v>0</v>
      </c>
      <c r="N1318">
        <f t="shared" si="285"/>
        <v>0</v>
      </c>
      <c r="O1318">
        <f t="shared" si="286"/>
        <v>0</v>
      </c>
      <c r="P1318">
        <f t="shared" si="287"/>
        <v>0</v>
      </c>
      <c r="Q1318">
        <f t="shared" si="288"/>
        <v>0</v>
      </c>
      <c r="R1318">
        <f t="shared" si="289"/>
        <v>0</v>
      </c>
      <c r="S1318">
        <f t="shared" si="290"/>
        <v>0</v>
      </c>
      <c r="T1318">
        <f t="shared" si="291"/>
        <v>0</v>
      </c>
      <c r="U1318">
        <f t="shared" si="292"/>
        <v>0</v>
      </c>
      <c r="V1318" s="9">
        <f t="shared" si="294"/>
        <v>0</v>
      </c>
      <c r="W1318" s="9">
        <f t="shared" si="294"/>
        <v>0</v>
      </c>
      <c r="X1318" s="9">
        <f t="shared" si="294"/>
        <v>0</v>
      </c>
      <c r="Y1318" s="9">
        <f t="shared" si="294"/>
        <v>0</v>
      </c>
      <c r="Z1318" s="9">
        <f t="shared" si="294"/>
        <v>0</v>
      </c>
      <c r="AA1318" s="9">
        <f t="shared" si="293"/>
        <v>0</v>
      </c>
      <c r="AB1318" s="9">
        <f t="shared" si="293"/>
        <v>0</v>
      </c>
      <c r="AC1318" s="9">
        <f t="shared" si="293"/>
        <v>0</v>
      </c>
      <c r="AD1318" s="9">
        <f t="shared" si="293"/>
        <v>0</v>
      </c>
      <c r="AE1318" s="9">
        <f t="shared" si="293"/>
        <v>0</v>
      </c>
    </row>
    <row r="1319" spans="2:31" x14ac:dyDescent="0.25">
      <c r="B1319" s="6">
        <v>0</v>
      </c>
      <c r="C1319" s="6">
        <v>0</v>
      </c>
      <c r="D1319" s="6">
        <v>0</v>
      </c>
      <c r="E1319" s="6">
        <v>0</v>
      </c>
      <c r="F1319" s="6">
        <v>0</v>
      </c>
      <c r="L1319">
        <f t="shared" si="283"/>
        <v>0</v>
      </c>
      <c r="M1319">
        <f t="shared" si="284"/>
        <v>0</v>
      </c>
      <c r="N1319">
        <f t="shared" si="285"/>
        <v>0</v>
      </c>
      <c r="O1319">
        <f t="shared" si="286"/>
        <v>0</v>
      </c>
      <c r="P1319">
        <f t="shared" si="287"/>
        <v>0</v>
      </c>
      <c r="Q1319">
        <f t="shared" si="288"/>
        <v>0</v>
      </c>
      <c r="R1319">
        <f t="shared" si="289"/>
        <v>0</v>
      </c>
      <c r="S1319">
        <f t="shared" si="290"/>
        <v>0</v>
      </c>
      <c r="T1319">
        <f t="shared" si="291"/>
        <v>0</v>
      </c>
      <c r="U1319">
        <f t="shared" si="292"/>
        <v>0</v>
      </c>
      <c r="V1319" s="9">
        <f t="shared" si="294"/>
        <v>0</v>
      </c>
      <c r="W1319" s="9">
        <f t="shared" si="294"/>
        <v>0</v>
      </c>
      <c r="X1319" s="9">
        <f t="shared" si="294"/>
        <v>0</v>
      </c>
      <c r="Y1319" s="9">
        <f t="shared" si="294"/>
        <v>0</v>
      </c>
      <c r="Z1319" s="9">
        <f t="shared" si="294"/>
        <v>0</v>
      </c>
      <c r="AA1319" s="9">
        <f t="shared" si="293"/>
        <v>0</v>
      </c>
      <c r="AB1319" s="9">
        <f t="shared" si="293"/>
        <v>0</v>
      </c>
      <c r="AC1319" s="9">
        <f t="shared" si="293"/>
        <v>0</v>
      </c>
      <c r="AD1319" s="9">
        <f t="shared" si="293"/>
        <v>0</v>
      </c>
      <c r="AE1319" s="9">
        <f t="shared" si="293"/>
        <v>0</v>
      </c>
    </row>
    <row r="1320" spans="2:31" x14ac:dyDescent="0.25">
      <c r="B1320" s="6">
        <v>0</v>
      </c>
      <c r="C1320" s="6">
        <v>0</v>
      </c>
      <c r="D1320" s="6">
        <v>0</v>
      </c>
      <c r="E1320" s="6">
        <v>0</v>
      </c>
      <c r="F1320" s="6">
        <v>0</v>
      </c>
      <c r="L1320">
        <f t="shared" si="283"/>
        <v>0</v>
      </c>
      <c r="M1320">
        <f t="shared" si="284"/>
        <v>0</v>
      </c>
      <c r="N1320">
        <f t="shared" si="285"/>
        <v>0</v>
      </c>
      <c r="O1320">
        <f t="shared" si="286"/>
        <v>0</v>
      </c>
      <c r="P1320">
        <f t="shared" si="287"/>
        <v>0</v>
      </c>
      <c r="Q1320">
        <f t="shared" si="288"/>
        <v>0</v>
      </c>
      <c r="R1320">
        <f t="shared" si="289"/>
        <v>0</v>
      </c>
      <c r="S1320">
        <f t="shared" si="290"/>
        <v>0</v>
      </c>
      <c r="T1320">
        <f t="shared" si="291"/>
        <v>0</v>
      </c>
      <c r="U1320">
        <f t="shared" si="292"/>
        <v>0</v>
      </c>
      <c r="V1320" s="9">
        <f t="shared" si="294"/>
        <v>0</v>
      </c>
      <c r="W1320" s="9">
        <f t="shared" si="294"/>
        <v>0</v>
      </c>
      <c r="X1320" s="9">
        <f t="shared" si="294"/>
        <v>0</v>
      </c>
      <c r="Y1320" s="9">
        <f t="shared" si="294"/>
        <v>0</v>
      </c>
      <c r="Z1320" s="9">
        <f t="shared" si="294"/>
        <v>0</v>
      </c>
      <c r="AA1320" s="9">
        <f t="shared" si="293"/>
        <v>0</v>
      </c>
      <c r="AB1320" s="9">
        <f t="shared" si="293"/>
        <v>0</v>
      </c>
      <c r="AC1320" s="9">
        <f t="shared" si="293"/>
        <v>0</v>
      </c>
      <c r="AD1320" s="9">
        <f t="shared" si="293"/>
        <v>0</v>
      </c>
      <c r="AE1320" s="9">
        <f t="shared" si="293"/>
        <v>0</v>
      </c>
    </row>
    <row r="1321" spans="2:31" x14ac:dyDescent="0.25">
      <c r="B1321" s="6">
        <v>0</v>
      </c>
      <c r="C1321" s="6">
        <v>0</v>
      </c>
      <c r="D1321" s="6">
        <v>0</v>
      </c>
      <c r="E1321" s="6">
        <v>0</v>
      </c>
      <c r="F1321" s="6">
        <v>0</v>
      </c>
      <c r="L1321">
        <f t="shared" si="283"/>
        <v>0</v>
      </c>
      <c r="M1321">
        <f t="shared" si="284"/>
        <v>0</v>
      </c>
      <c r="N1321">
        <f t="shared" si="285"/>
        <v>0</v>
      </c>
      <c r="O1321">
        <f t="shared" si="286"/>
        <v>0</v>
      </c>
      <c r="P1321">
        <f t="shared" si="287"/>
        <v>0</v>
      </c>
      <c r="Q1321">
        <f t="shared" si="288"/>
        <v>0</v>
      </c>
      <c r="R1321">
        <f t="shared" si="289"/>
        <v>0</v>
      </c>
      <c r="S1321">
        <f t="shared" si="290"/>
        <v>0</v>
      </c>
      <c r="T1321">
        <f t="shared" si="291"/>
        <v>0</v>
      </c>
      <c r="U1321">
        <f t="shared" si="292"/>
        <v>0</v>
      </c>
      <c r="V1321" s="9">
        <f t="shared" si="294"/>
        <v>0</v>
      </c>
      <c r="W1321" s="9">
        <f t="shared" si="294"/>
        <v>0</v>
      </c>
      <c r="X1321" s="9">
        <f t="shared" si="294"/>
        <v>0</v>
      </c>
      <c r="Y1321" s="9">
        <f t="shared" si="294"/>
        <v>0</v>
      </c>
      <c r="Z1321" s="9">
        <f t="shared" si="294"/>
        <v>0</v>
      </c>
      <c r="AA1321" s="9">
        <f t="shared" si="293"/>
        <v>0</v>
      </c>
      <c r="AB1321" s="9">
        <f t="shared" si="293"/>
        <v>0</v>
      </c>
      <c r="AC1321" s="9">
        <f t="shared" si="293"/>
        <v>0</v>
      </c>
      <c r="AD1321" s="9">
        <f t="shared" si="293"/>
        <v>0</v>
      </c>
      <c r="AE1321" s="9">
        <f t="shared" si="293"/>
        <v>0</v>
      </c>
    </row>
    <row r="1322" spans="2:31" x14ac:dyDescent="0.25">
      <c r="B1322" s="6">
        <v>0</v>
      </c>
      <c r="C1322" s="6">
        <v>0</v>
      </c>
      <c r="D1322" s="6">
        <v>0</v>
      </c>
      <c r="E1322" s="6">
        <v>0</v>
      </c>
      <c r="F1322" s="6">
        <v>0</v>
      </c>
      <c r="L1322">
        <f t="shared" si="283"/>
        <v>0</v>
      </c>
      <c r="M1322">
        <f t="shared" si="284"/>
        <v>0</v>
      </c>
      <c r="N1322">
        <f t="shared" si="285"/>
        <v>0</v>
      </c>
      <c r="O1322">
        <f t="shared" si="286"/>
        <v>0</v>
      </c>
      <c r="P1322">
        <f t="shared" si="287"/>
        <v>0</v>
      </c>
      <c r="Q1322">
        <f t="shared" si="288"/>
        <v>0</v>
      </c>
      <c r="R1322">
        <f t="shared" si="289"/>
        <v>0</v>
      </c>
      <c r="S1322">
        <f t="shared" si="290"/>
        <v>0</v>
      </c>
      <c r="T1322">
        <f t="shared" si="291"/>
        <v>0</v>
      </c>
      <c r="U1322">
        <f t="shared" si="292"/>
        <v>0</v>
      </c>
      <c r="V1322" s="9">
        <f t="shared" si="294"/>
        <v>0</v>
      </c>
      <c r="W1322" s="9">
        <f t="shared" si="294"/>
        <v>0</v>
      </c>
      <c r="X1322" s="9">
        <f t="shared" si="294"/>
        <v>0</v>
      </c>
      <c r="Y1322" s="9">
        <f t="shared" si="294"/>
        <v>0</v>
      </c>
      <c r="Z1322" s="9">
        <f t="shared" si="294"/>
        <v>0</v>
      </c>
      <c r="AA1322" s="9">
        <f t="shared" si="293"/>
        <v>0</v>
      </c>
      <c r="AB1322" s="9">
        <f t="shared" si="293"/>
        <v>0</v>
      </c>
      <c r="AC1322" s="9">
        <f t="shared" si="293"/>
        <v>0</v>
      </c>
      <c r="AD1322" s="9">
        <f t="shared" si="293"/>
        <v>0</v>
      </c>
      <c r="AE1322" s="9">
        <f t="shared" si="293"/>
        <v>0</v>
      </c>
    </row>
    <row r="1323" spans="2:31" x14ac:dyDescent="0.25">
      <c r="B1323" s="6">
        <v>0</v>
      </c>
      <c r="C1323" s="6">
        <v>0</v>
      </c>
      <c r="D1323" s="6">
        <v>0</v>
      </c>
      <c r="E1323" s="6">
        <v>0</v>
      </c>
      <c r="F1323" s="6">
        <v>0</v>
      </c>
      <c r="L1323">
        <f t="shared" si="283"/>
        <v>0</v>
      </c>
      <c r="M1323">
        <f t="shared" si="284"/>
        <v>0</v>
      </c>
      <c r="N1323">
        <f t="shared" si="285"/>
        <v>0</v>
      </c>
      <c r="O1323">
        <f t="shared" si="286"/>
        <v>0</v>
      </c>
      <c r="P1323">
        <f t="shared" si="287"/>
        <v>0</v>
      </c>
      <c r="Q1323">
        <f t="shared" si="288"/>
        <v>0</v>
      </c>
      <c r="R1323">
        <f t="shared" si="289"/>
        <v>0</v>
      </c>
      <c r="S1323">
        <f t="shared" si="290"/>
        <v>0</v>
      </c>
      <c r="T1323">
        <f t="shared" si="291"/>
        <v>0</v>
      </c>
      <c r="U1323">
        <f t="shared" si="292"/>
        <v>0</v>
      </c>
      <c r="V1323" s="9">
        <f t="shared" si="294"/>
        <v>0</v>
      </c>
      <c r="W1323" s="9">
        <f t="shared" si="294"/>
        <v>0</v>
      </c>
      <c r="X1323" s="9">
        <f t="shared" si="294"/>
        <v>0</v>
      </c>
      <c r="Y1323" s="9">
        <f t="shared" si="294"/>
        <v>0</v>
      </c>
      <c r="Z1323" s="9">
        <f t="shared" si="294"/>
        <v>0</v>
      </c>
      <c r="AA1323" s="9">
        <f t="shared" si="293"/>
        <v>0</v>
      </c>
      <c r="AB1323" s="9">
        <f t="shared" si="293"/>
        <v>0</v>
      </c>
      <c r="AC1323" s="9">
        <f t="shared" si="293"/>
        <v>0</v>
      </c>
      <c r="AD1323" s="9">
        <f t="shared" si="293"/>
        <v>0</v>
      </c>
      <c r="AE1323" s="9">
        <f t="shared" si="293"/>
        <v>0</v>
      </c>
    </row>
    <row r="1324" spans="2:31" x14ac:dyDescent="0.25">
      <c r="B1324" s="6">
        <v>0</v>
      </c>
      <c r="C1324" s="6">
        <v>0</v>
      </c>
      <c r="D1324" s="6">
        <v>0</v>
      </c>
      <c r="E1324" s="6">
        <v>0</v>
      </c>
      <c r="F1324" s="6">
        <v>0</v>
      </c>
      <c r="L1324">
        <f t="shared" si="283"/>
        <v>0</v>
      </c>
      <c r="M1324">
        <f t="shared" si="284"/>
        <v>0</v>
      </c>
      <c r="N1324">
        <f t="shared" si="285"/>
        <v>0</v>
      </c>
      <c r="O1324">
        <f t="shared" si="286"/>
        <v>0</v>
      </c>
      <c r="P1324">
        <f t="shared" si="287"/>
        <v>0</v>
      </c>
      <c r="Q1324">
        <f t="shared" si="288"/>
        <v>0</v>
      </c>
      <c r="R1324">
        <f t="shared" si="289"/>
        <v>0</v>
      </c>
      <c r="S1324">
        <f t="shared" si="290"/>
        <v>0</v>
      </c>
      <c r="T1324">
        <f t="shared" si="291"/>
        <v>0</v>
      </c>
      <c r="U1324">
        <f t="shared" si="292"/>
        <v>0</v>
      </c>
      <c r="V1324" s="9">
        <f t="shared" si="294"/>
        <v>0</v>
      </c>
      <c r="W1324" s="9">
        <f t="shared" si="294"/>
        <v>0</v>
      </c>
      <c r="X1324" s="9">
        <f t="shared" si="294"/>
        <v>0</v>
      </c>
      <c r="Y1324" s="9">
        <f t="shared" si="294"/>
        <v>0</v>
      </c>
      <c r="Z1324" s="9">
        <f t="shared" si="294"/>
        <v>0</v>
      </c>
      <c r="AA1324" s="9">
        <f t="shared" si="293"/>
        <v>0</v>
      </c>
      <c r="AB1324" s="9">
        <f t="shared" si="293"/>
        <v>0</v>
      </c>
      <c r="AC1324" s="9">
        <f t="shared" si="293"/>
        <v>0</v>
      </c>
      <c r="AD1324" s="9">
        <f t="shared" si="293"/>
        <v>0</v>
      </c>
      <c r="AE1324" s="9">
        <f t="shared" si="293"/>
        <v>0</v>
      </c>
    </row>
    <row r="1325" spans="2:31" x14ac:dyDescent="0.25">
      <c r="B1325" s="6">
        <v>0</v>
      </c>
      <c r="C1325" s="6">
        <v>0</v>
      </c>
      <c r="D1325" s="6">
        <v>0</v>
      </c>
      <c r="E1325" s="6">
        <v>0</v>
      </c>
      <c r="F1325" s="6">
        <v>0</v>
      </c>
      <c r="L1325">
        <f t="shared" si="283"/>
        <v>0</v>
      </c>
      <c r="M1325">
        <f t="shared" si="284"/>
        <v>0</v>
      </c>
      <c r="N1325">
        <f t="shared" si="285"/>
        <v>0</v>
      </c>
      <c r="O1325">
        <f t="shared" si="286"/>
        <v>0</v>
      </c>
      <c r="P1325">
        <f t="shared" si="287"/>
        <v>0</v>
      </c>
      <c r="Q1325">
        <f t="shared" si="288"/>
        <v>0</v>
      </c>
      <c r="R1325">
        <f t="shared" si="289"/>
        <v>0</v>
      </c>
      <c r="S1325">
        <f t="shared" si="290"/>
        <v>0</v>
      </c>
      <c r="T1325">
        <f t="shared" si="291"/>
        <v>0</v>
      </c>
      <c r="U1325">
        <f t="shared" si="292"/>
        <v>0</v>
      </c>
      <c r="V1325" s="9">
        <f t="shared" si="294"/>
        <v>0</v>
      </c>
      <c r="W1325" s="9">
        <f t="shared" si="294"/>
        <v>0</v>
      </c>
      <c r="X1325" s="9">
        <f t="shared" si="294"/>
        <v>0</v>
      </c>
      <c r="Y1325" s="9">
        <f t="shared" si="294"/>
        <v>0</v>
      </c>
      <c r="Z1325" s="9">
        <f t="shared" si="294"/>
        <v>0</v>
      </c>
      <c r="AA1325" s="9">
        <f t="shared" si="293"/>
        <v>0</v>
      </c>
      <c r="AB1325" s="9">
        <f t="shared" si="293"/>
        <v>0</v>
      </c>
      <c r="AC1325" s="9">
        <f t="shared" si="293"/>
        <v>0</v>
      </c>
      <c r="AD1325" s="9">
        <f t="shared" si="293"/>
        <v>0</v>
      </c>
      <c r="AE1325" s="9">
        <f t="shared" si="293"/>
        <v>0</v>
      </c>
    </row>
    <row r="1326" spans="2:31" x14ac:dyDescent="0.25">
      <c r="B1326" s="6">
        <v>0</v>
      </c>
      <c r="C1326" s="6">
        <v>0</v>
      </c>
      <c r="D1326" s="6">
        <v>0</v>
      </c>
      <c r="E1326" s="6">
        <v>0</v>
      </c>
      <c r="F1326" s="6">
        <v>0</v>
      </c>
      <c r="L1326">
        <f t="shared" si="283"/>
        <v>0</v>
      </c>
      <c r="M1326">
        <f t="shared" si="284"/>
        <v>0</v>
      </c>
      <c r="N1326">
        <f t="shared" si="285"/>
        <v>0</v>
      </c>
      <c r="O1326">
        <f t="shared" si="286"/>
        <v>0</v>
      </c>
      <c r="P1326">
        <f t="shared" si="287"/>
        <v>0</v>
      </c>
      <c r="Q1326">
        <f t="shared" si="288"/>
        <v>0</v>
      </c>
      <c r="R1326">
        <f t="shared" si="289"/>
        <v>0</v>
      </c>
      <c r="S1326">
        <f t="shared" si="290"/>
        <v>0</v>
      </c>
      <c r="T1326">
        <f t="shared" si="291"/>
        <v>0</v>
      </c>
      <c r="U1326">
        <f t="shared" si="292"/>
        <v>0</v>
      </c>
      <c r="V1326" s="9">
        <f t="shared" si="294"/>
        <v>0</v>
      </c>
      <c r="W1326" s="9">
        <f t="shared" si="294"/>
        <v>0</v>
      </c>
      <c r="X1326" s="9">
        <f t="shared" si="294"/>
        <v>0</v>
      </c>
      <c r="Y1326" s="9">
        <f t="shared" si="294"/>
        <v>0</v>
      </c>
      <c r="Z1326" s="9">
        <f t="shared" si="294"/>
        <v>0</v>
      </c>
      <c r="AA1326" s="9">
        <f t="shared" si="293"/>
        <v>0</v>
      </c>
      <c r="AB1326" s="9">
        <f t="shared" si="293"/>
        <v>0</v>
      </c>
      <c r="AC1326" s="9">
        <f t="shared" si="293"/>
        <v>0</v>
      </c>
      <c r="AD1326" s="9">
        <f t="shared" si="293"/>
        <v>0</v>
      </c>
      <c r="AE1326" s="9">
        <f t="shared" si="293"/>
        <v>0</v>
      </c>
    </row>
    <row r="1327" spans="2:31" x14ac:dyDescent="0.25">
      <c r="B1327" s="6">
        <v>0</v>
      </c>
      <c r="C1327" s="6">
        <v>0</v>
      </c>
      <c r="D1327" s="6">
        <v>0</v>
      </c>
      <c r="E1327" s="6">
        <v>0</v>
      </c>
      <c r="F1327" s="6">
        <v>0</v>
      </c>
      <c r="L1327">
        <f t="shared" si="283"/>
        <v>0</v>
      </c>
      <c r="M1327">
        <f t="shared" si="284"/>
        <v>0</v>
      </c>
      <c r="N1327">
        <f t="shared" si="285"/>
        <v>0</v>
      </c>
      <c r="O1327">
        <f t="shared" si="286"/>
        <v>0</v>
      </c>
      <c r="P1327">
        <f t="shared" si="287"/>
        <v>0</v>
      </c>
      <c r="Q1327">
        <f t="shared" si="288"/>
        <v>0</v>
      </c>
      <c r="R1327">
        <f t="shared" si="289"/>
        <v>0</v>
      </c>
      <c r="S1327">
        <f t="shared" si="290"/>
        <v>0</v>
      </c>
      <c r="T1327">
        <f t="shared" si="291"/>
        <v>0</v>
      </c>
      <c r="U1327">
        <f t="shared" si="292"/>
        <v>0</v>
      </c>
      <c r="V1327" s="9">
        <f t="shared" si="294"/>
        <v>0</v>
      </c>
      <c r="W1327" s="9">
        <f t="shared" si="294"/>
        <v>0</v>
      </c>
      <c r="X1327" s="9">
        <f t="shared" si="294"/>
        <v>0</v>
      </c>
      <c r="Y1327" s="9">
        <f t="shared" si="294"/>
        <v>0</v>
      </c>
      <c r="Z1327" s="9">
        <f t="shared" si="294"/>
        <v>0</v>
      </c>
      <c r="AA1327" s="9">
        <f t="shared" si="293"/>
        <v>0</v>
      </c>
      <c r="AB1327" s="9">
        <f t="shared" si="293"/>
        <v>0</v>
      </c>
      <c r="AC1327" s="9">
        <f t="shared" si="293"/>
        <v>0</v>
      </c>
      <c r="AD1327" s="9">
        <f t="shared" si="293"/>
        <v>0</v>
      </c>
      <c r="AE1327" s="9">
        <f t="shared" si="293"/>
        <v>0</v>
      </c>
    </row>
    <row r="1328" spans="2:31" x14ac:dyDescent="0.25">
      <c r="B1328" s="6">
        <v>0</v>
      </c>
      <c r="C1328" s="6">
        <v>0</v>
      </c>
      <c r="D1328" s="6">
        <v>0</v>
      </c>
      <c r="E1328" s="6">
        <v>0</v>
      </c>
      <c r="F1328" s="6">
        <v>0</v>
      </c>
      <c r="L1328">
        <f t="shared" si="283"/>
        <v>0</v>
      </c>
      <c r="M1328">
        <f t="shared" si="284"/>
        <v>0</v>
      </c>
      <c r="N1328">
        <f t="shared" si="285"/>
        <v>0</v>
      </c>
      <c r="O1328">
        <f t="shared" si="286"/>
        <v>0</v>
      </c>
      <c r="P1328">
        <f t="shared" si="287"/>
        <v>0</v>
      </c>
      <c r="Q1328">
        <f t="shared" si="288"/>
        <v>0</v>
      </c>
      <c r="R1328">
        <f t="shared" si="289"/>
        <v>0</v>
      </c>
      <c r="S1328">
        <f t="shared" si="290"/>
        <v>0</v>
      </c>
      <c r="T1328">
        <f t="shared" si="291"/>
        <v>0</v>
      </c>
      <c r="U1328">
        <f t="shared" si="292"/>
        <v>0</v>
      </c>
      <c r="V1328" s="9">
        <f t="shared" si="294"/>
        <v>0</v>
      </c>
      <c r="W1328" s="9">
        <f t="shared" si="294"/>
        <v>0</v>
      </c>
      <c r="X1328" s="9">
        <f t="shared" si="294"/>
        <v>0</v>
      </c>
      <c r="Y1328" s="9">
        <f t="shared" si="294"/>
        <v>0</v>
      </c>
      <c r="Z1328" s="9">
        <f t="shared" si="294"/>
        <v>0</v>
      </c>
      <c r="AA1328" s="9">
        <f t="shared" si="293"/>
        <v>0</v>
      </c>
      <c r="AB1328" s="9">
        <f t="shared" si="293"/>
        <v>0</v>
      </c>
      <c r="AC1328" s="9">
        <f t="shared" si="293"/>
        <v>0</v>
      </c>
      <c r="AD1328" s="9">
        <f t="shared" si="293"/>
        <v>0</v>
      </c>
      <c r="AE1328" s="9">
        <f t="shared" si="293"/>
        <v>0</v>
      </c>
    </row>
    <row r="1329" spans="2:31" x14ac:dyDescent="0.25">
      <c r="B1329" s="6">
        <v>0</v>
      </c>
      <c r="C1329" s="6">
        <v>0</v>
      </c>
      <c r="D1329" s="6">
        <v>0</v>
      </c>
      <c r="E1329" s="6">
        <v>0</v>
      </c>
      <c r="F1329" s="6">
        <v>0</v>
      </c>
      <c r="L1329">
        <f t="shared" si="283"/>
        <v>0</v>
      </c>
      <c r="M1329">
        <f t="shared" si="284"/>
        <v>0</v>
      </c>
      <c r="N1329">
        <f t="shared" si="285"/>
        <v>0</v>
      </c>
      <c r="O1329">
        <f t="shared" si="286"/>
        <v>0</v>
      </c>
      <c r="P1329">
        <f t="shared" si="287"/>
        <v>0</v>
      </c>
      <c r="Q1329">
        <f t="shared" si="288"/>
        <v>0</v>
      </c>
      <c r="R1329">
        <f t="shared" si="289"/>
        <v>0</v>
      </c>
      <c r="S1329">
        <f t="shared" si="290"/>
        <v>0</v>
      </c>
      <c r="T1329">
        <f t="shared" si="291"/>
        <v>0</v>
      </c>
      <c r="U1329">
        <f t="shared" si="292"/>
        <v>0</v>
      </c>
      <c r="V1329" s="9">
        <f t="shared" si="294"/>
        <v>0</v>
      </c>
      <c r="W1329" s="9">
        <f t="shared" si="294"/>
        <v>0</v>
      </c>
      <c r="X1329" s="9">
        <f t="shared" si="294"/>
        <v>0</v>
      </c>
      <c r="Y1329" s="9">
        <f t="shared" si="294"/>
        <v>0</v>
      </c>
      <c r="Z1329" s="9">
        <f t="shared" si="294"/>
        <v>0</v>
      </c>
      <c r="AA1329" s="9">
        <f t="shared" si="293"/>
        <v>0</v>
      </c>
      <c r="AB1329" s="9">
        <f t="shared" si="293"/>
        <v>0</v>
      </c>
      <c r="AC1329" s="9">
        <f t="shared" si="293"/>
        <v>0</v>
      </c>
      <c r="AD1329" s="9">
        <f t="shared" si="293"/>
        <v>0</v>
      </c>
      <c r="AE1329" s="9">
        <f t="shared" si="293"/>
        <v>0</v>
      </c>
    </row>
    <row r="1330" spans="2:31" x14ac:dyDescent="0.25">
      <c r="B1330" s="6">
        <v>0</v>
      </c>
      <c r="C1330" s="6">
        <v>0</v>
      </c>
      <c r="D1330" s="6">
        <v>0</v>
      </c>
      <c r="E1330" s="6">
        <v>0</v>
      </c>
      <c r="F1330" s="6">
        <v>0</v>
      </c>
      <c r="L1330">
        <f t="shared" si="283"/>
        <v>0</v>
      </c>
      <c r="M1330">
        <f t="shared" si="284"/>
        <v>0</v>
      </c>
      <c r="N1330">
        <f t="shared" si="285"/>
        <v>0</v>
      </c>
      <c r="O1330">
        <f t="shared" si="286"/>
        <v>0</v>
      </c>
      <c r="P1330">
        <f t="shared" si="287"/>
        <v>0</v>
      </c>
      <c r="Q1330">
        <f t="shared" si="288"/>
        <v>0</v>
      </c>
      <c r="R1330">
        <f t="shared" si="289"/>
        <v>0</v>
      </c>
      <c r="S1330">
        <f t="shared" si="290"/>
        <v>0</v>
      </c>
      <c r="T1330">
        <f t="shared" si="291"/>
        <v>0</v>
      </c>
      <c r="U1330">
        <f t="shared" si="292"/>
        <v>0</v>
      </c>
      <c r="V1330" s="9">
        <f t="shared" si="294"/>
        <v>0</v>
      </c>
      <c r="W1330" s="9">
        <f t="shared" si="294"/>
        <v>0</v>
      </c>
      <c r="X1330" s="9">
        <f t="shared" si="294"/>
        <v>0</v>
      </c>
      <c r="Y1330" s="9">
        <f t="shared" si="294"/>
        <v>0</v>
      </c>
      <c r="Z1330" s="9">
        <f t="shared" si="294"/>
        <v>0</v>
      </c>
      <c r="AA1330" s="9">
        <f t="shared" si="293"/>
        <v>0</v>
      </c>
      <c r="AB1330" s="9">
        <f t="shared" si="293"/>
        <v>0</v>
      </c>
      <c r="AC1330" s="9">
        <f t="shared" si="293"/>
        <v>0</v>
      </c>
      <c r="AD1330" s="9">
        <f t="shared" si="293"/>
        <v>0</v>
      </c>
      <c r="AE1330" s="9">
        <f t="shared" si="293"/>
        <v>0</v>
      </c>
    </row>
    <row r="1331" spans="2:31" x14ac:dyDescent="0.25">
      <c r="B1331" s="6">
        <v>0</v>
      </c>
      <c r="C1331" s="6">
        <v>0</v>
      </c>
      <c r="D1331" s="6">
        <v>0</v>
      </c>
      <c r="E1331" s="6">
        <v>0</v>
      </c>
      <c r="F1331" s="6">
        <v>0</v>
      </c>
      <c r="L1331">
        <f t="shared" si="283"/>
        <v>0</v>
      </c>
      <c r="M1331">
        <f t="shared" si="284"/>
        <v>0</v>
      </c>
      <c r="N1331">
        <f t="shared" si="285"/>
        <v>0</v>
      </c>
      <c r="O1331">
        <f t="shared" si="286"/>
        <v>0</v>
      </c>
      <c r="P1331">
        <f t="shared" si="287"/>
        <v>0</v>
      </c>
      <c r="Q1331">
        <f t="shared" si="288"/>
        <v>0</v>
      </c>
      <c r="R1331">
        <f t="shared" si="289"/>
        <v>0</v>
      </c>
      <c r="S1331">
        <f t="shared" si="290"/>
        <v>0</v>
      </c>
      <c r="T1331">
        <f t="shared" si="291"/>
        <v>0</v>
      </c>
      <c r="U1331">
        <f t="shared" si="292"/>
        <v>0</v>
      </c>
      <c r="V1331" s="9">
        <f t="shared" si="294"/>
        <v>0</v>
      </c>
      <c r="W1331" s="9">
        <f t="shared" si="294"/>
        <v>0</v>
      </c>
      <c r="X1331" s="9">
        <f t="shared" si="294"/>
        <v>0</v>
      </c>
      <c r="Y1331" s="9">
        <f t="shared" si="294"/>
        <v>0</v>
      </c>
      <c r="Z1331" s="9">
        <f t="shared" si="294"/>
        <v>0</v>
      </c>
      <c r="AA1331" s="9">
        <f t="shared" si="293"/>
        <v>0</v>
      </c>
      <c r="AB1331" s="9">
        <f t="shared" si="293"/>
        <v>0</v>
      </c>
      <c r="AC1331" s="9">
        <f t="shared" si="293"/>
        <v>0</v>
      </c>
      <c r="AD1331" s="9">
        <f t="shared" si="293"/>
        <v>0</v>
      </c>
      <c r="AE1331" s="9">
        <f t="shared" si="293"/>
        <v>0</v>
      </c>
    </row>
    <row r="1332" spans="2:31" x14ac:dyDescent="0.25">
      <c r="B1332" s="6">
        <v>0</v>
      </c>
      <c r="C1332" s="6">
        <v>0</v>
      </c>
      <c r="D1332" s="6">
        <v>0</v>
      </c>
      <c r="E1332" s="6">
        <v>0</v>
      </c>
      <c r="F1332" s="6">
        <v>0</v>
      </c>
      <c r="L1332">
        <f t="shared" si="283"/>
        <v>0</v>
      </c>
      <c r="M1332">
        <f t="shared" si="284"/>
        <v>0</v>
      </c>
      <c r="N1332">
        <f t="shared" si="285"/>
        <v>0</v>
      </c>
      <c r="O1332">
        <f t="shared" si="286"/>
        <v>0</v>
      </c>
      <c r="P1332">
        <f t="shared" si="287"/>
        <v>0</v>
      </c>
      <c r="Q1332">
        <f t="shared" si="288"/>
        <v>0</v>
      </c>
      <c r="R1332">
        <f t="shared" si="289"/>
        <v>0</v>
      </c>
      <c r="S1332">
        <f t="shared" si="290"/>
        <v>0</v>
      </c>
      <c r="T1332">
        <f t="shared" si="291"/>
        <v>0</v>
      </c>
      <c r="U1332">
        <f t="shared" si="292"/>
        <v>0</v>
      </c>
      <c r="V1332" s="9">
        <f t="shared" si="294"/>
        <v>0</v>
      </c>
      <c r="W1332" s="9">
        <f t="shared" si="294"/>
        <v>0</v>
      </c>
      <c r="X1332" s="9">
        <f t="shared" si="294"/>
        <v>0</v>
      </c>
      <c r="Y1332" s="9">
        <f t="shared" si="294"/>
        <v>0</v>
      </c>
      <c r="Z1332" s="9">
        <f t="shared" si="294"/>
        <v>0</v>
      </c>
      <c r="AA1332" s="9">
        <f t="shared" ref="AA1332:AE1345" si="295">IF(Q1332&gt;=0,Q1332,-Q1332)</f>
        <v>0</v>
      </c>
      <c r="AB1332" s="9">
        <f t="shared" si="295"/>
        <v>0</v>
      </c>
      <c r="AC1332" s="9">
        <f t="shared" si="295"/>
        <v>0</v>
      </c>
      <c r="AD1332" s="9">
        <f t="shared" si="295"/>
        <v>0</v>
      </c>
      <c r="AE1332" s="9">
        <f t="shared" si="295"/>
        <v>0</v>
      </c>
    </row>
    <row r="1333" spans="2:31" x14ac:dyDescent="0.25">
      <c r="B1333" s="6">
        <v>0</v>
      </c>
      <c r="C1333" s="6">
        <v>0</v>
      </c>
      <c r="D1333" s="6">
        <v>0</v>
      </c>
      <c r="E1333" s="6">
        <v>0</v>
      </c>
      <c r="F1333" s="6">
        <v>0</v>
      </c>
      <c r="L1333">
        <f t="shared" si="283"/>
        <v>0</v>
      </c>
      <c r="M1333">
        <f t="shared" si="284"/>
        <v>0</v>
      </c>
      <c r="N1333">
        <f t="shared" si="285"/>
        <v>0</v>
      </c>
      <c r="O1333">
        <f t="shared" si="286"/>
        <v>0</v>
      </c>
      <c r="P1333">
        <f t="shared" si="287"/>
        <v>0</v>
      </c>
      <c r="Q1333">
        <f t="shared" si="288"/>
        <v>0</v>
      </c>
      <c r="R1333">
        <f t="shared" si="289"/>
        <v>0</v>
      </c>
      <c r="S1333">
        <f t="shared" si="290"/>
        <v>0</v>
      </c>
      <c r="T1333">
        <f t="shared" si="291"/>
        <v>0</v>
      </c>
      <c r="U1333">
        <f t="shared" si="292"/>
        <v>0</v>
      </c>
      <c r="V1333" s="9">
        <f t="shared" ref="V1333:Z1345" si="296">IF(L1333&gt;=0,L1333,-L1333)</f>
        <v>0</v>
      </c>
      <c r="W1333" s="9">
        <f t="shared" si="296"/>
        <v>0</v>
      </c>
      <c r="X1333" s="9">
        <f t="shared" si="296"/>
        <v>0</v>
      </c>
      <c r="Y1333" s="9">
        <f t="shared" si="296"/>
        <v>0</v>
      </c>
      <c r="Z1333" s="9">
        <f t="shared" si="296"/>
        <v>0</v>
      </c>
      <c r="AA1333" s="9">
        <f t="shared" si="295"/>
        <v>0</v>
      </c>
      <c r="AB1333" s="9">
        <f t="shared" si="295"/>
        <v>0</v>
      </c>
      <c r="AC1333" s="9">
        <f t="shared" si="295"/>
        <v>0</v>
      </c>
      <c r="AD1333" s="9">
        <f t="shared" si="295"/>
        <v>0</v>
      </c>
      <c r="AE1333" s="9">
        <f t="shared" si="295"/>
        <v>0</v>
      </c>
    </row>
    <row r="1334" spans="2:31" x14ac:dyDescent="0.25">
      <c r="B1334" s="6">
        <v>0</v>
      </c>
      <c r="C1334" s="6">
        <v>0</v>
      </c>
      <c r="D1334" s="6">
        <v>0</v>
      </c>
      <c r="E1334" s="6">
        <v>0</v>
      </c>
      <c r="F1334" s="6">
        <v>0</v>
      </c>
      <c r="L1334">
        <f t="shared" si="283"/>
        <v>0</v>
      </c>
      <c r="M1334">
        <f t="shared" si="284"/>
        <v>0</v>
      </c>
      <c r="N1334">
        <f t="shared" si="285"/>
        <v>0</v>
      </c>
      <c r="O1334">
        <f t="shared" si="286"/>
        <v>0</v>
      </c>
      <c r="P1334">
        <f t="shared" si="287"/>
        <v>0</v>
      </c>
      <c r="Q1334">
        <f t="shared" si="288"/>
        <v>0</v>
      </c>
      <c r="R1334">
        <f t="shared" si="289"/>
        <v>0</v>
      </c>
      <c r="S1334">
        <f t="shared" si="290"/>
        <v>0</v>
      </c>
      <c r="T1334">
        <f t="shared" si="291"/>
        <v>0</v>
      </c>
      <c r="U1334">
        <f t="shared" si="292"/>
        <v>0</v>
      </c>
      <c r="V1334" s="9">
        <f t="shared" si="296"/>
        <v>0</v>
      </c>
      <c r="W1334" s="9">
        <f t="shared" si="296"/>
        <v>0</v>
      </c>
      <c r="X1334" s="9">
        <f t="shared" si="296"/>
        <v>0</v>
      </c>
      <c r="Y1334" s="9">
        <f t="shared" si="296"/>
        <v>0</v>
      </c>
      <c r="Z1334" s="9">
        <f t="shared" si="296"/>
        <v>0</v>
      </c>
      <c r="AA1334" s="9">
        <f t="shared" si="295"/>
        <v>0</v>
      </c>
      <c r="AB1334" s="9">
        <f t="shared" si="295"/>
        <v>0</v>
      </c>
      <c r="AC1334" s="9">
        <f t="shared" si="295"/>
        <v>0</v>
      </c>
      <c r="AD1334" s="9">
        <f t="shared" si="295"/>
        <v>0</v>
      </c>
      <c r="AE1334" s="9">
        <f t="shared" si="295"/>
        <v>0</v>
      </c>
    </row>
    <row r="1335" spans="2:31" x14ac:dyDescent="0.25">
      <c r="B1335" s="6">
        <v>0</v>
      </c>
      <c r="C1335" s="6">
        <v>0</v>
      </c>
      <c r="D1335" s="6">
        <v>0</v>
      </c>
      <c r="E1335" s="6">
        <v>0</v>
      </c>
      <c r="F1335" s="6">
        <v>0</v>
      </c>
      <c r="L1335">
        <f t="shared" si="283"/>
        <v>0</v>
      </c>
      <c r="M1335">
        <f t="shared" si="284"/>
        <v>0</v>
      </c>
      <c r="N1335">
        <f t="shared" si="285"/>
        <v>0</v>
      </c>
      <c r="O1335">
        <f t="shared" si="286"/>
        <v>0</v>
      </c>
      <c r="P1335">
        <f t="shared" si="287"/>
        <v>0</v>
      </c>
      <c r="Q1335">
        <f t="shared" si="288"/>
        <v>0</v>
      </c>
      <c r="R1335">
        <f t="shared" si="289"/>
        <v>0</v>
      </c>
      <c r="S1335">
        <f t="shared" si="290"/>
        <v>0</v>
      </c>
      <c r="T1335">
        <f t="shared" si="291"/>
        <v>0</v>
      </c>
      <c r="U1335">
        <f t="shared" si="292"/>
        <v>0</v>
      </c>
      <c r="V1335" s="9">
        <f t="shared" si="296"/>
        <v>0</v>
      </c>
      <c r="W1335" s="9">
        <f t="shared" si="296"/>
        <v>0</v>
      </c>
      <c r="X1335" s="9">
        <f t="shared" si="296"/>
        <v>0</v>
      </c>
      <c r="Y1335" s="9">
        <f t="shared" si="296"/>
        <v>0</v>
      </c>
      <c r="Z1335" s="9">
        <f t="shared" si="296"/>
        <v>0</v>
      </c>
      <c r="AA1335" s="9">
        <f t="shared" si="295"/>
        <v>0</v>
      </c>
      <c r="AB1335" s="9">
        <f t="shared" si="295"/>
        <v>0</v>
      </c>
      <c r="AC1335" s="9">
        <f t="shared" si="295"/>
        <v>0</v>
      </c>
      <c r="AD1335" s="9">
        <f t="shared" si="295"/>
        <v>0</v>
      </c>
      <c r="AE1335" s="9">
        <f t="shared" si="295"/>
        <v>0</v>
      </c>
    </row>
    <row r="1336" spans="2:31" x14ac:dyDescent="0.25">
      <c r="B1336" s="6">
        <v>0</v>
      </c>
      <c r="C1336" s="6">
        <v>0</v>
      </c>
      <c r="D1336" s="6">
        <v>0</v>
      </c>
      <c r="E1336" s="6">
        <v>0</v>
      </c>
      <c r="F1336" s="6">
        <v>0</v>
      </c>
      <c r="L1336">
        <f t="shared" si="283"/>
        <v>0</v>
      </c>
      <c r="M1336">
        <f t="shared" si="284"/>
        <v>0</v>
      </c>
      <c r="N1336">
        <f t="shared" si="285"/>
        <v>0</v>
      </c>
      <c r="O1336">
        <f t="shared" si="286"/>
        <v>0</v>
      </c>
      <c r="P1336">
        <f t="shared" si="287"/>
        <v>0</v>
      </c>
      <c r="Q1336">
        <f t="shared" si="288"/>
        <v>0</v>
      </c>
      <c r="R1336">
        <f t="shared" si="289"/>
        <v>0</v>
      </c>
      <c r="S1336">
        <f t="shared" si="290"/>
        <v>0</v>
      </c>
      <c r="T1336">
        <f t="shared" si="291"/>
        <v>0</v>
      </c>
      <c r="U1336">
        <f t="shared" si="292"/>
        <v>0</v>
      </c>
      <c r="V1336" s="9">
        <f t="shared" si="296"/>
        <v>0</v>
      </c>
      <c r="W1336" s="9">
        <f t="shared" si="296"/>
        <v>0</v>
      </c>
      <c r="X1336" s="9">
        <f t="shared" si="296"/>
        <v>0</v>
      </c>
      <c r="Y1336" s="9">
        <f t="shared" si="296"/>
        <v>0</v>
      </c>
      <c r="Z1336" s="9">
        <f t="shared" si="296"/>
        <v>0</v>
      </c>
      <c r="AA1336" s="9">
        <f t="shared" si="295"/>
        <v>0</v>
      </c>
      <c r="AB1336" s="9">
        <f t="shared" si="295"/>
        <v>0</v>
      </c>
      <c r="AC1336" s="9">
        <f t="shared" si="295"/>
        <v>0</v>
      </c>
      <c r="AD1336" s="9">
        <f t="shared" si="295"/>
        <v>0</v>
      </c>
      <c r="AE1336" s="9">
        <f t="shared" si="295"/>
        <v>0</v>
      </c>
    </row>
    <row r="1337" spans="2:31" x14ac:dyDescent="0.25">
      <c r="B1337" s="6">
        <v>0</v>
      </c>
      <c r="C1337" s="6">
        <v>0</v>
      </c>
      <c r="D1337" s="6">
        <v>0</v>
      </c>
      <c r="E1337" s="6">
        <v>0</v>
      </c>
      <c r="F1337" s="6">
        <v>0</v>
      </c>
      <c r="L1337">
        <f t="shared" si="283"/>
        <v>0</v>
      </c>
      <c r="M1337">
        <f t="shared" si="284"/>
        <v>0</v>
      </c>
      <c r="N1337">
        <f t="shared" si="285"/>
        <v>0</v>
      </c>
      <c r="O1337">
        <f t="shared" si="286"/>
        <v>0</v>
      </c>
      <c r="P1337">
        <f t="shared" si="287"/>
        <v>0</v>
      </c>
      <c r="Q1337">
        <f t="shared" si="288"/>
        <v>0</v>
      </c>
      <c r="R1337">
        <f t="shared" si="289"/>
        <v>0</v>
      </c>
      <c r="S1337">
        <f t="shared" si="290"/>
        <v>0</v>
      </c>
      <c r="T1337">
        <f t="shared" si="291"/>
        <v>0</v>
      </c>
      <c r="U1337">
        <f t="shared" si="292"/>
        <v>0</v>
      </c>
      <c r="V1337" s="9">
        <f t="shared" si="296"/>
        <v>0</v>
      </c>
      <c r="W1337" s="9">
        <f t="shared" si="296"/>
        <v>0</v>
      </c>
      <c r="X1337" s="9">
        <f t="shared" si="296"/>
        <v>0</v>
      </c>
      <c r="Y1337" s="9">
        <f t="shared" si="296"/>
        <v>0</v>
      </c>
      <c r="Z1337" s="9">
        <f t="shared" si="296"/>
        <v>0</v>
      </c>
      <c r="AA1337" s="9">
        <f t="shared" si="295"/>
        <v>0</v>
      </c>
      <c r="AB1337" s="9">
        <f t="shared" si="295"/>
        <v>0</v>
      </c>
      <c r="AC1337" s="9">
        <f t="shared" si="295"/>
        <v>0</v>
      </c>
      <c r="AD1337" s="9">
        <f t="shared" si="295"/>
        <v>0</v>
      </c>
      <c r="AE1337" s="9">
        <f t="shared" si="295"/>
        <v>0</v>
      </c>
    </row>
    <row r="1338" spans="2:31" x14ac:dyDescent="0.25">
      <c r="B1338" s="6">
        <v>0</v>
      </c>
      <c r="C1338" s="6">
        <v>0</v>
      </c>
      <c r="D1338" s="6">
        <v>0</v>
      </c>
      <c r="E1338" s="6">
        <v>0</v>
      </c>
      <c r="F1338" s="6">
        <v>0</v>
      </c>
      <c r="L1338">
        <f t="shared" si="283"/>
        <v>0</v>
      </c>
      <c r="M1338">
        <f t="shared" si="284"/>
        <v>0</v>
      </c>
      <c r="N1338">
        <f t="shared" si="285"/>
        <v>0</v>
      </c>
      <c r="O1338">
        <f t="shared" si="286"/>
        <v>0</v>
      </c>
      <c r="P1338">
        <f t="shared" si="287"/>
        <v>0</v>
      </c>
      <c r="Q1338">
        <f t="shared" si="288"/>
        <v>0</v>
      </c>
      <c r="R1338">
        <f t="shared" si="289"/>
        <v>0</v>
      </c>
      <c r="S1338">
        <f t="shared" si="290"/>
        <v>0</v>
      </c>
      <c r="T1338">
        <f t="shared" si="291"/>
        <v>0</v>
      </c>
      <c r="U1338">
        <f t="shared" si="292"/>
        <v>0</v>
      </c>
      <c r="V1338" s="9">
        <f t="shared" si="296"/>
        <v>0</v>
      </c>
      <c r="W1338" s="9">
        <f t="shared" si="296"/>
        <v>0</v>
      </c>
      <c r="X1338" s="9">
        <f t="shared" si="296"/>
        <v>0</v>
      </c>
      <c r="Y1338" s="9">
        <f t="shared" si="296"/>
        <v>0</v>
      </c>
      <c r="Z1338" s="9">
        <f t="shared" si="296"/>
        <v>0</v>
      </c>
      <c r="AA1338" s="9">
        <f t="shared" si="295"/>
        <v>0</v>
      </c>
      <c r="AB1338" s="9">
        <f t="shared" si="295"/>
        <v>0</v>
      </c>
      <c r="AC1338" s="9">
        <f t="shared" si="295"/>
        <v>0</v>
      </c>
      <c r="AD1338" s="9">
        <f t="shared" si="295"/>
        <v>0</v>
      </c>
      <c r="AE1338" s="9">
        <f t="shared" si="295"/>
        <v>0</v>
      </c>
    </row>
    <row r="1339" spans="2:31" x14ac:dyDescent="0.25">
      <c r="B1339" s="6">
        <v>0</v>
      </c>
      <c r="C1339" s="6">
        <v>0</v>
      </c>
      <c r="D1339" s="6">
        <v>0</v>
      </c>
      <c r="E1339" s="6">
        <v>0</v>
      </c>
      <c r="F1339" s="6">
        <v>0</v>
      </c>
      <c r="L1339">
        <f t="shared" si="283"/>
        <v>0</v>
      </c>
      <c r="M1339">
        <f t="shared" si="284"/>
        <v>0</v>
      </c>
      <c r="N1339">
        <f t="shared" si="285"/>
        <v>0</v>
      </c>
      <c r="O1339">
        <f t="shared" si="286"/>
        <v>0</v>
      </c>
      <c r="P1339">
        <f t="shared" si="287"/>
        <v>0</v>
      </c>
      <c r="Q1339">
        <f t="shared" si="288"/>
        <v>0</v>
      </c>
      <c r="R1339">
        <f t="shared" si="289"/>
        <v>0</v>
      </c>
      <c r="S1339">
        <f t="shared" si="290"/>
        <v>0</v>
      </c>
      <c r="T1339">
        <f t="shared" si="291"/>
        <v>0</v>
      </c>
      <c r="U1339">
        <f t="shared" si="292"/>
        <v>0</v>
      </c>
      <c r="V1339" s="9">
        <f t="shared" si="296"/>
        <v>0</v>
      </c>
      <c r="W1339" s="9">
        <f t="shared" si="296"/>
        <v>0</v>
      </c>
      <c r="X1339" s="9">
        <f t="shared" si="296"/>
        <v>0</v>
      </c>
      <c r="Y1339" s="9">
        <f t="shared" si="296"/>
        <v>0</v>
      </c>
      <c r="Z1339" s="9">
        <f t="shared" si="296"/>
        <v>0</v>
      </c>
      <c r="AA1339" s="9">
        <f t="shared" si="295"/>
        <v>0</v>
      </c>
      <c r="AB1339" s="9">
        <f t="shared" si="295"/>
        <v>0</v>
      </c>
      <c r="AC1339" s="9">
        <f t="shared" si="295"/>
        <v>0</v>
      </c>
      <c r="AD1339" s="9">
        <f t="shared" si="295"/>
        <v>0</v>
      </c>
      <c r="AE1339" s="9">
        <f t="shared" si="295"/>
        <v>0</v>
      </c>
    </row>
    <row r="1340" spans="2:31" x14ac:dyDescent="0.25">
      <c r="B1340" s="6">
        <v>0</v>
      </c>
      <c r="C1340" s="6">
        <v>0</v>
      </c>
      <c r="D1340" s="6">
        <v>0</v>
      </c>
      <c r="E1340" s="6">
        <v>0</v>
      </c>
      <c r="F1340" s="6">
        <v>0</v>
      </c>
      <c r="L1340">
        <f t="shared" si="283"/>
        <v>0</v>
      </c>
      <c r="M1340">
        <f t="shared" si="284"/>
        <v>0</v>
      </c>
      <c r="N1340">
        <f t="shared" si="285"/>
        <v>0</v>
      </c>
      <c r="O1340">
        <f t="shared" si="286"/>
        <v>0</v>
      </c>
      <c r="P1340">
        <f t="shared" si="287"/>
        <v>0</v>
      </c>
      <c r="Q1340">
        <f t="shared" si="288"/>
        <v>0</v>
      </c>
      <c r="R1340">
        <f t="shared" si="289"/>
        <v>0</v>
      </c>
      <c r="S1340">
        <f t="shared" si="290"/>
        <v>0</v>
      </c>
      <c r="T1340">
        <f t="shared" si="291"/>
        <v>0</v>
      </c>
      <c r="U1340">
        <f t="shared" si="292"/>
        <v>0</v>
      </c>
      <c r="V1340" s="9">
        <f t="shared" si="296"/>
        <v>0</v>
      </c>
      <c r="W1340" s="9">
        <f t="shared" si="296"/>
        <v>0</v>
      </c>
      <c r="X1340" s="9">
        <f t="shared" si="296"/>
        <v>0</v>
      </c>
      <c r="Y1340" s="9">
        <f t="shared" si="296"/>
        <v>0</v>
      </c>
      <c r="Z1340" s="9">
        <f t="shared" si="296"/>
        <v>0</v>
      </c>
      <c r="AA1340" s="9">
        <f t="shared" si="295"/>
        <v>0</v>
      </c>
      <c r="AB1340" s="9">
        <f t="shared" si="295"/>
        <v>0</v>
      </c>
      <c r="AC1340" s="9">
        <f t="shared" si="295"/>
        <v>0</v>
      </c>
      <c r="AD1340" s="9">
        <f t="shared" si="295"/>
        <v>0</v>
      </c>
      <c r="AE1340" s="9">
        <f t="shared" si="295"/>
        <v>0</v>
      </c>
    </row>
    <row r="1341" spans="2:31" x14ac:dyDescent="0.25">
      <c r="B1341" s="6">
        <v>0</v>
      </c>
      <c r="C1341" s="6">
        <v>0</v>
      </c>
      <c r="D1341" s="6">
        <v>0</v>
      </c>
      <c r="E1341" s="6">
        <v>0</v>
      </c>
      <c r="F1341" s="6">
        <v>0</v>
      </c>
      <c r="L1341">
        <f t="shared" si="283"/>
        <v>0</v>
      </c>
      <c r="M1341">
        <f t="shared" si="284"/>
        <v>0</v>
      </c>
      <c r="N1341">
        <f t="shared" si="285"/>
        <v>0</v>
      </c>
      <c r="O1341">
        <f t="shared" si="286"/>
        <v>0</v>
      </c>
      <c r="P1341">
        <f t="shared" si="287"/>
        <v>0</v>
      </c>
      <c r="Q1341">
        <f t="shared" si="288"/>
        <v>0</v>
      </c>
      <c r="R1341">
        <f t="shared" si="289"/>
        <v>0</v>
      </c>
      <c r="S1341">
        <f t="shared" si="290"/>
        <v>0</v>
      </c>
      <c r="T1341">
        <f t="shared" si="291"/>
        <v>0</v>
      </c>
      <c r="U1341">
        <f t="shared" si="292"/>
        <v>0</v>
      </c>
      <c r="V1341" s="9">
        <f t="shared" si="296"/>
        <v>0</v>
      </c>
      <c r="W1341" s="9">
        <f t="shared" si="296"/>
        <v>0</v>
      </c>
      <c r="X1341" s="9">
        <f t="shared" si="296"/>
        <v>0</v>
      </c>
      <c r="Y1341" s="9">
        <f t="shared" si="296"/>
        <v>0</v>
      </c>
      <c r="Z1341" s="9">
        <f t="shared" si="296"/>
        <v>0</v>
      </c>
      <c r="AA1341" s="9">
        <f t="shared" si="295"/>
        <v>0</v>
      </c>
      <c r="AB1341" s="9">
        <f t="shared" si="295"/>
        <v>0</v>
      </c>
      <c r="AC1341" s="9">
        <f t="shared" si="295"/>
        <v>0</v>
      </c>
      <c r="AD1341" s="9">
        <f t="shared" si="295"/>
        <v>0</v>
      </c>
      <c r="AE1341" s="9">
        <f t="shared" si="295"/>
        <v>0</v>
      </c>
    </row>
    <row r="1342" spans="2:31" x14ac:dyDescent="0.25">
      <c r="B1342" s="6">
        <v>0</v>
      </c>
      <c r="C1342" s="6">
        <v>0</v>
      </c>
      <c r="D1342" s="6">
        <v>0</v>
      </c>
      <c r="E1342" s="6">
        <v>0</v>
      </c>
      <c r="F1342" s="6">
        <v>0</v>
      </c>
      <c r="L1342">
        <f t="shared" si="283"/>
        <v>0</v>
      </c>
      <c r="M1342">
        <f t="shared" si="284"/>
        <v>0</v>
      </c>
      <c r="N1342">
        <f t="shared" si="285"/>
        <v>0</v>
      </c>
      <c r="O1342">
        <f t="shared" si="286"/>
        <v>0</v>
      </c>
      <c r="P1342">
        <f t="shared" si="287"/>
        <v>0</v>
      </c>
      <c r="Q1342">
        <f t="shared" si="288"/>
        <v>0</v>
      </c>
      <c r="R1342">
        <f t="shared" si="289"/>
        <v>0</v>
      </c>
      <c r="S1342">
        <f t="shared" si="290"/>
        <v>0</v>
      </c>
      <c r="T1342">
        <f t="shared" si="291"/>
        <v>0</v>
      </c>
      <c r="U1342">
        <f t="shared" si="292"/>
        <v>0</v>
      </c>
      <c r="V1342" s="9">
        <f t="shared" si="296"/>
        <v>0</v>
      </c>
      <c r="W1342" s="9">
        <f t="shared" si="296"/>
        <v>0</v>
      </c>
      <c r="X1342" s="9">
        <f t="shared" si="296"/>
        <v>0</v>
      </c>
      <c r="Y1342" s="9">
        <f t="shared" si="296"/>
        <v>0</v>
      </c>
      <c r="Z1342" s="9">
        <f t="shared" si="296"/>
        <v>0</v>
      </c>
      <c r="AA1342" s="9">
        <f t="shared" si="295"/>
        <v>0</v>
      </c>
      <c r="AB1342" s="9">
        <f t="shared" si="295"/>
        <v>0</v>
      </c>
      <c r="AC1342" s="9">
        <f t="shared" si="295"/>
        <v>0</v>
      </c>
      <c r="AD1342" s="9">
        <f t="shared" si="295"/>
        <v>0</v>
      </c>
      <c r="AE1342" s="9">
        <f t="shared" si="295"/>
        <v>0</v>
      </c>
    </row>
    <row r="1343" spans="2:31" x14ac:dyDescent="0.25">
      <c r="B1343" s="6">
        <v>0</v>
      </c>
      <c r="C1343" s="6">
        <v>0</v>
      </c>
      <c r="D1343" s="6">
        <v>0</v>
      </c>
      <c r="E1343" s="6">
        <v>0</v>
      </c>
      <c r="F1343" s="6">
        <v>0</v>
      </c>
      <c r="L1343">
        <f t="shared" si="283"/>
        <v>0</v>
      </c>
      <c r="M1343">
        <f t="shared" si="284"/>
        <v>0</v>
      </c>
      <c r="N1343">
        <f t="shared" si="285"/>
        <v>0</v>
      </c>
      <c r="O1343">
        <f t="shared" si="286"/>
        <v>0</v>
      </c>
      <c r="P1343">
        <f t="shared" si="287"/>
        <v>0</v>
      </c>
      <c r="Q1343">
        <f t="shared" si="288"/>
        <v>0</v>
      </c>
      <c r="R1343">
        <f t="shared" si="289"/>
        <v>0</v>
      </c>
      <c r="S1343">
        <f t="shared" si="290"/>
        <v>0</v>
      </c>
      <c r="T1343">
        <f t="shared" si="291"/>
        <v>0</v>
      </c>
      <c r="U1343">
        <f t="shared" si="292"/>
        <v>0</v>
      </c>
      <c r="V1343" s="9">
        <f t="shared" si="296"/>
        <v>0</v>
      </c>
      <c r="W1343" s="9">
        <f t="shared" si="296"/>
        <v>0</v>
      </c>
      <c r="X1343" s="9">
        <f t="shared" si="296"/>
        <v>0</v>
      </c>
      <c r="Y1343" s="9">
        <f t="shared" si="296"/>
        <v>0</v>
      </c>
      <c r="Z1343" s="9">
        <f t="shared" si="296"/>
        <v>0</v>
      </c>
      <c r="AA1343" s="9">
        <f t="shared" si="295"/>
        <v>0</v>
      </c>
      <c r="AB1343" s="9">
        <f t="shared" si="295"/>
        <v>0</v>
      </c>
      <c r="AC1343" s="9">
        <f t="shared" si="295"/>
        <v>0</v>
      </c>
      <c r="AD1343" s="9">
        <f t="shared" si="295"/>
        <v>0</v>
      </c>
      <c r="AE1343" s="9">
        <f t="shared" si="295"/>
        <v>0</v>
      </c>
    </row>
    <row r="1344" spans="2:31" x14ac:dyDescent="0.25">
      <c r="B1344" s="6">
        <v>0</v>
      </c>
      <c r="C1344" s="6">
        <v>0</v>
      </c>
      <c r="D1344" s="6">
        <v>0</v>
      </c>
      <c r="E1344" s="6">
        <v>0</v>
      </c>
      <c r="F1344" s="6">
        <v>0</v>
      </c>
      <c r="L1344">
        <f t="shared" si="283"/>
        <v>0</v>
      </c>
      <c r="M1344">
        <f t="shared" si="284"/>
        <v>0</v>
      </c>
      <c r="N1344">
        <f t="shared" si="285"/>
        <v>0</v>
      </c>
      <c r="O1344">
        <f t="shared" si="286"/>
        <v>0</v>
      </c>
      <c r="P1344">
        <f t="shared" si="287"/>
        <v>0</v>
      </c>
      <c r="Q1344">
        <f t="shared" si="288"/>
        <v>0</v>
      </c>
      <c r="R1344">
        <f t="shared" si="289"/>
        <v>0</v>
      </c>
      <c r="S1344">
        <f t="shared" si="290"/>
        <v>0</v>
      </c>
      <c r="T1344">
        <f t="shared" si="291"/>
        <v>0</v>
      </c>
      <c r="U1344">
        <f t="shared" si="292"/>
        <v>0</v>
      </c>
      <c r="V1344" s="9">
        <f t="shared" si="296"/>
        <v>0</v>
      </c>
      <c r="W1344" s="9">
        <f t="shared" si="296"/>
        <v>0</v>
      </c>
      <c r="X1344" s="9">
        <f t="shared" si="296"/>
        <v>0</v>
      </c>
      <c r="Y1344" s="9">
        <f t="shared" si="296"/>
        <v>0</v>
      </c>
      <c r="Z1344" s="9">
        <f t="shared" si="296"/>
        <v>0</v>
      </c>
      <c r="AA1344" s="9">
        <f t="shared" si="295"/>
        <v>0</v>
      </c>
      <c r="AB1344" s="9">
        <f t="shared" si="295"/>
        <v>0</v>
      </c>
      <c r="AC1344" s="9">
        <f t="shared" si="295"/>
        <v>0</v>
      </c>
      <c r="AD1344" s="9">
        <f t="shared" si="295"/>
        <v>0</v>
      </c>
      <c r="AE1344" s="9">
        <f t="shared" si="295"/>
        <v>0</v>
      </c>
    </row>
    <row r="1345" spans="2:31" x14ac:dyDescent="0.25">
      <c r="B1345" s="6">
        <v>0</v>
      </c>
      <c r="C1345" s="6">
        <v>0</v>
      </c>
      <c r="D1345" s="6">
        <v>0</v>
      </c>
      <c r="E1345" s="6">
        <v>0</v>
      </c>
      <c r="F1345" s="6">
        <v>0</v>
      </c>
      <c r="L1345">
        <f t="shared" si="283"/>
        <v>0</v>
      </c>
      <c r="M1345">
        <f t="shared" si="284"/>
        <v>0</v>
      </c>
      <c r="N1345">
        <f t="shared" si="285"/>
        <v>0</v>
      </c>
      <c r="O1345">
        <f t="shared" si="286"/>
        <v>0</v>
      </c>
      <c r="P1345">
        <f t="shared" si="287"/>
        <v>0</v>
      </c>
      <c r="Q1345">
        <f t="shared" si="288"/>
        <v>0</v>
      </c>
      <c r="R1345">
        <f t="shared" si="289"/>
        <v>0</v>
      </c>
      <c r="S1345">
        <f t="shared" si="290"/>
        <v>0</v>
      </c>
      <c r="T1345">
        <f t="shared" si="291"/>
        <v>0</v>
      </c>
      <c r="U1345">
        <f t="shared" si="292"/>
        <v>0</v>
      </c>
      <c r="V1345" s="9">
        <f t="shared" si="296"/>
        <v>0</v>
      </c>
      <c r="W1345" s="9">
        <f t="shared" si="296"/>
        <v>0</v>
      </c>
      <c r="X1345" s="9">
        <f t="shared" si="296"/>
        <v>0</v>
      </c>
      <c r="Y1345" s="9">
        <f t="shared" si="296"/>
        <v>0</v>
      </c>
      <c r="Z1345" s="9">
        <f t="shared" si="296"/>
        <v>0</v>
      </c>
      <c r="AA1345" s="9">
        <f t="shared" si="295"/>
        <v>0</v>
      </c>
      <c r="AB1345" s="9">
        <f t="shared" si="295"/>
        <v>0</v>
      </c>
      <c r="AC1345" s="9">
        <f t="shared" si="295"/>
        <v>0</v>
      </c>
      <c r="AD1345" s="9">
        <f t="shared" si="295"/>
        <v>0</v>
      </c>
      <c r="AE1345" s="9">
        <f t="shared" si="295"/>
        <v>0</v>
      </c>
    </row>
    <row r="1346" spans="2:31" x14ac:dyDescent="0.25">
      <c r="B1346" s="6">
        <v>0</v>
      </c>
      <c r="C1346" s="6">
        <v>0</v>
      </c>
      <c r="D1346" s="6">
        <v>0</v>
      </c>
      <c r="E1346" s="6">
        <v>0</v>
      </c>
      <c r="F1346" s="6">
        <v>0</v>
      </c>
    </row>
    <row r="1347" spans="2:31" x14ac:dyDescent="0.25">
      <c r="B1347" s="6">
        <v>0</v>
      </c>
      <c r="C1347" s="6">
        <v>0</v>
      </c>
      <c r="D1347" s="6">
        <v>0</v>
      </c>
      <c r="E1347" s="6">
        <v>0</v>
      </c>
      <c r="F1347" s="6">
        <v>0</v>
      </c>
    </row>
    <row r="1348" spans="2:31" x14ac:dyDescent="0.25">
      <c r="B1348" s="6">
        <v>0</v>
      </c>
      <c r="C1348" s="6">
        <v>0</v>
      </c>
      <c r="D1348" s="6">
        <v>0</v>
      </c>
      <c r="E1348" s="6">
        <v>0</v>
      </c>
      <c r="F1348" s="6">
        <v>0</v>
      </c>
    </row>
    <row r="1349" spans="2:31" x14ac:dyDescent="0.25">
      <c r="B1349" s="6">
        <v>0</v>
      </c>
      <c r="C1349" s="6">
        <v>0</v>
      </c>
      <c r="D1349" s="6">
        <v>0</v>
      </c>
      <c r="E1349" s="6">
        <v>0</v>
      </c>
      <c r="F1349" s="6">
        <v>0</v>
      </c>
    </row>
    <row r="1350" spans="2:31" x14ac:dyDescent="0.25">
      <c r="B1350" s="6">
        <v>0</v>
      </c>
      <c r="C1350" s="6">
        <v>0</v>
      </c>
      <c r="D1350" s="6">
        <v>0</v>
      </c>
      <c r="E1350" s="6">
        <v>0</v>
      </c>
      <c r="F1350" s="6">
        <v>0</v>
      </c>
    </row>
    <row r="1351" spans="2:31" x14ac:dyDescent="0.25">
      <c r="B1351" s="6">
        <v>0</v>
      </c>
      <c r="C1351" s="6">
        <v>0</v>
      </c>
      <c r="D1351" s="6">
        <v>0</v>
      </c>
      <c r="E1351" s="6">
        <v>0</v>
      </c>
      <c r="F1351" s="6">
        <v>0</v>
      </c>
    </row>
    <row r="1352" spans="2:31" x14ac:dyDescent="0.25">
      <c r="B1352" s="6">
        <v>0</v>
      </c>
      <c r="C1352" s="6">
        <v>0</v>
      </c>
      <c r="D1352" s="6">
        <v>0</v>
      </c>
      <c r="E1352" s="6">
        <v>0</v>
      </c>
      <c r="F1352" s="6">
        <v>0</v>
      </c>
    </row>
    <row r="1353" spans="2:31" x14ac:dyDescent="0.25">
      <c r="B1353" s="6">
        <v>0</v>
      </c>
      <c r="C1353" s="6">
        <v>0</v>
      </c>
      <c r="D1353" s="6">
        <v>0</v>
      </c>
      <c r="E1353" s="6">
        <v>0</v>
      </c>
      <c r="F1353" s="6">
        <v>0</v>
      </c>
    </row>
    <row r="1354" spans="2:31" x14ac:dyDescent="0.25">
      <c r="B1354" s="6">
        <v>0</v>
      </c>
      <c r="C1354" s="6">
        <v>0</v>
      </c>
      <c r="D1354" s="6">
        <v>0</v>
      </c>
      <c r="E1354" s="6">
        <v>0</v>
      </c>
      <c r="F1354" s="6">
        <v>0</v>
      </c>
    </row>
    <row r="1355" spans="2:31" x14ac:dyDescent="0.25">
      <c r="B1355" s="6">
        <v>0</v>
      </c>
      <c r="C1355" s="6">
        <v>0</v>
      </c>
      <c r="D1355" s="6">
        <v>0</v>
      </c>
      <c r="E1355" s="6">
        <v>0</v>
      </c>
      <c r="F1355" s="6">
        <v>0</v>
      </c>
    </row>
    <row r="1356" spans="2:31" x14ac:dyDescent="0.25">
      <c r="B1356" s="6">
        <v>0</v>
      </c>
      <c r="C1356" s="6">
        <v>0</v>
      </c>
      <c r="D1356" s="6">
        <v>0</v>
      </c>
      <c r="E1356" s="6">
        <v>0</v>
      </c>
      <c r="F1356" s="6">
        <v>0</v>
      </c>
    </row>
    <row r="1357" spans="2:31" x14ac:dyDescent="0.25">
      <c r="B1357" s="6">
        <v>0</v>
      </c>
      <c r="C1357" s="6">
        <v>0</v>
      </c>
      <c r="D1357" s="6">
        <v>0</v>
      </c>
      <c r="E1357" s="6">
        <v>0</v>
      </c>
      <c r="F1357" s="6">
        <v>0</v>
      </c>
    </row>
    <row r="1358" spans="2:31" x14ac:dyDescent="0.25">
      <c r="B1358" s="6">
        <v>0</v>
      </c>
      <c r="C1358" s="6">
        <v>0</v>
      </c>
      <c r="D1358" s="6">
        <v>0</v>
      </c>
      <c r="E1358" s="6">
        <v>0</v>
      </c>
      <c r="F1358" s="6">
        <v>0</v>
      </c>
    </row>
    <row r="1359" spans="2:31" x14ac:dyDescent="0.25">
      <c r="B1359" s="6">
        <v>0</v>
      </c>
      <c r="C1359" s="6">
        <v>0</v>
      </c>
      <c r="D1359" s="6">
        <v>0</v>
      </c>
      <c r="E1359" s="6">
        <v>0</v>
      </c>
      <c r="F1359" s="6">
        <v>0</v>
      </c>
    </row>
    <row r="1360" spans="2:31" x14ac:dyDescent="0.25">
      <c r="B1360" s="6">
        <v>0</v>
      </c>
      <c r="C1360" s="6">
        <v>0</v>
      </c>
      <c r="D1360" s="6">
        <v>0</v>
      </c>
      <c r="E1360" s="6">
        <v>0</v>
      </c>
      <c r="F1360" s="6">
        <v>0</v>
      </c>
    </row>
    <row r="1361" spans="2:6" x14ac:dyDescent="0.25">
      <c r="B1361" s="6">
        <v>0</v>
      </c>
      <c r="C1361" s="6">
        <v>0</v>
      </c>
      <c r="D1361" s="6">
        <v>0</v>
      </c>
      <c r="E1361" s="6">
        <v>0</v>
      </c>
      <c r="F1361" s="6">
        <v>0</v>
      </c>
    </row>
    <row r="1362" spans="2:6" x14ac:dyDescent="0.25">
      <c r="B1362" s="6">
        <v>0</v>
      </c>
      <c r="C1362" s="6">
        <v>0</v>
      </c>
      <c r="D1362" s="6">
        <v>0</v>
      </c>
      <c r="E1362" s="6">
        <v>0</v>
      </c>
      <c r="F1362" s="6">
        <v>0</v>
      </c>
    </row>
    <row r="1363" spans="2:6" x14ac:dyDescent="0.25">
      <c r="B1363" s="6">
        <v>0</v>
      </c>
      <c r="C1363" s="6">
        <v>0</v>
      </c>
      <c r="D1363" s="6">
        <v>0</v>
      </c>
      <c r="E1363" s="6">
        <v>0</v>
      </c>
      <c r="F1363" s="6">
        <v>0</v>
      </c>
    </row>
    <row r="1364" spans="2:6" x14ac:dyDescent="0.25">
      <c r="B1364" s="6">
        <v>0</v>
      </c>
      <c r="C1364" s="6">
        <v>0</v>
      </c>
      <c r="D1364" s="6">
        <v>0</v>
      </c>
      <c r="E1364" s="6">
        <v>0</v>
      </c>
      <c r="F1364" s="6">
        <v>0</v>
      </c>
    </row>
    <row r="1365" spans="2:6" x14ac:dyDescent="0.25">
      <c r="B1365" s="6">
        <v>0</v>
      </c>
      <c r="C1365" s="6">
        <v>0</v>
      </c>
      <c r="D1365" s="6">
        <v>0</v>
      </c>
      <c r="E1365" s="6">
        <v>0</v>
      </c>
      <c r="F1365" s="6">
        <v>0</v>
      </c>
    </row>
    <row r="1366" spans="2:6" x14ac:dyDescent="0.25">
      <c r="B1366" s="6">
        <v>0</v>
      </c>
      <c r="C1366" s="6">
        <v>0</v>
      </c>
      <c r="D1366" s="6">
        <v>0</v>
      </c>
      <c r="E1366" s="6">
        <v>0</v>
      </c>
      <c r="F1366" s="6">
        <v>0</v>
      </c>
    </row>
    <row r="1367" spans="2:6" x14ac:dyDescent="0.25">
      <c r="B1367" s="6">
        <v>0</v>
      </c>
      <c r="C1367" s="6">
        <v>0</v>
      </c>
      <c r="D1367" s="6">
        <v>0</v>
      </c>
      <c r="E1367" s="6">
        <v>0</v>
      </c>
      <c r="F1367" s="6">
        <v>0</v>
      </c>
    </row>
    <row r="1368" spans="2:6" x14ac:dyDescent="0.25">
      <c r="B1368" s="6">
        <v>0</v>
      </c>
      <c r="C1368" s="6">
        <v>0</v>
      </c>
      <c r="D1368" s="6">
        <v>0</v>
      </c>
      <c r="E1368" s="6">
        <v>0</v>
      </c>
      <c r="F1368" s="6">
        <v>0</v>
      </c>
    </row>
    <row r="1369" spans="2:6" x14ac:dyDescent="0.25">
      <c r="B1369" s="6">
        <v>0</v>
      </c>
      <c r="C1369" s="6">
        <v>0</v>
      </c>
      <c r="D1369" s="6">
        <v>0</v>
      </c>
      <c r="E1369" s="6">
        <v>0</v>
      </c>
      <c r="F1369" s="6">
        <v>0</v>
      </c>
    </row>
    <row r="1370" spans="2:6" x14ac:dyDescent="0.25">
      <c r="B1370" s="6">
        <v>0</v>
      </c>
      <c r="C1370" s="6">
        <v>0</v>
      </c>
      <c r="D1370" s="6">
        <v>0</v>
      </c>
      <c r="E1370" s="6">
        <v>0</v>
      </c>
      <c r="F1370" s="6">
        <v>0</v>
      </c>
    </row>
    <row r="1371" spans="2:6" x14ac:dyDescent="0.25">
      <c r="B1371" s="6">
        <v>0</v>
      </c>
      <c r="C1371" s="6">
        <v>0</v>
      </c>
      <c r="D1371" s="6">
        <v>0</v>
      </c>
      <c r="E1371" s="6">
        <v>0</v>
      </c>
      <c r="F1371" s="6">
        <v>0</v>
      </c>
    </row>
    <row r="1372" spans="2:6" x14ac:dyDescent="0.25">
      <c r="B1372" s="6">
        <v>0</v>
      </c>
      <c r="C1372" s="6">
        <v>0</v>
      </c>
      <c r="D1372" s="6">
        <v>0</v>
      </c>
      <c r="E1372" s="6">
        <v>0</v>
      </c>
      <c r="F1372" s="6">
        <v>0</v>
      </c>
    </row>
    <row r="1373" spans="2:6" x14ac:dyDescent="0.25">
      <c r="B1373" s="6">
        <v>0</v>
      </c>
      <c r="C1373" s="6">
        <v>0</v>
      </c>
      <c r="D1373" s="6">
        <v>0</v>
      </c>
      <c r="E1373" s="6">
        <v>0</v>
      </c>
      <c r="F1373" s="6">
        <v>0</v>
      </c>
    </row>
    <row r="1374" spans="2:6" x14ac:dyDescent="0.25">
      <c r="B1374" s="6">
        <v>0</v>
      </c>
      <c r="C1374" s="6">
        <v>0</v>
      </c>
      <c r="D1374" s="6">
        <v>0</v>
      </c>
      <c r="E1374" s="6">
        <v>0</v>
      </c>
      <c r="F1374" s="6">
        <v>0</v>
      </c>
    </row>
    <row r="1375" spans="2:6" x14ac:dyDescent="0.25">
      <c r="B1375" s="6">
        <v>0</v>
      </c>
      <c r="C1375" s="6">
        <v>0</v>
      </c>
      <c r="D1375" s="6">
        <v>0</v>
      </c>
      <c r="E1375" s="6">
        <v>0</v>
      </c>
      <c r="F1375" s="6">
        <v>0</v>
      </c>
    </row>
    <row r="1376" spans="2:6" x14ac:dyDescent="0.25">
      <c r="B1376" s="6">
        <v>0</v>
      </c>
      <c r="C1376" s="6">
        <v>0</v>
      </c>
      <c r="D1376" s="6">
        <v>0</v>
      </c>
      <c r="E1376" s="6">
        <v>0</v>
      </c>
      <c r="F1376" s="6">
        <v>0</v>
      </c>
    </row>
    <row r="1377" spans="2:6" x14ac:dyDescent="0.25">
      <c r="B1377" s="6">
        <v>0</v>
      </c>
      <c r="C1377" s="6">
        <v>0</v>
      </c>
      <c r="D1377" s="6">
        <v>0</v>
      </c>
      <c r="E1377" s="6">
        <v>0</v>
      </c>
      <c r="F1377" s="6">
        <v>0</v>
      </c>
    </row>
    <row r="1378" spans="2:6" x14ac:dyDescent="0.25">
      <c r="B1378" s="6">
        <v>0</v>
      </c>
      <c r="C1378" s="6">
        <v>0</v>
      </c>
      <c r="D1378" s="6">
        <v>0</v>
      </c>
      <c r="E1378" s="6">
        <v>0</v>
      </c>
      <c r="F1378" s="6">
        <v>0</v>
      </c>
    </row>
    <row r="1379" spans="2:6" x14ac:dyDescent="0.25">
      <c r="B1379" s="6">
        <v>0</v>
      </c>
      <c r="C1379" s="6">
        <v>0</v>
      </c>
      <c r="D1379" s="6">
        <v>0</v>
      </c>
      <c r="E1379" s="6">
        <v>0</v>
      </c>
      <c r="F1379" s="6">
        <v>0</v>
      </c>
    </row>
    <row r="1380" spans="2:6" x14ac:dyDescent="0.25">
      <c r="B1380" s="6">
        <v>0</v>
      </c>
      <c r="C1380" s="6">
        <v>0</v>
      </c>
      <c r="D1380" s="6">
        <v>0</v>
      </c>
      <c r="E1380" s="6">
        <v>0</v>
      </c>
      <c r="F1380" s="6">
        <v>0</v>
      </c>
    </row>
    <row r="1381" spans="2:6" x14ac:dyDescent="0.25">
      <c r="B1381" s="6">
        <v>0</v>
      </c>
      <c r="C1381" s="6">
        <v>0</v>
      </c>
      <c r="D1381" s="6">
        <v>0</v>
      </c>
      <c r="E1381" s="6">
        <v>0</v>
      </c>
      <c r="F1381" s="6">
        <v>0</v>
      </c>
    </row>
    <row r="1382" spans="2:6" x14ac:dyDescent="0.25">
      <c r="B1382" s="6">
        <v>0</v>
      </c>
      <c r="C1382" s="6">
        <v>0</v>
      </c>
      <c r="D1382" s="6">
        <v>0</v>
      </c>
      <c r="E1382" s="6">
        <v>0</v>
      </c>
      <c r="F1382" s="6">
        <v>0</v>
      </c>
    </row>
    <row r="1383" spans="2:6" x14ac:dyDescent="0.25">
      <c r="B1383" s="6">
        <v>0</v>
      </c>
      <c r="C1383" s="6">
        <v>0</v>
      </c>
      <c r="D1383" s="6">
        <v>0</v>
      </c>
      <c r="E1383" s="6">
        <v>0</v>
      </c>
      <c r="F1383" s="6">
        <v>0</v>
      </c>
    </row>
    <row r="1384" spans="2:6" x14ac:dyDescent="0.25">
      <c r="B1384" s="6">
        <v>0</v>
      </c>
      <c r="C1384" s="6">
        <v>0</v>
      </c>
      <c r="D1384" s="6">
        <v>0</v>
      </c>
      <c r="E1384" s="6">
        <v>0</v>
      </c>
      <c r="F1384" s="6">
        <v>0</v>
      </c>
    </row>
    <row r="1385" spans="2:6" x14ac:dyDescent="0.25">
      <c r="B1385" s="6">
        <v>0</v>
      </c>
      <c r="C1385" s="6">
        <v>0</v>
      </c>
      <c r="D1385" s="6">
        <v>0</v>
      </c>
      <c r="E1385" s="6">
        <v>0</v>
      </c>
      <c r="F1385" s="6">
        <v>0</v>
      </c>
    </row>
    <row r="1386" spans="2:6" x14ac:dyDescent="0.25">
      <c r="B1386" s="6">
        <v>0</v>
      </c>
      <c r="C1386" s="6">
        <v>0</v>
      </c>
      <c r="D1386" s="6">
        <v>0</v>
      </c>
      <c r="E1386" s="6">
        <v>0</v>
      </c>
      <c r="F1386" s="6">
        <v>0</v>
      </c>
    </row>
    <row r="1387" spans="2:6" x14ac:dyDescent="0.25">
      <c r="B1387" s="6">
        <v>0</v>
      </c>
      <c r="C1387" s="6">
        <v>0</v>
      </c>
      <c r="D1387" s="6">
        <v>0</v>
      </c>
      <c r="E1387" s="6">
        <v>0</v>
      </c>
      <c r="F1387" s="6">
        <v>0</v>
      </c>
    </row>
    <row r="1388" spans="2:6" x14ac:dyDescent="0.25">
      <c r="B1388" s="6">
        <v>0</v>
      </c>
      <c r="C1388" s="6">
        <v>0</v>
      </c>
      <c r="D1388" s="6">
        <v>0</v>
      </c>
      <c r="E1388" s="6">
        <v>0</v>
      </c>
      <c r="F1388" s="6">
        <v>0</v>
      </c>
    </row>
    <row r="1389" spans="2:6" x14ac:dyDescent="0.25">
      <c r="B1389" s="6">
        <v>0</v>
      </c>
      <c r="C1389" s="6">
        <v>0</v>
      </c>
      <c r="D1389" s="6">
        <v>0</v>
      </c>
      <c r="E1389" s="6">
        <v>0</v>
      </c>
      <c r="F1389" s="6">
        <v>0</v>
      </c>
    </row>
    <row r="1390" spans="2:6" x14ac:dyDescent="0.25">
      <c r="B1390" s="6">
        <v>0</v>
      </c>
      <c r="C1390" s="6">
        <v>0</v>
      </c>
      <c r="D1390" s="6">
        <v>0</v>
      </c>
      <c r="E1390" s="6">
        <v>0</v>
      </c>
      <c r="F1390" s="6">
        <v>0</v>
      </c>
    </row>
    <row r="1391" spans="2:6" x14ac:dyDescent="0.25">
      <c r="B1391" s="6">
        <v>0</v>
      </c>
      <c r="C1391" s="6">
        <v>0</v>
      </c>
      <c r="D1391" s="6">
        <v>0</v>
      </c>
      <c r="E1391" s="6">
        <v>0</v>
      </c>
      <c r="F1391" s="6">
        <v>0</v>
      </c>
    </row>
    <row r="1392" spans="2:6" x14ac:dyDescent="0.25">
      <c r="B1392" s="6">
        <v>0</v>
      </c>
      <c r="C1392" s="6">
        <v>0</v>
      </c>
      <c r="D1392" s="6">
        <v>0</v>
      </c>
      <c r="E1392" s="6">
        <v>0</v>
      </c>
      <c r="F1392" s="6">
        <v>0</v>
      </c>
    </row>
    <row r="1393" spans="2:6" x14ac:dyDescent="0.25">
      <c r="B1393" s="6">
        <v>0</v>
      </c>
      <c r="C1393" s="6">
        <v>0</v>
      </c>
      <c r="D1393" s="6">
        <v>0</v>
      </c>
      <c r="E1393" s="6">
        <v>0</v>
      </c>
      <c r="F1393" s="6">
        <v>0</v>
      </c>
    </row>
    <row r="1394" spans="2:6" x14ac:dyDescent="0.25">
      <c r="B1394" s="6">
        <v>0</v>
      </c>
      <c r="C1394" s="6">
        <v>0</v>
      </c>
      <c r="D1394" s="6">
        <v>0</v>
      </c>
      <c r="E1394" s="6">
        <v>0</v>
      </c>
      <c r="F1394" s="6">
        <v>0</v>
      </c>
    </row>
    <row r="1395" spans="2:6" x14ac:dyDescent="0.25">
      <c r="B1395" s="6">
        <v>0</v>
      </c>
      <c r="C1395" s="6">
        <v>0</v>
      </c>
      <c r="D1395" s="6">
        <v>0</v>
      </c>
      <c r="E1395" s="6">
        <v>0</v>
      </c>
      <c r="F1395" s="6">
        <v>0</v>
      </c>
    </row>
    <row r="1396" spans="2:6" x14ac:dyDescent="0.25">
      <c r="B1396" s="6">
        <v>0</v>
      </c>
      <c r="C1396" s="6">
        <v>0</v>
      </c>
      <c r="D1396" s="6">
        <v>0</v>
      </c>
      <c r="E1396" s="6">
        <v>0</v>
      </c>
      <c r="F1396" s="6">
        <v>0</v>
      </c>
    </row>
    <row r="1397" spans="2:6" x14ac:dyDescent="0.25">
      <c r="B1397" s="6">
        <v>0</v>
      </c>
      <c r="C1397" s="6">
        <v>0</v>
      </c>
      <c r="D1397" s="6">
        <v>0</v>
      </c>
      <c r="E1397" s="6">
        <v>0</v>
      </c>
      <c r="F1397" s="6">
        <v>0</v>
      </c>
    </row>
    <row r="1398" spans="2:6" x14ac:dyDescent="0.25">
      <c r="B1398" s="6">
        <v>0</v>
      </c>
      <c r="C1398" s="6">
        <v>0</v>
      </c>
      <c r="D1398" s="6">
        <v>0</v>
      </c>
      <c r="E1398" s="6">
        <v>0</v>
      </c>
      <c r="F1398" s="6">
        <v>0</v>
      </c>
    </row>
    <row r="1399" spans="2:6" x14ac:dyDescent="0.25">
      <c r="B1399" s="6">
        <v>0</v>
      </c>
      <c r="C1399" s="6">
        <v>0</v>
      </c>
      <c r="D1399" s="6">
        <v>0</v>
      </c>
      <c r="E1399" s="6">
        <v>0</v>
      </c>
      <c r="F1399" s="6">
        <v>0</v>
      </c>
    </row>
    <row r="1400" spans="2:6" x14ac:dyDescent="0.25">
      <c r="B1400" s="6">
        <v>0</v>
      </c>
      <c r="C1400" s="6">
        <v>0</v>
      </c>
      <c r="D1400" s="6">
        <v>0</v>
      </c>
      <c r="E1400" s="6">
        <v>0</v>
      </c>
      <c r="F1400" s="6">
        <v>0</v>
      </c>
    </row>
    <row r="1401" spans="2:6" x14ac:dyDescent="0.25">
      <c r="B1401" s="6">
        <v>0</v>
      </c>
      <c r="C1401" s="6">
        <v>0</v>
      </c>
      <c r="D1401" s="6">
        <v>0</v>
      </c>
      <c r="E1401" s="6">
        <v>0</v>
      </c>
      <c r="F1401" s="6">
        <v>0</v>
      </c>
    </row>
    <row r="1402" spans="2:6" x14ac:dyDescent="0.25">
      <c r="B1402" s="6">
        <v>0</v>
      </c>
      <c r="C1402" s="6">
        <v>0</v>
      </c>
      <c r="D1402" s="6">
        <v>0</v>
      </c>
      <c r="E1402" s="6">
        <v>0</v>
      </c>
      <c r="F1402" s="6">
        <v>0</v>
      </c>
    </row>
    <row r="1403" spans="2:6" x14ac:dyDescent="0.25">
      <c r="B1403" s="6">
        <v>0</v>
      </c>
      <c r="C1403" s="6">
        <v>0</v>
      </c>
      <c r="D1403" s="6">
        <v>0</v>
      </c>
      <c r="E1403" s="6">
        <v>0</v>
      </c>
      <c r="F1403" s="6">
        <v>0</v>
      </c>
    </row>
    <row r="1404" spans="2:6" x14ac:dyDescent="0.25">
      <c r="B1404" s="6">
        <v>0</v>
      </c>
      <c r="C1404" s="6">
        <v>0</v>
      </c>
      <c r="D1404" s="6">
        <v>0</v>
      </c>
      <c r="E1404" s="6">
        <v>0</v>
      </c>
      <c r="F1404" s="6">
        <v>0</v>
      </c>
    </row>
    <row r="1405" spans="2:6" x14ac:dyDescent="0.25">
      <c r="B1405" s="6">
        <v>0</v>
      </c>
      <c r="C1405" s="6">
        <v>0</v>
      </c>
      <c r="D1405" s="6">
        <v>0</v>
      </c>
      <c r="E1405" s="6">
        <v>0</v>
      </c>
      <c r="F1405" s="6">
        <v>0</v>
      </c>
    </row>
    <row r="1406" spans="2:6" x14ac:dyDescent="0.25">
      <c r="B1406" s="6">
        <v>0</v>
      </c>
      <c r="C1406" s="6">
        <v>0</v>
      </c>
      <c r="D1406" s="6">
        <v>0</v>
      </c>
      <c r="E1406" s="6">
        <v>0</v>
      </c>
      <c r="F1406" s="6">
        <v>0</v>
      </c>
    </row>
    <row r="1407" spans="2:6" x14ac:dyDescent="0.25">
      <c r="B1407" s="6">
        <v>0</v>
      </c>
      <c r="C1407" s="6">
        <v>0</v>
      </c>
      <c r="D1407" s="6">
        <v>0</v>
      </c>
      <c r="E1407" s="6">
        <v>0</v>
      </c>
      <c r="F1407" s="6">
        <v>0</v>
      </c>
    </row>
    <row r="1408" spans="2:6" x14ac:dyDescent="0.25">
      <c r="B1408" s="6">
        <v>0</v>
      </c>
      <c r="C1408" s="6">
        <v>0</v>
      </c>
      <c r="D1408" s="6">
        <v>0</v>
      </c>
      <c r="E1408" s="6">
        <v>0</v>
      </c>
      <c r="F1408" s="6">
        <v>0</v>
      </c>
    </row>
    <row r="1409" spans="2:6" x14ac:dyDescent="0.25">
      <c r="B1409" s="6">
        <v>0</v>
      </c>
      <c r="C1409" s="6">
        <v>0</v>
      </c>
      <c r="D1409" s="6">
        <v>0</v>
      </c>
      <c r="E1409" s="6">
        <v>0</v>
      </c>
      <c r="F1409" s="6">
        <v>0</v>
      </c>
    </row>
    <row r="1410" spans="2:6" x14ac:dyDescent="0.25">
      <c r="B1410" s="6">
        <v>0</v>
      </c>
      <c r="C1410" s="6">
        <v>0</v>
      </c>
      <c r="D1410" s="6">
        <v>0</v>
      </c>
      <c r="E1410" s="6">
        <v>0</v>
      </c>
      <c r="F1410" s="6">
        <v>0</v>
      </c>
    </row>
    <row r="1411" spans="2:6" x14ac:dyDescent="0.25">
      <c r="B1411" s="6">
        <v>0</v>
      </c>
      <c r="C1411" s="6">
        <v>0</v>
      </c>
      <c r="D1411" s="6">
        <v>0</v>
      </c>
      <c r="E1411" s="6">
        <v>0</v>
      </c>
      <c r="F1411" s="6">
        <v>0</v>
      </c>
    </row>
    <row r="1412" spans="2:6" x14ac:dyDescent="0.25">
      <c r="B1412" s="6">
        <v>0</v>
      </c>
      <c r="C1412" s="6">
        <v>0</v>
      </c>
      <c r="D1412" s="6">
        <v>0</v>
      </c>
      <c r="E1412" s="6">
        <v>0</v>
      </c>
      <c r="F1412" s="6">
        <v>0</v>
      </c>
    </row>
    <row r="1413" spans="2:6" x14ac:dyDescent="0.25">
      <c r="B1413" s="6">
        <v>0</v>
      </c>
      <c r="C1413" s="6">
        <v>0</v>
      </c>
      <c r="D1413" s="6">
        <v>0</v>
      </c>
      <c r="E1413" s="6">
        <v>0</v>
      </c>
      <c r="F1413" s="6">
        <v>0</v>
      </c>
    </row>
    <row r="1414" spans="2:6" x14ac:dyDescent="0.25">
      <c r="B1414" s="6">
        <v>0</v>
      </c>
      <c r="C1414" s="6">
        <v>0</v>
      </c>
      <c r="D1414" s="6">
        <v>0</v>
      </c>
      <c r="E1414" s="6">
        <v>0</v>
      </c>
      <c r="F1414" s="6">
        <v>0</v>
      </c>
    </row>
    <row r="1415" spans="2:6" x14ac:dyDescent="0.25">
      <c r="B1415" s="6">
        <v>0</v>
      </c>
      <c r="C1415" s="6">
        <v>0</v>
      </c>
      <c r="D1415" s="6">
        <v>0</v>
      </c>
      <c r="E1415" s="6">
        <v>0</v>
      </c>
      <c r="F1415" s="6">
        <v>0</v>
      </c>
    </row>
    <row r="1416" spans="2:6" x14ac:dyDescent="0.25">
      <c r="B1416" s="6">
        <v>0</v>
      </c>
      <c r="C1416" s="6">
        <v>0</v>
      </c>
      <c r="D1416" s="6">
        <v>0</v>
      </c>
      <c r="E1416" s="6">
        <v>0</v>
      </c>
      <c r="F1416" s="6">
        <v>0</v>
      </c>
    </row>
    <row r="1417" spans="2:6" x14ac:dyDescent="0.25">
      <c r="B1417" s="6">
        <v>0</v>
      </c>
      <c r="C1417" s="6">
        <v>0</v>
      </c>
      <c r="D1417" s="6">
        <v>0</v>
      </c>
      <c r="E1417" s="6">
        <v>0</v>
      </c>
      <c r="F1417" s="6">
        <v>0</v>
      </c>
    </row>
    <row r="1418" spans="2:6" x14ac:dyDescent="0.25">
      <c r="B1418" s="6">
        <v>0</v>
      </c>
      <c r="C1418" s="6">
        <v>0</v>
      </c>
      <c r="D1418" s="6">
        <v>0</v>
      </c>
      <c r="E1418" s="6">
        <v>0</v>
      </c>
      <c r="F1418" s="6">
        <v>0</v>
      </c>
    </row>
    <row r="1419" spans="2:6" x14ac:dyDescent="0.25">
      <c r="B1419" s="6">
        <v>0</v>
      </c>
      <c r="C1419" s="6">
        <v>0</v>
      </c>
      <c r="D1419" s="6">
        <v>0</v>
      </c>
      <c r="E1419" s="6">
        <v>0</v>
      </c>
      <c r="F1419" s="6">
        <v>0</v>
      </c>
    </row>
    <row r="1420" spans="2:6" x14ac:dyDescent="0.25">
      <c r="B1420" s="6">
        <v>0</v>
      </c>
      <c r="C1420" s="6">
        <v>0</v>
      </c>
      <c r="D1420" s="6">
        <v>0</v>
      </c>
      <c r="E1420" s="6">
        <v>0</v>
      </c>
      <c r="F1420" s="6">
        <v>0</v>
      </c>
    </row>
    <row r="1421" spans="2:6" x14ac:dyDescent="0.25">
      <c r="B1421" s="6">
        <v>0</v>
      </c>
      <c r="C1421" s="6">
        <v>0</v>
      </c>
      <c r="D1421" s="6">
        <v>0</v>
      </c>
      <c r="E1421" s="6">
        <v>0</v>
      </c>
      <c r="F1421" s="6">
        <v>0</v>
      </c>
    </row>
    <row r="1422" spans="2:6" x14ac:dyDescent="0.25">
      <c r="B1422" s="6">
        <v>0</v>
      </c>
      <c r="C1422" s="6">
        <v>0</v>
      </c>
      <c r="D1422" s="6">
        <v>0</v>
      </c>
      <c r="E1422" s="6">
        <v>0</v>
      </c>
      <c r="F1422" s="6">
        <v>0</v>
      </c>
    </row>
    <row r="1423" spans="2:6" x14ac:dyDescent="0.25">
      <c r="B1423" s="6">
        <v>0</v>
      </c>
      <c r="C1423" s="6">
        <v>0</v>
      </c>
      <c r="D1423" s="6">
        <v>0</v>
      </c>
      <c r="E1423" s="6">
        <v>0</v>
      </c>
      <c r="F1423" s="6">
        <v>0</v>
      </c>
    </row>
    <row r="1424" spans="2:6" x14ac:dyDescent="0.25">
      <c r="B1424" s="6">
        <v>0</v>
      </c>
      <c r="C1424" s="6">
        <v>0</v>
      </c>
      <c r="D1424" s="6">
        <v>0</v>
      </c>
      <c r="E1424" s="6">
        <v>0</v>
      </c>
      <c r="F1424" s="6">
        <v>0</v>
      </c>
    </row>
    <row r="1425" spans="2:6" x14ac:dyDescent="0.25">
      <c r="B1425" s="6">
        <v>0</v>
      </c>
      <c r="C1425" s="6">
        <v>0</v>
      </c>
      <c r="D1425" s="6">
        <v>0</v>
      </c>
      <c r="E1425" s="6">
        <v>0</v>
      </c>
      <c r="F1425" s="6">
        <v>0</v>
      </c>
    </row>
    <row r="1426" spans="2:6" x14ac:dyDescent="0.25">
      <c r="B1426" s="6">
        <v>0</v>
      </c>
      <c r="C1426" s="6">
        <v>0</v>
      </c>
      <c r="D1426" s="6">
        <v>0</v>
      </c>
      <c r="E1426" s="6">
        <v>0</v>
      </c>
      <c r="F1426" s="6">
        <v>0</v>
      </c>
    </row>
    <row r="1427" spans="2:6" x14ac:dyDescent="0.25">
      <c r="B1427" s="6">
        <v>0</v>
      </c>
      <c r="C1427" s="6">
        <v>0</v>
      </c>
      <c r="D1427" s="6">
        <v>0</v>
      </c>
      <c r="E1427" s="6">
        <v>0</v>
      </c>
      <c r="F1427" s="6">
        <v>0</v>
      </c>
    </row>
    <row r="1428" spans="2:6" x14ac:dyDescent="0.25">
      <c r="B1428" s="6">
        <v>0</v>
      </c>
      <c r="C1428" s="6">
        <v>0</v>
      </c>
      <c r="D1428" s="6">
        <v>0</v>
      </c>
      <c r="E1428" s="6">
        <v>0</v>
      </c>
      <c r="F1428" s="6">
        <v>0</v>
      </c>
    </row>
    <row r="1429" spans="2:6" x14ac:dyDescent="0.25">
      <c r="B1429" s="6">
        <v>0</v>
      </c>
      <c r="C1429" s="6">
        <v>0</v>
      </c>
      <c r="D1429" s="6">
        <v>0</v>
      </c>
      <c r="E1429" s="6">
        <v>0</v>
      </c>
      <c r="F1429" s="6">
        <v>0</v>
      </c>
    </row>
    <row r="1430" spans="2:6" x14ac:dyDescent="0.25">
      <c r="B1430" s="6">
        <v>0</v>
      </c>
      <c r="C1430" s="6">
        <v>0</v>
      </c>
      <c r="D1430" s="6">
        <v>0</v>
      </c>
      <c r="E1430" s="6">
        <v>0</v>
      </c>
      <c r="F1430" s="6">
        <v>0</v>
      </c>
    </row>
    <row r="1431" spans="2:6" x14ac:dyDescent="0.25">
      <c r="B1431" s="6">
        <v>0</v>
      </c>
      <c r="C1431" s="6">
        <v>0</v>
      </c>
      <c r="D1431" s="6">
        <v>0</v>
      </c>
      <c r="E1431" s="6">
        <v>0</v>
      </c>
      <c r="F1431" s="6">
        <v>0</v>
      </c>
    </row>
    <row r="1432" spans="2:6" x14ac:dyDescent="0.25">
      <c r="B1432" s="6">
        <v>0</v>
      </c>
      <c r="C1432" s="6">
        <v>0</v>
      </c>
      <c r="D1432" s="6">
        <v>0</v>
      </c>
      <c r="E1432" s="6">
        <v>0</v>
      </c>
      <c r="F1432" s="6">
        <v>0</v>
      </c>
    </row>
    <row r="1433" spans="2:6" x14ac:dyDescent="0.25">
      <c r="B1433" s="6">
        <v>0</v>
      </c>
      <c r="C1433" s="6">
        <v>0</v>
      </c>
      <c r="D1433" s="6">
        <v>0</v>
      </c>
      <c r="E1433" s="6">
        <v>0</v>
      </c>
      <c r="F1433" s="6">
        <v>0</v>
      </c>
    </row>
    <row r="1434" spans="2:6" x14ac:dyDescent="0.25">
      <c r="B1434" s="6">
        <v>0</v>
      </c>
      <c r="C1434" s="6">
        <v>0</v>
      </c>
      <c r="D1434" s="6">
        <v>0</v>
      </c>
      <c r="E1434" s="6">
        <v>0</v>
      </c>
      <c r="F1434" s="6">
        <v>0</v>
      </c>
    </row>
    <row r="1435" spans="2:6" x14ac:dyDescent="0.25">
      <c r="B1435" s="6">
        <v>0</v>
      </c>
      <c r="C1435" s="6">
        <v>0</v>
      </c>
      <c r="D1435" s="6">
        <v>0</v>
      </c>
      <c r="E1435" s="6">
        <v>0</v>
      </c>
      <c r="F1435" s="6">
        <v>0</v>
      </c>
    </row>
    <row r="1436" spans="2:6" x14ac:dyDescent="0.25">
      <c r="B1436" s="6">
        <v>0</v>
      </c>
      <c r="C1436" s="6">
        <v>0</v>
      </c>
      <c r="D1436" s="6">
        <v>0</v>
      </c>
      <c r="E1436" s="6">
        <v>0</v>
      </c>
      <c r="F1436" s="6">
        <v>0</v>
      </c>
    </row>
    <row r="1437" spans="2:6" x14ac:dyDescent="0.25">
      <c r="B1437" s="6">
        <v>0</v>
      </c>
      <c r="C1437" s="6">
        <v>0</v>
      </c>
      <c r="D1437" s="6">
        <v>0</v>
      </c>
      <c r="E1437" s="6">
        <v>0</v>
      </c>
      <c r="F1437" s="6">
        <v>0</v>
      </c>
    </row>
    <row r="1438" spans="2:6" x14ac:dyDescent="0.25">
      <c r="B1438" s="6">
        <v>0</v>
      </c>
      <c r="C1438" s="6">
        <v>0</v>
      </c>
      <c r="D1438" s="6">
        <v>0</v>
      </c>
      <c r="E1438" s="6">
        <v>0</v>
      </c>
      <c r="F1438" s="6">
        <v>0</v>
      </c>
    </row>
    <row r="1439" spans="2:6" x14ac:dyDescent="0.25">
      <c r="B1439" s="6">
        <v>0</v>
      </c>
      <c r="C1439" s="6">
        <v>0</v>
      </c>
      <c r="D1439" s="6">
        <v>0</v>
      </c>
      <c r="E1439" s="6">
        <v>0</v>
      </c>
      <c r="F1439" s="6">
        <v>0</v>
      </c>
    </row>
    <row r="1440" spans="2:6" x14ac:dyDescent="0.25">
      <c r="B1440" s="6">
        <v>0</v>
      </c>
      <c r="C1440" s="6">
        <v>0</v>
      </c>
      <c r="D1440" s="6">
        <v>0</v>
      </c>
      <c r="E1440" s="6">
        <v>0</v>
      </c>
      <c r="F1440" s="6">
        <v>0</v>
      </c>
    </row>
    <row r="1441" spans="2:6" x14ac:dyDescent="0.25">
      <c r="B1441" s="6">
        <v>0</v>
      </c>
      <c r="C1441" s="6">
        <v>0</v>
      </c>
      <c r="D1441" s="6">
        <v>0</v>
      </c>
      <c r="E1441" s="6">
        <v>0</v>
      </c>
      <c r="F1441" s="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Xiao Xiao</cp:lastModifiedBy>
  <dcterms:created xsi:type="dcterms:W3CDTF">2024-09-15T06:52:30Z</dcterms:created>
  <dcterms:modified xsi:type="dcterms:W3CDTF">2024-10-04T14:42:33Z</dcterms:modified>
</cp:coreProperties>
</file>